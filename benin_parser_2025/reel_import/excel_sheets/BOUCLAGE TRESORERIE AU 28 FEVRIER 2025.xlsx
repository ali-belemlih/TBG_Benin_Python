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5\TBG WORK\02\TBG WORK\"/>
    </mc:Choice>
  </mc:AlternateContent>
  <bookViews>
    <workbookView xWindow="0" yWindow="0" windowWidth="23040" windowHeight="8770" firstSheet="1" activeTab="1"/>
  </bookViews>
  <sheets>
    <sheet name="SEPT 22" sheetId="6" state="hidden" r:id="rId1"/>
    <sheet name="SYNTHESE" sheetId="1" r:id="rId2"/>
    <sheet name="ENC AGCES FEVR 25" sheetId="82" r:id="rId3"/>
    <sheet name="ENC AGCES" sheetId="67" state="hidden" r:id="rId4"/>
    <sheet name="Activations de forfaits et créd" sheetId="46" r:id="rId5"/>
    <sheet name="TOP UP" sheetId="47" r:id="rId6"/>
    <sheet name="OCT 24" sheetId="70" state="hidden" r:id="rId7"/>
    <sheet name="FEV 25" sheetId="85" r:id="rId8"/>
    <sheet name="AUTRES PMTS" sheetId="68" r:id="rId9"/>
    <sheet name="DETAILS XBORDER- SEPT 2024" sheetId="66" state="hidden" r:id="rId10"/>
    <sheet name="DETAILS XBORDER OCT-2024" sheetId="71" state="hidden" r:id="rId11"/>
    <sheet name="DETAILS XBORDER-2024" sheetId="72" state="hidden" r:id="rId12"/>
    <sheet name="FLOOZ REPORT" sheetId="65" state="hidden" r:id="rId13"/>
    <sheet name="DETAILS XBORDER- DEC 2024" sheetId="78" state="hidden" r:id="rId14"/>
    <sheet name="flooz report Févr 25" sheetId="84" r:id="rId15"/>
    <sheet name="FLOOZ REPORT OCT 24" sheetId="69" state="hidden" r:id="rId16"/>
    <sheet name="TOPUP" sheetId="21" state="hidden" r:id="rId17"/>
    <sheet name="Activations de forfaits et  (2" sheetId="20" state="hidden" r:id="rId18"/>
    <sheet name="FEV 23" sheetId="11" state="hidden" r:id="rId19"/>
    <sheet name="JAN 23" sheetId="10" state="hidden" r:id="rId20"/>
    <sheet name="DEC 22" sheetId="9" state="hidden" r:id="rId21"/>
    <sheet name="OCT 22" sheetId="7" state="hidden" r:id="rId22"/>
    <sheet name="JUILLET 22" sheetId="4" state="hidden" r:id="rId23"/>
  </sheets>
  <externalReferences>
    <externalReference r:id="rId24"/>
    <externalReference r:id="rId25"/>
    <externalReference r:id="rId26"/>
    <externalReference r:id="rId27"/>
    <externalReference r:id="rId28"/>
  </externalReferences>
  <definedNames>
    <definedName name="_xlnm._FilterDatabase" localSheetId="20" hidden="1">'DEC 22'!$B$4:$B$407</definedName>
    <definedName name="_xlnm._FilterDatabase" localSheetId="3" hidden="1">'ENC AGCES'!$A$53:$L$542</definedName>
    <definedName name="_xlnm._FilterDatabase" localSheetId="18" hidden="1">'FEV 23'!$B$4:$B$356</definedName>
    <definedName name="_xlnm._FilterDatabase" localSheetId="7" hidden="1">'FEV 25'!$B$6:$B$343</definedName>
    <definedName name="_xlnm._FilterDatabase" localSheetId="19" hidden="1">'JAN 23'!$B$3:$B$370</definedName>
    <definedName name="_xlnm._FilterDatabase" localSheetId="22" hidden="1">'JUILLET 22'!$B$4:$B$471</definedName>
    <definedName name="_xlnm._FilterDatabase" localSheetId="21" hidden="1">'OCT 22'!$B$5:$B$469</definedName>
    <definedName name="_xlnm._FilterDatabase" localSheetId="6" hidden="1">'OCT 24'!$B$5:$B$405</definedName>
    <definedName name="_xlnm._FilterDatabase" localSheetId="0" hidden="1">'SEPT 22'!$B$3:$B$224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19" i="1" l="1"/>
  <c r="E20" i="1"/>
  <c r="E16" i="1"/>
  <c r="C346" i="85"/>
  <c r="D347" i="85" s="1"/>
  <c r="D349" i="85"/>
  <c r="C348" i="85"/>
  <c r="C350" i="85" s="1"/>
  <c r="E28" i="1"/>
  <c r="C343" i="85"/>
  <c r="C268" i="85"/>
  <c r="C255" i="85"/>
  <c r="C234" i="85"/>
  <c r="C205" i="85"/>
  <c r="E189" i="85"/>
  <c r="C189" i="85"/>
  <c r="G31" i="68" l="1"/>
  <c r="E10" i="1"/>
  <c r="EI100" i="84" l="1"/>
  <c r="ED92" i="84"/>
  <c r="N90" i="84"/>
  <c r="L90" i="84"/>
  <c r="I90" i="84"/>
  <c r="G90" i="84"/>
  <c r="N89" i="84"/>
  <c r="L89" i="84"/>
  <c r="I89" i="84"/>
  <c r="G89" i="84"/>
  <c r="N88" i="84"/>
  <c r="L88" i="84"/>
  <c r="I88" i="84"/>
  <c r="G88" i="84"/>
  <c r="N87" i="84"/>
  <c r="L87" i="84"/>
  <c r="I87" i="84"/>
  <c r="G87" i="84"/>
  <c r="N86" i="84"/>
  <c r="L86" i="84"/>
  <c r="I86" i="84"/>
  <c r="G86" i="84"/>
  <c r="N85" i="84"/>
  <c r="L85" i="84"/>
  <c r="I85" i="84"/>
  <c r="G85" i="84"/>
  <c r="N84" i="84"/>
  <c r="L84" i="84"/>
  <c r="I84" i="84"/>
  <c r="G84" i="84"/>
  <c r="N83" i="84"/>
  <c r="L83" i="84"/>
  <c r="I83" i="84"/>
  <c r="G83" i="84"/>
  <c r="N82" i="84"/>
  <c r="L82" i="84"/>
  <c r="I82" i="84"/>
  <c r="G82" i="84"/>
  <c r="N81" i="84"/>
  <c r="L81" i="84"/>
  <c r="I81" i="84"/>
  <c r="G81" i="84"/>
  <c r="N80" i="84"/>
  <c r="L80" i="84"/>
  <c r="I80" i="84"/>
  <c r="G80" i="84"/>
  <c r="N79" i="84"/>
  <c r="L79" i="84"/>
  <c r="I79" i="84"/>
  <c r="G79" i="84"/>
  <c r="N78" i="84"/>
  <c r="L78" i="84"/>
  <c r="I78" i="84"/>
  <c r="G78" i="84"/>
  <c r="N77" i="84"/>
  <c r="L77" i="84"/>
  <c r="I77" i="84"/>
  <c r="G77" i="84"/>
  <c r="N76" i="84"/>
  <c r="L76" i="84"/>
  <c r="I76" i="84"/>
  <c r="G76" i="84"/>
  <c r="N75" i="84"/>
  <c r="L75" i="84"/>
  <c r="I75" i="84"/>
  <c r="G75" i="84"/>
  <c r="N74" i="84"/>
  <c r="L74" i="84"/>
  <c r="I74" i="84"/>
  <c r="G74" i="84"/>
  <c r="N73" i="84"/>
  <c r="L73" i="84"/>
  <c r="I73" i="84"/>
  <c r="G73" i="84"/>
  <c r="N72" i="84"/>
  <c r="L72" i="84"/>
  <c r="I72" i="84"/>
  <c r="G72" i="84"/>
  <c r="N71" i="84"/>
  <c r="L71" i="84"/>
  <c r="I71" i="84"/>
  <c r="G71" i="84"/>
  <c r="N70" i="84"/>
  <c r="L70" i="84"/>
  <c r="I70" i="84"/>
  <c r="G70" i="84"/>
  <c r="N69" i="84"/>
  <c r="N91" i="84" s="1"/>
  <c r="L69" i="84"/>
  <c r="L91" i="84" s="1"/>
  <c r="I69" i="84"/>
  <c r="I91" i="84" s="1"/>
  <c r="G69" i="84"/>
  <c r="G91" i="84" s="1"/>
  <c r="H67" i="84"/>
  <c r="K66" i="84"/>
  <c r="K65" i="84"/>
  <c r="N64" i="84"/>
  <c r="M64" i="84"/>
  <c r="L64" i="84"/>
  <c r="I64" i="84"/>
  <c r="H64" i="84"/>
  <c r="G64" i="84"/>
  <c r="F64" i="84"/>
  <c r="K64" i="84" s="1"/>
  <c r="N63" i="84"/>
  <c r="M63" i="84"/>
  <c r="L63" i="84"/>
  <c r="I63" i="84"/>
  <c r="H63" i="84"/>
  <c r="G63" i="84"/>
  <c r="F63" i="84"/>
  <c r="K63" i="84" s="1"/>
  <c r="N62" i="84"/>
  <c r="M62" i="84"/>
  <c r="L62" i="84"/>
  <c r="I62" i="84"/>
  <c r="H62" i="84"/>
  <c r="G62" i="84"/>
  <c r="F62" i="84"/>
  <c r="K62" i="84" s="1"/>
  <c r="N61" i="84"/>
  <c r="M61" i="84"/>
  <c r="L61" i="84"/>
  <c r="I61" i="84"/>
  <c r="H61" i="84"/>
  <c r="G61" i="84"/>
  <c r="F61" i="84"/>
  <c r="K61" i="84" s="1"/>
  <c r="N60" i="84"/>
  <c r="M60" i="84"/>
  <c r="L60" i="84"/>
  <c r="I60" i="84"/>
  <c r="H60" i="84"/>
  <c r="G60" i="84"/>
  <c r="F60" i="84"/>
  <c r="K60" i="84" s="1"/>
  <c r="N59" i="84"/>
  <c r="M59" i="84"/>
  <c r="L59" i="84"/>
  <c r="I59" i="84"/>
  <c r="H59" i="84"/>
  <c r="G59" i="84"/>
  <c r="F59" i="84"/>
  <c r="K59" i="84" s="1"/>
  <c r="N58" i="84"/>
  <c r="M58" i="84"/>
  <c r="L58" i="84"/>
  <c r="I58" i="84"/>
  <c r="H58" i="84"/>
  <c r="G58" i="84"/>
  <c r="F58" i="84"/>
  <c r="K58" i="84" s="1"/>
  <c r="N57" i="84"/>
  <c r="M57" i="84"/>
  <c r="L57" i="84"/>
  <c r="I57" i="84"/>
  <c r="H57" i="84"/>
  <c r="G57" i="84"/>
  <c r="F57" i="84"/>
  <c r="K57" i="84" s="1"/>
  <c r="N56" i="84"/>
  <c r="M56" i="84"/>
  <c r="L56" i="84"/>
  <c r="I56" i="84"/>
  <c r="H56" i="84"/>
  <c r="G56" i="84"/>
  <c r="F56" i="84"/>
  <c r="K56" i="84" s="1"/>
  <c r="N55" i="84"/>
  <c r="M55" i="84"/>
  <c r="L55" i="84"/>
  <c r="I55" i="84"/>
  <c r="H55" i="84"/>
  <c r="G55" i="84"/>
  <c r="F55" i="84"/>
  <c r="K55" i="84" s="1"/>
  <c r="N54" i="84"/>
  <c r="M54" i="84"/>
  <c r="L54" i="84"/>
  <c r="I54" i="84"/>
  <c r="H54" i="84"/>
  <c r="G54" i="84"/>
  <c r="F54" i="84"/>
  <c r="K54" i="84" s="1"/>
  <c r="N53" i="84"/>
  <c r="M53" i="84"/>
  <c r="L53" i="84"/>
  <c r="I53" i="84"/>
  <c r="H53" i="84"/>
  <c r="G53" i="84"/>
  <c r="F53" i="84"/>
  <c r="K53" i="84" s="1"/>
  <c r="N52" i="84"/>
  <c r="M52" i="84"/>
  <c r="L52" i="84"/>
  <c r="I52" i="84"/>
  <c r="H52" i="84"/>
  <c r="G52" i="84"/>
  <c r="F52" i="84"/>
  <c r="K52" i="84" s="1"/>
  <c r="N51" i="84"/>
  <c r="M51" i="84"/>
  <c r="L51" i="84"/>
  <c r="I51" i="84"/>
  <c r="H51" i="84"/>
  <c r="G51" i="84"/>
  <c r="F51" i="84"/>
  <c r="K51" i="84" s="1"/>
  <c r="N50" i="84"/>
  <c r="M50" i="84"/>
  <c r="L50" i="84"/>
  <c r="K50" i="84"/>
  <c r="I50" i="84"/>
  <c r="H50" i="84"/>
  <c r="G50" i="84"/>
  <c r="F50" i="84"/>
  <c r="N49" i="84"/>
  <c r="M49" i="84"/>
  <c r="L49" i="84"/>
  <c r="K49" i="84"/>
  <c r="I49" i="84"/>
  <c r="H49" i="84"/>
  <c r="G49" i="84"/>
  <c r="F49" i="84"/>
  <c r="N48" i="84"/>
  <c r="M48" i="84"/>
  <c r="L48" i="84"/>
  <c r="L67" i="84" s="1"/>
  <c r="K48" i="84"/>
  <c r="I48" i="84"/>
  <c r="H48" i="84"/>
  <c r="G48" i="84"/>
  <c r="F48" i="84"/>
  <c r="EI47" i="84"/>
  <c r="N47" i="84"/>
  <c r="M47" i="84"/>
  <c r="L47" i="84"/>
  <c r="I47" i="84"/>
  <c r="H47" i="84"/>
  <c r="G47" i="84"/>
  <c r="F47" i="84"/>
  <c r="K47" i="84" s="1"/>
  <c r="N46" i="84"/>
  <c r="N67" i="84" s="1"/>
  <c r="M46" i="84"/>
  <c r="M67" i="84" s="1"/>
  <c r="L46" i="84"/>
  <c r="K46" i="84"/>
  <c r="I46" i="84"/>
  <c r="I67" i="84" s="1"/>
  <c r="H46" i="84"/>
  <c r="G46" i="84"/>
  <c r="G67" i="84" s="1"/>
  <c r="F46" i="84"/>
  <c r="ED45" i="84"/>
  <c r="AQ45" i="84"/>
  <c r="AR45" i="84" s="1"/>
  <c r="EW44" i="84"/>
  <c r="EW42" i="84" s="1"/>
  <c r="BC44" i="84"/>
  <c r="BM43" i="84"/>
  <c r="BM44" i="84" s="1"/>
  <c r="BL43" i="84"/>
  <c r="AS43" i="84"/>
  <c r="AQ43" i="84"/>
  <c r="AO43" i="84"/>
  <c r="AM43" i="84"/>
  <c r="AL43" i="84"/>
  <c r="CL42" i="84"/>
  <c r="AS42" i="84"/>
  <c r="Y42" i="84"/>
  <c r="DO41" i="84"/>
  <c r="CH41" i="84"/>
  <c r="BP40" i="84"/>
  <c r="BG40" i="84"/>
  <c r="AA40" i="84"/>
  <c r="FF39" i="84"/>
  <c r="FE39" i="84"/>
  <c r="DX39" i="84"/>
  <c r="CU39" i="84"/>
  <c r="AX39" i="84"/>
  <c r="FF38" i="84"/>
  <c r="FE38" i="84"/>
  <c r="FD38" i="84"/>
  <c r="FD39" i="84" s="1"/>
  <c r="EM38" i="84"/>
  <c r="EL38" i="84"/>
  <c r="EK38" i="84"/>
  <c r="EH38" i="84"/>
  <c r="EG38" i="84"/>
  <c r="EF38" i="84"/>
  <c r="EE38" i="84"/>
  <c r="EE40" i="84" s="1"/>
  <c r="ED38" i="84"/>
  <c r="DX38" i="84"/>
  <c r="DW38" i="84"/>
  <c r="DW39" i="84" s="1"/>
  <c r="DV38" i="84"/>
  <c r="DU38" i="84"/>
  <c r="DU39" i="84" s="1"/>
  <c r="DR38" i="84"/>
  <c r="DQ38" i="84"/>
  <c r="DP38" i="84"/>
  <c r="DO38" i="84"/>
  <c r="DN38" i="84"/>
  <c r="DM38" i="84"/>
  <c r="DK38" i="84"/>
  <c r="DJ38" i="84"/>
  <c r="DI38" i="84"/>
  <c r="DH38" i="84"/>
  <c r="DG38" i="84"/>
  <c r="AG40" i="84" s="1"/>
  <c r="DF38" i="84"/>
  <c r="DE38" i="84"/>
  <c r="DD38" i="84"/>
  <c r="DB38" i="84"/>
  <c r="DA38" i="84"/>
  <c r="CZ38" i="84"/>
  <c r="CZ45" i="84" s="1"/>
  <c r="CX38" i="84"/>
  <c r="CW38" i="84"/>
  <c r="CV38" i="84"/>
  <c r="CU38" i="84"/>
  <c r="CT38" i="84"/>
  <c r="CS38" i="84"/>
  <c r="CR38" i="84"/>
  <c r="CQ38" i="84"/>
  <c r="CQ40" i="84" s="1"/>
  <c r="CO38" i="84"/>
  <c r="CO40" i="84" s="1"/>
  <c r="CN38" i="84"/>
  <c r="CN39" i="84" s="1"/>
  <c r="CM38" i="84"/>
  <c r="CL38" i="84"/>
  <c r="CK38" i="84"/>
  <c r="CK42" i="84" s="1"/>
  <c r="CJ38" i="84"/>
  <c r="CJ41" i="84" s="1"/>
  <c r="CI38" i="84"/>
  <c r="CH38" i="84"/>
  <c r="CF38" i="84"/>
  <c r="CE38" i="84"/>
  <c r="CD38" i="84"/>
  <c r="CC38" i="84"/>
  <c r="CA38" i="84"/>
  <c r="BZ38" i="84"/>
  <c r="BY38" i="84"/>
  <c r="BX38" i="84"/>
  <c r="BV38" i="84"/>
  <c r="CX37" i="84" s="1"/>
  <c r="BT38" i="84"/>
  <c r="BS38" i="84"/>
  <c r="BQ38" i="84"/>
  <c r="CX34" i="84" s="1"/>
  <c r="BP38" i="84"/>
  <c r="DV41" i="84" s="1"/>
  <c r="BO38" i="84"/>
  <c r="BO39" i="84" s="1"/>
  <c r="BN38" i="84"/>
  <c r="BM38" i="84"/>
  <c r="BK38" i="84"/>
  <c r="BJ38" i="84"/>
  <c r="BJ39" i="84" s="1"/>
  <c r="BI38" i="84"/>
  <c r="BH38" i="84"/>
  <c r="BG38" i="84"/>
  <c r="BE38" i="84"/>
  <c r="BE40" i="84" s="1"/>
  <c r="BD38" i="84"/>
  <c r="BC38" i="84"/>
  <c r="BC39" i="84" s="1"/>
  <c r="BB38" i="84"/>
  <c r="BA38" i="84"/>
  <c r="AZ38" i="84"/>
  <c r="AY38" i="84"/>
  <c r="AX38" i="84"/>
  <c r="AW38" i="84"/>
  <c r="AV38" i="84"/>
  <c r="AT38" i="84"/>
  <c r="AS38" i="84"/>
  <c r="AS39" i="84" s="1"/>
  <c r="AR38" i="84"/>
  <c r="AR40" i="84" s="1"/>
  <c r="AQ38" i="84"/>
  <c r="AQ40" i="84" s="1"/>
  <c r="AO38" i="84"/>
  <c r="AO40" i="84" s="1"/>
  <c r="AM38" i="84"/>
  <c r="AL38" i="84"/>
  <c r="AE40" i="84" s="1"/>
  <c r="AE42" i="84" s="1"/>
  <c r="AK38" i="84"/>
  <c r="AJ38" i="84"/>
  <c r="AH38" i="84"/>
  <c r="AH43" i="84" s="1"/>
  <c r="AF38" i="84"/>
  <c r="AF40" i="84" s="1"/>
  <c r="AF41" i="84" s="1"/>
  <c r="AE38" i="84"/>
  <c r="AD38" i="84"/>
  <c r="AD40" i="84" s="1"/>
  <c r="AC38" i="84"/>
  <c r="AC41" i="84" s="1"/>
  <c r="AA38" i="84"/>
  <c r="AA41" i="84" s="1"/>
  <c r="Z38" i="84"/>
  <c r="Y38" i="84"/>
  <c r="Y40" i="84" s="1"/>
  <c r="Y43" i="84" s="1"/>
  <c r="X38" i="84"/>
  <c r="W38" i="84"/>
  <c r="U38" i="84"/>
  <c r="T38" i="84"/>
  <c r="S38" i="84"/>
  <c r="S43" i="84" s="1"/>
  <c r="R38" i="84"/>
  <c r="Q38" i="84"/>
  <c r="P38" i="84"/>
  <c r="O38" i="84"/>
  <c r="K38" i="84"/>
  <c r="D38" i="84"/>
  <c r="C38" i="84"/>
  <c r="B38" i="84"/>
  <c r="EM37" i="84"/>
  <c r="EJ37" i="84"/>
  <c r="EI37" i="84"/>
  <c r="ED37" i="84"/>
  <c r="ED42" i="84" s="1"/>
  <c r="CZ37" i="84"/>
  <c r="EJ36" i="84"/>
  <c r="BJ36" i="84"/>
  <c r="EI35" i="84" s="1"/>
  <c r="BU35" i="84"/>
  <c r="BU38" i="84" s="1"/>
  <c r="ED34" i="84" s="1"/>
  <c r="BI35" i="84"/>
  <c r="AM35" i="84"/>
  <c r="EN34" i="84"/>
  <c r="EM34" i="84"/>
  <c r="EL34" i="84"/>
  <c r="EJ34" i="84"/>
  <c r="EI34" i="84"/>
  <c r="CZ34" i="84"/>
  <c r="FC30" i="84"/>
  <c r="FB30" i="84"/>
  <c r="FA30" i="84"/>
  <c r="EZ30" i="84"/>
  <c r="EX30" i="84"/>
  <c r="EW30" i="84"/>
  <c r="EU30" i="84"/>
  <c r="EY30" i="84" s="1"/>
  <c r="ES30" i="84"/>
  <c r="ER30" i="84"/>
  <c r="EN30" i="84"/>
  <c r="EV30" i="84" s="1"/>
  <c r="EJ30" i="84"/>
  <c r="EC30" i="84"/>
  <c r="EB30" i="84"/>
  <c r="EA30" i="84"/>
  <c r="DZ30" i="84"/>
  <c r="DY30" i="84"/>
  <c r="DU30" i="84"/>
  <c r="DS30" i="84"/>
  <c r="BU30" i="84"/>
  <c r="EI30" i="84" s="1"/>
  <c r="FB29" i="84"/>
  <c r="FA29" i="84"/>
  <c r="EZ29" i="84"/>
  <c r="EY29" i="84"/>
  <c r="EX29" i="84"/>
  <c r="EW29" i="84"/>
  <c r="EU29" i="84"/>
  <c r="ES29" i="84"/>
  <c r="ER29" i="84"/>
  <c r="EV29" i="84" s="1"/>
  <c r="EN29" i="84"/>
  <c r="EJ29" i="84"/>
  <c r="EC29" i="84"/>
  <c r="EA29" i="84"/>
  <c r="DY29" i="84"/>
  <c r="DU29" i="84"/>
  <c r="DT29" i="84"/>
  <c r="EB29" i="84" s="1"/>
  <c r="DS29" i="84"/>
  <c r="BU29" i="84"/>
  <c r="EI29" i="84" s="1"/>
  <c r="EJ28" i="84"/>
  <c r="EI28" i="84"/>
  <c r="EC28" i="84"/>
  <c r="EB28" i="84"/>
  <c r="EA28" i="84"/>
  <c r="DZ28" i="84"/>
  <c r="FB27" i="84"/>
  <c r="FA27" i="84"/>
  <c r="EZ27" i="84"/>
  <c r="EX27" i="84"/>
  <c r="EV27" i="84"/>
  <c r="EU27" i="84"/>
  <c r="EY27" i="84" s="1"/>
  <c r="ES27" i="84"/>
  <c r="EW27" i="84" s="1"/>
  <c r="ER27" i="84"/>
  <c r="EN27" i="84"/>
  <c r="EJ27" i="84"/>
  <c r="EC27" i="84"/>
  <c r="EB27" i="84"/>
  <c r="EA27" i="84"/>
  <c r="DZ27" i="84"/>
  <c r="DU27" i="84"/>
  <c r="DS27" i="84"/>
  <c r="DY27" i="84" s="1"/>
  <c r="BU27" i="84"/>
  <c r="EI27" i="84" s="1"/>
  <c r="FB26" i="84"/>
  <c r="FA26" i="84"/>
  <c r="EZ26" i="84"/>
  <c r="EY26" i="84"/>
  <c r="EX26" i="84"/>
  <c r="EV26" i="84"/>
  <c r="EI26" i="84" s="1"/>
  <c r="EU26" i="84"/>
  <c r="ES26" i="84"/>
  <c r="EW26" i="84" s="1"/>
  <c r="ER26" i="84"/>
  <c r="EN26" i="84"/>
  <c r="EJ26" i="84"/>
  <c r="EC26" i="84"/>
  <c r="EB26" i="84"/>
  <c r="DZ26" i="84"/>
  <c r="DY26" i="84"/>
  <c r="DU26" i="84"/>
  <c r="DT26" i="84"/>
  <c r="DS26" i="84"/>
  <c r="EA26" i="84" s="1"/>
  <c r="BU26" i="84"/>
  <c r="FC26" i="84" s="1"/>
  <c r="FC25" i="84"/>
  <c r="FB25" i="84"/>
  <c r="FA25" i="84"/>
  <c r="EZ25" i="84"/>
  <c r="EX25" i="84"/>
  <c r="EW25" i="84"/>
  <c r="EU25" i="84"/>
  <c r="EY25" i="84" s="1"/>
  <c r="ES25" i="84"/>
  <c r="ER25" i="84"/>
  <c r="EN25" i="84"/>
  <c r="EV25" i="84" s="1"/>
  <c r="EJ25" i="84"/>
  <c r="EC25" i="84"/>
  <c r="EB25" i="84"/>
  <c r="EA25" i="84"/>
  <c r="DZ25" i="84"/>
  <c r="DY25" i="84"/>
  <c r="DU25" i="84"/>
  <c r="DS25" i="84"/>
  <c r="BU25" i="84"/>
  <c r="FB24" i="84"/>
  <c r="FA24" i="84"/>
  <c r="EZ24" i="84"/>
  <c r="EY24" i="84"/>
  <c r="EX24" i="84"/>
  <c r="EU24" i="84"/>
  <c r="ES24" i="84"/>
  <c r="EW24" i="84" s="1"/>
  <c r="ER24" i="84"/>
  <c r="EV24" i="84" s="1"/>
  <c r="EN24" i="84"/>
  <c r="EJ24" i="84"/>
  <c r="EC24" i="84"/>
  <c r="EB24" i="84"/>
  <c r="DZ24" i="84"/>
  <c r="DU24" i="84"/>
  <c r="DS24" i="84"/>
  <c r="DY24" i="84" s="1"/>
  <c r="BU24" i="84"/>
  <c r="EI24" i="84" s="1"/>
  <c r="FC23" i="84"/>
  <c r="FB23" i="84"/>
  <c r="FA23" i="84"/>
  <c r="EZ23" i="84"/>
  <c r="EZ38" i="84" s="1"/>
  <c r="EY23" i="84"/>
  <c r="EX23" i="84"/>
  <c r="EW23" i="84"/>
  <c r="EU23" i="84"/>
  <c r="ES23" i="84"/>
  <c r="ER23" i="84"/>
  <c r="EN23" i="84"/>
  <c r="EV23" i="84" s="1"/>
  <c r="EJ23" i="84"/>
  <c r="EC23" i="84"/>
  <c r="EB23" i="84"/>
  <c r="DZ23" i="84"/>
  <c r="DU23" i="84"/>
  <c r="DS23" i="84"/>
  <c r="EA23" i="84" s="1"/>
  <c r="BU23" i="84"/>
  <c r="EI23" i="84" s="1"/>
  <c r="FC22" i="84"/>
  <c r="FB22" i="84"/>
  <c r="FB38" i="84" s="1"/>
  <c r="FA22" i="84"/>
  <c r="FA38" i="84" s="1"/>
  <c r="EZ22" i="84"/>
  <c r="EX22" i="84"/>
  <c r="EX38" i="84" s="1"/>
  <c r="EW22" i="84"/>
  <c r="EU22" i="84"/>
  <c r="EY22" i="84" s="1"/>
  <c r="ES22" i="84"/>
  <c r="ER22" i="84"/>
  <c r="EN22" i="84"/>
  <c r="EV22" i="84" s="1"/>
  <c r="EJ22" i="84"/>
  <c r="EJ38" i="84" s="1"/>
  <c r="EC22" i="84"/>
  <c r="EC38" i="84" s="1"/>
  <c r="EA22" i="84"/>
  <c r="DZ22" i="84"/>
  <c r="DY22" i="84"/>
  <c r="DU22" i="84"/>
  <c r="DT22" i="84"/>
  <c r="EB22" i="84" s="1"/>
  <c r="EB38" i="84" s="1"/>
  <c r="DS22" i="84"/>
  <c r="DS38" i="84" s="1"/>
  <c r="BU22" i="84"/>
  <c r="EI22" i="84" s="1"/>
  <c r="EW40" i="84" l="1"/>
  <c r="EY38" i="84"/>
  <c r="EW38" i="84"/>
  <c r="EI25" i="84"/>
  <c r="EI38" i="84" s="1"/>
  <c r="ED40" i="84"/>
  <c r="ED41" i="84" s="1"/>
  <c r="ED93" i="84" s="1"/>
  <c r="ED43" i="84"/>
  <c r="ED94" i="84"/>
  <c r="EV38" i="84"/>
  <c r="EV39" i="84" s="1"/>
  <c r="EA38" i="84"/>
  <c r="FC38" i="84"/>
  <c r="CX42" i="84"/>
  <c r="DZ29" i="84"/>
  <c r="DZ38" i="84" s="1"/>
  <c r="EU38" i="84"/>
  <c r="EU39" i="84" s="1"/>
  <c r="AC40" i="84"/>
  <c r="AS40" i="84"/>
  <c r="AS41" i="84" s="1"/>
  <c r="DY23" i="84"/>
  <c r="DY38" i="84" s="1"/>
  <c r="EA24" i="84"/>
  <c r="FC24" i="84"/>
  <c r="FC29" i="84"/>
  <c r="AY45" i="84"/>
  <c r="CX40" i="84"/>
  <c r="BA45" i="84"/>
  <c r="BC40" i="84"/>
  <c r="CZ40" i="84"/>
  <c r="CZ42" i="84"/>
  <c r="BC45" i="84"/>
  <c r="FC27" i="84"/>
  <c r="DT38" i="84"/>
  <c r="DT41" i="84" s="1"/>
  <c r="BI40" i="84"/>
  <c r="BI41" i="84" s="1"/>
  <c r="DU41" i="84" s="1"/>
  <c r="EI40" i="84" l="1"/>
  <c r="EJ40" i="84"/>
  <c r="DY39" i="84"/>
  <c r="DY41" i="84" s="1"/>
  <c r="DW43" i="84"/>
  <c r="DZ39" i="84"/>
  <c r="DZ41" i="84" s="1"/>
  <c r="DX43" i="84"/>
  <c r="BD42" i="84"/>
  <c r="BB100" i="84" s="1"/>
  <c r="BA100" i="84" s="1"/>
  <c r="BC41" i="84"/>
  <c r="BC42" i="84" s="1"/>
  <c r="BA40" i="84"/>
  <c r="BA42" i="84" s="1"/>
  <c r="AY40" i="84"/>
  <c r="AY42" i="84" s="1"/>
  <c r="EI46" i="84"/>
  <c r="EI48" i="84" s="1"/>
  <c r="EI99" i="84"/>
  <c r="EI101" i="84" s="1"/>
  <c r="EI44" i="84" l="1"/>
  <c r="EW39" i="84"/>
  <c r="EW41" i="84" s="1"/>
  <c r="EI93" i="84"/>
  <c r="EI103" i="84" l="1"/>
  <c r="EI50" i="84"/>
  <c r="G106" i="68" l="1"/>
  <c r="F58" i="68"/>
  <c r="G13" i="46"/>
  <c r="E3" i="1" l="1"/>
  <c r="H566" i="82" l="1"/>
  <c r="H562" i="82"/>
  <c r="B28" i="82"/>
  <c r="AE66" i="78" l="1"/>
  <c r="AD66" i="78"/>
  <c r="AC66" i="78"/>
  <c r="AB66" i="78"/>
  <c r="AA66" i="78"/>
  <c r="Z66" i="78"/>
  <c r="Y66" i="78"/>
  <c r="X66" i="78"/>
  <c r="W66" i="78"/>
  <c r="V66" i="78"/>
  <c r="U66" i="78"/>
  <c r="T66" i="78"/>
  <c r="S66" i="78"/>
  <c r="R66" i="78"/>
  <c r="Q66" i="78"/>
  <c r="P66" i="78"/>
  <c r="O66" i="78"/>
  <c r="N66" i="78"/>
  <c r="M66" i="78"/>
  <c r="L66" i="78"/>
  <c r="K66" i="78"/>
  <c r="F60" i="78"/>
  <c r="G60" i="78"/>
  <c r="H60" i="78"/>
  <c r="I60" i="78"/>
  <c r="J60" i="78"/>
  <c r="K60" i="78"/>
  <c r="L60" i="78"/>
  <c r="M60" i="78"/>
  <c r="N60" i="78"/>
  <c r="O60" i="78"/>
  <c r="P60" i="78"/>
  <c r="Q60" i="78"/>
  <c r="R60" i="78"/>
  <c r="S60" i="78"/>
  <c r="T60" i="78"/>
  <c r="U60" i="78"/>
  <c r="V60" i="78"/>
  <c r="W60" i="78"/>
  <c r="X60" i="78"/>
  <c r="Y60" i="78"/>
  <c r="Z60" i="78"/>
  <c r="AA60" i="78"/>
  <c r="AB60" i="78"/>
  <c r="AC60" i="78"/>
  <c r="AD60" i="78"/>
  <c r="AE60" i="78"/>
  <c r="E60" i="78"/>
  <c r="E59" i="78"/>
  <c r="AE57" i="78"/>
  <c r="AC57" i="78"/>
  <c r="AA57" i="78"/>
  <c r="Y57" i="78"/>
  <c r="W57" i="78"/>
  <c r="U57" i="78"/>
  <c r="S57" i="78"/>
  <c r="Q57" i="78"/>
  <c r="G59" i="78" s="1"/>
  <c r="O57" i="78"/>
  <c r="M57" i="78"/>
  <c r="K57" i="78"/>
  <c r="K59" i="78" s="1"/>
  <c r="I57" i="78"/>
  <c r="G57" i="78"/>
  <c r="E57" i="78"/>
  <c r="AE53" i="78"/>
  <c r="AD53" i="78"/>
  <c r="AC53" i="78"/>
  <c r="AB53" i="78"/>
  <c r="AA53" i="78"/>
  <c r="Z53" i="78"/>
  <c r="Y53" i="78"/>
  <c r="X53" i="78"/>
  <c r="W53" i="78"/>
  <c r="V53" i="78"/>
  <c r="U53" i="78"/>
  <c r="T53" i="78"/>
  <c r="S53" i="78"/>
  <c r="R53" i="78"/>
  <c r="Q53" i="78"/>
  <c r="P53" i="78"/>
  <c r="O53" i="78"/>
  <c r="N53" i="78"/>
  <c r="M53" i="78"/>
  <c r="L53" i="78"/>
  <c r="K53" i="78"/>
  <c r="J53" i="78"/>
  <c r="I53" i="78"/>
  <c r="H53" i="78"/>
  <c r="G53" i="78"/>
  <c r="F53" i="78"/>
  <c r="E53" i="78"/>
  <c r="D53" i="78"/>
  <c r="AI52" i="78"/>
  <c r="AH52" i="78"/>
  <c r="AG51" i="78"/>
  <c r="AI51" i="78" s="1"/>
  <c r="AF51" i="78"/>
  <c r="AH51" i="78" s="1"/>
  <c r="AI50" i="78"/>
  <c r="AH50" i="78"/>
  <c r="AI49" i="78"/>
  <c r="AH49" i="78"/>
  <c r="AG48" i="78"/>
  <c r="AG53" i="78" s="1"/>
  <c r="AF48" i="78"/>
  <c r="AF53" i="78" s="1"/>
  <c r="AI47" i="78"/>
  <c r="AH47" i="78"/>
  <c r="AE43" i="78"/>
  <c r="AD43" i="78"/>
  <c r="AC43" i="78"/>
  <c r="AB43" i="78"/>
  <c r="AA43" i="78"/>
  <c r="Z43" i="78"/>
  <c r="Y43" i="78"/>
  <c r="X43" i="78"/>
  <c r="W43" i="78"/>
  <c r="V43" i="78"/>
  <c r="U43" i="78"/>
  <c r="T43" i="78"/>
  <c r="S43" i="78"/>
  <c r="R43" i="78"/>
  <c r="Q43" i="78"/>
  <c r="P43" i="78"/>
  <c r="O43" i="78"/>
  <c r="N43" i="78"/>
  <c r="M43" i="78"/>
  <c r="L43" i="78"/>
  <c r="K43" i="78"/>
  <c r="J43" i="78"/>
  <c r="I43" i="78"/>
  <c r="H43" i="78"/>
  <c r="G43" i="78"/>
  <c r="F43" i="78"/>
  <c r="E43" i="78"/>
  <c r="D43" i="78"/>
  <c r="AI42" i="78"/>
  <c r="AH42" i="78"/>
  <c r="AG41" i="78"/>
  <c r="AI41" i="78" s="1"/>
  <c r="AF41" i="78"/>
  <c r="AH41" i="78" s="1"/>
  <c r="AG40" i="78"/>
  <c r="AI40" i="78" s="1"/>
  <c r="AF40" i="78"/>
  <c r="AH40" i="78" s="1"/>
  <c r="AI39" i="78"/>
  <c r="AH39" i="78"/>
  <c r="AH38" i="78"/>
  <c r="AG38" i="78"/>
  <c r="AI38" i="78" s="1"/>
  <c r="AF38" i="78"/>
  <c r="AH37" i="78"/>
  <c r="AG37" i="78"/>
  <c r="AF37" i="78"/>
  <c r="N34" i="78"/>
  <c r="L34" i="78"/>
  <c r="AE33" i="78"/>
  <c r="AD33" i="78"/>
  <c r="AC33" i="78"/>
  <c r="AB33" i="78"/>
  <c r="AA33" i="78"/>
  <c r="Z33" i="78"/>
  <c r="Y33" i="78"/>
  <c r="X33" i="78"/>
  <c r="W33" i="78"/>
  <c r="V33" i="78"/>
  <c r="U33" i="78"/>
  <c r="T33" i="78"/>
  <c r="S33" i="78"/>
  <c r="R33" i="78"/>
  <c r="Q33" i="78"/>
  <c r="P34" i="78" s="1"/>
  <c r="P33" i="78"/>
  <c r="O33" i="78"/>
  <c r="N33" i="78"/>
  <c r="M33" i="78"/>
  <c r="L33" i="78"/>
  <c r="K33" i="78"/>
  <c r="J34" i="78" s="1"/>
  <c r="J33" i="78"/>
  <c r="I33" i="78"/>
  <c r="H34" i="78" s="1"/>
  <c r="H33" i="78"/>
  <c r="G33" i="78"/>
  <c r="F34" i="78" s="1"/>
  <c r="F33" i="78"/>
  <c r="E33" i="78"/>
  <c r="D34" i="78" s="1"/>
  <c r="D33" i="78"/>
  <c r="AI32" i="78"/>
  <c r="AH32" i="78"/>
  <c r="AI31" i="78"/>
  <c r="AH31" i="78"/>
  <c r="AG31" i="78"/>
  <c r="AF31" i="78"/>
  <c r="AG30" i="78"/>
  <c r="AI30" i="78" s="1"/>
  <c r="AF30" i="78"/>
  <c r="AH30" i="78" s="1"/>
  <c r="AI29" i="78"/>
  <c r="AH29" i="78"/>
  <c r="AH28" i="78"/>
  <c r="AG28" i="78"/>
  <c r="AI28" i="78" s="1"/>
  <c r="AF28" i="78"/>
  <c r="AG27" i="78"/>
  <c r="AI27" i="78" s="1"/>
  <c r="AF27" i="78"/>
  <c r="AF33" i="78" s="1"/>
  <c r="F23" i="78"/>
  <c r="D23" i="78"/>
  <c r="AE22" i="78"/>
  <c r="AD22" i="78"/>
  <c r="AC22" i="78"/>
  <c r="AB22" i="78"/>
  <c r="AA22" i="78"/>
  <c r="Z22" i="78"/>
  <c r="Y22" i="78"/>
  <c r="X22" i="78"/>
  <c r="W22" i="78"/>
  <c r="V22" i="78"/>
  <c r="U22" i="78"/>
  <c r="T22" i="78"/>
  <c r="S22" i="78"/>
  <c r="R22" i="78"/>
  <c r="Q22" i="78"/>
  <c r="P23" i="78" s="1"/>
  <c r="P22" i="78"/>
  <c r="O22" i="78"/>
  <c r="N23" i="78" s="1"/>
  <c r="N22" i="78"/>
  <c r="M22" i="78"/>
  <c r="L23" i="78" s="1"/>
  <c r="L22" i="78"/>
  <c r="K22" i="78"/>
  <c r="J23" i="78" s="1"/>
  <c r="J22" i="78"/>
  <c r="AH22" i="78" s="1"/>
  <c r="I22" i="78"/>
  <c r="H23" i="78" s="1"/>
  <c r="H22" i="78"/>
  <c r="G22" i="78"/>
  <c r="F22" i="78"/>
  <c r="E22" i="78"/>
  <c r="D22" i="78"/>
  <c r="AI21" i="78"/>
  <c r="AH21" i="78"/>
  <c r="AI20" i="78"/>
  <c r="AG20" i="78"/>
  <c r="AF20" i="78"/>
  <c r="AH20" i="78" s="1"/>
  <c r="AH19" i="78"/>
  <c r="AG19" i="78"/>
  <c r="AI19" i="78" s="1"/>
  <c r="AF19" i="78"/>
  <c r="AI18" i="78"/>
  <c r="AH18" i="78"/>
  <c r="AG17" i="78"/>
  <c r="AI17" i="78" s="1"/>
  <c r="AF17" i="78"/>
  <c r="AH17" i="78" s="1"/>
  <c r="AH16" i="78"/>
  <c r="AG16" i="78"/>
  <c r="AG22" i="78" s="1"/>
  <c r="AF16" i="78"/>
  <c r="AF22" i="78" s="1"/>
  <c r="N13" i="78"/>
  <c r="L13" i="78"/>
  <c r="AE12" i="78"/>
  <c r="AD12" i="78"/>
  <c r="AC12" i="78"/>
  <c r="AB12" i="78"/>
  <c r="AA12" i="78"/>
  <c r="Z12" i="78"/>
  <c r="Y12" i="78"/>
  <c r="X12" i="78"/>
  <c r="W12" i="78"/>
  <c r="V12" i="78"/>
  <c r="U12" i="78"/>
  <c r="T12" i="78"/>
  <c r="S12" i="78"/>
  <c r="R13" i="78" s="1"/>
  <c r="R12" i="78"/>
  <c r="Q12" i="78"/>
  <c r="P13" i="78" s="1"/>
  <c r="P12" i="78"/>
  <c r="O12" i="78"/>
  <c r="N12" i="78"/>
  <c r="M12" i="78"/>
  <c r="L12" i="78"/>
  <c r="K12" i="78"/>
  <c r="AI12" i="78" s="1"/>
  <c r="J12" i="78"/>
  <c r="I12" i="78"/>
  <c r="H12" i="78"/>
  <c r="G12" i="78"/>
  <c r="F12" i="78"/>
  <c r="E12" i="78"/>
  <c r="D12" i="78"/>
  <c r="AI11" i="78"/>
  <c r="AH11" i="78"/>
  <c r="AG10" i="78"/>
  <c r="AI10" i="78" s="1"/>
  <c r="AF10" i="78"/>
  <c r="AH10" i="78" s="1"/>
  <c r="AG9" i="78"/>
  <c r="AI9" i="78" s="1"/>
  <c r="AF9" i="78"/>
  <c r="AH9" i="78" s="1"/>
  <c r="AI8" i="78"/>
  <c r="AH8" i="78"/>
  <c r="AG7" i="78"/>
  <c r="AI7" i="78" s="1"/>
  <c r="AF7" i="78"/>
  <c r="AH7" i="78" s="1"/>
  <c r="AI6" i="78"/>
  <c r="AG6" i="78"/>
  <c r="AG12" i="78" s="1"/>
  <c r="AF6" i="78"/>
  <c r="AF12" i="78" s="1"/>
  <c r="AH43" i="78" l="1"/>
  <c r="AI16" i="78"/>
  <c r="AF43" i="78"/>
  <c r="AH6" i="78"/>
  <c r="AG43" i="78"/>
  <c r="AI37" i="78"/>
  <c r="AG60" i="78"/>
  <c r="AG66" i="78" s="1"/>
  <c r="AI43" i="78"/>
  <c r="AF60" i="78"/>
  <c r="AH12" i="78"/>
  <c r="AH33" i="78"/>
  <c r="AI53" i="78"/>
  <c r="AH53" i="78"/>
  <c r="AI22" i="78"/>
  <c r="AG33" i="78"/>
  <c r="AI33" i="78" s="1"/>
  <c r="I59" i="78"/>
  <c r="AH48" i="78"/>
  <c r="AI48" i="78"/>
  <c r="AJ53" i="78" s="1"/>
  <c r="AH27" i="78"/>
  <c r="G118" i="68" l="1"/>
  <c r="G84" i="68" l="1"/>
  <c r="L66" i="72"/>
  <c r="M66" i="72"/>
  <c r="N66" i="72"/>
  <c r="O66" i="72"/>
  <c r="P66" i="72"/>
  <c r="Q66" i="72"/>
  <c r="R66" i="72"/>
  <c r="S66" i="72"/>
  <c r="T66" i="72"/>
  <c r="U66" i="72"/>
  <c r="V66" i="72"/>
  <c r="W66" i="72"/>
  <c r="X66" i="72"/>
  <c r="Y66" i="72"/>
  <c r="Z66" i="72"/>
  <c r="AA66" i="72"/>
  <c r="AB66" i="72"/>
  <c r="AC66" i="72"/>
  <c r="K66" i="72"/>
  <c r="AC60" i="72"/>
  <c r="F60" i="72"/>
  <c r="G60" i="72"/>
  <c r="H60" i="72"/>
  <c r="I60" i="72"/>
  <c r="J60" i="72"/>
  <c r="K60" i="72"/>
  <c r="L60" i="72"/>
  <c r="M60" i="72"/>
  <c r="N60" i="72"/>
  <c r="O60" i="72"/>
  <c r="P60" i="72"/>
  <c r="Q60" i="72"/>
  <c r="R60" i="72"/>
  <c r="S60" i="72"/>
  <c r="T60" i="72"/>
  <c r="U60" i="72"/>
  <c r="V60" i="72"/>
  <c r="W60" i="72"/>
  <c r="X60" i="72"/>
  <c r="Y60" i="72"/>
  <c r="Z60" i="72"/>
  <c r="AA60" i="72"/>
  <c r="AB60" i="72"/>
  <c r="E60" i="72"/>
  <c r="E59" i="72"/>
  <c r="Y57" i="72"/>
  <c r="W57" i="72"/>
  <c r="U57" i="72"/>
  <c r="S57" i="72"/>
  <c r="Q57" i="72"/>
  <c r="I59" i="72" s="1"/>
  <c r="O57" i="72"/>
  <c r="M57" i="72"/>
  <c r="K57" i="72"/>
  <c r="K59" i="72" s="1"/>
  <c r="I57" i="72"/>
  <c r="G57" i="72"/>
  <c r="E57" i="72"/>
  <c r="AC53" i="72"/>
  <c r="AB53" i="72"/>
  <c r="AA53" i="72"/>
  <c r="Z53" i="72"/>
  <c r="Y53" i="72"/>
  <c r="X53" i="72"/>
  <c r="W53" i="72"/>
  <c r="V53" i="72"/>
  <c r="U53" i="72"/>
  <c r="T53" i="72"/>
  <c r="S53" i="72"/>
  <c r="R53" i="72"/>
  <c r="Q53" i="72"/>
  <c r="P53" i="72"/>
  <c r="O53" i="72"/>
  <c r="N53" i="72"/>
  <c r="M53" i="72"/>
  <c r="L53" i="72"/>
  <c r="K53" i="72"/>
  <c r="J53" i="72"/>
  <c r="I53" i="72"/>
  <c r="H53" i="72"/>
  <c r="G53" i="72"/>
  <c r="F53" i="72"/>
  <c r="E53" i="72"/>
  <c r="D53" i="72"/>
  <c r="AG52" i="72"/>
  <c r="AF52" i="72"/>
  <c r="AE51" i="72"/>
  <c r="AG51" i="72" s="1"/>
  <c r="AD51" i="72"/>
  <c r="AF51" i="72" s="1"/>
  <c r="AG50" i="72"/>
  <c r="AF50" i="72"/>
  <c r="AG49" i="72"/>
  <c r="AF49" i="72"/>
  <c r="AE48" i="72"/>
  <c r="AG48" i="72" s="1"/>
  <c r="AD48" i="72"/>
  <c r="AF48" i="72" s="1"/>
  <c r="AE47" i="72"/>
  <c r="AE53" i="72" s="1"/>
  <c r="AD47" i="72"/>
  <c r="AD53" i="72" s="1"/>
  <c r="AC43" i="72"/>
  <c r="AB43" i="72"/>
  <c r="AA43" i="72"/>
  <c r="Z43" i="72"/>
  <c r="Y43" i="72"/>
  <c r="X43" i="72"/>
  <c r="W43" i="72"/>
  <c r="V43" i="72"/>
  <c r="U43" i="72"/>
  <c r="T43" i="72"/>
  <c r="S43" i="72"/>
  <c r="R43" i="72"/>
  <c r="Q43" i="72"/>
  <c r="P43" i="72"/>
  <c r="O43" i="72"/>
  <c r="N43" i="72"/>
  <c r="M43" i="72"/>
  <c r="L43" i="72"/>
  <c r="K43" i="72"/>
  <c r="J43" i="72"/>
  <c r="I43" i="72"/>
  <c r="H43" i="72"/>
  <c r="G43" i="72"/>
  <c r="F43" i="72"/>
  <c r="E43" i="72"/>
  <c r="D43" i="72"/>
  <c r="AG42" i="72"/>
  <c r="AF42" i="72"/>
  <c r="AE41" i="72"/>
  <c r="AG41" i="72" s="1"/>
  <c r="AD41" i="72"/>
  <c r="AF41" i="72" s="1"/>
  <c r="AE40" i="72"/>
  <c r="AG40" i="72" s="1"/>
  <c r="AD40" i="72"/>
  <c r="AF40" i="72" s="1"/>
  <c r="AG39" i="72"/>
  <c r="AF39" i="72"/>
  <c r="AE38" i="72"/>
  <c r="AG38" i="72" s="1"/>
  <c r="AD38" i="72"/>
  <c r="AF38" i="72" s="1"/>
  <c r="AF37" i="72"/>
  <c r="AE37" i="72"/>
  <c r="AD37" i="72"/>
  <c r="P34" i="72"/>
  <c r="H34" i="72"/>
  <c r="F34" i="72"/>
  <c r="AC33" i="72"/>
  <c r="AB33" i="72"/>
  <c r="AA33" i="72"/>
  <c r="Z33" i="72"/>
  <c r="Y33" i="72"/>
  <c r="X33" i="72"/>
  <c r="W33" i="72"/>
  <c r="V33" i="72"/>
  <c r="U33" i="72"/>
  <c r="T33" i="72"/>
  <c r="S33" i="72"/>
  <c r="R33" i="72"/>
  <c r="Q33" i="72"/>
  <c r="P33" i="72"/>
  <c r="O33" i="72"/>
  <c r="N34" i="72" s="1"/>
  <c r="N33" i="72"/>
  <c r="M33" i="72"/>
  <c r="L34" i="72" s="1"/>
  <c r="L33" i="72"/>
  <c r="K33" i="72"/>
  <c r="J33" i="72"/>
  <c r="I33" i="72"/>
  <c r="H33" i="72"/>
  <c r="G33" i="72"/>
  <c r="F33" i="72"/>
  <c r="E33" i="72"/>
  <c r="D34" i="72" s="1"/>
  <c r="D33" i="72"/>
  <c r="AG32" i="72"/>
  <c r="AF32" i="72"/>
  <c r="AE31" i="72"/>
  <c r="AG31" i="72" s="1"/>
  <c r="AD31" i="72"/>
  <c r="AF31" i="72" s="1"/>
  <c r="AF30" i="72"/>
  <c r="AE30" i="72"/>
  <c r="AG30" i="72" s="1"/>
  <c r="AD30" i="72"/>
  <c r="AG29" i="72"/>
  <c r="AF29" i="72"/>
  <c r="AE28" i="72"/>
  <c r="AG28" i="72" s="1"/>
  <c r="AD28" i="72"/>
  <c r="AF28" i="72" s="1"/>
  <c r="AE27" i="72"/>
  <c r="AE33" i="72" s="1"/>
  <c r="AD27" i="72"/>
  <c r="H23" i="72"/>
  <c r="AC22" i="72"/>
  <c r="AB22" i="72"/>
  <c r="AA22" i="72"/>
  <c r="Z22" i="72"/>
  <c r="Y22" i="72"/>
  <c r="X22" i="72"/>
  <c r="W22" i="72"/>
  <c r="V22" i="72"/>
  <c r="U22" i="72"/>
  <c r="T22" i="72"/>
  <c r="S22" i="72"/>
  <c r="R22" i="72"/>
  <c r="Q22" i="72"/>
  <c r="P23" i="72" s="1"/>
  <c r="P22" i="72"/>
  <c r="O22" i="72"/>
  <c r="N23" i="72" s="1"/>
  <c r="N22" i="72"/>
  <c r="M22" i="72"/>
  <c r="L23" i="72" s="1"/>
  <c r="L22" i="72"/>
  <c r="K22" i="72"/>
  <c r="J22" i="72"/>
  <c r="I22" i="72"/>
  <c r="H22" i="72"/>
  <c r="G22" i="72"/>
  <c r="F23" i="72" s="1"/>
  <c r="F22" i="72"/>
  <c r="E22" i="72"/>
  <c r="D23" i="72" s="1"/>
  <c r="D22" i="72"/>
  <c r="AG21" i="72"/>
  <c r="AF21" i="72"/>
  <c r="AG20" i="72"/>
  <c r="AF20" i="72"/>
  <c r="AE20" i="72"/>
  <c r="AD20" i="72"/>
  <c r="AG19" i="72"/>
  <c r="AF19" i="72"/>
  <c r="AE19" i="72"/>
  <c r="AD19" i="72"/>
  <c r="AG18" i="72"/>
  <c r="AF18" i="72"/>
  <c r="AE17" i="72"/>
  <c r="AG17" i="72" s="1"/>
  <c r="AD17" i="72"/>
  <c r="AF17" i="72" s="1"/>
  <c r="AE16" i="72"/>
  <c r="AD16" i="72"/>
  <c r="AF16" i="72" s="1"/>
  <c r="L13" i="72"/>
  <c r="AC12" i="72"/>
  <c r="AB12" i="72"/>
  <c r="AA12" i="72"/>
  <c r="Z12" i="72"/>
  <c r="Y12" i="72"/>
  <c r="X12" i="72"/>
  <c r="W12" i="72"/>
  <c r="V12" i="72"/>
  <c r="U12" i="72"/>
  <c r="T12" i="72"/>
  <c r="S12" i="72"/>
  <c r="R13" i="72" s="1"/>
  <c r="R12" i="72"/>
  <c r="Q12" i="72"/>
  <c r="P13" i="72" s="1"/>
  <c r="P12" i="72"/>
  <c r="O12" i="72"/>
  <c r="N13" i="72" s="1"/>
  <c r="N12" i="72"/>
  <c r="M12" i="72"/>
  <c r="L12" i="72"/>
  <c r="K12" i="72"/>
  <c r="J12" i="72"/>
  <c r="I12" i="72"/>
  <c r="H12" i="72"/>
  <c r="G12" i="72"/>
  <c r="F12" i="72"/>
  <c r="E12" i="72"/>
  <c r="D12" i="72"/>
  <c r="AG11" i="72"/>
  <c r="AF11" i="72"/>
  <c r="AE10" i="72"/>
  <c r="AG10" i="72" s="1"/>
  <c r="AD10" i="72"/>
  <c r="AF10" i="72" s="1"/>
  <c r="AE9" i="72"/>
  <c r="AG9" i="72" s="1"/>
  <c r="AD9" i="72"/>
  <c r="AF9" i="72" s="1"/>
  <c r="AG8" i="72"/>
  <c r="AF8" i="72"/>
  <c r="AE7" i="72"/>
  <c r="AG7" i="72" s="1"/>
  <c r="AD7" i="72"/>
  <c r="AF7" i="72" s="1"/>
  <c r="AF6" i="72"/>
  <c r="AE6" i="72"/>
  <c r="AD6" i="72"/>
  <c r="AD12" i="72" s="1"/>
  <c r="AD33" i="72" l="1"/>
  <c r="AD60" i="72"/>
  <c r="AD66" i="72" s="1"/>
  <c r="AG27" i="72"/>
  <c r="AG43" i="72"/>
  <c r="AD43" i="72"/>
  <c r="AF43" i="72" s="1"/>
  <c r="AE60" i="72"/>
  <c r="AE66" i="72" s="1"/>
  <c r="AE43" i="72"/>
  <c r="AE12" i="72"/>
  <c r="AG12" i="72" s="1"/>
  <c r="AE22" i="72"/>
  <c r="AG37" i="72"/>
  <c r="AG22" i="72"/>
  <c r="AG33" i="72"/>
  <c r="AF33" i="72"/>
  <c r="AF53" i="72"/>
  <c r="AF12" i="72"/>
  <c r="AH53" i="72"/>
  <c r="AG53" i="72"/>
  <c r="AG16" i="72"/>
  <c r="AF27" i="72"/>
  <c r="AG6" i="72"/>
  <c r="J23" i="72"/>
  <c r="G59" i="72"/>
  <c r="AD22" i="72"/>
  <c r="AF22" i="72" s="1"/>
  <c r="J34" i="72"/>
  <c r="AF47" i="72"/>
  <c r="AG47" i="72"/>
  <c r="F113" i="68" l="1"/>
  <c r="E1792" i="67"/>
  <c r="H1787" i="67"/>
  <c r="F544" i="67"/>
  <c r="AC69" i="71" l="1"/>
  <c r="M66" i="71"/>
  <c r="O66" i="71"/>
  <c r="Q66" i="71"/>
  <c r="S66" i="71"/>
  <c r="U66" i="71"/>
  <c r="W66" i="71"/>
  <c r="Y66" i="71"/>
  <c r="AA66" i="71"/>
  <c r="K66" i="71"/>
  <c r="F60" i="71"/>
  <c r="G60" i="71"/>
  <c r="H60" i="71"/>
  <c r="I60" i="71"/>
  <c r="J60" i="71"/>
  <c r="K60" i="71"/>
  <c r="L60" i="71"/>
  <c r="M60" i="71"/>
  <c r="N60" i="71"/>
  <c r="O60" i="71"/>
  <c r="P60" i="71"/>
  <c r="Q60" i="71"/>
  <c r="R60" i="71"/>
  <c r="S60" i="71"/>
  <c r="T60" i="71"/>
  <c r="U60" i="71"/>
  <c r="V60" i="71"/>
  <c r="W60" i="71"/>
  <c r="X60" i="71"/>
  <c r="Y60" i="71"/>
  <c r="Z60" i="71"/>
  <c r="AA60" i="71"/>
  <c r="E60" i="71"/>
  <c r="AA57" i="71"/>
  <c r="Y57" i="71"/>
  <c r="W57" i="71"/>
  <c r="U57" i="71"/>
  <c r="S57" i="71"/>
  <c r="Q57" i="71"/>
  <c r="O57" i="71"/>
  <c r="M57" i="71"/>
  <c r="K57" i="71"/>
  <c r="K59" i="71" s="1"/>
  <c r="I57" i="71"/>
  <c r="I59" i="71" s="1"/>
  <c r="G57" i="71"/>
  <c r="E59" i="71" s="1"/>
  <c r="E57" i="71"/>
  <c r="AA53" i="71"/>
  <c r="Z53" i="71"/>
  <c r="Y53" i="71"/>
  <c r="X53" i="71"/>
  <c r="W53" i="71"/>
  <c r="V53" i="71"/>
  <c r="U53" i="71"/>
  <c r="T53" i="71"/>
  <c r="S53" i="71"/>
  <c r="R53" i="71"/>
  <c r="Q53" i="71"/>
  <c r="P53" i="71"/>
  <c r="O53" i="71"/>
  <c r="N53" i="71"/>
  <c r="M53" i="71"/>
  <c r="L53" i="71"/>
  <c r="K53" i="71"/>
  <c r="J53" i="71"/>
  <c r="I53" i="71"/>
  <c r="H53" i="71"/>
  <c r="G53" i="71"/>
  <c r="F53" i="71"/>
  <c r="E53" i="71"/>
  <c r="D53" i="71"/>
  <c r="AD51" i="71"/>
  <c r="AC51" i="71"/>
  <c r="AE51" i="71" s="1"/>
  <c r="AB51" i="71"/>
  <c r="AE50" i="71"/>
  <c r="AD50" i="71"/>
  <c r="AE48" i="71"/>
  <c r="AC48" i="71"/>
  <c r="AB48" i="71"/>
  <c r="AD48" i="71" s="1"/>
  <c r="AC47" i="71"/>
  <c r="AE47" i="71" s="1"/>
  <c r="AB47" i="71"/>
  <c r="AD47" i="71" s="1"/>
  <c r="AA43" i="71"/>
  <c r="Z43" i="71"/>
  <c r="Y43" i="71"/>
  <c r="X43" i="71"/>
  <c r="W43" i="71"/>
  <c r="V43" i="71"/>
  <c r="U43" i="71"/>
  <c r="T43" i="71"/>
  <c r="S43" i="71"/>
  <c r="R43" i="71"/>
  <c r="Q43" i="71"/>
  <c r="P43" i="71"/>
  <c r="O43" i="71"/>
  <c r="N43" i="71"/>
  <c r="M43" i="71"/>
  <c r="L43" i="71"/>
  <c r="K43" i="71"/>
  <c r="J43" i="71"/>
  <c r="I43" i="71"/>
  <c r="H43" i="71"/>
  <c r="G43" i="71"/>
  <c r="F43" i="71"/>
  <c r="E43" i="71"/>
  <c r="D43" i="71"/>
  <c r="AC41" i="71"/>
  <c r="AE41" i="71" s="1"/>
  <c r="AB41" i="71"/>
  <c r="AD41" i="71" s="1"/>
  <c r="AC40" i="71"/>
  <c r="AE40" i="71" s="1"/>
  <c r="AB40" i="71"/>
  <c r="AD40" i="71" s="1"/>
  <c r="AC38" i="71"/>
  <c r="AE38" i="71" s="1"/>
  <c r="AB38" i="71"/>
  <c r="AD38" i="71" s="1"/>
  <c r="AE37" i="71"/>
  <c r="AC37" i="71"/>
  <c r="AB37" i="71"/>
  <c r="AD37" i="71" s="1"/>
  <c r="L34" i="71"/>
  <c r="H34" i="71"/>
  <c r="D34" i="71"/>
  <c r="AA33" i="71"/>
  <c r="Z33" i="71"/>
  <c r="Y33" i="71"/>
  <c r="X33" i="71"/>
  <c r="W33" i="71"/>
  <c r="V33" i="71"/>
  <c r="U33" i="71"/>
  <c r="T33" i="71"/>
  <c r="S33" i="71"/>
  <c r="R33" i="71"/>
  <c r="Q33" i="71"/>
  <c r="P34" i="71" s="1"/>
  <c r="P33" i="71"/>
  <c r="O33" i="71"/>
  <c r="N34" i="71" s="1"/>
  <c r="N33" i="71"/>
  <c r="M33" i="71"/>
  <c r="L33" i="71"/>
  <c r="K33" i="71"/>
  <c r="J34" i="71" s="1"/>
  <c r="J33" i="71"/>
  <c r="I33" i="71"/>
  <c r="H33" i="71"/>
  <c r="G33" i="71"/>
  <c r="F34" i="71" s="1"/>
  <c r="F33" i="71"/>
  <c r="E33" i="71"/>
  <c r="D33" i="71"/>
  <c r="AD31" i="71"/>
  <c r="AC31" i="71"/>
  <c r="AE31" i="71" s="1"/>
  <c r="AB31" i="71"/>
  <c r="AE30" i="71"/>
  <c r="AC30" i="71"/>
  <c r="AB30" i="71"/>
  <c r="AD30" i="71" s="1"/>
  <c r="AC28" i="71"/>
  <c r="AE28" i="71" s="1"/>
  <c r="AB28" i="71"/>
  <c r="AD28" i="71" s="1"/>
  <c r="AC27" i="71"/>
  <c r="AE27" i="71" s="1"/>
  <c r="AB27" i="71"/>
  <c r="AD27" i="71" s="1"/>
  <c r="P23" i="71"/>
  <c r="N23" i="71"/>
  <c r="H23" i="71"/>
  <c r="AA22" i="71"/>
  <c r="Z22" i="71"/>
  <c r="Y22" i="71"/>
  <c r="X22" i="71"/>
  <c r="W22" i="71"/>
  <c r="V22" i="71"/>
  <c r="U22" i="71"/>
  <c r="T22" i="71"/>
  <c r="S22" i="71"/>
  <c r="R22" i="71"/>
  <c r="Q22" i="71"/>
  <c r="P22" i="71"/>
  <c r="O22" i="71"/>
  <c r="N22" i="71"/>
  <c r="M22" i="71"/>
  <c r="L23" i="71" s="1"/>
  <c r="L22" i="71"/>
  <c r="K22" i="71"/>
  <c r="J22" i="71"/>
  <c r="AD22" i="71" s="1"/>
  <c r="I22" i="71"/>
  <c r="H22" i="71"/>
  <c r="G22" i="71"/>
  <c r="F23" i="71" s="1"/>
  <c r="F22" i="71"/>
  <c r="E22" i="71"/>
  <c r="D23" i="71" s="1"/>
  <c r="D22" i="71"/>
  <c r="AE20" i="71"/>
  <c r="AD20" i="71"/>
  <c r="AC20" i="71"/>
  <c r="AB20" i="71"/>
  <c r="AC19" i="71"/>
  <c r="AE19" i="71" s="1"/>
  <c r="AB19" i="71"/>
  <c r="AD19" i="71" s="1"/>
  <c r="AD17" i="71"/>
  <c r="AC17" i="71"/>
  <c r="AE17" i="71" s="1"/>
  <c r="AB17" i="71"/>
  <c r="AC16" i="71"/>
  <c r="AE16" i="71" s="1"/>
  <c r="AB16" i="71"/>
  <c r="AB22" i="71" s="1"/>
  <c r="P13" i="71"/>
  <c r="AA12" i="71"/>
  <c r="Z12" i="71"/>
  <c r="Y12" i="71"/>
  <c r="X12" i="71"/>
  <c r="W12" i="71"/>
  <c r="V12" i="71"/>
  <c r="U12" i="71"/>
  <c r="T12" i="71"/>
  <c r="S12" i="71"/>
  <c r="R13" i="71" s="1"/>
  <c r="R12" i="71"/>
  <c r="Q12" i="71"/>
  <c r="P12" i="71"/>
  <c r="O12" i="71"/>
  <c r="N13" i="71" s="1"/>
  <c r="N12" i="71"/>
  <c r="M12" i="71"/>
  <c r="L13" i="71" s="1"/>
  <c r="L12" i="71"/>
  <c r="K12" i="71"/>
  <c r="J12" i="71"/>
  <c r="I12" i="71"/>
  <c r="H12" i="71"/>
  <c r="G12" i="71"/>
  <c r="F12" i="71"/>
  <c r="E12" i="71"/>
  <c r="D12" i="71"/>
  <c r="AD10" i="71"/>
  <c r="AC10" i="71"/>
  <c r="AE10" i="71" s="1"/>
  <c r="AB10" i="71"/>
  <c r="AC9" i="71"/>
  <c r="AE9" i="71" s="1"/>
  <c r="AB9" i="71"/>
  <c r="AD9" i="71" s="1"/>
  <c r="AC7" i="71"/>
  <c r="AE7" i="71" s="1"/>
  <c r="AB7" i="71"/>
  <c r="AD7" i="71" s="1"/>
  <c r="AC6" i="71"/>
  <c r="AE6" i="71" s="1"/>
  <c r="AB6" i="71"/>
  <c r="AB60" i="71" s="1"/>
  <c r="AE60" i="71" l="1"/>
  <c r="AD6" i="71"/>
  <c r="AD60" i="71" s="1"/>
  <c r="AC43" i="71"/>
  <c r="AE43" i="71" s="1"/>
  <c r="AC53" i="71"/>
  <c r="AE53" i="71" s="1"/>
  <c r="AC60" i="71"/>
  <c r="AC66" i="71" s="1"/>
  <c r="AC71" i="71" s="1"/>
  <c r="AF53" i="71"/>
  <c r="AB12" i="71"/>
  <c r="AD12" i="71" s="1"/>
  <c r="AD16" i="71"/>
  <c r="AC33" i="71"/>
  <c r="AE33" i="71"/>
  <c r="AB43" i="71"/>
  <c r="AD43" i="71" s="1"/>
  <c r="J23" i="71"/>
  <c r="AB53" i="71"/>
  <c r="AD53" i="71" s="1"/>
  <c r="AB33" i="71"/>
  <c r="AD33" i="71" s="1"/>
  <c r="G59" i="71"/>
  <c r="AC12" i="71"/>
  <c r="AE12" i="71" s="1"/>
  <c r="AC22" i="71"/>
  <c r="AE22" i="71" s="1"/>
  <c r="AC57" i="71"/>
  <c r="C408" i="70" l="1"/>
  <c r="D408" i="70"/>
  <c r="C215" i="70"/>
  <c r="C404" i="70"/>
  <c r="C316" i="70"/>
  <c r="C302" i="70"/>
  <c r="C281" i="70"/>
  <c r="C234" i="70"/>
  <c r="E215" i="70"/>
  <c r="EJ110" i="69" l="1"/>
  <c r="EJ110" i="65"/>
  <c r="EJ38" i="69" l="1"/>
  <c r="EI100" i="69"/>
  <c r="ED92" i="69"/>
  <c r="N90" i="69"/>
  <c r="L90" i="69"/>
  <c r="I90" i="69"/>
  <c r="G90" i="69"/>
  <c r="N89" i="69"/>
  <c r="L89" i="69"/>
  <c r="I89" i="69"/>
  <c r="G89" i="69"/>
  <c r="N88" i="69"/>
  <c r="L88" i="69"/>
  <c r="I88" i="69"/>
  <c r="G88" i="69"/>
  <c r="N87" i="69"/>
  <c r="L87" i="69"/>
  <c r="I87" i="69"/>
  <c r="G87" i="69"/>
  <c r="N86" i="69"/>
  <c r="L86" i="69"/>
  <c r="I86" i="69"/>
  <c r="G86" i="69"/>
  <c r="N85" i="69"/>
  <c r="L85" i="69"/>
  <c r="I85" i="69"/>
  <c r="G85" i="69"/>
  <c r="N84" i="69"/>
  <c r="L84" i="69"/>
  <c r="I84" i="69"/>
  <c r="G84" i="69"/>
  <c r="N83" i="69"/>
  <c r="L83" i="69"/>
  <c r="I83" i="69"/>
  <c r="G83" i="69"/>
  <c r="N82" i="69"/>
  <c r="L82" i="69"/>
  <c r="I82" i="69"/>
  <c r="G82" i="69"/>
  <c r="N81" i="69"/>
  <c r="L81" i="69"/>
  <c r="I81" i="69"/>
  <c r="G81" i="69"/>
  <c r="N80" i="69"/>
  <c r="L80" i="69"/>
  <c r="I80" i="69"/>
  <c r="G80" i="69"/>
  <c r="N79" i="69"/>
  <c r="L79" i="69"/>
  <c r="I79" i="69"/>
  <c r="G79" i="69"/>
  <c r="N78" i="69"/>
  <c r="L78" i="69"/>
  <c r="I78" i="69"/>
  <c r="G78" i="69"/>
  <c r="N77" i="69"/>
  <c r="L77" i="69"/>
  <c r="I77" i="69"/>
  <c r="G77" i="69"/>
  <c r="N76" i="69"/>
  <c r="L76" i="69"/>
  <c r="I76" i="69"/>
  <c r="G76" i="69"/>
  <c r="N75" i="69"/>
  <c r="L75" i="69"/>
  <c r="I75" i="69"/>
  <c r="G75" i="69"/>
  <c r="N74" i="69"/>
  <c r="L74" i="69"/>
  <c r="I74" i="69"/>
  <c r="G74" i="69"/>
  <c r="N73" i="69"/>
  <c r="L73" i="69"/>
  <c r="I73" i="69"/>
  <c r="G73" i="69"/>
  <c r="N72" i="69"/>
  <c r="L72" i="69"/>
  <c r="I72" i="69"/>
  <c r="G72" i="69"/>
  <c r="N71" i="69"/>
  <c r="L71" i="69"/>
  <c r="I71" i="69"/>
  <c r="G71" i="69"/>
  <c r="N70" i="69"/>
  <c r="L70" i="69"/>
  <c r="I70" i="69"/>
  <c r="G70" i="69"/>
  <c r="N69" i="69"/>
  <c r="N91" i="69" s="1"/>
  <c r="L69" i="69"/>
  <c r="L91" i="69" s="1"/>
  <c r="I69" i="69"/>
  <c r="I91" i="69" s="1"/>
  <c r="G69" i="69"/>
  <c r="G91" i="69" s="1"/>
  <c r="I67" i="69"/>
  <c r="K66" i="69"/>
  <c r="K65" i="69"/>
  <c r="N64" i="69"/>
  <c r="M64" i="69"/>
  <c r="L64" i="69"/>
  <c r="K64" i="69"/>
  <c r="I64" i="69"/>
  <c r="H64" i="69"/>
  <c r="G64" i="69"/>
  <c r="F64" i="69"/>
  <c r="N63" i="69"/>
  <c r="M63" i="69"/>
  <c r="L63" i="69"/>
  <c r="K63" i="69"/>
  <c r="I63" i="69"/>
  <c r="H63" i="69"/>
  <c r="G63" i="69"/>
  <c r="F63" i="69"/>
  <c r="N62" i="69"/>
  <c r="M62" i="69"/>
  <c r="L62" i="69"/>
  <c r="K62" i="69"/>
  <c r="I62" i="69"/>
  <c r="H62" i="69"/>
  <c r="G62" i="69"/>
  <c r="F62" i="69"/>
  <c r="N61" i="69"/>
  <c r="M61" i="69"/>
  <c r="L61" i="69"/>
  <c r="K61" i="69"/>
  <c r="I61" i="69"/>
  <c r="H61" i="69"/>
  <c r="G61" i="69"/>
  <c r="F61" i="69"/>
  <c r="N60" i="69"/>
  <c r="M60" i="69"/>
  <c r="L60" i="69"/>
  <c r="K60" i="69"/>
  <c r="I60" i="69"/>
  <c r="H60" i="69"/>
  <c r="G60" i="69"/>
  <c r="F60" i="69"/>
  <c r="N59" i="69"/>
  <c r="M59" i="69"/>
  <c r="L59" i="69"/>
  <c r="K59" i="69"/>
  <c r="I59" i="69"/>
  <c r="H59" i="69"/>
  <c r="G59" i="69"/>
  <c r="F59" i="69"/>
  <c r="N58" i="69"/>
  <c r="M58" i="69"/>
  <c r="L58" i="69"/>
  <c r="K58" i="69"/>
  <c r="I58" i="69"/>
  <c r="H58" i="69"/>
  <c r="G58" i="69"/>
  <c r="F58" i="69"/>
  <c r="N57" i="69"/>
  <c r="M57" i="69"/>
  <c r="L57" i="69"/>
  <c r="K57" i="69"/>
  <c r="I57" i="69"/>
  <c r="H57" i="69"/>
  <c r="G57" i="69"/>
  <c r="F57" i="69"/>
  <c r="N56" i="69"/>
  <c r="M56" i="69"/>
  <c r="L56" i="69"/>
  <c r="K56" i="69"/>
  <c r="I56" i="69"/>
  <c r="H56" i="69"/>
  <c r="G56" i="69"/>
  <c r="F56" i="69"/>
  <c r="N55" i="69"/>
  <c r="M55" i="69"/>
  <c r="L55" i="69"/>
  <c r="K55" i="69"/>
  <c r="I55" i="69"/>
  <c r="H55" i="69"/>
  <c r="G55" i="69"/>
  <c r="F55" i="69"/>
  <c r="N54" i="69"/>
  <c r="M54" i="69"/>
  <c r="L54" i="69"/>
  <c r="K54" i="69"/>
  <c r="I54" i="69"/>
  <c r="H54" i="69"/>
  <c r="G54" i="69"/>
  <c r="F54" i="69"/>
  <c r="N53" i="69"/>
  <c r="M53" i="69"/>
  <c r="L53" i="69"/>
  <c r="K53" i="69"/>
  <c r="I53" i="69"/>
  <c r="H53" i="69"/>
  <c r="G53" i="69"/>
  <c r="F53" i="69"/>
  <c r="N52" i="69"/>
  <c r="M52" i="69"/>
  <c r="L52" i="69"/>
  <c r="K52" i="69"/>
  <c r="I52" i="69"/>
  <c r="H52" i="69"/>
  <c r="G52" i="69"/>
  <c r="F52" i="69"/>
  <c r="N51" i="69"/>
  <c r="M51" i="69"/>
  <c r="L51" i="69"/>
  <c r="K51" i="69"/>
  <c r="I51" i="69"/>
  <c r="H51" i="69"/>
  <c r="G51" i="69"/>
  <c r="F51" i="69"/>
  <c r="N50" i="69"/>
  <c r="M50" i="69"/>
  <c r="L50" i="69"/>
  <c r="K50" i="69"/>
  <c r="I50" i="69"/>
  <c r="H50" i="69"/>
  <c r="G50" i="69"/>
  <c r="F50" i="69"/>
  <c r="N49" i="69"/>
  <c r="M49" i="69"/>
  <c r="L49" i="69"/>
  <c r="K49" i="69"/>
  <c r="I49" i="69"/>
  <c r="H49" i="69"/>
  <c r="G49" i="69"/>
  <c r="F49" i="69"/>
  <c r="N48" i="69"/>
  <c r="M48" i="69"/>
  <c r="L48" i="69"/>
  <c r="K48" i="69"/>
  <c r="I48" i="69"/>
  <c r="H48" i="69"/>
  <c r="G48" i="69"/>
  <c r="F48" i="69"/>
  <c r="N47" i="69"/>
  <c r="M47" i="69"/>
  <c r="L47" i="69"/>
  <c r="K47" i="69"/>
  <c r="I47" i="69"/>
  <c r="H47" i="69"/>
  <c r="G47" i="69"/>
  <c r="F47" i="69"/>
  <c r="N46" i="69"/>
  <c r="N67" i="69" s="1"/>
  <c r="M46" i="69"/>
  <c r="M67" i="69" s="1"/>
  <c r="L46" i="69"/>
  <c r="L67" i="69" s="1"/>
  <c r="K46" i="69"/>
  <c r="I46" i="69"/>
  <c r="H46" i="69"/>
  <c r="H67" i="69" s="1"/>
  <c r="G46" i="69"/>
  <c r="G67" i="69" s="1"/>
  <c r="F46" i="69"/>
  <c r="BC45" i="69"/>
  <c r="BA45" i="69"/>
  <c r="EW44" i="69"/>
  <c r="EW42" i="69" s="1"/>
  <c r="BC44" i="69"/>
  <c r="AS43" i="69"/>
  <c r="AQ43" i="69"/>
  <c r="AO43" i="69"/>
  <c r="AM43" i="69"/>
  <c r="AL43" i="69"/>
  <c r="AJ43" i="69"/>
  <c r="AH43" i="69"/>
  <c r="AS42" i="69"/>
  <c r="Y42" i="69"/>
  <c r="DO41" i="69"/>
  <c r="CH41" i="69"/>
  <c r="AA41" i="69"/>
  <c r="CQ40" i="69"/>
  <c r="CO40" i="69"/>
  <c r="BP40" i="69"/>
  <c r="AA40" i="69"/>
  <c r="Y40" i="69"/>
  <c r="Y43" i="69" s="1"/>
  <c r="FF39" i="69"/>
  <c r="DX39" i="69"/>
  <c r="BO39" i="69"/>
  <c r="BC39" i="69"/>
  <c r="AX39" i="69"/>
  <c r="FF38" i="69"/>
  <c r="FE38" i="69"/>
  <c r="FE39" i="69" s="1"/>
  <c r="FD38" i="69"/>
  <c r="FD39" i="69" s="1"/>
  <c r="EM38" i="69"/>
  <c r="EL38" i="69"/>
  <c r="EK38" i="69"/>
  <c r="EH38" i="69"/>
  <c r="EG38" i="69"/>
  <c r="EF38" i="69"/>
  <c r="EE38" i="69"/>
  <c r="EE40" i="69" s="1"/>
  <c r="ED38" i="69"/>
  <c r="DX38" i="69"/>
  <c r="DW38" i="69"/>
  <c r="DW39" i="69" s="1"/>
  <c r="DV38" i="69"/>
  <c r="DR38" i="69"/>
  <c r="DQ38" i="69"/>
  <c r="DP38" i="69"/>
  <c r="DO38" i="69"/>
  <c r="DN38" i="69"/>
  <c r="DM38" i="69"/>
  <c r="DK38" i="69"/>
  <c r="DJ38" i="69"/>
  <c r="DI38" i="69"/>
  <c r="DH38" i="69"/>
  <c r="DG38" i="69"/>
  <c r="AG40" i="69" s="1"/>
  <c r="DF38" i="69"/>
  <c r="DE38" i="69"/>
  <c r="DD38" i="69"/>
  <c r="DB38" i="69"/>
  <c r="DA38" i="69"/>
  <c r="CZ38" i="69"/>
  <c r="CZ40" i="69" s="1"/>
  <c r="CX38" i="69"/>
  <c r="CW38" i="69"/>
  <c r="CV38" i="69"/>
  <c r="CU38" i="69"/>
  <c r="CU39" i="69" s="1"/>
  <c r="CT38" i="69"/>
  <c r="CS38" i="69"/>
  <c r="CR38" i="69"/>
  <c r="CQ38" i="69"/>
  <c r="CO38" i="69"/>
  <c r="CN38" i="69"/>
  <c r="CN39" i="69" s="1"/>
  <c r="CM38" i="69"/>
  <c r="CL38" i="69"/>
  <c r="CL42" i="69" s="1"/>
  <c r="CK38" i="69"/>
  <c r="CK42" i="69" s="1"/>
  <c r="CJ38" i="69"/>
  <c r="CI38" i="69"/>
  <c r="CH38" i="69"/>
  <c r="CF38" i="69"/>
  <c r="CE38" i="69"/>
  <c r="CD38" i="69"/>
  <c r="CC38" i="69"/>
  <c r="CA38" i="69"/>
  <c r="BZ38" i="69"/>
  <c r="BY38" i="69"/>
  <c r="BX38" i="69"/>
  <c r="BV38" i="69"/>
  <c r="BT38" i="69"/>
  <c r="BS38" i="69"/>
  <c r="CZ34" i="69" s="1"/>
  <c r="CZ42" i="69" s="1"/>
  <c r="BQ38" i="69"/>
  <c r="CX34" i="69" s="1"/>
  <c r="BP38" i="69"/>
  <c r="DV41" i="69" s="1"/>
  <c r="BO38" i="69"/>
  <c r="BN38" i="69"/>
  <c r="BM38" i="69"/>
  <c r="BK38" i="69"/>
  <c r="BJ38" i="69"/>
  <c r="BI40" i="69" s="1"/>
  <c r="BI41" i="69" s="1"/>
  <c r="BI38" i="69"/>
  <c r="BH38" i="69"/>
  <c r="BG38" i="69"/>
  <c r="BG40" i="69" s="1"/>
  <c r="BE38" i="69"/>
  <c r="BE40" i="69" s="1"/>
  <c r="BD38" i="69"/>
  <c r="BC38" i="69"/>
  <c r="BB38" i="69"/>
  <c r="BA38" i="69"/>
  <c r="BA42" i="69" s="1"/>
  <c r="AZ38" i="69"/>
  <c r="AY38" i="69"/>
  <c r="AY45" i="69" s="1"/>
  <c r="AX38" i="69"/>
  <c r="AW38" i="69"/>
  <c r="AV38" i="69"/>
  <c r="AT38" i="69"/>
  <c r="AS38" i="69"/>
  <c r="AS39" i="69" s="1"/>
  <c r="AR38" i="69"/>
  <c r="AR40" i="69" s="1"/>
  <c r="AQ38" i="69"/>
  <c r="AQ40" i="69" s="1"/>
  <c r="AO38" i="69"/>
  <c r="AO40" i="69" s="1"/>
  <c r="AM38" i="69"/>
  <c r="AL38" i="69"/>
  <c r="AK38" i="69"/>
  <c r="AJ38" i="69"/>
  <c r="AH38" i="69"/>
  <c r="AF38" i="69"/>
  <c r="AF40" i="69" s="1"/>
  <c r="AF41" i="69" s="1"/>
  <c r="AE38" i="69"/>
  <c r="AE40" i="69" s="1"/>
  <c r="AE42" i="69" s="1"/>
  <c r="AD38" i="69"/>
  <c r="AD40" i="69" s="1"/>
  <c r="AC38" i="69"/>
  <c r="AC41" i="69" s="1"/>
  <c r="AA38" i="69"/>
  <c r="Z38" i="69"/>
  <c r="Y38" i="69"/>
  <c r="X38" i="69"/>
  <c r="W38" i="69"/>
  <c r="U38" i="69"/>
  <c r="T38" i="69"/>
  <c r="S38" i="69"/>
  <c r="S43" i="69" s="1"/>
  <c r="R38" i="69"/>
  <c r="Q38" i="69"/>
  <c r="P38" i="69"/>
  <c r="O38" i="69"/>
  <c r="K38" i="69"/>
  <c r="D38" i="69"/>
  <c r="C38" i="69"/>
  <c r="B38" i="69"/>
  <c r="EJ37" i="69"/>
  <c r="EI37" i="69"/>
  <c r="ED37" i="69"/>
  <c r="ED42" i="69" s="1"/>
  <c r="CZ37" i="69"/>
  <c r="CZ45" i="69" s="1"/>
  <c r="CX37" i="69"/>
  <c r="EJ36" i="69"/>
  <c r="BJ36" i="69"/>
  <c r="BU35" i="69"/>
  <c r="BU38" i="69" s="1"/>
  <c r="BJ35" i="69"/>
  <c r="EI35" i="69" s="1"/>
  <c r="EI38" i="69" s="1"/>
  <c r="EM34" i="69"/>
  <c r="EM37" i="69" s="1"/>
  <c r="EL34" i="69"/>
  <c r="EJ34" i="69"/>
  <c r="EI34" i="69"/>
  <c r="FB33" i="69"/>
  <c r="FA33" i="69"/>
  <c r="EZ33" i="69"/>
  <c r="EX33" i="69"/>
  <c r="EU33" i="69"/>
  <c r="EY33" i="69" s="1"/>
  <c r="ES33" i="69"/>
  <c r="EW33" i="69" s="1"/>
  <c r="ER33" i="69"/>
  <c r="EN33" i="69"/>
  <c r="EV33" i="69" s="1"/>
  <c r="EJ33" i="69"/>
  <c r="EC33" i="69"/>
  <c r="EB33" i="69"/>
  <c r="EA33" i="69"/>
  <c r="DZ33" i="69"/>
  <c r="DY33" i="69"/>
  <c r="DU33" i="69"/>
  <c r="DT33" i="69"/>
  <c r="DS33" i="69"/>
  <c r="BU33" i="69"/>
  <c r="EI33" i="69" s="1"/>
  <c r="FC32" i="69"/>
  <c r="FB32" i="69"/>
  <c r="FA32" i="69"/>
  <c r="EZ32" i="69"/>
  <c r="EY32" i="69"/>
  <c r="EX32" i="69"/>
  <c r="EU32" i="69"/>
  <c r="ES32" i="69"/>
  <c r="EW32" i="69" s="1"/>
  <c r="ER32" i="69"/>
  <c r="EN32" i="69"/>
  <c r="EV32" i="69" s="1"/>
  <c r="EJ32" i="69"/>
  <c r="EC32" i="69"/>
  <c r="EA32" i="69"/>
  <c r="DY32" i="69"/>
  <c r="DU32" i="69"/>
  <c r="DT32" i="69"/>
  <c r="EB32" i="69" s="1"/>
  <c r="DS32" i="69"/>
  <c r="BU32" i="69"/>
  <c r="EI32" i="69" s="1"/>
  <c r="FB31" i="69"/>
  <c r="FA31" i="69"/>
  <c r="EZ31" i="69"/>
  <c r="EY31" i="69"/>
  <c r="EX31" i="69"/>
  <c r="EU31" i="69"/>
  <c r="ES31" i="69"/>
  <c r="EW31" i="69" s="1"/>
  <c r="ER31" i="69"/>
  <c r="EN31" i="69"/>
  <c r="EV31" i="69" s="1"/>
  <c r="EI31" i="69" s="1"/>
  <c r="EJ31" i="69"/>
  <c r="EC31" i="69"/>
  <c r="DU31" i="69"/>
  <c r="DT31" i="69"/>
  <c r="EB31" i="69" s="1"/>
  <c r="DS31" i="69"/>
  <c r="EA31" i="69" s="1"/>
  <c r="BU31" i="69"/>
  <c r="FC31" i="69" s="1"/>
  <c r="FB30" i="69"/>
  <c r="FA30" i="69"/>
  <c r="EZ30" i="69"/>
  <c r="EY30" i="69"/>
  <c r="EX30" i="69"/>
  <c r="EW30" i="69"/>
  <c r="EU30" i="69"/>
  <c r="ES30" i="69"/>
  <c r="ER30" i="69"/>
  <c r="EN30" i="69"/>
  <c r="EV30" i="69" s="1"/>
  <c r="EJ30" i="69"/>
  <c r="EC30" i="69"/>
  <c r="DU30" i="69"/>
  <c r="DT30" i="69"/>
  <c r="EB30" i="69" s="1"/>
  <c r="DS30" i="69"/>
  <c r="EA30" i="69" s="1"/>
  <c r="BU30" i="69"/>
  <c r="FC30" i="69" s="1"/>
  <c r="FB29" i="69"/>
  <c r="FA29" i="69"/>
  <c r="EZ29" i="69"/>
  <c r="EY29" i="69"/>
  <c r="EX29" i="69"/>
  <c r="EW29" i="69"/>
  <c r="EV29" i="69"/>
  <c r="EU29" i="69"/>
  <c r="ES29" i="69"/>
  <c r="ER29" i="69"/>
  <c r="EN29" i="69"/>
  <c r="EJ29" i="69"/>
  <c r="EC29" i="69"/>
  <c r="EB29" i="69"/>
  <c r="DZ29" i="69"/>
  <c r="DU29" i="69"/>
  <c r="DT29" i="69"/>
  <c r="DS29" i="69"/>
  <c r="EA29" i="69" s="1"/>
  <c r="BU29" i="69"/>
  <c r="FC29" i="69" s="1"/>
  <c r="FC28" i="69"/>
  <c r="FB28" i="69"/>
  <c r="FA28" i="69"/>
  <c r="EZ28" i="69"/>
  <c r="EX28" i="69"/>
  <c r="EW28" i="69"/>
  <c r="EV28" i="69"/>
  <c r="EU28" i="69"/>
  <c r="EY28" i="69" s="1"/>
  <c r="ES28" i="69"/>
  <c r="ER28" i="69"/>
  <c r="EN28" i="69"/>
  <c r="EJ28" i="69"/>
  <c r="EC28" i="69"/>
  <c r="EB28" i="69"/>
  <c r="EA28" i="69"/>
  <c r="DY28" i="69"/>
  <c r="DU28" i="69"/>
  <c r="DT28" i="69"/>
  <c r="DZ28" i="69" s="1"/>
  <c r="DS28" i="69"/>
  <c r="BU28" i="69"/>
  <c r="EI28" i="69" s="1"/>
  <c r="FC27" i="69"/>
  <c r="FB27" i="69"/>
  <c r="FA27" i="69"/>
  <c r="EZ27" i="69"/>
  <c r="EX27" i="69"/>
  <c r="EV27" i="69"/>
  <c r="EI27" i="69" s="1"/>
  <c r="EU27" i="69"/>
  <c r="EY27" i="69" s="1"/>
  <c r="ES27" i="69"/>
  <c r="EW27" i="69" s="1"/>
  <c r="ER27" i="69"/>
  <c r="EN27" i="69"/>
  <c r="EJ27" i="69"/>
  <c r="EC27" i="69"/>
  <c r="EB27" i="69"/>
  <c r="EA27" i="69"/>
  <c r="DZ27" i="69"/>
  <c r="DU27" i="69"/>
  <c r="DT27" i="69"/>
  <c r="DS27" i="69"/>
  <c r="DY27" i="69" s="1"/>
  <c r="BU27" i="69"/>
  <c r="FC26" i="69"/>
  <c r="FB26" i="69"/>
  <c r="FA26" i="69"/>
  <c r="EZ26" i="69"/>
  <c r="EX26" i="69"/>
  <c r="EU26" i="69"/>
  <c r="EY26" i="69" s="1"/>
  <c r="ES26" i="69"/>
  <c r="EW26" i="69" s="1"/>
  <c r="ER26" i="69"/>
  <c r="EV26" i="69" s="1"/>
  <c r="EN26" i="69"/>
  <c r="EJ26" i="69"/>
  <c r="EC26" i="69"/>
  <c r="EA26" i="69"/>
  <c r="DZ26" i="69"/>
  <c r="DY26" i="69"/>
  <c r="DU26" i="69"/>
  <c r="DT26" i="69"/>
  <c r="EB26" i="69" s="1"/>
  <c r="DS26" i="69"/>
  <c r="BU26" i="69"/>
  <c r="EI26" i="69" s="1"/>
  <c r="FB25" i="69"/>
  <c r="FA25" i="69"/>
  <c r="EZ25" i="69"/>
  <c r="EX25" i="69"/>
  <c r="EU25" i="69"/>
  <c r="EY25" i="69" s="1"/>
  <c r="ES25" i="69"/>
  <c r="EW25" i="69" s="1"/>
  <c r="ER25" i="69"/>
  <c r="EN25" i="69"/>
  <c r="EV25" i="69" s="1"/>
  <c r="EI25" i="69" s="1"/>
  <c r="EJ25" i="69"/>
  <c r="EC25" i="69"/>
  <c r="EB25" i="69"/>
  <c r="DZ25" i="69"/>
  <c r="DY25" i="69"/>
  <c r="DU25" i="69"/>
  <c r="DT25" i="69"/>
  <c r="DS25" i="69"/>
  <c r="EA25" i="69" s="1"/>
  <c r="BU25" i="69"/>
  <c r="FC25" i="69" s="1"/>
  <c r="FB24" i="69"/>
  <c r="FA24" i="69"/>
  <c r="EZ24" i="69"/>
  <c r="EY24" i="69"/>
  <c r="EX24" i="69"/>
  <c r="EW24" i="69"/>
  <c r="EU24" i="69"/>
  <c r="ES24" i="69"/>
  <c r="ER24" i="69"/>
  <c r="EN24" i="69"/>
  <c r="EV24" i="69" s="1"/>
  <c r="EJ24" i="69"/>
  <c r="EC24" i="69"/>
  <c r="EA24" i="69"/>
  <c r="DY24" i="69"/>
  <c r="DU24" i="69"/>
  <c r="DT24" i="69"/>
  <c r="EB24" i="69" s="1"/>
  <c r="DS24" i="69"/>
  <c r="BU24" i="69"/>
  <c r="EI24" i="69" s="1"/>
  <c r="FB23" i="69"/>
  <c r="FA23" i="69"/>
  <c r="EZ23" i="69"/>
  <c r="EY23" i="69"/>
  <c r="EX23" i="69"/>
  <c r="EU23" i="69"/>
  <c r="ES23" i="69"/>
  <c r="EW23" i="69" s="1"/>
  <c r="ER23" i="69"/>
  <c r="EN23" i="69"/>
  <c r="EV23" i="69" s="1"/>
  <c r="EI23" i="69" s="1"/>
  <c r="EJ23" i="69"/>
  <c r="EC23" i="69"/>
  <c r="DU23" i="69"/>
  <c r="DT23" i="69"/>
  <c r="EB23" i="69" s="1"/>
  <c r="DS23" i="69"/>
  <c r="EA23" i="69" s="1"/>
  <c r="BU23" i="69"/>
  <c r="FC23" i="69" s="1"/>
  <c r="FB22" i="69"/>
  <c r="FA22" i="69"/>
  <c r="EZ22" i="69"/>
  <c r="EY22" i="69"/>
  <c r="EX22" i="69"/>
  <c r="EW22" i="69"/>
  <c r="EU22" i="69"/>
  <c r="ES22" i="69"/>
  <c r="ER22" i="69"/>
  <c r="EN22" i="69"/>
  <c r="EV22" i="69" s="1"/>
  <c r="EJ22" i="69"/>
  <c r="EC22" i="69"/>
  <c r="DU22" i="69"/>
  <c r="DT22" i="69"/>
  <c r="EB22" i="69" s="1"/>
  <c r="DS22" i="69"/>
  <c r="EA22" i="69" s="1"/>
  <c r="BU22" i="69"/>
  <c r="FC22" i="69" s="1"/>
  <c r="FB21" i="69"/>
  <c r="FA21" i="69"/>
  <c r="EZ21" i="69"/>
  <c r="EX21" i="69"/>
  <c r="EW21" i="69"/>
  <c r="EV21" i="69"/>
  <c r="EU21" i="69"/>
  <c r="EY21" i="69" s="1"/>
  <c r="ES21" i="69"/>
  <c r="ER21" i="69"/>
  <c r="EN21" i="69"/>
  <c r="EJ21" i="69"/>
  <c r="EC21" i="69"/>
  <c r="EB21" i="69"/>
  <c r="DZ21" i="69"/>
  <c r="DU21" i="69"/>
  <c r="DT21" i="69"/>
  <c r="DS21" i="69"/>
  <c r="EA21" i="69" s="1"/>
  <c r="BU21" i="69"/>
  <c r="FC21" i="69" s="1"/>
  <c r="FC20" i="69"/>
  <c r="FB20" i="69"/>
  <c r="FA20" i="69"/>
  <c r="EZ20" i="69"/>
  <c r="EX20" i="69"/>
  <c r="EW20" i="69"/>
  <c r="EV20" i="69"/>
  <c r="EU20" i="69"/>
  <c r="EY20" i="69" s="1"/>
  <c r="ES20" i="69"/>
  <c r="ER20" i="69"/>
  <c r="EN20" i="69"/>
  <c r="EJ20" i="69"/>
  <c r="EC20" i="69"/>
  <c r="EB20" i="69"/>
  <c r="EA20" i="69"/>
  <c r="DY20" i="69"/>
  <c r="DU20" i="69"/>
  <c r="DT20" i="69"/>
  <c r="DZ20" i="69" s="1"/>
  <c r="DS20" i="69"/>
  <c r="BU20" i="69"/>
  <c r="EI20" i="69" s="1"/>
  <c r="FC19" i="69"/>
  <c r="FB19" i="69"/>
  <c r="FA19" i="69"/>
  <c r="EZ19" i="69"/>
  <c r="EX19" i="69"/>
  <c r="EV19" i="69"/>
  <c r="EI19" i="69" s="1"/>
  <c r="EU19" i="69"/>
  <c r="EY19" i="69" s="1"/>
  <c r="ES19" i="69"/>
  <c r="EW19" i="69" s="1"/>
  <c r="ER19" i="69"/>
  <c r="EN19" i="69"/>
  <c r="EJ19" i="69"/>
  <c r="EC19" i="69"/>
  <c r="EB19" i="69"/>
  <c r="EA19" i="69"/>
  <c r="DZ19" i="69"/>
  <c r="DU19" i="69"/>
  <c r="DT19" i="69"/>
  <c r="DS19" i="69"/>
  <c r="DY19" i="69" s="1"/>
  <c r="BU19" i="69"/>
  <c r="FC18" i="69"/>
  <c r="FB18" i="69"/>
  <c r="FA18" i="69"/>
  <c r="EZ18" i="69"/>
  <c r="EX18" i="69"/>
  <c r="EU18" i="69"/>
  <c r="EY18" i="69" s="1"/>
  <c r="ES18" i="69"/>
  <c r="EW18" i="69" s="1"/>
  <c r="ER18" i="69"/>
  <c r="EV18" i="69" s="1"/>
  <c r="EN18" i="69"/>
  <c r="EJ18" i="69"/>
  <c r="EC18" i="69"/>
  <c r="EA18" i="69"/>
  <c r="DZ18" i="69"/>
  <c r="DY18" i="69"/>
  <c r="DU18" i="69"/>
  <c r="DT18" i="69"/>
  <c r="EB18" i="69" s="1"/>
  <c r="DS18" i="69"/>
  <c r="BU18" i="69"/>
  <c r="EI18" i="69" s="1"/>
  <c r="FC17" i="69"/>
  <c r="FB17" i="69"/>
  <c r="FA17" i="69"/>
  <c r="EZ17" i="69"/>
  <c r="EX17" i="69"/>
  <c r="EU17" i="69"/>
  <c r="EY17" i="69" s="1"/>
  <c r="ES17" i="69"/>
  <c r="EW17" i="69" s="1"/>
  <c r="ER17" i="69"/>
  <c r="EN17" i="69"/>
  <c r="EV17" i="69" s="1"/>
  <c r="EI17" i="69" s="1"/>
  <c r="EJ17" i="69"/>
  <c r="EC17" i="69"/>
  <c r="EB17" i="69"/>
  <c r="DZ17" i="69"/>
  <c r="DY17" i="69"/>
  <c r="DU17" i="69"/>
  <c r="DT17" i="69"/>
  <c r="DS17" i="69"/>
  <c r="EA17" i="69" s="1"/>
  <c r="BU17" i="69"/>
  <c r="FB16" i="69"/>
  <c r="FA16" i="69"/>
  <c r="EZ16" i="69"/>
  <c r="EY16" i="69"/>
  <c r="EX16" i="69"/>
  <c r="EW16" i="69"/>
  <c r="EU16" i="69"/>
  <c r="ES16" i="69"/>
  <c r="ER16" i="69"/>
  <c r="EN16" i="69"/>
  <c r="EV16" i="69" s="1"/>
  <c r="EJ16" i="69"/>
  <c r="EC16" i="69"/>
  <c r="EB16" i="69"/>
  <c r="EA16" i="69"/>
  <c r="DU16" i="69"/>
  <c r="BU16" i="69"/>
  <c r="EI16" i="69" s="1"/>
  <c r="FC15" i="69"/>
  <c r="FB15" i="69"/>
  <c r="FA15" i="69"/>
  <c r="EZ15" i="69"/>
  <c r="EX15" i="69"/>
  <c r="EV15" i="69"/>
  <c r="EI15" i="69" s="1"/>
  <c r="EU15" i="69"/>
  <c r="EY15" i="69" s="1"/>
  <c r="ES15" i="69"/>
  <c r="EW15" i="69" s="1"/>
  <c r="ER15" i="69"/>
  <c r="EN15" i="69"/>
  <c r="EJ15" i="69"/>
  <c r="EC15" i="69"/>
  <c r="EB15" i="69"/>
  <c r="EA15" i="69"/>
  <c r="DZ15" i="69"/>
  <c r="DU15" i="69"/>
  <c r="DT15" i="69"/>
  <c r="DS15" i="69"/>
  <c r="DY15" i="69" s="1"/>
  <c r="BU15" i="69"/>
  <c r="FC14" i="69"/>
  <c r="FB14" i="69"/>
  <c r="FA14" i="69"/>
  <c r="EZ14" i="69"/>
  <c r="EX14" i="69"/>
  <c r="EU14" i="69"/>
  <c r="EY14" i="69" s="1"/>
  <c r="ES14" i="69"/>
  <c r="EW14" i="69" s="1"/>
  <c r="ER14" i="69"/>
  <c r="EV14" i="69" s="1"/>
  <c r="EN14" i="69"/>
  <c r="EJ14" i="69"/>
  <c r="EC14" i="69"/>
  <c r="EA14" i="69"/>
  <c r="DZ14" i="69"/>
  <c r="DY14" i="69"/>
  <c r="DU14" i="69"/>
  <c r="DT14" i="69"/>
  <c r="EB14" i="69" s="1"/>
  <c r="DS14" i="69"/>
  <c r="BU14" i="69"/>
  <c r="FB13" i="69"/>
  <c r="FA13" i="69"/>
  <c r="EZ13" i="69"/>
  <c r="EX13" i="69"/>
  <c r="EU13" i="69"/>
  <c r="EY13" i="69" s="1"/>
  <c r="ES13" i="69"/>
  <c r="EW13" i="69" s="1"/>
  <c r="ER13" i="69"/>
  <c r="EN13" i="69"/>
  <c r="EV13" i="69" s="1"/>
  <c r="EI13" i="69" s="1"/>
  <c r="EJ13" i="69"/>
  <c r="EC13" i="69"/>
  <c r="EB13" i="69"/>
  <c r="DZ13" i="69"/>
  <c r="DY13" i="69"/>
  <c r="DU13" i="69"/>
  <c r="DT13" i="69"/>
  <c r="DS13" i="69"/>
  <c r="EA13" i="69" s="1"/>
  <c r="BU13" i="69"/>
  <c r="FC13" i="69" s="1"/>
  <c r="FB12" i="69"/>
  <c r="FA12" i="69"/>
  <c r="EZ12" i="69"/>
  <c r="EY12" i="69"/>
  <c r="EX12" i="69"/>
  <c r="EW12" i="69"/>
  <c r="EU12" i="69"/>
  <c r="ES12" i="69"/>
  <c r="ER12" i="69"/>
  <c r="EN12" i="69"/>
  <c r="EV12" i="69" s="1"/>
  <c r="EJ12" i="69"/>
  <c r="EC12" i="69"/>
  <c r="EA12" i="69"/>
  <c r="DY12" i="69"/>
  <c r="DU12" i="69"/>
  <c r="DT12" i="69"/>
  <c r="EB12" i="69" s="1"/>
  <c r="DS12" i="69"/>
  <c r="BU12" i="69"/>
  <c r="EI12" i="69" s="1"/>
  <c r="FB11" i="69"/>
  <c r="FA11" i="69"/>
  <c r="EZ11" i="69"/>
  <c r="EY11" i="69"/>
  <c r="EX11" i="69"/>
  <c r="EU11" i="69"/>
  <c r="ES11" i="69"/>
  <c r="EW11" i="69" s="1"/>
  <c r="ER11" i="69"/>
  <c r="EN11" i="69"/>
  <c r="EV11" i="69" s="1"/>
  <c r="EI11" i="69" s="1"/>
  <c r="EJ11" i="69"/>
  <c r="EC11" i="69"/>
  <c r="DU11" i="69"/>
  <c r="DT11" i="69"/>
  <c r="EB11" i="69" s="1"/>
  <c r="DS11" i="69"/>
  <c r="EA11" i="69" s="1"/>
  <c r="BU11" i="69"/>
  <c r="FC11" i="69" s="1"/>
  <c r="FB10" i="69"/>
  <c r="FA10" i="69"/>
  <c r="EZ10" i="69"/>
  <c r="EY10" i="69"/>
  <c r="EX10" i="69"/>
  <c r="EW10" i="69"/>
  <c r="EU10" i="69"/>
  <c r="ES10" i="69"/>
  <c r="ER10" i="69"/>
  <c r="EV10" i="69" s="1"/>
  <c r="EN10" i="69"/>
  <c r="EJ10" i="69"/>
  <c r="EC10" i="69"/>
  <c r="EC38" i="69" s="1"/>
  <c r="DU10" i="69"/>
  <c r="DT10" i="69"/>
  <c r="EB10" i="69" s="1"/>
  <c r="DS10" i="69"/>
  <c r="EA10" i="69" s="1"/>
  <c r="BU10" i="69"/>
  <c r="FC10" i="69" s="1"/>
  <c r="FB9" i="69"/>
  <c r="FA9" i="69"/>
  <c r="EZ9" i="69"/>
  <c r="EX9" i="69"/>
  <c r="EW9" i="69"/>
  <c r="EV9" i="69"/>
  <c r="EU9" i="69"/>
  <c r="EY9" i="69" s="1"/>
  <c r="ES9" i="69"/>
  <c r="ER9" i="69"/>
  <c r="EN9" i="69"/>
  <c r="EJ9" i="69"/>
  <c r="EC9" i="69"/>
  <c r="EB9" i="69"/>
  <c r="DZ9" i="69"/>
  <c r="DU9" i="69"/>
  <c r="DT9" i="69"/>
  <c r="DS9" i="69"/>
  <c r="EA9" i="69" s="1"/>
  <c r="BU9" i="69"/>
  <c r="FC9" i="69" s="1"/>
  <c r="FC8" i="69"/>
  <c r="FB8" i="69"/>
  <c r="FA8" i="69"/>
  <c r="EZ8" i="69"/>
  <c r="EX8" i="69"/>
  <c r="EW8" i="69"/>
  <c r="EV8" i="69"/>
  <c r="EU8" i="69"/>
  <c r="EY8" i="69" s="1"/>
  <c r="ES8" i="69"/>
  <c r="ER8" i="69"/>
  <c r="EN8" i="69"/>
  <c r="EJ8" i="69"/>
  <c r="EC8" i="69"/>
  <c r="EB8" i="69"/>
  <c r="EA8" i="69"/>
  <c r="DY8" i="69"/>
  <c r="DU8" i="69"/>
  <c r="DT8" i="69"/>
  <c r="DZ8" i="69" s="1"/>
  <c r="DS8" i="69"/>
  <c r="BU8" i="69"/>
  <c r="EI8" i="69" s="1"/>
  <c r="FC7" i="69"/>
  <c r="FB7" i="69"/>
  <c r="FA7" i="69"/>
  <c r="EZ7" i="69"/>
  <c r="EX7" i="69"/>
  <c r="EV7" i="69"/>
  <c r="EI7" i="69" s="1"/>
  <c r="EU7" i="69"/>
  <c r="EY7" i="69" s="1"/>
  <c r="ES7" i="69"/>
  <c r="EW7" i="69" s="1"/>
  <c r="ER7" i="69"/>
  <c r="EN7" i="69"/>
  <c r="EJ7" i="69"/>
  <c r="EC7" i="69"/>
  <c r="EB7" i="69"/>
  <c r="EA7" i="69"/>
  <c r="DZ7" i="69"/>
  <c r="DU7" i="69"/>
  <c r="DT7" i="69"/>
  <c r="DS7" i="69"/>
  <c r="DY7" i="69" s="1"/>
  <c r="BU7" i="69"/>
  <c r="FC6" i="69"/>
  <c r="FB6" i="69"/>
  <c r="FA6" i="69"/>
  <c r="EZ6" i="69"/>
  <c r="EX6" i="69"/>
  <c r="EU6" i="69"/>
  <c r="EY6" i="69" s="1"/>
  <c r="ES6" i="69"/>
  <c r="EW6" i="69" s="1"/>
  <c r="ER6" i="69"/>
  <c r="EV6" i="69" s="1"/>
  <c r="EN6" i="69"/>
  <c r="EJ6" i="69"/>
  <c r="EC6" i="69"/>
  <c r="EA6" i="69"/>
  <c r="DZ6" i="69"/>
  <c r="DY6" i="69"/>
  <c r="DU6" i="69"/>
  <c r="DT6" i="69"/>
  <c r="EB6" i="69" s="1"/>
  <c r="DS6" i="69"/>
  <c r="BU6" i="69"/>
  <c r="FB5" i="69"/>
  <c r="FB38" i="69" s="1"/>
  <c r="FA5" i="69"/>
  <c r="FA38" i="69" s="1"/>
  <c r="EZ5" i="69"/>
  <c r="EZ38" i="69" s="1"/>
  <c r="EX5" i="69"/>
  <c r="EU5" i="69"/>
  <c r="EY5" i="69" s="1"/>
  <c r="ES5" i="69"/>
  <c r="EW5" i="69" s="1"/>
  <c r="ER5" i="69"/>
  <c r="EN5" i="69"/>
  <c r="EV5" i="69" s="1"/>
  <c r="EI5" i="69" s="1"/>
  <c r="EJ5" i="69"/>
  <c r="EC5" i="69"/>
  <c r="EB5" i="69"/>
  <c r="DZ5" i="69"/>
  <c r="DY5" i="69"/>
  <c r="DU5" i="69"/>
  <c r="DU38" i="69" s="1"/>
  <c r="DU39" i="69" s="1"/>
  <c r="DU41" i="69" s="1"/>
  <c r="DT5" i="69"/>
  <c r="DS5" i="69"/>
  <c r="EA5" i="69" s="1"/>
  <c r="BU5" i="69"/>
  <c r="FC5" i="69" s="1"/>
  <c r="FB4" i="69"/>
  <c r="FA4" i="69"/>
  <c r="EZ4" i="69"/>
  <c r="EY4" i="69"/>
  <c r="EX4" i="69"/>
  <c r="EW4" i="69"/>
  <c r="EU4" i="69"/>
  <c r="ES4" i="69"/>
  <c r="ER4" i="69"/>
  <c r="EN4" i="69"/>
  <c r="EV4" i="69" s="1"/>
  <c r="EJ4" i="69"/>
  <c r="EC4" i="69"/>
  <c r="EA4" i="69"/>
  <c r="DY4" i="69"/>
  <c r="DU4" i="69"/>
  <c r="DT4" i="69"/>
  <c r="EB4" i="69" s="1"/>
  <c r="DS4" i="69"/>
  <c r="BU4" i="69"/>
  <c r="EI4" i="69" s="1"/>
  <c r="FB3" i="69"/>
  <c r="FA3" i="69"/>
  <c r="EZ3" i="69"/>
  <c r="EY3" i="69"/>
  <c r="EY38" i="69" s="1"/>
  <c r="EI99" i="69" s="1"/>
  <c r="EI101" i="69" s="1"/>
  <c r="EX3" i="69"/>
  <c r="EX38" i="69" s="1"/>
  <c r="EU3" i="69"/>
  <c r="EU38" i="69" s="1"/>
  <c r="EU39" i="69" s="1"/>
  <c r="ES3" i="69"/>
  <c r="EW3" i="69" s="1"/>
  <c r="ER3" i="69"/>
  <c r="EN3" i="69"/>
  <c r="EV3" i="69" s="1"/>
  <c r="EJ3" i="69"/>
  <c r="EC3" i="69"/>
  <c r="DU3" i="69"/>
  <c r="DT3" i="69"/>
  <c r="DT38" i="69" s="1"/>
  <c r="DT41" i="69" s="1"/>
  <c r="DS3" i="69"/>
  <c r="DS38" i="69" s="1"/>
  <c r="BU3" i="69"/>
  <c r="FC3" i="69" s="1"/>
  <c r="EI110" i="69" l="1"/>
  <c r="EI40" i="69"/>
  <c r="EW40" i="69"/>
  <c r="EI14" i="69"/>
  <c r="ED34" i="69"/>
  <c r="ED94" i="69" s="1"/>
  <c r="CJ41" i="69"/>
  <c r="EV38" i="69"/>
  <c r="EV39" i="69" s="1"/>
  <c r="EI3" i="69"/>
  <c r="EW38" i="69"/>
  <c r="CX40" i="69"/>
  <c r="CX42" i="69"/>
  <c r="ED40" i="69"/>
  <c r="ED41" i="69" s="1"/>
  <c r="ED93" i="69" s="1"/>
  <c r="EI6" i="69"/>
  <c r="BJ39" i="69"/>
  <c r="ED43" i="69"/>
  <c r="DY3" i="69"/>
  <c r="DZ4" i="69"/>
  <c r="DY11" i="69"/>
  <c r="DZ12" i="69"/>
  <c r="DY23" i="69"/>
  <c r="DZ24" i="69"/>
  <c r="DY31" i="69"/>
  <c r="DZ32" i="69"/>
  <c r="FC33" i="69"/>
  <c r="EN34" i="69"/>
  <c r="AC40" i="69"/>
  <c r="AS40" i="69"/>
  <c r="AS41" i="69" s="1"/>
  <c r="ED45" i="69"/>
  <c r="EI22" i="69"/>
  <c r="EI30" i="69"/>
  <c r="EI29" i="69"/>
  <c r="DZ3" i="69"/>
  <c r="DY10" i="69"/>
  <c r="DZ11" i="69"/>
  <c r="DZ23" i="69"/>
  <c r="DY30" i="69"/>
  <c r="DZ31" i="69"/>
  <c r="BC40" i="69"/>
  <c r="BC43" i="69" s="1"/>
  <c r="EI10" i="69"/>
  <c r="EI9" i="69"/>
  <c r="EI21" i="69"/>
  <c r="FC4" i="69"/>
  <c r="FC38" i="69" s="1"/>
  <c r="FC12" i="69"/>
  <c r="FC16" i="69"/>
  <c r="DY22" i="69"/>
  <c r="FC24" i="69"/>
  <c r="EA3" i="69"/>
  <c r="EA38" i="69" s="1"/>
  <c r="DY9" i="69"/>
  <c r="DZ10" i="69"/>
  <c r="DY21" i="69"/>
  <c r="DZ22" i="69"/>
  <c r="DY29" i="69"/>
  <c r="DZ30" i="69"/>
  <c r="AY42" i="69"/>
  <c r="EB3" i="69"/>
  <c r="EB38" i="69" s="1"/>
  <c r="BC41" i="69" l="1"/>
  <c r="BC42" i="69" s="1"/>
  <c r="DZ38" i="69"/>
  <c r="DY38" i="69"/>
  <c r="EW39" i="69" l="1"/>
  <c r="EW41" i="69" s="1"/>
  <c r="EI44" i="69"/>
  <c r="EI103" i="69" s="1"/>
  <c r="EI93" i="69"/>
  <c r="EJ40" i="69"/>
  <c r="DY39" i="69"/>
  <c r="DY41" i="69" s="1"/>
  <c r="DW43" i="69"/>
  <c r="DX43" i="69"/>
  <c r="DZ39" i="69"/>
  <c r="DZ41" i="69" s="1"/>
  <c r="EJ44" i="69" l="1"/>
  <c r="G64" i="66" l="1"/>
  <c r="I64" i="66"/>
  <c r="K64" i="66"/>
  <c r="M64" i="66"/>
  <c r="O64" i="66"/>
  <c r="Q64" i="66"/>
  <c r="S64" i="66"/>
  <c r="E64" i="66"/>
  <c r="D60" i="66"/>
  <c r="E60" i="66"/>
  <c r="F60" i="66"/>
  <c r="G60" i="66"/>
  <c r="H60" i="66"/>
  <c r="I60" i="66"/>
  <c r="J60" i="66"/>
  <c r="K60" i="66"/>
  <c r="L60" i="66"/>
  <c r="M60" i="66"/>
  <c r="N60" i="66"/>
  <c r="O60" i="66"/>
  <c r="P60" i="66"/>
  <c r="Q60" i="66"/>
  <c r="R60" i="66"/>
  <c r="S60" i="66"/>
  <c r="S57" i="66"/>
  <c r="Q57" i="66"/>
  <c r="O57" i="66"/>
  <c r="M57" i="66"/>
  <c r="K57" i="66"/>
  <c r="I57" i="66"/>
  <c r="G57" i="66"/>
  <c r="E57" i="66"/>
  <c r="E59" i="66" s="1"/>
  <c r="S53" i="66"/>
  <c r="R53" i="66"/>
  <c r="Q53" i="66"/>
  <c r="P53" i="66"/>
  <c r="O53" i="66"/>
  <c r="N53" i="66"/>
  <c r="M53" i="66"/>
  <c r="L53" i="66"/>
  <c r="K53" i="66"/>
  <c r="J53" i="66"/>
  <c r="I53" i="66"/>
  <c r="H53" i="66"/>
  <c r="G53" i="66"/>
  <c r="F53" i="66"/>
  <c r="E53" i="66"/>
  <c r="D53" i="66"/>
  <c r="U51" i="66"/>
  <c r="W51" i="66" s="1"/>
  <c r="T51" i="66"/>
  <c r="V51" i="66" s="1"/>
  <c r="W50" i="66"/>
  <c r="V50" i="66"/>
  <c r="U48" i="66"/>
  <c r="W48" i="66" s="1"/>
  <c r="T48" i="66"/>
  <c r="V48" i="66" s="1"/>
  <c r="U47" i="66"/>
  <c r="T47" i="66"/>
  <c r="V47" i="66" s="1"/>
  <c r="S43" i="66"/>
  <c r="R43" i="66"/>
  <c r="Q43" i="66"/>
  <c r="P43" i="66"/>
  <c r="O43" i="66"/>
  <c r="N43" i="66"/>
  <c r="M43" i="66"/>
  <c r="L43" i="66"/>
  <c r="K43" i="66"/>
  <c r="J43" i="66"/>
  <c r="I43" i="66"/>
  <c r="H43" i="66"/>
  <c r="G43" i="66"/>
  <c r="F43" i="66"/>
  <c r="E43" i="66"/>
  <c r="W43" i="66" s="1"/>
  <c r="D43" i="66"/>
  <c r="V43" i="66" s="1"/>
  <c r="W41" i="66"/>
  <c r="V41" i="66"/>
  <c r="U41" i="66"/>
  <c r="T41" i="66"/>
  <c r="W40" i="66"/>
  <c r="V40" i="66"/>
  <c r="U40" i="66"/>
  <c r="T40" i="66"/>
  <c r="W38" i="66"/>
  <c r="V38" i="66"/>
  <c r="U38" i="66"/>
  <c r="T38" i="66"/>
  <c r="W37" i="66"/>
  <c r="V37" i="66"/>
  <c r="U37" i="66"/>
  <c r="U43" i="66" s="1"/>
  <c r="T37" i="66"/>
  <c r="H34" i="66"/>
  <c r="S33" i="66"/>
  <c r="R33" i="66"/>
  <c r="Q33" i="66"/>
  <c r="P33" i="66"/>
  <c r="O33" i="66"/>
  <c r="N33" i="66"/>
  <c r="M33" i="66"/>
  <c r="L33" i="66"/>
  <c r="K33" i="66"/>
  <c r="J34" i="66" s="1"/>
  <c r="J33" i="66"/>
  <c r="I33" i="66"/>
  <c r="H33" i="66"/>
  <c r="G33" i="66"/>
  <c r="F34" i="66" s="1"/>
  <c r="F33" i="66"/>
  <c r="E33" i="66"/>
  <c r="D34" i="66" s="1"/>
  <c r="D33" i="66"/>
  <c r="V33" i="66" s="1"/>
  <c r="W31" i="66"/>
  <c r="V31" i="66"/>
  <c r="U31" i="66"/>
  <c r="T31" i="66"/>
  <c r="W30" i="66"/>
  <c r="V30" i="66"/>
  <c r="U30" i="66"/>
  <c r="T30" i="66"/>
  <c r="W28" i="66"/>
  <c r="V28" i="66"/>
  <c r="U28" i="66"/>
  <c r="T28" i="66"/>
  <c r="W27" i="66"/>
  <c r="V27" i="66"/>
  <c r="U27" i="66"/>
  <c r="T27" i="66"/>
  <c r="H23" i="66"/>
  <c r="S22" i="66"/>
  <c r="R22" i="66"/>
  <c r="Q22" i="66"/>
  <c r="P22" i="66"/>
  <c r="O22" i="66"/>
  <c r="N22" i="66"/>
  <c r="M22" i="66"/>
  <c r="L22" i="66"/>
  <c r="K22" i="66"/>
  <c r="J23" i="66" s="1"/>
  <c r="J22" i="66"/>
  <c r="I22" i="66"/>
  <c r="H22" i="66"/>
  <c r="G22" i="66"/>
  <c r="F23" i="66" s="1"/>
  <c r="F22" i="66"/>
  <c r="E22" i="66"/>
  <c r="D23" i="66" s="1"/>
  <c r="D22" i="66"/>
  <c r="V22" i="66" s="1"/>
  <c r="W20" i="66"/>
  <c r="V20" i="66"/>
  <c r="U20" i="66"/>
  <c r="T20" i="66"/>
  <c r="W19" i="66"/>
  <c r="V19" i="66"/>
  <c r="U19" i="66"/>
  <c r="T19" i="66"/>
  <c r="W17" i="66"/>
  <c r="V17" i="66"/>
  <c r="U17" i="66"/>
  <c r="T17" i="66"/>
  <c r="W16" i="66"/>
  <c r="V16" i="66"/>
  <c r="U16" i="66"/>
  <c r="T16" i="66"/>
  <c r="T22" i="66" s="1"/>
  <c r="L13" i="66"/>
  <c r="J13" i="66"/>
  <c r="S12" i="66"/>
  <c r="R12" i="66"/>
  <c r="Q12" i="66"/>
  <c r="P12" i="66"/>
  <c r="O12" i="66"/>
  <c r="N12" i="66"/>
  <c r="M12" i="66"/>
  <c r="L12" i="66"/>
  <c r="K12" i="66"/>
  <c r="J12" i="66"/>
  <c r="I12" i="66"/>
  <c r="H13" i="66" s="1"/>
  <c r="H12" i="66"/>
  <c r="G12" i="66"/>
  <c r="F13" i="66" s="1"/>
  <c r="F12" i="66"/>
  <c r="E12" i="66"/>
  <c r="W12" i="66" s="1"/>
  <c r="D12" i="66"/>
  <c r="V12" i="66" s="1"/>
  <c r="W10" i="66"/>
  <c r="V10" i="66"/>
  <c r="U10" i="66"/>
  <c r="T10" i="66"/>
  <c r="W9" i="66"/>
  <c r="V9" i="66"/>
  <c r="U9" i="66"/>
  <c r="T9" i="66"/>
  <c r="W7" i="66"/>
  <c r="V7" i="66"/>
  <c r="U7" i="66"/>
  <c r="T7" i="66"/>
  <c r="W6" i="66"/>
  <c r="V6" i="66"/>
  <c r="U6" i="66"/>
  <c r="T6" i="66"/>
  <c r="T60" i="66" l="1"/>
  <c r="U60" i="66"/>
  <c r="U64" i="66" s="1"/>
  <c r="U22" i="66"/>
  <c r="T33" i="66"/>
  <c r="U33" i="66"/>
  <c r="T43" i="66"/>
  <c r="T53" i="66"/>
  <c r="V53" i="66" s="1"/>
  <c r="U53" i="66"/>
  <c r="W53" i="66" s="1"/>
  <c r="X53" i="66"/>
  <c r="W47" i="66"/>
  <c r="T12" i="66"/>
  <c r="U12" i="66"/>
  <c r="W22" i="66"/>
  <c r="W33" i="66"/>
  <c r="U57" i="66"/>
  <c r="EJ38" i="65" l="1"/>
  <c r="EI100" i="65"/>
  <c r="ED92" i="65"/>
  <c r="N90" i="65"/>
  <c r="L90" i="65"/>
  <c r="I90" i="65"/>
  <c r="G90" i="65"/>
  <c r="N89" i="65"/>
  <c r="L89" i="65"/>
  <c r="I89" i="65"/>
  <c r="G89" i="65"/>
  <c r="N88" i="65"/>
  <c r="L88" i="65"/>
  <c r="I88" i="65"/>
  <c r="G88" i="65"/>
  <c r="N87" i="65"/>
  <c r="L87" i="65"/>
  <c r="I87" i="65"/>
  <c r="G87" i="65"/>
  <c r="N86" i="65"/>
  <c r="L86" i="65"/>
  <c r="I86" i="65"/>
  <c r="G86" i="65"/>
  <c r="N85" i="65"/>
  <c r="L85" i="65"/>
  <c r="I85" i="65"/>
  <c r="G85" i="65"/>
  <c r="N84" i="65"/>
  <c r="L84" i="65"/>
  <c r="I84" i="65"/>
  <c r="G84" i="65"/>
  <c r="N83" i="65"/>
  <c r="L83" i="65"/>
  <c r="I83" i="65"/>
  <c r="G83" i="65"/>
  <c r="N82" i="65"/>
  <c r="L82" i="65"/>
  <c r="I82" i="65"/>
  <c r="G82" i="65"/>
  <c r="N81" i="65"/>
  <c r="L81" i="65"/>
  <c r="I81" i="65"/>
  <c r="G81" i="65"/>
  <c r="N80" i="65"/>
  <c r="L80" i="65"/>
  <c r="I80" i="65"/>
  <c r="G80" i="65"/>
  <c r="N79" i="65"/>
  <c r="L79" i="65"/>
  <c r="I79" i="65"/>
  <c r="G79" i="65"/>
  <c r="N78" i="65"/>
  <c r="L78" i="65"/>
  <c r="I78" i="65"/>
  <c r="G78" i="65"/>
  <c r="N77" i="65"/>
  <c r="L77" i="65"/>
  <c r="I77" i="65"/>
  <c r="G77" i="65"/>
  <c r="N76" i="65"/>
  <c r="L76" i="65"/>
  <c r="I76" i="65"/>
  <c r="G76" i="65"/>
  <c r="N75" i="65"/>
  <c r="L75" i="65"/>
  <c r="I75" i="65"/>
  <c r="G75" i="65"/>
  <c r="N74" i="65"/>
  <c r="L74" i="65"/>
  <c r="I74" i="65"/>
  <c r="G74" i="65"/>
  <c r="N73" i="65"/>
  <c r="L73" i="65"/>
  <c r="I73" i="65"/>
  <c r="G73" i="65"/>
  <c r="N72" i="65"/>
  <c r="L72" i="65"/>
  <c r="I72" i="65"/>
  <c r="G72" i="65"/>
  <c r="N71" i="65"/>
  <c r="L71" i="65"/>
  <c r="I71" i="65"/>
  <c r="G71" i="65"/>
  <c r="N70" i="65"/>
  <c r="L70" i="65"/>
  <c r="I70" i="65"/>
  <c r="G70" i="65"/>
  <c r="N69" i="65"/>
  <c r="N91" i="65" s="1"/>
  <c r="L69" i="65"/>
  <c r="L91" i="65" s="1"/>
  <c r="I69" i="65"/>
  <c r="I91" i="65" s="1"/>
  <c r="G69" i="65"/>
  <c r="G91" i="65" s="1"/>
  <c r="K66" i="65"/>
  <c r="K65" i="65"/>
  <c r="N64" i="65"/>
  <c r="M64" i="65"/>
  <c r="L64" i="65"/>
  <c r="I64" i="65"/>
  <c r="H64" i="65"/>
  <c r="G64" i="65"/>
  <c r="F64" i="65"/>
  <c r="K64" i="65" s="1"/>
  <c r="N63" i="65"/>
  <c r="M63" i="65"/>
  <c r="L63" i="65"/>
  <c r="I63" i="65"/>
  <c r="H63" i="65"/>
  <c r="G63" i="65"/>
  <c r="F63" i="65"/>
  <c r="K63" i="65" s="1"/>
  <c r="N62" i="65"/>
  <c r="M62" i="65"/>
  <c r="L62" i="65"/>
  <c r="I62" i="65"/>
  <c r="H62" i="65"/>
  <c r="G62" i="65"/>
  <c r="F62" i="65"/>
  <c r="K62" i="65" s="1"/>
  <c r="N61" i="65"/>
  <c r="M61" i="65"/>
  <c r="L61" i="65"/>
  <c r="I61" i="65"/>
  <c r="H61" i="65"/>
  <c r="G61" i="65"/>
  <c r="F61" i="65"/>
  <c r="K61" i="65" s="1"/>
  <c r="N60" i="65"/>
  <c r="M60" i="65"/>
  <c r="L60" i="65"/>
  <c r="I60" i="65"/>
  <c r="H60" i="65"/>
  <c r="G60" i="65"/>
  <c r="F60" i="65"/>
  <c r="K60" i="65" s="1"/>
  <c r="N59" i="65"/>
  <c r="M59" i="65"/>
  <c r="L59" i="65"/>
  <c r="I59" i="65"/>
  <c r="H59" i="65"/>
  <c r="G59" i="65"/>
  <c r="F59" i="65"/>
  <c r="K59" i="65" s="1"/>
  <c r="N58" i="65"/>
  <c r="M58" i="65"/>
  <c r="L58" i="65"/>
  <c r="I58" i="65"/>
  <c r="H58" i="65"/>
  <c r="G58" i="65"/>
  <c r="F58" i="65"/>
  <c r="K58" i="65" s="1"/>
  <c r="N57" i="65"/>
  <c r="M57" i="65"/>
  <c r="L57" i="65"/>
  <c r="I57" i="65"/>
  <c r="H57" i="65"/>
  <c r="G57" i="65"/>
  <c r="F57" i="65"/>
  <c r="K57" i="65" s="1"/>
  <c r="N56" i="65"/>
  <c r="M56" i="65"/>
  <c r="L56" i="65"/>
  <c r="I56" i="65"/>
  <c r="H56" i="65"/>
  <c r="G56" i="65"/>
  <c r="F56" i="65"/>
  <c r="K56" i="65" s="1"/>
  <c r="N55" i="65"/>
  <c r="M55" i="65"/>
  <c r="L55" i="65"/>
  <c r="I55" i="65"/>
  <c r="H55" i="65"/>
  <c r="G55" i="65"/>
  <c r="F55" i="65"/>
  <c r="K55" i="65" s="1"/>
  <c r="N54" i="65"/>
  <c r="M54" i="65"/>
  <c r="L54" i="65"/>
  <c r="I54" i="65"/>
  <c r="H54" i="65"/>
  <c r="G54" i="65"/>
  <c r="F54" i="65"/>
  <c r="K54" i="65" s="1"/>
  <c r="N53" i="65"/>
  <c r="M53" i="65"/>
  <c r="L53" i="65"/>
  <c r="I53" i="65"/>
  <c r="H53" i="65"/>
  <c r="G53" i="65"/>
  <c r="F53" i="65"/>
  <c r="K53" i="65" s="1"/>
  <c r="N52" i="65"/>
  <c r="M52" i="65"/>
  <c r="L52" i="65"/>
  <c r="I52" i="65"/>
  <c r="H52" i="65"/>
  <c r="G52" i="65"/>
  <c r="F52" i="65"/>
  <c r="K52" i="65" s="1"/>
  <c r="N51" i="65"/>
  <c r="M51" i="65"/>
  <c r="L51" i="65"/>
  <c r="I51" i="65"/>
  <c r="H51" i="65"/>
  <c r="G51" i="65"/>
  <c r="F51" i="65"/>
  <c r="K51" i="65" s="1"/>
  <c r="N50" i="65"/>
  <c r="M50" i="65"/>
  <c r="L50" i="65"/>
  <c r="I50" i="65"/>
  <c r="H50" i="65"/>
  <c r="G50" i="65"/>
  <c r="F50" i="65"/>
  <c r="K50" i="65" s="1"/>
  <c r="N49" i="65"/>
  <c r="M49" i="65"/>
  <c r="L49" i="65"/>
  <c r="I49" i="65"/>
  <c r="H49" i="65"/>
  <c r="G49" i="65"/>
  <c r="F49" i="65"/>
  <c r="K49" i="65" s="1"/>
  <c r="N48" i="65"/>
  <c r="M48" i="65"/>
  <c r="L48" i="65"/>
  <c r="I48" i="65"/>
  <c r="H48" i="65"/>
  <c r="G48" i="65"/>
  <c r="F48" i="65"/>
  <c r="K48" i="65" s="1"/>
  <c r="N47" i="65"/>
  <c r="M47" i="65"/>
  <c r="L47" i="65"/>
  <c r="I47" i="65"/>
  <c r="H47" i="65"/>
  <c r="G47" i="65"/>
  <c r="F47" i="65"/>
  <c r="K47" i="65" s="1"/>
  <c r="N46" i="65"/>
  <c r="N67" i="65" s="1"/>
  <c r="M46" i="65"/>
  <c r="M67" i="65" s="1"/>
  <c r="L46" i="65"/>
  <c r="L67" i="65" s="1"/>
  <c r="I46" i="65"/>
  <c r="I67" i="65" s="1"/>
  <c r="H46" i="65"/>
  <c r="H67" i="65" s="1"/>
  <c r="G46" i="65"/>
  <c r="G67" i="65" s="1"/>
  <c r="F46" i="65"/>
  <c r="K46" i="65" s="1"/>
  <c r="CZ45" i="65"/>
  <c r="BC45" i="65"/>
  <c r="EW44" i="65"/>
  <c r="EW42" i="65" s="1"/>
  <c r="BC44" i="65"/>
  <c r="AS43" i="65"/>
  <c r="AQ43" i="65"/>
  <c r="AO43" i="65"/>
  <c r="AM43" i="65"/>
  <c r="AL43" i="65"/>
  <c r="AJ43" i="65"/>
  <c r="AH43" i="65"/>
  <c r="AS42" i="65"/>
  <c r="Y42" i="65"/>
  <c r="DO41" i="65"/>
  <c r="AA41" i="65"/>
  <c r="CQ40" i="65"/>
  <c r="CO40" i="65"/>
  <c r="BP40" i="65"/>
  <c r="AA40" i="65"/>
  <c r="Y40" i="65"/>
  <c r="Y43" i="65" s="1"/>
  <c r="FF39" i="65"/>
  <c r="DX39" i="65"/>
  <c r="BC39" i="65"/>
  <c r="AX39" i="65"/>
  <c r="FF38" i="65"/>
  <c r="FE38" i="65"/>
  <c r="FE39" i="65" s="1"/>
  <c r="FD38" i="65"/>
  <c r="FD39" i="65" s="1"/>
  <c r="EM38" i="65"/>
  <c r="EL38" i="65"/>
  <c r="EK38" i="65"/>
  <c r="EH38" i="65"/>
  <c r="EG38" i="65"/>
  <c r="EF38" i="65"/>
  <c r="EE38" i="65"/>
  <c r="BC40" i="65" s="1"/>
  <c r="ED38" i="65"/>
  <c r="DX38" i="65"/>
  <c r="DW38" i="65"/>
  <c r="DV38" i="65"/>
  <c r="DR38" i="65"/>
  <c r="DQ38" i="65"/>
  <c r="DP38" i="65"/>
  <c r="DO38" i="65"/>
  <c r="DN38" i="65"/>
  <c r="DM38" i="65"/>
  <c r="DK38" i="65"/>
  <c r="DJ38" i="65"/>
  <c r="DI38" i="65"/>
  <c r="DH38" i="65"/>
  <c r="DG38" i="65"/>
  <c r="AG40" i="65" s="1"/>
  <c r="DF38" i="65"/>
  <c r="DE38" i="65"/>
  <c r="DD38" i="65"/>
  <c r="DB38" i="65"/>
  <c r="DA38" i="65"/>
  <c r="CZ38" i="65"/>
  <c r="CX38" i="65"/>
  <c r="CX40" i="65" s="1"/>
  <c r="CW38" i="65"/>
  <c r="CV38" i="65"/>
  <c r="CU38" i="65"/>
  <c r="CU39" i="65" s="1"/>
  <c r="CT38" i="65"/>
  <c r="CS38" i="65"/>
  <c r="CR38" i="65"/>
  <c r="CQ38" i="65"/>
  <c r="CO38" i="65"/>
  <c r="CN38" i="65"/>
  <c r="CN39" i="65" s="1"/>
  <c r="CM38" i="65"/>
  <c r="CL38" i="65"/>
  <c r="CL42" i="65" s="1"/>
  <c r="CK38" i="65"/>
  <c r="CK42" i="65" s="1"/>
  <c r="CJ38" i="65"/>
  <c r="CI38" i="65"/>
  <c r="CH38" i="65"/>
  <c r="CF38" i="65"/>
  <c r="CE38" i="65"/>
  <c r="CD38" i="65"/>
  <c r="CC38" i="65"/>
  <c r="CH41" i="65" s="1"/>
  <c r="CA38" i="65"/>
  <c r="BZ38" i="65"/>
  <c r="BY38" i="65"/>
  <c r="BX38" i="65"/>
  <c r="BV38" i="65"/>
  <c r="BT38" i="65"/>
  <c r="BS38" i="65"/>
  <c r="CZ34" i="65" s="1"/>
  <c r="BQ38" i="65"/>
  <c r="CX34" i="65" s="1"/>
  <c r="CX42" i="65" s="1"/>
  <c r="BP38" i="65"/>
  <c r="DV41" i="65" s="1"/>
  <c r="BO38" i="65"/>
  <c r="BO39" i="65" s="1"/>
  <c r="BN38" i="65"/>
  <c r="BM38" i="65"/>
  <c r="BK38" i="65"/>
  <c r="BI38" i="65"/>
  <c r="BH38" i="65"/>
  <c r="BG38" i="65"/>
  <c r="BG40" i="65" s="1"/>
  <c r="BE38" i="65"/>
  <c r="BE40" i="65" s="1"/>
  <c r="BD38" i="65"/>
  <c r="BC38" i="65"/>
  <c r="BB38" i="65"/>
  <c r="BA38" i="65"/>
  <c r="BA45" i="65" s="1"/>
  <c r="AZ38" i="65"/>
  <c r="AY38" i="65"/>
  <c r="AY45" i="65" s="1"/>
  <c r="AX38" i="65"/>
  <c r="AW38" i="65"/>
  <c r="AV38" i="65"/>
  <c r="AT38" i="65"/>
  <c r="AS38" i="65"/>
  <c r="AS40" i="65" s="1"/>
  <c r="AS41" i="65" s="1"/>
  <c r="AR38" i="65"/>
  <c r="AR40" i="65" s="1"/>
  <c r="AQ38" i="65"/>
  <c r="AQ40" i="65" s="1"/>
  <c r="AO38" i="65"/>
  <c r="AO40" i="65" s="1"/>
  <c r="AM38" i="65"/>
  <c r="AL38" i="65"/>
  <c r="AK38" i="65"/>
  <c r="AJ38" i="65"/>
  <c r="AH38" i="65"/>
  <c r="AF38" i="65"/>
  <c r="AF40" i="65" s="1"/>
  <c r="AF41" i="65" s="1"/>
  <c r="AE38" i="65"/>
  <c r="AE40" i="65" s="1"/>
  <c r="AE42" i="65" s="1"/>
  <c r="AD38" i="65"/>
  <c r="AD40" i="65" s="1"/>
  <c r="AC38" i="65"/>
  <c r="AC41" i="65" s="1"/>
  <c r="AA38" i="65"/>
  <c r="Z38" i="65"/>
  <c r="Y38" i="65"/>
  <c r="X38" i="65"/>
  <c r="W38" i="65"/>
  <c r="U38" i="65"/>
  <c r="T38" i="65"/>
  <c r="S38" i="65"/>
  <c r="S43" i="65" s="1"/>
  <c r="R38" i="65"/>
  <c r="Q38" i="65"/>
  <c r="P38" i="65"/>
  <c r="O38" i="65"/>
  <c r="K38" i="65"/>
  <c r="D38" i="65"/>
  <c r="C38" i="65"/>
  <c r="B38" i="65"/>
  <c r="EJ37" i="65"/>
  <c r="EI37" i="65"/>
  <c r="ED37" i="65"/>
  <c r="ED42" i="65" s="1"/>
  <c r="CZ37" i="65"/>
  <c r="CX37" i="65"/>
  <c r="EJ36" i="65"/>
  <c r="BJ35" i="65"/>
  <c r="EI35" i="65" s="1"/>
  <c r="EI38" i="65" s="1"/>
  <c r="EM34" i="65"/>
  <c r="EM37" i="65" s="1"/>
  <c r="EL34" i="65"/>
  <c r="EJ34" i="65"/>
  <c r="EI34" i="65"/>
  <c r="FB22" i="65"/>
  <c r="FA22" i="65"/>
  <c r="EZ22" i="65"/>
  <c r="EY22" i="65"/>
  <c r="EX22" i="65"/>
  <c r="EU22" i="65"/>
  <c r="ES22" i="65"/>
  <c r="EW22" i="65" s="1"/>
  <c r="ER22" i="65"/>
  <c r="EN22" i="65"/>
  <c r="EV22" i="65" s="1"/>
  <c r="EJ22" i="65"/>
  <c r="EC22" i="65"/>
  <c r="EB22" i="65"/>
  <c r="DZ22" i="65"/>
  <c r="DY22" i="65"/>
  <c r="DU22" i="65"/>
  <c r="DT22" i="65"/>
  <c r="DS22" i="65"/>
  <c r="EA22" i="65" s="1"/>
  <c r="BU22" i="65"/>
  <c r="FC22" i="65" s="1"/>
  <c r="FC21" i="65"/>
  <c r="FB21" i="65"/>
  <c r="FA21" i="65"/>
  <c r="EZ21" i="65"/>
  <c r="EY21" i="65"/>
  <c r="EX21" i="65"/>
  <c r="EU21" i="65"/>
  <c r="ES21" i="65"/>
  <c r="EW21" i="65" s="1"/>
  <c r="ER21" i="65"/>
  <c r="EN21" i="65"/>
  <c r="EV21" i="65" s="1"/>
  <c r="EJ21" i="65"/>
  <c r="EC21" i="65"/>
  <c r="EA21" i="65"/>
  <c r="DY21" i="65"/>
  <c r="DU21" i="65"/>
  <c r="DT21" i="65"/>
  <c r="EB21" i="65" s="1"/>
  <c r="DS21" i="65"/>
  <c r="BU21" i="65"/>
  <c r="EI21" i="65" s="1"/>
  <c r="FB20" i="65"/>
  <c r="FA20" i="65"/>
  <c r="EZ20" i="65"/>
  <c r="EY20" i="65"/>
  <c r="EX20" i="65"/>
  <c r="EU20" i="65"/>
  <c r="ES20" i="65"/>
  <c r="EW20" i="65" s="1"/>
  <c r="ER20" i="65"/>
  <c r="EN20" i="65"/>
  <c r="EV20" i="65" s="1"/>
  <c r="EI20" i="65" s="1"/>
  <c r="EJ20" i="65"/>
  <c r="EC20" i="65"/>
  <c r="DU20" i="65"/>
  <c r="DT20" i="65"/>
  <c r="DZ20" i="65" s="1"/>
  <c r="DS20" i="65"/>
  <c r="EA20" i="65" s="1"/>
  <c r="BU20" i="65"/>
  <c r="FC20" i="65" s="1"/>
  <c r="FB19" i="65"/>
  <c r="FA19" i="65"/>
  <c r="EZ19" i="65"/>
  <c r="EY19" i="65"/>
  <c r="EX19" i="65"/>
  <c r="EW19" i="65"/>
  <c r="EU19" i="65"/>
  <c r="ES19" i="65"/>
  <c r="ER19" i="65"/>
  <c r="EV19" i="65" s="1"/>
  <c r="EN19" i="65"/>
  <c r="EJ19" i="65"/>
  <c r="EC19" i="65"/>
  <c r="DU19" i="65"/>
  <c r="DT19" i="65"/>
  <c r="DZ19" i="65" s="1"/>
  <c r="DS19" i="65"/>
  <c r="DY19" i="65" s="1"/>
  <c r="BU19" i="65"/>
  <c r="FC19" i="65" s="1"/>
  <c r="FB18" i="65"/>
  <c r="FA18" i="65"/>
  <c r="EZ18" i="65"/>
  <c r="EX18" i="65"/>
  <c r="EW18" i="65"/>
  <c r="EV18" i="65"/>
  <c r="EU18" i="65"/>
  <c r="EY18" i="65" s="1"/>
  <c r="ES18" i="65"/>
  <c r="ER18" i="65"/>
  <c r="EN18" i="65"/>
  <c r="EJ18" i="65"/>
  <c r="EC18" i="65"/>
  <c r="EB18" i="65"/>
  <c r="DZ18" i="65"/>
  <c r="DU18" i="65"/>
  <c r="DT18" i="65"/>
  <c r="DS18" i="65"/>
  <c r="DY18" i="65" s="1"/>
  <c r="BU18" i="65"/>
  <c r="EI18" i="65" s="1"/>
  <c r="FC17" i="65"/>
  <c r="FB17" i="65"/>
  <c r="FA17" i="65"/>
  <c r="EZ17" i="65"/>
  <c r="EX17" i="65"/>
  <c r="EW17" i="65"/>
  <c r="EV17" i="65"/>
  <c r="EU17" i="65"/>
  <c r="EY17" i="65" s="1"/>
  <c r="ES17" i="65"/>
  <c r="ER17" i="65"/>
  <c r="EN17" i="65"/>
  <c r="EJ17" i="65"/>
  <c r="EC17" i="65"/>
  <c r="EB17" i="65"/>
  <c r="EA17" i="65"/>
  <c r="DZ17" i="65"/>
  <c r="DY17" i="65"/>
  <c r="DU17" i="65"/>
  <c r="DT17" i="65"/>
  <c r="DS17" i="65"/>
  <c r="BU17" i="65"/>
  <c r="EI17" i="65" s="1"/>
  <c r="FC16" i="65"/>
  <c r="FB16" i="65"/>
  <c r="FA16" i="65"/>
  <c r="EZ16" i="65"/>
  <c r="EX16" i="65"/>
  <c r="EV16" i="65"/>
  <c r="EI16" i="65" s="1"/>
  <c r="EU16" i="65"/>
  <c r="EY16" i="65" s="1"/>
  <c r="ES16" i="65"/>
  <c r="EW16" i="65" s="1"/>
  <c r="ER16" i="65"/>
  <c r="EN16" i="65"/>
  <c r="EJ16" i="65"/>
  <c r="EC16" i="65"/>
  <c r="EB16" i="65"/>
  <c r="EA16" i="65"/>
  <c r="DZ16" i="65"/>
  <c r="DY16" i="65"/>
  <c r="DU16" i="65"/>
  <c r="DT16" i="65"/>
  <c r="DS16" i="65"/>
  <c r="BU16" i="65"/>
  <c r="FC15" i="65"/>
  <c r="FB15" i="65"/>
  <c r="FA15" i="65"/>
  <c r="EZ15" i="65"/>
  <c r="EX15" i="65"/>
  <c r="EU15" i="65"/>
  <c r="EY15" i="65" s="1"/>
  <c r="ES15" i="65"/>
  <c r="EW15" i="65" s="1"/>
  <c r="ER15" i="65"/>
  <c r="EN15" i="65"/>
  <c r="EV15" i="65" s="1"/>
  <c r="EJ15" i="65"/>
  <c r="EC15" i="65"/>
  <c r="EA15" i="65"/>
  <c r="DZ15" i="65"/>
  <c r="DY15" i="65"/>
  <c r="DU15" i="65"/>
  <c r="DT15" i="65"/>
  <c r="EB15" i="65" s="1"/>
  <c r="DS15" i="65"/>
  <c r="BU15" i="65"/>
  <c r="EI15" i="65" s="1"/>
  <c r="FB14" i="65"/>
  <c r="FA14" i="65"/>
  <c r="EZ14" i="65"/>
  <c r="EY14" i="65"/>
  <c r="EX14" i="65"/>
  <c r="EU14" i="65"/>
  <c r="ES14" i="65"/>
  <c r="EW14" i="65" s="1"/>
  <c r="ER14" i="65"/>
  <c r="EN14" i="65"/>
  <c r="EV14" i="65" s="1"/>
  <c r="EJ14" i="65"/>
  <c r="EC14" i="65"/>
  <c r="EB14" i="65"/>
  <c r="DZ14" i="65"/>
  <c r="DY14" i="65"/>
  <c r="DU14" i="65"/>
  <c r="DU38" i="65" s="1"/>
  <c r="DU39" i="65" s="1"/>
  <c r="DT14" i="65"/>
  <c r="DS14" i="65"/>
  <c r="EA14" i="65" s="1"/>
  <c r="BU14" i="65"/>
  <c r="FC14" i="65" s="1"/>
  <c r="FC13" i="65"/>
  <c r="FB13" i="65"/>
  <c r="FA13" i="65"/>
  <c r="EZ13" i="65"/>
  <c r="EZ38" i="65" s="1"/>
  <c r="EY13" i="65"/>
  <c r="EX13" i="65"/>
  <c r="EW13" i="65"/>
  <c r="EU13" i="65"/>
  <c r="ES13" i="65"/>
  <c r="ER13" i="65"/>
  <c r="EN13" i="65"/>
  <c r="EV13" i="65" s="1"/>
  <c r="EI13" i="65" s="1"/>
  <c r="EJ13" i="65"/>
  <c r="EC13" i="65"/>
  <c r="EA13" i="65"/>
  <c r="DY13" i="65"/>
  <c r="DU13" i="65"/>
  <c r="DT13" i="65"/>
  <c r="EB13" i="65" s="1"/>
  <c r="DS13" i="65"/>
  <c r="BU13" i="65"/>
  <c r="FB12" i="65"/>
  <c r="FA12" i="65"/>
  <c r="EZ12" i="65"/>
  <c r="EY12" i="65"/>
  <c r="EX12" i="65"/>
  <c r="EU12" i="65"/>
  <c r="ES12" i="65"/>
  <c r="EW12" i="65" s="1"/>
  <c r="ER12" i="65"/>
  <c r="EN12" i="65"/>
  <c r="EV12" i="65" s="1"/>
  <c r="EI12" i="65" s="1"/>
  <c r="EJ12" i="65"/>
  <c r="EC12" i="65"/>
  <c r="DU12" i="65"/>
  <c r="DT12" i="65"/>
  <c r="DZ12" i="65" s="1"/>
  <c r="DS12" i="65"/>
  <c r="EA12" i="65" s="1"/>
  <c r="BU12" i="65"/>
  <c r="FC12" i="65" s="1"/>
  <c r="FB11" i="65"/>
  <c r="FA11" i="65"/>
  <c r="EZ11" i="65"/>
  <c r="EY11" i="65"/>
  <c r="EX11" i="65"/>
  <c r="EW11" i="65"/>
  <c r="EU11" i="65"/>
  <c r="ES11" i="65"/>
  <c r="ER11" i="65"/>
  <c r="EV11" i="65" s="1"/>
  <c r="EN11" i="65"/>
  <c r="EJ11" i="65"/>
  <c r="EC11" i="65"/>
  <c r="DU11" i="65"/>
  <c r="DT11" i="65"/>
  <c r="DZ11" i="65" s="1"/>
  <c r="DS11" i="65"/>
  <c r="DY11" i="65" s="1"/>
  <c r="BU11" i="65"/>
  <c r="EI11" i="65" s="1"/>
  <c r="FB10" i="65"/>
  <c r="FA10" i="65"/>
  <c r="EZ10" i="65"/>
  <c r="EX10" i="65"/>
  <c r="EW10" i="65"/>
  <c r="EV10" i="65"/>
  <c r="EU10" i="65"/>
  <c r="EY10" i="65" s="1"/>
  <c r="ES10" i="65"/>
  <c r="ER10" i="65"/>
  <c r="EN10" i="65"/>
  <c r="EJ10" i="65"/>
  <c r="EC10" i="65"/>
  <c r="EB10" i="65"/>
  <c r="DZ10" i="65"/>
  <c r="DU10" i="65"/>
  <c r="DT10" i="65"/>
  <c r="DS10" i="65"/>
  <c r="DY10" i="65" s="1"/>
  <c r="BU10" i="65"/>
  <c r="EI10" i="65" s="1"/>
  <c r="FC9" i="65"/>
  <c r="FB9" i="65"/>
  <c r="FA9" i="65"/>
  <c r="EZ9" i="65"/>
  <c r="EX9" i="65"/>
  <c r="EW9" i="65"/>
  <c r="EV9" i="65"/>
  <c r="EU9" i="65"/>
  <c r="EY9" i="65" s="1"/>
  <c r="ES9" i="65"/>
  <c r="ER9" i="65"/>
  <c r="EN9" i="65"/>
  <c r="EJ9" i="65"/>
  <c r="EC9" i="65"/>
  <c r="EB9" i="65"/>
  <c r="EA9" i="65"/>
  <c r="DU9" i="65"/>
  <c r="BU9" i="65"/>
  <c r="EI9" i="65" s="1"/>
  <c r="FB8" i="65"/>
  <c r="FA8" i="65"/>
  <c r="EZ8" i="65"/>
  <c r="EY8" i="65"/>
  <c r="EX8" i="65"/>
  <c r="EW8" i="65"/>
  <c r="EU8" i="65"/>
  <c r="ES8" i="65"/>
  <c r="ER8" i="65"/>
  <c r="EN8" i="65"/>
  <c r="EV8" i="65" s="1"/>
  <c r="EI8" i="65" s="1"/>
  <c r="EJ8" i="65"/>
  <c r="EC8" i="65"/>
  <c r="DU8" i="65"/>
  <c r="DT8" i="65"/>
  <c r="DZ8" i="65" s="1"/>
  <c r="DS8" i="65"/>
  <c r="EA8" i="65" s="1"/>
  <c r="BU8" i="65"/>
  <c r="FC8" i="65" s="1"/>
  <c r="FB7" i="65"/>
  <c r="FA7" i="65"/>
  <c r="EZ7" i="65"/>
  <c r="EY7" i="65"/>
  <c r="EX7" i="65"/>
  <c r="EW7" i="65"/>
  <c r="EV7" i="65"/>
  <c r="EU7" i="65"/>
  <c r="ES7" i="65"/>
  <c r="ER7" i="65"/>
  <c r="EN7" i="65"/>
  <c r="EJ7" i="65"/>
  <c r="EC7" i="65"/>
  <c r="DU7" i="65"/>
  <c r="DT7" i="65"/>
  <c r="DZ7" i="65" s="1"/>
  <c r="DS7" i="65"/>
  <c r="DY7" i="65" s="1"/>
  <c r="BU7" i="65"/>
  <c r="FC7" i="65" s="1"/>
  <c r="FB6" i="65"/>
  <c r="FA6" i="65"/>
  <c r="EZ6" i="65"/>
  <c r="EX6" i="65"/>
  <c r="EW6" i="65"/>
  <c r="EV6" i="65"/>
  <c r="EU6" i="65"/>
  <c r="EY6" i="65" s="1"/>
  <c r="ES6" i="65"/>
  <c r="ER6" i="65"/>
  <c r="EN6" i="65"/>
  <c r="EJ6" i="65"/>
  <c r="EC6" i="65"/>
  <c r="EC38" i="65" s="1"/>
  <c r="EB6" i="65"/>
  <c r="DZ6" i="65"/>
  <c r="DU6" i="65"/>
  <c r="DT6" i="65"/>
  <c r="DS6" i="65"/>
  <c r="DY6" i="65" s="1"/>
  <c r="BU6" i="65"/>
  <c r="FC6" i="65" s="1"/>
  <c r="FC5" i="65"/>
  <c r="FB5" i="65"/>
  <c r="FA5" i="65"/>
  <c r="EZ5" i="65"/>
  <c r="EX5" i="65"/>
  <c r="EW5" i="65"/>
  <c r="EV5" i="65"/>
  <c r="EU5" i="65"/>
  <c r="EY5" i="65" s="1"/>
  <c r="ES5" i="65"/>
  <c r="ER5" i="65"/>
  <c r="EN5" i="65"/>
  <c r="EJ5" i="65"/>
  <c r="EC5" i="65"/>
  <c r="EB5" i="65"/>
  <c r="EA5" i="65"/>
  <c r="DZ5" i="65"/>
  <c r="DY5" i="65"/>
  <c r="DU5" i="65"/>
  <c r="DT5" i="65"/>
  <c r="DS5" i="65"/>
  <c r="BU5" i="65"/>
  <c r="EI5" i="65" s="1"/>
  <c r="FC4" i="65"/>
  <c r="FB4" i="65"/>
  <c r="FA4" i="65"/>
  <c r="EZ4" i="65"/>
  <c r="EX4" i="65"/>
  <c r="EV4" i="65"/>
  <c r="EI4" i="65" s="1"/>
  <c r="EU4" i="65"/>
  <c r="EY4" i="65" s="1"/>
  <c r="ES4" i="65"/>
  <c r="EW4" i="65" s="1"/>
  <c r="ER4" i="65"/>
  <c r="EN4" i="65"/>
  <c r="EJ4" i="65"/>
  <c r="EC4" i="65"/>
  <c r="EB4" i="65"/>
  <c r="EA4" i="65"/>
  <c r="DZ4" i="65"/>
  <c r="DY4" i="65"/>
  <c r="DU4" i="65"/>
  <c r="DT4" i="65"/>
  <c r="DS4" i="65"/>
  <c r="BU4" i="65"/>
  <c r="FC3" i="65"/>
  <c r="FB3" i="65"/>
  <c r="FB38" i="65" s="1"/>
  <c r="FA3" i="65"/>
  <c r="FA38" i="65" s="1"/>
  <c r="EZ3" i="65"/>
  <c r="EX3" i="65"/>
  <c r="EX38" i="65" s="1"/>
  <c r="EU3" i="65"/>
  <c r="EU38" i="65" s="1"/>
  <c r="EU39" i="65" s="1"/>
  <c r="ES3" i="65"/>
  <c r="EW3" i="65" s="1"/>
  <c r="ER3" i="65"/>
  <c r="EN3" i="65"/>
  <c r="EN34" i="65" s="1"/>
  <c r="EJ3" i="65"/>
  <c r="EC3" i="65"/>
  <c r="EA3" i="65"/>
  <c r="DZ3" i="65"/>
  <c r="DY3" i="65"/>
  <c r="DU3" i="65"/>
  <c r="DT3" i="65"/>
  <c r="EB3" i="65" s="1"/>
  <c r="DS3" i="65"/>
  <c r="DS38" i="65" s="1"/>
  <c r="BU3" i="65"/>
  <c r="EI110" i="65" l="1"/>
  <c r="EI40" i="65"/>
  <c r="BJ38" i="65"/>
  <c r="BJ39" i="65" s="1"/>
  <c r="EW40" i="65"/>
  <c r="EW38" i="65"/>
  <c r="DZ38" i="65"/>
  <c r="BC41" i="65"/>
  <c r="BC42" i="65" s="1"/>
  <c r="CZ40" i="65"/>
  <c r="EI7" i="65"/>
  <c r="EI19" i="65"/>
  <c r="EI6" i="65"/>
  <c r="EY3" i="65"/>
  <c r="EY38" i="65" s="1"/>
  <c r="EI99" i="65" s="1"/>
  <c r="EI101" i="65" s="1"/>
  <c r="EA7" i="65"/>
  <c r="EB8" i="65"/>
  <c r="EB38" i="65" s="1"/>
  <c r="EA11" i="65"/>
  <c r="FC11" i="65"/>
  <c r="EB12" i="65"/>
  <c r="EI14" i="65"/>
  <c r="EA19" i="65"/>
  <c r="EB20" i="65"/>
  <c r="EI22" i="65"/>
  <c r="EE40" i="65"/>
  <c r="BA42" i="65"/>
  <c r="EA6" i="65"/>
  <c r="EA38" i="65" s="1"/>
  <c r="EB7" i="65"/>
  <c r="EA10" i="65"/>
  <c r="FC10" i="65"/>
  <c r="FC38" i="65" s="1"/>
  <c r="EB11" i="65"/>
  <c r="EA18" i="65"/>
  <c r="FC18" i="65"/>
  <c r="EB19" i="65"/>
  <c r="DT38" i="65"/>
  <c r="DT41" i="65" s="1"/>
  <c r="AS39" i="65"/>
  <c r="DW39" i="65"/>
  <c r="BI40" i="65"/>
  <c r="BI41" i="65" s="1"/>
  <c r="DU41" i="65" s="1"/>
  <c r="ED45" i="65"/>
  <c r="EV3" i="65"/>
  <c r="EV38" i="65" s="1"/>
  <c r="EV39" i="65" s="1"/>
  <c r="DY8" i="65"/>
  <c r="DY38" i="65" s="1"/>
  <c r="DY12" i="65"/>
  <c r="DZ13" i="65"/>
  <c r="DY20" i="65"/>
  <c r="DZ21" i="65"/>
  <c r="BU38" i="65"/>
  <c r="AC40" i="65"/>
  <c r="CZ42" i="65"/>
  <c r="AY42" i="65"/>
  <c r="DY39" i="65" l="1"/>
  <c r="DY41" i="65" s="1"/>
  <c r="DW43" i="65"/>
  <c r="CJ41" i="65"/>
  <c r="ED34" i="65"/>
  <c r="DZ39" i="65"/>
  <c r="DZ41" i="65" s="1"/>
  <c r="DX43" i="65"/>
  <c r="EI3" i="65"/>
  <c r="EJ40" i="65" l="1"/>
  <c r="ED94" i="65"/>
  <c r="ED40" i="65"/>
  <c r="ED41" i="65" s="1"/>
  <c r="ED93" i="65" s="1"/>
  <c r="ED43" i="65"/>
  <c r="EW39" i="65" l="1"/>
  <c r="EW41" i="65" s="1"/>
  <c r="EI44" i="65"/>
  <c r="EI103" i="65" s="1"/>
  <c r="EI93" i="65"/>
  <c r="E12" i="1" l="1"/>
  <c r="E22" i="1" l="1"/>
  <c r="E32" i="1" s="1"/>
  <c r="I6" i="20" l="1"/>
  <c r="I5" i="21"/>
  <c r="E6" i="21" l="1"/>
  <c r="F5" i="21"/>
  <c r="F7" i="21" s="1"/>
  <c r="E9" i="20"/>
  <c r="G9" i="20" s="1"/>
  <c r="F8" i="20"/>
  <c r="F10" i="20" s="1"/>
  <c r="C354" i="11" l="1"/>
  <c r="C296" i="11"/>
  <c r="C282" i="11"/>
  <c r="C262" i="11"/>
  <c r="C226" i="11"/>
  <c r="E207" i="11"/>
  <c r="C17" i="11"/>
  <c r="C207" i="11" s="1"/>
  <c r="C359" i="11" s="1"/>
  <c r="D210" i="11" l="1"/>
  <c r="C374" i="10" l="1"/>
  <c r="C369" i="10"/>
  <c r="C332" i="10"/>
  <c r="C323" i="10"/>
  <c r="C322" i="10"/>
  <c r="C304" i="10"/>
  <c r="C257" i="10"/>
  <c r="E238" i="10"/>
  <c r="C238" i="10"/>
  <c r="D241" i="10" l="1"/>
  <c r="C409" i="9" l="1"/>
  <c r="C407" i="9" l="1"/>
  <c r="C360" i="9"/>
  <c r="C347" i="9"/>
  <c r="C326" i="9"/>
  <c r="C297" i="9"/>
  <c r="E281" i="9"/>
  <c r="C281" i="9"/>
  <c r="C272" i="9"/>
  <c r="H298" i="7" l="1"/>
  <c r="E298" i="7"/>
  <c r="F298" i="7" s="1"/>
  <c r="G298" i="7" s="1"/>
  <c r="I298" i="7" s="1"/>
  <c r="E312" i="7"/>
  <c r="F312" i="7" s="1"/>
  <c r="G312" i="7" s="1"/>
  <c r="E313" i="7"/>
  <c r="F313" i="7" s="1"/>
  <c r="G313" i="7" s="1"/>
  <c r="E314" i="7"/>
  <c r="F314" i="7"/>
  <c r="G314" i="7" s="1"/>
  <c r="E315" i="7"/>
  <c r="F315" i="7" s="1"/>
  <c r="G315" i="7" s="1"/>
  <c r="E311" i="7"/>
  <c r="F311" i="7" s="1"/>
  <c r="G311" i="7" s="1"/>
  <c r="G317" i="7" s="1"/>
  <c r="F303" i="7"/>
  <c r="D305" i="7"/>
  <c r="D307" i="7" s="1"/>
  <c r="D309" i="7" s="1"/>
  <c r="E309" i="7" s="1"/>
  <c r="E40" i="1" l="1"/>
  <c r="C468" i="7" l="1"/>
  <c r="C373" i="7"/>
  <c r="C359" i="7"/>
  <c r="C338" i="7"/>
  <c r="C291" i="7"/>
  <c r="C272" i="7"/>
  <c r="E17" i="7"/>
  <c r="E272" i="7" s="1"/>
  <c r="I32" i="6" l="1"/>
  <c r="E226" i="6"/>
  <c r="C216" i="6"/>
  <c r="C221" i="6" s="1"/>
  <c r="C182" i="6"/>
  <c r="C172" i="6"/>
  <c r="C145" i="6"/>
  <c r="E101" i="6"/>
  <c r="I12" i="6"/>
  <c r="I10" i="6"/>
  <c r="I11" i="6" s="1"/>
  <c r="I9" i="6"/>
  <c r="C471" i="4" l="1"/>
  <c r="C423" i="4"/>
  <c r="C413" i="4"/>
  <c r="C392" i="4"/>
  <c r="C345" i="4"/>
  <c r="E326" i="4"/>
  <c r="C33" i="4"/>
  <c r="C326" i="4" l="1"/>
  <c r="D329" i="4" s="1"/>
  <c r="C474" i="4"/>
</calcChain>
</file>

<file path=xl/comments1.xml><?xml version="1.0" encoding="utf-8"?>
<comments xmlns="http://schemas.openxmlformats.org/spreadsheetml/2006/main">
  <authors>
    <author>SEGNONNA DEFFODJI BOB OSCAR</author>
    <author>AUREL CLYSTHENE MONTCHO</author>
    <author>Marc SEHLOUAN</author>
    <author>Sèdjro Hermann HOUNTCHONOU</author>
    <author>tc={577E8038-BFE1-49B9-B08A-8C36E82DA57A}</author>
    <author>tc={720FEB14-A88C-47F6-A306-EA4543B8D231}</author>
  </authors>
  <commentList>
    <comment ref="AH34" authorId="0" shapeId="0">
      <text>
        <r>
          <rPr>
            <sz val="9"/>
            <color indexed="81"/>
            <rFont val="Tahoma"/>
            <family val="2"/>
          </rPr>
          <t>Retrait FNM</t>
        </r>
      </text>
    </comment>
    <comment ref="AO34" authorId="1" shapeId="0">
      <text>
        <r>
          <rPr>
            <b/>
            <sz val="9"/>
            <color indexed="81"/>
            <rFont val="Tahoma"/>
            <family val="2"/>
          </rPr>
          <t>FNM transferts SFD CLIENT</t>
        </r>
      </text>
    </comment>
    <comment ref="BA34" authorId="2" shapeId="0">
      <text>
        <r>
          <rPr>
            <b/>
            <sz val="9"/>
            <color indexed="81"/>
            <rFont val="Tahoma"/>
            <family val="2"/>
          </rPr>
          <t>Marc SEHLOUAN:ADD VAL W2B</t>
        </r>
      </text>
    </comment>
    <comment ref="BC34" authorId="0" shapeId="0">
      <text>
        <r>
          <rPr>
            <b/>
            <sz val="9"/>
            <color indexed="81"/>
            <rFont val="Tahoma"/>
            <family val="2"/>
          </rPr>
          <t>Revenu B2W</t>
        </r>
      </text>
    </comment>
    <comment ref="CC34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1xbet : valeur N°63854792</t>
        </r>
      </text>
    </comment>
    <comment ref="CK34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Paiement de masse PAM </t>
        </r>
      </text>
    </comment>
    <comment ref="CX34" authorId="2" shapeId="0">
      <text>
        <r>
          <rPr>
            <b/>
            <sz val="9"/>
            <color indexed="81"/>
            <rFont val="Tahoma"/>
            <family val="2"/>
          </rPr>
          <t>Nb transactions LNB PARI et 1xbet</t>
        </r>
      </text>
    </comment>
    <comment ref="CZ34" authorId="1" shapeId="0">
      <text>
        <r>
          <rPr>
            <b/>
            <sz val="9"/>
            <color indexed="81"/>
            <rFont val="Tahoma"/>
            <family val="2"/>
          </rPr>
          <t>Valeur transactions LNB PARI et 1xbet</t>
        </r>
      </text>
    </comment>
    <comment ref="ED34" authorId="1" shapeId="0">
      <text>
        <r>
          <rPr>
            <b/>
            <sz val="9"/>
            <color indexed="81"/>
            <rFont val="Tahoma"/>
            <family val="2"/>
          </rPr>
          <t>Revenu LNB Pari + 1xbet (Ancien compte et noueau compte)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5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APPCASH</t>
        </r>
      </text>
    </comment>
    <comment ref="BI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: Janvier 24 au Juillet 24</t>
        </r>
      </text>
    </comment>
    <comment ref="BJ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M-1</t>
        </r>
      </text>
    </comment>
    <comment ref="BU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- LNB LOTO 22958767022 (1,2%) : de juil_23 au mars_24 </t>
        </r>
      </text>
    </comment>
    <comment ref="ED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Réajustements MRCH (dealloc)</t>
        </r>
      </text>
    </comment>
    <comment ref="Y36" authorId="0" shapeId="0">
      <text>
        <r>
          <rPr>
            <b/>
            <sz val="9"/>
            <color indexed="81"/>
            <rFont val="Tahoma"/>
            <family val="2"/>
          </rPr>
          <t xml:space="preserve">Commissions ETB
dans working feuille Monthly </t>
        </r>
      </text>
    </comment>
    <comment ref="AL36" authorId="0" shapeId="0">
      <text>
        <r>
          <rPr>
            <b/>
            <sz val="9"/>
            <color indexed="81"/>
            <rFont val="Tahoma"/>
            <family val="2"/>
          </rPr>
          <t xml:space="preserve">Commissions ETB
idem que Y36
</t>
        </r>
      </text>
    </comment>
    <comment ref="BJ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</t>
        </r>
      </text>
    </comment>
    <comment ref="CZ36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Remboursement FNM</t>
        </r>
      </text>
    </comment>
    <comment ref="DF36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Com retrait OWTH</t>
        </r>
      </text>
    </comment>
    <comment ref="ED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MERCT6</t>
        </r>
      </text>
    </comment>
    <comment ref="CZ37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LNB Marchand</t>
        </r>
      </text>
    </comment>
    <comment ref="ED37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LNB Marchand</t>
        </r>
      </text>
    </comment>
    <comment ref="BA39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réelle B2W</t>
        </r>
      </text>
    </comment>
    <comment ref="DW39" authorId="4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rapport ARCEP</t>
        </r>
      </text>
    </comment>
    <comment ref="AC40" authorId="5" shapeId="0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 dans BCEAO ou réalisation globale
</t>
        </r>
      </text>
    </comment>
    <comment ref="AY40" authorId="2" shapeId="0">
      <text>
        <r>
          <rPr>
            <b/>
            <sz val="9"/>
            <color indexed="81"/>
            <rFont val="Tahoma"/>
            <family val="2"/>
          </rPr>
          <t>Nb Transactions via agrégateurs (valeur des transactions)</t>
        </r>
      </text>
    </comment>
    <comment ref="BA40" authorId="1" shapeId="0">
      <text>
        <r>
          <rPr>
            <b/>
            <sz val="9"/>
            <color indexed="81"/>
            <rFont val="Tahoma"/>
            <family val="2"/>
          </rPr>
          <t>Valeur Transactions via agrégateurs (valeur des transactions)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40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agrégateurs (Push keycost)
</t>
        </r>
      </text>
    </comment>
    <comment ref="BE40" authorId="0" shapeId="0">
      <text>
        <r>
          <rPr>
            <b/>
            <sz val="9"/>
            <color indexed="81"/>
            <rFont val="Tahoma"/>
            <family val="2"/>
          </rPr>
          <t>Total MFS</t>
        </r>
      </text>
    </comment>
    <comment ref="CK40" authorId="2" shapeId="0">
      <text>
        <r>
          <rPr>
            <b/>
            <sz val="9"/>
            <color indexed="81"/>
            <rFont val="Tahoma"/>
            <family val="2"/>
          </rPr>
          <t>Marc SEHLOUAN:
Succes ETB (pour BATCH Payment hors ETB de Réal Glob)</t>
        </r>
      </text>
    </comment>
    <comment ref="CL40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Valeur ETB (pour BATCH Payment hors ETB)</t>
        </r>
      </text>
    </comment>
    <comment ref="AC41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va dans MT</t>
        </r>
      </text>
    </comment>
    <comment ref="DY41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Inter. facturé</t>
        </r>
      </text>
    </comment>
    <comment ref="BA42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Total PUSH and PULL (avec Agrégateurs)</t>
        </r>
      </text>
    </comment>
    <comment ref="AY45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 B2W</t>
        </r>
      </text>
    </comment>
  </commentList>
</comments>
</file>

<file path=xl/comments2.xml><?xml version="1.0" encoding="utf-8"?>
<comments xmlns="http://schemas.openxmlformats.org/spreadsheetml/2006/main">
  <authors>
    <author>SEGNONNA DEFFODJI BOB OSCAR</author>
    <author>AUREL CLYSTHENE MONTCHO</author>
    <author>Marc SEHLOUAN</author>
    <author>Sèdjro Hermann HOUNTCHONOU</author>
    <author>tc={4A26AEC5-9A32-40E0-BE73-F568E4BDCEAD}</author>
    <author>tc={53EF7697-F4BA-43D5-A951-0666D2757B49}</author>
    <author>tc={8499BF6C-AE19-4F20-A618-F51ED35793E1}</author>
  </authors>
  <commentList>
    <comment ref="AH34" authorId="0" shapeId="0">
      <text>
        <r>
          <rPr>
            <sz val="9"/>
            <color indexed="81"/>
            <rFont val="Tahoma"/>
            <family val="2"/>
          </rPr>
          <t>Retrait FNM</t>
        </r>
      </text>
    </comment>
    <comment ref="AO34" authorId="1" shapeId="0">
      <text>
        <r>
          <rPr>
            <b/>
            <sz val="9"/>
            <color indexed="81"/>
            <rFont val="Tahoma"/>
            <family val="2"/>
          </rPr>
          <t>FNM transferts SFD CLIENT</t>
        </r>
      </text>
    </comment>
    <comment ref="BA34" authorId="2" shapeId="0">
      <text>
        <r>
          <rPr>
            <b/>
            <sz val="9"/>
            <color indexed="81"/>
            <rFont val="Tahoma"/>
            <family val="2"/>
          </rPr>
          <t>Marc SEHLOUAN:ADD VAL W2B</t>
        </r>
      </text>
    </comment>
    <comment ref="BC34" authorId="0" shapeId="0">
      <text>
        <r>
          <rPr>
            <b/>
            <sz val="9"/>
            <color indexed="81"/>
            <rFont val="Tahoma"/>
            <family val="2"/>
          </rPr>
          <t>Revenu B2W</t>
        </r>
      </text>
    </comment>
    <comment ref="CC34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1xbet : valeur N°63854792</t>
        </r>
      </text>
    </comment>
    <comment ref="CK34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Paiement de masse PAM </t>
        </r>
      </text>
    </comment>
    <comment ref="CX34" authorId="2" shapeId="0">
      <text>
        <r>
          <rPr>
            <b/>
            <sz val="9"/>
            <color indexed="81"/>
            <rFont val="Tahoma"/>
            <family val="2"/>
          </rPr>
          <t>Nb transactions LNB PARI et 1xbet</t>
        </r>
      </text>
    </comment>
    <comment ref="CZ34" authorId="1" shapeId="0">
      <text>
        <r>
          <rPr>
            <b/>
            <sz val="9"/>
            <color indexed="81"/>
            <rFont val="Tahoma"/>
            <family val="2"/>
          </rPr>
          <t>Valeur transactions LNB PARI et 1xbet</t>
        </r>
      </text>
    </comment>
    <comment ref="ED34" authorId="1" shapeId="0">
      <text>
        <r>
          <rPr>
            <b/>
            <sz val="9"/>
            <color indexed="81"/>
            <rFont val="Tahoma"/>
            <family val="2"/>
          </rPr>
          <t>Revenu LNB Pari + 1xbet (Ancien compte et noueau compte)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5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APPCASH</t>
        </r>
      </text>
    </comment>
    <comment ref="BE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compte 1013</t>
        </r>
      </text>
    </comment>
    <comment ref="BG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compte 1013</t>
        </r>
      </text>
    </comment>
    <comment ref="BI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: sept_oct et decembre 24</t>
        </r>
      </text>
    </comment>
    <comment ref="BJ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M-1</t>
        </r>
      </text>
    </comment>
    <comment ref="BU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- LNB LOTO 22958767022 (1,2%) : de Novembre_24 </t>
        </r>
      </text>
    </comment>
    <comment ref="ED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Réajustements MRCH (dealloc)</t>
        </r>
      </text>
    </comment>
    <comment ref="Y36" authorId="0" shapeId="0">
      <text>
        <r>
          <rPr>
            <b/>
            <sz val="9"/>
            <color indexed="81"/>
            <rFont val="Tahoma"/>
            <family val="2"/>
          </rPr>
          <t xml:space="preserve">Commissions ETB
dans working feuille Monthly </t>
        </r>
      </text>
    </comment>
    <comment ref="AL36" authorId="0" shapeId="0">
      <text>
        <r>
          <rPr>
            <b/>
            <sz val="9"/>
            <color indexed="81"/>
            <rFont val="Tahoma"/>
            <family val="2"/>
          </rPr>
          <t xml:space="preserve">Commissions ETB
idem que Y36
</t>
        </r>
      </text>
    </comment>
    <comment ref="BJ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</t>
        </r>
      </text>
    </comment>
    <comment ref="CZ36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Remboursement FNM</t>
        </r>
      </text>
    </comment>
    <comment ref="DF36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Com retrait OWTH</t>
        </r>
      </text>
    </comment>
    <comment ref="ED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MERCT6</t>
        </r>
      </text>
    </comment>
    <comment ref="EE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Réconciliations du Produit BOMI (juin au décembre 2024)</t>
        </r>
      </text>
    </comment>
    <comment ref="EK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REGUL COMMISSION POINTS MARCHANDS retenu pour novembre </t>
        </r>
      </text>
    </comment>
    <comment ref="EL36" authorId="4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Ajustement des mois antérieurs</t>
        </r>
      </text>
    </comment>
    <comment ref="CZ37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LNB Marchand</t>
        </r>
      </text>
    </comment>
    <comment ref="ED37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LNB Marchand</t>
        </r>
      </text>
    </comment>
    <comment ref="BA39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réelle B2W</t>
        </r>
      </text>
    </comment>
    <comment ref="DW39" authorId="5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rapport ARCEP</t>
        </r>
      </text>
    </comment>
    <comment ref="AC40" authorId="6" shapeId="0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 dans BCEAO ou réalisation globale
</t>
        </r>
      </text>
    </comment>
    <comment ref="AY40" authorId="1" shapeId="0">
      <text>
        <r>
          <rPr>
            <b/>
            <sz val="9"/>
            <color indexed="81"/>
            <rFont val="Tahoma"/>
            <family val="2"/>
          </rPr>
          <t>Valeur Transactions via agrégateurs (valeur des transactions)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40" authorId="1" shapeId="0">
      <text>
        <r>
          <rPr>
            <b/>
            <sz val="9"/>
            <color indexed="81"/>
            <rFont val="Tahoma"/>
            <family val="2"/>
          </rPr>
          <t>Valeur Transactions via agrégateurs (valeur des transactions)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40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agrégateurs (Push keycost)
</t>
        </r>
      </text>
    </comment>
    <comment ref="BE40" authorId="0" shapeId="0">
      <text>
        <r>
          <rPr>
            <b/>
            <sz val="9"/>
            <color indexed="81"/>
            <rFont val="Tahoma"/>
            <family val="2"/>
          </rPr>
          <t>Total MFS</t>
        </r>
      </text>
    </comment>
    <comment ref="CK40" authorId="2" shapeId="0">
      <text>
        <r>
          <rPr>
            <b/>
            <sz val="9"/>
            <color indexed="81"/>
            <rFont val="Tahoma"/>
            <family val="2"/>
          </rPr>
          <t>Marc SEHLOUAN:
Succes ETB (pour BATCH Payment hors ETB de Réal Glob)</t>
        </r>
      </text>
    </comment>
    <comment ref="CL40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Valeur ETB (pour BATCH Payment hors ETB)</t>
        </r>
      </text>
    </comment>
    <comment ref="AC41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va dans MT</t>
        </r>
      </text>
    </comment>
    <comment ref="DY41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Inter. facturé</t>
        </r>
      </text>
    </comment>
    <comment ref="BA42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Total PUSH and PULL (avec Agrégateurs)</t>
        </r>
      </text>
    </comment>
    <comment ref="AY45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 B2W</t>
        </r>
      </text>
    </comment>
  </commentList>
</comments>
</file>

<file path=xl/comments3.xml><?xml version="1.0" encoding="utf-8"?>
<comments xmlns="http://schemas.openxmlformats.org/spreadsheetml/2006/main">
  <authors>
    <author>SEGNONNA DEFFODJI BOB OSCAR</author>
    <author>AUREL CLYSTHENE MONTCHO</author>
    <author>Marc SEHLOUAN</author>
    <author>Sèdjro Hermann HOUNTCHONOU</author>
    <author>tc={5AE1394E-4A61-42EB-9A8B-0D1D8DE1CBA0}</author>
    <author>tc={61CD1386-6AF9-4739-9CCE-829C80576BE8}</author>
  </authors>
  <commentList>
    <comment ref="AH34" authorId="0" shapeId="0">
      <text>
        <r>
          <rPr>
            <sz val="9"/>
            <color indexed="81"/>
            <rFont val="Tahoma"/>
            <family val="2"/>
          </rPr>
          <t>Retrait FNM</t>
        </r>
      </text>
    </comment>
    <comment ref="AO34" authorId="1" shapeId="0">
      <text>
        <r>
          <rPr>
            <b/>
            <sz val="9"/>
            <color indexed="81"/>
            <rFont val="Tahoma"/>
            <family val="2"/>
          </rPr>
          <t>FNM transferts SFD CLIENT</t>
        </r>
      </text>
    </comment>
    <comment ref="BA34" authorId="2" shapeId="0">
      <text>
        <r>
          <rPr>
            <b/>
            <sz val="9"/>
            <color indexed="81"/>
            <rFont val="Tahoma"/>
            <family val="2"/>
          </rPr>
          <t>Marc SEHLOUAN:ADD VAL W2B_B2W</t>
        </r>
      </text>
    </comment>
    <comment ref="BC34" authorId="0" shapeId="0">
      <text>
        <r>
          <rPr>
            <b/>
            <sz val="9"/>
            <color indexed="81"/>
            <rFont val="Tahoma"/>
            <family val="2"/>
          </rPr>
          <t>Revenu B2W</t>
        </r>
      </text>
    </comment>
    <comment ref="CC34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1xbet : valeur N°63854792</t>
        </r>
      </text>
    </comment>
    <comment ref="CK34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Paiement de masse PAM </t>
        </r>
      </text>
    </comment>
    <comment ref="CX34" authorId="2" shapeId="0">
      <text>
        <r>
          <rPr>
            <b/>
            <sz val="9"/>
            <color indexed="81"/>
            <rFont val="Tahoma"/>
            <family val="2"/>
          </rPr>
          <t>Nb transactions LNB PARI et 1xbet</t>
        </r>
      </text>
    </comment>
    <comment ref="CZ34" authorId="1" shapeId="0">
      <text>
        <r>
          <rPr>
            <b/>
            <sz val="9"/>
            <color indexed="81"/>
            <rFont val="Tahoma"/>
            <family val="2"/>
          </rPr>
          <t>Valeur transactions LNB PARI et 1xbet</t>
        </r>
      </text>
    </comment>
    <comment ref="ED34" authorId="1" shapeId="0">
      <text>
        <r>
          <rPr>
            <b/>
            <sz val="9"/>
            <color indexed="81"/>
            <rFont val="Tahoma"/>
            <family val="2"/>
          </rPr>
          <t>Revenu LNB Pari + 1xbet (Ancien compte et noueau compte)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5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APPCASH</t>
        </r>
      </text>
    </comment>
    <comment ref="BI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: Janvier 24 au Juillet 24</t>
        </r>
      </text>
    </comment>
    <comment ref="BJ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M-1</t>
        </r>
      </text>
    </comment>
    <comment ref="BU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- LNB LOTO 22958767022 (1,2%) :
AOUT 2024 A OCT 2024</t>
        </r>
      </text>
    </comment>
    <comment ref="ED35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Réajustements MRCH (dealloc)</t>
        </r>
      </text>
    </comment>
    <comment ref="Y36" authorId="0" shapeId="0">
      <text>
        <r>
          <rPr>
            <b/>
            <sz val="9"/>
            <color indexed="81"/>
            <rFont val="Tahoma"/>
            <family val="2"/>
          </rPr>
          <t xml:space="preserve">Commissions ETB
dans working feuille Monthly </t>
        </r>
      </text>
    </comment>
    <comment ref="AL36" authorId="0" shapeId="0">
      <text>
        <r>
          <rPr>
            <b/>
            <sz val="9"/>
            <color indexed="81"/>
            <rFont val="Tahoma"/>
            <family val="2"/>
          </rPr>
          <t xml:space="preserve">Commissions ETB
idem que Y36
</t>
        </r>
      </text>
    </comment>
    <comment ref="BJ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</t>
        </r>
      </text>
    </comment>
    <comment ref="CZ36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Remboursement FNM</t>
        </r>
      </text>
    </comment>
    <comment ref="DF36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Com retrait OWTH</t>
        </r>
      </text>
    </comment>
    <comment ref="ED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MERCT6</t>
        </r>
      </text>
    </comment>
    <comment ref="EK36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REGUL COMMISSION POINTS MARCHANDS AVRIL A JUIN </t>
        </r>
      </text>
    </comment>
    <comment ref="CZ37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LNB Marchand</t>
        </r>
      </text>
    </comment>
    <comment ref="ED37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LNB Marchand</t>
        </r>
      </text>
    </comment>
    <comment ref="BA39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réelle B2W</t>
        </r>
      </text>
    </comment>
    <comment ref="DW39" authorId="4" shapeId="0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rapport ARCEP</t>
        </r>
      </text>
    </comment>
    <comment ref="AC40" authorId="5" shapeId="0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 dans BCEAO ou réalisation globale
</t>
        </r>
      </text>
    </comment>
    <comment ref="AY40" authorId="2" shapeId="0">
      <text>
        <r>
          <rPr>
            <b/>
            <sz val="9"/>
            <color indexed="81"/>
            <rFont val="Tahoma"/>
            <family val="2"/>
          </rPr>
          <t>Nb Transactions via agrégateurs (valeur des transactions)</t>
        </r>
      </text>
    </comment>
    <comment ref="BA40" authorId="1" shapeId="0">
      <text>
        <r>
          <rPr>
            <b/>
            <sz val="9"/>
            <color indexed="81"/>
            <rFont val="Tahoma"/>
            <family val="2"/>
          </rPr>
          <t>Valeur Transactions via agrégateurs (valeur des transactions)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40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agrégateurs (Push keycost)
</t>
        </r>
      </text>
    </comment>
    <comment ref="BE40" authorId="0" shapeId="0">
      <text>
        <r>
          <rPr>
            <b/>
            <sz val="9"/>
            <color indexed="81"/>
            <rFont val="Tahoma"/>
            <family val="2"/>
          </rPr>
          <t>Total MFS</t>
        </r>
      </text>
    </comment>
    <comment ref="CK40" authorId="2" shapeId="0">
      <text>
        <r>
          <rPr>
            <b/>
            <sz val="9"/>
            <color indexed="81"/>
            <rFont val="Tahoma"/>
            <family val="2"/>
          </rPr>
          <t>Marc SEHLOUAN:
Succes ETB (pour BATCH Payment hors ETB de Réal Glob)</t>
        </r>
      </text>
    </comment>
    <comment ref="CL40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Valeur ETB (pour BATCH Payment hors ETB)</t>
        </r>
      </text>
    </comment>
    <comment ref="AC41" authorId="3" shapeId="0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va dans MT</t>
        </r>
      </text>
    </comment>
    <comment ref="DY41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Inter. facturé</t>
        </r>
      </text>
    </comment>
    <comment ref="BA42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Total PUSH and PULL (avec Agrégateurs)</t>
        </r>
      </text>
    </comment>
    <comment ref="AY45" authorId="2" shapeId="0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 B2W</t>
        </r>
      </text>
    </comment>
  </commentList>
</comments>
</file>

<file path=xl/sharedStrings.xml><?xml version="1.0" encoding="utf-8"?>
<sst xmlns="http://schemas.openxmlformats.org/spreadsheetml/2006/main" count="21514" uniqueCount="9616">
  <si>
    <t>DESIGNATIONS</t>
  </si>
  <si>
    <t>EXPLOITATION</t>
  </si>
  <si>
    <t>RECETTES D'EXPLOITATION( masters, postpaids et agences)</t>
  </si>
  <si>
    <t>RECETTES INTERCO INTERNATIONALES</t>
  </si>
  <si>
    <t>RECETTES INTERCO NATIONALES ( SBIN )</t>
  </si>
  <si>
    <t>RECETTES CONVENTIONS (moov money. X BORDER</t>
  </si>
  <si>
    <t>(A) TOTAL DES ENCAISSEMENTS</t>
  </si>
  <si>
    <t>DECAISSEMENTS D'EXPLOITATION</t>
  </si>
  <si>
    <t>INTERCOS  NATIONALES</t>
  </si>
  <si>
    <t>INTERCOS  INTERNATIONALES</t>
  </si>
  <si>
    <t>AUTRES ACHATS</t>
  </si>
  <si>
    <t>IMPOTS &amp; TAXES</t>
  </si>
  <si>
    <t>T.V.A</t>
  </si>
  <si>
    <t>CHARGES DE PERSONNEL</t>
  </si>
  <si>
    <t>REGIES</t>
  </si>
  <si>
    <t>DEPENSES D'INVESTISSEMENTS</t>
  </si>
  <si>
    <t>LICENCES, FONDS DE COMMERCE &amp; BREVETS MARQUES DROITS ET VALEURS</t>
  </si>
  <si>
    <t>TERRAINS, AMENAGEMENTS ET CONSTRUCTIONS</t>
  </si>
  <si>
    <t>INSTAL. TECHN.,MATERIEL &amp; OUTILLAGE</t>
  </si>
  <si>
    <t>MATERIEL DE TRANSPORT</t>
  </si>
  <si>
    <t>MATERIEL ET MOBILIER DE BUREAU</t>
  </si>
  <si>
    <t>AUTRES IMMOBILISATIONS</t>
  </si>
  <si>
    <t>AVANCES ET ACOMPTES/IMMOB</t>
  </si>
  <si>
    <t>(B) TOTAL DES DECAISSEMENTS</t>
  </si>
  <si>
    <t>DECAISSEMENTS CUMULES</t>
  </si>
  <si>
    <t>( C  ) FLUX MENSUEL GENERE PAR EXPLOITATION= CFFO</t>
  </si>
  <si>
    <t>FLUX CUMULE</t>
  </si>
  <si>
    <t>HORS EXPLOITATION</t>
  </si>
  <si>
    <t>AUTRES</t>
  </si>
  <si>
    <t>I.S</t>
  </si>
  <si>
    <t>DIVIDENDES</t>
  </si>
  <si>
    <t>( D) FLUX MENSUEL GENERE PAR  HORS EXPLOITATION</t>
  </si>
  <si>
    <t>FINANCEMENT</t>
  </si>
  <si>
    <t>OPERATION DE FINANCEMENT</t>
  </si>
  <si>
    <t>CHARGES D'INTERETS</t>
  </si>
  <si>
    <t>REMBOURSEMENT D'EMPRUNTS</t>
  </si>
  <si>
    <t>REMBOURSEMENT CREDITS SPOT</t>
  </si>
  <si>
    <t>NOUVEAU EMPRUNTS A LMT</t>
  </si>
  <si>
    <t>NOUVEAU CREDITS SPOT</t>
  </si>
  <si>
    <t>AUTRES (AUG K, PARTICIPATION, PRETS…)</t>
  </si>
  <si>
    <t>PRODUITS FINANCIERS</t>
  </si>
  <si>
    <t>( E ) FLUX MENSUEL</t>
  </si>
  <si>
    <t xml:space="preserve">        DECAISSEMENTS CUMULES</t>
  </si>
  <si>
    <t>NET CASH FLOW</t>
  </si>
  <si>
    <t>FLUX NET MENSUEL (C+D+E)</t>
  </si>
  <si>
    <t>FLUX NET CUMULE (C+D+E)</t>
  </si>
  <si>
    <t>PAIEMENT/CHEQUE</t>
  </si>
  <si>
    <t xml:space="preserve">VIREMENT </t>
  </si>
  <si>
    <t>BANQUE</t>
  </si>
  <si>
    <t xml:space="preserve">MONTANT </t>
  </si>
  <si>
    <t>N° CHEQUE</t>
  </si>
  <si>
    <t>MONTANT</t>
  </si>
  <si>
    <t>REFFERENCE DES VIREMENTS</t>
  </si>
  <si>
    <t>POSTE</t>
  </si>
  <si>
    <t>SGB</t>
  </si>
  <si>
    <t>ECOBANK</t>
  </si>
  <si>
    <t>BOA</t>
  </si>
  <si>
    <t>UBA</t>
  </si>
  <si>
    <t>BABE</t>
  </si>
  <si>
    <t>CBS COMMUNICATION</t>
  </si>
  <si>
    <t>NSIA</t>
  </si>
  <si>
    <t>COMPTE SEQUESTRE SBEE</t>
  </si>
  <si>
    <t>ARCEP BENIN</t>
  </si>
  <si>
    <t>SBIN</t>
  </si>
  <si>
    <t>CORIS</t>
  </si>
  <si>
    <t>SOMAC</t>
  </si>
  <si>
    <t>UNIQUE TRUST</t>
  </si>
  <si>
    <t>SERVICE COM</t>
  </si>
  <si>
    <t>MEDIA CONTACT</t>
  </si>
  <si>
    <t>MAGNIFICAT EDITION</t>
  </si>
  <si>
    <t>WEBCOOM</t>
  </si>
  <si>
    <t>TOTAL GENERAL</t>
  </si>
  <si>
    <t>NB : VOIR EN JAUNE LES GROS DECAISSEMENTS 18MILLIONS</t>
  </si>
  <si>
    <t>RECAPITULATIF /JOUR</t>
  </si>
  <si>
    <t xml:space="preserve">DATE </t>
  </si>
  <si>
    <t>TOTAL</t>
  </si>
  <si>
    <t>NB:</t>
  </si>
  <si>
    <t>DECAISSEMENT MOBILE</t>
  </si>
  <si>
    <t>DROIT DE DOUANE</t>
  </si>
  <si>
    <t>PERSONNEL</t>
  </si>
  <si>
    <t>FOURNISSEURS</t>
  </si>
  <si>
    <t>BERNADIN BOBOE</t>
  </si>
  <si>
    <t>BOURAIMA ADAMOU MAMA</t>
  </si>
  <si>
    <t>PRODICOM</t>
  </si>
  <si>
    <t>D COMMERCIAL</t>
  </si>
  <si>
    <t>FLEX EXPORTATION</t>
  </si>
  <si>
    <t>PAIEMENT FACTURE</t>
  </si>
  <si>
    <t>ENREGISTREMENT DIVERS CONTRATS</t>
  </si>
  <si>
    <t>KOSSOU JEAN BAPTISTE</t>
  </si>
  <si>
    <t>DSID</t>
  </si>
  <si>
    <t>CBAO</t>
  </si>
  <si>
    <t>MANE GERE ASSOCIES AFRIQUE</t>
  </si>
  <si>
    <t>ETS MCEA</t>
  </si>
  <si>
    <t>BENIN PETRO</t>
  </si>
  <si>
    <t>DMS</t>
  </si>
  <si>
    <t>TELEPIN</t>
  </si>
  <si>
    <t>DGTCP</t>
  </si>
  <si>
    <t>EASY COM</t>
  </si>
  <si>
    <t>CETELEC</t>
  </si>
  <si>
    <t xml:space="preserve">DGTCP </t>
  </si>
  <si>
    <t>SATGURU</t>
  </si>
  <si>
    <t>FRAUDBUSTER</t>
  </si>
  <si>
    <t>SONEB</t>
  </si>
  <si>
    <t>TOTAL DECAISSEMENTS JUILLET  2022</t>
  </si>
  <si>
    <t xml:space="preserve">Détail Décaissements  JUILLET 2022          </t>
  </si>
  <si>
    <t>DHL</t>
  </si>
  <si>
    <t>CHQ7318410</t>
  </si>
  <si>
    <t>MIKEM TECHNOLOGIES</t>
  </si>
  <si>
    <t>CHQ0507789</t>
  </si>
  <si>
    <t>CHQ0891929</t>
  </si>
  <si>
    <t>PROSEGUR</t>
  </si>
  <si>
    <t>CABINET MAITRE SALAM</t>
  </si>
  <si>
    <t>CHQ07211382</t>
  </si>
  <si>
    <t>GUCE</t>
  </si>
  <si>
    <t>INETUM</t>
  </si>
  <si>
    <t>salaire</t>
  </si>
  <si>
    <t>FACHEHOUN ANTOINE</t>
  </si>
  <si>
    <t>CHQ0507860</t>
  </si>
  <si>
    <t>HIBOO SA</t>
  </si>
  <si>
    <t>CHQ0507858</t>
  </si>
  <si>
    <t>BATIMAT SARL</t>
  </si>
  <si>
    <t>CHQ0507865</t>
  </si>
  <si>
    <t>ANAGO CAROLE CAISSE</t>
  </si>
  <si>
    <t>CHQ0891498</t>
  </si>
  <si>
    <t>COMPETENCES INTERIM PLUS</t>
  </si>
  <si>
    <t>ENREGISTREMENT CONTRAT</t>
  </si>
  <si>
    <t>GICOL SERVICE</t>
  </si>
  <si>
    <t>PAIEMENT FACTURES</t>
  </si>
  <si>
    <t>INTEC TELECOM</t>
  </si>
  <si>
    <t>EPOIR CONSTRUCTION</t>
  </si>
  <si>
    <t>CHQ07212426</t>
  </si>
  <si>
    <t>GENESIS STUDIO</t>
  </si>
  <si>
    <t>EVENTS ART</t>
  </si>
  <si>
    <t>COMPETENCE INTERIM PLUS</t>
  </si>
  <si>
    <t>AG PARTNERS AFRICA</t>
  </si>
  <si>
    <t>DIGIWISE</t>
  </si>
  <si>
    <t xml:space="preserve">DELOITTE ET ASSOCIES </t>
  </si>
  <si>
    <t xml:space="preserve">EXFO SOLUTIONS </t>
  </si>
  <si>
    <t xml:space="preserve"> COGENT COMMUNICATIONS </t>
  </si>
  <si>
    <t>VRMT FV DMS BENIN SARL</t>
  </si>
  <si>
    <t>BENIN TRACKING</t>
  </si>
  <si>
    <t>THIRBUCE MONTCHO</t>
  </si>
  <si>
    <t>HIBOO COMMUNICATION</t>
  </si>
  <si>
    <t>LA ROCHE</t>
  </si>
  <si>
    <t>MADIA CONTACT</t>
  </si>
  <si>
    <t>PROPRIO PLUS</t>
  </si>
  <si>
    <t>LMPS</t>
  </si>
  <si>
    <t>ETS GLOIRE A DIEU</t>
  </si>
  <si>
    <t>OGOUDIRIN</t>
  </si>
  <si>
    <t>ENTREPRISE TOPOBAT</t>
  </si>
  <si>
    <t>CRISTAL ALU</t>
  </si>
  <si>
    <t>MOBILE TECHNOLOGIES</t>
  </si>
  <si>
    <t>ETS ERM AFRIQUE</t>
  </si>
  <si>
    <t>ALAOFE LATIFOU</t>
  </si>
  <si>
    <t>ECO</t>
  </si>
  <si>
    <t>DES LAN LO ROGER</t>
  </si>
  <si>
    <t>SBEE COMPTE SEQUESTRE</t>
  </si>
  <si>
    <t>KEREKOU YAMOUDE</t>
  </si>
  <si>
    <t>CASANET</t>
  </si>
  <si>
    <t>KPADJOUDA ARSENE</t>
  </si>
  <si>
    <t>COMPTOIR COMMERCIAL DU BENIN</t>
  </si>
  <si>
    <t>BIGA MIRIZIK</t>
  </si>
  <si>
    <t>KADJA N'GAMANG</t>
  </si>
  <si>
    <t>TONOUHEWA AMADOU</t>
  </si>
  <si>
    <t>KPONOU DONATIEN</t>
  </si>
  <si>
    <t>MME BENARDINE HAZOUME</t>
  </si>
  <si>
    <t>ALEX CHERIF NONGNIDE</t>
  </si>
  <si>
    <t>SOWAFI</t>
  </si>
  <si>
    <t>COSSI CELESTIN NOUDOFININ</t>
  </si>
  <si>
    <t>BENIN EQUIPEMENT</t>
  </si>
  <si>
    <t>HENRI HOUNTON</t>
  </si>
  <si>
    <t>EVERNEX</t>
  </si>
  <si>
    <t>FLEX</t>
  </si>
  <si>
    <t>LINARCEL</t>
  </si>
  <si>
    <t>CHQ7701874</t>
  </si>
  <si>
    <t>DGTCP (REDEVANCE 10%) ARCEP</t>
  </si>
  <si>
    <t>AGBETY CHRISTIAN</t>
  </si>
  <si>
    <t>ASSOCIATION INDIGO POUR LE DEVELOPPEMENT INCLUSIF</t>
  </si>
  <si>
    <t>ALLOSSE JULES</t>
  </si>
  <si>
    <t>WALIOU CHESSI</t>
  </si>
  <si>
    <t>LAWANI CESAIRE</t>
  </si>
  <si>
    <t>UNIQUE TRUSTE</t>
  </si>
  <si>
    <t>ADJIBI CAMILLE</t>
  </si>
  <si>
    <t xml:space="preserve">LA CENTRALE COMPANY </t>
  </si>
  <si>
    <t>RACHID OUMARRI</t>
  </si>
  <si>
    <t>SAISIE</t>
  </si>
  <si>
    <t>ZANDA VOUGO BENOIT</t>
  </si>
  <si>
    <t>SAISIE ATTRIBUTION</t>
  </si>
  <si>
    <t>AGUIDI GROUP</t>
  </si>
  <si>
    <t>BULL ATOS</t>
  </si>
  <si>
    <t>SOCIETE GENERALE DE FORMATION</t>
  </si>
  <si>
    <t>GLOIRE A DIEU ALU</t>
  </si>
  <si>
    <t>HOBALAH HOLDING</t>
  </si>
  <si>
    <t>ESPOIR CONSTRUCTION</t>
  </si>
  <si>
    <t>IDS TECHNOLOGIES</t>
  </si>
  <si>
    <t>GOLDEN TULIP</t>
  </si>
  <si>
    <t>SERGE NJOKWOUE</t>
  </si>
  <si>
    <t>JNP SA</t>
  </si>
  <si>
    <t>CC7701886</t>
  </si>
  <si>
    <t>STE HUAWEI TECHNOLOGIES</t>
  </si>
  <si>
    <t>SIGIB NOVOTEL ORISHA</t>
  </si>
  <si>
    <t>IMPOT BABE</t>
  </si>
  <si>
    <t>Mr ALEXIS AITCHEOU</t>
  </si>
  <si>
    <t>SENA HERMINE P. AGBOTON EPSE DANDJINOU</t>
  </si>
  <si>
    <t>ADAM ABDOULAYE ALIMATOU</t>
  </si>
  <si>
    <t>OKE GWLADYS</t>
  </si>
  <si>
    <t>DIVERS ENREGISTREMENTS CONTRATS AUBIN</t>
  </si>
  <si>
    <t>LUDOVIC ATHANASE MEHOBA</t>
  </si>
  <si>
    <t>KPINSO LUCIEN</t>
  </si>
  <si>
    <t>SUBEX LIMITED</t>
  </si>
  <si>
    <t>ITISSALAT AL MAGHRIB</t>
  </si>
  <si>
    <t>SEKLOKA NORBERT</t>
  </si>
  <si>
    <t>INFRASTRUCTURE ET ENGINEERING SERVICES BENIN LTD</t>
  </si>
  <si>
    <t>SOFT INNOVATION</t>
  </si>
  <si>
    <t>EBK BENIN SARL</t>
  </si>
  <si>
    <t>SEGUB</t>
  </si>
  <si>
    <t>HIBBO COMMUNICATION</t>
  </si>
  <si>
    <t>ROYAL FRET SERVICE</t>
  </si>
  <si>
    <t>ACHILE FANDOHAN</t>
  </si>
  <si>
    <t>ANATO NOUMONVI</t>
  </si>
  <si>
    <t>AGBOTON CONSTANCE</t>
  </si>
  <si>
    <t>ECCO GC</t>
  </si>
  <si>
    <t>PORTING BENIN</t>
  </si>
  <si>
    <t>AVIAT NETWORKS</t>
  </si>
  <si>
    <t>COMPTOIR DE DISTRIBUTION</t>
  </si>
  <si>
    <t>LATIFOU LAUREANO</t>
  </si>
  <si>
    <t>CHABI MOUKA JULES</t>
  </si>
  <si>
    <t>STE CLAUDEM</t>
  </si>
  <si>
    <t>TONAHIN FELIX</t>
  </si>
  <si>
    <t>HOUESSOU INNOCENT</t>
  </si>
  <si>
    <t>OCPSP COTISATION SOCIALE</t>
  </si>
  <si>
    <t>MOUNIROU SOUMAILA</t>
  </si>
  <si>
    <t>LES RESIDENCES CELINES</t>
  </si>
  <si>
    <t>AGETIP BENIN</t>
  </si>
  <si>
    <t>AMADOU ISSIFOU</t>
  </si>
  <si>
    <t>HOUENOU ALFRED</t>
  </si>
  <si>
    <t>OOKLA</t>
  </si>
  <si>
    <t>MEDIA CONTACT BENIN</t>
  </si>
  <si>
    <t>DHL INTERNATIONAL</t>
  </si>
  <si>
    <t>SARL AFRITEK</t>
  </si>
  <si>
    <t>CYAN AFRIQUE</t>
  </si>
  <si>
    <t>AKINOCHO</t>
  </si>
  <si>
    <t>SERGE NJOUKWOUE</t>
  </si>
  <si>
    <t>KOUDESSI EPIPHANE</t>
  </si>
  <si>
    <t>MIKEM</t>
  </si>
  <si>
    <t>ADJAHO MAKINNOUNI</t>
  </si>
  <si>
    <t>FTF</t>
  </si>
  <si>
    <t>GICOL</t>
  </si>
  <si>
    <t>ASSAN EMILE</t>
  </si>
  <si>
    <t>IRGIB AFRICA</t>
  </si>
  <si>
    <t>SANKO</t>
  </si>
  <si>
    <t>ELECTRO</t>
  </si>
  <si>
    <t>20/07/022</t>
  </si>
  <si>
    <t>COMMUNAUTE ELECTRIQUE DU BENIN</t>
  </si>
  <si>
    <t>ABOUDOU RAMANOU</t>
  </si>
  <si>
    <t>AMANI TRADING</t>
  </si>
  <si>
    <t>BALLA YARO</t>
  </si>
  <si>
    <t>SIRECOM</t>
  </si>
  <si>
    <t>HUGUES THUBURCE</t>
  </si>
  <si>
    <t>GENESIS</t>
  </si>
  <si>
    <t>JMJ OUENSAVI</t>
  </si>
  <si>
    <t>ETS EREVAN</t>
  </si>
  <si>
    <t>ETS CLE RETROUVE</t>
  </si>
  <si>
    <t>DTCP</t>
  </si>
  <si>
    <t>DEPOTS PETROLIERS DU BENIN</t>
  </si>
  <si>
    <t>SANKO SARL</t>
  </si>
  <si>
    <t>SUBEX</t>
  </si>
  <si>
    <t>CELLCOMM</t>
  </si>
  <si>
    <t>OPENCODE</t>
  </si>
  <si>
    <t>GWLADYS</t>
  </si>
  <si>
    <t>PLAN CONSEIL DU BENIN</t>
  </si>
  <si>
    <t>BOLLORE</t>
  </si>
  <si>
    <t>JEAN MARIE THOMA DOSSOU YOVO</t>
  </si>
  <si>
    <t>SALAIRE JLT 2022</t>
  </si>
  <si>
    <t>CAISSE DES DEPOTS ET CONSIGNATIOS DU BENIN</t>
  </si>
  <si>
    <t>ELECTRO PLANETE MOBILE</t>
  </si>
  <si>
    <t>ABOUDOU IMOROU SAROUKOU</t>
  </si>
  <si>
    <t>PRIME INFRASTRUCTURE</t>
  </si>
  <si>
    <t>E BUSINESS AFRIQUE</t>
  </si>
  <si>
    <t>ASSANI AYOUBA</t>
  </si>
  <si>
    <t>GOUTON ROTINOR</t>
  </si>
  <si>
    <t>ASSOGBA DONATIENNE</t>
  </si>
  <si>
    <t>RACHID RGUIBI</t>
  </si>
  <si>
    <t xml:space="preserve">WEST AFRICA FAST AND OIL INDUSTRY BENIN </t>
  </si>
  <si>
    <t>AFFOGBOLLO</t>
  </si>
  <si>
    <t>ZOUNGNI ALBAN</t>
  </si>
  <si>
    <t>ALYKO WILLIAM</t>
  </si>
  <si>
    <t>ADJADO RAIMATOU</t>
  </si>
  <si>
    <t>LAICO</t>
  </si>
  <si>
    <t>MON DESTIN FIRST</t>
  </si>
  <si>
    <t>AMETEPE</t>
  </si>
  <si>
    <t>ACCROMBESSI NICOLA</t>
  </si>
  <si>
    <t>INNOV</t>
  </si>
  <si>
    <t xml:space="preserve">SBEE </t>
  </si>
  <si>
    <t>IMAMOU EP KOSSOKO</t>
  </si>
  <si>
    <t>ETS MOSES ENTREPRISES</t>
  </si>
  <si>
    <t>ETS ALL FOR ENERGY</t>
  </si>
  <si>
    <t>24 HEURES AU BENIN</t>
  </si>
  <si>
    <t>AKPITI AKIM</t>
  </si>
  <si>
    <t>ETS SERVICE COM</t>
  </si>
  <si>
    <t>MOUTAIROU TOIDI</t>
  </si>
  <si>
    <t>SVA MODERN</t>
  </si>
  <si>
    <t>AGBLA VICTOR</t>
  </si>
  <si>
    <t>ADEKAMBI ADETOUNDE</t>
  </si>
  <si>
    <t>DOSSA LECONTE</t>
  </si>
  <si>
    <t>ABEJE RAFATA</t>
  </si>
  <si>
    <t>SOGEMA</t>
  </si>
  <si>
    <t>PRODICOM INTER</t>
  </si>
  <si>
    <t>DE CAMPOS NICOLE</t>
  </si>
  <si>
    <t xml:space="preserve">Détail Décaissements  AOUT 2022          </t>
  </si>
  <si>
    <t>TOP CHRONO</t>
  </si>
  <si>
    <t>ORABANK</t>
  </si>
  <si>
    <t>DGTCP DRT DOUANE</t>
  </si>
  <si>
    <t>BOBOE BERNADIN</t>
  </si>
  <si>
    <t>ERICSSON</t>
  </si>
  <si>
    <t>BENIN TRACKING SECURITY SA</t>
  </si>
  <si>
    <t>CBI BENIN</t>
  </si>
  <si>
    <t>TOTAL DECAISSEMENTS SEPTEMBRE 2022</t>
  </si>
  <si>
    <t xml:space="preserve">TOGO CELLULAIRE </t>
  </si>
  <si>
    <t>OV1447/08/27</t>
  </si>
  <si>
    <t>ARM CONSULTANTS</t>
  </si>
  <si>
    <t>OV1437/08/22</t>
  </si>
  <si>
    <t>PLAN CONSEIL IMMOBILIERS</t>
  </si>
  <si>
    <t>LE COURSIER</t>
  </si>
  <si>
    <t>OV1454/08/2022</t>
  </si>
  <si>
    <t>MANEGERE ASSOCIES AFRIQUE</t>
  </si>
  <si>
    <t>OV1451/08/22</t>
  </si>
  <si>
    <t>OV1460/08/22</t>
  </si>
  <si>
    <t>OV1452/08/22</t>
  </si>
  <si>
    <t>LAWANI LIADI GANIYOU</t>
  </si>
  <si>
    <t>OV1455/08/22</t>
  </si>
  <si>
    <t>DMS BENIN SARL</t>
  </si>
  <si>
    <t>OV1453/08/22</t>
  </si>
  <si>
    <t>MONTCHO HUGUES THIBURCE</t>
  </si>
  <si>
    <t>OV1456/08/22</t>
  </si>
  <si>
    <t>OV1458/08/22</t>
  </si>
  <si>
    <t>HARMONIES SARL</t>
  </si>
  <si>
    <t>OV1367/08/22</t>
  </si>
  <si>
    <t>OV1360/08/22</t>
  </si>
  <si>
    <t>OV1468/09/22</t>
  </si>
  <si>
    <t>COGENT COMMUNICATIONS</t>
  </si>
  <si>
    <t>OV1470/09/22</t>
  </si>
  <si>
    <t>STE PVRM SARL</t>
  </si>
  <si>
    <t>OV 1467/08/22</t>
  </si>
  <si>
    <t>BULL COTE D'IVOIRE</t>
  </si>
  <si>
    <t>OV 1465/09/22</t>
  </si>
  <si>
    <t>CIZA INTERNATIONAL</t>
  </si>
  <si>
    <t>PLAN CONSEIL IMMOBILIER</t>
  </si>
  <si>
    <t>ASSOGBA ALFRED</t>
  </si>
  <si>
    <t xml:space="preserve">COFFI GOMEZ </t>
  </si>
  <si>
    <t>AMOUSSOU SAMSSON</t>
  </si>
  <si>
    <t>HOUESSOU SOTELLE</t>
  </si>
  <si>
    <t>DEPOT PETROLIERS DU BENIN</t>
  </si>
  <si>
    <t>SUNU ASSURANCES VIE BENIN</t>
  </si>
  <si>
    <t>OV1476/09/22</t>
  </si>
  <si>
    <t>AGUEMON DJOLOLO</t>
  </si>
  <si>
    <t xml:space="preserve">AG PARTNERS </t>
  </si>
  <si>
    <t>OV1462/09/22</t>
  </si>
  <si>
    <t>ALLAH ZINSOU PAUL</t>
  </si>
  <si>
    <t>OV1491/09/22</t>
  </si>
  <si>
    <t>IMPOT AOUT 2022</t>
  </si>
  <si>
    <t>AGETIP BENIN FONCTIONNEMENT</t>
  </si>
  <si>
    <t>OV1500/ 09/22</t>
  </si>
  <si>
    <t>TONAHIN  MAKPONNOU FELIX</t>
  </si>
  <si>
    <t>OV1497/09/22</t>
  </si>
  <si>
    <t>ITMBENIN</t>
  </si>
  <si>
    <t>OV1606/09/22</t>
  </si>
  <si>
    <t>MIKEM TECHNOLOGIE SARL</t>
  </si>
  <si>
    <t>OV1608/09/22</t>
  </si>
  <si>
    <t>OV1464/09/22</t>
  </si>
  <si>
    <t>SOSEIL</t>
  </si>
  <si>
    <t>OV1493/09/22</t>
  </si>
  <si>
    <t>CBP</t>
  </si>
  <si>
    <t>SIDDO ADAMOU</t>
  </si>
  <si>
    <t>14/09/222</t>
  </si>
  <si>
    <t>TESSILIMI SIAKA</t>
  </si>
  <si>
    <t>SEGUB GUCE DRT DOUANE</t>
  </si>
  <si>
    <t>AHOUNOU NADINE</t>
  </si>
  <si>
    <t>SEDJRO HESSOU ADJOUA</t>
  </si>
  <si>
    <t>TINOUKE IMMOBILIER</t>
  </si>
  <si>
    <t>ETS LIVINGSTONE</t>
  </si>
  <si>
    <t>OV1602/09/22</t>
  </si>
  <si>
    <t>PRIME INFRASTRUCTURE ET ENGINEERING</t>
  </si>
  <si>
    <t>OV1604/09/22</t>
  </si>
  <si>
    <t>KOUDESSI EPIPHANE OKOUMA</t>
  </si>
  <si>
    <t>OV1469/09/22</t>
  </si>
  <si>
    <t>TELEPIN SOFTWARE</t>
  </si>
  <si>
    <t>OV1603/09/22</t>
  </si>
  <si>
    <t>UNIPAY DANISMANKLIK</t>
  </si>
  <si>
    <t>OV1448/09/22</t>
  </si>
  <si>
    <t>OV1605/09/22</t>
  </si>
  <si>
    <t>DOSSOU AMINOU PIERRE</t>
  </si>
  <si>
    <t>OV1499/09/22</t>
  </si>
  <si>
    <t>OV1498/09/22</t>
  </si>
  <si>
    <t>FEDERATION BENINOISE DE HANDBALL</t>
  </si>
  <si>
    <t>BOLLORE TRANSPORT LOGISTICS</t>
  </si>
  <si>
    <t>KINIFFO BELLINE MARIE</t>
  </si>
  <si>
    <t>IITA</t>
  </si>
  <si>
    <t>HOUNDJE ROMUALD</t>
  </si>
  <si>
    <t>MONTCHO MARTIAL</t>
  </si>
  <si>
    <t xml:space="preserve">SUCCESSION MICHEL PLIYA </t>
  </si>
  <si>
    <t>EGLISE PENTECOTE AU BENIN</t>
  </si>
  <si>
    <t>CODJO KIFOULY</t>
  </si>
  <si>
    <t>DEGILA CHRISTOPHE</t>
  </si>
  <si>
    <t>ADJAHOUNGBETA COSME</t>
  </si>
  <si>
    <t>MAIRIE IFANGNIE</t>
  </si>
  <si>
    <t>SUNU ASSURANCE</t>
  </si>
  <si>
    <t>KPOTO BENOIT</t>
  </si>
  <si>
    <t>ETS BANNERMAN</t>
  </si>
  <si>
    <t>DOSSOU PIERRE AMINOU</t>
  </si>
  <si>
    <t xml:space="preserve">PAIEMENT BAILLEUR </t>
  </si>
  <si>
    <t>RESIDENCES CELINES</t>
  </si>
  <si>
    <t>PAMPHILE AGBARIN</t>
  </si>
  <si>
    <t>SOCIETE INNOV</t>
  </si>
  <si>
    <t>ERM</t>
  </si>
  <si>
    <t>PALAIS ORIENTAL</t>
  </si>
  <si>
    <t>RSG IMAGES</t>
  </si>
  <si>
    <t>MARZOUK</t>
  </si>
  <si>
    <t>SAVOIR PETROLEUM</t>
  </si>
  <si>
    <t>KOKOU NICODEM DEGILA</t>
  </si>
  <si>
    <t>ETS CHEZ VOUS ENTREPRISE</t>
  </si>
  <si>
    <t>IRENEE FAGBITE</t>
  </si>
  <si>
    <t>15 AOUT FETE PATRONALE</t>
  </si>
  <si>
    <t>AHOUANSSOU FIRMIN</t>
  </si>
  <si>
    <t>KPEKOU CORNEILLE</t>
  </si>
  <si>
    <t>MACHOUDI ALLAD</t>
  </si>
  <si>
    <t>AIWANOU ALAIN</t>
  </si>
  <si>
    <t>ADAM ABDOULAYE</t>
  </si>
  <si>
    <t>LEMOINE</t>
  </si>
  <si>
    <t>SUNU ASSURANCES</t>
  </si>
  <si>
    <t xml:space="preserve">PAIEMENT IMPOT </t>
  </si>
  <si>
    <t>SEMAKO</t>
  </si>
  <si>
    <t>DELTA ELECTRO</t>
  </si>
  <si>
    <t>COBA LEOCADIE</t>
  </si>
  <si>
    <t>HOUNKARIN</t>
  </si>
  <si>
    <t>COMTEL</t>
  </si>
  <si>
    <t xml:space="preserve">DMS </t>
  </si>
  <si>
    <t>PAIEMENT IMPOT</t>
  </si>
  <si>
    <t>DRT DOUANE</t>
  </si>
  <si>
    <t>SALAIRE SPT 2022</t>
  </si>
  <si>
    <t>TOTAL DECAISSEMENTS OCTOBRE 2022</t>
  </si>
  <si>
    <t xml:space="preserve">Détail Décaissements  OCTOBRE 2022          </t>
  </si>
  <si>
    <t>SALAIRE SEPTEMBRE 2022</t>
  </si>
  <si>
    <t xml:space="preserve">DGTCP DRT DOUANE </t>
  </si>
  <si>
    <t xml:space="preserve">PRIME INFRASTRUCTURE </t>
  </si>
  <si>
    <t>ADJANONHOUN BENOIT</t>
  </si>
  <si>
    <t>LIAMIDI</t>
  </si>
  <si>
    <t>ROGER DES LANLO</t>
  </si>
  <si>
    <t>TOSSOU GNANCADJA</t>
  </si>
  <si>
    <t>LEMOINE ARAMEX</t>
  </si>
  <si>
    <t>LEMOINE CIE</t>
  </si>
  <si>
    <t>COMPTOIR MONDIAL DE DISTRIBUTION ET DE SERVICES</t>
  </si>
  <si>
    <t>COMMUNE DE BOUKOUNBE</t>
  </si>
  <si>
    <t>MAIRIE DE OUASSA-PEUNCO</t>
  </si>
  <si>
    <t>COMMUNE DE SAKETE</t>
  </si>
  <si>
    <t>MATTERI</t>
  </si>
  <si>
    <t>EREVAN</t>
  </si>
  <si>
    <t>MAGIDEUTS</t>
  </si>
  <si>
    <t xml:space="preserve">PRIME INFRASTRUTURE </t>
  </si>
  <si>
    <t>SETONDJI SERGE</t>
  </si>
  <si>
    <t>KPAKPO BERTIN</t>
  </si>
  <si>
    <t>EDGARD AGBANTE</t>
  </si>
  <si>
    <t>JNP</t>
  </si>
  <si>
    <t>TOVOESSI EDGARD</t>
  </si>
  <si>
    <t>EASYCOM</t>
  </si>
  <si>
    <t>SBEE</t>
  </si>
  <si>
    <t>KL PRESTIGE</t>
  </si>
  <si>
    <t>IMPOT TELEPAIEMENT</t>
  </si>
  <si>
    <t>SEGUB GUCE</t>
  </si>
  <si>
    <t>TOGO CELLULAIRE</t>
  </si>
  <si>
    <t>GBEDOLO ANASTASIE</t>
  </si>
  <si>
    <t>QUALITY CORPORATE</t>
  </si>
  <si>
    <t>MCEA</t>
  </si>
  <si>
    <t>DGTCP ARCEP</t>
  </si>
  <si>
    <t>LES MILLE PATTES</t>
  </si>
  <si>
    <t>ATC INDUSTRIE</t>
  </si>
  <si>
    <t>BANCOLLE MACHOUDI</t>
  </si>
  <si>
    <t>AVOUGNANSSOU ROMUALD</t>
  </si>
  <si>
    <t>ALLOSSE JULLES</t>
  </si>
  <si>
    <t>CAISSE BAGRI KORA</t>
  </si>
  <si>
    <t>LES MILLES PATTES</t>
  </si>
  <si>
    <t>KIKI ELECTRO</t>
  </si>
  <si>
    <t>ZANDA VOUGO</t>
  </si>
  <si>
    <t>CHEFIATOU LAMIDI</t>
  </si>
  <si>
    <t>ETS CBP SARL</t>
  </si>
  <si>
    <t>ADJANOHOUN ADOLPHE</t>
  </si>
  <si>
    <t>RAIMATOU ADJADO</t>
  </si>
  <si>
    <t>CAA</t>
  </si>
  <si>
    <t>FANOU VINOLIA</t>
  </si>
  <si>
    <t>PLANETECH SARL</t>
  </si>
  <si>
    <t>CAISSE DE DEPOT ET DE CONSIGNATION DU BENIN</t>
  </si>
  <si>
    <t>BATIMAT</t>
  </si>
  <si>
    <t>IMPOT MOIS DE SEPTEMBRE BABE</t>
  </si>
  <si>
    <t>PATRICE PADONOU ABENI</t>
  </si>
  <si>
    <t xml:space="preserve">COMPTOIR MONDIAL DE DISTRIBUTION </t>
  </si>
  <si>
    <t>OLAGNIKA SALAM</t>
  </si>
  <si>
    <t>MOSES</t>
  </si>
  <si>
    <t>AMANI TRAIDING</t>
  </si>
  <si>
    <t xml:space="preserve">GIESECKE </t>
  </si>
  <si>
    <t>CORPORATE</t>
  </si>
  <si>
    <t>CNP BENIN</t>
  </si>
  <si>
    <t>PLANETE MEUBLES</t>
  </si>
  <si>
    <t>ATHANASE LUDOVIC MEHOBA</t>
  </si>
  <si>
    <t>SEGUB GUCE DRT DOIANE</t>
  </si>
  <si>
    <t>PROSEGURE</t>
  </si>
  <si>
    <t>MAISON ROUGE</t>
  </si>
  <si>
    <t>FRAIS DE MISSIONS Mr OMAR NAHLI</t>
  </si>
  <si>
    <t>FRAIS DE MISSIONS Mr MOHAMMED MORAKKAM</t>
  </si>
  <si>
    <t>FRAIS DE MISSIONS Mr GILDAS</t>
  </si>
  <si>
    <t>FRAIS DE MISSIONS Mr FLORENT</t>
  </si>
  <si>
    <t>TELEPAIEMENT AUBIN</t>
  </si>
  <si>
    <t>ELECTRO DISEGN</t>
  </si>
  <si>
    <t>MAIRIE DE KLOUEKANME</t>
  </si>
  <si>
    <t>MAIRIE D'ABOMEY CALAVIE</t>
  </si>
  <si>
    <t>SOCIETE H SARL</t>
  </si>
  <si>
    <t>COMPTOIR BENINOIS DE PAPIER</t>
  </si>
  <si>
    <t>DJIKUI CYRILLE</t>
  </si>
  <si>
    <t>CONSTANTINE ALISSOU</t>
  </si>
  <si>
    <t>JOHN AYI BERNADETTE</t>
  </si>
  <si>
    <t>AYA MODESTE</t>
  </si>
  <si>
    <t>IMPOT</t>
  </si>
  <si>
    <t>AHEHEHINNOU HERVE</t>
  </si>
  <si>
    <t>HUAWEI</t>
  </si>
  <si>
    <t>COGENT</t>
  </si>
  <si>
    <t>MANEGERE</t>
  </si>
  <si>
    <t>VODOUNON VALENTIN</t>
  </si>
  <si>
    <t>BINAZON CHARLEMAGNE</t>
  </si>
  <si>
    <t>COMLAN COMLANVI</t>
  </si>
  <si>
    <t>CIP</t>
  </si>
  <si>
    <t>DANDJESSO YVES</t>
  </si>
  <si>
    <t xml:space="preserve">ITISSALAT AL MAGHRIB </t>
  </si>
  <si>
    <t>MILLES PATTES SCOLARITE EFT MOUTANABI</t>
  </si>
  <si>
    <t>ETS BANENERMAN</t>
  </si>
  <si>
    <t>JEAN MARIE THOMAS DOSSOU YOVO</t>
  </si>
  <si>
    <t>ACCROMBESSI NICOLAS</t>
  </si>
  <si>
    <t>ETS CLAUDEM</t>
  </si>
  <si>
    <t>NJOUKWOUE</t>
  </si>
  <si>
    <t>AMOUSSOU CHARLEMAGNE</t>
  </si>
  <si>
    <t>KOULO LAZARE</t>
  </si>
  <si>
    <t>BIGUEZOTON GILLES SABIN</t>
  </si>
  <si>
    <t>BAKO BOUREIMA</t>
  </si>
  <si>
    <t>ZOHOU CODJO</t>
  </si>
  <si>
    <t>ORIOLA ABDEL AZIZ</t>
  </si>
  <si>
    <t>CEB</t>
  </si>
  <si>
    <t>AKE NATONDE</t>
  </si>
  <si>
    <t xml:space="preserve">SERVICE COM </t>
  </si>
  <si>
    <t xml:space="preserve">GSTUDIO ET COM </t>
  </si>
  <si>
    <t>MEMORIES</t>
  </si>
  <si>
    <t>CAISSE DE DEPOT ET CONSIGNATION DU BENIN</t>
  </si>
  <si>
    <t>CEFROMO</t>
  </si>
  <si>
    <t>ORACLE GROUP INVESTMENT</t>
  </si>
  <si>
    <t>HOUNTON HENRI</t>
  </si>
  <si>
    <t>RCA DECO</t>
  </si>
  <si>
    <t>J J TELECOM</t>
  </si>
  <si>
    <t>PAPETERIE MODERNE</t>
  </si>
  <si>
    <t>MILAY TECHNOLOGIES</t>
  </si>
  <si>
    <t>KAWERU GROUP</t>
  </si>
  <si>
    <t>EBK BENIN</t>
  </si>
  <si>
    <t>HOUNKPATIN HENRI</t>
  </si>
  <si>
    <t>SALAIRE OCT 22</t>
  </si>
  <si>
    <t xml:space="preserve">PAIEMENT FACTURE </t>
  </si>
  <si>
    <t>GSTUDIO ET COM</t>
  </si>
  <si>
    <t>ETS KADY ONLY</t>
  </si>
  <si>
    <t>DGTCP IMPOT</t>
  </si>
  <si>
    <t>ESPACE ELECTRONICS</t>
  </si>
  <si>
    <t>SALAM OLAGNIKA</t>
  </si>
  <si>
    <t>ANTONIO BOKO</t>
  </si>
  <si>
    <t>AGENCE POINT COM</t>
  </si>
  <si>
    <t>ADAMAHO EPIPHNIE</t>
  </si>
  <si>
    <t>TIKO ACHILLE</t>
  </si>
  <si>
    <t>ELECTRONIC SECURITY SYSTEMS</t>
  </si>
  <si>
    <t>MAIRIE DE NATITINGOU</t>
  </si>
  <si>
    <t>MAIRIE DE COBLY</t>
  </si>
  <si>
    <t>LORYNE MALI</t>
  </si>
  <si>
    <t>TALENTYS</t>
  </si>
  <si>
    <t>SAB</t>
  </si>
  <si>
    <t>EFE MONTAIGNE</t>
  </si>
  <si>
    <t>ATANDA MOUSSILIOU</t>
  </si>
  <si>
    <t xml:space="preserve">JNP SA CARBURANT DIRECTEUR </t>
  </si>
  <si>
    <t>PRIME</t>
  </si>
  <si>
    <t xml:space="preserve"> </t>
  </si>
  <si>
    <t>CFAO TECHNOLOGIES</t>
  </si>
  <si>
    <t>WEST COAST</t>
  </si>
  <si>
    <t>UNIPAY</t>
  </si>
  <si>
    <t>HIBOO</t>
  </si>
  <si>
    <t>CLAUDEM</t>
  </si>
  <si>
    <t>IBJM</t>
  </si>
  <si>
    <t>ALL FOR ENERGY</t>
  </si>
  <si>
    <t>CBS</t>
  </si>
  <si>
    <t>COMPTE SEQUESTRE</t>
  </si>
  <si>
    <t>TOTAL DECAISSEMENTS DECEMBRE 2022</t>
  </si>
  <si>
    <t xml:space="preserve">Détail Décaissements  DECEMBRE 2022          </t>
  </si>
  <si>
    <t>PIERE QUENIUM</t>
  </si>
  <si>
    <t>A SUCCES PLUS</t>
  </si>
  <si>
    <t>CENTRAL COMPANY</t>
  </si>
  <si>
    <t>CENTRALE COMPANY</t>
  </si>
  <si>
    <t xml:space="preserve">POSTE </t>
  </si>
  <si>
    <t>ZOHOUN INGRID</t>
  </si>
  <si>
    <t>ETS BANERMAN</t>
  </si>
  <si>
    <t>VALENTIN AGBO</t>
  </si>
  <si>
    <t>GANGBE PHILIBERT</t>
  </si>
  <si>
    <t>BOLLORE TRANSPORT ET LOGISTICS BENIN</t>
  </si>
  <si>
    <t xml:space="preserve">MANE GERE </t>
  </si>
  <si>
    <t>HOUSSOUN SAKA</t>
  </si>
  <si>
    <t>ELECTRO PLANETE</t>
  </si>
  <si>
    <t>ETS OUVRAGE DE BOIS</t>
  </si>
  <si>
    <t>MON DESTIN</t>
  </si>
  <si>
    <t>STE AFRICAINE</t>
  </si>
  <si>
    <t>FONDATION CLAUDINE TALON</t>
  </si>
  <si>
    <t>OLAMIKPO ET FILS</t>
  </si>
  <si>
    <t>AXELLE</t>
  </si>
  <si>
    <t>IMAMOU KOSSOKO</t>
  </si>
  <si>
    <t>HAZOUME DAMIEN</t>
  </si>
  <si>
    <t>HUAWEI TECHNOLOGIE</t>
  </si>
  <si>
    <t>SABASTIEN KEKE</t>
  </si>
  <si>
    <t>ARCHI CONSEILS</t>
  </si>
  <si>
    <t xml:space="preserve">FEDERATION BENINOISE (FBH OPERATIONS COURANTES) </t>
  </si>
  <si>
    <t>SUCCESSION FEU OKORIE EMMANUEL</t>
  </si>
  <si>
    <t>boa</t>
  </si>
  <si>
    <t>COMPTOIR BENINOIS DE PAPIERS</t>
  </si>
  <si>
    <t>BOUKARY BIO</t>
  </si>
  <si>
    <t>ETS HAIFA</t>
  </si>
  <si>
    <t>SEDOGBO LAURE FLORENCE</t>
  </si>
  <si>
    <t>SUCCESSION HOUNTONDJI ROGER</t>
  </si>
  <si>
    <t>ATODJINOU OUSSOU JEAN</t>
  </si>
  <si>
    <t>SIAKA TESSILIMI</t>
  </si>
  <si>
    <t>GWLADYS OKE</t>
  </si>
  <si>
    <t>MONTCHO</t>
  </si>
  <si>
    <t>PRVM</t>
  </si>
  <si>
    <t>MAGNIFICAT</t>
  </si>
  <si>
    <t xml:space="preserve">SOLARWINDS </t>
  </si>
  <si>
    <t>KOFFI</t>
  </si>
  <si>
    <t>DBM</t>
  </si>
  <si>
    <t>DELTA TECNIQUE ELECTRO</t>
  </si>
  <si>
    <t>SUNU ASSURANCE VIE BENIN</t>
  </si>
  <si>
    <t>LIGAN ADOLPHE</t>
  </si>
  <si>
    <t xml:space="preserve">RAYNALDE COMLAN </t>
  </si>
  <si>
    <t>LOKOSSOU EMMANUEL</t>
  </si>
  <si>
    <t>AGUEMON MOUTIATOU LAI</t>
  </si>
  <si>
    <t>DIASPORA</t>
  </si>
  <si>
    <t>SAROUKOU</t>
  </si>
  <si>
    <t>GUY JANVIER ZINZINDOHOUE</t>
  </si>
  <si>
    <t>HI CHARLES</t>
  </si>
  <si>
    <t>CODE BAR</t>
  </si>
  <si>
    <t>COMTEL TECHNOLOGIES</t>
  </si>
  <si>
    <t>FBVB</t>
  </si>
  <si>
    <t>LEMOINE MAGASINAGE</t>
  </si>
  <si>
    <t>LOIC GBENAHOUIN</t>
  </si>
  <si>
    <t>ESPACE ELECTRONIQUE</t>
  </si>
  <si>
    <t>G STUDIO</t>
  </si>
  <si>
    <t>AGBARIN</t>
  </si>
  <si>
    <t xml:space="preserve">COGENT </t>
  </si>
  <si>
    <t>SAMLAM OLAGNIKA</t>
  </si>
  <si>
    <t>AJC INTERNATIONAL</t>
  </si>
  <si>
    <t>1000 ET 1 SAVEURS</t>
  </si>
  <si>
    <t>HERVE AHEHEHINNOU</t>
  </si>
  <si>
    <t>ETS CHEZ VOUS</t>
  </si>
  <si>
    <t>TELCOMLIVE</t>
  </si>
  <si>
    <t>BLUE DIAMOND</t>
  </si>
  <si>
    <t>AGBOGLO JEAN BAPTISTE</t>
  </si>
  <si>
    <t>SAVOIR PETROLUM SARL</t>
  </si>
  <si>
    <t>PROMO PHARMA</t>
  </si>
  <si>
    <t>COMMUNE DE BOHICON</t>
  </si>
  <si>
    <t>COMMUNE DE TANGUIETA</t>
  </si>
  <si>
    <t>MARIE CLAUDE DEGUENON</t>
  </si>
  <si>
    <t>JAEL MAHULAWE SOKOU</t>
  </si>
  <si>
    <t>ABALLO GEORGES</t>
  </si>
  <si>
    <t>MAIRIE DE PARAKOU /FOIRE INTERNATIONL DE PARAKOU</t>
  </si>
  <si>
    <t>CYAN</t>
  </si>
  <si>
    <t>EBK</t>
  </si>
  <si>
    <t>FTF SENEGAL</t>
  </si>
  <si>
    <t>JIAXING</t>
  </si>
  <si>
    <t>BLACKEN</t>
  </si>
  <si>
    <t>CAKPO CORNEILLE</t>
  </si>
  <si>
    <t>CODE BAR SARL</t>
  </si>
  <si>
    <t>ATCHADE MOISE</t>
  </si>
  <si>
    <t>LEOCADIE BAÏ COBA</t>
  </si>
  <si>
    <t>SAMSON AMOUSSOU</t>
  </si>
  <si>
    <t>KPOTO BENOIT (VIANOU FRANCOISE)</t>
  </si>
  <si>
    <t>NOBILA</t>
  </si>
  <si>
    <t>LEGENDE DU VERSEAU</t>
  </si>
  <si>
    <t>MICHEL PLIYA</t>
  </si>
  <si>
    <t>CAROLE ANAGO</t>
  </si>
  <si>
    <t>AYONOU</t>
  </si>
  <si>
    <t>SAIZONOU JUSTIN</t>
  </si>
  <si>
    <t>MON DESTIN SARL</t>
  </si>
  <si>
    <t>LEADERS INTERNATIONAL GRO</t>
  </si>
  <si>
    <t>MSC OPERATION</t>
  </si>
  <si>
    <t>COGITECH SARL</t>
  </si>
  <si>
    <t>LEGACY GROUP</t>
  </si>
  <si>
    <t>DTCPDRT DOUANE</t>
  </si>
  <si>
    <t>AFFOGBOLO</t>
  </si>
  <si>
    <t>AGUEMEN</t>
  </si>
  <si>
    <t xml:space="preserve">SAISIE CONSERVATOIRE </t>
  </si>
  <si>
    <t>HARMONIES</t>
  </si>
  <si>
    <t>SELOME ZOE</t>
  </si>
  <si>
    <t>GROUP AND CONPANY</t>
  </si>
  <si>
    <t>GHISLAIN APPRO AGCE</t>
  </si>
  <si>
    <t>EDK</t>
  </si>
  <si>
    <t>HOUETO YANNICK APPRO AGCE</t>
  </si>
  <si>
    <t>YVONNE DOSSOU-DAGBENONBAKIN</t>
  </si>
  <si>
    <t>LIVINGSTONE</t>
  </si>
  <si>
    <t>SIGOS</t>
  </si>
  <si>
    <t>SAMSON</t>
  </si>
  <si>
    <t>GALLERY CHARLY</t>
  </si>
  <si>
    <t>ZOSSOU JAMES ISMAEL</t>
  </si>
  <si>
    <t>AYISSO ADOUNSIBA AYABA COLETTE</t>
  </si>
  <si>
    <t>ORCA</t>
  </si>
  <si>
    <t>ARCEP</t>
  </si>
  <si>
    <t>SAISIE CONSERVATOIRE</t>
  </si>
  <si>
    <t>HIRIS PRODUCTION</t>
  </si>
  <si>
    <t>WESTGATE</t>
  </si>
  <si>
    <t>BROTHER HOOD</t>
  </si>
  <si>
    <t>DMS BENIN</t>
  </si>
  <si>
    <t>CFAO TECHNOLOGIE</t>
  </si>
  <si>
    <t>SALAIRE</t>
  </si>
  <si>
    <t>TEIZIEME</t>
  </si>
  <si>
    <t>ARCEP DGTCP</t>
  </si>
  <si>
    <t>TREIZIEME BABE</t>
  </si>
  <si>
    <t xml:space="preserve">BENIN PETRO </t>
  </si>
  <si>
    <t>ZOSSOU JAMES</t>
  </si>
  <si>
    <t>GALERY CHARLY</t>
  </si>
  <si>
    <t>MANE GERE</t>
  </si>
  <si>
    <t>ADOUNSIBA AYABA COLETTE</t>
  </si>
  <si>
    <t>ORCA SARL</t>
  </si>
  <si>
    <t>SAISIE CONSERVATOIRE SGB</t>
  </si>
  <si>
    <t>SALAIRE DECEMBRE 22</t>
  </si>
  <si>
    <t>IRIS PRODUCTION</t>
  </si>
  <si>
    <t>BROTHERHOOD</t>
  </si>
  <si>
    <t>SAISIE CONSERVATOIRE CBAO</t>
  </si>
  <si>
    <t xml:space="preserve">CHABI MOUKA JULES </t>
  </si>
  <si>
    <t xml:space="preserve">M AUTO </t>
  </si>
  <si>
    <t>2 AG COMMUNICATIONS</t>
  </si>
  <si>
    <t>FBH OPERATIONS COURANTES</t>
  </si>
  <si>
    <t>SAISIE CONSERVATOIRE ECO</t>
  </si>
  <si>
    <t>JUMMY PALACE</t>
  </si>
  <si>
    <t>V7 TECHNOLOGIES</t>
  </si>
  <si>
    <t>CABINET SAT CONSULTING</t>
  </si>
  <si>
    <t>BURMAC</t>
  </si>
  <si>
    <t>LEADER INTERNATIONAL GRO</t>
  </si>
  <si>
    <t>HOLDDING HOBBALAH</t>
  </si>
  <si>
    <t>HAVAS</t>
  </si>
  <si>
    <t>TOTAL 2023</t>
  </si>
  <si>
    <t>TOTAL DECAISSEMENTS JAN 2023</t>
  </si>
  <si>
    <t xml:space="preserve">Détail Décaissements JAN 2023        </t>
  </si>
  <si>
    <t>HAVAS AFRICA</t>
  </si>
  <si>
    <t>DHL BENIN</t>
  </si>
  <si>
    <t>HOBBALAH HOLDING</t>
  </si>
  <si>
    <t>LEADER INTERNATIONAL GROS</t>
  </si>
  <si>
    <t>CABINET SATCONSULTING</t>
  </si>
  <si>
    <t>JUMMY PALACE CENTER</t>
  </si>
  <si>
    <t>2AG COMMUNICATIONS</t>
  </si>
  <si>
    <t>FLEXEXPORTATION</t>
  </si>
  <si>
    <t>SUPER PILI PILI</t>
  </si>
  <si>
    <t>SANLAM</t>
  </si>
  <si>
    <t>OGOUDIRIN WILLSON</t>
  </si>
  <si>
    <t>COMMUNE DE PORTO NOVO</t>
  </si>
  <si>
    <t>INETUM MAROC</t>
  </si>
  <si>
    <t>GUCE GUCE DRT DOUANE LEMOINE ERICSSON EQUIP TELECOM</t>
  </si>
  <si>
    <t>GUCE DRT DOUANE LEMOINE ERICSSON</t>
  </si>
  <si>
    <t>GUCE DRT DOUANE LEMOINE INTER ACT</t>
  </si>
  <si>
    <t>SEGUB DRT DOUANE LEMOINE</t>
  </si>
  <si>
    <t>SOCAR BENIN</t>
  </si>
  <si>
    <t xml:space="preserve">MON DESTIN </t>
  </si>
  <si>
    <t>ETS CTFEC</t>
  </si>
  <si>
    <t>IRENEE FATIGBE</t>
  </si>
  <si>
    <t>ADJONOHOUN BENOIT</t>
  </si>
  <si>
    <t>JON AYI DEDEVI BERNADETTE</t>
  </si>
  <si>
    <t>BADIROU AMOUSSA</t>
  </si>
  <si>
    <t>LEMOINE COMPANIE ARAMEX</t>
  </si>
  <si>
    <t>VRMT FAV KPADJOUDA MOULERO ARSENE</t>
  </si>
  <si>
    <t>VRMT FAV STE S.R.I</t>
  </si>
  <si>
    <t>VRMT FAV BENIN TRACKING SECURITY sa</t>
  </si>
  <si>
    <t xml:space="preserve">AMADOU K </t>
  </si>
  <si>
    <t>SOFT INNOVATION TECHNOLOGIES</t>
  </si>
  <si>
    <t>M AUTO</t>
  </si>
  <si>
    <t>REDEVANCE ARCEP DGTCP</t>
  </si>
  <si>
    <t>KINIFFO</t>
  </si>
  <si>
    <t>DGTCP (ARCEP)</t>
  </si>
  <si>
    <t>OFSA</t>
  </si>
  <si>
    <t>BANNERMAN</t>
  </si>
  <si>
    <t>STE ACELO BENIN SARL</t>
  </si>
  <si>
    <t>SOCIETE DES SERVICES IMMOBILIERS</t>
  </si>
  <si>
    <t>MAITRE SANLAM</t>
  </si>
  <si>
    <t>EDGARD DEGUENON</t>
  </si>
  <si>
    <t>SANLAM ASSURANCE</t>
  </si>
  <si>
    <t xml:space="preserve">IMPOT </t>
  </si>
  <si>
    <t>TELEPAIEMENT IMPOT DEC 22</t>
  </si>
  <si>
    <t>GENERAL PRESTATIONS SERVICES ADJA</t>
  </si>
  <si>
    <t>ITM BENIN SARL</t>
  </si>
  <si>
    <t>BABO DONATIENNE</t>
  </si>
  <si>
    <t>KEREKOU</t>
  </si>
  <si>
    <t xml:space="preserve">CERTI TRUST </t>
  </si>
  <si>
    <t>SUMMVIEW</t>
  </si>
  <si>
    <t>KOUESSIBA DELPHINE</t>
  </si>
  <si>
    <t>CONEB</t>
  </si>
  <si>
    <t>SOCIETE TIRE PRO</t>
  </si>
  <si>
    <t>MY ADDITIVE</t>
  </si>
  <si>
    <t xml:space="preserve">MCB </t>
  </si>
  <si>
    <t>ATOS BULL</t>
  </si>
  <si>
    <t xml:space="preserve">ECCO GC </t>
  </si>
  <si>
    <t>TALENTS PLUS</t>
  </si>
  <si>
    <t xml:space="preserve">SGB </t>
  </si>
  <si>
    <t>OMC BULDING</t>
  </si>
  <si>
    <t>SALIFOU IBRAHIM</t>
  </si>
  <si>
    <t>HELLO PHONE</t>
  </si>
  <si>
    <t>ADJANOHOUN</t>
  </si>
  <si>
    <t>STE DE GESTION DE MARCHE</t>
  </si>
  <si>
    <t>BEMBEREKE COMMUNE</t>
  </si>
  <si>
    <t>HOUEYOGBE COMMUNE</t>
  </si>
  <si>
    <t>SEKLOKA</t>
  </si>
  <si>
    <t>DEGUENON EDGARD</t>
  </si>
  <si>
    <t>RESIDENCES CELINE</t>
  </si>
  <si>
    <t>KAWERU</t>
  </si>
  <si>
    <t>ANASSOU BONIFACE</t>
  </si>
  <si>
    <t>KOUGBLENOU</t>
  </si>
  <si>
    <t>HOUNTON JUSTIN</t>
  </si>
  <si>
    <t>MOHAMAD NASSER EDDINE INTELCONSULT</t>
  </si>
  <si>
    <t>comptoir beninois de papier</t>
  </si>
  <si>
    <t>BAY LEY PERFORMANCE PLUS CONSULTING</t>
  </si>
  <si>
    <t>ORESTE PRISCILLIEN</t>
  </si>
  <si>
    <t xml:space="preserve">SOFT INNOVATION </t>
  </si>
  <si>
    <t xml:space="preserve">ITM SARL </t>
  </si>
  <si>
    <t>AVEC CREDIT MEDIA</t>
  </si>
  <si>
    <t>SALAIRE JAN 2023</t>
  </si>
  <si>
    <t>CREDIT INTERNES JAN 2023</t>
  </si>
  <si>
    <t>TELEPAIEMENT IMPOT</t>
  </si>
  <si>
    <t>COFIG</t>
  </si>
  <si>
    <t>SCB LAFARGE</t>
  </si>
  <si>
    <t>PROSEGUR SECURITE</t>
  </si>
  <si>
    <t xml:space="preserve">LOKOSSOU GUILLAUME EMMANUEL </t>
  </si>
  <si>
    <t>E BUSINESS</t>
  </si>
  <si>
    <t>COMVIVA</t>
  </si>
  <si>
    <t>WCP/GESTION LOCATIVE</t>
  </si>
  <si>
    <t>SANLAM OLAGNIKA</t>
  </si>
  <si>
    <t>MIKEM TECHNOLOGIE</t>
  </si>
  <si>
    <t>SBEE PAIEMENT FACTURE</t>
  </si>
  <si>
    <t>SEGUB GUCE DRT DOUANE CASANET</t>
  </si>
  <si>
    <t>FONDATION DE L'UNIVERSITE D'ABOMEY CALAVI</t>
  </si>
  <si>
    <t>RECETTES TOP UP (MOOV MONEY)</t>
  </si>
  <si>
    <t>RECETTES ACTIVATIONS FORFAITS (MOOV MONEY)</t>
  </si>
  <si>
    <t>TOTAL DECAISSEMENTS FEV 2023</t>
  </si>
  <si>
    <t xml:space="preserve">Détail Décaissements FEV 2023         </t>
  </si>
  <si>
    <t>3D TECHLOGIES</t>
  </si>
  <si>
    <t>ANNIE MARCELLE SOUROU DANDJINOU</t>
  </si>
  <si>
    <t>DGTCP REDEVANCE 2%</t>
  </si>
  <si>
    <t>DGTCP ARCEP (CONTRIBUTION AU DEVELOPPEMENT 2%) POSTE</t>
  </si>
  <si>
    <t>MIKEM TECHNLOGIES</t>
  </si>
  <si>
    <t>SONAEC</t>
  </si>
  <si>
    <t>NEHME ABDALLAH</t>
  </si>
  <si>
    <t>ETS EDN COMPUTING</t>
  </si>
  <si>
    <t>ELECTRONIC SECURITY SYSTEM</t>
  </si>
  <si>
    <t>NETIS TOGO</t>
  </si>
  <si>
    <t>TELCOM LIVE</t>
  </si>
  <si>
    <t>DGTCP redevance 10% ARCEP</t>
  </si>
  <si>
    <t>CHEZ VOUS</t>
  </si>
  <si>
    <t xml:space="preserve">MIKEM </t>
  </si>
  <si>
    <t>YERIMA DJAMILATOU</t>
  </si>
  <si>
    <t>09/022023</t>
  </si>
  <si>
    <t>COMPTE SQUESTRE</t>
  </si>
  <si>
    <t xml:space="preserve">SUBEX </t>
  </si>
  <si>
    <t>MAGIDEUTZ</t>
  </si>
  <si>
    <t>GENECIC</t>
  </si>
  <si>
    <t>IMPOT JANVIER 23 CORIS</t>
  </si>
  <si>
    <t>IMPOT JANVIER 23 BABE</t>
  </si>
  <si>
    <t>HANTO ET FILS</t>
  </si>
  <si>
    <t>MICHODJEHOUN CAMILLE</t>
  </si>
  <si>
    <t>SUCCESSION AGONHOUN LATIFOU</t>
  </si>
  <si>
    <t>AKANMOUN VICTORIN</t>
  </si>
  <si>
    <t>FRANCIS IDOHOU</t>
  </si>
  <si>
    <t>KW NEWS</t>
  </si>
  <si>
    <t>SAT CONSULTING GROUP</t>
  </si>
  <si>
    <t>TELEPAIEMENT</t>
  </si>
  <si>
    <t>CHITOU ABIOLA</t>
  </si>
  <si>
    <t>EFE MONTAIGNE SCOLARITE YOUNES MORAKKAM</t>
  </si>
  <si>
    <t>AL MAGHRIB</t>
  </si>
  <si>
    <t>AJU ORI COSMAS</t>
  </si>
  <si>
    <t>CHABI ELYSE</t>
  </si>
  <si>
    <t>ALYKO FORTUNE</t>
  </si>
  <si>
    <t>EFE MONTAIGNE (ENFT nhari ziad)</t>
  </si>
  <si>
    <t>EBEII</t>
  </si>
  <si>
    <t>PORTING</t>
  </si>
  <si>
    <t>MOBILEUM</t>
  </si>
  <si>
    <t>EXFO</t>
  </si>
  <si>
    <t>TOP CHRONO SARL</t>
  </si>
  <si>
    <t>BUBEDRA</t>
  </si>
  <si>
    <t>EFE MONTAIGNE (ENFT EL HOUTY SAMY)</t>
  </si>
  <si>
    <t>ESSO LANDRY</t>
  </si>
  <si>
    <t>DGTCP/APDP</t>
  </si>
  <si>
    <t>GOLDEN</t>
  </si>
  <si>
    <t>DIVERS VIREMENTS</t>
  </si>
  <si>
    <t>DOSSOU IVONNE</t>
  </si>
  <si>
    <t>HOUESSOU NICK AUREL</t>
  </si>
  <si>
    <t>ITM BENIN</t>
  </si>
  <si>
    <t>ABDALLAH</t>
  </si>
  <si>
    <t>AGBANTE COMLAN</t>
  </si>
  <si>
    <t>COMPTE PROJET SAB</t>
  </si>
  <si>
    <t>ETS MOSES</t>
  </si>
  <si>
    <t>SOURADJATOU AMOUSSA</t>
  </si>
  <si>
    <t>MY ADDICTIVE</t>
  </si>
  <si>
    <t>NEW DEALS</t>
  </si>
  <si>
    <t>WEMEXWE</t>
  </si>
  <si>
    <t>HOUSSOU SALAKO</t>
  </si>
  <si>
    <t>SRI</t>
  </si>
  <si>
    <t>CEPED</t>
  </si>
  <si>
    <t>ATC INDUSTRIES</t>
  </si>
  <si>
    <t>ÉTÉ SA</t>
  </si>
  <si>
    <t>DEPOT PETROLIER DU BENIN</t>
  </si>
  <si>
    <t>ARCEP REDEVANCE ANNUELLE D'UTILISATION DE CODE USSD</t>
  </si>
  <si>
    <t>COMMUNE DE NATITINGOU</t>
  </si>
  <si>
    <t>MAXIME RENE ASSOGBA</t>
  </si>
  <si>
    <t>GUEZODJE LUDOVIC</t>
  </si>
  <si>
    <t>AFANONTIN PATRICE</t>
  </si>
  <si>
    <t>GBAFFONOU GABRIEL</t>
  </si>
  <si>
    <t>FAGLA PAMPHILE</t>
  </si>
  <si>
    <t>JMJ PLUS VICTORIEN OUENSAVI</t>
  </si>
  <si>
    <t>STE KW NEWS</t>
  </si>
  <si>
    <t>ACELO BENIN</t>
  </si>
  <si>
    <t>LEMOINE CIE FRAIS DE MAGASINAGE</t>
  </si>
  <si>
    <t>LEMOINE CIE FRAIS DE MAGASINAGE ERICSSON</t>
  </si>
  <si>
    <t>VOYAGE DU DG</t>
  </si>
  <si>
    <t>VOYAGE ARTHUR</t>
  </si>
  <si>
    <t>CEFFROMO</t>
  </si>
  <si>
    <t>AZONSI FREDRIC</t>
  </si>
  <si>
    <t>ARCEP MEMO</t>
  </si>
  <si>
    <t>SALAIRE FEV 23</t>
  </si>
  <si>
    <t>LATIFOU LAURIANO</t>
  </si>
  <si>
    <t>TELEPAIEMENT UBA</t>
  </si>
  <si>
    <t>SEGUB GUCE DHL DRT DOUANE ERICSSON</t>
  </si>
  <si>
    <t xml:space="preserve">SEGUB GUCE DRT DOUANE LEMOINE EQUIP TELECOM ERICSSON </t>
  </si>
  <si>
    <t>PERMONTH</t>
  </si>
  <si>
    <t>TOMSISDN</t>
  </si>
  <si>
    <t>COUNTOFACTIVATION</t>
  </si>
  <si>
    <t>TOTALAMOUNT</t>
  </si>
  <si>
    <t>DEBIT</t>
  </si>
  <si>
    <t>Forfait VOIX par les AGENTS</t>
  </si>
  <si>
    <t>Forfait VOIX par les Abonnés</t>
  </si>
  <si>
    <t>Forfait DATA par les AGENTS</t>
  </si>
  <si>
    <t>Forfait DATA par les Abonnés</t>
  </si>
  <si>
    <t>AIRT</t>
  </si>
  <si>
    <t>Crédit</t>
  </si>
  <si>
    <t>2023-05</t>
  </si>
  <si>
    <t>MONTANT TTC</t>
  </si>
  <si>
    <t>MONTANT HT</t>
  </si>
  <si>
    <t>TVA</t>
  </si>
  <si>
    <t>ACTIVATION AU 22 JUIN 2023</t>
  </si>
  <si>
    <t>TOP UP AU 22 JUIN 2023</t>
  </si>
  <si>
    <t>TOTAL 2024</t>
  </si>
  <si>
    <t>AUTRES RECETTES MOOV MONEY</t>
  </si>
  <si>
    <t>AUTRES CHARGES MOOVMONEY</t>
  </si>
  <si>
    <t>CFAO INFRASTRUCTURE</t>
  </si>
  <si>
    <t>CETELEC SA</t>
  </si>
  <si>
    <t>Date</t>
  </si>
  <si>
    <t>LIBELLE</t>
  </si>
  <si>
    <t>reference</t>
  </si>
  <si>
    <t>COMPTE</t>
  </si>
  <si>
    <t>Valeur</t>
  </si>
  <si>
    <t>CREDIT</t>
  </si>
  <si>
    <t>ECHEANCE PRÊT DEFALQUE</t>
  </si>
  <si>
    <t>Type</t>
  </si>
  <si>
    <t>Client</t>
  </si>
  <si>
    <t>Montant TTC</t>
  </si>
  <si>
    <t>M0000002</t>
  </si>
  <si>
    <t>STADV</t>
  </si>
  <si>
    <t>M0000006</t>
  </si>
  <si>
    <t>M0000003</t>
  </si>
  <si>
    <t>D_COMMERCIAL</t>
  </si>
  <si>
    <t>M0000004</t>
  </si>
  <si>
    <t>M0000001</t>
  </si>
  <si>
    <t>GLODJ</t>
  </si>
  <si>
    <t>STVSS</t>
  </si>
  <si>
    <t>AEROP</t>
  </si>
  <si>
    <t>AGLA1</t>
  </si>
  <si>
    <t>ASIEG</t>
  </si>
  <si>
    <t>ZRAIS</t>
  </si>
  <si>
    <t>AZOVE</t>
  </si>
  <si>
    <t>BOHIC</t>
  </si>
  <si>
    <t>AFARI</t>
  </si>
  <si>
    <t>CALAV</t>
  </si>
  <si>
    <t>COCOT</t>
  </si>
  <si>
    <t>COME1</t>
  </si>
  <si>
    <t>DJOUG</t>
  </si>
  <si>
    <t>ETOIL</t>
  </si>
  <si>
    <t>GANHI</t>
  </si>
  <si>
    <t>KANDI</t>
  </si>
  <si>
    <t>YADAM</t>
  </si>
  <si>
    <t>LOKOS</t>
  </si>
  <si>
    <t>MENON</t>
  </si>
  <si>
    <t>NATIT</t>
  </si>
  <si>
    <t>PARAK</t>
  </si>
  <si>
    <t>OMARD</t>
  </si>
  <si>
    <t>POBE1</t>
  </si>
  <si>
    <t>DCHAR</t>
  </si>
  <si>
    <t>PORTO</t>
  </si>
  <si>
    <t>SEGBE</t>
  </si>
  <si>
    <t>TANTO</t>
  </si>
  <si>
    <t>UNIPA</t>
  </si>
  <si>
    <t>Total</t>
  </si>
  <si>
    <t>Numéro</t>
  </si>
  <si>
    <t>NINES</t>
  </si>
  <si>
    <t>TEM</t>
  </si>
  <si>
    <t>AGRAC</t>
  </si>
  <si>
    <t>BPASC</t>
  </si>
  <si>
    <t>BNOUS</t>
  </si>
  <si>
    <t>Opérateur</t>
  </si>
  <si>
    <t>Date/heure création</t>
  </si>
  <si>
    <t>Départ échéance</t>
  </si>
  <si>
    <t>Date comptable</t>
  </si>
  <si>
    <t>Nom</t>
  </si>
  <si>
    <t>Tiers</t>
  </si>
  <si>
    <t>TOTAL ANNUEL</t>
  </si>
  <si>
    <t>Transactions</t>
  </si>
  <si>
    <t>TOGO</t>
  </si>
  <si>
    <t>BRUT</t>
  </si>
  <si>
    <t>RECEPTION</t>
  </si>
  <si>
    <t>ENVOIE</t>
  </si>
  <si>
    <t>ANNULATION</t>
  </si>
  <si>
    <t>NET A PAYER</t>
  </si>
  <si>
    <t>STATUT RECOUVREMENT</t>
  </si>
  <si>
    <t>CI</t>
  </si>
  <si>
    <t>ML</t>
  </si>
  <si>
    <t>OK</t>
  </si>
  <si>
    <t>BF</t>
  </si>
  <si>
    <t>DCLEM</t>
  </si>
  <si>
    <t>APENE</t>
  </si>
  <si>
    <t>HCOLO</t>
  </si>
  <si>
    <t>SANGE</t>
  </si>
  <si>
    <t>YDJEL</t>
  </si>
  <si>
    <t>SAXEL</t>
  </si>
  <si>
    <t>ALAET</t>
  </si>
  <si>
    <t>FCARM</t>
  </si>
  <si>
    <t>A0006575</t>
  </si>
  <si>
    <t>CLINIQUE LA GRATITUDE</t>
  </si>
  <si>
    <t>EMICH</t>
  </si>
  <si>
    <t>KWILF</t>
  </si>
  <si>
    <t>AVALE</t>
  </si>
  <si>
    <t>SBAKE</t>
  </si>
  <si>
    <t>SMOHA</t>
  </si>
  <si>
    <t>A0008374</t>
  </si>
  <si>
    <t>NOUVELLE PHARMACIE ALBARIKA  K</t>
  </si>
  <si>
    <t>A0009070</t>
  </si>
  <si>
    <t>NVELLE PHCIE ALBARIKA KANDI/DA</t>
  </si>
  <si>
    <t>ACLOT</t>
  </si>
  <si>
    <t>KAURO</t>
  </si>
  <si>
    <t>KMARJ</t>
  </si>
  <si>
    <t>SLAUR</t>
  </si>
  <si>
    <t>A0008174</t>
  </si>
  <si>
    <t>MEDOM-BENIN</t>
  </si>
  <si>
    <t>KFRUC</t>
  </si>
  <si>
    <t>A0008906</t>
  </si>
  <si>
    <t>BONI FAYCAL</t>
  </si>
  <si>
    <t>GGISL</t>
  </si>
  <si>
    <t>A0003784</t>
  </si>
  <si>
    <t>LYNE ET FRERES SARL</t>
  </si>
  <si>
    <t>AKAOS</t>
  </si>
  <si>
    <t>KMICH</t>
  </si>
  <si>
    <t>LMOUL</t>
  </si>
  <si>
    <t>ZCARI</t>
  </si>
  <si>
    <t>TESAI</t>
  </si>
  <si>
    <t>A0007418</t>
  </si>
  <si>
    <t>ETS ATAM SERVICES</t>
  </si>
  <si>
    <t>A0007914</t>
  </si>
  <si>
    <t>CABINET MEDICAL MISSIGBE</t>
  </si>
  <si>
    <t>AANIT</t>
  </si>
  <si>
    <t>ARICH</t>
  </si>
  <si>
    <t>BSARE</t>
  </si>
  <si>
    <t>FASTR</t>
  </si>
  <si>
    <t>LSENA</t>
  </si>
  <si>
    <t>MEUNI</t>
  </si>
  <si>
    <t>TOTAL DES X-BORDER RECUS</t>
  </si>
  <si>
    <t>TOTAL DES LETTRES DE CREDIT PAYEES</t>
  </si>
  <si>
    <t>BGFI</t>
  </si>
  <si>
    <t>PAIEMENT LETTRE DE CREDIT ERICSSON</t>
  </si>
  <si>
    <t>ORYX BENIN</t>
  </si>
  <si>
    <t>ORA</t>
  </si>
  <si>
    <t>SEGUB GUCE DROIT DE DOUANE</t>
  </si>
  <si>
    <t xml:space="preserve">WEST AFRICAINE </t>
  </si>
  <si>
    <t>PAIEMENT LETTRE DE CREDIT HUAWEI</t>
  </si>
  <si>
    <t>SAGEMCOM</t>
  </si>
  <si>
    <t>NG</t>
  </si>
  <si>
    <t>DATE</t>
  </si>
  <si>
    <t>SUBSCRIPTIONS</t>
  </si>
  <si>
    <t>REGISTRATIONS</t>
  </si>
  <si>
    <t>APPROVALS</t>
  </si>
  <si>
    <t>CHURN</t>
  </si>
  <si>
    <t>SUBSCRIBERS</t>
  </si>
  <si>
    <t>AGENT</t>
  </si>
  <si>
    <t>WCASH5</t>
  </si>
  <si>
    <t>CASH IN</t>
  </si>
  <si>
    <t>CASH OUT</t>
  </si>
  <si>
    <t>CASH OUT USSD PUSH</t>
  </si>
  <si>
    <t xml:space="preserve">P2P </t>
  </si>
  <si>
    <t>P2P TO OTHER NETWORK</t>
  </si>
  <si>
    <t>BANKS</t>
  </si>
  <si>
    <t>MFS AFRICA (RECEIVED)</t>
  </si>
  <si>
    <t>MFS AFRICA (OUTBOUND)</t>
  </si>
  <si>
    <t>LNB</t>
  </si>
  <si>
    <t>LNB MERCHANT</t>
  </si>
  <si>
    <t>1XBET</t>
  </si>
  <si>
    <t>1XBET2</t>
  </si>
  <si>
    <t>BATCH</t>
  </si>
  <si>
    <t xml:space="preserve">TOP UP </t>
  </si>
  <si>
    <t>BILL PAYMENT</t>
  </si>
  <si>
    <t>MERCHANT PAYMENT</t>
  </si>
  <si>
    <t>OTHER NETWORK WITHDRAW VIA PIN</t>
  </si>
  <si>
    <t>REPORT EMAIL</t>
  </si>
  <si>
    <t>REVERSAL</t>
  </si>
  <si>
    <t>CROSSBOARDER TRANSACTIONS (SEND AND RECEIVE)</t>
  </si>
  <si>
    <t>TOTAL TRANSACTIONS</t>
  </si>
  <si>
    <t>TOTAL KEYCOST FOR ALL TRANSACTION</t>
  </si>
  <si>
    <t>TOTAL COMMISSION 
FOR ALL TRANSACTION</t>
  </si>
  <si>
    <t>AUTO TOP UP (AIRT)</t>
  </si>
  <si>
    <t>AUTO TOP UP (DEBIT)</t>
  </si>
  <si>
    <t>AUTO TOP UP (TOTAL)</t>
  </si>
  <si>
    <t>RECHARGEMENT</t>
  </si>
  <si>
    <t>PARI EN LIGNE</t>
  </si>
  <si>
    <t>PACKS MOOV MONEY</t>
  </si>
  <si>
    <t>SUBCOUNT</t>
  </si>
  <si>
    <t>ACTIVE 0 
TOTALACTIVE 0 
TOTALACTIVE 0 
TOTAL</t>
  </si>
  <si>
    <t>ACTIVE 1
TOTALACTIVE 1
TOTALACTIVE 1
TOTAL</t>
  </si>
  <si>
    <t>ACTIVE 2 
TOTALACTIVE 2 
TOTALACTIVE 2 
TOTAL</t>
  </si>
  <si>
    <t>Registration
TOTALRegistration
TOTALRegistration
TOTAL</t>
  </si>
  <si>
    <t>ACTIVE 0
TOTALACTIVE 0
TOTALACTIVE 0
TOTAL</t>
  </si>
  <si>
    <t>ACTIVE 2
TOTALACTIVE 2
TOTALACTIVE 2
TOTAL</t>
  </si>
  <si>
    <t>SUCCESS</t>
  </si>
  <si>
    <t>AMOUNT</t>
  </si>
  <si>
    <t>FAILED</t>
  </si>
  <si>
    <t>SUBCOUNT
RECEIVESUBCOUNT
RECEIVESUBCOUNT
RECEIVE</t>
  </si>
  <si>
    <t>COMMISSION</t>
  </si>
  <si>
    <t>KEYCOST</t>
  </si>
  <si>
    <t>AIB</t>
  </si>
  <si>
    <t>COUNTS</t>
  </si>
  <si>
    <t>KEYCOSTMFS</t>
  </si>
  <si>
    <t>COUNT</t>
  </si>
  <si>
    <t>COMISSION</t>
  </si>
  <si>
    <t>ROLLBACK 
COUNTROLLBACK 
COUNTROLLBACK 
COUNT</t>
  </si>
  <si>
    <t>ROLLBACK 
AMOUNTROLLBACK 
AMOUNTROLLBACK 
AMOUNT</t>
  </si>
  <si>
    <t>ROLLBACK 
KEYCOSTROLLBACK 
KEYCOSTROLLBACK 
KEYCOST</t>
  </si>
  <si>
    <t>TOTAL SUCCESS</t>
  </si>
  <si>
    <t>TOTAL AMOUNT</t>
  </si>
  <si>
    <t>TOTAL
KEYCOSTTOTAL
KEYCOSTTOTAL
KEYCOST</t>
  </si>
  <si>
    <t>RECEIVE SUCCESS</t>
  </si>
  <si>
    <t>RECEIVE AMOUNT</t>
  </si>
  <si>
    <t>SEND SUCCESS</t>
  </si>
  <si>
    <t>SEND AMOUNT</t>
  </si>
  <si>
    <t>MRCH MERCHANT
KEYCOST
22900001003</t>
  </si>
  <si>
    <t>PUSH KEYCOST</t>
  </si>
  <si>
    <t>OFFLINE CASHIN
BONUS</t>
  </si>
  <si>
    <t>OFFLINE CASHIN AIB</t>
  </si>
  <si>
    <t>AIRT COMMISSION</t>
  </si>
  <si>
    <t>Autres revenus</t>
  </si>
  <si>
    <t>Autres revenus EXTRACTION</t>
  </si>
  <si>
    <t>Autres commissions</t>
  </si>
  <si>
    <t>Credit</t>
  </si>
  <si>
    <t>ETB</t>
  </si>
  <si>
    <t>Revenu Global HT</t>
  </si>
  <si>
    <t>5% Taxes</t>
  </si>
  <si>
    <t>Revenu Global HT H 5%</t>
  </si>
  <si>
    <t>MOY</t>
  </si>
  <si>
    <t>CA Rechargement Agents (1,5%)</t>
  </si>
  <si>
    <t>CA Recettes Agences (1.5%)</t>
  </si>
  <si>
    <t>CA Reversement MAB</t>
  </si>
  <si>
    <t>Revenu Avec reversement MAB</t>
  </si>
  <si>
    <t>Facture</t>
  </si>
  <si>
    <t>Mnt facture</t>
  </si>
  <si>
    <t>Règlement</t>
  </si>
  <si>
    <t>ZAGNE</t>
  </si>
  <si>
    <t>A0009341</t>
  </si>
  <si>
    <t>BESALAO</t>
  </si>
  <si>
    <t>A0009162</t>
  </si>
  <si>
    <t>PHARMACIE ST CAMILLE</t>
  </si>
  <si>
    <t>A0005666</t>
  </si>
  <si>
    <t>PAROISSE STE RITA COTONOU</t>
  </si>
  <si>
    <t>HNADE</t>
  </si>
  <si>
    <t>AAUGU</t>
  </si>
  <si>
    <t>YFULB</t>
  </si>
  <si>
    <t>A0007842</t>
  </si>
  <si>
    <t>DINHA SERVICES</t>
  </si>
  <si>
    <t>A0003091</t>
  </si>
  <si>
    <t>MEDA  CONSEILS</t>
  </si>
  <si>
    <t>AORPH</t>
  </si>
  <si>
    <t>TOTAL GENERAL:</t>
  </si>
  <si>
    <t>FAC</t>
  </si>
  <si>
    <t>FAM</t>
  </si>
  <si>
    <t>MM000002</t>
  </si>
  <si>
    <t>CANAL+</t>
  </si>
  <si>
    <t>AMONE</t>
  </si>
  <si>
    <t>KAIME</t>
  </si>
  <si>
    <t>AVO</t>
  </si>
  <si>
    <t>CHANNEL VAS</t>
  </si>
  <si>
    <t>E-BUSINESS</t>
  </si>
  <si>
    <t>LETTRE DE CREDIT ERICSSON</t>
  </si>
  <si>
    <t>LETTRE DE CREDIT HUAWEI</t>
  </si>
  <si>
    <t xml:space="preserve"> -   </t>
  </si>
  <si>
    <t>MOOVFIDELIS</t>
  </si>
  <si>
    <t>MOOV FIDELIS</t>
  </si>
  <si>
    <t>GJUAN</t>
  </si>
  <si>
    <t>ACHIM</t>
  </si>
  <si>
    <t>YOCTA</t>
  </si>
  <si>
    <t>GHONO</t>
  </si>
  <si>
    <t>IRAWI</t>
  </si>
  <si>
    <t>LMARI</t>
  </si>
  <si>
    <t>ACOLO</t>
  </si>
  <si>
    <t>ALULR</t>
  </si>
  <si>
    <t>ZSOLA</t>
  </si>
  <si>
    <t>KSAND</t>
  </si>
  <si>
    <t>BIYAN</t>
  </si>
  <si>
    <t>SPRIS</t>
  </si>
  <si>
    <t>FIRIS</t>
  </si>
  <si>
    <t>DBELI</t>
  </si>
  <si>
    <t>Transactions Moov Money intégrées dans Sage X3</t>
  </si>
  <si>
    <t>Période du</t>
  </si>
  <si>
    <t>au</t>
  </si>
  <si>
    <t>DATE RGLT</t>
  </si>
  <si>
    <t>REF MOOV MONEY</t>
  </si>
  <si>
    <t>MSISDN</t>
  </si>
  <si>
    <t>CODE PSTPD</t>
  </si>
  <si>
    <t>RAISON SOCIALE</t>
  </si>
  <si>
    <t>N°FACTURE</t>
  </si>
  <si>
    <t>ECHEANCE</t>
  </si>
  <si>
    <t>MT REGLE</t>
  </si>
  <si>
    <t>LIBELLE DE LA TRANSACTION</t>
  </si>
  <si>
    <t>UUS</t>
  </si>
  <si>
    <t>ENCO</t>
  </si>
  <si>
    <t>DATE MAJ</t>
  </si>
  <si>
    <t>22998145949</t>
  </si>
  <si>
    <t>A0007969</t>
  </si>
  <si>
    <t>ZFILS SARL</t>
  </si>
  <si>
    <t>ADMIN</t>
  </si>
  <si>
    <t>ENC</t>
  </si>
  <si>
    <t>22999311919</t>
  </si>
  <si>
    <t>A0006763</t>
  </si>
  <si>
    <t>PARTENAIRE SZ BEMBEREKE-SINEND</t>
  </si>
  <si>
    <t>22965297563</t>
  </si>
  <si>
    <t>A0009551</t>
  </si>
  <si>
    <t>TACLA SAMUEL AMOUR</t>
  </si>
  <si>
    <t>22995335458</t>
  </si>
  <si>
    <t>A0005505</t>
  </si>
  <si>
    <t>LE FORMATEUR</t>
  </si>
  <si>
    <t>22995481790</t>
  </si>
  <si>
    <t>A0009460</t>
  </si>
  <si>
    <t>NOUMAHOUKOU LEGNISSOU SYLVIANE</t>
  </si>
  <si>
    <t>22961877134</t>
  </si>
  <si>
    <t>A0008434</t>
  </si>
  <si>
    <t>GENERATION D'IMPACT ELECTRONIC</t>
  </si>
  <si>
    <t>A0009526</t>
  </si>
  <si>
    <t>AHANDESSI DAVID MAHUNAN</t>
  </si>
  <si>
    <t>22964737251</t>
  </si>
  <si>
    <t>A0009164</t>
  </si>
  <si>
    <t>TOURE TRANSPORT VOYAGEUR</t>
  </si>
  <si>
    <t>22995957731</t>
  </si>
  <si>
    <t>A0003360</t>
  </si>
  <si>
    <t>SAFEC</t>
  </si>
  <si>
    <t>22994117840</t>
  </si>
  <si>
    <t>A0008649</t>
  </si>
  <si>
    <t>PHARMACIE DE LA CENTRALE DE MA</t>
  </si>
  <si>
    <t>22964121203</t>
  </si>
  <si>
    <t>A0003572</t>
  </si>
  <si>
    <t>ETS CAJERO</t>
  </si>
  <si>
    <t>22995566161</t>
  </si>
  <si>
    <t>A0008838</t>
  </si>
  <si>
    <t>INNOV COM BTP SARL</t>
  </si>
  <si>
    <t>22964423902</t>
  </si>
  <si>
    <t>A0005590</t>
  </si>
  <si>
    <t>CARREFOUR DES  ROIS</t>
  </si>
  <si>
    <t>22995185252</t>
  </si>
  <si>
    <t>A0009223</t>
  </si>
  <si>
    <t>BADOU AKOLEMIN PEGGY INGRID</t>
  </si>
  <si>
    <t>22994267076</t>
  </si>
  <si>
    <t>A0007592</t>
  </si>
  <si>
    <t>GBAGUIDI N. EMAUS ESPOIR G.</t>
  </si>
  <si>
    <t>A0009270</t>
  </si>
  <si>
    <t>AGBESSI COOVI RODRIGUE</t>
  </si>
  <si>
    <t>22995427272</t>
  </si>
  <si>
    <t>A0005144</t>
  </si>
  <si>
    <t>ETS AMOUZOUN BUSNESS &amp; COMPAGN</t>
  </si>
  <si>
    <t>22995184567</t>
  </si>
  <si>
    <t>A0008187</t>
  </si>
  <si>
    <t>SAINT JOSEPH DE LA PROVIDENCE</t>
  </si>
  <si>
    <t>22995754755</t>
  </si>
  <si>
    <t>A0003517</t>
  </si>
  <si>
    <t>ETS LE BON COMBAT</t>
  </si>
  <si>
    <t>22960233232</t>
  </si>
  <si>
    <t>A0008482</t>
  </si>
  <si>
    <t>KPAMEGAN STEPHANE  LUDOVIC  D</t>
  </si>
  <si>
    <t>22995253895</t>
  </si>
  <si>
    <t>A0008829</t>
  </si>
  <si>
    <t>I.WOLF</t>
  </si>
  <si>
    <t>22995349708</t>
  </si>
  <si>
    <t>A0003370</t>
  </si>
  <si>
    <t>HOPITAL EVANGELIQUE BEMBEREKE</t>
  </si>
  <si>
    <t>22994264545</t>
  </si>
  <si>
    <t>A0003291</t>
  </si>
  <si>
    <t>FEDOL TRIANGLE</t>
  </si>
  <si>
    <t>A0008418</t>
  </si>
  <si>
    <t>CEG 1 BEMBEREKE</t>
  </si>
  <si>
    <t>22994817905</t>
  </si>
  <si>
    <t>A0006853</t>
  </si>
  <si>
    <t>SALAKO O. DESIRE</t>
  </si>
  <si>
    <t>A0006903</t>
  </si>
  <si>
    <t>FARMAND ET FILS</t>
  </si>
  <si>
    <t>A0008701</t>
  </si>
  <si>
    <t>COSMA SARL</t>
  </si>
  <si>
    <t>A0007530</t>
  </si>
  <si>
    <t>ETS HATALA ET FILS</t>
  </si>
  <si>
    <t>22958291388</t>
  </si>
  <si>
    <t>A0009080</t>
  </si>
  <si>
    <t>TOGBE Zita</t>
  </si>
  <si>
    <t>A0009413</t>
  </si>
  <si>
    <t>IMOTEC FLOTTE</t>
  </si>
  <si>
    <t>22964262756</t>
  </si>
  <si>
    <t>A0005255</t>
  </si>
  <si>
    <t>CMJ</t>
  </si>
  <si>
    <t>22994098901</t>
  </si>
  <si>
    <t>22995760935</t>
  </si>
  <si>
    <t>A0008492</t>
  </si>
  <si>
    <t>TIDJANI LATIFATOU L.A.IFEDJAYE</t>
  </si>
  <si>
    <t>22995066681</t>
  </si>
  <si>
    <t>A0008156</t>
  </si>
  <si>
    <t>MERVEDIE COMMUNICATION</t>
  </si>
  <si>
    <t>A0008660</t>
  </si>
  <si>
    <t>SAGE MULTI SERVICES</t>
  </si>
  <si>
    <t>22995168105</t>
  </si>
  <si>
    <t>A0006518</t>
  </si>
  <si>
    <t>ETS BOUKEA SERVICE</t>
  </si>
  <si>
    <t>22994549293</t>
  </si>
  <si>
    <t>A0006538</t>
  </si>
  <si>
    <t>MIKA INTER SARL</t>
  </si>
  <si>
    <t>A0008239</t>
  </si>
  <si>
    <t>JEAN CLAUDE CONSEILS SARL</t>
  </si>
  <si>
    <t>22964186426</t>
  </si>
  <si>
    <t>A0004972</t>
  </si>
  <si>
    <t>ASFED/HOUNAGNON</t>
  </si>
  <si>
    <t>22995865120</t>
  </si>
  <si>
    <t>A0006739</t>
  </si>
  <si>
    <t>COMPLEXE SCOLAIRE SAINT ROMARI</t>
  </si>
  <si>
    <t>A0007869</t>
  </si>
  <si>
    <t>TONNONHI HOUENOUKPO SERGE  JAM</t>
  </si>
  <si>
    <t>22994696578</t>
  </si>
  <si>
    <t>A0007659</t>
  </si>
  <si>
    <t>PHARMACIE CAPITAINE FARI</t>
  </si>
  <si>
    <t>A0008969</t>
  </si>
  <si>
    <t>MARIA PLENA INTER</t>
  </si>
  <si>
    <t>22995403213</t>
  </si>
  <si>
    <t>A0006499</t>
  </si>
  <si>
    <t>3AE-EXPERTISES INTERNATIONAL S</t>
  </si>
  <si>
    <t>22995951521</t>
  </si>
  <si>
    <t>A0008812</t>
  </si>
  <si>
    <t>AICHAD FIFATIN ET FILS/DATA</t>
  </si>
  <si>
    <t>22995845245</t>
  </si>
  <si>
    <t>A0008737</t>
  </si>
  <si>
    <t>HOUNVENOU SEZAN MANKPE MEDESSE</t>
  </si>
  <si>
    <t>A0009142</t>
  </si>
  <si>
    <t>CADETE VICENTIA AKPEDJE GLADIS</t>
  </si>
  <si>
    <t>22965529852</t>
  </si>
  <si>
    <t>A0006827</t>
  </si>
  <si>
    <t>ETS KARTOS</t>
  </si>
  <si>
    <t>22995901994</t>
  </si>
  <si>
    <t>A0002950</t>
  </si>
  <si>
    <t>H.J. IMPORT   EXPORT</t>
  </si>
  <si>
    <t>22960108997</t>
  </si>
  <si>
    <t>A0004322</t>
  </si>
  <si>
    <t>FADCO</t>
  </si>
  <si>
    <t>22999531394</t>
  </si>
  <si>
    <t>A0007448</t>
  </si>
  <si>
    <t>PHARMACIE ALHERI GLODENOU SARL</t>
  </si>
  <si>
    <t>A0007197</t>
  </si>
  <si>
    <t>BB CHRIST_SERVICE</t>
  </si>
  <si>
    <t>A0009046</t>
  </si>
  <si>
    <t>ETS LA GRANDEUR DU CHRIST</t>
  </si>
  <si>
    <t>22995157637</t>
  </si>
  <si>
    <t>A0009335</t>
  </si>
  <si>
    <t>WOUEKPE COMLAN FRANCK</t>
  </si>
  <si>
    <t>22994813293</t>
  </si>
  <si>
    <t>A0008107</t>
  </si>
  <si>
    <t>ETS PHARMACIE SEHOUE</t>
  </si>
  <si>
    <t>22960875818</t>
  </si>
  <si>
    <t>A0009279</t>
  </si>
  <si>
    <t>ANGELO GORGES BUSINESS</t>
  </si>
  <si>
    <t>22965901599</t>
  </si>
  <si>
    <t>A0007457</t>
  </si>
  <si>
    <t>THE MEET'S STORY</t>
  </si>
  <si>
    <t>22995758683</t>
  </si>
  <si>
    <t>A0009059</t>
  </si>
  <si>
    <t>FANTOHOU JOSEPH</t>
  </si>
  <si>
    <t>22995844114</t>
  </si>
  <si>
    <t>22995772211</t>
  </si>
  <si>
    <t>A0008495</t>
  </si>
  <si>
    <t>IMOLEASE EXPLOITATION</t>
  </si>
  <si>
    <t>A0008686</t>
  </si>
  <si>
    <t>GARBA ISSIFOU</t>
  </si>
  <si>
    <t>A0008685</t>
  </si>
  <si>
    <t>GARBA SANOUSSI</t>
  </si>
  <si>
    <t>A0008542</t>
  </si>
  <si>
    <t>LEGBA MONIQUE SABINE</t>
  </si>
  <si>
    <t>A0008420</t>
  </si>
  <si>
    <t>ASSAKA MALOUM PLUS SARL/INDIVI</t>
  </si>
  <si>
    <t>A0008613</t>
  </si>
  <si>
    <t>ASSAKA MALOUM PLUS SARL/AROUNA</t>
  </si>
  <si>
    <t>22995565380</t>
  </si>
  <si>
    <t>A0009098</t>
  </si>
  <si>
    <t>DJAGLI NICOMEDE K TAOPHIQUE</t>
  </si>
  <si>
    <t>A0005377</t>
  </si>
  <si>
    <t>METANOYA SARL</t>
  </si>
  <si>
    <t>22955017309</t>
  </si>
  <si>
    <t>A0009310</t>
  </si>
  <si>
    <t>HOUENOU ULRICHE</t>
  </si>
  <si>
    <t>22995151984</t>
  </si>
  <si>
    <t>A0004214</t>
  </si>
  <si>
    <t>LO-IFE</t>
  </si>
  <si>
    <t>22994546821</t>
  </si>
  <si>
    <t>A0008990</t>
  </si>
  <si>
    <t>N'TEKPO VINCENT</t>
  </si>
  <si>
    <t>22995712621</t>
  </si>
  <si>
    <t>A0007261</t>
  </si>
  <si>
    <t>CLINIQUE  ST ETIENNE</t>
  </si>
  <si>
    <t>22995050431</t>
  </si>
  <si>
    <t>A0001201</t>
  </si>
  <si>
    <t>HYDRO BENIN SARL</t>
  </si>
  <si>
    <t>22995405809</t>
  </si>
  <si>
    <t>A0003880</t>
  </si>
  <si>
    <t>ACF PETROLEUM</t>
  </si>
  <si>
    <t>22995815121</t>
  </si>
  <si>
    <t>A0005715</t>
  </si>
  <si>
    <t>BKD GLOIRE A DIEU</t>
  </si>
  <si>
    <t>A0006373</t>
  </si>
  <si>
    <t>IRE COMPANY SARL</t>
  </si>
  <si>
    <t>A0007285</t>
  </si>
  <si>
    <t>ASSAKA MALOUM PLUS SARL</t>
  </si>
  <si>
    <t>22998374272</t>
  </si>
  <si>
    <t>A0004050</t>
  </si>
  <si>
    <t>K-LEADERS</t>
  </si>
  <si>
    <t>22964710217</t>
  </si>
  <si>
    <t>A0004260</t>
  </si>
  <si>
    <t>L'UNIVERS DES ANGES</t>
  </si>
  <si>
    <t>22999988060</t>
  </si>
  <si>
    <t>A0005962</t>
  </si>
  <si>
    <t>ETS BENIN - DHM</t>
  </si>
  <si>
    <t>22994350369</t>
  </si>
  <si>
    <t>A0002150</t>
  </si>
  <si>
    <t>GOD CITY JIM STYLE</t>
  </si>
  <si>
    <t>22999998269</t>
  </si>
  <si>
    <t>A0008972</t>
  </si>
  <si>
    <t>MEGA COFFRAGE PLUS</t>
  </si>
  <si>
    <t>22965227171</t>
  </si>
  <si>
    <t>A0003788</t>
  </si>
  <si>
    <t>PLATEAU   SERVICE</t>
  </si>
  <si>
    <t>22994870505</t>
  </si>
  <si>
    <t>A0007638</t>
  </si>
  <si>
    <t>CLINIQUE SENOU LA PANACEE</t>
  </si>
  <si>
    <t>22960804571</t>
  </si>
  <si>
    <t>A0009272</t>
  </si>
  <si>
    <t>LALA IMAD-DEEN ADENIYI OLATOUN</t>
  </si>
  <si>
    <t>22995056558</t>
  </si>
  <si>
    <t>A0003857</t>
  </si>
  <si>
    <t>GROUPE  COBHIR  SARL</t>
  </si>
  <si>
    <t>22995962004</t>
  </si>
  <si>
    <t>A0007988</t>
  </si>
  <si>
    <t>ESPACE ELECTROTECHNIQUE PLUS S</t>
  </si>
  <si>
    <t>22994959583</t>
  </si>
  <si>
    <t>A0006646</t>
  </si>
  <si>
    <t>CACTUCE BOY ET FILS</t>
  </si>
  <si>
    <t>22999473997</t>
  </si>
  <si>
    <t>A0008082</t>
  </si>
  <si>
    <t>PHARMACIE PRIELLE DE TINDJI</t>
  </si>
  <si>
    <t>22995201414</t>
  </si>
  <si>
    <t>A0003978</t>
  </si>
  <si>
    <t>CAJEL</t>
  </si>
  <si>
    <t>22960710018</t>
  </si>
  <si>
    <t>A0006372</t>
  </si>
  <si>
    <t>TRAVAUX ET SERVICES ASSOCIES(T</t>
  </si>
  <si>
    <t>A0008909</t>
  </si>
  <si>
    <t>HAMMA ET FILS</t>
  </si>
  <si>
    <t>A0008688</t>
  </si>
  <si>
    <t>BOUKARI ALI</t>
  </si>
  <si>
    <t>22960101854</t>
  </si>
  <si>
    <t>A0008878</t>
  </si>
  <si>
    <t>ETS SOHISO</t>
  </si>
  <si>
    <t>22999470518</t>
  </si>
  <si>
    <t>A0007307</t>
  </si>
  <si>
    <t>ETS PHARMACIE DON DE DIEU</t>
  </si>
  <si>
    <t>A0008690</t>
  </si>
  <si>
    <t>ETS GUIWA ET FILS</t>
  </si>
  <si>
    <t>22994769972</t>
  </si>
  <si>
    <t>A0008827</t>
  </si>
  <si>
    <t>AKHENATON</t>
  </si>
  <si>
    <t>22995246919</t>
  </si>
  <si>
    <t>A0008523</t>
  </si>
  <si>
    <t>EASY GROUP</t>
  </si>
  <si>
    <t>22995092688</t>
  </si>
  <si>
    <t>A0003527</t>
  </si>
  <si>
    <t>SOMINC SARL</t>
  </si>
  <si>
    <t>22995860198</t>
  </si>
  <si>
    <t>A0008145</t>
  </si>
  <si>
    <t>CLINIQUE EL ELOHIM</t>
  </si>
  <si>
    <t>22945691828</t>
  </si>
  <si>
    <t>A0003271</t>
  </si>
  <si>
    <t>ASBL GEL NORD BENIN</t>
  </si>
  <si>
    <t>A0009332</t>
  </si>
  <si>
    <t>ASBL GEL NORD BENIN2</t>
  </si>
  <si>
    <t>A0006920</t>
  </si>
  <si>
    <t>ELEGBE AYON OMOYELE ASSUNLE</t>
  </si>
  <si>
    <t>A0008443</t>
  </si>
  <si>
    <t>OROU GOMA MOUHAMADOU</t>
  </si>
  <si>
    <t>22995859782</t>
  </si>
  <si>
    <t>A0000453</t>
  </si>
  <si>
    <t>RADIO IMMACULEE CONCEPTIO</t>
  </si>
  <si>
    <t>A0009525</t>
  </si>
  <si>
    <t>ADONON SEMEVO CYRUS EMERIC</t>
  </si>
  <si>
    <t>22995108251</t>
  </si>
  <si>
    <t>A0003836</t>
  </si>
  <si>
    <t>ETS LE RETOUR</t>
  </si>
  <si>
    <t>22994705492</t>
  </si>
  <si>
    <t>A0006782</t>
  </si>
  <si>
    <t>GPS SARL</t>
  </si>
  <si>
    <t>22965796997</t>
  </si>
  <si>
    <t>A0003641</t>
  </si>
  <si>
    <t>EEAD TEMPLE MARANATHA</t>
  </si>
  <si>
    <t>22964298112</t>
  </si>
  <si>
    <t>A0003992</t>
  </si>
  <si>
    <t>BET</t>
  </si>
  <si>
    <t>22995551207</t>
  </si>
  <si>
    <t>A0009232</t>
  </si>
  <si>
    <t>ARTS EVEILLES SARL</t>
  </si>
  <si>
    <t>22994143131</t>
  </si>
  <si>
    <t>A0008276</t>
  </si>
  <si>
    <t>CI. BE. VE.</t>
  </si>
  <si>
    <t>22997689322</t>
  </si>
  <si>
    <t>A0007330</t>
  </si>
  <si>
    <t>DE CHACUS CODJA LAURINDO</t>
  </si>
  <si>
    <t>22995495822</t>
  </si>
  <si>
    <t>A0003834</t>
  </si>
  <si>
    <t>CPAD</t>
  </si>
  <si>
    <t>22995727700</t>
  </si>
  <si>
    <t>A0009203</t>
  </si>
  <si>
    <t>COSTAMAGNA AFRIQUE</t>
  </si>
  <si>
    <t>A0008740</t>
  </si>
  <si>
    <t>ALAGBE DONAN ODILON</t>
  </si>
  <si>
    <t>22995154643</t>
  </si>
  <si>
    <t>A0009401</t>
  </si>
  <si>
    <t>DAGBA S. HERMAN FREJUS</t>
  </si>
  <si>
    <t>22995757363</t>
  </si>
  <si>
    <t>A0003109</t>
  </si>
  <si>
    <t>GROUPE   TRANS  MAX  BENIN SA</t>
  </si>
  <si>
    <t>22994648616</t>
  </si>
  <si>
    <t>A0003549</t>
  </si>
  <si>
    <t>HORSE SECURITY SYSTEM BENIN</t>
  </si>
  <si>
    <t>22995347338</t>
  </si>
  <si>
    <t>A0004421</t>
  </si>
  <si>
    <t>ETS GROUPE JECO</t>
  </si>
  <si>
    <t>22964536363</t>
  </si>
  <si>
    <t>A0009242</t>
  </si>
  <si>
    <t>W-AIS DISTRIBUTION SARL</t>
  </si>
  <si>
    <t>A0009367</t>
  </si>
  <si>
    <t>DA-SILVA SILVIA CELIATH VICTOR</t>
  </si>
  <si>
    <t>22994191080</t>
  </si>
  <si>
    <t>A0007367</t>
  </si>
  <si>
    <t>PHARMACIE SAINT GABRIEL SARL</t>
  </si>
  <si>
    <t>22995302946</t>
  </si>
  <si>
    <t>A0008793</t>
  </si>
  <si>
    <t>JEROME MARCELLIN</t>
  </si>
  <si>
    <t>22995626434</t>
  </si>
  <si>
    <t>A0007662</t>
  </si>
  <si>
    <t>RAMSESS_GROUP</t>
  </si>
  <si>
    <t>22998383818</t>
  </si>
  <si>
    <t>A0008069</t>
  </si>
  <si>
    <t>GYDEL COMPAGNIE</t>
  </si>
  <si>
    <t>A0009438</t>
  </si>
  <si>
    <t>OUEDANOU FIFAME DIANE</t>
  </si>
  <si>
    <t>22995262545</t>
  </si>
  <si>
    <t>A0008610</t>
  </si>
  <si>
    <t>UCAO/ARCHEVECHE</t>
  </si>
  <si>
    <t>22995213681</t>
  </si>
  <si>
    <t>A0009323</t>
  </si>
  <si>
    <t>GHISKA ET FILS</t>
  </si>
  <si>
    <t>22995715705</t>
  </si>
  <si>
    <t>A0008250</t>
  </si>
  <si>
    <t>ALLADJO ET FILS</t>
  </si>
  <si>
    <t>A0008186</t>
  </si>
  <si>
    <t>FARMAND ET FILS/ DATA</t>
  </si>
  <si>
    <t>22964729608</t>
  </si>
  <si>
    <t>A0007979</t>
  </si>
  <si>
    <t>ETS TCHEWAL</t>
  </si>
  <si>
    <t>22995567930</t>
  </si>
  <si>
    <t>A0009328</t>
  </si>
  <si>
    <t>PHARMACIE DEO-GRATIAS</t>
  </si>
  <si>
    <t>22994748427</t>
  </si>
  <si>
    <t>A0005054</t>
  </si>
  <si>
    <t>ETS LA BOUFFETE</t>
  </si>
  <si>
    <t>22958012836</t>
  </si>
  <si>
    <t>A0005478</t>
  </si>
  <si>
    <t>CDP ELIANA</t>
  </si>
  <si>
    <t>22965388484</t>
  </si>
  <si>
    <t>A0002545</t>
  </si>
  <si>
    <t>CIMEAO</t>
  </si>
  <si>
    <t>22965941444</t>
  </si>
  <si>
    <t>A0006762</t>
  </si>
  <si>
    <t>GREEN FREE LAND2</t>
  </si>
  <si>
    <t>22995588498</t>
  </si>
  <si>
    <t>A0008700</t>
  </si>
  <si>
    <t>AHOSSINOU ACHILLE COFFI</t>
  </si>
  <si>
    <t>22995043039</t>
  </si>
  <si>
    <t>22995810001</t>
  </si>
  <si>
    <t>A0009370</t>
  </si>
  <si>
    <t>VLAVONOU FIFAME HONORINE</t>
  </si>
  <si>
    <t>22945403875</t>
  </si>
  <si>
    <t>A0008576</t>
  </si>
  <si>
    <t>INOVA CAPITAL</t>
  </si>
  <si>
    <t>22995828946</t>
  </si>
  <si>
    <t>A0006013</t>
  </si>
  <si>
    <t>ETS BADJAV ET FILS</t>
  </si>
  <si>
    <t>A0008137</t>
  </si>
  <si>
    <t>HOUNTEWADAN H HENRI</t>
  </si>
  <si>
    <t>22995060285</t>
  </si>
  <si>
    <t>A0006686</t>
  </si>
  <si>
    <t>DELICES DE NYORA SARL</t>
  </si>
  <si>
    <t>22945061638</t>
  </si>
  <si>
    <t>A0008940</t>
  </si>
  <si>
    <t>BOUKARI ILLIA</t>
  </si>
  <si>
    <t>22994057107</t>
  </si>
  <si>
    <t>A0005789</t>
  </si>
  <si>
    <t>ETS JESUS SAUVE</t>
  </si>
  <si>
    <t>22995907093</t>
  </si>
  <si>
    <t>A0005492</t>
  </si>
  <si>
    <t>ETS BELLE PRINCESSE</t>
  </si>
  <si>
    <t>22995365531</t>
  </si>
  <si>
    <t>A0007345</t>
  </si>
  <si>
    <t>LA RELEVE- FJC</t>
  </si>
  <si>
    <t>22994576677</t>
  </si>
  <si>
    <t>A0007395</t>
  </si>
  <si>
    <t>TATS-INT SARL</t>
  </si>
  <si>
    <t>22994315929</t>
  </si>
  <si>
    <t>A0003412</t>
  </si>
  <si>
    <t>SOCIETE ICEBERG GROUP</t>
  </si>
  <si>
    <t>A0008517</t>
  </si>
  <si>
    <t>ASSOGBA DJIDJOE ALTAGRACIA K.</t>
  </si>
  <si>
    <t>22964053050</t>
  </si>
  <si>
    <t>A0003311</t>
  </si>
  <si>
    <t>ETS ENOUAGNON</t>
  </si>
  <si>
    <t>22965048773</t>
  </si>
  <si>
    <t>A0003658</t>
  </si>
  <si>
    <t>ETS R.C.B</t>
  </si>
  <si>
    <t>A0009400</t>
  </si>
  <si>
    <t>JOHANNES ET FILS</t>
  </si>
  <si>
    <t>22995181329</t>
  </si>
  <si>
    <t>A0005944</t>
  </si>
  <si>
    <t>LA MAISON DES ANIMAUX</t>
  </si>
  <si>
    <t>22963044661</t>
  </si>
  <si>
    <t>A0006269</t>
  </si>
  <si>
    <t>AGUESSY NONNONKPE DE COLOMBE</t>
  </si>
  <si>
    <t>22995404675</t>
  </si>
  <si>
    <t>A0004356</t>
  </si>
  <si>
    <t>ETS  AGBAN</t>
  </si>
  <si>
    <t>22965240505</t>
  </si>
  <si>
    <t>A0003038</t>
  </si>
  <si>
    <t>FR NEGOCE</t>
  </si>
  <si>
    <t>A0008813</t>
  </si>
  <si>
    <t>MAIRIGA</t>
  </si>
  <si>
    <t>22995003090</t>
  </si>
  <si>
    <t>A0003716</t>
  </si>
  <si>
    <t>GROUPE EXHAUSSE SARL</t>
  </si>
  <si>
    <t>22995961259</t>
  </si>
  <si>
    <t>A0006949</t>
  </si>
  <si>
    <t>ETS CAPRICORNE-SAC</t>
  </si>
  <si>
    <t>22994997793</t>
  </si>
  <si>
    <t>A0003591</t>
  </si>
  <si>
    <t>QUINCAILLERIE AGAPE</t>
  </si>
  <si>
    <t>22995955729</t>
  </si>
  <si>
    <t>A0009419</t>
  </si>
  <si>
    <t>AGBASSE HORTENSE D. MARIE</t>
  </si>
  <si>
    <t>22995003633</t>
  </si>
  <si>
    <t>A0008978</t>
  </si>
  <si>
    <t>NANIASLE SARL</t>
  </si>
  <si>
    <t>A0009515</t>
  </si>
  <si>
    <t>YEKU YETIN MARQUIS ESPACE JEUN</t>
  </si>
  <si>
    <t>22963464334</t>
  </si>
  <si>
    <t>A0006936</t>
  </si>
  <si>
    <t>GARETEDEN</t>
  </si>
  <si>
    <t>22995862286</t>
  </si>
  <si>
    <t>22998027554</t>
  </si>
  <si>
    <t>A0001722</t>
  </si>
  <si>
    <t>ETS LA FREQUENCE</t>
  </si>
  <si>
    <t>22995129943</t>
  </si>
  <si>
    <t>A0005010</t>
  </si>
  <si>
    <t>NETZACH DE AZ &amp; FILS</t>
  </si>
  <si>
    <t>22995350674</t>
  </si>
  <si>
    <t>A0009069</t>
  </si>
  <si>
    <t>CEG BOPA</t>
  </si>
  <si>
    <t>22965139699</t>
  </si>
  <si>
    <t>A0007465</t>
  </si>
  <si>
    <t>KOMACLO YAOVI JACQUES</t>
  </si>
  <si>
    <t>22968545009</t>
  </si>
  <si>
    <t>A0008848</t>
  </si>
  <si>
    <t>AFRICA BROKERS CIE</t>
  </si>
  <si>
    <t>A0004117</t>
  </si>
  <si>
    <t>AGA GROUPE SARL</t>
  </si>
  <si>
    <t>A0008338</t>
  </si>
  <si>
    <t>AHONON GBEDANNOU JACQUELINE</t>
  </si>
  <si>
    <t>22995289914</t>
  </si>
  <si>
    <t>A0004815</t>
  </si>
  <si>
    <t>ETS L'ETERNEL GEOMETRE</t>
  </si>
  <si>
    <t>22995140749</t>
  </si>
  <si>
    <t>A0008364</t>
  </si>
  <si>
    <t>KOUAGOU BADE TATIANA</t>
  </si>
  <si>
    <t>22960734629</t>
  </si>
  <si>
    <t>A0008438</t>
  </si>
  <si>
    <t>DEY'S SMILE</t>
  </si>
  <si>
    <t>62024092700579656</t>
  </si>
  <si>
    <t>22963310059</t>
  </si>
  <si>
    <t>A0009503</t>
  </si>
  <si>
    <t>AKAKPO EKUE CEDRIC ALESSANDRO</t>
  </si>
  <si>
    <t>M000363089</t>
  </si>
  <si>
    <t>RGT AIRP M000363089 27/09/2024</t>
  </si>
  <si>
    <t>62024092700605254</t>
  </si>
  <si>
    <t>22995747018</t>
  </si>
  <si>
    <t>A0007144</t>
  </si>
  <si>
    <t>ETS LA CANADIENNE</t>
  </si>
  <si>
    <t>M000362056</t>
  </si>
  <si>
    <t>RGT AIRP M000362056 27/09/2024</t>
  </si>
  <si>
    <t>62024092700635993</t>
  </si>
  <si>
    <t>22994478323</t>
  </si>
  <si>
    <t>A0008501</t>
  </si>
  <si>
    <t>MSO VISION</t>
  </si>
  <si>
    <t>M000362510</t>
  </si>
  <si>
    <t>RGT AIRP M000362510 27/09/2024</t>
  </si>
  <si>
    <t>22995956014</t>
  </si>
  <si>
    <t>A0004802</t>
  </si>
  <si>
    <t>LE TANDEM</t>
  </si>
  <si>
    <t>A0009479</t>
  </si>
  <si>
    <t>DEGAN GEDEON BOANERGES</t>
  </si>
  <si>
    <t>A0008862</t>
  </si>
  <si>
    <t>ONG LA SANTE AU VILLAGE</t>
  </si>
  <si>
    <t>A0008844</t>
  </si>
  <si>
    <t>AKOFFODJI EMMANUELLE A.</t>
  </si>
  <si>
    <t>A0009359</t>
  </si>
  <si>
    <t>EN DIEU MON SALUT ET MA GLOIRE</t>
  </si>
  <si>
    <t>22999045537</t>
  </si>
  <si>
    <t>A0004064</t>
  </si>
  <si>
    <t>SAD ET FILS DIEUDONNE</t>
  </si>
  <si>
    <t>22963499406</t>
  </si>
  <si>
    <t>A0004935</t>
  </si>
  <si>
    <t>STE  CAGETI -BENIN</t>
  </si>
  <si>
    <t>82024092700428208</t>
  </si>
  <si>
    <t>22995956242</t>
  </si>
  <si>
    <t>A0006378</t>
  </si>
  <si>
    <t>GBENOU EP. FOURN CORINNE OLGA</t>
  </si>
  <si>
    <t>M000359425</t>
  </si>
  <si>
    <t>RGT AIRP M000359425 27/09/2024</t>
  </si>
  <si>
    <t>62024092800051153</t>
  </si>
  <si>
    <t>22995010088</t>
  </si>
  <si>
    <t>A0004268</t>
  </si>
  <si>
    <t>ETS LES TRESORS DE LA NATURE</t>
  </si>
  <si>
    <t>M000358948</t>
  </si>
  <si>
    <t>RGT AIRP M000358948 28/09/2024</t>
  </si>
  <si>
    <t>62024092800325252</t>
  </si>
  <si>
    <t>22995816344</t>
  </si>
  <si>
    <t>A0009041</t>
  </si>
  <si>
    <t>SAFETY BENIN SARL</t>
  </si>
  <si>
    <t>M000362749</t>
  </si>
  <si>
    <t>RGT AIRP M000362749 28/09/2024</t>
  </si>
  <si>
    <t>62024092800488114</t>
  </si>
  <si>
    <t>A0009338</t>
  </si>
  <si>
    <t>MAMA YASSINE</t>
  </si>
  <si>
    <t>M000362943</t>
  </si>
  <si>
    <t>RGT AIRP M000362943 28/09/2024</t>
  </si>
  <si>
    <t>62024092800596876</t>
  </si>
  <si>
    <t>22963143526</t>
  </si>
  <si>
    <t>A0007665</t>
  </si>
  <si>
    <t>AJAGUNMOKADI</t>
  </si>
  <si>
    <t>M000362214</t>
  </si>
  <si>
    <t>RGT AIRP M000362214 28/09/2024</t>
  </si>
  <si>
    <t>72024092800137071</t>
  </si>
  <si>
    <t>22960917878</t>
  </si>
  <si>
    <t>A0006362</t>
  </si>
  <si>
    <t>BACHABI EL HADI</t>
  </si>
  <si>
    <t>M000361833</t>
  </si>
  <si>
    <t>RGT AIRP M000361833 28/09/2024</t>
  </si>
  <si>
    <t>72024092800310244</t>
  </si>
  <si>
    <t>22995282522</t>
  </si>
  <si>
    <t>A0004568</t>
  </si>
  <si>
    <t>ETS TOUT POUR LA PREFERENCE</t>
  </si>
  <si>
    <t>M000361436</t>
  </si>
  <si>
    <t>RGT AIRP M000361436 28/09/2024</t>
  </si>
  <si>
    <t>82024092800052120</t>
  </si>
  <si>
    <t>22968886777</t>
  </si>
  <si>
    <t>A0005665</t>
  </si>
  <si>
    <t>ETS PATIENCE DIVINE</t>
  </si>
  <si>
    <t>M000361669</t>
  </si>
  <si>
    <t>RGT AIRP M000361669 28/09/2024</t>
  </si>
  <si>
    <t>82024092800179718</t>
  </si>
  <si>
    <t>22995962918</t>
  </si>
  <si>
    <t>A0008197</t>
  </si>
  <si>
    <t>AJAVON P. I. AYICOE</t>
  </si>
  <si>
    <t>M000362377</t>
  </si>
  <si>
    <t>RGT AIRP M000362377 28/09/2024</t>
  </si>
  <si>
    <t>82024092800188508</t>
  </si>
  <si>
    <t>A0006068</t>
  </si>
  <si>
    <t>BAHC</t>
  </si>
  <si>
    <t>M000361755</t>
  </si>
  <si>
    <t>RGT AIRP M000361755 28/09/2024</t>
  </si>
  <si>
    <t>62024092900088040</t>
  </si>
  <si>
    <t>22965210101</t>
  </si>
  <si>
    <t>A0004476</t>
  </si>
  <si>
    <t>ETS BEST BUILDERS COMPANY</t>
  </si>
  <si>
    <t>M000361412</t>
  </si>
  <si>
    <t>RGT AIRP M000361412 29/09/2024</t>
  </si>
  <si>
    <t>62024092900277864</t>
  </si>
  <si>
    <t>22945437392</t>
  </si>
  <si>
    <t>A0006126</t>
  </si>
  <si>
    <t>JEP- VIE SARL</t>
  </si>
  <si>
    <t>M000361771</t>
  </si>
  <si>
    <t>RGT AIRP M000361771 29/09/2024</t>
  </si>
  <si>
    <t>62024092900460647</t>
  </si>
  <si>
    <t>22995051175</t>
  </si>
  <si>
    <t>A0006779</t>
  </si>
  <si>
    <t>AL FAYCAL</t>
  </si>
  <si>
    <t>M000361960</t>
  </si>
  <si>
    <t>RGT AIRP M000361960 29/09/2024</t>
  </si>
  <si>
    <t>62024092900572496</t>
  </si>
  <si>
    <t>22995061864</t>
  </si>
  <si>
    <t>A0003630</t>
  </si>
  <si>
    <t>KEDAB</t>
  </si>
  <si>
    <t>M000361255</t>
  </si>
  <si>
    <t>RGT AIRP M000361255 29/09/2024</t>
  </si>
  <si>
    <t>72024092900306556</t>
  </si>
  <si>
    <t>22965794525</t>
  </si>
  <si>
    <t>A0008180</t>
  </si>
  <si>
    <t>ASSOGBA F. MORELLE SEGBEGNON</t>
  </si>
  <si>
    <t>M000362367</t>
  </si>
  <si>
    <t>RGT AIRP M000362367 29/09/2024</t>
  </si>
  <si>
    <t>82024092900143200</t>
  </si>
  <si>
    <t>22995008198</t>
  </si>
  <si>
    <t>A0006671</t>
  </si>
  <si>
    <t>GENIE HYDRO-BTP-IC</t>
  </si>
  <si>
    <t>M000361923</t>
  </si>
  <si>
    <t>RGT AIRP M000361923 29/09/2024</t>
  </si>
  <si>
    <t>62024093000117279</t>
  </si>
  <si>
    <t>22964802626</t>
  </si>
  <si>
    <t>A0003363</t>
  </si>
  <si>
    <t>SCPA BBZ CONSEILS ET ASSOCIES</t>
  </si>
  <si>
    <t>M000361193</t>
  </si>
  <si>
    <t>RGT AIRP M000361193 30/09/2024</t>
  </si>
  <si>
    <t>62024093000167229</t>
  </si>
  <si>
    <t>22995212224</t>
  </si>
  <si>
    <t>A0005718</t>
  </si>
  <si>
    <t>GOODEN COOL</t>
  </si>
  <si>
    <t>M000356833</t>
  </si>
  <si>
    <t>RGT AIRP M000356833 30/09/2024</t>
  </si>
  <si>
    <t>62024093000212981</t>
  </si>
  <si>
    <t>22960842200</t>
  </si>
  <si>
    <t>A0006115</t>
  </si>
  <si>
    <t>CLINIQUE MERCY FIAT</t>
  </si>
  <si>
    <t>M000361767</t>
  </si>
  <si>
    <t>RGT AIRP M000361767 30/09/2024</t>
  </si>
  <si>
    <t>62024093000251591</t>
  </si>
  <si>
    <t>22945012222</t>
  </si>
  <si>
    <t>A0008898</t>
  </si>
  <si>
    <t>QUENUM MARIE FELICITE</t>
  </si>
  <si>
    <t>M000362660</t>
  </si>
  <si>
    <t>RGT AIRP M000362660 30/09/2024</t>
  </si>
  <si>
    <t>62024093000268508</t>
  </si>
  <si>
    <t>22995176173</t>
  </si>
  <si>
    <t>A0008196</t>
  </si>
  <si>
    <t>QUE LA VOLONTE DE DIEU SOIT FA</t>
  </si>
  <si>
    <t>M000362376</t>
  </si>
  <si>
    <t>RGT AIRP M000362376 30/09/2024</t>
  </si>
  <si>
    <t>62024093000290860</t>
  </si>
  <si>
    <t>22998129208</t>
  </si>
  <si>
    <t>A0002692</t>
  </si>
  <si>
    <t>STE LA LICORNE</t>
  </si>
  <si>
    <t>M000361044</t>
  </si>
  <si>
    <t>RGT AIRP M000361044 30/09/2024</t>
  </si>
  <si>
    <t>62024093000292889</t>
  </si>
  <si>
    <t>22995956249</t>
  </si>
  <si>
    <t>A0007297</t>
  </si>
  <si>
    <t>ETS PETITE ROSE</t>
  </si>
  <si>
    <t>M000362111</t>
  </si>
  <si>
    <t>RGT AIRP M000362111 30/09/2024</t>
  </si>
  <si>
    <t>62024093000296789</t>
  </si>
  <si>
    <t>22994294013</t>
  </si>
  <si>
    <t>A0009391</t>
  </si>
  <si>
    <t>AKPONA OLUSHEGUN IFEDE WILFRIE</t>
  </si>
  <si>
    <t>M000362992</t>
  </si>
  <si>
    <t>RGT AIRP M000362992 30/09/2024</t>
  </si>
  <si>
    <t>62024093000371842</t>
  </si>
  <si>
    <t>22960601734</t>
  </si>
  <si>
    <t>A0006985</t>
  </si>
  <si>
    <t>GLOBAL SOLUTIONS CORPORATION</t>
  </si>
  <si>
    <t>M000359605</t>
  </si>
  <si>
    <t>RGT AIRP M000359605 30/09/2024</t>
  </si>
  <si>
    <t>62024093000411991</t>
  </si>
  <si>
    <t>22995915810</t>
  </si>
  <si>
    <t>A0004212</t>
  </si>
  <si>
    <t>ETABLISSEMENT DANVO ET FILS</t>
  </si>
  <si>
    <t>M000361362</t>
  </si>
  <si>
    <t>RGT AIRP M000361362 30/09/2024</t>
  </si>
  <si>
    <t>62024093000431766</t>
  </si>
  <si>
    <t>22995152670</t>
  </si>
  <si>
    <t>A0000960</t>
  </si>
  <si>
    <t>STE AMESSOUNWE</t>
  </si>
  <si>
    <t>M000360842</t>
  </si>
  <si>
    <t>RGT AIRP M000360842 30/09/2024</t>
  </si>
  <si>
    <t>62024093000444806</t>
  </si>
  <si>
    <t>A0009222</t>
  </si>
  <si>
    <t>MONTCHO PAIX SENAMI STALINE</t>
  </si>
  <si>
    <t>M000362846</t>
  </si>
  <si>
    <t>RGT AIRP M000362846 30/09/2024</t>
  </si>
  <si>
    <t>62024093000503316</t>
  </si>
  <si>
    <t>22995406908</t>
  </si>
  <si>
    <t>A0007743</t>
  </si>
  <si>
    <t>ATELIER ABLET K.ERNEST (AAE)</t>
  </si>
  <si>
    <t>M000362236</t>
  </si>
  <si>
    <t>RGT AIRP M000362236 30/09/2024</t>
  </si>
  <si>
    <t>62024093000627552</t>
  </si>
  <si>
    <t>22994142212</t>
  </si>
  <si>
    <t>A0005802</t>
  </si>
  <si>
    <t>ETS OLUWA TOBI FUN</t>
  </si>
  <si>
    <t>M000361702</t>
  </si>
  <si>
    <t>RGT AIRP M000361702 30/09/2024</t>
  </si>
  <si>
    <t>62024093000669089</t>
  </si>
  <si>
    <t>22995533029</t>
  </si>
  <si>
    <t>A0007524</t>
  </si>
  <si>
    <t>ELOI SERVICES PLUS</t>
  </si>
  <si>
    <t>M000362169</t>
  </si>
  <si>
    <t>RGT AIRP M000362169 30/09/2024</t>
  </si>
  <si>
    <t>72024093000097515</t>
  </si>
  <si>
    <t>22994607048</t>
  </si>
  <si>
    <t>A0008863</t>
  </si>
  <si>
    <t>AKINNI WINE CELLAR</t>
  </si>
  <si>
    <t>M000362641</t>
  </si>
  <si>
    <t>RGT AIRP M000362641 30/09/2024</t>
  </si>
  <si>
    <t>72024093000097669</t>
  </si>
  <si>
    <t>22995197189</t>
  </si>
  <si>
    <t>A0008519</t>
  </si>
  <si>
    <t>TCHODIKPO MARC ADJIBOLA</t>
  </si>
  <si>
    <t>M000362518</t>
  </si>
  <si>
    <t>RGT AIRP M000362518 30/09/2024</t>
  </si>
  <si>
    <t>72024093000122487</t>
  </si>
  <si>
    <t>22995497146</t>
  </si>
  <si>
    <t>A0005067</t>
  </si>
  <si>
    <t>LA REFERENCE CHEZ NAFE</t>
  </si>
  <si>
    <t>M000361525</t>
  </si>
  <si>
    <t>RGT AIRP M000361525 30/09/2024</t>
  </si>
  <si>
    <t>72024093000278729</t>
  </si>
  <si>
    <t>22995532753</t>
  </si>
  <si>
    <t>A0004420</t>
  </si>
  <si>
    <t>HOSANNA PHONE</t>
  </si>
  <si>
    <t>M000361402</t>
  </si>
  <si>
    <t>RGT AIRP M000361402 30/09/2024</t>
  </si>
  <si>
    <t>72024093000302988</t>
  </si>
  <si>
    <t>A0009444</t>
  </si>
  <si>
    <t>AVASSI YAHOUEDE OLIVIER</t>
  </si>
  <si>
    <t>M000363039</t>
  </si>
  <si>
    <t>RGT AIRP M000363039 30/09/2024</t>
  </si>
  <si>
    <t>72024093000310132</t>
  </si>
  <si>
    <t>M000360198</t>
  </si>
  <si>
    <t>RGT AIRP M000360198 30/09/2024</t>
  </si>
  <si>
    <t>72024093000315108</t>
  </si>
  <si>
    <t>M000361334</t>
  </si>
  <si>
    <t>RGT AIRP M000361334 30/09/2024</t>
  </si>
  <si>
    <t>82024093000137161</t>
  </si>
  <si>
    <t>22995647768</t>
  </si>
  <si>
    <t>A0009207</t>
  </si>
  <si>
    <t>ETERNITY BENIN</t>
  </si>
  <si>
    <t>M000362836</t>
  </si>
  <si>
    <t>RGT AIRP M000362836 30/09/2024</t>
  </si>
  <si>
    <t>82024093000172639</t>
  </si>
  <si>
    <t>22955806394</t>
  </si>
  <si>
    <t>A0009348</t>
  </si>
  <si>
    <t>ZITTI MAHUDJRO ZARDIEL EMMANUE</t>
  </si>
  <si>
    <t>M000362952</t>
  </si>
  <si>
    <t>RGT AIRP M000362952 30/09/2024</t>
  </si>
  <si>
    <t>82024093000191483</t>
  </si>
  <si>
    <t>22964514016</t>
  </si>
  <si>
    <t>A0008476</t>
  </si>
  <si>
    <t>LEGEND MARKET</t>
  </si>
  <si>
    <t>M000362496</t>
  </si>
  <si>
    <t>RGT AIRP M000362496 30/09/2024</t>
  </si>
  <si>
    <t>82024093000192241</t>
  </si>
  <si>
    <t>22963813839</t>
  </si>
  <si>
    <t>A0004719</t>
  </si>
  <si>
    <t>GOMAR</t>
  </si>
  <si>
    <t>M000361460</t>
  </si>
  <si>
    <t>RGT AIRP M000361460 30/09/2024</t>
  </si>
  <si>
    <t>82024093000193038</t>
  </si>
  <si>
    <t>A0007991</t>
  </si>
  <si>
    <t>HOUNKPONOU ADJIVON S. FULGENCI</t>
  </si>
  <si>
    <t>M000362297</t>
  </si>
  <si>
    <t>RGT AIRP M000362297 30/09/2024</t>
  </si>
  <si>
    <t>82024093000290563</t>
  </si>
  <si>
    <t>22995324265</t>
  </si>
  <si>
    <t>A0009275</t>
  </si>
  <si>
    <t>HIGH SECURITY PROTECTION</t>
  </si>
  <si>
    <t>M000360523</t>
  </si>
  <si>
    <t>RGT AIRP M000360523 30/09/2024</t>
  </si>
  <si>
    <t>82024093000303504</t>
  </si>
  <si>
    <t>M000362885</t>
  </si>
  <si>
    <t>RGT AIRP M000362885 30/09/2024</t>
  </si>
  <si>
    <t>82024093000347656</t>
  </si>
  <si>
    <t>22994146397</t>
  </si>
  <si>
    <t>A0007796</t>
  </si>
  <si>
    <t>KOTOUNOU STESSY SYLVAIN</t>
  </si>
  <si>
    <t>M000362251</t>
  </si>
  <si>
    <t>RGT AIRP M000362251 30/09/2024</t>
  </si>
  <si>
    <t>82024093000445199</t>
  </si>
  <si>
    <t>22995493349</t>
  </si>
  <si>
    <t>A0004681</t>
  </si>
  <si>
    <t>WIFI SARL</t>
  </si>
  <si>
    <t>M000361456</t>
  </si>
  <si>
    <t>RGT AIRP M000361456 30/09/2024</t>
  </si>
  <si>
    <t>82024093000449435</t>
  </si>
  <si>
    <t>A0009539</t>
  </si>
  <si>
    <t>GOD TIME AS THE BEST</t>
  </si>
  <si>
    <t>M000363119</t>
  </si>
  <si>
    <t>RGT AIRP M000363119 30/09/2024</t>
  </si>
  <si>
    <t>82024093000452837</t>
  </si>
  <si>
    <t>M000360679</t>
  </si>
  <si>
    <t>RGT AIRP M000360679 30/09/2024</t>
  </si>
  <si>
    <t>82024093000516356</t>
  </si>
  <si>
    <t>22963274884</t>
  </si>
  <si>
    <t>A0007229</t>
  </si>
  <si>
    <t>GNAMBODE AMOUR Rehense</t>
  </si>
  <si>
    <t>M000362084</t>
  </si>
  <si>
    <t>RGT AIRP M000362084 30/09/2024</t>
  </si>
  <si>
    <t>62024100100104358</t>
  </si>
  <si>
    <t>22995860482</t>
  </si>
  <si>
    <t>A0008993</t>
  </si>
  <si>
    <t>ETS MASTERS TECHNOLOGIE</t>
  </si>
  <si>
    <t>M000362720</t>
  </si>
  <si>
    <t>RGT AIRP M000362720 01/10/2024</t>
  </si>
  <si>
    <t>62024100100120240</t>
  </si>
  <si>
    <t>22994204450</t>
  </si>
  <si>
    <t>A0008798</t>
  </si>
  <si>
    <t>MOUTAIROU MOUBINE</t>
  </si>
  <si>
    <t>M000362614</t>
  </si>
  <si>
    <t>RGT AIRP M000362614 01/10/2024</t>
  </si>
  <si>
    <t>62024100100127323</t>
  </si>
  <si>
    <t>22995234142</t>
  </si>
  <si>
    <t>A0005917</t>
  </si>
  <si>
    <t>CMS DE LA GARNISON DE PARAKOU</t>
  </si>
  <si>
    <t>M000356882</t>
  </si>
  <si>
    <t>RGT AIRP M000356882 01/10/2024</t>
  </si>
  <si>
    <t>62024100100129620</t>
  </si>
  <si>
    <t>M000361722</t>
  </si>
  <si>
    <t>RGT AIRP M000361722 01/10/2024</t>
  </si>
  <si>
    <t>62024100100150553</t>
  </si>
  <si>
    <t>22995795267</t>
  </si>
  <si>
    <t>A0004909</t>
  </si>
  <si>
    <t>JEYOS-AGRO SERVICES  SARL</t>
  </si>
  <si>
    <t>M000361493</t>
  </si>
  <si>
    <t>RGT AIRP M000361493 01/10/2024</t>
  </si>
  <si>
    <t>62024100100156197</t>
  </si>
  <si>
    <t>A0008327</t>
  </si>
  <si>
    <t>PHARMACIE BEYEROU SARL</t>
  </si>
  <si>
    <t>M000362426</t>
  </si>
  <si>
    <t>RGT AIRP M000362426 01/10/2024</t>
  </si>
  <si>
    <t>62024100100215818</t>
  </si>
  <si>
    <t>22995529622</t>
  </si>
  <si>
    <t>A0006886</t>
  </si>
  <si>
    <t>BLESSED GROUP</t>
  </si>
  <si>
    <t>M000361991</t>
  </si>
  <si>
    <t>RGT AIRP M000361991 01/10/2024</t>
  </si>
  <si>
    <t>62024100100216343</t>
  </si>
  <si>
    <t>22960484638</t>
  </si>
  <si>
    <t>A0008075</t>
  </si>
  <si>
    <t>SNOPY LOOK</t>
  </si>
  <si>
    <t>M000362330</t>
  </si>
  <si>
    <t>RGT AIRP M000362330 01/10/2024</t>
  </si>
  <si>
    <t>62024100100380840</t>
  </si>
  <si>
    <t>22999508971</t>
  </si>
  <si>
    <t>A0005884</t>
  </si>
  <si>
    <t>ETS BIOKOU INDUSTRY  BI</t>
  </si>
  <si>
    <t>M000361714</t>
  </si>
  <si>
    <t>RGT AIRP M000361714 01/10/2024</t>
  </si>
  <si>
    <t>62024100100574337</t>
  </si>
  <si>
    <t>22995446703</t>
  </si>
  <si>
    <t>A0002785</t>
  </si>
  <si>
    <t>EUROPE AFRIQUE CASSE</t>
  </si>
  <si>
    <t>M000361063</t>
  </si>
  <si>
    <t>RGT AIRP M000361063 01/10/2024</t>
  </si>
  <si>
    <t>62024100100630983</t>
  </si>
  <si>
    <t>22963543130</t>
  </si>
  <si>
    <t>A0007573</t>
  </si>
  <si>
    <t>PHARMACIE LAYO</t>
  </si>
  <si>
    <t>M000362184</t>
  </si>
  <si>
    <t>RGT AIRP M000362184 01/10/2024</t>
  </si>
  <si>
    <t>72024100100053388</t>
  </si>
  <si>
    <t>22995672519</t>
  </si>
  <si>
    <t>A0009029</t>
  </si>
  <si>
    <t>ETS LE PRESTIGE</t>
  </si>
  <si>
    <t>M000362740</t>
  </si>
  <si>
    <t>RGT AIRP M000362740 01/10/2024</t>
  </si>
  <si>
    <t>72024100100084617</t>
  </si>
  <si>
    <t>A0008722</t>
  </si>
  <si>
    <t>ETS THE POWER OF GRACE</t>
  </si>
  <si>
    <t>M000360189</t>
  </si>
  <si>
    <t>RGT AIRP M000360189 01/10/2024</t>
  </si>
  <si>
    <t>72024100100241489</t>
  </si>
  <si>
    <t>22963666602</t>
  </si>
  <si>
    <t>A0005758</t>
  </si>
  <si>
    <t>ONG LA MANNE CAHEE</t>
  </si>
  <si>
    <t>M000361688</t>
  </si>
  <si>
    <t>RGT AIRP M000361688 01/10/2024</t>
  </si>
  <si>
    <t>72024100100312226</t>
  </si>
  <si>
    <t>22995706060</t>
  </si>
  <si>
    <t>A0007438</t>
  </si>
  <si>
    <t>PHARMACIE SAINTETE A L'ETERNEL</t>
  </si>
  <si>
    <t>M000362142</t>
  </si>
  <si>
    <t>RGT AIRP M000362142 01/10/2024</t>
  </si>
  <si>
    <t>72024100100348606</t>
  </si>
  <si>
    <t>M000362580</t>
  </si>
  <si>
    <t>RGT AIRP M000362580 01/10/2024</t>
  </si>
  <si>
    <t>82024100100082235</t>
  </si>
  <si>
    <t>A0009470</t>
  </si>
  <si>
    <t>NOUVELLE PHARMACIE AGONTINKON-</t>
  </si>
  <si>
    <t>M000363062</t>
  </si>
  <si>
    <t>RGT AIRP M000363062 01/10/2024</t>
  </si>
  <si>
    <t>82024100100090438</t>
  </si>
  <si>
    <t>22995734213</t>
  </si>
  <si>
    <t>A0003379</t>
  </si>
  <si>
    <t>GANIOU SOGLO</t>
  </si>
  <si>
    <t>M000361195</t>
  </si>
  <si>
    <t>RGT AIRP M000361195 01/10/2024</t>
  </si>
  <si>
    <t>82024100100090821</t>
  </si>
  <si>
    <t>22995114785</t>
  </si>
  <si>
    <t>A0009522</t>
  </si>
  <si>
    <t>BAIMEY FRIEDA VICTOIRE</t>
  </si>
  <si>
    <t>M000363103</t>
  </si>
  <si>
    <t>RGT AIRP M000363103 01/10/2024</t>
  </si>
  <si>
    <t>82024100100094020</t>
  </si>
  <si>
    <t>22994994494</t>
  </si>
  <si>
    <t>A0001256</t>
  </si>
  <si>
    <t>GROUPE AGRO SERVICE LA PRECISION</t>
  </si>
  <si>
    <t>M000360892</t>
  </si>
  <si>
    <t>RGT AIRP M000360892 01/10/2024</t>
  </si>
  <si>
    <t>82024100100100989</t>
  </si>
  <si>
    <t>M000359306</t>
  </si>
  <si>
    <t>RGT AIRP M000359306 01/10/2024</t>
  </si>
  <si>
    <t>82024100100121878</t>
  </si>
  <si>
    <t>M000362584</t>
  </si>
  <si>
    <t>RGT AIRP M000362584 01/10/2024</t>
  </si>
  <si>
    <t>82024100100138444</t>
  </si>
  <si>
    <t>22965309979</t>
  </si>
  <si>
    <t>A0007723</t>
  </si>
  <si>
    <t>GAMA PHARMA</t>
  </si>
  <si>
    <t>M000362232</t>
  </si>
  <si>
    <t>RGT AIRP M000362232 01/10/2024</t>
  </si>
  <si>
    <t>82024100100158783</t>
  </si>
  <si>
    <t>22964196565</t>
  </si>
  <si>
    <t>A0007715</t>
  </si>
  <si>
    <t>IMPACT DOCTEUR</t>
  </si>
  <si>
    <t>M000362230</t>
  </si>
  <si>
    <t>RGT AIRP M000362230 01/10/2024</t>
  </si>
  <si>
    <t>82024100100167731</t>
  </si>
  <si>
    <t>22995424719</t>
  </si>
  <si>
    <t>A0006415</t>
  </si>
  <si>
    <t>ACHEDEMESSI MATHIAS</t>
  </si>
  <si>
    <t>M000361854</t>
  </si>
  <si>
    <t>RGT AIRP M000361854 01/10/2024</t>
  </si>
  <si>
    <t>82024100100177108</t>
  </si>
  <si>
    <t>22995496043</t>
  </si>
  <si>
    <t>A0006730</t>
  </si>
  <si>
    <t>EGOUNLETY BIOKOU AURORE</t>
  </si>
  <si>
    <t>M000361939</t>
  </si>
  <si>
    <t>RGT AIRP M000361939 01/10/2024</t>
  </si>
  <si>
    <t>82024100100279073</t>
  </si>
  <si>
    <t>22955011165</t>
  </si>
  <si>
    <t>A0007436</t>
  </si>
  <si>
    <t>THE LOVE SUPER-BENIN</t>
  </si>
  <si>
    <t>M000362140</t>
  </si>
  <si>
    <t>RGT AIRP M000362140 01/10/2024</t>
  </si>
  <si>
    <t>82024100100367826</t>
  </si>
  <si>
    <t>22995161200</t>
  </si>
  <si>
    <t>A0008204</t>
  </si>
  <si>
    <t>AKLE KEGNIDE DAMIENNE</t>
  </si>
  <si>
    <t>M000362380</t>
  </si>
  <si>
    <t>RGT AIRP M000362380 01/10/2024</t>
  </si>
  <si>
    <t>62024100200080515</t>
  </si>
  <si>
    <t>M000361403</t>
  </si>
  <si>
    <t>RGT AIRP M000361403 02/10/2024</t>
  </si>
  <si>
    <t>62024100200093323</t>
  </si>
  <si>
    <t>A0008780</t>
  </si>
  <si>
    <t>K-LEADERS/FORMULE INDIVIDUELLE</t>
  </si>
  <si>
    <t>M000362605</t>
  </si>
  <si>
    <t>RGT AIRP M000362605 02/10/2024</t>
  </si>
  <si>
    <t>62024100200170908</t>
  </si>
  <si>
    <t>22994818864</t>
  </si>
  <si>
    <t>A0009055</t>
  </si>
  <si>
    <t>AMOULE GAUDENS SONANGNON</t>
  </si>
  <si>
    <t>M000362757</t>
  </si>
  <si>
    <t>RGT AIRP M000362757 02/10/2024</t>
  </si>
  <si>
    <t>62024100200198047</t>
  </si>
  <si>
    <t>22994342767</t>
  </si>
  <si>
    <t>A0008654</t>
  </si>
  <si>
    <t>CMAX SARL</t>
  </si>
  <si>
    <t>M000360169</t>
  </si>
  <si>
    <t>RGT AIRP M000360169 02/10/2024</t>
  </si>
  <si>
    <t>62024100200359479</t>
  </si>
  <si>
    <t>22964532070</t>
  </si>
  <si>
    <t>A0008164</t>
  </si>
  <si>
    <t>AU COEUR DE LA BEAUTE</t>
  </si>
  <si>
    <t>M000362361</t>
  </si>
  <si>
    <t>RGT AIRP M000362361 02/10/2024</t>
  </si>
  <si>
    <t>62024100200367067</t>
  </si>
  <si>
    <t>M000359956</t>
  </si>
  <si>
    <t>RGT AIRP M000359956 02/10/2024</t>
  </si>
  <si>
    <t>62024100200392136</t>
  </si>
  <si>
    <t>22998269397</t>
  </si>
  <si>
    <t>A0009213</t>
  </si>
  <si>
    <t>AGENCE IMMOBILIERE 2H PLUS</t>
  </si>
  <si>
    <t>M000362840</t>
  </si>
  <si>
    <t>RGT AIRP M000362840 02/10/2024</t>
  </si>
  <si>
    <t>62024100200450362</t>
  </si>
  <si>
    <t>22994614045</t>
  </si>
  <si>
    <t>A0005236</t>
  </si>
  <si>
    <t>ETS OMS</t>
  </si>
  <si>
    <t>M000361561</t>
  </si>
  <si>
    <t>RGT AIRP M000361561 02/10/2024</t>
  </si>
  <si>
    <t>62024100200467069</t>
  </si>
  <si>
    <t>22994266184</t>
  </si>
  <si>
    <t>A0002948</t>
  </si>
  <si>
    <t>PHARIC GROUP</t>
  </si>
  <si>
    <t>M000361097</t>
  </si>
  <si>
    <t>RGT AIRP M000361097 02/10/2024</t>
  </si>
  <si>
    <t>62024100200521528</t>
  </si>
  <si>
    <t>22999997087</t>
  </si>
  <si>
    <t>A0009467</t>
  </si>
  <si>
    <t>OSHO MOURAD ADEYEMI BORIS</t>
  </si>
  <si>
    <t>M000363059</t>
  </si>
  <si>
    <t>RGT AIRP M000363059 02/10/2024</t>
  </si>
  <si>
    <t>62024100200525600</t>
  </si>
  <si>
    <t>22995347788</t>
  </si>
  <si>
    <t>A0002510</t>
  </si>
  <si>
    <t>JEUNE TRANS LOGISTIQUE ET FILS</t>
  </si>
  <si>
    <t>M000361006</t>
  </si>
  <si>
    <t>RGT AIRP M000361006 02/10/2024</t>
  </si>
  <si>
    <t>62024100200607601</t>
  </si>
  <si>
    <t>22995317694</t>
  </si>
  <si>
    <t>A0008569</t>
  </si>
  <si>
    <t>KEGNIDE JEAN GERARD SENAMI</t>
  </si>
  <si>
    <t>M000362534</t>
  </si>
  <si>
    <t>RGT AIRP M000362534 02/10/2024</t>
  </si>
  <si>
    <t>72024100200021920</t>
  </si>
  <si>
    <t>A0009486</t>
  </si>
  <si>
    <t>OHOUKO EPSE AKPO EDJE BEATRICE</t>
  </si>
  <si>
    <t>M000363078</t>
  </si>
  <si>
    <t>RGT AIRP M000363078 02/10/2024</t>
  </si>
  <si>
    <t>72024100200038076</t>
  </si>
  <si>
    <t>M000362946</t>
  </si>
  <si>
    <t>RGT AIRP M000362946 02/10/2024</t>
  </si>
  <si>
    <t>72024100200112790</t>
  </si>
  <si>
    <t>22995935682</t>
  </si>
  <si>
    <t>A0006341</t>
  </si>
  <si>
    <t>ETS K AL ET FILS</t>
  </si>
  <si>
    <t>M000361825</t>
  </si>
  <si>
    <t>RGT AIRP M000361825 02/10/2024</t>
  </si>
  <si>
    <t>72024100200121964</t>
  </si>
  <si>
    <t>22994570068</t>
  </si>
  <si>
    <t>A0002965</t>
  </si>
  <si>
    <t>CLINIQUE STE MARTHE ROBIN</t>
  </si>
  <si>
    <t>M000361106</t>
  </si>
  <si>
    <t>RGT AIRP M000361106 02/10/2024</t>
  </si>
  <si>
    <t>72024100200130369</t>
  </si>
  <si>
    <t>22994808035</t>
  </si>
  <si>
    <t>A0001417</t>
  </si>
  <si>
    <t>PHARMABEL SARL</t>
  </si>
  <si>
    <t>M000360915</t>
  </si>
  <si>
    <t>RGT AIRP M000360915 02/10/2024</t>
  </si>
  <si>
    <t>72024100200168036</t>
  </si>
  <si>
    <t>22964492591</t>
  </si>
  <si>
    <t>A0004756</t>
  </si>
  <si>
    <t>PHARMACIE ST ETIENNE D'AGLA</t>
  </si>
  <si>
    <t>M000361465</t>
  </si>
  <si>
    <t>RGT AIRP M000361465 02/10/2024</t>
  </si>
  <si>
    <t>72024100200189192</t>
  </si>
  <si>
    <t>22958787873</t>
  </si>
  <si>
    <t>A0008251</t>
  </si>
  <si>
    <t>PHARMACIE HEVIE</t>
  </si>
  <si>
    <t>M000362398</t>
  </si>
  <si>
    <t>RGT AIRP M000362398 02/10/2024</t>
  </si>
  <si>
    <t>82024100200035797</t>
  </si>
  <si>
    <t>22995920324</t>
  </si>
  <si>
    <t>A0006579</t>
  </si>
  <si>
    <t>ADP SERVICES GROUP</t>
  </si>
  <si>
    <t>M000361901</t>
  </si>
  <si>
    <t>RGT AIRP M000361901 02/10/2024</t>
  </si>
  <si>
    <t>82024100200111821</t>
  </si>
  <si>
    <t>22994266147</t>
  </si>
  <si>
    <t>A0004041</t>
  </si>
  <si>
    <t>GREEN FREE LAND</t>
  </si>
  <si>
    <t>M000361332</t>
  </si>
  <si>
    <t>RGT AIRP M000361332 02/10/2024</t>
  </si>
  <si>
    <t>82024100200139912</t>
  </si>
  <si>
    <t>22995611135</t>
  </si>
  <si>
    <t>A0007321</t>
  </si>
  <si>
    <t>ACTUE INNOVATION SARL</t>
  </si>
  <si>
    <t>M000362113</t>
  </si>
  <si>
    <t>RGT AIRP M000362113 02/10/2024</t>
  </si>
  <si>
    <t>82024100200142383</t>
  </si>
  <si>
    <t>A0009481</t>
  </si>
  <si>
    <t>APLOGAN DJIBODE CLAIRE CLARISS</t>
  </si>
  <si>
    <t>M000363073</t>
  </si>
  <si>
    <t>RGT AIRP M000363073 02/10/2024</t>
  </si>
  <si>
    <t>82024100200156247</t>
  </si>
  <si>
    <t>22965396368</t>
  </si>
  <si>
    <t>A0009403</t>
  </si>
  <si>
    <t>AKPOKA AGOSSI</t>
  </si>
  <si>
    <t>M000363002</t>
  </si>
  <si>
    <t>RGT AIRP M000363002 02/10/2024</t>
  </si>
  <si>
    <t>82024100200203749</t>
  </si>
  <si>
    <t>A0008864</t>
  </si>
  <si>
    <t>CM VIE NOUVELLE</t>
  </si>
  <si>
    <t>M000360253</t>
  </si>
  <si>
    <t>RGT AIRP M000360253 02/10/2024</t>
  </si>
  <si>
    <t>82024100200212937</t>
  </si>
  <si>
    <t>22995549873</t>
  </si>
  <si>
    <t>A0008883</t>
  </si>
  <si>
    <t>BEST - ICE CONSULTING</t>
  </si>
  <si>
    <t>M000362656</t>
  </si>
  <si>
    <t>RGT AIRP M000362656 02/10/2024</t>
  </si>
  <si>
    <t>82024100200402637</t>
  </si>
  <si>
    <t>22995720760</t>
  </si>
  <si>
    <t>A0009535</t>
  </si>
  <si>
    <t>KANEL GS</t>
  </si>
  <si>
    <t>M000363115</t>
  </si>
  <si>
    <t>RGT AIRP M000363115 02/10/2024</t>
  </si>
  <si>
    <t>62024100300027088</t>
  </si>
  <si>
    <t>22995980828</t>
  </si>
  <si>
    <t>A0008555</t>
  </si>
  <si>
    <t>BWENDORA DE BEMBEREKE SARL</t>
  </si>
  <si>
    <t>M000362526</t>
  </si>
  <si>
    <t>RGT AIRP M000362526 03/10/2024</t>
  </si>
  <si>
    <t>62024100300044733</t>
  </si>
  <si>
    <t>22995958165</t>
  </si>
  <si>
    <t>A0003048</t>
  </si>
  <si>
    <t>SBB  SARL</t>
  </si>
  <si>
    <t>M000361123</t>
  </si>
  <si>
    <t>RGT AIRP M000361123 03/10/2024</t>
  </si>
  <si>
    <t>62024100300143572</t>
  </si>
  <si>
    <t>22968749727</t>
  </si>
  <si>
    <t>A0008068</t>
  </si>
  <si>
    <t>JOCELYNO STORE</t>
  </si>
  <si>
    <t>M000362326</t>
  </si>
  <si>
    <t>RGT AIRP M000362326 03/10/2024</t>
  </si>
  <si>
    <t>62024100300206717</t>
  </si>
  <si>
    <t>22995996000</t>
  </si>
  <si>
    <t>A0008761</t>
  </si>
  <si>
    <t>NATURA SARL</t>
  </si>
  <si>
    <t>M000362599</t>
  </si>
  <si>
    <t>RGT AIRP M000362599 03/10/2024</t>
  </si>
  <si>
    <t>62024100300218537</t>
  </si>
  <si>
    <t>22968935421</t>
  </si>
  <si>
    <t>A0003786</t>
  </si>
  <si>
    <t>2KE SARL</t>
  </si>
  <si>
    <t>M000361288</t>
  </si>
  <si>
    <t>RGT AIRP M000361288 03/10/2024</t>
  </si>
  <si>
    <t>62024100300236708</t>
  </si>
  <si>
    <t>M000359259</t>
  </si>
  <si>
    <t>RGT AIRP M000359259 03/10/2024</t>
  </si>
  <si>
    <t>62024100300241580</t>
  </si>
  <si>
    <t>22963232323</t>
  </si>
  <si>
    <t>A0006859</t>
  </si>
  <si>
    <t>LA PERLE DU GOLFE</t>
  </si>
  <si>
    <t>M000361983</t>
  </si>
  <si>
    <t>RGT AIRP M000361983 03/10/2024</t>
  </si>
  <si>
    <t>62024100300265694</t>
  </si>
  <si>
    <t>22999825959</t>
  </si>
  <si>
    <t>A0007417</t>
  </si>
  <si>
    <t>REVELATION DISTRIBUTION</t>
  </si>
  <si>
    <t>M000362134</t>
  </si>
  <si>
    <t>RGT AIRP M000362134 03/10/2024</t>
  </si>
  <si>
    <t>62024100300343195</t>
  </si>
  <si>
    <t>22994272817</t>
  </si>
  <si>
    <t>A0007231</t>
  </si>
  <si>
    <t>PHCIE PRIORITE SANTE SARL</t>
  </si>
  <si>
    <t>M000362086</t>
  </si>
  <si>
    <t>RGT AIRP M000362086 03/10/2024</t>
  </si>
  <si>
    <t>62024100300368433</t>
  </si>
  <si>
    <t>22965411168</t>
  </si>
  <si>
    <t>A0009067</t>
  </si>
  <si>
    <t>TALAA SERVICES</t>
  </si>
  <si>
    <t>M000362762</t>
  </si>
  <si>
    <t>RGT AIRP M000362762 03/10/2024</t>
  </si>
  <si>
    <t>62024100300587998</t>
  </si>
  <si>
    <t>22995406362</t>
  </si>
  <si>
    <t>A0001018</t>
  </si>
  <si>
    <t>MOBILIA</t>
  </si>
  <si>
    <t>M000360853</t>
  </si>
  <si>
    <t>RGT AIRP M000360853 03/10/2024</t>
  </si>
  <si>
    <t>62024100300642285</t>
  </si>
  <si>
    <t>22994006000</t>
  </si>
  <si>
    <t>A0004987</t>
  </si>
  <si>
    <t>UNIQUE  TRUST SA</t>
  </si>
  <si>
    <t>M000361508</t>
  </si>
  <si>
    <t>RGT AIRP M000361508 03/10/2024</t>
  </si>
  <si>
    <t>72024100300089015</t>
  </si>
  <si>
    <t>22963075156</t>
  </si>
  <si>
    <t>A0003681</t>
  </si>
  <si>
    <t>IFFA-GLACE</t>
  </si>
  <si>
    <t>M000361271</t>
  </si>
  <si>
    <t>RGT AIRP M000361271 03/10/2024</t>
  </si>
  <si>
    <t>72024100300091534</t>
  </si>
  <si>
    <t>22994314260</t>
  </si>
  <si>
    <t>A0009040</t>
  </si>
  <si>
    <t>TRI-HORIZONS</t>
  </si>
  <si>
    <t>M000362748</t>
  </si>
  <si>
    <t>RGT AIRP M000362748 03/10/2024</t>
  </si>
  <si>
    <t>72024100300134720</t>
  </si>
  <si>
    <t>22965641010</t>
  </si>
  <si>
    <t>A0006425</t>
  </si>
  <si>
    <t>GBENOU EP. MIGAN SANDRINE</t>
  </si>
  <si>
    <t>M000361858</t>
  </si>
  <si>
    <t>RGT AIRP M000361858 03/10/2024</t>
  </si>
  <si>
    <t>72024100300235730</t>
  </si>
  <si>
    <t>22995953514</t>
  </si>
  <si>
    <t>A0001355</t>
  </si>
  <si>
    <t>STE AFRO-LABEL</t>
  </si>
  <si>
    <t>M000360910</t>
  </si>
  <si>
    <t>RGT AIRP M000360910 03/10/2024</t>
  </si>
  <si>
    <t>72024100300320542</t>
  </si>
  <si>
    <t>22995170915</t>
  </si>
  <si>
    <t>A0003848</t>
  </si>
  <si>
    <t>ETS I. D. BALOGOUN</t>
  </si>
  <si>
    <t>M000361302</t>
  </si>
  <si>
    <t>RGT AIRP M000361302 03/10/2024</t>
  </si>
  <si>
    <t>82024100300060686</t>
  </si>
  <si>
    <t>22994812209</t>
  </si>
  <si>
    <t>A0003960</t>
  </si>
  <si>
    <t>FERME ESPOIR L'AN 2000</t>
  </si>
  <si>
    <t>M000361319</t>
  </si>
  <si>
    <t>RGT AIRP M000361319 03/10/2024</t>
  </si>
  <si>
    <t>82024100300081731</t>
  </si>
  <si>
    <t>22995446398</t>
  </si>
  <si>
    <t>A0005244</t>
  </si>
  <si>
    <t>CECAC-BENIN</t>
  </si>
  <si>
    <t>M000361563</t>
  </si>
  <si>
    <t>RGT AIRP M000361563 03/10/2024</t>
  </si>
  <si>
    <t>82024100300095411</t>
  </si>
  <si>
    <t>A0009463</t>
  </si>
  <si>
    <t>LAWAL MALIKI ADEBARE</t>
  </si>
  <si>
    <t>M000360696</t>
  </si>
  <si>
    <t>RGT AIRP M000360696 03/10/2024</t>
  </si>
  <si>
    <t>82024100300096744</t>
  </si>
  <si>
    <t>M000360937</t>
  </si>
  <si>
    <t>RGT AIRP M000360937 03/10/2024</t>
  </si>
  <si>
    <t>82024100300138943</t>
  </si>
  <si>
    <t>M000360362</t>
  </si>
  <si>
    <t>RGT AIRP M000360362 03/10/2024</t>
  </si>
  <si>
    <t>82024100300145386</t>
  </si>
  <si>
    <t>22964132149</t>
  </si>
  <si>
    <t>A0007961</t>
  </si>
  <si>
    <t>AFRIQUE VISION AFH</t>
  </si>
  <si>
    <t>M000362288</t>
  </si>
  <si>
    <t>RGT AIRP M000362288 03/10/2024</t>
  </si>
  <si>
    <t>82024100300217046</t>
  </si>
  <si>
    <t>M000362808</t>
  </si>
  <si>
    <t>RGT AIRP M000362808 03/10/2024</t>
  </si>
  <si>
    <t>82024100300279604</t>
  </si>
  <si>
    <t>22995278395</t>
  </si>
  <si>
    <t>A0008639</t>
  </si>
  <si>
    <t>MITC</t>
  </si>
  <si>
    <t>M000362554</t>
  </si>
  <si>
    <t>RGT AIRP M000362554 03/10/2024</t>
  </si>
  <si>
    <t>82024100300332224</t>
  </si>
  <si>
    <t>22964474202</t>
  </si>
  <si>
    <t>A0008814</t>
  </si>
  <si>
    <t>ALPHA GLASS BENIN</t>
  </si>
  <si>
    <t>M000362622</t>
  </si>
  <si>
    <t>RGT AIRP M000362622 03/10/2024</t>
  </si>
  <si>
    <t>82024100300352002</t>
  </si>
  <si>
    <t>22994953276</t>
  </si>
  <si>
    <t>A0006445</t>
  </si>
  <si>
    <t>SAT DISTRIBUTION SARL</t>
  </si>
  <si>
    <t>M000361868</t>
  </si>
  <si>
    <t>RGT AIRP M000361868 03/10/2024</t>
  </si>
  <si>
    <t>82024100300376900</t>
  </si>
  <si>
    <t>22995838162</t>
  </si>
  <si>
    <t>A0009355</t>
  </si>
  <si>
    <t>ASSOU AMETEPE JULES</t>
  </si>
  <si>
    <t>M000362958</t>
  </si>
  <si>
    <t>RGT AIRP M000362958 03/10/2024</t>
  </si>
  <si>
    <t>82024100300448682</t>
  </si>
  <si>
    <t>22995190624</t>
  </si>
  <si>
    <t>A0009548</t>
  </si>
  <si>
    <t>AGOSSOU FRANCK SPERO</t>
  </si>
  <si>
    <t>M000363126</t>
  </si>
  <si>
    <t>RGT AIRP M000363126 03/10/2024</t>
  </si>
  <si>
    <t>82024100300450386</t>
  </si>
  <si>
    <t>22995593942</t>
  </si>
  <si>
    <t>A0008213</t>
  </si>
  <si>
    <t>LES 1000  ET  1 SAVEURS CONSOR</t>
  </si>
  <si>
    <t>M000362384</t>
  </si>
  <si>
    <t>RGT AIRP M000362384 03/10/2024</t>
  </si>
  <si>
    <t>62024100400051667</t>
  </si>
  <si>
    <t>22995102456</t>
  </si>
  <si>
    <t>A0008959</t>
  </si>
  <si>
    <t>INOVACT</t>
  </si>
  <si>
    <t>M000362698</t>
  </si>
  <si>
    <t>RGT AIRP M000362698 04/10/2024</t>
  </si>
  <si>
    <t>62024100400130382</t>
  </si>
  <si>
    <t>22995965278</t>
  </si>
  <si>
    <t>A0004241</t>
  </si>
  <si>
    <t>ETS GENERAL STORE</t>
  </si>
  <si>
    <t>M000361367</t>
  </si>
  <si>
    <t>RGT AIRP M000361367 04/10/2024</t>
  </si>
  <si>
    <t>62024100400138531</t>
  </si>
  <si>
    <t>22999565660</t>
  </si>
  <si>
    <t>A0008362</t>
  </si>
  <si>
    <t>AREM MULTISERVICES</t>
  </si>
  <si>
    <t>M000362442</t>
  </si>
  <si>
    <t>RGT AIRP M000362442 04/10/2024</t>
  </si>
  <si>
    <t>62024100400143676</t>
  </si>
  <si>
    <t>22995057606</t>
  </si>
  <si>
    <t>A0007447</t>
  </si>
  <si>
    <t>BABN-FAMILLE DU PERSONNEL</t>
  </si>
  <si>
    <t>M000362144</t>
  </si>
  <si>
    <t>RGT AIRP M000362144 04/10/2024</t>
  </si>
  <si>
    <t>62024100400168289</t>
  </si>
  <si>
    <t>22963708920</t>
  </si>
  <si>
    <t>A0006258</t>
  </si>
  <si>
    <t>JERUSALEM DIAGNOSTIC AUTO</t>
  </si>
  <si>
    <t>M000361802</t>
  </si>
  <si>
    <t>RGT AIRP M000361802 04/10/2024</t>
  </si>
  <si>
    <t>62024100400208782</t>
  </si>
  <si>
    <t>22994811051</t>
  </si>
  <si>
    <t>A0005963</t>
  </si>
  <si>
    <t>PARTENAIRE ZONE SANITAIRE  NAT</t>
  </si>
  <si>
    <t>M000361734</t>
  </si>
  <si>
    <t>RGT AIRP M000361734 04/10/2024</t>
  </si>
  <si>
    <t>62024100400338762</t>
  </si>
  <si>
    <t>A0008866</t>
  </si>
  <si>
    <t>HELIETTE MARKET</t>
  </si>
  <si>
    <t>M000360255</t>
  </si>
  <si>
    <t>RGT AIRP M000360255 04/10/2024</t>
  </si>
  <si>
    <t>62024100400341502</t>
  </si>
  <si>
    <t>22995796627</t>
  </si>
  <si>
    <t>A0007593</t>
  </si>
  <si>
    <t>TCHOBO REGIS FRANCOIS</t>
  </si>
  <si>
    <t>M000362191</t>
  </si>
  <si>
    <t>RGT AIRP M000362191 04/10/2024</t>
  </si>
  <si>
    <t>62024100400348566</t>
  </si>
  <si>
    <t>22995527493</t>
  </si>
  <si>
    <t>A0009256</t>
  </si>
  <si>
    <t>ELIRAM COMPAGNIE SARL</t>
  </si>
  <si>
    <t>M000362873</t>
  </si>
  <si>
    <t>RGT AIRP M000362873 04/10/2024</t>
  </si>
  <si>
    <t>62024100400384828</t>
  </si>
  <si>
    <t>22958885232</t>
  </si>
  <si>
    <t>A0008368</t>
  </si>
  <si>
    <t>SPRINKLES 365</t>
  </si>
  <si>
    <t>M000362445</t>
  </si>
  <si>
    <t>RGT AIRP M000362445 04/10/2024</t>
  </si>
  <si>
    <t>62024100400404430</t>
  </si>
  <si>
    <t>22995757889</t>
  </si>
  <si>
    <t>A0005206</t>
  </si>
  <si>
    <t>AIS  BENIN</t>
  </si>
  <si>
    <t>M000361553</t>
  </si>
  <si>
    <t>RGT AIRP M000361553 04/10/2024</t>
  </si>
  <si>
    <t>62024100400462738</t>
  </si>
  <si>
    <t>22994512782</t>
  </si>
  <si>
    <t>A0007387</t>
  </si>
  <si>
    <t>D'ALMEIDA YANN MAUREL AMAH</t>
  </si>
  <si>
    <t>M000362125</t>
  </si>
  <si>
    <t>RGT AIRP M000362125 04/10/2024</t>
  </si>
  <si>
    <t>62024100400661847</t>
  </si>
  <si>
    <t>22995718794</t>
  </si>
  <si>
    <t>A0009141</t>
  </si>
  <si>
    <t>HOUETIN WILFRID</t>
  </si>
  <si>
    <t>M000362798</t>
  </si>
  <si>
    <t>RGT AIRP M000362798 04/10/2024</t>
  </si>
  <si>
    <t>72024100400044383</t>
  </si>
  <si>
    <t>22958174586</t>
  </si>
  <si>
    <t>A0008058</t>
  </si>
  <si>
    <t>COMPTOIR ABENI ET FILS</t>
  </si>
  <si>
    <t>M000362323</t>
  </si>
  <si>
    <t>RGT AIRP M000362323 04/10/2024</t>
  </si>
  <si>
    <t>72024100400088167</t>
  </si>
  <si>
    <t>22995639695</t>
  </si>
  <si>
    <t>A0008256</t>
  </si>
  <si>
    <t>BIAO AGBEDE ABOUDOU RAZACK</t>
  </si>
  <si>
    <t>M000362400</t>
  </si>
  <si>
    <t>RGT AIRP M000362400 04/10/2024</t>
  </si>
  <si>
    <t>72024100400107223</t>
  </si>
  <si>
    <t>22994725791</t>
  </si>
  <si>
    <t>A0008114</t>
  </si>
  <si>
    <t>LIMA MELINDA MARIE-EMMANUELLA</t>
  </si>
  <si>
    <t>M000362345</t>
  </si>
  <si>
    <t>RGT AIRP M000362345 04/10/2024</t>
  </si>
  <si>
    <t>72024100400159160</t>
  </si>
  <si>
    <t>22995943974</t>
  </si>
  <si>
    <t>A0002877</t>
  </si>
  <si>
    <t>DJIBSON HOTELS</t>
  </si>
  <si>
    <t>M000361077</t>
  </si>
  <si>
    <t>RGT AIRP M000361077 04/10/2024</t>
  </si>
  <si>
    <t>72024100400177375</t>
  </si>
  <si>
    <t>M000362644</t>
  </si>
  <si>
    <t>RGT AIRP M000362644 04/10/2024</t>
  </si>
  <si>
    <t>72024100400180291</t>
  </si>
  <si>
    <t>22994775566</t>
  </si>
  <si>
    <t>A0004173</t>
  </si>
  <si>
    <t>JERIEL SERVICES</t>
  </si>
  <si>
    <t>M000361357</t>
  </si>
  <si>
    <t>RGT AIRP M000361357 04/10/2024</t>
  </si>
  <si>
    <t>72024100400181265</t>
  </si>
  <si>
    <t>22960394942</t>
  </si>
  <si>
    <t>A0007238</t>
  </si>
  <si>
    <t>SITAMAP BTP</t>
  </si>
  <si>
    <t>M000362089</t>
  </si>
  <si>
    <t>RGT AIRP M000362089 04/10/2024</t>
  </si>
  <si>
    <t>72024100400188712</t>
  </si>
  <si>
    <t>22963163770</t>
  </si>
  <si>
    <t>A0005999</t>
  </si>
  <si>
    <t>ETS GARAGE DIVINE GAS ET FILS</t>
  </si>
  <si>
    <t>M000361742</t>
  </si>
  <si>
    <t>RGT AIRP M000361742 04/10/2024</t>
  </si>
  <si>
    <t>72024100400201282</t>
  </si>
  <si>
    <t>22994013350</t>
  </si>
  <si>
    <t>A0009431</t>
  </si>
  <si>
    <t>TECHNOLOGIE COMPOSITES</t>
  </si>
  <si>
    <t>M000363026</t>
  </si>
  <si>
    <t>RGT AIRP M000363026 04/10/2024</t>
  </si>
  <si>
    <t>72024100400201656</t>
  </si>
  <si>
    <t>M000360666</t>
  </si>
  <si>
    <t>RGT AIRP M000360666 04/10/2024</t>
  </si>
  <si>
    <t>82024100400034419</t>
  </si>
  <si>
    <t>22965124925</t>
  </si>
  <si>
    <t>A0003525</t>
  </si>
  <si>
    <t>ETS YBUCO</t>
  </si>
  <si>
    <t>M000361228</t>
  </si>
  <si>
    <t>RGT AIRP M000361228 04/10/2024</t>
  </si>
  <si>
    <t>82024100400103371</t>
  </si>
  <si>
    <t>22995190480</t>
  </si>
  <si>
    <t>A0005600</t>
  </si>
  <si>
    <t>ETS ELIMAX MULTISERVICES</t>
  </si>
  <si>
    <t>M000361645</t>
  </si>
  <si>
    <t>RGT AIRP M000361645 04/10/2024</t>
  </si>
  <si>
    <t>82024100400159370</t>
  </si>
  <si>
    <t>M000359318</t>
  </si>
  <si>
    <t>RGT AIRP M000359318 04/10/2024</t>
  </si>
  <si>
    <t>82024100400209163</t>
  </si>
  <si>
    <t>22995501114</t>
  </si>
  <si>
    <t>M000360028</t>
  </si>
  <si>
    <t>RGT AIRP M000360028 04/10/2024</t>
  </si>
  <si>
    <t>82024100400277747</t>
  </si>
  <si>
    <t>22994155503</t>
  </si>
  <si>
    <t>A0009204</t>
  </si>
  <si>
    <t>SATI BTP</t>
  </si>
  <si>
    <t>M000362834</t>
  </si>
  <si>
    <t>RGT AIRP M000362834 04/10/2024</t>
  </si>
  <si>
    <t>82024100400332247</t>
  </si>
  <si>
    <t>22963872107</t>
  </si>
  <si>
    <t>A0008356</t>
  </si>
  <si>
    <t>PHARMACIE LES MARISTES</t>
  </si>
  <si>
    <t>M000362437</t>
  </si>
  <si>
    <t>RGT AIRP M000362437 04/10/2024</t>
  </si>
  <si>
    <t>82024100400398962</t>
  </si>
  <si>
    <t>22995056669</t>
  </si>
  <si>
    <t>A0007936</t>
  </si>
  <si>
    <t>STE CAAF NEGOCE SARL</t>
  </si>
  <si>
    <t>M000362284</t>
  </si>
  <si>
    <t>RGT AIRP M000362284 04/10/2024</t>
  </si>
  <si>
    <t>82024100400408301</t>
  </si>
  <si>
    <t>22995063999</t>
  </si>
  <si>
    <t>A0009537</t>
  </si>
  <si>
    <t>ETS MTF</t>
  </si>
  <si>
    <t>M000363117</t>
  </si>
  <si>
    <t>RGT AIRP M000363117 04/10/2024</t>
  </si>
  <si>
    <t>62024100500074219</t>
  </si>
  <si>
    <t>22963974868</t>
  </si>
  <si>
    <t>A0006967</t>
  </si>
  <si>
    <t>BOURAIMA MANZID</t>
  </si>
  <si>
    <t>M000362013</t>
  </si>
  <si>
    <t>RGT AIRP M000362013 05/10/2024</t>
  </si>
  <si>
    <t>62024100500518888</t>
  </si>
  <si>
    <t>A0007855</t>
  </si>
  <si>
    <t>SIN_TCHUS</t>
  </si>
  <si>
    <t>M000362265</t>
  </si>
  <si>
    <t>RGT AIRP M000362265 05/10/2024</t>
  </si>
  <si>
    <t>62024100500601407</t>
  </si>
  <si>
    <t>22995067843</t>
  </si>
  <si>
    <t>A0006174</t>
  </si>
  <si>
    <t>JENCOSMAS SARL</t>
  </si>
  <si>
    <t>M000361780</t>
  </si>
  <si>
    <t>RGT AIRP M000361780 05/10/2024</t>
  </si>
  <si>
    <t>72024100500135691</t>
  </si>
  <si>
    <t>22964708181</t>
  </si>
  <si>
    <t>A0005179</t>
  </si>
  <si>
    <t>DIVINE MISERICORDE BUSINESS</t>
  </si>
  <si>
    <t>M000361546</t>
  </si>
  <si>
    <t>RGT AIRP M000361546 05/10/2024</t>
  </si>
  <si>
    <t>72024100500155062</t>
  </si>
  <si>
    <t>22995748869</t>
  </si>
  <si>
    <t>A0008597</t>
  </si>
  <si>
    <t>ENTREPRISE MANKANDJOU</t>
  </si>
  <si>
    <t>M000362541</t>
  </si>
  <si>
    <t>RGT AIRP M000362541 05/10/2024</t>
  </si>
  <si>
    <t>82024100500005931</t>
  </si>
  <si>
    <t>22994209220</t>
  </si>
  <si>
    <t>A0008385</t>
  </si>
  <si>
    <t>HINKATI EVRARD MIKE S.</t>
  </si>
  <si>
    <t>M000362454</t>
  </si>
  <si>
    <t>RGT AIRP M000362454 05/10/2024</t>
  </si>
  <si>
    <t>82024100500064229</t>
  </si>
  <si>
    <t>22995347266</t>
  </si>
  <si>
    <t>A0005157</t>
  </si>
  <si>
    <t>ETS FR ET SR JOCEVI-ELBABICADE</t>
  </si>
  <si>
    <t>M000361543</t>
  </si>
  <si>
    <t>RGT AIRP M000361543 05/10/2024</t>
  </si>
  <si>
    <t>82024100500100255</t>
  </si>
  <si>
    <t>22994358461</t>
  </si>
  <si>
    <t>A0008657</t>
  </si>
  <si>
    <t>SOWADAN RAYMOND</t>
  </si>
  <si>
    <t>M000362567</t>
  </si>
  <si>
    <t>RGT AIRP M000362567 05/10/2024</t>
  </si>
  <si>
    <t>82024100500157846</t>
  </si>
  <si>
    <t>22994390270</t>
  </si>
  <si>
    <t>M000361899</t>
  </si>
  <si>
    <t>RGT AIRP M000361899 05/10/2024</t>
  </si>
  <si>
    <t>82024100500410790</t>
  </si>
  <si>
    <t>A0008839</t>
  </si>
  <si>
    <t>AGONVINON TANKPINNOU</t>
  </si>
  <si>
    <t>M000362632</t>
  </si>
  <si>
    <t>RGT AIRP M000362632 05/10/2024</t>
  </si>
  <si>
    <t>82024100500458982</t>
  </si>
  <si>
    <t>22994212125</t>
  </si>
  <si>
    <t>A0006530</t>
  </si>
  <si>
    <t>DJAKPATA DOKPEMOU MARC</t>
  </si>
  <si>
    <t>M000361887</t>
  </si>
  <si>
    <t>RGT AIRP M000361887 05/10/2024</t>
  </si>
  <si>
    <t>82024100500494920</t>
  </si>
  <si>
    <t>22955833720</t>
  </si>
  <si>
    <t>A0009502</t>
  </si>
  <si>
    <t>INFOTECH BENIN</t>
  </si>
  <si>
    <t>M000363088</t>
  </si>
  <si>
    <t>RGT AIRP M000363088 05/10/2024</t>
  </si>
  <si>
    <t>82024100500498196</t>
  </si>
  <si>
    <t>A0008985</t>
  </si>
  <si>
    <t>ABOUBACAR ROKIBAT AKANKEDU  O.</t>
  </si>
  <si>
    <t>M000362714</t>
  </si>
  <si>
    <t>RGT AIRP M000362714 05/10/2024</t>
  </si>
  <si>
    <t>82024100500498453</t>
  </si>
  <si>
    <t>M000362713</t>
  </si>
  <si>
    <t>RGT AIRP M000362713 05/10/2024</t>
  </si>
  <si>
    <t>62024100600098647</t>
  </si>
  <si>
    <t>22995041500</t>
  </si>
  <si>
    <t>A0007412</t>
  </si>
  <si>
    <t>NICKELA PRESTATION INFORMATIC</t>
  </si>
  <si>
    <t>M000362132</t>
  </si>
  <si>
    <t>RGT AIRP M000362132 06/10/2024</t>
  </si>
  <si>
    <t>62024100600168571</t>
  </si>
  <si>
    <t>22965907773</t>
  </si>
  <si>
    <t>A0007767</t>
  </si>
  <si>
    <t>MADE APPHARWARE CORPUS</t>
  </si>
  <si>
    <t>M000362239</t>
  </si>
  <si>
    <t>RGT AIRP M000362239 06/10/2024</t>
  </si>
  <si>
    <t>62024100600574885</t>
  </si>
  <si>
    <t>22995610373</t>
  </si>
  <si>
    <t>A0004528</t>
  </si>
  <si>
    <t>DAF.COM</t>
  </si>
  <si>
    <t>M000361425</t>
  </si>
  <si>
    <t>RGT AIRP M000361425 06/10/2024</t>
  </si>
  <si>
    <t>62024100600594486</t>
  </si>
  <si>
    <t>22963006990</t>
  </si>
  <si>
    <t>A0004201</t>
  </si>
  <si>
    <t>ABS BTP</t>
  </si>
  <si>
    <t>M000356504</t>
  </si>
  <si>
    <t>RGT AIRP M000356504 06/10/2024</t>
  </si>
  <si>
    <t>82024100600460158</t>
  </si>
  <si>
    <t>M000361361</t>
  </si>
  <si>
    <t>RGT AIRP M000361361 06/10/2024</t>
  </si>
  <si>
    <t>82024100600476095</t>
  </si>
  <si>
    <t>22995841879</t>
  </si>
  <si>
    <t>A0004426</t>
  </si>
  <si>
    <t>SAVANE DES GRACES SARL</t>
  </si>
  <si>
    <t>M000361404</t>
  </si>
  <si>
    <t>RGT AIRP M000361404 06/10/2024</t>
  </si>
  <si>
    <t>62024100700026732</t>
  </si>
  <si>
    <t>A0009075</t>
  </si>
  <si>
    <t>GODO ADODO LEWIS ARCADIUS</t>
  </si>
  <si>
    <t>M000362766</t>
  </si>
  <si>
    <t>RGT AIRP M000362766 07/10/2024</t>
  </si>
  <si>
    <t>62024100700076303</t>
  </si>
  <si>
    <t>22994977345</t>
  </si>
  <si>
    <t>A0005248</t>
  </si>
  <si>
    <t>ECOLE BILINGUE BENEDICTUS</t>
  </si>
  <si>
    <t>M000361564</t>
  </si>
  <si>
    <t>RGT AIRP M000361564 07/10/2024</t>
  </si>
  <si>
    <t>62024100700079000</t>
  </si>
  <si>
    <t>22995400984</t>
  </si>
  <si>
    <t>A0005952</t>
  </si>
  <si>
    <t>AGICOG</t>
  </si>
  <si>
    <t>M000361730</t>
  </si>
  <si>
    <t>RGT AIRP M000361730 07/10/2024</t>
  </si>
  <si>
    <t>62024100700212583</t>
  </si>
  <si>
    <t>22994352210</t>
  </si>
  <si>
    <t>A0006365</t>
  </si>
  <si>
    <t>VICTADELE</t>
  </si>
  <si>
    <t>M000361834</t>
  </si>
  <si>
    <t>RGT AIRP M000361834 07/10/2024</t>
  </si>
  <si>
    <t>62024100700504329</t>
  </si>
  <si>
    <t>22960304460</t>
  </si>
  <si>
    <t>A0003544</t>
  </si>
  <si>
    <t>RESIDENCES EASY 3</t>
  </si>
  <si>
    <t>M000361236</t>
  </si>
  <si>
    <t>RGT AIRP M000361236 07/10/2024</t>
  </si>
  <si>
    <t>62024100700505312</t>
  </si>
  <si>
    <t>A0002274</t>
  </si>
  <si>
    <t>RESIDENCES EASY</t>
  </si>
  <si>
    <t>M000360970</t>
  </si>
  <si>
    <t>RGT AIRP M000360970 07/10/2024</t>
  </si>
  <si>
    <t>62024100700540907</t>
  </si>
  <si>
    <t>22955407743</t>
  </si>
  <si>
    <t>A0008172</t>
  </si>
  <si>
    <t>ZED MOTORS SARL</t>
  </si>
  <si>
    <t>M000362364</t>
  </si>
  <si>
    <t>RGT AIRP M000362364 07/10/2024</t>
  </si>
  <si>
    <t>62024100700670215</t>
  </si>
  <si>
    <t>M000362352</t>
  </si>
  <si>
    <t>RGT AIRP M000362352 07/10/2024</t>
  </si>
  <si>
    <t>62024100700771210</t>
  </si>
  <si>
    <t>22995425183</t>
  </si>
  <si>
    <t>A0003321</t>
  </si>
  <si>
    <t>CAPITOLE J.MD</t>
  </si>
  <si>
    <t>M000361185</t>
  </si>
  <si>
    <t>RGT AIRP M000361185 07/10/2024</t>
  </si>
  <si>
    <t>72024100700143271</t>
  </si>
  <si>
    <t>22960381289</t>
  </si>
  <si>
    <t>A0008869</t>
  </si>
  <si>
    <t>TWORLD INVESTMENT BENIN</t>
  </si>
  <si>
    <t>M000362647</t>
  </si>
  <si>
    <t>RGT AIRP M000362647 07/10/2024</t>
  </si>
  <si>
    <t>72024100700181223</t>
  </si>
  <si>
    <t>22995289455</t>
  </si>
  <si>
    <t>A0006220</t>
  </si>
  <si>
    <t>ETS ONCTION PERENNE</t>
  </si>
  <si>
    <t>M000361793</t>
  </si>
  <si>
    <t>RGT AIRP M000361793 07/10/2024</t>
  </si>
  <si>
    <t>72024100700203141</t>
  </si>
  <si>
    <t>22964640904</t>
  </si>
  <si>
    <t>A0008309</t>
  </si>
  <si>
    <t>ETS LE Z</t>
  </si>
  <si>
    <t>M000362420</t>
  </si>
  <si>
    <t>RGT AIRP M000362420 07/10/2024</t>
  </si>
  <si>
    <t>72024100700236785</t>
  </si>
  <si>
    <t>22998909191</t>
  </si>
  <si>
    <t>A0008191</t>
  </si>
  <si>
    <t>SIBAK  ET  COMPAGNIE SARL</t>
  </si>
  <si>
    <t>M000362372</t>
  </si>
  <si>
    <t>RGT AIRP M000362372 07/10/2024</t>
  </si>
  <si>
    <t>82024100700017011</t>
  </si>
  <si>
    <t>22995505605</t>
  </si>
  <si>
    <t>A0006199</t>
  </si>
  <si>
    <t>LA PIERRE VICTORIEUSE (LPV)</t>
  </si>
  <si>
    <t>M000361788</t>
  </si>
  <si>
    <t>RGT AIRP M000361788 07/10/2024</t>
  </si>
  <si>
    <t>82024100700100700</t>
  </si>
  <si>
    <t>M000361747</t>
  </si>
  <si>
    <t>RGT AIRP M000361747 07/10/2024</t>
  </si>
  <si>
    <t>82024100700130370</t>
  </si>
  <si>
    <t>22995818478</t>
  </si>
  <si>
    <t>A0009122</t>
  </si>
  <si>
    <t>HEROES CONSULTING PLUS</t>
  </si>
  <si>
    <t>M000362784</t>
  </si>
  <si>
    <t>RGT AIRP M000362784 07/10/2024</t>
  </si>
  <si>
    <t>82024100700239112</t>
  </si>
  <si>
    <t>22995607511</t>
  </si>
  <si>
    <t>A0007514</t>
  </si>
  <si>
    <t>DAH CONSULT ET SERVICES</t>
  </si>
  <si>
    <t>M000362167</t>
  </si>
  <si>
    <t>RGT AIRP M000362167 07/10/2024</t>
  </si>
  <si>
    <t>82024100700390000</t>
  </si>
  <si>
    <t>A0003542</t>
  </si>
  <si>
    <t>RESIDENCES EASY 1</t>
  </si>
  <si>
    <t>M000361235</t>
  </si>
  <si>
    <t>RGT AIRP M000361235 07/10/2024</t>
  </si>
  <si>
    <t>82024100700392943</t>
  </si>
  <si>
    <t>22995769050</t>
  </si>
  <si>
    <t>A0009049</t>
  </si>
  <si>
    <t>AZ BERNARD SARL</t>
  </si>
  <si>
    <t>M000362754</t>
  </si>
  <si>
    <t>RGT AIRP M000362754 07/10/2024</t>
  </si>
  <si>
    <t>82024100700529471</t>
  </si>
  <si>
    <t>A0008034</t>
  </si>
  <si>
    <t>ETS TOHOMA ET FILS</t>
  </si>
  <si>
    <t>M000362311</t>
  </si>
  <si>
    <t>RGT AIRP M000362311 07/10/2024</t>
  </si>
  <si>
    <t>62024100800017165</t>
  </si>
  <si>
    <t>22995823987</t>
  </si>
  <si>
    <t>A0008102</t>
  </si>
  <si>
    <t>UComCVPC</t>
  </si>
  <si>
    <t>M000362338</t>
  </si>
  <si>
    <t>RGT AIRP M000362338 08/10/2024</t>
  </si>
  <si>
    <t>62024100800163688</t>
  </si>
  <si>
    <t>22995401647</t>
  </si>
  <si>
    <t>A0004433</t>
  </si>
  <si>
    <t>DON DE DIEU</t>
  </si>
  <si>
    <t>M000361405</t>
  </si>
  <si>
    <t>RGT AIRP M000361405 08/10/2024</t>
  </si>
  <si>
    <t>62024100800347005</t>
  </si>
  <si>
    <t>22995974800</t>
  </si>
  <si>
    <t>A0000370</t>
  </si>
  <si>
    <t>LYCEE LA COLOMBE</t>
  </si>
  <si>
    <t>M000360774</t>
  </si>
  <si>
    <t>RGT AIRP M000360774 08/10/2024</t>
  </si>
  <si>
    <t>62024100800425710</t>
  </si>
  <si>
    <t>22994487836</t>
  </si>
  <si>
    <t>A0009273</t>
  </si>
  <si>
    <t>NUWR SERVICES</t>
  </si>
  <si>
    <t>M000362884</t>
  </si>
  <si>
    <t>RGT AIRP M000362884 08/10/2024</t>
  </si>
  <si>
    <t>62024100800493835</t>
  </si>
  <si>
    <t>22995957339</t>
  </si>
  <si>
    <t>A0006734</t>
  </si>
  <si>
    <t>ETS AFRICOM</t>
  </si>
  <si>
    <t>M000361942</t>
  </si>
  <si>
    <t>RGT AIRP M000361942 08/10/2024</t>
  </si>
  <si>
    <t>62024100800645403</t>
  </si>
  <si>
    <t>A0008506</t>
  </si>
  <si>
    <t>LA JOIE DE BENI SERVICE</t>
  </si>
  <si>
    <t>M000362513</t>
  </si>
  <si>
    <t>RGT AIRP M000362513 08/10/2024</t>
  </si>
  <si>
    <t>72024100800116047</t>
  </si>
  <si>
    <t>22995424947</t>
  </si>
  <si>
    <t>A0008865</t>
  </si>
  <si>
    <t>CLINIQUE EMMANUEL DE OUEDO</t>
  </si>
  <si>
    <t>M000362643</t>
  </si>
  <si>
    <t>RGT AIRP M000362643 08/10/2024</t>
  </si>
  <si>
    <t>82024100800113747</t>
  </si>
  <si>
    <t>22995969203</t>
  </si>
  <si>
    <t>A0005941</t>
  </si>
  <si>
    <t>SOCIETE MOQUAS SARL</t>
  </si>
  <si>
    <t>M000361728</t>
  </si>
  <si>
    <t>RGT AIRP M000361728 08/10/2024</t>
  </si>
  <si>
    <t>82024100800130665</t>
  </si>
  <si>
    <t>22995951585</t>
  </si>
  <si>
    <t>A0005406</t>
  </si>
  <si>
    <t>MENETON  TOGNON(MT)</t>
  </si>
  <si>
    <t>M000361591</t>
  </si>
  <si>
    <t>RGT AIRP M000361591 08/10/2024</t>
  </si>
  <si>
    <t>82024100800163724</t>
  </si>
  <si>
    <t>22960899928</t>
  </si>
  <si>
    <t>A0009158</t>
  </si>
  <si>
    <t>SOSSOU KOUASSI GEOFFROY</t>
  </si>
  <si>
    <t>M000362806</t>
  </si>
  <si>
    <t>RGT AIRP M000362806 08/10/2024</t>
  </si>
  <si>
    <t>82024100800184120</t>
  </si>
  <si>
    <t>22995769616</t>
  </si>
  <si>
    <t>A0004161</t>
  </si>
  <si>
    <t>SGP-PPT SARL</t>
  </si>
  <si>
    <t>M000361355</t>
  </si>
  <si>
    <t>RGT AIRP M000361355 08/10/2024</t>
  </si>
  <si>
    <t>82024100800217482</t>
  </si>
  <si>
    <t>22965917615</t>
  </si>
  <si>
    <t>A0008784</t>
  </si>
  <si>
    <t>DIVA SERVICES</t>
  </si>
  <si>
    <t>M000362607</t>
  </si>
  <si>
    <t>RGT AIRP M000362607 08/10/2024</t>
  </si>
  <si>
    <t>82024100800236315</t>
  </si>
  <si>
    <t>22995401620</t>
  </si>
  <si>
    <t>A0008562</t>
  </si>
  <si>
    <t>AHOUANVOEBLA S.Augustin</t>
  </si>
  <si>
    <t>M000362530</t>
  </si>
  <si>
    <t>RGT AIRP M000362530 08/10/2024</t>
  </si>
  <si>
    <t>82024100800251312</t>
  </si>
  <si>
    <t>A0009336</t>
  </si>
  <si>
    <t>BOGLO SATURNINE EGNONNAME</t>
  </si>
  <si>
    <t>M000362941</t>
  </si>
  <si>
    <t>RGT AIRP M000362941 08/10/2024</t>
  </si>
  <si>
    <t>82024100800498233</t>
  </si>
  <si>
    <t>22964656364</t>
  </si>
  <si>
    <t>A0003841</t>
  </si>
  <si>
    <t>JAH KOSI OBAMEJI</t>
  </si>
  <si>
    <t>M000361301</t>
  </si>
  <si>
    <t>RGT AIRP M000361301 08/10/2024</t>
  </si>
  <si>
    <t>62024100900144847</t>
  </si>
  <si>
    <t>22999483059</t>
  </si>
  <si>
    <t>A0007419</t>
  </si>
  <si>
    <t>MADI PLUS SARL</t>
  </si>
  <si>
    <t>M000362136</t>
  </si>
  <si>
    <t>RGT AIRP M000362136 09/10/2024</t>
  </si>
  <si>
    <t>62024100900417696</t>
  </si>
  <si>
    <t>22964235939</t>
  </si>
  <si>
    <t>A0007117</t>
  </si>
  <si>
    <t>PROFARMER</t>
  </si>
  <si>
    <t>M000362047</t>
  </si>
  <si>
    <t>RGT AIRP M000362047 09/10/2024</t>
  </si>
  <si>
    <t>62024100900454596</t>
  </si>
  <si>
    <t>22960376767</t>
  </si>
  <si>
    <t>A0009145</t>
  </si>
  <si>
    <t>ETS BEAUTY DRINOUSH LABEL</t>
  </si>
  <si>
    <t>M000360420</t>
  </si>
  <si>
    <t>RGT AIRP M000360420 09/10/2024</t>
  </si>
  <si>
    <t>72024100900270464</t>
  </si>
  <si>
    <t>22994644233</t>
  </si>
  <si>
    <t>A0009129</t>
  </si>
  <si>
    <t>PHARMACIE LYCEE TECHNIQUE D'AK</t>
  </si>
  <si>
    <t>M000362789</t>
  </si>
  <si>
    <t>RGT AIRP M000362789 09/10/2024</t>
  </si>
  <si>
    <t>82024100900102839</t>
  </si>
  <si>
    <t>22995140414</t>
  </si>
  <si>
    <t>A0008822</t>
  </si>
  <si>
    <t>CIET</t>
  </si>
  <si>
    <t>M000362625</t>
  </si>
  <si>
    <t>RGT AIRP M000362625 09/10/2024</t>
  </si>
  <si>
    <t>82024100900214964</t>
  </si>
  <si>
    <t>22995141912</t>
  </si>
  <si>
    <t>A0009047</t>
  </si>
  <si>
    <t>DAGBEHAMI IMMO SERVICES</t>
  </si>
  <si>
    <t>M000362753</t>
  </si>
  <si>
    <t>RGT AIRP M000362753 09/10/2024</t>
  </si>
  <si>
    <t>82024100900347898</t>
  </si>
  <si>
    <t>M000362801</t>
  </si>
  <si>
    <t>RGT AIRP M000362801 09/10/2024</t>
  </si>
  <si>
    <t>82024100900370079</t>
  </si>
  <si>
    <t>22995561907</t>
  </si>
  <si>
    <t>A0008882</t>
  </si>
  <si>
    <t>ENTREPRISE HOUNKANRIN ET FILS</t>
  </si>
  <si>
    <t>M000362655</t>
  </si>
  <si>
    <t>RGT AIRP M000362655 09/10/2024</t>
  </si>
  <si>
    <t>62024101000389990</t>
  </si>
  <si>
    <t>22994027962</t>
  </si>
  <si>
    <t>A0009228</t>
  </si>
  <si>
    <t>TOFA PRODUCTION</t>
  </si>
  <si>
    <t>M000362852</t>
  </si>
  <si>
    <t>RGT AIRP M000362852 10/10/2024</t>
  </si>
  <si>
    <t>62024101000390632</t>
  </si>
  <si>
    <t>22994906870</t>
  </si>
  <si>
    <t>A0008860</t>
  </si>
  <si>
    <t>ETS SOGNIGBE</t>
  </si>
  <si>
    <t>M000362639</t>
  </si>
  <si>
    <t>RGT AIRP M000362639 10/10/2024</t>
  </si>
  <si>
    <t>82024101000098026</t>
  </si>
  <si>
    <t>22995080808</t>
  </si>
  <si>
    <t>A0007556</t>
  </si>
  <si>
    <t>COLOMBE STAR</t>
  </si>
  <si>
    <t>M000362178</t>
  </si>
  <si>
    <t>RGT AIRP M000362178 10/10/2024</t>
  </si>
  <si>
    <t>82024101000099340</t>
  </si>
  <si>
    <t>22995015959</t>
  </si>
  <si>
    <t>M000361670</t>
  </si>
  <si>
    <t>RGT AIRP M000361670 10/10/2024</t>
  </si>
  <si>
    <t>82024101000099393</t>
  </si>
  <si>
    <t>22960899188</t>
  </si>
  <si>
    <t>A0008571</t>
  </si>
  <si>
    <t>AHOUMENOU MAHUETOUN PRUDENCE G</t>
  </si>
  <si>
    <t>M000362535</t>
  </si>
  <si>
    <t>RGT AIRP M000362535 10/10/2024</t>
  </si>
  <si>
    <t>82024101000147799</t>
  </si>
  <si>
    <t>22995231918</t>
  </si>
  <si>
    <t>A0001731</t>
  </si>
  <si>
    <t>AZ INITIATIVE</t>
  </si>
  <si>
    <t>M000360938</t>
  </si>
  <si>
    <t>RGT AIRP M000360938 10/10/2024</t>
  </si>
  <si>
    <t>82024101000175498</t>
  </si>
  <si>
    <t>M000358005</t>
  </si>
  <si>
    <t>RGT AIRP M000358005 10/10/2024</t>
  </si>
  <si>
    <t>82024101000403009</t>
  </si>
  <si>
    <t>A0009439</t>
  </si>
  <si>
    <t>SEGLA SEMASSA HOSPICE GEDEON</t>
  </si>
  <si>
    <t>M000363034</t>
  </si>
  <si>
    <t>RGT AIRP M000363034 10/10/2024</t>
  </si>
  <si>
    <t>62024101100240185</t>
  </si>
  <si>
    <t>22995094300</t>
  </si>
  <si>
    <t>A0007429</t>
  </si>
  <si>
    <t>ETS HOUEHASMENTO</t>
  </si>
  <si>
    <t>M000364528</t>
  </si>
  <si>
    <t>RGT AIRP M000364528 11/10/2024</t>
  </si>
  <si>
    <t>62024101100243378</t>
  </si>
  <si>
    <t>22963393851</t>
  </si>
  <si>
    <t>A0008280</t>
  </si>
  <si>
    <t>BIOKOU VALENTIN PAVLOVE</t>
  </si>
  <si>
    <t>M000364791</t>
  </si>
  <si>
    <t>RGT AIRP M000364791 11/10/2024</t>
  </si>
  <si>
    <t>62024101100305834</t>
  </si>
  <si>
    <t>22995459444</t>
  </si>
  <si>
    <t>A0007220</t>
  </si>
  <si>
    <t>ETS KING LOBOTEL</t>
  </si>
  <si>
    <t>M000364471</t>
  </si>
  <si>
    <t>RGT AIRP M000364471 11/10/2024</t>
  </si>
  <si>
    <t>62024101100359338</t>
  </si>
  <si>
    <t>22960484703</t>
  </si>
  <si>
    <t>A0009459</t>
  </si>
  <si>
    <t>HUNGBO LORENE FLORIANE YANIURA</t>
  </si>
  <si>
    <t>M000365372</t>
  </si>
  <si>
    <t>RGT AIRP M000365372 11/10/2024</t>
  </si>
  <si>
    <t>62024101100472079</t>
  </si>
  <si>
    <t>A0008803</t>
  </si>
  <si>
    <t>ETS YAALAHOU</t>
  </si>
  <si>
    <t>M000360224</t>
  </si>
  <si>
    <t>RGT AIRP M000360224 11/10/2024</t>
  </si>
  <si>
    <t>62024101100472425</t>
  </si>
  <si>
    <t>M000362615</t>
  </si>
  <si>
    <t>RGT AIRP M000362615 11/10/2024</t>
  </si>
  <si>
    <t>62024101100472817</t>
  </si>
  <si>
    <t>M000364983</t>
  </si>
  <si>
    <t>RGT AIRP M000364983 11/10/2024</t>
  </si>
  <si>
    <t>62024101100483832</t>
  </si>
  <si>
    <t>22999295494</t>
  </si>
  <si>
    <t>A0007147</t>
  </si>
  <si>
    <t>NOUVEL HORIZON ET COMPAGNIE</t>
  </si>
  <si>
    <t>M000362057</t>
  </si>
  <si>
    <t>RGT AIRP M000362057 11/10/2024</t>
  </si>
  <si>
    <t>62024101100513487</t>
  </si>
  <si>
    <t>22963922215</t>
  </si>
  <si>
    <t>A0006685</t>
  </si>
  <si>
    <t>ETS NEGOCE PLUS</t>
  </si>
  <si>
    <t>M000364322</t>
  </si>
  <si>
    <t>RGT AIRP M000364322 11/10/2024</t>
  </si>
  <si>
    <t>62024101100514729</t>
  </si>
  <si>
    <t>22995812473</t>
  </si>
  <si>
    <t>A0006331</t>
  </si>
  <si>
    <t>BERGES CONSULTING</t>
  </si>
  <si>
    <t>M000364216</t>
  </si>
  <si>
    <t>RGT AIRP M000364216 11/10/2024</t>
  </si>
  <si>
    <t>62024101100564597</t>
  </si>
  <si>
    <t>22995282556</t>
  </si>
  <si>
    <t>A0006627</t>
  </si>
  <si>
    <t>ETS AIHOUNKPE ET FILS</t>
  </si>
  <si>
    <t>M000361912</t>
  </si>
  <si>
    <t>RGT AIRP M000361912 11/10/2024</t>
  </si>
  <si>
    <t>62024101100687277</t>
  </si>
  <si>
    <t>22995457799</t>
  </si>
  <si>
    <t>A0009358</t>
  </si>
  <si>
    <t>FAD ET FILS MULTI SERVICES</t>
  </si>
  <si>
    <t>M000365298</t>
  </si>
  <si>
    <t>RGT AIRP M000365298 11/10/2024</t>
  </si>
  <si>
    <t>72024101100073906</t>
  </si>
  <si>
    <t>22995216075</t>
  </si>
  <si>
    <t>A0005048</t>
  </si>
  <si>
    <t>INTER SOFT SERVICE</t>
  </si>
  <si>
    <t>M000361517</t>
  </si>
  <si>
    <t>RGT AIRP M000361517 11/10/2024</t>
  </si>
  <si>
    <t>72024101100191702</t>
  </si>
  <si>
    <t>22963427815</t>
  </si>
  <si>
    <t>A0007427</t>
  </si>
  <si>
    <t>PHARMACIE GRATIAS MINONTCHOU</t>
  </si>
  <si>
    <t>M000364527</t>
  </si>
  <si>
    <t>RGT AIRP M000364527 11/10/2024</t>
  </si>
  <si>
    <t>72024101100214091</t>
  </si>
  <si>
    <t>22995358429</t>
  </si>
  <si>
    <t>A0005720</t>
  </si>
  <si>
    <t>OGO-OLUWA GROUP SARL</t>
  </si>
  <si>
    <t>M000364079</t>
  </si>
  <si>
    <t>RGT AIRP M000364079 11/10/2024</t>
  </si>
  <si>
    <t>82024101100170240</t>
  </si>
  <si>
    <t>M000363711</t>
  </si>
  <si>
    <t>RGT AIRP M000363711 11/10/2024</t>
  </si>
  <si>
    <t>82024101100190376</t>
  </si>
  <si>
    <t>22994716969</t>
  </si>
  <si>
    <t>A0004418</t>
  </si>
  <si>
    <t>ETS TODEME ET FILS</t>
  </si>
  <si>
    <t>M000363807</t>
  </si>
  <si>
    <t>RGT AIRP M000363807 11/10/2024</t>
  </si>
  <si>
    <t>82024101100266779</t>
  </si>
  <si>
    <t>22995810935</t>
  </si>
  <si>
    <t>A0006941</t>
  </si>
  <si>
    <t>SOGBEDJI AFIWA BLANCHE</t>
  </si>
  <si>
    <t>M000364399</t>
  </si>
  <si>
    <t>RGT AIRP M000364399 11/10/2024</t>
  </si>
  <si>
    <t>82024101100374204</t>
  </si>
  <si>
    <t>22994261779</t>
  </si>
  <si>
    <t>A0005730</t>
  </si>
  <si>
    <t>WORLD HOUSE</t>
  </si>
  <si>
    <t>M000361682</t>
  </si>
  <si>
    <t>RGT AIRP M000361682 11/10/2024</t>
  </si>
  <si>
    <t>82024101100536920</t>
  </si>
  <si>
    <t>22995777942</t>
  </si>
  <si>
    <t>A0005716</t>
  </si>
  <si>
    <t>PHCIE ST STEVE  SARL</t>
  </si>
  <si>
    <t>M000361676</t>
  </si>
  <si>
    <t>RGT AIRP M000361676 11/10/2024</t>
  </si>
  <si>
    <t>62024101200032855</t>
  </si>
  <si>
    <t>22995680145</t>
  </si>
  <si>
    <t>A0009018</t>
  </si>
  <si>
    <t>DONGBETO HERMANE</t>
  </si>
  <si>
    <t>M000365097</t>
  </si>
  <si>
    <t>RGT AIRP M000365097 12/10/2024</t>
  </si>
  <si>
    <t>62024101200197598</t>
  </si>
  <si>
    <t>22995005331</t>
  </si>
  <si>
    <t>A0008395</t>
  </si>
  <si>
    <t>HOUEMAR ET FILS</t>
  </si>
  <si>
    <t>M000364836</t>
  </si>
  <si>
    <t>RGT AIRP M000364836 12/10/2024</t>
  </si>
  <si>
    <t>62024101200320456</t>
  </si>
  <si>
    <t>22945656525</t>
  </si>
  <si>
    <t>A0009227</t>
  </si>
  <si>
    <t>LES DELICES DE LA TERRE PROMIS</t>
  </si>
  <si>
    <t>M000360480</t>
  </si>
  <si>
    <t>RGT AIRP M000360480 12/10/2024</t>
  </si>
  <si>
    <t>62024101200388314</t>
  </si>
  <si>
    <t>22995404745</t>
  </si>
  <si>
    <t>A0003457</t>
  </si>
  <si>
    <t>FONDATION REGARD D'AMOUR</t>
  </si>
  <si>
    <t>M000363624</t>
  </si>
  <si>
    <t>RGT AIRP M000363624 12/10/2024</t>
  </si>
  <si>
    <t>62024101200439188</t>
  </si>
  <si>
    <t>22998003377</t>
  </si>
  <si>
    <t>A0008413</t>
  </si>
  <si>
    <t>2EI SARL</t>
  </si>
  <si>
    <t>M000364842</t>
  </si>
  <si>
    <t>RGT AIRP M000364842 12/10/2024</t>
  </si>
  <si>
    <t>62024101200663676</t>
  </si>
  <si>
    <t>22968612867</t>
  </si>
  <si>
    <t>A0007872</t>
  </si>
  <si>
    <t>ALBERT LEGRAND</t>
  </si>
  <si>
    <t>M000364654</t>
  </si>
  <si>
    <t>RGT AIRP M000364654 12/10/2024</t>
  </si>
  <si>
    <t>72024101200063662</t>
  </si>
  <si>
    <t>A0006256</t>
  </si>
  <si>
    <t>HELIOS SECURITESERVICES SARL</t>
  </si>
  <si>
    <t>M000361801</t>
  </si>
  <si>
    <t>RGT AIRP M000361801 12/10/2024</t>
  </si>
  <si>
    <t>72024101200106249</t>
  </si>
  <si>
    <t>22995888339</t>
  </si>
  <si>
    <t>A0006885</t>
  </si>
  <si>
    <t>3G TECHNOLOGIES</t>
  </si>
  <si>
    <t>M000364385</t>
  </si>
  <si>
    <t>RGT AIRP M000364385 12/10/2024</t>
  </si>
  <si>
    <t>82024101200070774</t>
  </si>
  <si>
    <t>22995344742</t>
  </si>
  <si>
    <t>A0004630</t>
  </si>
  <si>
    <t>ZINSOU  YVES  MIGAN</t>
  </si>
  <si>
    <t>M000363851</t>
  </si>
  <si>
    <t>RGT AIRP M000363851 12/10/2024</t>
  </si>
  <si>
    <t>82024101200112727</t>
  </si>
  <si>
    <t>22964861215</t>
  </si>
  <si>
    <t>A0008879</t>
  </si>
  <si>
    <t>SIGED PEACE SARL</t>
  </si>
  <si>
    <t>M000365018</t>
  </si>
  <si>
    <t>RGT AIRP M000365018 12/10/2024</t>
  </si>
  <si>
    <t>72024101300086620</t>
  </si>
  <si>
    <t>22964133465</t>
  </si>
  <si>
    <t>A0006950</t>
  </si>
  <si>
    <t>TOUDONOU TOYEME SERGE</t>
  </si>
  <si>
    <t>M000362007</t>
  </si>
  <si>
    <t>RGT AIRP M000362007 13/10/2024</t>
  </si>
  <si>
    <t>62024101400007536</t>
  </si>
  <si>
    <t>22995858475</t>
  </si>
  <si>
    <t>A0007622</t>
  </si>
  <si>
    <t>ONG BONTE UNIVERSELLE</t>
  </si>
  <si>
    <t>M000364586</t>
  </si>
  <si>
    <t>RGT AIRP M000364586 14/10/2024</t>
  </si>
  <si>
    <t>62024101400152882</t>
  </si>
  <si>
    <t>22994524080</t>
  </si>
  <si>
    <t>A0008678</t>
  </si>
  <si>
    <t>KOUVEGLO BERENGERE IRENE</t>
  </si>
  <si>
    <t>M000362572</t>
  </si>
  <si>
    <t>RGT AIRP M000362572 14/10/2024</t>
  </si>
  <si>
    <t>62024101400162326</t>
  </si>
  <si>
    <t>22995052437</t>
  </si>
  <si>
    <t>A0005016</t>
  </si>
  <si>
    <t>GARAGE DU MILLENAIRE</t>
  </si>
  <si>
    <t>M000359088</t>
  </si>
  <si>
    <t>RGT AIRP M000359088 14/10/2024</t>
  </si>
  <si>
    <t>62024101400249986</t>
  </si>
  <si>
    <t>22995800265</t>
  </si>
  <si>
    <t>A0008556</t>
  </si>
  <si>
    <t>MANDIANA BTP</t>
  </si>
  <si>
    <t>M000364901</t>
  </si>
  <si>
    <t>RGT AIRP M000364901 14/10/2024</t>
  </si>
  <si>
    <t>62024101400348761</t>
  </si>
  <si>
    <t>22994053062</t>
  </si>
  <si>
    <t>A0009241</t>
  </si>
  <si>
    <t>COGEMAP BENIN SARL</t>
  </si>
  <si>
    <t>M000365214</t>
  </si>
  <si>
    <t>RGT AIRP M000365214 14/10/2024</t>
  </si>
  <si>
    <t>62024101400389223</t>
  </si>
  <si>
    <t>22968203202</t>
  </si>
  <si>
    <t>A0008093</t>
  </si>
  <si>
    <t>HOUNKPONOU R. K.BENEDICTA</t>
  </si>
  <si>
    <t>M000364717</t>
  </si>
  <si>
    <t>RGT AIRP M000364717 14/10/2024</t>
  </si>
  <si>
    <t>62024101400400155</t>
  </si>
  <si>
    <t>22995527700</t>
  </si>
  <si>
    <t>A0008055</t>
  </si>
  <si>
    <t>PHARMACIE REHOBOTH P</t>
  </si>
  <si>
    <t>M000364701</t>
  </si>
  <si>
    <t>RGT AIRP M000364701 14/10/2024</t>
  </si>
  <si>
    <t>62024101400448466</t>
  </si>
  <si>
    <t>22995998915</t>
  </si>
  <si>
    <t>M000363541</t>
  </si>
  <si>
    <t>RGT AIRP M000363541 14/10/2024</t>
  </si>
  <si>
    <t>62024101400481820</t>
  </si>
  <si>
    <t>22995753379</t>
  </si>
  <si>
    <t>A0003355</t>
  </si>
  <si>
    <t>TAILOVE</t>
  </si>
  <si>
    <t>M000363600</t>
  </si>
  <si>
    <t>RGT AIRP M000363600 14/10/2024</t>
  </si>
  <si>
    <t>62024101400643774</t>
  </si>
  <si>
    <t>22995317576</t>
  </si>
  <si>
    <t>A0003296</t>
  </si>
  <si>
    <t>ETS LOUANGE GLOIRE</t>
  </si>
  <si>
    <t>M000363587</t>
  </si>
  <si>
    <t>RGT AIRP M000363587 14/10/2024</t>
  </si>
  <si>
    <t>82024101400085082</t>
  </si>
  <si>
    <t>M000365062</t>
  </si>
  <si>
    <t>RGT AIRP M000365062 14/10/2024</t>
  </si>
  <si>
    <t>82024101400105283</t>
  </si>
  <si>
    <t>22968922881</t>
  </si>
  <si>
    <t>M000362135</t>
  </si>
  <si>
    <t>RGT AIRP M000362135 14/10/2024</t>
  </si>
  <si>
    <t>82024101400128386</t>
  </si>
  <si>
    <t>M000361512</t>
  </si>
  <si>
    <t>RGT AIRP M000361512 14/10/2024</t>
  </si>
  <si>
    <t>82024101400128834</t>
  </si>
  <si>
    <t>22998147431</t>
  </si>
  <si>
    <t>A0005414</t>
  </si>
  <si>
    <t>CHRIOS HOUSE</t>
  </si>
  <si>
    <t>M000363996</t>
  </si>
  <si>
    <t>RGT AIRP M000363996 14/10/2024</t>
  </si>
  <si>
    <t>82024101400302096</t>
  </si>
  <si>
    <t>22964424242</t>
  </si>
  <si>
    <t>A0009277</t>
  </si>
  <si>
    <t>AHOUANMENOU AIDA I. IFEYEMI</t>
  </si>
  <si>
    <t>M000365238</t>
  </si>
  <si>
    <t>RGT AIRP M000365238 14/10/2024</t>
  </si>
  <si>
    <t>82024101400303122</t>
  </si>
  <si>
    <t>22968686666</t>
  </si>
  <si>
    <t>M000364660</t>
  </si>
  <si>
    <t>RGT AIRP M000364660 14/10/2024</t>
  </si>
  <si>
    <t>62024101500122140</t>
  </si>
  <si>
    <t>22995473548</t>
  </si>
  <si>
    <t>M000362262</t>
  </si>
  <si>
    <t>RGT AIRP M000362262 15/10/2024</t>
  </si>
  <si>
    <t>62024101500292206</t>
  </si>
  <si>
    <t>M000364824</t>
  </si>
  <si>
    <t>RGT AIRP M000364824 15/10/2024</t>
  </si>
  <si>
    <t>62024101500303480</t>
  </si>
  <si>
    <t>A0009415</t>
  </si>
  <si>
    <t>SALON 365</t>
  </si>
  <si>
    <t>M000365333</t>
  </si>
  <si>
    <t>RGT AIRP M000365333 15/10/2024</t>
  </si>
  <si>
    <t>62024101500372276</t>
  </si>
  <si>
    <t>22995098808</t>
  </si>
  <si>
    <t>A0009494</t>
  </si>
  <si>
    <t>GETRAB</t>
  </si>
  <si>
    <t>M000365400</t>
  </si>
  <si>
    <t>RGT AIRP M000365400 15/10/2024</t>
  </si>
  <si>
    <t>62024101500404852</t>
  </si>
  <si>
    <t>22995617916</t>
  </si>
  <si>
    <t>A0007792</t>
  </si>
  <si>
    <t>PHARMACIE SAHOUE</t>
  </si>
  <si>
    <t>M000364629</t>
  </si>
  <si>
    <t>RGT AIRP M000364629 15/10/2024</t>
  </si>
  <si>
    <t>62024101500600792</t>
  </si>
  <si>
    <t>22998922009</t>
  </si>
  <si>
    <t>A0008786</t>
  </si>
  <si>
    <t>GETA-RA SARL</t>
  </si>
  <si>
    <t>M000364977</t>
  </si>
  <si>
    <t>RGT AIRP M000364977 15/10/2024</t>
  </si>
  <si>
    <t>72024101500007586</t>
  </si>
  <si>
    <t>22998196774</t>
  </si>
  <si>
    <t>M000363695</t>
  </si>
  <si>
    <t>RGT AIRP M000363695 15/10/2024</t>
  </si>
  <si>
    <t>72024101500081784</t>
  </si>
  <si>
    <t>M000365048</t>
  </si>
  <si>
    <t>RGT AIRP M000365048 15/10/2024</t>
  </si>
  <si>
    <t>72024101500158577</t>
  </si>
  <si>
    <t>22995864005</t>
  </si>
  <si>
    <t>A0004957</t>
  </si>
  <si>
    <t>SOSSOUKPE JEAN BAPTISTE</t>
  </si>
  <si>
    <t>M000363906</t>
  </si>
  <si>
    <t>RGT AIRP M000363906 15/10/2024</t>
  </si>
  <si>
    <t>72024101500187492</t>
  </si>
  <si>
    <t>M000363863</t>
  </si>
  <si>
    <t>RGT AIRP M000363863 15/10/2024</t>
  </si>
  <si>
    <t>72024101500204877</t>
  </si>
  <si>
    <t>22945005555</t>
  </si>
  <si>
    <t>A0008960</t>
  </si>
  <si>
    <t>OUAFI  MOHAMMED EL-AMINE</t>
  </si>
  <si>
    <t>M000365063</t>
  </si>
  <si>
    <t>RGT AIRP M000365063 15/10/2024</t>
  </si>
  <si>
    <t>82024101500044554</t>
  </si>
  <si>
    <t>22994300157</t>
  </si>
  <si>
    <t>A0006524</t>
  </si>
  <si>
    <t>LYTE GROUPE</t>
  </si>
  <si>
    <t>M000364284</t>
  </si>
  <si>
    <t>RGT AIRP M000364284 15/10/2024</t>
  </si>
  <si>
    <t>82024101500084923</t>
  </si>
  <si>
    <t>22964249797</t>
  </si>
  <si>
    <t>A0007199</t>
  </si>
  <si>
    <t>VIEYRA ISAURA GRACIA EYITAYO</t>
  </si>
  <si>
    <t>M000364463</t>
  </si>
  <si>
    <t>RGT AIRP M000364463 15/10/2024</t>
  </si>
  <si>
    <t>82024101500085021</t>
  </si>
  <si>
    <t>22995799278</t>
  </si>
  <si>
    <t>A0005035</t>
  </si>
  <si>
    <t>SAINTE PHILOMENE</t>
  </si>
  <si>
    <t>M000363917</t>
  </si>
  <si>
    <t>RGT AIRP M000363917 15/10/2024</t>
  </si>
  <si>
    <t>82024101500097334</t>
  </si>
  <si>
    <t>M000363602</t>
  </si>
  <si>
    <t>RGT AIRP M000363602 15/10/2024</t>
  </si>
  <si>
    <t>82024101500168515</t>
  </si>
  <si>
    <t>22995810376</t>
  </si>
  <si>
    <t>A0009052</t>
  </si>
  <si>
    <t>LALY HOUETE LIONEL</t>
  </si>
  <si>
    <t>M000365118</t>
  </si>
  <si>
    <t>RGT AIRP M000365118 15/10/2024</t>
  </si>
  <si>
    <t>82024101500177141</t>
  </si>
  <si>
    <t>22994602929</t>
  </si>
  <si>
    <t>M000364523</t>
  </si>
  <si>
    <t>RGT AIRP M000364523 15/10/2024</t>
  </si>
  <si>
    <t>82024101500190374</t>
  </si>
  <si>
    <t>22995249554</t>
  </si>
  <si>
    <t>A0008031</t>
  </si>
  <si>
    <t>JEUNES DYNAMIQUES</t>
  </si>
  <si>
    <t>M000364690</t>
  </si>
  <si>
    <t>RGT AIRP M000364690 15/10/2024</t>
  </si>
  <si>
    <t>82024101500257168</t>
  </si>
  <si>
    <t>M000363012</t>
  </si>
  <si>
    <t>RGT AIRP M000363012 15/10/2024</t>
  </si>
  <si>
    <t>82024101500257816</t>
  </si>
  <si>
    <t>M000360653</t>
  </si>
  <si>
    <t>RGT AIRP M000360653 15/10/2024</t>
  </si>
  <si>
    <t>82024101500432325</t>
  </si>
  <si>
    <t>22995150194</t>
  </si>
  <si>
    <t>A0007726</t>
  </si>
  <si>
    <t>PHARMACIE RENOUVEAU SAR</t>
  </si>
  <si>
    <t>M000364616</t>
  </si>
  <si>
    <t>RGT AIRP M000364616 15/10/2024</t>
  </si>
  <si>
    <t>62024101600007800</t>
  </si>
  <si>
    <t>22995050983</t>
  </si>
  <si>
    <t>A0003966</t>
  </si>
  <si>
    <t>ETS SESSI AGT PLUS</t>
  </si>
  <si>
    <t>M000361320</t>
  </si>
  <si>
    <t>RGT AIRP M000361320 16/10/2024</t>
  </si>
  <si>
    <t>62024101600057914</t>
  </si>
  <si>
    <t>22955551213</t>
  </si>
  <si>
    <t>A0009579</t>
  </si>
  <si>
    <t>GNONLONFOUN TOUKPON SEM ENOCK</t>
  </si>
  <si>
    <t>M000365469</t>
  </si>
  <si>
    <t>RGT AIRP M000365469 16/10/2024</t>
  </si>
  <si>
    <t>62024101600099998</t>
  </si>
  <si>
    <t>22945756115</t>
  </si>
  <si>
    <t>A0009307</t>
  </si>
  <si>
    <t>PORTEO BTP BENIN SA/INA LOGEME</t>
  </si>
  <si>
    <t>M000365259</t>
  </si>
  <si>
    <t>RGT AIRP M000365259 16/10/2024</t>
  </si>
  <si>
    <t>62024101600109904</t>
  </si>
  <si>
    <t>22995506702</t>
  </si>
  <si>
    <t>A0001849</t>
  </si>
  <si>
    <t>BETHANIE</t>
  </si>
  <si>
    <t>M000360945</t>
  </si>
  <si>
    <t>RGT AIRP M000360945 16/10/2024</t>
  </si>
  <si>
    <t>62024101600146235</t>
  </si>
  <si>
    <t>M000361122</t>
  </si>
  <si>
    <t>RGT AIRP M000361122 16/10/2024</t>
  </si>
  <si>
    <t>62024101600147740</t>
  </si>
  <si>
    <t>22995296046</t>
  </si>
  <si>
    <t>A0008370</t>
  </si>
  <si>
    <t>LE METALLIQUE</t>
  </si>
  <si>
    <t>M000364825</t>
  </si>
  <si>
    <t>RGT AIRP M000364825 16/10/2024</t>
  </si>
  <si>
    <t>62024101600161945</t>
  </si>
  <si>
    <t>22999525292</t>
  </si>
  <si>
    <t>A0006933</t>
  </si>
  <si>
    <t>AVADO COCOU LAURENT</t>
  </si>
  <si>
    <t>M000364396</t>
  </si>
  <si>
    <t>RGT AIRP M000364396 16/10/2024</t>
  </si>
  <si>
    <t>62024101600193651</t>
  </si>
  <si>
    <t>M000365421</t>
  </si>
  <si>
    <t>RGT AIRP M000365421 16/10/2024</t>
  </si>
  <si>
    <t>62024101600213960</t>
  </si>
  <si>
    <t>A0007162</t>
  </si>
  <si>
    <t>ADJAHUIME OZIAS BIDOTOSSI/CLE</t>
  </si>
  <si>
    <t>M000362059</t>
  </si>
  <si>
    <t>RGT AIRP M000362059 16/10/2024</t>
  </si>
  <si>
    <t>62024101600214789</t>
  </si>
  <si>
    <t>A0007404</t>
  </si>
  <si>
    <t>EL_HADJ ABOUBACARI MAMAN IBRAH</t>
  </si>
  <si>
    <t>M000362129</t>
  </si>
  <si>
    <t>RGT AIRP M000362129 16/10/2024</t>
  </si>
  <si>
    <t>62024101600215586</t>
  </si>
  <si>
    <t>A0007879</t>
  </si>
  <si>
    <t>VIGNINOU FLORIMOND FENOU R. L</t>
  </si>
  <si>
    <t>M000362274</t>
  </si>
  <si>
    <t>RGT AIRP M000362274 16/10/2024</t>
  </si>
  <si>
    <t>62024101600219042</t>
  </si>
  <si>
    <t>M000362068</t>
  </si>
  <si>
    <t>RGT AIRP M000362068 16/10/2024</t>
  </si>
  <si>
    <t>62024101600231381</t>
  </si>
  <si>
    <t>22995013176</t>
  </si>
  <si>
    <t>A0006206</t>
  </si>
  <si>
    <t>KGZ SARL</t>
  </si>
  <si>
    <t>M000361790</t>
  </si>
  <si>
    <t>RGT AIRP M000361790 16/10/2024</t>
  </si>
  <si>
    <t>62024101600233525</t>
  </si>
  <si>
    <t>M000362172</t>
  </si>
  <si>
    <t>RGT AIRP M000362172 16/10/2024</t>
  </si>
  <si>
    <t>62024101600297949</t>
  </si>
  <si>
    <t>A0009226</t>
  </si>
  <si>
    <t>AGI ET FILS SARL</t>
  </si>
  <si>
    <t>M000362850</t>
  </si>
  <si>
    <t>RGT AIRP M000362850 16/10/2024</t>
  </si>
  <si>
    <t>62024101600301376</t>
  </si>
  <si>
    <t>M000362370</t>
  </si>
  <si>
    <t>RGT AIRP M000362370 16/10/2024</t>
  </si>
  <si>
    <t>62024101600302712</t>
  </si>
  <si>
    <t>M000362477</t>
  </si>
  <si>
    <t>RGT AIRP M000362477 16/10/2024</t>
  </si>
  <si>
    <t>62024101600305154</t>
  </si>
  <si>
    <t>M000362577</t>
  </si>
  <si>
    <t>RGT AIRP M000362577 16/10/2024</t>
  </si>
  <si>
    <t>62024101600305561</t>
  </si>
  <si>
    <t>M000362666</t>
  </si>
  <si>
    <t>RGT AIRP M000362666 16/10/2024</t>
  </si>
  <si>
    <t>62024101600313327</t>
  </si>
  <si>
    <t>22955268484</t>
  </si>
  <si>
    <t>A0008914</t>
  </si>
  <si>
    <t>KISSIRA MAURAT EPSE FALADE JAM</t>
  </si>
  <si>
    <t>M000365035</t>
  </si>
  <si>
    <t>RGT AIRP M000365035 16/10/2024</t>
  </si>
  <si>
    <t>62024101600319717</t>
  </si>
  <si>
    <t>A0008877</t>
  </si>
  <si>
    <t>SIA N'SON ONG / UNICEF KBK</t>
  </si>
  <si>
    <t>M000362651</t>
  </si>
  <si>
    <t>RGT AIRP M000362651 16/10/2024</t>
  </si>
  <si>
    <t>62024101600393409</t>
  </si>
  <si>
    <t>A0009168</t>
  </si>
  <si>
    <t>HOUNDAGBA LOVE GEOFFROY</t>
  </si>
  <si>
    <t>M000365174</t>
  </si>
  <si>
    <t>RGT AIRP M000365174 16/10/2024</t>
  </si>
  <si>
    <t>62024101600439138</t>
  </si>
  <si>
    <t>22995085564</t>
  </si>
  <si>
    <t>A0009321</t>
  </si>
  <si>
    <t>GODONOU AMOS</t>
  </si>
  <si>
    <t>M000362926</t>
  </si>
  <si>
    <t>RGT AIRP M000362926 16/10/2024</t>
  </si>
  <si>
    <t>62024101600500339</t>
  </si>
  <si>
    <t>22964270791</t>
  </si>
  <si>
    <t>A0006376</t>
  </si>
  <si>
    <t>CABINET MAITRE EDWIGE ALINE OD</t>
  </si>
  <si>
    <t>M000364236</t>
  </si>
  <si>
    <t>RGT AIRP M000364236 16/10/2024</t>
  </si>
  <si>
    <t>72024101600118190</t>
  </si>
  <si>
    <t>A0007067</t>
  </si>
  <si>
    <t>KPOTA MATHILDE M.</t>
  </si>
  <si>
    <t>M000362039</t>
  </si>
  <si>
    <t>RGT AIRP M000362039 16/10/2024</t>
  </si>
  <si>
    <t>72024101600127139</t>
  </si>
  <si>
    <t>A0007073</t>
  </si>
  <si>
    <t>YOROU &amp; FRERE(E.YO.F)</t>
  </si>
  <si>
    <t>M000362041</t>
  </si>
  <si>
    <t>RGT AIRP M000362041 16/10/2024</t>
  </si>
  <si>
    <t>72024101600163933</t>
  </si>
  <si>
    <t>A0008375</t>
  </si>
  <si>
    <t>ETS NEKO</t>
  </si>
  <si>
    <t>M000362450</t>
  </si>
  <si>
    <t>RGT AIRP M000362450 16/10/2024</t>
  </si>
  <si>
    <t>72024101600166454</t>
  </si>
  <si>
    <t>M000362576</t>
  </si>
  <si>
    <t>RGT AIRP M000362576 16/10/2024</t>
  </si>
  <si>
    <t>72024101600169966</t>
  </si>
  <si>
    <t>22955143737</t>
  </si>
  <si>
    <t>A0008652</t>
  </si>
  <si>
    <t>EDUPASS</t>
  </si>
  <si>
    <t>M000364936</t>
  </si>
  <si>
    <t>RGT AIRP M000364936 16/10/2024</t>
  </si>
  <si>
    <t>72024101600202676</t>
  </si>
  <si>
    <t>22945299112</t>
  </si>
  <si>
    <t>M000364747</t>
  </si>
  <si>
    <t>RGT AIRP M000364747 16/10/2024</t>
  </si>
  <si>
    <t>72024101600211461</t>
  </si>
  <si>
    <t>22995962614</t>
  </si>
  <si>
    <t>A0003599</t>
  </si>
  <si>
    <t>SOCIETE PEPINO</t>
  </si>
  <si>
    <t>M000363660</t>
  </si>
  <si>
    <t>RGT AIRP M000363660 16/10/2024</t>
  </si>
  <si>
    <t>72024101600241629</t>
  </si>
  <si>
    <t>22995856979</t>
  </si>
  <si>
    <t>A0004652</t>
  </si>
  <si>
    <t>CLINIQUE ST PIERRE ALLADA</t>
  </si>
  <si>
    <t>M000363852</t>
  </si>
  <si>
    <t>RGT AIRP M000363852 16/10/2024</t>
  </si>
  <si>
    <t>72024101600245211</t>
  </si>
  <si>
    <t>22958838915</t>
  </si>
  <si>
    <t>A0007426</t>
  </si>
  <si>
    <t>CLINIQUE DIVINE MISERICORDE</t>
  </si>
  <si>
    <t>M000362137</t>
  </si>
  <si>
    <t>RGT AIRP M000362137 16/10/2024</t>
  </si>
  <si>
    <t>82024101600007500</t>
  </si>
  <si>
    <t>22995145331</t>
  </si>
  <si>
    <t>A0008927</t>
  </si>
  <si>
    <t>NONONSI ET FILS</t>
  </si>
  <si>
    <t>M000365040</t>
  </si>
  <si>
    <t>RGT AIRP M000365040 16/10/2024</t>
  </si>
  <si>
    <t>82024101600127046</t>
  </si>
  <si>
    <t>A0006333</t>
  </si>
  <si>
    <t>GANDEBAGNI KOCOU PRUDENCE</t>
  </si>
  <si>
    <t>M000364217</t>
  </si>
  <si>
    <t>RGT AIRP M000364217 16/10/2024</t>
  </si>
  <si>
    <t>82024101600166777</t>
  </si>
  <si>
    <t>A0007072</t>
  </si>
  <si>
    <t>ASE_ONG</t>
  </si>
  <si>
    <t>M000362040</t>
  </si>
  <si>
    <t>RGT AIRP M000362040 16/10/2024</t>
  </si>
  <si>
    <t>82024101600175260</t>
  </si>
  <si>
    <t>A0009136</t>
  </si>
  <si>
    <t>PLOMBERIE LA MAIN DE DIEU  ET</t>
  </si>
  <si>
    <t>M000362794</t>
  </si>
  <si>
    <t>RGT AIRP M000362794 16/10/2024</t>
  </si>
  <si>
    <t>82024101600179014</t>
  </si>
  <si>
    <t>22994425025</t>
  </si>
  <si>
    <t>A0009504</t>
  </si>
  <si>
    <t>SETAMF ENGINEERING SARL</t>
  </si>
  <si>
    <t>M000365409</t>
  </si>
  <si>
    <t>RGT AIRP M000365409 16/10/2024</t>
  </si>
  <si>
    <t>82024101600204044</t>
  </si>
  <si>
    <t>M000363921</t>
  </si>
  <si>
    <t>RGT AIRP M000363921 16/10/2024</t>
  </si>
  <si>
    <t>82024101600218418</t>
  </si>
  <si>
    <t>22965690047</t>
  </si>
  <si>
    <t>A0006355</t>
  </si>
  <si>
    <t>CREDD BENIN SARL</t>
  </si>
  <si>
    <t>M000364225</t>
  </si>
  <si>
    <t>RGT AIRP M000364225 16/10/2024</t>
  </si>
  <si>
    <t>82024101600231137</t>
  </si>
  <si>
    <t>M000361997</t>
  </si>
  <si>
    <t>RGT AIRP M000361997 16/10/2024</t>
  </si>
  <si>
    <t>82024101600232904</t>
  </si>
  <si>
    <t>M000362524</t>
  </si>
  <si>
    <t>RGT AIRP M000362524 16/10/2024</t>
  </si>
  <si>
    <t>82024101600233538</t>
  </si>
  <si>
    <t>M000362575</t>
  </si>
  <si>
    <t>RGT AIRP M000362575 16/10/2024</t>
  </si>
  <si>
    <t>82024101600337837</t>
  </si>
  <si>
    <t>22995713357</t>
  </si>
  <si>
    <t>A0004146</t>
  </si>
  <si>
    <t>NOUDJIHOU</t>
  </si>
  <si>
    <t>M000363760</t>
  </si>
  <si>
    <t>RGT AIRP M000363760 16/10/2024</t>
  </si>
  <si>
    <t>82024101600379394</t>
  </si>
  <si>
    <t>22999196353</t>
  </si>
  <si>
    <t>A0007608</t>
  </si>
  <si>
    <t>AFRICA TALENT</t>
  </si>
  <si>
    <t>M000364583</t>
  </si>
  <si>
    <t>RGT AIRP M000364583 16/10/2024</t>
  </si>
  <si>
    <t>82024101600384556</t>
  </si>
  <si>
    <t>M000362196</t>
  </si>
  <si>
    <t>RGT AIRP M000362196 16/10/2024</t>
  </si>
  <si>
    <t>82024101600412678</t>
  </si>
  <si>
    <t>M000359787</t>
  </si>
  <si>
    <t>RGT AIRP M000359787 16/10/2024</t>
  </si>
  <si>
    <t>82024101600413479</t>
  </si>
  <si>
    <t>22960495365</t>
  </si>
  <si>
    <t>A0009180</t>
  </si>
  <si>
    <t>GOYITO FREDDY SIONNEAU CYVELLE</t>
  </si>
  <si>
    <t>M000365180</t>
  </si>
  <si>
    <t>RGT AIRP M000365180 16/10/2024</t>
  </si>
  <si>
    <t>82024101600444239</t>
  </si>
  <si>
    <t>22994002829</t>
  </si>
  <si>
    <t>A0009303</t>
  </si>
  <si>
    <t>OLASON</t>
  </si>
  <si>
    <t>M000365257</t>
  </si>
  <si>
    <t>RGT AIRP M000365257 16/10/2024</t>
  </si>
  <si>
    <t>62024101700117921</t>
  </si>
  <si>
    <t>22960092909</t>
  </si>
  <si>
    <t>A0009276</t>
  </si>
  <si>
    <t>AMOUPAT</t>
  </si>
  <si>
    <t>M000365237</t>
  </si>
  <si>
    <t>RGT AIRP M000365237 17/10/2024</t>
  </si>
  <si>
    <t>62024101700297435</t>
  </si>
  <si>
    <t>22994298928</t>
  </si>
  <si>
    <t>A0008504</t>
  </si>
  <si>
    <t>LE TRAITEUR</t>
  </si>
  <si>
    <t>M000364886</t>
  </si>
  <si>
    <t>RGT AIRP M000364886 17/10/2024</t>
  </si>
  <si>
    <t>62024101700302949</t>
  </si>
  <si>
    <t>M000364339</t>
  </si>
  <si>
    <t>RGT AIRP M000364339 17/10/2024</t>
  </si>
  <si>
    <t>62024101700349363</t>
  </si>
  <si>
    <t>22960899965</t>
  </si>
  <si>
    <t>A0009306</t>
  </si>
  <si>
    <t>FADONOUGBO LUCRESSE OBIEGE</t>
  </si>
  <si>
    <t>M000360551</t>
  </si>
  <si>
    <t>RGT AIRP M000360551 17/10/2024</t>
  </si>
  <si>
    <t>62024101700424997</t>
  </si>
  <si>
    <t>M000363789</t>
  </si>
  <si>
    <t>RGT AIRP M000363789 17/10/2024</t>
  </si>
  <si>
    <t>62024101700470547</t>
  </si>
  <si>
    <t>22958967548</t>
  </si>
  <si>
    <t>A0005006</t>
  </si>
  <si>
    <t>HOUNDALOHOU JOSEPHINE D.</t>
  </si>
  <si>
    <t>M000363912</t>
  </si>
  <si>
    <t>RGT AIRP M000363912 17/10/2024</t>
  </si>
  <si>
    <t>62024101700607437</t>
  </si>
  <si>
    <t>22958116419</t>
  </si>
  <si>
    <t>A0009549</t>
  </si>
  <si>
    <t>THAMSOR LARICE BRAVASKY HARDY</t>
  </si>
  <si>
    <t>M000365445</t>
  </si>
  <si>
    <t>RGT AIRP M000365445 17/10/2024</t>
  </si>
  <si>
    <t>72024101700064996</t>
  </si>
  <si>
    <t>M000361354</t>
  </si>
  <si>
    <t>RGT AIRP M000361354 17/10/2024</t>
  </si>
  <si>
    <t>72024101700102405</t>
  </si>
  <si>
    <t>22995381453</t>
  </si>
  <si>
    <t>A0007525</t>
  </si>
  <si>
    <t>PHCIE ST RAPHAEL DU NOUVEAU PO</t>
  </si>
  <si>
    <t>M000364558</t>
  </si>
  <si>
    <t>RGT AIRP M000364558 17/10/2024</t>
  </si>
  <si>
    <t>72024101700135963</t>
  </si>
  <si>
    <t>M000363993</t>
  </si>
  <si>
    <t>RGT AIRP M000363993 17/10/2024</t>
  </si>
  <si>
    <t>72024101700152639</t>
  </si>
  <si>
    <t>22994031499</t>
  </si>
  <si>
    <t>A0007121</t>
  </si>
  <si>
    <t>PREMUS BENIN</t>
  </si>
  <si>
    <t>M000364443</t>
  </si>
  <si>
    <t>RGT AIRP M000364443 17/10/2024</t>
  </si>
  <si>
    <t>72024101700168269</t>
  </si>
  <si>
    <t>22964107848</t>
  </si>
  <si>
    <t>A0009185</t>
  </si>
  <si>
    <t>ZAKBE ET FILS</t>
  </si>
  <si>
    <t>M000365183</t>
  </si>
  <si>
    <t>RGT AIRP M000365183 17/10/2024</t>
  </si>
  <si>
    <t>82024101700057354</t>
  </si>
  <si>
    <t>22995301600</t>
  </si>
  <si>
    <t>A0005448</t>
  </si>
  <si>
    <t>ETS AVE  MARIA  COM</t>
  </si>
  <si>
    <t>M000361604</t>
  </si>
  <si>
    <t>RGT AIRP M000361604 17/10/2024</t>
  </si>
  <si>
    <t>82024101700136041</t>
  </si>
  <si>
    <t>M000363909</t>
  </si>
  <si>
    <t>RGT AIRP M000363909 17/10/2024</t>
  </si>
  <si>
    <t>82024101700209686</t>
  </si>
  <si>
    <t>22999650325</t>
  </si>
  <si>
    <t>A0007486</t>
  </si>
  <si>
    <t>PHARMACIE LES CAPUCINES SURL</t>
  </si>
  <si>
    <t>M000364547</t>
  </si>
  <si>
    <t>RGT AIRP M000364547 17/10/2024</t>
  </si>
  <si>
    <t>82024101700357620</t>
  </si>
  <si>
    <t>22995799665</t>
  </si>
  <si>
    <t>A0006932</t>
  </si>
  <si>
    <t>PAVPHA</t>
  </si>
  <si>
    <t>M000362000</t>
  </si>
  <si>
    <t>RGT AIRP M000362000 17/10/2024</t>
  </si>
  <si>
    <t>82024101700405092</t>
  </si>
  <si>
    <t>22960595142</t>
  </si>
  <si>
    <t>A0007719</t>
  </si>
  <si>
    <t>DANDJINOU NAOMY-JOY</t>
  </si>
  <si>
    <t>M000364614</t>
  </si>
  <si>
    <t>RGT AIRP M000364614 17/10/2024</t>
  </si>
  <si>
    <t>62024101800104865</t>
  </si>
  <si>
    <t>22994674285</t>
  </si>
  <si>
    <t>A0006297</t>
  </si>
  <si>
    <t>LE PILIER ECOLE MATERNELLE  ET</t>
  </si>
  <si>
    <t>M000364206</t>
  </si>
  <si>
    <t>RGT AIRP M000364206 18/10/2024</t>
  </si>
  <si>
    <t>62024101800206548</t>
  </si>
  <si>
    <t>22998108586</t>
  </si>
  <si>
    <t>A0007644</t>
  </si>
  <si>
    <t>CAP SARL</t>
  </si>
  <si>
    <t>M000364590</t>
  </si>
  <si>
    <t>RGT AIRP M000364590 18/10/2024</t>
  </si>
  <si>
    <t>62024101800208784</t>
  </si>
  <si>
    <t>22958383838</t>
  </si>
  <si>
    <t>A0007836</t>
  </si>
  <si>
    <t>VIBECRO CORPORATION</t>
  </si>
  <si>
    <t>M000362259</t>
  </si>
  <si>
    <t>RGT AIRP M000362259 18/10/2024</t>
  </si>
  <si>
    <t>62024101800389332</t>
  </si>
  <si>
    <t>A0009432</t>
  </si>
  <si>
    <t>PHARMACIE NOUVELLE EVE</t>
  </si>
  <si>
    <t>M000365347</t>
  </si>
  <si>
    <t>RGT AIRP M000365347 18/10/2024</t>
  </si>
  <si>
    <t>62024101800625494</t>
  </si>
  <si>
    <t>M000364202</t>
  </si>
  <si>
    <t>RGT AIRP M000364202 18/10/2024</t>
  </si>
  <si>
    <t>72024101800064743</t>
  </si>
  <si>
    <t>22999700019</t>
  </si>
  <si>
    <t>A0007849</t>
  </si>
  <si>
    <t>GSTUDIO ET COM SARL</t>
  </si>
  <si>
    <t>M000364646</t>
  </si>
  <si>
    <t>RGT AIRP M000364646 18/10/2024</t>
  </si>
  <si>
    <t>82024101800192710</t>
  </si>
  <si>
    <t>M000363658</t>
  </si>
  <si>
    <t>RGT AIRP M000363658 18/10/2024</t>
  </si>
  <si>
    <t>82024101800211623</t>
  </si>
  <si>
    <t>M000364113</t>
  </si>
  <si>
    <t>RGT AIRP M000364113 18/10/2024</t>
  </si>
  <si>
    <t>62024101900055057</t>
  </si>
  <si>
    <t>22995187118</t>
  </si>
  <si>
    <t>A0006951</t>
  </si>
  <si>
    <t>BERLIN GBS</t>
  </si>
  <si>
    <t>M000364403</t>
  </si>
  <si>
    <t>RGT AIRP M000364403 19/10/2024</t>
  </si>
  <si>
    <t>62024101900161059</t>
  </si>
  <si>
    <t>M000362545</t>
  </si>
  <si>
    <t>RGT AIRP M000362545 19/10/2024</t>
  </si>
  <si>
    <t>62024101900161615</t>
  </si>
  <si>
    <t>M000362578</t>
  </si>
  <si>
    <t>RGT AIRP M000362578 19/10/2024</t>
  </si>
  <si>
    <t>62024101900162189</t>
  </si>
  <si>
    <t>M000361995</t>
  </si>
  <si>
    <t>RGT AIRP M000361995 19/10/2024</t>
  </si>
  <si>
    <t>62024101900192394</t>
  </si>
  <si>
    <t>M000362752</t>
  </si>
  <si>
    <t>RGT AIRP M000362752 19/10/2024</t>
  </si>
  <si>
    <t>62024101900193618</t>
  </si>
  <si>
    <t>A0009045</t>
  </si>
  <si>
    <t>PSARIz SARL</t>
  </si>
  <si>
    <t>M000362751</t>
  </si>
  <si>
    <t>RGT AIRP M000362751 19/10/2024</t>
  </si>
  <si>
    <t>62024101900227349</t>
  </si>
  <si>
    <t>M000363817</t>
  </si>
  <si>
    <t>RGT AIRP M000363817 19/10/2024</t>
  </si>
  <si>
    <t>62024101900548885</t>
  </si>
  <si>
    <t>22995153096</t>
  </si>
  <si>
    <t>A0005778</t>
  </si>
  <si>
    <t>ASIVAPE</t>
  </si>
  <si>
    <t>M000364092</t>
  </si>
  <si>
    <t>RGT AIRP M000364092 19/10/2024</t>
  </si>
  <si>
    <t>82024101900044643</t>
  </si>
  <si>
    <t>22959289028</t>
  </si>
  <si>
    <t>A0009153</t>
  </si>
  <si>
    <t>GEMEMA GROUP</t>
  </si>
  <si>
    <t>M000362804</t>
  </si>
  <si>
    <t>RGT AIRP M000362804 19/10/2024</t>
  </si>
  <si>
    <t>82024101900127709</t>
  </si>
  <si>
    <t>M000362469</t>
  </si>
  <si>
    <t>RGT AIRP M000362469 19/10/2024</t>
  </si>
  <si>
    <t>82024101900129779</t>
  </si>
  <si>
    <t>A0008441</t>
  </si>
  <si>
    <t>ETS DVTA LEGENDE</t>
  </si>
  <si>
    <t>M000362476</t>
  </si>
  <si>
    <t>RGT AIRP M000362476 19/10/2024</t>
  </si>
  <si>
    <t>82024101900169052</t>
  </si>
  <si>
    <t>M000361955</t>
  </si>
  <si>
    <t>RGT AIRP M000361955 19/10/2024</t>
  </si>
  <si>
    <t>82024101900172011</t>
  </si>
  <si>
    <t>M000362103</t>
  </si>
  <si>
    <t>RGT AIRP M000362103 19/10/2024</t>
  </si>
  <si>
    <t>82024101900180050</t>
  </si>
  <si>
    <t>M000362642</t>
  </si>
  <si>
    <t>RGT AIRP M000362642 19/10/2024</t>
  </si>
  <si>
    <t>82024101900221006</t>
  </si>
  <si>
    <t>22995374327</t>
  </si>
  <si>
    <t>A0008258</t>
  </si>
  <si>
    <t>PHARMACIE OLUWA-TOBI KILIBO SA</t>
  </si>
  <si>
    <t>M000364783</t>
  </si>
  <si>
    <t>RGT AIRP M000364783 19/10/2024</t>
  </si>
  <si>
    <t>82024101900298640</t>
  </si>
  <si>
    <t>22968383849</t>
  </si>
  <si>
    <t>A0005506</t>
  </si>
  <si>
    <t>EMILIA  AGRO</t>
  </si>
  <si>
    <t>M000361622</t>
  </si>
  <si>
    <t>RGT AIRP M000361622 19/10/2024</t>
  </si>
  <si>
    <t>62024102000396162</t>
  </si>
  <si>
    <t>M000364738</t>
  </si>
  <si>
    <t>RGT AIRP M000364738 20/10/2024</t>
  </si>
  <si>
    <t>62024102100058262</t>
  </si>
  <si>
    <t>22945326162</t>
  </si>
  <si>
    <t>A0008563</t>
  </si>
  <si>
    <t>PHARMACIE ROYALE D'ABOMEY</t>
  </si>
  <si>
    <t>M000364905</t>
  </si>
  <si>
    <t>RGT AIRP M000364905 21/10/2024</t>
  </si>
  <si>
    <t>62024102100117684</t>
  </si>
  <si>
    <t>M000364376</t>
  </si>
  <si>
    <t>RGT AIRP M000364376 21/10/2024</t>
  </si>
  <si>
    <t>62024102100287377</t>
  </si>
  <si>
    <t>22995797985</t>
  </si>
  <si>
    <t>A0005473</t>
  </si>
  <si>
    <t>ETS  PAUL OYEKAN  ET FILS</t>
  </si>
  <si>
    <t>M000364015</t>
  </si>
  <si>
    <t>RGT AIRP M000364015 21/10/2024</t>
  </si>
  <si>
    <t>62024102100292834</t>
  </si>
  <si>
    <t>22995448754</t>
  </si>
  <si>
    <t>A0006952</t>
  </si>
  <si>
    <t>TOMAVO DOSSOU YVES</t>
  </si>
  <si>
    <t>M000362009</t>
  </si>
  <si>
    <t>RGT AIRP M000362009 21/10/2024</t>
  </si>
  <si>
    <t>62024102100457657</t>
  </si>
  <si>
    <t>22995863945</t>
  </si>
  <si>
    <t>A0003587</t>
  </si>
  <si>
    <t>CLINIQUE PEDIATRIQUE D'ABOMEY-CA</t>
  </si>
  <si>
    <t>M000363655</t>
  </si>
  <si>
    <t>RGT AIRP M000363655 21/10/2024</t>
  </si>
  <si>
    <t>62024102100541685</t>
  </si>
  <si>
    <t>22963850351</t>
  </si>
  <si>
    <t>A0007823</t>
  </si>
  <si>
    <t>KORIKO NASSIFATOU</t>
  </si>
  <si>
    <t>M000362255</t>
  </si>
  <si>
    <t>RGT AIRP M000362255 21/10/2024</t>
  </si>
  <si>
    <t>62024102100547921</t>
  </si>
  <si>
    <t>22994269577</t>
  </si>
  <si>
    <t>A0007462</t>
  </si>
  <si>
    <t>COMPTOIR DE DISTRIBUTION SHALO</t>
  </si>
  <si>
    <t>M000364538</t>
  </si>
  <si>
    <t>RGT AIRP M000364538 21/10/2024</t>
  </si>
  <si>
    <t>62024102100553441</t>
  </si>
  <si>
    <t>M000362833</t>
  </si>
  <si>
    <t>RGT AIRP M000362833 21/10/2024</t>
  </si>
  <si>
    <t>62024102100641994</t>
  </si>
  <si>
    <t>A0005546</t>
  </si>
  <si>
    <t>AICHAD FIFATIN ET FILS</t>
  </si>
  <si>
    <t>M000361628</t>
  </si>
  <si>
    <t>RGT AIRP M000361628 21/10/2024</t>
  </si>
  <si>
    <t>62024102100642366</t>
  </si>
  <si>
    <t>M000364030</t>
  </si>
  <si>
    <t>RGT AIRP M000364030 21/10/2024</t>
  </si>
  <si>
    <t>62024102100645061</t>
  </si>
  <si>
    <t>A0009373</t>
  </si>
  <si>
    <t>AGRI DIVERSIFICATION</t>
  </si>
  <si>
    <t>M000362974</t>
  </si>
  <si>
    <t>RGT AIRP M000362974 21/10/2024</t>
  </si>
  <si>
    <t>62024102100648006</t>
  </si>
  <si>
    <t>A0008614</t>
  </si>
  <si>
    <t>PINK PARADISE/ATELIER BORIS</t>
  </si>
  <si>
    <t>M000362546</t>
  </si>
  <si>
    <t>RGT AIRP M000362546 21/10/2024</t>
  </si>
  <si>
    <t>62024102100654436</t>
  </si>
  <si>
    <t>M000363011</t>
  </si>
  <si>
    <t>RGT AIRP M000363011 21/10/2024</t>
  </si>
  <si>
    <t>72024102100139507</t>
  </si>
  <si>
    <t>M000364678</t>
  </si>
  <si>
    <t>RGT AIRP M000364678 21/10/2024</t>
  </si>
  <si>
    <t>72024102100246843</t>
  </si>
  <si>
    <t>M000361175</t>
  </si>
  <si>
    <t>RGT AIRP M000361175 21/10/2024</t>
  </si>
  <si>
    <t>72024102100296211</t>
  </si>
  <si>
    <t>22960600560</t>
  </si>
  <si>
    <t>A0005495</t>
  </si>
  <si>
    <t>INTEX-BENIN</t>
  </si>
  <si>
    <t>M000361619</t>
  </si>
  <si>
    <t>RGT AIRP M000361619 21/10/2024</t>
  </si>
  <si>
    <t>72024102100327478</t>
  </si>
  <si>
    <t>M000364512</t>
  </si>
  <si>
    <t>RGT AIRP M000364512 21/10/2024</t>
  </si>
  <si>
    <t>72024102100336071</t>
  </si>
  <si>
    <t>M000359207</t>
  </si>
  <si>
    <t>RGT AIRP M000359207 21/10/2024</t>
  </si>
  <si>
    <t>82024102100141157</t>
  </si>
  <si>
    <t>22963633890</t>
  </si>
  <si>
    <t>A0009499</t>
  </si>
  <si>
    <t>YAPI AUBIERGE IRICE</t>
  </si>
  <si>
    <t>M000365405</t>
  </si>
  <si>
    <t>RGT AIRP M000365405 21/10/2024</t>
  </si>
  <si>
    <t>82024102100142239</t>
  </si>
  <si>
    <t>22965547485</t>
  </si>
  <si>
    <t>A0008227</t>
  </si>
  <si>
    <t>PHARMACIE CLEMENT DE TCHETT</t>
  </si>
  <si>
    <t>M000364771</t>
  </si>
  <si>
    <t>RGT AIRP M000364771 21/10/2024</t>
  </si>
  <si>
    <t>82024102100198552</t>
  </si>
  <si>
    <t>M000365160</t>
  </si>
  <si>
    <t>RGT AIRP M000365160 21/10/2024</t>
  </si>
  <si>
    <t>82024102100361750</t>
  </si>
  <si>
    <t>22955575630</t>
  </si>
  <si>
    <t>A0008953</t>
  </si>
  <si>
    <t>AUTHENTIK COMPANY</t>
  </si>
  <si>
    <t>M000365056</t>
  </si>
  <si>
    <t>RGT AIRP M000365056 21/10/2024</t>
  </si>
  <si>
    <t>82024102100494660</t>
  </si>
  <si>
    <t>M000361586</t>
  </si>
  <si>
    <t>RGT AIRP M000361586 21/10/2024</t>
  </si>
  <si>
    <t>82024102100497961</t>
  </si>
  <si>
    <t>A0008472</t>
  </si>
  <si>
    <t>ETS PINK PARADISE</t>
  </si>
  <si>
    <t>M000362495</t>
  </si>
  <si>
    <t>RGT AIRP M000362495 21/10/2024</t>
  </si>
  <si>
    <t>62024102200108085</t>
  </si>
  <si>
    <t>M000362017</t>
  </si>
  <si>
    <t>RGT AIRP M000362017 22/10/2024</t>
  </si>
  <si>
    <t>62024102200116511</t>
  </si>
  <si>
    <t>M000362292</t>
  </si>
  <si>
    <t>RGT AIRP M000362292 22/10/2024</t>
  </si>
  <si>
    <t>62024102200122646</t>
  </si>
  <si>
    <t>M000364881</t>
  </si>
  <si>
    <t>RGT AIRP M000364881 22/10/2024</t>
  </si>
  <si>
    <t>62024102200141121</t>
  </si>
  <si>
    <t>M000363913</t>
  </si>
  <si>
    <t>RGT AIRP M000363913 22/10/2024</t>
  </si>
  <si>
    <t>62024102200144870</t>
  </si>
  <si>
    <t>22995856828</t>
  </si>
  <si>
    <t>A0003220</t>
  </si>
  <si>
    <t>DJIDE'S</t>
  </si>
  <si>
    <t>M000363565</t>
  </si>
  <si>
    <t>RGT AIRP M000363565 22/10/2024</t>
  </si>
  <si>
    <t>62024102200152951</t>
  </si>
  <si>
    <t>M000363603</t>
  </si>
  <si>
    <t>RGT AIRP M000363603 22/10/2024</t>
  </si>
  <si>
    <t>62024102200179656</t>
  </si>
  <si>
    <t>A0007839</t>
  </si>
  <si>
    <t>OSSENI FARIDA ABENI</t>
  </si>
  <si>
    <t>M000362260</t>
  </si>
  <si>
    <t>RGT AIRP M000362260 22/10/2024</t>
  </si>
  <si>
    <t>62024102200192917</t>
  </si>
  <si>
    <t>M000361278</t>
  </si>
  <si>
    <t>RGT AIRP M000361278 22/10/2024</t>
  </si>
  <si>
    <t>62024102200194272</t>
  </si>
  <si>
    <t>22995501967</t>
  </si>
  <si>
    <t>A0006657</t>
  </si>
  <si>
    <t>RADIO RURALE LOCALE DE BANIKOA</t>
  </si>
  <si>
    <t>M000361920</t>
  </si>
  <si>
    <t>RGT AIRP M000361920 22/10/2024</t>
  </si>
  <si>
    <t>62024102200251753</t>
  </si>
  <si>
    <t>M000364671</t>
  </si>
  <si>
    <t>RGT AIRP M000364671 22/10/2024</t>
  </si>
  <si>
    <t>62024102200263377</t>
  </si>
  <si>
    <t>M000362112</t>
  </si>
  <si>
    <t>RGT AIRP M000362112 22/10/2024</t>
  </si>
  <si>
    <t>62024102200403368</t>
  </si>
  <si>
    <t>22964974343</t>
  </si>
  <si>
    <t>A0006564</t>
  </si>
  <si>
    <t>BOUKARI RACHID</t>
  </si>
  <si>
    <t>M000364293</t>
  </si>
  <si>
    <t>RGT AIRP M000364293 22/10/2024</t>
  </si>
  <si>
    <t>62024102200470376</t>
  </si>
  <si>
    <t>22963408863</t>
  </si>
  <si>
    <t>A0008831</t>
  </si>
  <si>
    <t>LE HUBLOT</t>
  </si>
  <si>
    <t>M000364996</t>
  </si>
  <si>
    <t>RGT AIRP M000364996 22/10/2024</t>
  </si>
  <si>
    <t>62024102200491064</t>
  </si>
  <si>
    <t>22960213333</t>
  </si>
  <si>
    <t>A0005437</t>
  </si>
  <si>
    <t>LA PUISSANCE DU SEIGNEUR</t>
  </si>
  <si>
    <t>M000364001</t>
  </si>
  <si>
    <t>RGT AIRP M000364001 22/10/2024</t>
  </si>
  <si>
    <t>62024102200681317</t>
  </si>
  <si>
    <t>M000364314</t>
  </si>
  <si>
    <t>RGT AIRP M000364314 22/10/2024</t>
  </si>
  <si>
    <t>72024102200083013</t>
  </si>
  <si>
    <t>A0008399</t>
  </si>
  <si>
    <t>ESPACE ANTOU SOCIETE CIVILE</t>
  </si>
  <si>
    <t>M000364837</t>
  </si>
  <si>
    <t>RGT AIRP M000364837 22/10/2024</t>
  </si>
  <si>
    <t>72024102200084513</t>
  </si>
  <si>
    <t>A0004703</t>
  </si>
  <si>
    <t>AFRIC LOGISTICS</t>
  </si>
  <si>
    <t>M000363861</t>
  </si>
  <si>
    <t>RGT AIRP M000363861 22/10/2024</t>
  </si>
  <si>
    <t>72024102200109284</t>
  </si>
  <si>
    <t>M000362359</t>
  </si>
  <si>
    <t>RGT AIRP M000362359 22/10/2024</t>
  </si>
  <si>
    <t>72024102200365725</t>
  </si>
  <si>
    <t>22995056128</t>
  </si>
  <si>
    <t>A0003984</t>
  </si>
  <si>
    <t>BECSaD</t>
  </si>
  <si>
    <t>M000361324</t>
  </si>
  <si>
    <t>RGT AIRP M000361324 22/10/2024</t>
  </si>
  <si>
    <t>82024102200023121</t>
  </si>
  <si>
    <t>M000364615</t>
  </si>
  <si>
    <t>RGT AIRP M000364615 22/10/2024</t>
  </si>
  <si>
    <t>82024102200155179</t>
  </si>
  <si>
    <t>M000362271</t>
  </si>
  <si>
    <t>RGT AIRP M000362271 22/10/2024</t>
  </si>
  <si>
    <t>82024102200162356</t>
  </si>
  <si>
    <t>M000363727</t>
  </si>
  <si>
    <t>RGT AIRP M000363727 22/10/2024</t>
  </si>
  <si>
    <t>82024102200190221</t>
  </si>
  <si>
    <t>M000364715</t>
  </si>
  <si>
    <t>RGT AIRP M000364715 22/10/2024</t>
  </si>
  <si>
    <t>82024102200222612</t>
  </si>
  <si>
    <t>M000363968</t>
  </si>
  <si>
    <t>RGT AIRP M000363968 22/10/2024</t>
  </si>
  <si>
    <t>82024102200315103</t>
  </si>
  <si>
    <t>22964943887</t>
  </si>
  <si>
    <t>A0007266</t>
  </si>
  <si>
    <t>ADORE BULDING</t>
  </si>
  <si>
    <t>M000364489</t>
  </si>
  <si>
    <t>RGT AIRP M000364489 22/10/2024</t>
  </si>
  <si>
    <t>82024102200323115</t>
  </si>
  <si>
    <t>22958214046</t>
  </si>
  <si>
    <t>A0009369</t>
  </si>
  <si>
    <t>AHOUMENOU ELDAD ULYSSE OMOLASS</t>
  </si>
  <si>
    <t>M000365303</t>
  </si>
  <si>
    <t>RGT AIRP M000365303 22/10/2024</t>
  </si>
  <si>
    <t>82024102200346860</t>
  </si>
  <si>
    <t>22998262615</t>
  </si>
  <si>
    <t>A0009137</t>
  </si>
  <si>
    <t>SOGECIM SARL</t>
  </si>
  <si>
    <t>M000365157</t>
  </si>
  <si>
    <t>RGT AIRP M000365157 22/10/2024</t>
  </si>
  <si>
    <t>82024102200373424</t>
  </si>
  <si>
    <t>22964646464</t>
  </si>
  <si>
    <t>A0006723</t>
  </si>
  <si>
    <t>KINIFFO YELIAN AMEDEE RODRIGUE</t>
  </si>
  <si>
    <t>M000361936</t>
  </si>
  <si>
    <t>RGT AIRP M000361936 22/10/2024</t>
  </si>
  <si>
    <t>82024102200438427</t>
  </si>
  <si>
    <t>M000365281</t>
  </si>
  <si>
    <t>RGT AIRP M000365281 22/10/2024</t>
  </si>
  <si>
    <t>62024102300050534</t>
  </si>
  <si>
    <t>22995389292</t>
  </si>
  <si>
    <t>A0007223</t>
  </si>
  <si>
    <t>PROJET PACOFIDE</t>
  </si>
  <si>
    <t>M000362080</t>
  </si>
  <si>
    <t>RGT AIRP M000362080 23/10/2024</t>
  </si>
  <si>
    <t>62024102300099078</t>
  </si>
  <si>
    <t>22964666464</t>
  </si>
  <si>
    <t>A0005338</t>
  </si>
  <si>
    <t>EPP ABBE FLORENT NASCIMENTO</t>
  </si>
  <si>
    <t>M000363980</t>
  </si>
  <si>
    <t>RGT AIRP M000363980 23/10/2024</t>
  </si>
  <si>
    <t>62024102300099563</t>
  </si>
  <si>
    <t>A0008632</t>
  </si>
  <si>
    <t>VERFIDE</t>
  </si>
  <si>
    <t>M000362551</t>
  </si>
  <si>
    <t>RGT AIRP M000362551 23/10/2024</t>
  </si>
  <si>
    <t>62024102300118886</t>
  </si>
  <si>
    <t>M000364043</t>
  </si>
  <si>
    <t>RGT AIRP M000364043 23/10/2024</t>
  </si>
  <si>
    <t>62024102300201524</t>
  </si>
  <si>
    <t>22964810374</t>
  </si>
  <si>
    <t>A0009143</t>
  </si>
  <si>
    <t>KPANOU FIFAHOU ANGELO</t>
  </si>
  <si>
    <t>M000365161</t>
  </si>
  <si>
    <t>RGT AIRP M000365161 23/10/2024</t>
  </si>
  <si>
    <t>62024102300202062</t>
  </si>
  <si>
    <t>A0006552</t>
  </si>
  <si>
    <t>OSB</t>
  </si>
  <si>
    <t>M000361892</t>
  </si>
  <si>
    <t>RGT AIRP M000361892 23/10/2024</t>
  </si>
  <si>
    <t>62024102300292959</t>
  </si>
  <si>
    <t>22995097882</t>
  </si>
  <si>
    <t>A0006291</t>
  </si>
  <si>
    <t xml:space="preserve"> E.C.B GROUPE SARL (ECBG SARL)</t>
  </si>
  <si>
    <t>M000361808</t>
  </si>
  <si>
    <t>RGT AIRP M000361808 23/10/2024</t>
  </si>
  <si>
    <t>62024102300294005</t>
  </si>
  <si>
    <t>M000364205</t>
  </si>
  <si>
    <t>RGT AIRP M000364205 23/10/2024</t>
  </si>
  <si>
    <t>62024102300300623</t>
  </si>
  <si>
    <t>M000364577</t>
  </si>
  <si>
    <t>RGT AIRP M000364577 23/10/2024</t>
  </si>
  <si>
    <t>62024102300329950</t>
  </si>
  <si>
    <t>M000364278</t>
  </si>
  <si>
    <t>RGT AIRP M000364278 23/10/2024</t>
  </si>
  <si>
    <t>62024102300356831</t>
  </si>
  <si>
    <t>M000364934</t>
  </si>
  <si>
    <t>RGT AIRP M000364934 23/10/2024</t>
  </si>
  <si>
    <t>62024102300369556</t>
  </si>
  <si>
    <t>22995425608</t>
  </si>
  <si>
    <t>A0008290</t>
  </si>
  <si>
    <t>FBI OR DIA SARL</t>
  </si>
  <si>
    <t>M000362413</t>
  </si>
  <si>
    <t>RGT AIRP M000362413 23/10/2024</t>
  </si>
  <si>
    <t>62024102300391060</t>
  </si>
  <si>
    <t>M000365171</t>
  </si>
  <si>
    <t>RGT AIRP M000365171 23/10/2024</t>
  </si>
  <si>
    <t>62024102300491831</t>
  </si>
  <si>
    <t>22965877091</t>
  </si>
  <si>
    <t>A0007184</t>
  </si>
  <si>
    <t>ALLAGBE ESDRAS PRIMAEL JIJOHO</t>
  </si>
  <si>
    <t>M000362064</t>
  </si>
  <si>
    <t>RGT AIRP M000362064 23/10/2024</t>
  </si>
  <si>
    <t>62024102300496895</t>
  </si>
  <si>
    <t>22995158644</t>
  </si>
  <si>
    <t>A0006741</t>
  </si>
  <si>
    <t>M2C GBEHODE SARL</t>
  </si>
  <si>
    <t>M000364340</t>
  </si>
  <si>
    <t>RGT AIRP M000364340 23/10/2024</t>
  </si>
  <si>
    <t>62024102300518941</t>
  </si>
  <si>
    <t>M000362449</t>
  </si>
  <si>
    <t>RGT AIRP M000362449 23/10/2024</t>
  </si>
  <si>
    <t>62024102300520251</t>
  </si>
  <si>
    <t>M000364457</t>
  </si>
  <si>
    <t>RGT AIRP M000364457 23/10/2024</t>
  </si>
  <si>
    <t>62024102300547302</t>
  </si>
  <si>
    <t>22965208101</t>
  </si>
  <si>
    <t>A0009124</t>
  </si>
  <si>
    <t>GRM</t>
  </si>
  <si>
    <t>M000365148</t>
  </si>
  <si>
    <t>RGT AIRP M000365148 23/10/2024</t>
  </si>
  <si>
    <t>72024102300282050</t>
  </si>
  <si>
    <t>A0007033</t>
  </si>
  <si>
    <t>FENOU ET WINNERS BUSINESS</t>
  </si>
  <si>
    <t>M000362031</t>
  </si>
  <si>
    <t>RGT AIRP M000362031 23/10/2024</t>
  </si>
  <si>
    <t>72024102300292809</t>
  </si>
  <si>
    <t>M000365236</t>
  </si>
  <si>
    <t>RGT AIRP M000365236 23/10/2024</t>
  </si>
  <si>
    <t>72024102300325194</t>
  </si>
  <si>
    <t>M000362767</t>
  </si>
  <si>
    <t>RGT AIRP M000362767 23/10/2024</t>
  </si>
  <si>
    <t>82024102300039066</t>
  </si>
  <si>
    <t>22964203154</t>
  </si>
  <si>
    <t>A0006614</t>
  </si>
  <si>
    <t>EXPERIENCE 2000</t>
  </si>
  <si>
    <t>M000364305</t>
  </si>
  <si>
    <t>RGT AIRP M000364305 23/10/2024</t>
  </si>
  <si>
    <t>82024102300052029</t>
  </si>
  <si>
    <t>22999299999</t>
  </si>
  <si>
    <t>A0005485</t>
  </si>
  <si>
    <t>NORA SERVICES  INTERNATIONAL S</t>
  </si>
  <si>
    <t>M000361616</t>
  </si>
  <si>
    <t>RGT AIRP M000361616 23/10/2024</t>
  </si>
  <si>
    <t>82024102300052605</t>
  </si>
  <si>
    <t>M000364018</t>
  </si>
  <si>
    <t>RGT AIRP M000364018 23/10/2024</t>
  </si>
  <si>
    <t>82024102300096999</t>
  </si>
  <si>
    <t>22964171354</t>
  </si>
  <si>
    <t>A0005816</t>
  </si>
  <si>
    <t>MULTI  SERVICES VETERINAIRES SARL</t>
  </si>
  <si>
    <t>M000364105</t>
  </si>
  <si>
    <t>RGT AIRP M000364105 23/10/2024</t>
  </si>
  <si>
    <t>82024102300152959</t>
  </si>
  <si>
    <t>M000364023</t>
  </si>
  <si>
    <t>RGT AIRP M000364023 23/10/2024</t>
  </si>
  <si>
    <t>82024102300244903</t>
  </si>
  <si>
    <t>M000362505</t>
  </si>
  <si>
    <t>RGT AIRP M000362505 23/10/2024</t>
  </si>
  <si>
    <t>82024102300340558</t>
  </si>
  <si>
    <t>22995401040</t>
  </si>
  <si>
    <t>A0002729</t>
  </si>
  <si>
    <t>D. COMMERCIAL SARL</t>
  </si>
  <si>
    <t>M000361053</t>
  </si>
  <si>
    <t>RGT AIRP M000361053 23/10/2024</t>
  </si>
  <si>
    <t>82024102300378144</t>
  </si>
  <si>
    <t>M000364486</t>
  </si>
  <si>
    <t>RGT AIRP M000364486 23/10/2024</t>
  </si>
  <si>
    <t>82024102300404736</t>
  </si>
  <si>
    <t>M000362665</t>
  </si>
  <si>
    <t>RGT AIRP M000362665 23/10/2024</t>
  </si>
  <si>
    <t>82024102300405585</t>
  </si>
  <si>
    <t>M000362764</t>
  </si>
  <si>
    <t>RGT AIRP M000362764 23/10/2024</t>
  </si>
  <si>
    <t>82024102300432432</t>
  </si>
  <si>
    <t>M000362786</t>
  </si>
  <si>
    <t>RGT AIRP M000362786 23/10/2024</t>
  </si>
  <si>
    <t>82024102300434630</t>
  </si>
  <si>
    <t>A0009528</t>
  </si>
  <si>
    <t>TOBA ARMAND FINAGNON</t>
  </si>
  <si>
    <t>M000363108</t>
  </si>
  <si>
    <t>RGT AIRP M000363108 23/10/2024</t>
  </si>
  <si>
    <t>82024102300485172</t>
  </si>
  <si>
    <t>M000363770</t>
  </si>
  <si>
    <t>RGT AIRP M000363770 23/10/2024</t>
  </si>
  <si>
    <t>82024102300554509</t>
  </si>
  <si>
    <t>A0008100</t>
  </si>
  <si>
    <t>AZOKLY VIDJANNAGNI ELIAB</t>
  </si>
  <si>
    <t>M000362337</t>
  </si>
  <si>
    <t>RGT AIRP M000362337 23/10/2024</t>
  </si>
  <si>
    <t>82024102300559165</t>
  </si>
  <si>
    <t>A0007089</t>
  </si>
  <si>
    <t>STE MAHOUGBE LAURIVELLE SARL</t>
  </si>
  <si>
    <t>M000362044</t>
  </si>
  <si>
    <t>RGT AIRP M000362044 23/10/2024</t>
  </si>
  <si>
    <t>62024102400007287</t>
  </si>
  <si>
    <t>M000361840</t>
  </si>
  <si>
    <t>RGT AIRP M000361840 24/10/2024</t>
  </si>
  <si>
    <t>62024102400053711</t>
  </si>
  <si>
    <t>22995439098</t>
  </si>
  <si>
    <t>A0006550</t>
  </si>
  <si>
    <t>RADIO RURALE LOCALE DE TANGUIE</t>
  </si>
  <si>
    <t>M000364289</t>
  </si>
  <si>
    <t>RGT AIRP M000364289 24/10/2024</t>
  </si>
  <si>
    <t>62024102400111048</t>
  </si>
  <si>
    <t>M000362212</t>
  </si>
  <si>
    <t>RGT AIRP M000362212 24/10/2024</t>
  </si>
  <si>
    <t>62024102400121158</t>
  </si>
  <si>
    <t>22960013193</t>
  </si>
  <si>
    <t>A0004726</t>
  </si>
  <si>
    <t>LEGER LEGER NEGOCE</t>
  </si>
  <si>
    <t>M000361461</t>
  </si>
  <si>
    <t>RGT AIRP M000361461 24/10/2024</t>
  </si>
  <si>
    <t>62024102400133468</t>
  </si>
  <si>
    <t>M000364265</t>
  </si>
  <si>
    <t>RGT AIRP M000364265 24/10/2024</t>
  </si>
  <si>
    <t>62024102400142908</t>
  </si>
  <si>
    <t>M000362621</t>
  </si>
  <si>
    <t>RGT AIRP M000362621 24/10/2024</t>
  </si>
  <si>
    <t>62024102400183588</t>
  </si>
  <si>
    <t>22955144586</t>
  </si>
  <si>
    <t>A0006133</t>
  </si>
  <si>
    <t>LA GENERAL SERVICE SARL</t>
  </si>
  <si>
    <t>M000364170</t>
  </si>
  <si>
    <t>RGT AIRP M000364170 24/10/2024</t>
  </si>
  <si>
    <t>62024102400246515</t>
  </si>
  <si>
    <t>22995538053</t>
  </si>
  <si>
    <t>M000361907</t>
  </si>
  <si>
    <t>RGT AIRP M000361907 24/10/2024</t>
  </si>
  <si>
    <t>62024102400317433</t>
  </si>
  <si>
    <t>22995417013</t>
  </si>
  <si>
    <t>A0005642</t>
  </si>
  <si>
    <t>ZS COT 6/BUREAU DE ZONE</t>
  </si>
  <si>
    <t>M000361660</t>
  </si>
  <si>
    <t>RGT AIRP M000361660 24/10/2024</t>
  </si>
  <si>
    <t>62024102400326308</t>
  </si>
  <si>
    <t>22960424443</t>
  </si>
  <si>
    <t>A0008986</t>
  </si>
  <si>
    <t>AKELS GROUP</t>
  </si>
  <si>
    <t>M000362715</t>
  </si>
  <si>
    <t>RGT AIRP M000362715 24/10/2024</t>
  </si>
  <si>
    <t>62024102400329470</t>
  </si>
  <si>
    <t>M000363697</t>
  </si>
  <si>
    <t>RGT AIRP M000363697 24/10/2024</t>
  </si>
  <si>
    <t>62024102400333892</t>
  </si>
  <si>
    <t>22998586666</t>
  </si>
  <si>
    <t>A0004524</t>
  </si>
  <si>
    <t>HORIZON MERVEILLE</t>
  </si>
  <si>
    <t>M000363828</t>
  </si>
  <si>
    <t>RGT AIRP M000363828 24/10/2024</t>
  </si>
  <si>
    <t>62024102400371543</t>
  </si>
  <si>
    <t>M000363071</t>
  </si>
  <si>
    <t>RGT AIRP M000363071 24/10/2024</t>
  </si>
  <si>
    <t>62024102400460018</t>
  </si>
  <si>
    <t>M000365335</t>
  </si>
  <si>
    <t>RGT AIRP M000365335 24/10/2024</t>
  </si>
  <si>
    <t>62024102400460819</t>
  </si>
  <si>
    <t>22995879219</t>
  </si>
  <si>
    <t>A0008193</t>
  </si>
  <si>
    <t>LOKOSSOU J .BERTIN</t>
  </si>
  <si>
    <t>M000364756</t>
  </si>
  <si>
    <t>RGT AIRP M000364756 24/10/2024</t>
  </si>
  <si>
    <t>72024102400039109</t>
  </si>
  <si>
    <t>M000362620</t>
  </si>
  <si>
    <t>RGT AIRP M000362620 24/10/2024</t>
  </si>
  <si>
    <t>72024102400046531</t>
  </si>
  <si>
    <t>22995669666</t>
  </si>
  <si>
    <t>A0006127</t>
  </si>
  <si>
    <t>ETS LA RECOMPENSE</t>
  </si>
  <si>
    <t>M000364169</t>
  </si>
  <si>
    <t>RGT AIRP M000364169 24/10/2024</t>
  </si>
  <si>
    <t>72024102400049717</t>
  </si>
  <si>
    <t>M000361244</t>
  </si>
  <si>
    <t>RGT AIRP M000361244 24/10/2024</t>
  </si>
  <si>
    <t>72024102400096102</t>
  </si>
  <si>
    <t>M000361772</t>
  </si>
  <si>
    <t>RGT AIRP M000361772 24/10/2024</t>
  </si>
  <si>
    <t>72024102400102044</t>
  </si>
  <si>
    <t>M000365315</t>
  </si>
  <si>
    <t>RGT AIRP M000365315 24/10/2024</t>
  </si>
  <si>
    <t>72024102400147734</t>
  </si>
  <si>
    <t>M000365082</t>
  </si>
  <si>
    <t>RGT AIRP M000365082 24/10/2024</t>
  </si>
  <si>
    <t>72024102400274056</t>
  </si>
  <si>
    <t>M000364323</t>
  </si>
  <si>
    <t>RGT AIRP M000364323 24/10/2024</t>
  </si>
  <si>
    <t>72024102400334469</t>
  </si>
  <si>
    <t>M000363734</t>
  </si>
  <si>
    <t>RGT AIRP M000363734 24/10/2024</t>
  </si>
  <si>
    <t>82024102400050250</t>
  </si>
  <si>
    <t>22995953830</t>
  </si>
  <si>
    <t>A0002830</t>
  </si>
  <si>
    <t>Ets PHILMAX-DSM</t>
  </si>
  <si>
    <t>M000361067</t>
  </si>
  <si>
    <t>RGT AIRP M000361067 24/10/2024</t>
  </si>
  <si>
    <t>82024102400052744</t>
  </si>
  <si>
    <t>22995667094</t>
  </si>
  <si>
    <t>A0005548</t>
  </si>
  <si>
    <t>OKAMBAWA COFFI MARCEL</t>
  </si>
  <si>
    <t>M000364032</t>
  </si>
  <si>
    <t>RGT AIRP M000364032 24/10/2024</t>
  </si>
  <si>
    <t>82024102400065881</t>
  </si>
  <si>
    <t>M000361538</t>
  </si>
  <si>
    <t>RGT AIRP M000361538 24/10/2024</t>
  </si>
  <si>
    <t>82024102400067846</t>
  </si>
  <si>
    <t>M000362640</t>
  </si>
  <si>
    <t>RGT AIRP M000362640 24/10/2024</t>
  </si>
  <si>
    <t>82024102400091392</t>
  </si>
  <si>
    <t>22995496039</t>
  </si>
  <si>
    <t>M000361504</t>
  </si>
  <si>
    <t>RGT AIRP M000361504 24/10/2024</t>
  </si>
  <si>
    <t>82024102400092433</t>
  </si>
  <si>
    <t>A0008011</t>
  </si>
  <si>
    <t>ZOGO A DONALDO</t>
  </si>
  <si>
    <t>M000362301</t>
  </si>
  <si>
    <t>RGT AIRP M000362301 24/10/2024</t>
  </si>
  <si>
    <t>82024102400145723</t>
  </si>
  <si>
    <t>A0007291</t>
  </si>
  <si>
    <t>LE CLIMAX</t>
  </si>
  <si>
    <t>M000362108</t>
  </si>
  <si>
    <t>RGT AIRP M000362108 24/10/2024</t>
  </si>
  <si>
    <t>82024102400185706</t>
  </si>
  <si>
    <t>M000363517</t>
  </si>
  <si>
    <t>RGT AIRP M000363517 24/10/2024</t>
  </si>
  <si>
    <t>82024102400233694</t>
  </si>
  <si>
    <t>M000364753</t>
  </si>
  <si>
    <t>RGT AIRP M000364753 24/10/2024</t>
  </si>
  <si>
    <t>82024102400257377</t>
  </si>
  <si>
    <t>22965251725</t>
  </si>
  <si>
    <t>A0009465</t>
  </si>
  <si>
    <t>AMOUSSOU MYKERINOS BEAUFORE</t>
  </si>
  <si>
    <t>M000363057</t>
  </si>
  <si>
    <t>RGT AIRP M000363057 24/10/2024</t>
  </si>
  <si>
    <t>82024102400259758</t>
  </si>
  <si>
    <t>M000361424</t>
  </si>
  <si>
    <t>RGT AIRP M000361424 24/10/2024</t>
  </si>
  <si>
    <t>82024102400282880</t>
  </si>
  <si>
    <t>M000362581</t>
  </si>
  <si>
    <t>RGT AIRP M000362581 24/10/2024</t>
  </si>
  <si>
    <t>82024102400299715</t>
  </si>
  <si>
    <t>22995585164</t>
  </si>
  <si>
    <t>A0004801</t>
  </si>
  <si>
    <t>ETS BOSSOU ET FILS</t>
  </si>
  <si>
    <t>M000361471</t>
  </si>
  <si>
    <t>RGT AIRP M000361471 24/10/2024</t>
  </si>
  <si>
    <t>82024102400334510</t>
  </si>
  <si>
    <t>22995962467</t>
  </si>
  <si>
    <t>A0003014</t>
  </si>
  <si>
    <t>PHENIX PARTNERS</t>
  </si>
  <si>
    <t>M000361118</t>
  </si>
  <si>
    <t>RGT AIRP M000361118 24/10/2024</t>
  </si>
  <si>
    <t>82024102400425756</t>
  </si>
  <si>
    <t>M000361675</t>
  </si>
  <si>
    <t>RGT AIRP M000361675 24/10/2024</t>
  </si>
  <si>
    <t>82024102400459844</t>
  </si>
  <si>
    <t>M000363769</t>
  </si>
  <si>
    <t>RGT AIRP M000363769 24/10/2024</t>
  </si>
  <si>
    <t>62024102500034230</t>
  </si>
  <si>
    <t>22995457116</t>
  </si>
  <si>
    <t>A0007350</t>
  </si>
  <si>
    <t>LOUANGE A TOI SERVICES</t>
  </si>
  <si>
    <t>M000362120</t>
  </si>
  <si>
    <t>RGT AIRP M000362120 25/10/2024</t>
  </si>
  <si>
    <t>62024102500035453</t>
  </si>
  <si>
    <t>M000364510</t>
  </si>
  <si>
    <t>RGT AIRP M000364510 25/10/2024</t>
  </si>
  <si>
    <t>62024102500081962</t>
  </si>
  <si>
    <t>M000364386</t>
  </si>
  <si>
    <t>RGT AIRP M000364386 25/10/2024</t>
  </si>
  <si>
    <t>62024102500116265</t>
  </si>
  <si>
    <t>A0009360</t>
  </si>
  <si>
    <t>ADJIMON ET FILS LA NOUVELLE MO</t>
  </si>
  <si>
    <t>M000362963</t>
  </si>
  <si>
    <t>RGT AIRP M000362963 25/10/2024</t>
  </si>
  <si>
    <t>62024102500139233</t>
  </si>
  <si>
    <t>M000364982</t>
  </si>
  <si>
    <t>RGT AIRP M000364982 25/10/2024</t>
  </si>
  <si>
    <t>62024102500147204</t>
  </si>
  <si>
    <t>M000364234</t>
  </si>
  <si>
    <t>RGT AIRP M000364234 25/10/2024</t>
  </si>
  <si>
    <t>62024102500202029</t>
  </si>
  <si>
    <t>M000363840</t>
  </si>
  <si>
    <t>RGT AIRP M000363840 25/10/2024</t>
  </si>
  <si>
    <t>62024102500273623</t>
  </si>
  <si>
    <t>22995796292</t>
  </si>
  <si>
    <t>A0008994</t>
  </si>
  <si>
    <t>ETS ACHANHOUIN</t>
  </si>
  <si>
    <t>M000365084</t>
  </si>
  <si>
    <t>RGT AIRP M000365084 25/10/2024</t>
  </si>
  <si>
    <t>62024102500283686</t>
  </si>
  <si>
    <t>M000364979</t>
  </si>
  <si>
    <t>RGT AIRP M000364979 25/10/2024</t>
  </si>
  <si>
    <t>62024102500287680</t>
  </si>
  <si>
    <t>M000364016</t>
  </si>
  <si>
    <t>RGT AIRP M000364016 25/10/2024</t>
  </si>
  <si>
    <t>62024102500424970</t>
  </si>
  <si>
    <t>M000364883</t>
  </si>
  <si>
    <t>RGT AIRP M000364883 25/10/2024</t>
  </si>
  <si>
    <t>62024102500440073</t>
  </si>
  <si>
    <t>M000364876</t>
  </si>
  <si>
    <t>RGT AIRP M000364876 25/10/2024</t>
  </si>
  <si>
    <t>72024102500057581</t>
  </si>
  <si>
    <t>M000365017</t>
  </si>
  <si>
    <t>RGT AIRP M000365017 25/10/2024</t>
  </si>
  <si>
    <t>72024102500060243</t>
  </si>
  <si>
    <t>22964200137</t>
  </si>
  <si>
    <t>A0006596</t>
  </si>
  <si>
    <t>2A2M SARL</t>
  </si>
  <si>
    <t>M000364302</t>
  </si>
  <si>
    <t>RGT AIRP M000364302 25/10/2024</t>
  </si>
  <si>
    <t>72024102500066351</t>
  </si>
  <si>
    <t>M000365300</t>
  </si>
  <si>
    <t>RGT AIRP M000365300 25/10/2024</t>
  </si>
  <si>
    <t>72024102500106317</t>
  </si>
  <si>
    <t>M000363668</t>
  </si>
  <si>
    <t>RGT AIRP M000363668 25/10/2024</t>
  </si>
  <si>
    <t>72024102500196640</t>
  </si>
  <si>
    <t>M000364534</t>
  </si>
  <si>
    <t>RGT AIRP M000364534 25/10/2024</t>
  </si>
  <si>
    <t>72024102500206703</t>
  </si>
  <si>
    <t>22995324063</t>
  </si>
  <si>
    <t>M000364168</t>
  </si>
  <si>
    <t>RGT AIRP M000364168 25/10/2024</t>
  </si>
  <si>
    <t>72024102500215886</t>
  </si>
  <si>
    <t>M000364540</t>
  </si>
  <si>
    <t>RGT AIRP M000364540 25/10/2024</t>
  </si>
  <si>
    <t>72024102500225694</t>
  </si>
  <si>
    <t>M000360109</t>
  </si>
  <si>
    <t>RGT AIRP M000360109 25/10/2024</t>
  </si>
  <si>
    <t>82024102500082011</t>
  </si>
  <si>
    <t>M000361904</t>
  </si>
  <si>
    <t>RGT AIRP M000361904 25/10/2024</t>
  </si>
  <si>
    <t>82024102500108311</t>
  </si>
  <si>
    <t>M000357650</t>
  </si>
  <si>
    <t>RGT AIRP M000357650 25/10/2024</t>
  </si>
  <si>
    <t>82024102500114191</t>
  </si>
  <si>
    <t>M000364832</t>
  </si>
  <si>
    <t>RGT AIRP M000364832 25/10/2024</t>
  </si>
  <si>
    <t>82024102500119635</t>
  </si>
  <si>
    <t>M000364095</t>
  </si>
  <si>
    <t>RGT AIRP M000364095 25/10/2024</t>
  </si>
  <si>
    <t>82024102500222030</t>
  </si>
  <si>
    <t>M000361614</t>
  </si>
  <si>
    <t>RGT AIRP M000361614 25/10/2024</t>
  </si>
  <si>
    <t>82024102500230944</t>
  </si>
  <si>
    <t>M000364994</t>
  </si>
  <si>
    <t>RGT AIRP M000364994 25/10/2024</t>
  </si>
  <si>
    <t>82024102500239611</t>
  </si>
  <si>
    <t>A0009170</t>
  </si>
  <si>
    <t>ISSA FAWAZ</t>
  </si>
  <si>
    <t>M000362816</t>
  </si>
  <si>
    <t>RGT AIRP M000362816 25/10/2024</t>
  </si>
  <si>
    <t>82024102500241892</t>
  </si>
  <si>
    <t>M000361889</t>
  </si>
  <si>
    <t>RGT AIRP M000361889 25/10/2024</t>
  </si>
  <si>
    <t>82024102500272656</t>
  </si>
  <si>
    <t>22999874840</t>
  </si>
  <si>
    <t>A0005155</t>
  </si>
  <si>
    <t>MEGA MEDICALE PROMOTION</t>
  </si>
  <si>
    <t>M000363945</t>
  </si>
  <si>
    <t>RGT AIRP M000363945 25/10/2024</t>
  </si>
  <si>
    <t>82024102500280948</t>
  </si>
  <si>
    <t>M000365408</t>
  </si>
  <si>
    <t>RGT AIRP M000365408 25/10/2024</t>
  </si>
  <si>
    <t>82024102500304772</t>
  </si>
  <si>
    <t>22955284724</t>
  </si>
  <si>
    <t>M000365302</t>
  </si>
  <si>
    <t>RGT AIRP M000365302 25/10/2024</t>
  </si>
  <si>
    <t>82024102500328480</t>
  </si>
  <si>
    <t>22964204527</t>
  </si>
  <si>
    <t>A0003553</t>
  </si>
  <si>
    <t>ELEVEURS SANS FRONTIERES BENIN</t>
  </si>
  <si>
    <t>M000363650</t>
  </si>
  <si>
    <t>RGT AIRP M000363650 25/10/2024</t>
  </si>
  <si>
    <t>82024102500358123</t>
  </si>
  <si>
    <t>M000358274</t>
  </si>
  <si>
    <t>RGT AIRP M000358274 25/10/2024</t>
  </si>
  <si>
    <t>82024102500362964</t>
  </si>
  <si>
    <t>22945480495</t>
  </si>
  <si>
    <t>A0009356</t>
  </si>
  <si>
    <t>ASSIGNON KODJOVI</t>
  </si>
  <si>
    <t>M000365296</t>
  </si>
  <si>
    <t>RGT AIRP M000365296 25/10/2024</t>
  </si>
  <si>
    <t>82024102500458990</t>
  </si>
  <si>
    <t>M000364704</t>
  </si>
  <si>
    <t>RGT AIRP M000364704 25/10/2024</t>
  </si>
  <si>
    <t>62024102600209527</t>
  </si>
  <si>
    <t>M000365433</t>
  </si>
  <si>
    <t>RGT AIRP M000365433 26/10/2024</t>
  </si>
  <si>
    <t>62024102600334055</t>
  </si>
  <si>
    <t>22964965942</t>
  </si>
  <si>
    <t>A0006361</t>
  </si>
  <si>
    <t>ISSIFOU ET FILS SARL</t>
  </si>
  <si>
    <t>M000364229</t>
  </si>
  <si>
    <t>RGT AIRP M000364229 26/10/2024</t>
  </si>
  <si>
    <t>62024102600419849</t>
  </si>
  <si>
    <t>M000364779</t>
  </si>
  <si>
    <t>RGT AIRP M000364779 26/10/2024</t>
  </si>
  <si>
    <t>62024102600460860</t>
  </si>
  <si>
    <t>M000363422</t>
  </si>
  <si>
    <t>RGT AIRP M000363422 26/10/2024</t>
  </si>
  <si>
    <t>62024102600512631</t>
  </si>
  <si>
    <t>22995853857</t>
  </si>
  <si>
    <t>M000361372</t>
  </si>
  <si>
    <t>RGT AIRP M000361372 26/10/2024</t>
  </si>
  <si>
    <t>72024102600099158</t>
  </si>
  <si>
    <t>22995168291</t>
  </si>
  <si>
    <t>A0003162</t>
  </si>
  <si>
    <t>ETS SIVAN ET FILS</t>
  </si>
  <si>
    <t>M000363554</t>
  </si>
  <si>
    <t>RGT AIRP M000363554 26/10/2024</t>
  </si>
  <si>
    <t>82024102600068323</t>
  </si>
  <si>
    <t>22963941823</t>
  </si>
  <si>
    <t>A0007567</t>
  </si>
  <si>
    <t>SAINTE VERONIQUE</t>
  </si>
  <si>
    <t>M000364569</t>
  </si>
  <si>
    <t>RGT AIRP M000364569 26/10/2024</t>
  </si>
  <si>
    <t>82024102600169949</t>
  </si>
  <si>
    <t>M000363874</t>
  </si>
  <si>
    <t>RGT AIRP M000363874 26/10/2024</t>
  </si>
  <si>
    <t>82024102600170001</t>
  </si>
  <si>
    <t>22965779122</t>
  </si>
  <si>
    <t>A0003756</t>
  </si>
  <si>
    <t>ONG ISSO-HANA</t>
  </si>
  <si>
    <t>M000363690</t>
  </si>
  <si>
    <t>RGT AIRP M000363690 26/10/2024</t>
  </si>
  <si>
    <t>82024102600242358</t>
  </si>
  <si>
    <t>M000364963</t>
  </si>
  <si>
    <t>RGT AIRP M000364963 26/10/2024</t>
  </si>
  <si>
    <t>62024102700053651</t>
  </si>
  <si>
    <t>M000358711</t>
  </si>
  <si>
    <t>RGT AIRP M000358711 27/10/2024</t>
  </si>
  <si>
    <t>62024102700287451</t>
  </si>
  <si>
    <t>M000365232</t>
  </si>
  <si>
    <t>RGT AIRP M000365232 27/10/2024</t>
  </si>
  <si>
    <t>62024102700602424</t>
  </si>
  <si>
    <t>22995792245</t>
  </si>
  <si>
    <t>A0007585</t>
  </si>
  <si>
    <t>SOUMANOU ABDUL SALAM DJALOUD</t>
  </si>
  <si>
    <t>M000364575</t>
  </si>
  <si>
    <t>RGT AIRP M000364575 27/10/2024</t>
  </si>
  <si>
    <t>62024102800073270</t>
  </si>
  <si>
    <t>22958394335</t>
  </si>
  <si>
    <t>A0008767</t>
  </si>
  <si>
    <t>N'OUENI IDA JUANITA TOBESSULU</t>
  </si>
  <si>
    <t>M000343671</t>
  </si>
  <si>
    <t>RGT AIRP M000343671 28/10/2024</t>
  </si>
  <si>
    <t>62024102800076784</t>
  </si>
  <si>
    <t>M000362851</t>
  </si>
  <si>
    <t>RGT AIRP M000362851 28/10/2024</t>
  </si>
  <si>
    <t>62024102800122709</t>
  </si>
  <si>
    <t>22995206060</t>
  </si>
  <si>
    <t>A0009387</t>
  </si>
  <si>
    <t>AW MAMADOU</t>
  </si>
  <si>
    <t>M000365313</t>
  </si>
  <si>
    <t>RGT AIRP M000365313 28/10/2024</t>
  </si>
  <si>
    <t>62024102800124472</t>
  </si>
  <si>
    <t>M000364759</t>
  </si>
  <si>
    <t>RGT AIRP M000364759 28/10/2024</t>
  </si>
  <si>
    <t>62024102800149451</t>
  </si>
  <si>
    <t>M000365373</t>
  </si>
  <si>
    <t>RGT AIRP M000365373 28/10/2024</t>
  </si>
  <si>
    <t>62024102800272094</t>
  </si>
  <si>
    <t>M000364722</t>
  </si>
  <si>
    <t>RGT AIRP M000364722 28/10/2024</t>
  </si>
  <si>
    <t>62024102800345893</t>
  </si>
  <si>
    <t>M000364127</t>
  </si>
  <si>
    <t>RGT AIRP M000364127 28/10/2024</t>
  </si>
  <si>
    <t>62024102800443328</t>
  </si>
  <si>
    <t>M000365278</t>
  </si>
  <si>
    <t>RGT AIRP M000365278 28/10/2024</t>
  </si>
  <si>
    <t>62024102800445527</t>
  </si>
  <si>
    <t>M000364789</t>
  </si>
  <si>
    <t>RGT AIRP M000364789 28/10/2024</t>
  </si>
  <si>
    <t>62024102800489034</t>
  </si>
  <si>
    <t>M000359260</t>
  </si>
  <si>
    <t>RGT AIRP M000359260 28/10/2024</t>
  </si>
  <si>
    <t>62024102800548201</t>
  </si>
  <si>
    <t>22945774880</t>
  </si>
  <si>
    <t>M000365203</t>
  </si>
  <si>
    <t>RGT AIRP M000365203 28/10/2024</t>
  </si>
  <si>
    <t>72024102800036621</t>
  </si>
  <si>
    <t>M000363716</t>
  </si>
  <si>
    <t>RGT AIRP M000363716 28/10/2024</t>
  </si>
  <si>
    <t>72024102800083220</t>
  </si>
  <si>
    <t>22964160464</t>
  </si>
  <si>
    <t>A0007674</t>
  </si>
  <si>
    <t>DEHAZOUMDE ENOCK JEAN</t>
  </si>
  <si>
    <t>M000362217</t>
  </si>
  <si>
    <t>RGT AIRP M000362217 28/10/2024</t>
  </si>
  <si>
    <t>72024102800152364</t>
  </si>
  <si>
    <t>M000365071</t>
  </si>
  <si>
    <t>RGT AIRP M000365071 28/10/2024</t>
  </si>
  <si>
    <t>72024102800200706</t>
  </si>
  <si>
    <t>22995409053</t>
  </si>
  <si>
    <t>A0009166</t>
  </si>
  <si>
    <t>SESSEAH</t>
  </si>
  <si>
    <t>M000365172</t>
  </si>
  <si>
    <t>RGT AIRP M000365172 28/10/2024</t>
  </si>
  <si>
    <t>72024102800229596</t>
  </si>
  <si>
    <t>M000362128</t>
  </si>
  <si>
    <t>RGT AIRP M000362128 28/10/2024</t>
  </si>
  <si>
    <t>72024102800237500</t>
  </si>
  <si>
    <t>M000362394</t>
  </si>
  <si>
    <t>RGT AIRP M000362394 28/10/2024</t>
  </si>
  <si>
    <t>82024102800066156</t>
  </si>
  <si>
    <t>M000365204</t>
  </si>
  <si>
    <t>RGT AIRP M000365204 28/10/2024</t>
  </si>
  <si>
    <t>82024102800072811</t>
  </si>
  <si>
    <t>M000363731</t>
  </si>
  <si>
    <t>RGT AIRP M000363731 28/10/2024</t>
  </si>
  <si>
    <t>82024102800076358</t>
  </si>
  <si>
    <t>22995845611</t>
  </si>
  <si>
    <t>A0004368</t>
  </si>
  <si>
    <t>LA VIE</t>
  </si>
  <si>
    <t>M000361392</t>
  </si>
  <si>
    <t>RGT AIRP M000361392 28/10/2024</t>
  </si>
  <si>
    <t>82024102800096191</t>
  </si>
  <si>
    <t>M000364997</t>
  </si>
  <si>
    <t>RGT AIRP M000364997 28/10/2024</t>
  </si>
  <si>
    <t>82024102800143814</t>
  </si>
  <si>
    <t>M000363580</t>
  </si>
  <si>
    <t>RGT AIRP M000363580 28/10/2024</t>
  </si>
  <si>
    <t>82024102800144760</t>
  </si>
  <si>
    <t>M000365275</t>
  </si>
  <si>
    <t>RGT AIRP M000365275 28/10/2024</t>
  </si>
  <si>
    <t>82024102800160055</t>
  </si>
  <si>
    <t>M000364758</t>
  </si>
  <si>
    <t>RGT AIRP M000364758 28/10/2024</t>
  </si>
  <si>
    <t>82024102800163160</t>
  </si>
  <si>
    <t>M000363674</t>
  </si>
  <si>
    <t>RGT AIRP M000363674 28/10/2024</t>
  </si>
  <si>
    <t>82024102800183893</t>
  </si>
  <si>
    <t>M000359986</t>
  </si>
  <si>
    <t>RGT AIRP M000359986 28/10/2024</t>
  </si>
  <si>
    <t>82024102800186639</t>
  </si>
  <si>
    <t>22995190404</t>
  </si>
  <si>
    <t>M000361884</t>
  </si>
  <si>
    <t>RGT AIRP M000361884 28/10/2024</t>
  </si>
  <si>
    <t>82024102800208857</t>
  </si>
  <si>
    <t>22995733569</t>
  </si>
  <si>
    <t>A0008743</t>
  </si>
  <si>
    <t>DG HOTEL</t>
  </si>
  <si>
    <t>M000364966</t>
  </si>
  <si>
    <t>RGT AIRP M000364966 28/10/2024</t>
  </si>
  <si>
    <t>82024102800271543</t>
  </si>
  <si>
    <t>22995647064</t>
  </si>
  <si>
    <t>A0003531</t>
  </si>
  <si>
    <t>IGS-BENIN</t>
  </si>
  <si>
    <t>M000361231</t>
  </si>
  <si>
    <t>RGT AIRP M000361231 28/10/2024</t>
  </si>
  <si>
    <t>62024102900020050</t>
  </si>
  <si>
    <t>22994541498</t>
  </si>
  <si>
    <t>A0007410</t>
  </si>
  <si>
    <t>DAGA OLAITAN PERICLES EDER</t>
  </si>
  <si>
    <t>M000364520</t>
  </si>
  <si>
    <t>RGT AIRP M000364520 29/10/2024</t>
  </si>
  <si>
    <t>62024102900075546</t>
  </si>
  <si>
    <t>M000364596</t>
  </si>
  <si>
    <t>RGT AIRP M000364596 29/10/2024</t>
  </si>
  <si>
    <t>62024102900159965</t>
  </si>
  <si>
    <t>22994692537</t>
  </si>
  <si>
    <t>A0004530</t>
  </si>
  <si>
    <t>FAM ET FILS</t>
  </si>
  <si>
    <t>M000363831</t>
  </si>
  <si>
    <t>RGT AIRP M000363831 29/10/2024</t>
  </si>
  <si>
    <t>62024102900180390</t>
  </si>
  <si>
    <t>M000364401</t>
  </si>
  <si>
    <t>RGT AIRP M000364401 29/10/2024</t>
  </si>
  <si>
    <t>62024102900208767</t>
  </si>
  <si>
    <t>M000364349</t>
  </si>
  <si>
    <t>RGT AIRP M000364349 29/10/2024</t>
  </si>
  <si>
    <t>62024102900236183</t>
  </si>
  <si>
    <t>M000360149</t>
  </si>
  <si>
    <t>RGT AIRP M000360149 29/10/2024</t>
  </si>
  <si>
    <t>62024102900336822</t>
  </si>
  <si>
    <t>M000364707</t>
  </si>
  <si>
    <t>RGT AIRP M000364707 29/10/2024</t>
  </si>
  <si>
    <t>62024102900391989</t>
  </si>
  <si>
    <t>22999454620</t>
  </si>
  <si>
    <t>A0009512</t>
  </si>
  <si>
    <t>HOUEZOUVO MERVEILLE ELVIRE H.</t>
  </si>
  <si>
    <t>M000365415</t>
  </si>
  <si>
    <t>RGT AIRP M000365415 29/10/2024</t>
  </si>
  <si>
    <t>62024102900438166</t>
  </si>
  <si>
    <t>22995060073</t>
  </si>
  <si>
    <t>A0006819</t>
  </si>
  <si>
    <t>CAMUFE</t>
  </si>
  <si>
    <t>M000364369</t>
  </si>
  <si>
    <t>RGT AIRP M000364369 29/10/2024</t>
  </si>
  <si>
    <t>62024102900450377</t>
  </si>
  <si>
    <t>M000363745</t>
  </si>
  <si>
    <t>RGT AIRP M000363745 29/10/2024</t>
  </si>
  <si>
    <t>62024102900655189</t>
  </si>
  <si>
    <t>M000364778</t>
  </si>
  <si>
    <t>RGT AIRP M000364778 29/10/2024</t>
  </si>
  <si>
    <t>72024102900093635</t>
  </si>
  <si>
    <t>22965476830</t>
  </si>
  <si>
    <t>A0003136</t>
  </si>
  <si>
    <t>SENALONHAN TRANSIT &amp; LOGISTIQUES</t>
  </si>
  <si>
    <t>M000363549</t>
  </si>
  <si>
    <t>RGT AIRP M000363549 29/10/2024</t>
  </si>
  <si>
    <t>72024102900146981</t>
  </si>
  <si>
    <t>M000365083</t>
  </si>
  <si>
    <t>RGT AIRP M000365083 29/10/2024</t>
  </si>
  <si>
    <t>72024102900229984</t>
  </si>
  <si>
    <t>22995157049</t>
  </si>
  <si>
    <t>A0008998</t>
  </si>
  <si>
    <t>K2 ARCHITECTES INTERNATIONAL</t>
  </si>
  <si>
    <t>M000365086</t>
  </si>
  <si>
    <t>RGT AIRP M000365086 29/10/2024</t>
  </si>
  <si>
    <t>72024102900254080</t>
  </si>
  <si>
    <t>M000365240</t>
  </si>
  <si>
    <t>RGT AIRP M000365240 29/10/2024</t>
  </si>
  <si>
    <t>72024102900273248</t>
  </si>
  <si>
    <t>22999000701</t>
  </si>
  <si>
    <t>A0005278</t>
  </si>
  <si>
    <t>OMEGAVOYAGES ET BUSINESS</t>
  </si>
  <si>
    <t>M000363973</t>
  </si>
  <si>
    <t>RGT AIRP M000363973 29/10/2024</t>
  </si>
  <si>
    <t>72024102900304447</t>
  </si>
  <si>
    <t>M000365140</t>
  </si>
  <si>
    <t>RGT AIRP M000365140 29/10/2024</t>
  </si>
  <si>
    <t>82024102900070776</t>
  </si>
  <si>
    <t>M000364020</t>
  </si>
  <si>
    <t>RGT AIRP M000364020 29/10/2024</t>
  </si>
  <si>
    <t>82024102900101766</t>
  </si>
  <si>
    <t>22963267879</t>
  </si>
  <si>
    <t>M000363264</t>
  </si>
  <si>
    <t>RGT AIRP M000363264 29/10/2024</t>
  </si>
  <si>
    <t>82024102900163458</t>
  </si>
  <si>
    <t>M000364619</t>
  </si>
  <si>
    <t>RGT AIRP M000364619 29/10/2024</t>
  </si>
  <si>
    <t>82024102900302536</t>
  </si>
  <si>
    <t>22960443203</t>
  </si>
  <si>
    <t>A0006434</t>
  </si>
  <si>
    <t>HAMMER BENIN</t>
  </si>
  <si>
    <t>M000364260</t>
  </si>
  <si>
    <t>RGT AIRP M000364260 29/10/2024</t>
  </si>
  <si>
    <t>82024102900328105</t>
  </si>
  <si>
    <t>22995020074</t>
  </si>
  <si>
    <t>A0009466</t>
  </si>
  <si>
    <t>SINA DAOUDA MAGAZIA MOUFIDATH</t>
  </si>
  <si>
    <t>M000365378</t>
  </si>
  <si>
    <t>RGT AIRP M000365378 29/10/2024</t>
  </si>
  <si>
    <t>82024102900424826</t>
  </si>
  <si>
    <t>M000364589</t>
  </si>
  <si>
    <t>RGT AIRP M000364589 29/10/2024</t>
  </si>
  <si>
    <t>82024102900447760</t>
  </si>
  <si>
    <t>M000364708</t>
  </si>
  <si>
    <t>RGT AIRP M000364708 29/10/2024</t>
  </si>
  <si>
    <t>82024102900457060</t>
  </si>
  <si>
    <t>22963200052</t>
  </si>
  <si>
    <t>M000364999</t>
  </si>
  <si>
    <t>RGT AIRP M000364999 29/10/2024</t>
  </si>
  <si>
    <t>62024103000066894</t>
  </si>
  <si>
    <t>M000364536</t>
  </si>
  <si>
    <t>RGT AIRP M000364536 30/10/2024</t>
  </si>
  <si>
    <t>62024103000179578</t>
  </si>
  <si>
    <t>M000364131</t>
  </si>
  <si>
    <t>RGT AIRP M000364131 30/10/2024</t>
  </si>
  <si>
    <t>62024103000188949</t>
  </si>
  <si>
    <t>M000365210</t>
  </si>
  <si>
    <t>RGT AIRP M000365210 30/10/2024</t>
  </si>
  <si>
    <t>62024103000236227</t>
  </si>
  <si>
    <t>M000363708</t>
  </si>
  <si>
    <t>RGT AIRP M000363708 30/10/2024</t>
  </si>
  <si>
    <t>62024103000273545</t>
  </si>
  <si>
    <t>M000365271</t>
  </si>
  <si>
    <t>RGT AIRP M000365271 30/10/2024</t>
  </si>
  <si>
    <t>62024103000327881</t>
  </si>
  <si>
    <t>22995927084</t>
  </si>
  <si>
    <t>A0008931</t>
  </si>
  <si>
    <t>ADJILE FUNMIKE ROSINE</t>
  </si>
  <si>
    <t>M000365043</t>
  </si>
  <si>
    <t>RGT AIRP M000365043 30/10/2024</t>
  </si>
  <si>
    <t>62024103000419919</t>
  </si>
  <si>
    <t>A0009430</t>
  </si>
  <si>
    <t>MAEURO GOD</t>
  </si>
  <si>
    <t>M000363025</t>
  </si>
  <si>
    <t>RGT AIRP M000363025 30/10/2024</t>
  </si>
  <si>
    <t>62024103000480591</t>
  </si>
  <si>
    <t>22995661295</t>
  </si>
  <si>
    <t>A0008987</t>
  </si>
  <si>
    <t>ADONAI NISSI ASSURANCES SAS</t>
  </si>
  <si>
    <t>M000365079</t>
  </si>
  <si>
    <t>RGT AIRP M000365079 30/10/2024</t>
  </si>
  <si>
    <t>62024103000489889</t>
  </si>
  <si>
    <t>M000363543</t>
  </si>
  <si>
    <t>RGT AIRP M000363543 30/10/2024</t>
  </si>
  <si>
    <t>72024103000078752</t>
  </si>
  <si>
    <t>22964323855</t>
  </si>
  <si>
    <t>A0009552</t>
  </si>
  <si>
    <t>ASSOUMA POUWEMDEOU LOUISE</t>
  </si>
  <si>
    <t>M000365447</t>
  </si>
  <si>
    <t>RGT AIRP M000365447 30/10/2024</t>
  </si>
  <si>
    <t>72024103000098902</t>
  </si>
  <si>
    <t>M000364885</t>
  </si>
  <si>
    <t>RGT AIRP M000364885 30/10/2024</t>
  </si>
  <si>
    <t>72024103000196757</t>
  </si>
  <si>
    <t>22995762054</t>
  </si>
  <si>
    <t>A0003276</t>
  </si>
  <si>
    <t>ENTREPRISE AFRIQUE CONSULT</t>
  </si>
  <si>
    <t>M000363581</t>
  </si>
  <si>
    <t>RGT AIRP M000363581 30/10/2024</t>
  </si>
  <si>
    <t>72024103000199809</t>
  </si>
  <si>
    <t>M000363876</t>
  </si>
  <si>
    <t>RGT AIRP M000363876 30/10/2024</t>
  </si>
  <si>
    <t>72024103000266290</t>
  </si>
  <si>
    <t>M000365267</t>
  </si>
  <si>
    <t>RGT AIRP M000365267 30/10/2024</t>
  </si>
  <si>
    <t>72024103000321257</t>
  </si>
  <si>
    <t>M000365234</t>
  </si>
  <si>
    <t>RGT AIRP M000365234 30/10/2024</t>
  </si>
  <si>
    <t>72024103000345061</t>
  </si>
  <si>
    <t>M000365446</t>
  </si>
  <si>
    <t>RGT AIRP M000365446 30/10/2024</t>
  </si>
  <si>
    <t>82024103000044248</t>
  </si>
  <si>
    <t>M000364449</t>
  </si>
  <si>
    <t>RGT AIRP M000364449 30/10/2024</t>
  </si>
  <si>
    <t>82024103000060019</t>
  </si>
  <si>
    <t>22960609543</t>
  </si>
  <si>
    <t>M000364892</t>
  </si>
  <si>
    <t>RGT AIRP M000364892 30/10/2024</t>
  </si>
  <si>
    <t>82024103000117692</t>
  </si>
  <si>
    <t>M000364355</t>
  </si>
  <si>
    <t>RGT AIRP M000364355 30/10/2024</t>
  </si>
  <si>
    <t>82024103000136374</t>
  </si>
  <si>
    <t>M000363868</t>
  </si>
  <si>
    <t>RGT AIRP M000363868 30/10/2024</t>
  </si>
  <si>
    <t>82024103000152021</t>
  </si>
  <si>
    <t>M000364356</t>
  </si>
  <si>
    <t>RGT AIRP M000364356 30/10/2024</t>
  </si>
  <si>
    <t>82024103000213453</t>
  </si>
  <si>
    <t>M000365262</t>
  </si>
  <si>
    <t>RGT AIRP M000365262 30/10/2024</t>
  </si>
  <si>
    <t>82024103000215986</t>
  </si>
  <si>
    <t>22965710190</t>
  </si>
  <si>
    <t>M000364749</t>
  </si>
  <si>
    <t>RGT AIRP M000364749 30/10/2024</t>
  </si>
  <si>
    <t>82024103000242179</t>
  </si>
  <si>
    <t>M000365116</t>
  </si>
  <si>
    <t>RGT AIRP M000365116 30/10/2024</t>
  </si>
  <si>
    <t>82024103000250223</t>
  </si>
  <si>
    <t>M000364509</t>
  </si>
  <si>
    <t>RGT AIRP M000364509 30/10/2024</t>
  </si>
  <si>
    <t>82024103000250688</t>
  </si>
  <si>
    <t>22995719775</t>
  </si>
  <si>
    <t>M000364335</t>
  </si>
  <si>
    <t>RGT AIRP M000364335 30/10/2024</t>
  </si>
  <si>
    <t>82024103000277872</t>
  </si>
  <si>
    <t>22955811550</t>
  </si>
  <si>
    <t>A0009584</t>
  </si>
  <si>
    <t>QALIDATUM SARL</t>
  </si>
  <si>
    <t>M000365473</t>
  </si>
  <si>
    <t>RGT AIRP M000365473 30/10/2024</t>
  </si>
  <si>
    <t>82024103000287167</t>
  </si>
  <si>
    <t>M000363638</t>
  </si>
  <si>
    <t>RGT AIRP M000363638 30/10/2024</t>
  </si>
  <si>
    <t>82024103000296947</t>
  </si>
  <si>
    <t>M000363508</t>
  </si>
  <si>
    <t>RGT AIRP M000363508 30/10/2024</t>
  </si>
  <si>
    <t>82024103000327754</t>
  </si>
  <si>
    <t>A0009568</t>
  </si>
  <si>
    <t>FASSINOU EPSE AWOUNOU FIDELIA</t>
  </si>
  <si>
    <t>M000365459</t>
  </si>
  <si>
    <t>RGT AIRP M000365459 30/10/2024</t>
  </si>
  <si>
    <t>82024103000373553</t>
  </si>
  <si>
    <t>A0009239</t>
  </si>
  <si>
    <t>GBAKA ET FILS SERVICES</t>
  </si>
  <si>
    <t>M000365213</t>
  </si>
  <si>
    <t>RGT AIRP M000365213 30/10/2024</t>
  </si>
  <si>
    <t>82024103000385139</t>
  </si>
  <si>
    <t>M000363901</t>
  </si>
  <si>
    <t>RGT AIRP M000363901 30/10/2024</t>
  </si>
  <si>
    <t>82024103000444694</t>
  </si>
  <si>
    <t>M000363127</t>
  </si>
  <si>
    <t>RGT AIRP M000363127 30/10/2024</t>
  </si>
  <si>
    <t>82024103000528800</t>
  </si>
  <si>
    <t>M000364911</t>
  </si>
  <si>
    <t>RGT AIRP M000364911 30/10/2024</t>
  </si>
  <si>
    <t>82024103000544470</t>
  </si>
  <si>
    <t>22995558010</t>
  </si>
  <si>
    <t>A0006111</t>
  </si>
  <si>
    <t>CORA BTP</t>
  </si>
  <si>
    <t>M000364163</t>
  </si>
  <si>
    <t>RGT AIRP M000364163 30/10/2024</t>
  </si>
  <si>
    <t>22995657754</t>
  </si>
  <si>
    <t>A0006693</t>
  </si>
  <si>
    <t>URBAN TECHNOLOGY SARL</t>
  </si>
  <si>
    <t>22999914342</t>
  </si>
  <si>
    <t>A0005912</t>
  </si>
  <si>
    <t>ZINFLOU ET FILS</t>
  </si>
  <si>
    <t>22994694555</t>
  </si>
  <si>
    <t>A0008348</t>
  </si>
  <si>
    <t>DELCOM GROUP SARL</t>
  </si>
  <si>
    <t>Source : Sage X3</t>
  </si>
  <si>
    <t>Date d'impression :</t>
  </si>
  <si>
    <t>Nom du rapport : Transactions Moov Money intégrées dans Sage X3</t>
  </si>
  <si>
    <t xml:space="preserve">Page : </t>
  </si>
  <si>
    <t>sur</t>
  </si>
  <si>
    <t>MOOV TOGO</t>
  </si>
  <si>
    <t>RELIQUAT SEPT</t>
  </si>
  <si>
    <t>TOTAL OCT 24</t>
  </si>
  <si>
    <t xml:space="preserve"> A ENLEVER SUR LE CAPITAL </t>
  </si>
  <si>
    <t>TOTAL DECAISSEMENTS OCTOBRE 2024</t>
  </si>
  <si>
    <t xml:space="preserve">Détail Décaissements  OCTOBRE 2024         </t>
  </si>
  <si>
    <t>AMIDOU AYATODE</t>
  </si>
  <si>
    <t>SALAIRE SEPTEMBRE 2024</t>
  </si>
  <si>
    <t>LUDOVIC SERGE</t>
  </si>
  <si>
    <t>JEAN OUSSOU ATODJINOU</t>
  </si>
  <si>
    <t>BERKATH SARL</t>
  </si>
  <si>
    <t>GUEZODJE LUDOVIC SERGE</t>
  </si>
  <si>
    <t>ECO DE GENIE CIVIL</t>
  </si>
  <si>
    <t>MALF ET SERVICES</t>
  </si>
  <si>
    <t xml:space="preserve">SEFROTEL </t>
  </si>
  <si>
    <t>ABE FONDS PROPRES</t>
  </si>
  <si>
    <t>AKOUTOU NICOLAS</t>
  </si>
  <si>
    <t>CETELEC BENIN</t>
  </si>
  <si>
    <t>GNONLONFOUN BADEDELEY</t>
  </si>
  <si>
    <t>FADONOUGBO FIRAS</t>
  </si>
  <si>
    <t>ELECTRO DESIGN</t>
  </si>
  <si>
    <t>CYBERSOC</t>
  </si>
  <si>
    <t>JUNIOR GBEGO TOSSA</t>
  </si>
  <si>
    <t>PAMPHILE FAGLA</t>
  </si>
  <si>
    <t>WORLD CONSULTING GROUP</t>
  </si>
  <si>
    <t>KW NEWS BENIN</t>
  </si>
  <si>
    <t>GDIZ</t>
  </si>
  <si>
    <t>SENANMINDE</t>
  </si>
  <si>
    <t>GROUPE CEFROMO</t>
  </si>
  <si>
    <t>ARECP BENIN</t>
  </si>
  <si>
    <t xml:space="preserve">SBEE COMPTE SEQUESTRE </t>
  </si>
  <si>
    <t>TONOU ABLAWA NOELIE</t>
  </si>
  <si>
    <t>MOHAMMED MORAKKAM</t>
  </si>
  <si>
    <t>OMAR NAHLI</t>
  </si>
  <si>
    <t>ARNAUD HOUNBIYE</t>
  </si>
  <si>
    <t>DGTCP (REDEVANCE ARCEP 10% POSTE)</t>
  </si>
  <si>
    <t>DGTCP (REDEVANCE ARCEP 10% UBA)</t>
  </si>
  <si>
    <t>MOUSTAPHA EL HOUITY</t>
  </si>
  <si>
    <t>DGTCP (REDEVANCE ARCEP 10% ORABANK)</t>
  </si>
  <si>
    <t>BOBDA JEAN CHRISTOPHE</t>
  </si>
  <si>
    <t>PAIEMENT IMPOT SUR ECOBANK</t>
  </si>
  <si>
    <t>PAIEMENT IMPOT SUR BABE</t>
  </si>
  <si>
    <t>DGTCP DRT DE DOUANE</t>
  </si>
  <si>
    <t>MONDJI DODJI</t>
  </si>
  <si>
    <t>PAIEMENT IMPOT SUR UBA</t>
  </si>
  <si>
    <t>COMMUNE DE DJOUGOU</t>
  </si>
  <si>
    <t>COMMUNE D'ABOMEY CALAVI</t>
  </si>
  <si>
    <t>ORYX</t>
  </si>
  <si>
    <t>APE EFE MONTAIGNE</t>
  </si>
  <si>
    <t xml:space="preserve">JIAXING </t>
  </si>
  <si>
    <t>KIRUSA</t>
  </si>
  <si>
    <t>LETTRE DE CREDIT SAGEMCOM</t>
  </si>
  <si>
    <t>ÉTÉ SARL</t>
  </si>
  <si>
    <t>MAXIME AKPLOGAN</t>
  </si>
  <si>
    <t>DELOITTE BENIN</t>
  </si>
  <si>
    <t>OBRGM</t>
  </si>
  <si>
    <t>SEDJRO ADJOUA</t>
  </si>
  <si>
    <t>DOVONOU ELVIRE</t>
  </si>
  <si>
    <t>PAULIN NOULONVI</t>
  </si>
  <si>
    <t>NOUDOFININ CELESTIN</t>
  </si>
  <si>
    <t xml:space="preserve">LAWANI CESAIRE COLETTE </t>
  </si>
  <si>
    <t>ADEFUNKE ADEWODU</t>
  </si>
  <si>
    <t>AGBO YELIAN JOCELYN</t>
  </si>
  <si>
    <t>GOGITECH</t>
  </si>
  <si>
    <t>RAPPROCHEMENT SBEE MARS 2024</t>
  </si>
  <si>
    <t>INNOV BENIN</t>
  </si>
  <si>
    <t>COMMUNE DE KARIMAMA</t>
  </si>
  <si>
    <t>COMMUNE DE COVE</t>
  </si>
  <si>
    <t>MAIRIE DE LALO</t>
  </si>
  <si>
    <t>MAIRIE D'AKPRO MISSERETE</t>
  </si>
  <si>
    <t>CIFM</t>
  </si>
  <si>
    <t>DONA JEAN BAPTISTE AGBOGLO</t>
  </si>
  <si>
    <t>ALLAH PAUL ZINSOU</t>
  </si>
  <si>
    <t>DANDJESSO</t>
  </si>
  <si>
    <t>ACELO</t>
  </si>
  <si>
    <t>FAGBETI IRENEE</t>
  </si>
  <si>
    <t>OGOUDIRIN WILSON</t>
  </si>
  <si>
    <t>SUCCESSION FEU ADJANOHOUN BENOIT</t>
  </si>
  <si>
    <t>LEMOINE DRT DOUANE</t>
  </si>
  <si>
    <t>MULTI SERVICES ASSISTANCES</t>
  </si>
  <si>
    <t>DES LANLO ROGER</t>
  </si>
  <si>
    <t>PAIEMENT SALAIRE OCTOBRE 2024</t>
  </si>
  <si>
    <t>KOUGBLA AHOGBLESSI</t>
  </si>
  <si>
    <t>MANE GERE ASSOCIES</t>
  </si>
  <si>
    <t>COFIG SARL</t>
  </si>
  <si>
    <t>MOGIV BTP</t>
  </si>
  <si>
    <t>COGITECH BENIN</t>
  </si>
  <si>
    <t>RACHIDI ALIOU ALAIN</t>
  </si>
  <si>
    <t>AHOKPE NARCISSE</t>
  </si>
  <si>
    <t>reliquat sept 24</t>
  </si>
  <si>
    <t>TOTAL REEL OCT</t>
  </si>
  <si>
    <t>Règlements comptoir générés 01/11/2024 au  30/11/2024</t>
  </si>
  <si>
    <t>CCHQ</t>
  </si>
  <si>
    <t>CESP</t>
  </si>
  <si>
    <t>CMOB</t>
  </si>
  <si>
    <t>CQUI</t>
  </si>
  <si>
    <t>CVIR</t>
  </si>
  <si>
    <t>Encaissement des postpaids de l'agence:AEROP à ZONGO</t>
  </si>
  <si>
    <t>Du 01/11/2024 au 30/11/2024</t>
  </si>
  <si>
    <t>Encaissements de caution 01/11/2024 au  30/11/2024</t>
  </si>
  <si>
    <t>CAUT /PROJET CORRIDOR</t>
  </si>
  <si>
    <t>CAUT DATA/RIVALTEC</t>
  </si>
  <si>
    <t>CAUT ROAMING/AFAD STEEL</t>
  </si>
  <si>
    <t>CAUT/HORIZON CONSTRUCTION</t>
  </si>
  <si>
    <t>CAUTION GBMW</t>
  </si>
  <si>
    <t>COMPT ROAMING/DEEP CLEANING</t>
  </si>
  <si>
    <t>Audit de la facturation master du 01/11/2024 au 30/11/2024</t>
  </si>
  <si>
    <t>FACCOCOT24110047</t>
  </si>
  <si>
    <t>FACSTVSS24110117</t>
  </si>
  <si>
    <t>FACAGLA124110020</t>
  </si>
  <si>
    <t>FACTANTO24110243</t>
  </si>
  <si>
    <t>ALUCI</t>
  </si>
  <si>
    <t>FACPORTO24110146</t>
  </si>
  <si>
    <t>FACAZOVE24110092</t>
  </si>
  <si>
    <t>FACMENON24110170</t>
  </si>
  <si>
    <t>FACSTVSS24110344</t>
  </si>
  <si>
    <t>FACSTVSS24110347</t>
  </si>
  <si>
    <t>FACCALAV24110205</t>
  </si>
  <si>
    <t>ENLBOHIC24110001</t>
  </si>
  <si>
    <t>ENLBOHIC24110002</t>
  </si>
  <si>
    <t>ENLSTADV24110007</t>
  </si>
  <si>
    <t>FACPARAK24110303</t>
  </si>
  <si>
    <t>FACPORTO24110318</t>
  </si>
  <si>
    <t>ENLSTADV24110001</t>
  </si>
  <si>
    <t>ENLPORTO24110001</t>
  </si>
  <si>
    <t>FACPARAK24110267</t>
  </si>
  <si>
    <t>FACBOHIC24110112</t>
  </si>
  <si>
    <t>HCEDR</t>
  </si>
  <si>
    <t>FACKANDI24110075</t>
  </si>
  <si>
    <t>FACUNIPA24110077</t>
  </si>
  <si>
    <t>FACTANTO24110269</t>
  </si>
  <si>
    <t>ENLSTADV24110002</t>
  </si>
  <si>
    <t>ENLSTADV24110009</t>
  </si>
  <si>
    <t>FACKANDI24110081</t>
  </si>
  <si>
    <t>FACCALAV24110407</t>
  </si>
  <si>
    <t>ENLSTADV24110004</t>
  </si>
  <si>
    <t>FACPORTO24110465</t>
  </si>
  <si>
    <t>FACSTVSS24110292</t>
  </si>
  <si>
    <t>FACPORTO24110456</t>
  </si>
  <si>
    <t>ENLSTADV24110008</t>
  </si>
  <si>
    <t>FACTANTO24110128</t>
  </si>
  <si>
    <t>FACPORTO24110309</t>
  </si>
  <si>
    <t>FACPORTO24110037</t>
  </si>
  <si>
    <t>FACGLODJ24110123</t>
  </si>
  <si>
    <t>BHALI</t>
  </si>
  <si>
    <t>FACLOKOS24110113</t>
  </si>
  <si>
    <t>FACNATIT24110054</t>
  </si>
  <si>
    <t>FACGLODJ24110025</t>
  </si>
  <si>
    <t>FACTANTO24110214</t>
  </si>
  <si>
    <t>FACCOCOT24110256</t>
  </si>
  <si>
    <t>FACTANTO24110260</t>
  </si>
  <si>
    <t>FACETOIL24110089</t>
  </si>
  <si>
    <t>FACNATIT24110135</t>
  </si>
  <si>
    <t>FACASIEG24110073</t>
  </si>
  <si>
    <t>GTHIB</t>
  </si>
  <si>
    <t>FACETOIL24110121</t>
  </si>
  <si>
    <t>FACPARAK24110179</t>
  </si>
  <si>
    <t>FACETOIL24110297</t>
  </si>
  <si>
    <t>ENLSTADV24110005</t>
  </si>
  <si>
    <t>FACPARAK24110314</t>
  </si>
  <si>
    <t>FACPARAK24110294</t>
  </si>
  <si>
    <t>FACPARAK24110304</t>
  </si>
  <si>
    <t>FACPORTO24110317</t>
  </si>
  <si>
    <t>FACLOKOS24110209</t>
  </si>
  <si>
    <t>FACKANDI24110182</t>
  </si>
  <si>
    <t>FACCALAV24110438</t>
  </si>
  <si>
    <t>FACSEGBE24110169</t>
  </si>
  <si>
    <t>FACBOHIC24110184</t>
  </si>
  <si>
    <t>FACUNIPA24110078</t>
  </si>
  <si>
    <t>AVOSTADV24110001</t>
  </si>
  <si>
    <t>ENLSTADV24110006</t>
  </si>
  <si>
    <t>FACPORTO24110025</t>
  </si>
  <si>
    <t>FACASIEG24110321</t>
  </si>
  <si>
    <t>FACPARAK24110447</t>
  </si>
  <si>
    <t>FACBOHIC24110089</t>
  </si>
  <si>
    <t>FACCALAV24110025</t>
  </si>
  <si>
    <t>FACCALAV24110225</t>
  </si>
  <si>
    <t>FACAGLA124110214</t>
  </si>
  <si>
    <t>FACCOCOT24110255</t>
  </si>
  <si>
    <t>SSEGO</t>
  </si>
  <si>
    <t>FACBOHIC24110312</t>
  </si>
  <si>
    <t>FACETOIL24110198</t>
  </si>
  <si>
    <t>ENLPARAK24110001</t>
  </si>
  <si>
    <t>FACUNIPA24110166</t>
  </si>
  <si>
    <t>FACPARAK24110363</t>
  </si>
  <si>
    <t>DRICH</t>
  </si>
  <si>
    <t>FACLOKOS24110152</t>
  </si>
  <si>
    <t>FACPARAK24110191</t>
  </si>
  <si>
    <t>FACPOBE124110074</t>
  </si>
  <si>
    <t>FACPARAK24110345</t>
  </si>
  <si>
    <t>FACUNIPA24110152</t>
  </si>
  <si>
    <t>FACNATIT24110183</t>
  </si>
  <si>
    <t>DCASS</t>
  </si>
  <si>
    <t>FACPARAK24110194</t>
  </si>
  <si>
    <t>ENLSTADV24110003</t>
  </si>
  <si>
    <t>FACBOHIC24110305</t>
  </si>
  <si>
    <t>MROGA</t>
  </si>
  <si>
    <t>FACPARAK24110370</t>
  </si>
  <si>
    <t>FACCALAV24110185</t>
  </si>
  <si>
    <t>FACCOME124110034</t>
  </si>
  <si>
    <t>FACCOME124110036</t>
  </si>
  <si>
    <t>FACCOME124110032</t>
  </si>
  <si>
    <t>KPRIS</t>
  </si>
  <si>
    <t>FACCOME124110050</t>
  </si>
  <si>
    <t>FACCOME124110070</t>
  </si>
  <si>
    <t>FACSIEGM24110001</t>
  </si>
  <si>
    <t>FACSTVSS24110219</t>
  </si>
  <si>
    <t>FACPORTO24110036</t>
  </si>
  <si>
    <t>FACCOME124110020</t>
  </si>
  <si>
    <t>FACBOHIC24110090</t>
  </si>
  <si>
    <t>FACCOME124110011</t>
  </si>
  <si>
    <t>FACNATIT24110082</t>
  </si>
  <si>
    <t>FACCOME124110028</t>
  </si>
  <si>
    <t>FACBOHIC24110093</t>
  </si>
  <si>
    <t>FACPORTO24110016</t>
  </si>
  <si>
    <t>FACPORTO24110685</t>
  </si>
  <si>
    <t>FACGANHI24110166</t>
  </si>
  <si>
    <t>FACGANHI24110167</t>
  </si>
  <si>
    <t>FACPARAK24110474</t>
  </si>
  <si>
    <t>FACGANHI24110168</t>
  </si>
  <si>
    <t>FACPARAK24111060</t>
  </si>
  <si>
    <t>ENLPARAK24110003</t>
  </si>
  <si>
    <t>FACCALAV24110649</t>
  </si>
  <si>
    <t>FACPORTO24110518</t>
  </si>
  <si>
    <t>FACPARAK24110794</t>
  </si>
  <si>
    <t>FACPARAK24110542</t>
  </si>
  <si>
    <t>FACAGLA124110569</t>
  </si>
  <si>
    <t>KMARI</t>
  </si>
  <si>
    <t>FACPORTO24110886</t>
  </si>
  <si>
    <t>FACSEGBE24110602</t>
  </si>
  <si>
    <t>FACBOHIC24110688</t>
  </si>
  <si>
    <t>FACETOIL24110640</t>
  </si>
  <si>
    <t>FACPARAK24110546</t>
  </si>
  <si>
    <t>FACPARAK24110550</t>
  </si>
  <si>
    <t>FACCOCOT24110547</t>
  </si>
  <si>
    <t>FACSTVSS24110804</t>
  </si>
  <si>
    <t>FACPARAK24111048</t>
  </si>
  <si>
    <t>FACETOIL24110815</t>
  </si>
  <si>
    <t>AFALL</t>
  </si>
  <si>
    <t>FACBOHIC24110757</t>
  </si>
  <si>
    <t>FACKANDI24110255</t>
  </si>
  <si>
    <t>FACCALAV24110672</t>
  </si>
  <si>
    <t>FACPORTO24110977</t>
  </si>
  <si>
    <t>FACCOME124110323</t>
  </si>
  <si>
    <t>FACPARAK24110948</t>
  </si>
  <si>
    <t>FACPARAK24110949</t>
  </si>
  <si>
    <t>FACPORTO24110978</t>
  </si>
  <si>
    <t>FACPORTO24110660</t>
  </si>
  <si>
    <t>FACPORTO24111019</t>
  </si>
  <si>
    <t>FACPARAK24110575</t>
  </si>
  <si>
    <t>FACPARAK24110976</t>
  </si>
  <si>
    <t>FACPARAK24111050</t>
  </si>
  <si>
    <t>FACPARAK24110577</t>
  </si>
  <si>
    <t>FACPORTO24110658</t>
  </si>
  <si>
    <t>FACBOHIC24110823</t>
  </si>
  <si>
    <t>FACUNIPA24110344</t>
  </si>
  <si>
    <t>FACBOHIC24110827</t>
  </si>
  <si>
    <t>ENLSTADV24110018</t>
  </si>
  <si>
    <t>FACCALAV24110932</t>
  </si>
  <si>
    <t>FACCOCOT24110593</t>
  </si>
  <si>
    <t>FACPARAK24110805</t>
  </si>
  <si>
    <t>FACETOIL24110763</t>
  </si>
  <si>
    <t>ATHIE</t>
  </si>
  <si>
    <t>FACSTVSS24111052</t>
  </si>
  <si>
    <t>FACPORTO24111014</t>
  </si>
  <si>
    <t>FACCALAV24110602</t>
  </si>
  <si>
    <t>FACASIEG24110690</t>
  </si>
  <si>
    <t>FACCALAV24110608</t>
  </si>
  <si>
    <t>FACBOHIC24110886</t>
  </si>
  <si>
    <t>ENLBOHIC24110003</t>
  </si>
  <si>
    <t>FACSTVSS24111081</t>
  </si>
  <si>
    <t>FACCOCOT24110508</t>
  </si>
  <si>
    <t>FACPARAK24110895</t>
  </si>
  <si>
    <t>FACSTVSS24111076</t>
  </si>
  <si>
    <t>FACNATIT24110670</t>
  </si>
  <si>
    <t>FACCOME124110233</t>
  </si>
  <si>
    <t>FACCALAV24111004</t>
  </si>
  <si>
    <t>GFANN</t>
  </si>
  <si>
    <t>FACGANHI24110272</t>
  </si>
  <si>
    <t>FACSTVSS24110554</t>
  </si>
  <si>
    <t>FACPARAK24110567</t>
  </si>
  <si>
    <t>FACBOHIC24110723</t>
  </si>
  <si>
    <t>FACPARAK24110730</t>
  </si>
  <si>
    <t>FACASIEG24111006</t>
  </si>
  <si>
    <t>FACNATIT24110432</t>
  </si>
  <si>
    <t>TCHAR</t>
  </si>
  <si>
    <t>FACBOHIC24110727</t>
  </si>
  <si>
    <t>FACKANDI24110237</t>
  </si>
  <si>
    <t>FACPARAK24110787</t>
  </si>
  <si>
    <t>ENLSTADV24110017</t>
  </si>
  <si>
    <t>FACAZOVE24110302</t>
  </si>
  <si>
    <t>ENLPARAK24110002</t>
  </si>
  <si>
    <t>FACPARAK24110761</t>
  </si>
  <si>
    <t>ENLCALAV24110001</t>
  </si>
  <si>
    <t>FACPORTO24110752</t>
  </si>
  <si>
    <t>FACNATIT24110449</t>
  </si>
  <si>
    <t>FACPARAK24111059</t>
  </si>
  <si>
    <t>ENLSTADV24110011</t>
  </si>
  <si>
    <t>FACCOCOT24110585</t>
  </si>
  <si>
    <t>FACMENON24110529</t>
  </si>
  <si>
    <t>FACCOCOT24110922</t>
  </si>
  <si>
    <t>FACPARAK24111061</t>
  </si>
  <si>
    <t>FACPORTO24110733</t>
  </si>
  <si>
    <t>FACPARAK24111010</t>
  </si>
  <si>
    <t>ENLCALAV24110002</t>
  </si>
  <si>
    <t>FACSTVSS24110943</t>
  </si>
  <si>
    <t>FACBOHIC24110970</t>
  </si>
  <si>
    <t>FACPARAK24110629</t>
  </si>
  <si>
    <t>ENLPORTO24110002</t>
  </si>
  <si>
    <t>M0000011</t>
  </si>
  <si>
    <t>AFTEL GROUP</t>
  </si>
  <si>
    <t>FACGLODJ24110284</t>
  </si>
  <si>
    <t>FACSTVSS24111113</t>
  </si>
  <si>
    <t>FACNATIT24110448</t>
  </si>
  <si>
    <t>FACPARAK24110863</t>
  </si>
  <si>
    <t>FACDJOUG24110335</t>
  </si>
  <si>
    <t>BFAOU</t>
  </si>
  <si>
    <t>FACBOHIC24110585</t>
  </si>
  <si>
    <t>FACPARAK24111040</t>
  </si>
  <si>
    <t>FACETOIL24110800</t>
  </si>
  <si>
    <t>FACSTVSS24111088</t>
  </si>
  <si>
    <t>DNOUC</t>
  </si>
  <si>
    <t>FACCOME124110178</t>
  </si>
  <si>
    <t>FACNATIT24110668</t>
  </si>
  <si>
    <t>FACMENON24110377</t>
  </si>
  <si>
    <t>TBERN</t>
  </si>
  <si>
    <t>FACNATIT24110456</t>
  </si>
  <si>
    <t>FACETOIL24110613</t>
  </si>
  <si>
    <t>ENLSTADV24110014</t>
  </si>
  <si>
    <t>ENLSTADV24110015</t>
  </si>
  <si>
    <t>FACAGLA124110537</t>
  </si>
  <si>
    <t>FACPARAK24110858</t>
  </si>
  <si>
    <t>FACCOME124110338</t>
  </si>
  <si>
    <t>ENLSTADV24110022</t>
  </si>
  <si>
    <t>FACPARAK24111098</t>
  </si>
  <si>
    <t>FACPOBE124110254</t>
  </si>
  <si>
    <t>FACPARAK24110700</t>
  </si>
  <si>
    <t>FACCALAV24110895</t>
  </si>
  <si>
    <t>FACCALAV24110901</t>
  </si>
  <si>
    <t>ENLPORTO24110003</t>
  </si>
  <si>
    <t>FACBOHIC24110432</t>
  </si>
  <si>
    <t>ENLSTADV24110010</t>
  </si>
  <si>
    <t>FACTANTO24110424</t>
  </si>
  <si>
    <t>FACMENON24110431</t>
  </si>
  <si>
    <t>FACCALAV24110927</t>
  </si>
  <si>
    <t>FACAZOVE24110366</t>
  </si>
  <si>
    <t>FACPARAK24111049</t>
  </si>
  <si>
    <t>FACSTVSS24110562</t>
  </si>
  <si>
    <t>FACBOHIC24110783</t>
  </si>
  <si>
    <t>FACMENON24110659</t>
  </si>
  <si>
    <t>FACPARAK24111046</t>
  </si>
  <si>
    <t>FACCALAV24110709</t>
  </si>
  <si>
    <t>FACETOIL24110813</t>
  </si>
  <si>
    <t>FACNATIT24110656</t>
  </si>
  <si>
    <t>FACNATIT24110657</t>
  </si>
  <si>
    <t>FACETOIL24110644</t>
  </si>
  <si>
    <t>FACCOCOT24110769</t>
  </si>
  <si>
    <t>FACSTVSS24111083</t>
  </si>
  <si>
    <t>FACGLODJ24110289</t>
  </si>
  <si>
    <t>FACCALAV24110670</t>
  </si>
  <si>
    <t>ENLSTADV24110020</t>
  </si>
  <si>
    <t>FACLOKOS24110416</t>
  </si>
  <si>
    <t>FACPARAK24110573</t>
  </si>
  <si>
    <t>FACCOCOT24110912</t>
  </si>
  <si>
    <t>FACNATIT24110635</t>
  </si>
  <si>
    <t>ENLSTADV24110023</t>
  </si>
  <si>
    <t>FACCOME124110167</t>
  </si>
  <si>
    <t>FACCALAV24111005</t>
  </si>
  <si>
    <t>DANSE</t>
  </si>
  <si>
    <t>FACPARAK24110595</t>
  </si>
  <si>
    <t>FACKANDI24110448</t>
  </si>
  <si>
    <t>FACGLODJ24110285</t>
  </si>
  <si>
    <t>FACCOCOT24110725</t>
  </si>
  <si>
    <t>DMIRA</t>
  </si>
  <si>
    <t>FACASIEG24110980</t>
  </si>
  <si>
    <t>FPATR</t>
  </si>
  <si>
    <t>FACCALAV24110842</t>
  </si>
  <si>
    <t>FACPARAK24110603</t>
  </si>
  <si>
    <t>ENLSTADV24110024</t>
  </si>
  <si>
    <t>FACCOCOT24110897</t>
  </si>
  <si>
    <t>FACPARAK24110614</t>
  </si>
  <si>
    <t>FACBOHIC24110594</t>
  </si>
  <si>
    <t>ENLSTADV24110019</t>
  </si>
  <si>
    <t>FACGANHI24110238</t>
  </si>
  <si>
    <t>FACGANHI24110239</t>
  </si>
  <si>
    <t>FACNATIT24110412</t>
  </si>
  <si>
    <t>FACNATIT24110653</t>
  </si>
  <si>
    <t>FACCALAV24111021</t>
  </si>
  <si>
    <t>FACCALAV24110870</t>
  </si>
  <si>
    <t>ENLSTADV24110012</t>
  </si>
  <si>
    <t>M0000010</t>
  </si>
  <si>
    <t>UNIQUE TRUST SA</t>
  </si>
  <si>
    <t>ENLSTADV24110013</t>
  </si>
  <si>
    <t>FACSTVSS24110999</t>
  </si>
  <si>
    <t>FACCALAV24110646</t>
  </si>
  <si>
    <t>FACBOHIC24110579</t>
  </si>
  <si>
    <t>FACBOHIC24110582</t>
  </si>
  <si>
    <t>FACCALAV24110807</t>
  </si>
  <si>
    <t>FACBOHIC24110459</t>
  </si>
  <si>
    <t>FACPORTO24110515</t>
  </si>
  <si>
    <t>FACBOHIC24110467</t>
  </si>
  <si>
    <t>FACPARAK24110693</t>
  </si>
  <si>
    <t>FACBOHIC24110626</t>
  </si>
  <si>
    <t>FACBOHIC24110627</t>
  </si>
  <si>
    <t>ENLSTADV24110016</t>
  </si>
  <si>
    <t>FACDJOUG24110288</t>
  </si>
  <si>
    <t>FACCALAV24110919</t>
  </si>
  <si>
    <t>FACCALAV24110525</t>
  </si>
  <si>
    <t>FACCALAV24111000</t>
  </si>
  <si>
    <t>FACPARAK24110773</t>
  </si>
  <si>
    <t>FACMENON24110567</t>
  </si>
  <si>
    <t>FACBOHIC24110881</t>
  </si>
  <si>
    <t>FACCALAV24110609</t>
  </si>
  <si>
    <t>FACCOME124110226</t>
  </si>
  <si>
    <t>FACCOCOT24110920</t>
  </si>
  <si>
    <t>FACBOHIC24110682</t>
  </si>
  <si>
    <t>FACCOCOT24110910</t>
  </si>
  <si>
    <t>FACCOME124110181</t>
  </si>
  <si>
    <t>FACPARAK24110888</t>
  </si>
  <si>
    <t>FACAZOVE24110264</t>
  </si>
  <si>
    <t>FACCOCOT24110665</t>
  </si>
  <si>
    <t>FACNATIT24110569</t>
  </si>
  <si>
    <t>ENLKANDI24110001</t>
  </si>
  <si>
    <t>ENLSTADV24110021</t>
  </si>
  <si>
    <t>FACAGLA124110778</t>
  </si>
  <si>
    <t>FACSTVSS24111074</t>
  </si>
  <si>
    <t>FACSEGBE24110605</t>
  </si>
  <si>
    <t>FACAZOVE24110266</t>
  </si>
  <si>
    <t>FACGLODJ24110214</t>
  </si>
  <si>
    <t>ENLNATIT24110001</t>
  </si>
  <si>
    <t>FACKANDI24110384</t>
  </si>
  <si>
    <t>FACNATIT24110535</t>
  </si>
  <si>
    <t>FACPARAK24111053</t>
  </si>
  <si>
    <t>FACPARAK24111054</t>
  </si>
  <si>
    <t>FACCALAV24110921</t>
  </si>
  <si>
    <t>FACCOCOT24110836</t>
  </si>
  <si>
    <t>FACAGLA124110492</t>
  </si>
  <si>
    <t>FACLOKOS24110377</t>
  </si>
  <si>
    <t>FACNATIT24110523</t>
  </si>
  <si>
    <t>FACNATIT24110538</t>
  </si>
  <si>
    <t>FACAGLA124110750</t>
  </si>
  <si>
    <t>FACETOIL24110745</t>
  </si>
  <si>
    <t>FACAZOVE24110427</t>
  </si>
  <si>
    <t>ENLKANDI24110002</t>
  </si>
  <si>
    <t>FACPARAK24110551</t>
  </si>
  <si>
    <t>FACNATIT24110333</t>
  </si>
  <si>
    <t>FACPARAK24110946</t>
  </si>
  <si>
    <t>FACCALAV24110820</t>
  </si>
  <si>
    <t>FACPARAK24111044</t>
  </si>
  <si>
    <t>FACPARAK24111045</t>
  </si>
  <si>
    <t>FACPARAK24111047</t>
  </si>
  <si>
    <t>FACBOHIC24110725</t>
  </si>
  <si>
    <t>ENLSTADV24110027</t>
  </si>
  <si>
    <t>FACAZOVE24110567</t>
  </si>
  <si>
    <t>FACAGLA124111003</t>
  </si>
  <si>
    <t>FACBOHIC24111076</t>
  </si>
  <si>
    <t>FACAZOVE24110569</t>
  </si>
  <si>
    <t>FACPORTO24111120</t>
  </si>
  <si>
    <t>ENLNATIT24110002</t>
  </si>
  <si>
    <t>FACUNIPA24110470</t>
  </si>
  <si>
    <t>FACPARAK24111246</t>
  </si>
  <si>
    <t>FACPORTO24111393</t>
  </si>
  <si>
    <t>FACSEGBE24110662</t>
  </si>
  <si>
    <t>FACNATIT24110920</t>
  </si>
  <si>
    <t>FACDJOUG24110415</t>
  </si>
  <si>
    <t>HRACH</t>
  </si>
  <si>
    <t>FACNATIT24111014</t>
  </si>
  <si>
    <t>FACTANTO24110835</t>
  </si>
  <si>
    <t>FACNATIT24110819</t>
  </si>
  <si>
    <t>FACSTVSS24111161</t>
  </si>
  <si>
    <t>FACPARAK24111489</t>
  </si>
  <si>
    <t>FACNATIT24110821</t>
  </si>
  <si>
    <t>FACSTVSS24111151</t>
  </si>
  <si>
    <t>FACSEGBE24110675</t>
  </si>
  <si>
    <t>ENLSTADV24110028</t>
  </si>
  <si>
    <t>FACPOBE124110395</t>
  </si>
  <si>
    <t>ENLSTADV24110029</t>
  </si>
  <si>
    <t>FACPARAK24111230</t>
  </si>
  <si>
    <t>FACBOHIC24111318</t>
  </si>
  <si>
    <t>FACPORTO24111083</t>
  </si>
  <si>
    <t>FACNATIT24110753</t>
  </si>
  <si>
    <t>FACAGLA124110841</t>
  </si>
  <si>
    <t>FACPORTO24111125</t>
  </si>
  <si>
    <t>FACUNIPA24110469</t>
  </si>
  <si>
    <t>FACLOKOS24110641</t>
  </si>
  <si>
    <t>FACAGLA124110965</t>
  </si>
  <si>
    <t>FACLOKOS24110618</t>
  </si>
  <si>
    <t>FACDJOUG24110555</t>
  </si>
  <si>
    <t>FACSTVSS24111491</t>
  </si>
  <si>
    <t>FACCALAV24111242</t>
  </si>
  <si>
    <t>FACNATIT24110979</t>
  </si>
  <si>
    <t>FACPARAK24111386</t>
  </si>
  <si>
    <t>FACPARAK24111388</t>
  </si>
  <si>
    <t>FACBOHIC24111348</t>
  </si>
  <si>
    <t>FACPARAK24111493</t>
  </si>
  <si>
    <t>FACSTVSS24111565</t>
  </si>
  <si>
    <t>FACPARAK24111314</t>
  </si>
  <si>
    <t>ENLSTADV24110037</t>
  </si>
  <si>
    <t>FACCALAV24111490</t>
  </si>
  <si>
    <t>FACPORTO24111339</t>
  </si>
  <si>
    <t>FACPARAK24111567</t>
  </si>
  <si>
    <t>CBGNI</t>
  </si>
  <si>
    <t>FACNATIT24110986</t>
  </si>
  <si>
    <t>FACPARAK24111343</t>
  </si>
  <si>
    <t>FACCALAV24111277</t>
  </si>
  <si>
    <t>FACCOME124110386</t>
  </si>
  <si>
    <t>ENLSTADV24110025</t>
  </si>
  <si>
    <t>FACTANTO24110839</t>
  </si>
  <si>
    <t>HBILI</t>
  </si>
  <si>
    <t>FACTANTO24110698</t>
  </si>
  <si>
    <t>FACPARAK24111576</t>
  </si>
  <si>
    <t>FACMENON24110995</t>
  </si>
  <si>
    <t>FACSEGBE24110679</t>
  </si>
  <si>
    <t>FACGANHI24110391</t>
  </si>
  <si>
    <t>DLYDI</t>
  </si>
  <si>
    <t>FACSTVSS24111483</t>
  </si>
  <si>
    <t>FACBOHIC24111067</t>
  </si>
  <si>
    <t>FACMENON24110877</t>
  </si>
  <si>
    <t>FACBOHIC24111177</t>
  </si>
  <si>
    <t>FACNATIT24110732</t>
  </si>
  <si>
    <t>ENLSTADV24110040</t>
  </si>
  <si>
    <t>FACBOHIC24111038</t>
  </si>
  <si>
    <t>FACASIEG24111493</t>
  </si>
  <si>
    <t>FACSTVSS24111650</t>
  </si>
  <si>
    <t>FACKANDI24110614</t>
  </si>
  <si>
    <t>FACPARAK24111235</t>
  </si>
  <si>
    <t>ENLKANDI24110003</t>
  </si>
  <si>
    <t>FACUNIPA24110550</t>
  </si>
  <si>
    <t>FACUNIPA24110553</t>
  </si>
  <si>
    <t>ENLCALAV24110003</t>
  </si>
  <si>
    <t>FACCOCOT24111354</t>
  </si>
  <si>
    <t>FACLOKOS24110602</t>
  </si>
  <si>
    <t>ENLSTADV24110033</t>
  </si>
  <si>
    <t>FACMENON24111071</t>
  </si>
  <si>
    <t>FACCOCOT24111133</t>
  </si>
  <si>
    <t>FACBOHIC24111254</t>
  </si>
  <si>
    <t>FACMENON24111091</t>
  </si>
  <si>
    <t>FACPARAK24111249</t>
  </si>
  <si>
    <t>FACAGLA124111075</t>
  </si>
  <si>
    <t>FACLOKOS24110574</t>
  </si>
  <si>
    <t>FACBOHIC24110995</t>
  </si>
  <si>
    <t>FACASIEG24111251</t>
  </si>
  <si>
    <t>FACPORTO24111124</t>
  </si>
  <si>
    <t>FACPOBE124110287</t>
  </si>
  <si>
    <t>FACTANTO24110956</t>
  </si>
  <si>
    <t>FACDJOUG24110507</t>
  </si>
  <si>
    <t>FACCALAV24111044</t>
  </si>
  <si>
    <t>FACCOCOT24111261</t>
  </si>
  <si>
    <t>FACNATIT24111027</t>
  </si>
  <si>
    <t>FACCOME124110534</t>
  </si>
  <si>
    <t>FACCOME124110535</t>
  </si>
  <si>
    <t>FACNATIT24110686</t>
  </si>
  <si>
    <t>FACPARAK24111367</t>
  </si>
  <si>
    <t>FACTANTO24110826</t>
  </si>
  <si>
    <t>FACAZOVE24110598</t>
  </si>
  <si>
    <t>FACSTVSS24111631</t>
  </si>
  <si>
    <t>FACSTVSS24111632</t>
  </si>
  <si>
    <t>FACSEGBE24110922</t>
  </si>
  <si>
    <t>FACLOKOS24110523</t>
  </si>
  <si>
    <t>FACCOME124110353</t>
  </si>
  <si>
    <t>ENLSTADV24110041</t>
  </si>
  <si>
    <t>ENLSTADV24110035</t>
  </si>
  <si>
    <t>FACBOHIC24111189</t>
  </si>
  <si>
    <t>FACSEGBE24110708</t>
  </si>
  <si>
    <t>FACASIEG24111377</t>
  </si>
  <si>
    <t>FACPORTO24111458</t>
  </si>
  <si>
    <t>FACNATIT24110824</t>
  </si>
  <si>
    <t>FACDJOUG24110577</t>
  </si>
  <si>
    <t>ENLSTADV24110030</t>
  </si>
  <si>
    <t>ENLSTADV24110031</t>
  </si>
  <si>
    <t>FACSTVSS24111227</t>
  </si>
  <si>
    <t>ENLSTADV24110038</t>
  </si>
  <si>
    <t>FACPARAK24111272</t>
  </si>
  <si>
    <t>FACTANTO24110944</t>
  </si>
  <si>
    <t>FACAGLA124111127</t>
  </si>
  <si>
    <t>FACAGLA124111136</t>
  </si>
  <si>
    <t>FACTANTO24110847</t>
  </si>
  <si>
    <t>FACCALAV24111245</t>
  </si>
  <si>
    <t>FACBOHIC24111263</t>
  </si>
  <si>
    <t>FACKANDI24110562</t>
  </si>
  <si>
    <t>FACBOHIC24111294</t>
  </si>
  <si>
    <t>FACCOCOT24111318</t>
  </si>
  <si>
    <t>FACPARAK24111673</t>
  </si>
  <si>
    <t>FACKANDI24110691</t>
  </si>
  <si>
    <t>FACCALAV24111057</t>
  </si>
  <si>
    <t>ENLSTADV24110036</t>
  </si>
  <si>
    <t>FACPARAK24111557</t>
  </si>
  <si>
    <t>ENLSTADV24110032</t>
  </si>
  <si>
    <t>FACSTVSS24111326</t>
  </si>
  <si>
    <t>FACSTVSS24111352</t>
  </si>
  <si>
    <t>FACCOCOT24111313</t>
  </si>
  <si>
    <t>ENLSTADV24110026</t>
  </si>
  <si>
    <t>FACBOHIC24111300</t>
  </si>
  <si>
    <t>FACNATIT24110786</t>
  </si>
  <si>
    <t>ENLSTADV24110039</t>
  </si>
  <si>
    <t>FACCOME124110562</t>
  </si>
  <si>
    <t>FACKANDI24110540</t>
  </si>
  <si>
    <t>FACNATIT24110843</t>
  </si>
  <si>
    <t>FACAZOVE24110486</t>
  </si>
  <si>
    <t>FACAZOVE24110488</t>
  </si>
  <si>
    <t>FACAGLA124110893</t>
  </si>
  <si>
    <t>ENLPORTO24110004</t>
  </si>
  <si>
    <t>FACPARAK24111587</t>
  </si>
  <si>
    <t>FACSTVSS24111574</t>
  </si>
  <si>
    <t>FACSEGBE24110724</t>
  </si>
  <si>
    <t>FACCALAV24111340</t>
  </si>
  <si>
    <t>FACNATIT24110768</t>
  </si>
  <si>
    <t>FACCALAV24111465</t>
  </si>
  <si>
    <t>FACSTVSS24111420</t>
  </si>
  <si>
    <t>FACASIEG24111595</t>
  </si>
  <si>
    <t>FACTANTO24110764</t>
  </si>
  <si>
    <t>FACBOHIC24111065</t>
  </si>
  <si>
    <t>FACSEGBE24110891</t>
  </si>
  <si>
    <t>FACPOBE124110387</t>
  </si>
  <si>
    <t>ENLSTADV24110034</t>
  </si>
  <si>
    <t>FACPORTO24111402</t>
  </si>
  <si>
    <t>ENLSTADV24110042</t>
  </si>
  <si>
    <t>ENLSTADV24110043</t>
  </si>
  <si>
    <t>ENLSTADV24110044</t>
  </si>
  <si>
    <t>FACAGLA124110862</t>
  </si>
  <si>
    <t>ENLBOHIC24110004</t>
  </si>
  <si>
    <t>ENLBOHIC24110005</t>
  </si>
  <si>
    <t>FACSTVSS24111279</t>
  </si>
  <si>
    <t>SCLAI</t>
  </si>
  <si>
    <t>62024110100034669</t>
  </si>
  <si>
    <t>22960283907</t>
  </si>
  <si>
    <t>A0003605</t>
  </si>
  <si>
    <t>CLINIQUE SAINTE CARINE DE CALAVI</t>
  </si>
  <si>
    <t>M000363661</t>
  </si>
  <si>
    <t>RGT AIRP M000363661 01/11/2024</t>
  </si>
  <si>
    <t>62024110100162557</t>
  </si>
  <si>
    <t>M000364852</t>
  </si>
  <si>
    <t>RGT AIRP M000364852 01/11/2024</t>
  </si>
  <si>
    <t>62024110100225323</t>
  </si>
  <si>
    <t>M000363808</t>
  </si>
  <si>
    <t>RGT AIRP M000363808 01/11/2024</t>
  </si>
  <si>
    <t>62024110100228199</t>
  </si>
  <si>
    <t>22994798194</t>
  </si>
  <si>
    <t>A0005664</t>
  </si>
  <si>
    <t>ETS VERGE SERVICES PLUS</t>
  </si>
  <si>
    <t>M000364069</t>
  </si>
  <si>
    <t>RGT AIRP M000364069 01/11/2024</t>
  </si>
  <si>
    <t>62024110100252439</t>
  </si>
  <si>
    <t>22995944594</t>
  </si>
  <si>
    <t>A0003540</t>
  </si>
  <si>
    <t xml:space="preserve"> NEW HOUSE OF GOD</t>
  </si>
  <si>
    <t>M000363643</t>
  </si>
  <si>
    <t>RGT AIRP M000363643 01/11/2024</t>
  </si>
  <si>
    <t>62024110100517325</t>
  </si>
  <si>
    <t>M000363605</t>
  </si>
  <si>
    <t>RGT AIRP M000363605 01/11/2024</t>
  </si>
  <si>
    <t>62024110100692318</t>
  </si>
  <si>
    <t>M000365074</t>
  </si>
  <si>
    <t>RGT AIRP M000365074 01/11/2024</t>
  </si>
  <si>
    <t>82024110100042105</t>
  </si>
  <si>
    <t>M000364622</t>
  </si>
  <si>
    <t>RGT AIRP M000364622 01/11/2024</t>
  </si>
  <si>
    <t>82024110100057461</t>
  </si>
  <si>
    <t>22965804481</t>
  </si>
  <si>
    <t>A0005463</t>
  </si>
  <si>
    <t>JOHN CREDO</t>
  </si>
  <si>
    <t>M000364011</t>
  </si>
  <si>
    <t>RGT AIRP M000364011 01/11/2024</t>
  </si>
  <si>
    <t>82024110100116778</t>
  </si>
  <si>
    <t>M000359465</t>
  </si>
  <si>
    <t>RGT AIRP M000359465 01/11/2024</t>
  </si>
  <si>
    <t>82024110100147279</t>
  </si>
  <si>
    <t>22995502015</t>
  </si>
  <si>
    <t>A0003251</t>
  </si>
  <si>
    <t>COMPLEXE SCOLAIRES JEAN PIAGET</t>
  </si>
  <si>
    <t>M000363572</t>
  </si>
  <si>
    <t>RGT AIRP M000363572 01/11/2024</t>
  </si>
  <si>
    <t>82024110100147911</t>
  </si>
  <si>
    <t>M000365215</t>
  </si>
  <si>
    <t>RGT AIRP M000365215 01/11/2024</t>
  </si>
  <si>
    <t>82024110100191465</t>
  </si>
  <si>
    <t>M000363604</t>
  </si>
  <si>
    <t>RGT AIRP M000363604 01/11/2024</t>
  </si>
  <si>
    <t>82024110100281747</t>
  </si>
  <si>
    <t>M000364927</t>
  </si>
  <si>
    <t>RGT AIRP M000364927 01/11/2024</t>
  </si>
  <si>
    <t>82024110100319774</t>
  </si>
  <si>
    <t>22995279212</t>
  </si>
  <si>
    <t>A0008795</t>
  </si>
  <si>
    <t>STE VICTORIA PLUS PLUS</t>
  </si>
  <si>
    <t>M000364981</t>
  </si>
  <si>
    <t>RGT AIRP M000364981 01/11/2024</t>
  </si>
  <si>
    <t>82024110100356300</t>
  </si>
  <si>
    <t>M000365111</t>
  </si>
  <si>
    <t>RGT AIRP M000365111 01/11/2024</t>
  </si>
  <si>
    <t>82024110100391012</t>
  </si>
  <si>
    <t>22960487183</t>
  </si>
  <si>
    <t>M000364974</t>
  </si>
  <si>
    <t>RGT AIRP M000364974 01/11/2024</t>
  </si>
  <si>
    <t>82024110100477844</t>
  </si>
  <si>
    <t>M000364285</t>
  </si>
  <si>
    <t>RGT AIRP M000364285 01/11/2024</t>
  </si>
  <si>
    <t>82024110100520359</t>
  </si>
  <si>
    <t>M000364371</t>
  </si>
  <si>
    <t>RGT AIRP M000364371 01/11/2024</t>
  </si>
  <si>
    <t>62024110200236405</t>
  </si>
  <si>
    <t>22999992421</t>
  </si>
  <si>
    <t>A0003256</t>
  </si>
  <si>
    <t>CANNA JP</t>
  </si>
  <si>
    <t>M000363576</t>
  </si>
  <si>
    <t>RGT AIRP M000363576 02/11/2024</t>
  </si>
  <si>
    <t>62024110200531237</t>
  </si>
  <si>
    <t>M000364802</t>
  </si>
  <si>
    <t>RGT AIRP M000364802 02/11/2024</t>
  </si>
  <si>
    <t>62024110200554459</t>
  </si>
  <si>
    <t>M000364989</t>
  </si>
  <si>
    <t>RGT AIRP M000364989 02/11/2024</t>
  </si>
  <si>
    <t>72024110200030287</t>
  </si>
  <si>
    <t>22994448113</t>
  </si>
  <si>
    <t>A0009117</t>
  </si>
  <si>
    <t>HOUETO EUSTACHE ENOCK MEINSAN</t>
  </si>
  <si>
    <t>M000365145</t>
  </si>
  <si>
    <t>RGT AIRP M000365145 02/11/2024</t>
  </si>
  <si>
    <t>72024110200170701</t>
  </si>
  <si>
    <t>M000364719</t>
  </si>
  <si>
    <t>RGT AIRP M000364719 02/11/2024</t>
  </si>
  <si>
    <t>82024110200059761</t>
  </si>
  <si>
    <t>M000363455</t>
  </si>
  <si>
    <t>RGT AIRP M000363455 02/11/2024</t>
  </si>
  <si>
    <t>82024110200083098</t>
  </si>
  <si>
    <t>M000363927</t>
  </si>
  <si>
    <t>RGT AIRP M000363927 02/11/2024</t>
  </si>
  <si>
    <t>82024110200148208</t>
  </si>
  <si>
    <t>A0008980</t>
  </si>
  <si>
    <t>LALY HOUETE JONATHAN SEGLA/2</t>
  </si>
  <si>
    <t>M000365075</t>
  </si>
  <si>
    <t>RGT AIRP M000365075 02/11/2024</t>
  </si>
  <si>
    <t>82024110200250994</t>
  </si>
  <si>
    <t>M000364909</t>
  </si>
  <si>
    <t>RGT AIRP M000364909 02/11/2024</t>
  </si>
  <si>
    <t>62024110300258738</t>
  </si>
  <si>
    <t>M000363198</t>
  </si>
  <si>
    <t>RGT AIRP M000363198 03/11/2024</t>
  </si>
  <si>
    <t>62024110300585656</t>
  </si>
  <si>
    <t>22965323618</t>
  </si>
  <si>
    <t>A0008304</t>
  </si>
  <si>
    <t>AHOUSSI ELIAS CESAR K.</t>
  </si>
  <si>
    <t>M000364799</t>
  </si>
  <si>
    <t>RGT AIRP M000364799 03/11/2024</t>
  </si>
  <si>
    <t>72024110300189284</t>
  </si>
  <si>
    <t>M000363910</t>
  </si>
  <si>
    <t>RGT AIRP M000363910 03/11/2024</t>
  </si>
  <si>
    <t>82024110300210538</t>
  </si>
  <si>
    <t>M000364477</t>
  </si>
  <si>
    <t>RGT AIRP M000364477 03/11/2024</t>
  </si>
  <si>
    <t>62024110400192105</t>
  </si>
  <si>
    <t>M000363966</t>
  </si>
  <si>
    <t>RGT AIRP M000363966 04/11/2024</t>
  </si>
  <si>
    <t>62024110400368189</t>
  </si>
  <si>
    <t>M000364140</t>
  </si>
  <si>
    <t>RGT AIRP M000364140 04/11/2024</t>
  </si>
  <si>
    <t>62024110400535124</t>
  </si>
  <si>
    <t>M000364515</t>
  </si>
  <si>
    <t>RGT AIRP M000364515 04/11/2024</t>
  </si>
  <si>
    <t>72024110400092177</t>
  </si>
  <si>
    <t>M000363292</t>
  </si>
  <si>
    <t>RGT AIRP M000363292 04/11/2024</t>
  </si>
  <si>
    <t>72024110400168156</t>
  </si>
  <si>
    <t>M000364613</t>
  </si>
  <si>
    <t>RGT AIRP M000364613 04/11/2024</t>
  </si>
  <si>
    <t>82024110400102096</t>
  </si>
  <si>
    <t>M000362692</t>
  </si>
  <si>
    <t>RGT AIRP M000362692 04/11/2024</t>
  </si>
  <si>
    <t>82024110400224465</t>
  </si>
  <si>
    <t>22945336417</t>
  </si>
  <si>
    <t>M000364873</t>
  </si>
  <si>
    <t>RGT AIRP M000364873 04/11/2024</t>
  </si>
  <si>
    <t>82024110400247625</t>
  </si>
  <si>
    <t>M000357330</t>
  </si>
  <si>
    <t>RGT AIRP M000357330 04/11/2024</t>
  </si>
  <si>
    <t>82024110400313954</t>
  </si>
  <si>
    <t>22994763636</t>
  </si>
  <si>
    <t>A0002803</t>
  </si>
  <si>
    <t>SAHEL</t>
  </si>
  <si>
    <t>M000363476</t>
  </si>
  <si>
    <t>RGT AIRP M000363476 04/11/2024</t>
  </si>
  <si>
    <t>82024110400364360</t>
  </si>
  <si>
    <t>M000363051</t>
  </si>
  <si>
    <t>RGT AIRP M000363051 04/11/2024</t>
  </si>
  <si>
    <t>62024110500090776</t>
  </si>
  <si>
    <t>M000365119</t>
  </si>
  <si>
    <t>RGT AIRP M000365119 05/11/2024</t>
  </si>
  <si>
    <t>62024110500116008</t>
  </si>
  <si>
    <t>M000363965</t>
  </si>
  <si>
    <t>RGT AIRP M000363965 05/11/2024</t>
  </si>
  <si>
    <t>62024110500146435</t>
  </si>
  <si>
    <t>M000363774</t>
  </si>
  <si>
    <t>RGT AIRP M000363774 05/11/2024</t>
  </si>
  <si>
    <t>62024110500186598</t>
  </si>
  <si>
    <t>22995923353</t>
  </si>
  <si>
    <t>A0002959</t>
  </si>
  <si>
    <t>LE CONSTRUCTEUR DU BENIN</t>
  </si>
  <si>
    <t>M000363513</t>
  </si>
  <si>
    <t>RGT AIRP M000363513 05/11/2024</t>
  </si>
  <si>
    <t>62024110500192348</t>
  </si>
  <si>
    <t>M000364299</t>
  </si>
  <si>
    <t>RGT AIRP M000364299 05/11/2024</t>
  </si>
  <si>
    <t>62024110500205456</t>
  </si>
  <si>
    <t>M000364126</t>
  </si>
  <si>
    <t>RGT AIRP M000364126 05/11/2024</t>
  </si>
  <si>
    <t>62024110500309793</t>
  </si>
  <si>
    <t>M000364164</t>
  </si>
  <si>
    <t>RGT AIRP M000364164 05/11/2024</t>
  </si>
  <si>
    <t>62024110500318739</t>
  </si>
  <si>
    <t>22960784298</t>
  </si>
  <si>
    <t>M000364746</t>
  </si>
  <si>
    <t>RGT AIRP M000364746 05/11/2024</t>
  </si>
  <si>
    <t>62024110500378170</t>
  </si>
  <si>
    <t>M000364070</t>
  </si>
  <si>
    <t>RGT AIRP M000364070 05/11/2024</t>
  </si>
  <si>
    <t>62024110500466985</t>
  </si>
  <si>
    <t>22995522036</t>
  </si>
  <si>
    <t>A0003650</t>
  </si>
  <si>
    <t>ETS CYR LABEL</t>
  </si>
  <si>
    <t>M000363670</t>
  </si>
  <si>
    <t>RGT AIRP M000363670 05/11/2024</t>
  </si>
  <si>
    <t>62024110500508206</t>
  </si>
  <si>
    <t>M000364711</t>
  </si>
  <si>
    <t>RGT AIRP M000364711 05/11/2024</t>
  </si>
  <si>
    <t>72024110500066192</t>
  </si>
  <si>
    <t>M000364766</t>
  </si>
  <si>
    <t>RGT AIRP M000364766 05/11/2024</t>
  </si>
  <si>
    <t>72024110500078542</t>
  </si>
  <si>
    <t>22995837535</t>
  </si>
  <si>
    <t>A0009263</t>
  </si>
  <si>
    <t>ZBH DIVINE</t>
  </si>
  <si>
    <t>M000365228</t>
  </si>
  <si>
    <t>RGT AIRP M000365228 05/11/2024</t>
  </si>
  <si>
    <t>72024110500139535</t>
  </si>
  <si>
    <t>22998717676</t>
  </si>
  <si>
    <t>A0008212</t>
  </si>
  <si>
    <t>LA FLEUR DE VIE SARL</t>
  </si>
  <si>
    <t>M000364765</t>
  </si>
  <si>
    <t>RGT AIRP M000364765 05/11/2024</t>
  </si>
  <si>
    <t>72024110500197960</t>
  </si>
  <si>
    <t>M000363416</t>
  </si>
  <si>
    <t>RGT AIRP M000363416 05/11/2024</t>
  </si>
  <si>
    <t>72024110500232922</t>
  </si>
  <si>
    <t>M000363488</t>
  </si>
  <si>
    <t>RGT AIRP M000363488 05/11/2024</t>
  </si>
  <si>
    <t>72024110500336884</t>
  </si>
  <si>
    <t>M000364185</t>
  </si>
  <si>
    <t>RGT AIRP M000364185 05/11/2024</t>
  </si>
  <si>
    <t>82024110500128381</t>
  </si>
  <si>
    <t>M000364452</t>
  </si>
  <si>
    <t>RGT AIRP M000364452 05/11/2024</t>
  </si>
  <si>
    <t>82024110500162739</t>
  </si>
  <si>
    <t>M000365021</t>
  </si>
  <si>
    <t>RGT AIRP M000365021 05/11/2024</t>
  </si>
  <si>
    <t>82024110500196964</t>
  </si>
  <si>
    <t>22964354738</t>
  </si>
  <si>
    <t>A0002492</t>
  </si>
  <si>
    <t>OMEP BENIN</t>
  </si>
  <si>
    <t>M000363410</t>
  </si>
  <si>
    <t>RGT AIRP M000363410 05/11/2024</t>
  </si>
  <si>
    <t>82024110500207028</t>
  </si>
  <si>
    <t>M000363810</t>
  </si>
  <si>
    <t>RGT AIRP M000363810 05/11/2024</t>
  </si>
  <si>
    <t>82024110500239746</t>
  </si>
  <si>
    <t>M000364821</t>
  </si>
  <si>
    <t>RGT AIRP M000364821 05/11/2024</t>
  </si>
  <si>
    <t>82024110500262436</t>
  </si>
  <si>
    <t>M000364087</t>
  </si>
  <si>
    <t>RGT AIRP M000364087 05/11/2024</t>
  </si>
  <si>
    <t>82024110500386906</t>
  </si>
  <si>
    <t>M000364153</t>
  </si>
  <si>
    <t>RGT AIRP M000364153 05/11/2024</t>
  </si>
  <si>
    <t>62024110600019639</t>
  </si>
  <si>
    <t>M000364222</t>
  </si>
  <si>
    <t>RGT AIRP M000364222 06/11/2024</t>
  </si>
  <si>
    <t>62024110600129824</t>
  </si>
  <si>
    <t>M000362182</t>
  </si>
  <si>
    <t>RGT AIRP M000362182 06/11/2024</t>
  </si>
  <si>
    <t>62024110600172424</t>
  </si>
  <si>
    <t>M000363592</t>
  </si>
  <si>
    <t>RGT AIRP M000363592 06/11/2024</t>
  </si>
  <si>
    <t>62024110600174177</t>
  </si>
  <si>
    <t>M000364942</t>
  </si>
  <si>
    <t>RGT AIRP M000364942 06/11/2024</t>
  </si>
  <si>
    <t>62024110600213107</t>
  </si>
  <si>
    <t>M000363185</t>
  </si>
  <si>
    <t>RGT AIRP M000363185 06/11/2024</t>
  </si>
  <si>
    <t>62024110600221491</t>
  </si>
  <si>
    <t>M000364555</t>
  </si>
  <si>
    <t>RGT AIRP M000364555 06/11/2024</t>
  </si>
  <si>
    <t>62024110600273916</t>
  </si>
  <si>
    <t>M000363645</t>
  </si>
  <si>
    <t>RGT AIRP M000363645 06/11/2024</t>
  </si>
  <si>
    <t>62024110600274465</t>
  </si>
  <si>
    <t>M000363644</t>
  </si>
  <si>
    <t>RGT AIRP M000363644 06/11/2024</t>
  </si>
  <si>
    <t>62024110600314843</t>
  </si>
  <si>
    <t>M000363253</t>
  </si>
  <si>
    <t>RGT AIRP M000363253 06/11/2024</t>
  </si>
  <si>
    <t>62024110600325621</t>
  </si>
  <si>
    <t>M000364565</t>
  </si>
  <si>
    <t>RGT AIRP M000364565 06/11/2024</t>
  </si>
  <si>
    <t>62024110600370310</t>
  </si>
  <si>
    <t>M000364924</t>
  </si>
  <si>
    <t>RGT AIRP M000364924 06/11/2024</t>
  </si>
  <si>
    <t>62024110600529369</t>
  </si>
  <si>
    <t>M000365322</t>
  </si>
  <si>
    <t>RGT AIRP M000365322 06/11/2024</t>
  </si>
  <si>
    <t>62024110600613057</t>
  </si>
  <si>
    <t>M000363895</t>
  </si>
  <si>
    <t>RGT AIRP M000363895 06/11/2024</t>
  </si>
  <si>
    <t>62024110600651712</t>
  </si>
  <si>
    <t>M000365289</t>
  </si>
  <si>
    <t>RGT AIRP M000365289 06/11/2024</t>
  </si>
  <si>
    <t>62024110600652416</t>
  </si>
  <si>
    <t>M000365110</t>
  </si>
  <si>
    <t>RGT AIRP M000365110 06/11/2024</t>
  </si>
  <si>
    <t>72024110600088275</t>
  </si>
  <si>
    <t>22994824606</t>
  </si>
  <si>
    <t>M000364101</t>
  </si>
  <si>
    <t>RGT AIRP M000364101 06/11/2024</t>
  </si>
  <si>
    <t>72024110600101986</t>
  </si>
  <si>
    <t>M000364230</t>
  </si>
  <si>
    <t>RGT AIRP M000364230 06/11/2024</t>
  </si>
  <si>
    <t>72024110600192993</t>
  </si>
  <si>
    <t>M000364231</t>
  </si>
  <si>
    <t>RGT AIRP M000364231 06/11/2024</t>
  </si>
  <si>
    <t>72024110600315811</t>
  </si>
  <si>
    <t>M000365009</t>
  </si>
  <si>
    <t>RGT AIRP M000365009 06/11/2024</t>
  </si>
  <si>
    <t>82024110600096107</t>
  </si>
  <si>
    <t>M000364255</t>
  </si>
  <si>
    <t>RGT AIRP M000364255 06/11/2024</t>
  </si>
  <si>
    <t>82024110600137271</t>
  </si>
  <si>
    <t>22968440486</t>
  </si>
  <si>
    <t>M000364670</t>
  </si>
  <si>
    <t>RGT AIRP M000364670 06/11/2024</t>
  </si>
  <si>
    <t>82024110600201282</t>
  </si>
  <si>
    <t>M000363380</t>
  </si>
  <si>
    <t>RGT AIRP M000363380 06/11/2024</t>
  </si>
  <si>
    <t>82024110600301607</t>
  </si>
  <si>
    <t>22995950589</t>
  </si>
  <si>
    <t>A0008134</t>
  </si>
  <si>
    <t>TG CONSULTING</t>
  </si>
  <si>
    <t>M000364732</t>
  </si>
  <si>
    <t>RGT AIRP M000364732 06/11/2024</t>
  </si>
  <si>
    <t>82024110600440008</t>
  </si>
  <si>
    <t>22964521942</t>
  </si>
  <si>
    <t>A0008961</t>
  </si>
  <si>
    <t>PHARMACIE SHALOM</t>
  </si>
  <si>
    <t>M000365064</t>
  </si>
  <si>
    <t>RGT AIRP M000365064 06/11/2024</t>
  </si>
  <si>
    <t>82024110600454729</t>
  </si>
  <si>
    <t>M000364478</t>
  </si>
  <si>
    <t>RGT AIRP M000364478 06/11/2024</t>
  </si>
  <si>
    <t>62024110700097795</t>
  </si>
  <si>
    <t>22995896469</t>
  </si>
  <si>
    <t>M000364199</t>
  </si>
  <si>
    <t>RGT AIRP M000364199 07/11/2024</t>
  </si>
  <si>
    <t>62024110700100057</t>
  </si>
  <si>
    <t>M000364945</t>
  </si>
  <si>
    <t>RGT AIRP M000364945 07/11/2024</t>
  </si>
  <si>
    <t>62024110700119075</t>
  </si>
  <si>
    <t>M000365103</t>
  </si>
  <si>
    <t>RGT AIRP M000365103 07/11/2024</t>
  </si>
  <si>
    <t>62024110700155199</t>
  </si>
  <si>
    <t>22958704671</t>
  </si>
  <si>
    <t>A0006444</t>
  </si>
  <si>
    <t>Co.FIG SARL</t>
  </si>
  <si>
    <t>M000364264</t>
  </si>
  <si>
    <t>RGT AIRP M000364264 07/11/2024</t>
  </si>
  <si>
    <t>62024110700167083</t>
  </si>
  <si>
    <t>M000363829</t>
  </si>
  <si>
    <t>RGT AIRP M000363829 07/11/2024</t>
  </si>
  <si>
    <t>62024110700188957</t>
  </si>
  <si>
    <t>22994412673</t>
  </si>
  <si>
    <t>A0003831</t>
  </si>
  <si>
    <t>POPHAMED SARL</t>
  </si>
  <si>
    <t>M000363706</t>
  </si>
  <si>
    <t>RGT AIRP M000363706 07/11/2024</t>
  </si>
  <si>
    <t>62024110700235108</t>
  </si>
  <si>
    <t>M000363859</t>
  </si>
  <si>
    <t>RGT AIRP M000363859 07/11/2024</t>
  </si>
  <si>
    <t>62024110700250433</t>
  </si>
  <si>
    <t>M000367125</t>
  </si>
  <si>
    <t>RGT AIRP M000367125 07/11/2024</t>
  </si>
  <si>
    <t>62024110700252774</t>
  </si>
  <si>
    <t>M000366850</t>
  </si>
  <si>
    <t>RGT AIRP M000366850 07/11/2024</t>
  </si>
  <si>
    <t>62024110700255364</t>
  </si>
  <si>
    <t>M000363739</t>
  </si>
  <si>
    <t>RGT AIRP M000363739 07/11/2024</t>
  </si>
  <si>
    <t>62024110700381576</t>
  </si>
  <si>
    <t>M000363373</t>
  </si>
  <si>
    <t>RGT AIRP M000363373 07/11/2024</t>
  </si>
  <si>
    <t>62024110700392954</t>
  </si>
  <si>
    <t>M000365151</t>
  </si>
  <si>
    <t>RGT AIRP M000365151 07/11/2024</t>
  </si>
  <si>
    <t>62024110700442959</t>
  </si>
  <si>
    <t>M000365025</t>
  </si>
  <si>
    <t>RGT AIRP M000365025 07/11/2024</t>
  </si>
  <si>
    <t>62024110700447547</t>
  </si>
  <si>
    <t>M000365128</t>
  </si>
  <si>
    <t>RGT AIRP M000365128 07/11/2024</t>
  </si>
  <si>
    <t>62024110700483817</t>
  </si>
  <si>
    <t>M000364781</t>
  </si>
  <si>
    <t>RGT AIRP M000364781 07/11/2024</t>
  </si>
  <si>
    <t>62024110700486482</t>
  </si>
  <si>
    <t>22994677732</t>
  </si>
  <si>
    <t>A0005390</t>
  </si>
  <si>
    <t>ETS A.D.A</t>
  </si>
  <si>
    <t>M000363990</t>
  </si>
  <si>
    <t>RGT AIRP M000363990 07/11/2024</t>
  </si>
  <si>
    <t>72024110700110898</t>
  </si>
  <si>
    <t>M000363963</t>
  </si>
  <si>
    <t>RGT AIRP M000363963 07/11/2024</t>
  </si>
  <si>
    <t>72024110700143534</t>
  </si>
  <si>
    <t>M000367473</t>
  </si>
  <si>
    <t>RGT AIRP M000367473 07/11/2024</t>
  </si>
  <si>
    <t>72024110700232399</t>
  </si>
  <si>
    <t>M000366857</t>
  </si>
  <si>
    <t>RGT AIRP M000366857 07/11/2024</t>
  </si>
  <si>
    <t>72024110700258839</t>
  </si>
  <si>
    <t>M000363709</t>
  </si>
  <si>
    <t>RGT AIRP M000363709 07/11/2024</t>
  </si>
  <si>
    <t>72024110700313710</t>
  </si>
  <si>
    <t>M000363946</t>
  </si>
  <si>
    <t>RGT AIRP M000363946 07/11/2024</t>
  </si>
  <si>
    <t>82024110700176613</t>
  </si>
  <si>
    <t>M000364822</t>
  </si>
  <si>
    <t>RGT AIRP M000364822 07/11/2024</t>
  </si>
  <si>
    <t>82024110700183165</t>
  </si>
  <si>
    <t>M000364817</t>
  </si>
  <si>
    <t>RGT AIRP M000364817 07/11/2024</t>
  </si>
  <si>
    <t>82024110700196141</t>
  </si>
  <si>
    <t>22960724444</t>
  </si>
  <si>
    <t>A0009497</t>
  </si>
  <si>
    <t>HEIR PICTURE</t>
  </si>
  <si>
    <t>M000365403</t>
  </si>
  <si>
    <t>RGT AIRP M000365403 07/11/2024</t>
  </si>
  <si>
    <t>82024110700213610</t>
  </si>
  <si>
    <t>M000366142</t>
  </si>
  <si>
    <t>RGT AIRP M000366142 07/11/2024</t>
  </si>
  <si>
    <t>82024110700230051</t>
  </si>
  <si>
    <t>M000366973</t>
  </si>
  <si>
    <t>RGT AIRP M000366973 07/11/2024</t>
  </si>
  <si>
    <t>82024110700247399</t>
  </si>
  <si>
    <t>M000367392</t>
  </si>
  <si>
    <t>RGT AIRP M000367392 07/11/2024</t>
  </si>
  <si>
    <t>82024110700250735</t>
  </si>
  <si>
    <t>M000366001</t>
  </si>
  <si>
    <t>RGT AIRP M000366001 07/11/2024</t>
  </si>
  <si>
    <t>82024110700252052</t>
  </si>
  <si>
    <t>M000366965</t>
  </si>
  <si>
    <t>RGT AIRP M000366965 07/11/2024</t>
  </si>
  <si>
    <t>82024110700276567</t>
  </si>
  <si>
    <t>M000364177</t>
  </si>
  <si>
    <t>RGT AIRP M000364177 07/11/2024</t>
  </si>
  <si>
    <t>82024110700306598</t>
  </si>
  <si>
    <t>M000365005</t>
  </si>
  <si>
    <t>RGT AIRP M000365005 07/11/2024</t>
  </si>
  <si>
    <t>82024110700317916</t>
  </si>
  <si>
    <t>M000366407</t>
  </si>
  <si>
    <t>RGT AIRP M000366407 07/11/2024</t>
  </si>
  <si>
    <t>82024110700318959</t>
  </si>
  <si>
    <t>M000367208</t>
  </si>
  <si>
    <t>RGT AIRP M000367208 07/11/2024</t>
  </si>
  <si>
    <t>82024110700326273</t>
  </si>
  <si>
    <t>M000364679</t>
  </si>
  <si>
    <t>RGT AIRP M000364679 07/11/2024</t>
  </si>
  <si>
    <t>82024110700340848</t>
  </si>
  <si>
    <t>M000366880</t>
  </si>
  <si>
    <t>RGT AIRP M000366880 07/11/2024</t>
  </si>
  <si>
    <t>82024110700368340</t>
  </si>
  <si>
    <t>M000367150</t>
  </si>
  <si>
    <t>RGT AIRP M000367150 07/11/2024</t>
  </si>
  <si>
    <t>62024110800000315</t>
  </si>
  <si>
    <t>22995748269</t>
  </si>
  <si>
    <t>A0004853</t>
  </si>
  <si>
    <t>KNIF SARL</t>
  </si>
  <si>
    <t>M000363885</t>
  </si>
  <si>
    <t>RGT AIRP M000363885 08/11/2024</t>
  </si>
  <si>
    <t>62024110800006214</t>
  </si>
  <si>
    <t>M000364408</t>
  </si>
  <si>
    <t>RGT AIRP M000364408 08/11/2024</t>
  </si>
  <si>
    <t>62024110800016183</t>
  </si>
  <si>
    <t>M000367529</t>
  </si>
  <si>
    <t>RGT AIRP M000367529 08/11/2024</t>
  </si>
  <si>
    <t>62024110800025595</t>
  </si>
  <si>
    <t>M000363303</t>
  </si>
  <si>
    <t>RGT AIRP M000363303 08/11/2024</t>
  </si>
  <si>
    <t>62024110800091351</t>
  </si>
  <si>
    <t>M000367582</t>
  </si>
  <si>
    <t>RGT AIRP M000367582 08/11/2024</t>
  </si>
  <si>
    <t>62024110800095477</t>
  </si>
  <si>
    <t>M000365193</t>
  </si>
  <si>
    <t>RGT AIRP M000365193 08/11/2024</t>
  </si>
  <si>
    <t>62024110800146483</t>
  </si>
  <si>
    <t>M000366630</t>
  </si>
  <si>
    <t>RGT AIRP M000366630 08/11/2024</t>
  </si>
  <si>
    <t>62024110800151767</t>
  </si>
  <si>
    <t>M000364754</t>
  </si>
  <si>
    <t>RGT AIRP M000364754 08/11/2024</t>
  </si>
  <si>
    <t>62024110800174880</t>
  </si>
  <si>
    <t>M000364940</t>
  </si>
  <si>
    <t>RGT AIRP M000364940 08/11/2024</t>
  </si>
  <si>
    <t>62024110800260166</t>
  </si>
  <si>
    <t>M000364128</t>
  </si>
  <si>
    <t>RGT AIRP M000364128 08/11/2024</t>
  </si>
  <si>
    <t>62024110800266745</t>
  </si>
  <si>
    <t>M000367486</t>
  </si>
  <si>
    <t>RGT AIRP M000367486 08/11/2024</t>
  </si>
  <si>
    <t>62024110800454038</t>
  </si>
  <si>
    <t>M000367081</t>
  </si>
  <si>
    <t>RGT AIRP M000367081 08/11/2024</t>
  </si>
  <si>
    <t>62024110800532181</t>
  </si>
  <si>
    <t>22999825555</t>
  </si>
  <si>
    <t>A0007921</t>
  </si>
  <si>
    <t>CREME CARAMEL</t>
  </si>
  <si>
    <t>M000366981</t>
  </si>
  <si>
    <t>RGT AIRP M000366981 08/11/2024</t>
  </si>
  <si>
    <t>62024110800532797</t>
  </si>
  <si>
    <t>M000364662</t>
  </si>
  <si>
    <t>RGT AIRP M000364662 08/11/2024</t>
  </si>
  <si>
    <t>62024110800539606</t>
  </si>
  <si>
    <t>M000362280</t>
  </si>
  <si>
    <t>RGT AIRP M000362280 08/11/2024</t>
  </si>
  <si>
    <t>62024110800545410</t>
  </si>
  <si>
    <t>M000365235</t>
  </si>
  <si>
    <t>RGT AIRP M000365235 08/11/2024</t>
  </si>
  <si>
    <t>72024110800133980</t>
  </si>
  <si>
    <t>22995062813</t>
  </si>
  <si>
    <t>M000365961</t>
  </si>
  <si>
    <t>RGT AIRP M000365961 08/11/2024</t>
  </si>
  <si>
    <t>72024110800175081</t>
  </si>
  <si>
    <t>M000364915</t>
  </si>
  <si>
    <t>RGT AIRP M000364915 08/11/2024</t>
  </si>
  <si>
    <t>72024110800281845</t>
  </si>
  <si>
    <t>22965821966</t>
  </si>
  <si>
    <t>M000365124</t>
  </si>
  <si>
    <t>RGT AIRP M000365124 08/11/2024</t>
  </si>
  <si>
    <t>72024110800297061</t>
  </si>
  <si>
    <t>M000363647</t>
  </si>
  <si>
    <t>RGT AIRP M000363647 08/11/2024</t>
  </si>
  <si>
    <t>82024110800007378</t>
  </si>
  <si>
    <t>M000366899</t>
  </si>
  <si>
    <t>RGT AIRP M000366899 08/11/2024</t>
  </si>
  <si>
    <t>82024110800020166</t>
  </si>
  <si>
    <t>M000365643</t>
  </si>
  <si>
    <t>RGT AIRP M000365643 08/11/2024</t>
  </si>
  <si>
    <t>82024110800075416</t>
  </si>
  <si>
    <t>22958590231</t>
  </si>
  <si>
    <t>A0009524</t>
  </si>
  <si>
    <t>NATABOU JARDEL</t>
  </si>
  <si>
    <t>M000365422</t>
  </si>
  <si>
    <t>RGT AIRP M000365422 08/11/2024</t>
  </si>
  <si>
    <t>82024110800080126</t>
  </si>
  <si>
    <t>M000367017</t>
  </si>
  <si>
    <t>RGT AIRP M000367017 08/11/2024</t>
  </si>
  <si>
    <t>82024110800097889</t>
  </si>
  <si>
    <t>M000364571</t>
  </si>
  <si>
    <t>RGT AIRP M000364571 08/11/2024</t>
  </si>
  <si>
    <t>82024110800105337</t>
  </si>
  <si>
    <t>M000367030</t>
  </si>
  <si>
    <t>RGT AIRP M000367030 08/11/2024</t>
  </si>
  <si>
    <t>82024110800159567</t>
  </si>
  <si>
    <t>M000366542</t>
  </si>
  <si>
    <t>RGT AIRP M000366542 08/11/2024</t>
  </si>
  <si>
    <t>82024110800312015</t>
  </si>
  <si>
    <t>M000366646</t>
  </si>
  <si>
    <t>RGT AIRP M000366646 08/11/2024</t>
  </si>
  <si>
    <t>82024110800389256</t>
  </si>
  <si>
    <t>M000367298</t>
  </si>
  <si>
    <t>RGT AIRP M000367298 08/11/2024</t>
  </si>
  <si>
    <t>62024110900008051</t>
  </si>
  <si>
    <t>M000367099</t>
  </si>
  <si>
    <t>RGT AIRP M000367099 09/11/2024</t>
  </si>
  <si>
    <t>62024110900074703</t>
  </si>
  <si>
    <t>M000366851</t>
  </si>
  <si>
    <t>RGT AIRP M000366851 09/11/2024</t>
  </si>
  <si>
    <t>62024110900130304</t>
  </si>
  <si>
    <t>M000367678</t>
  </si>
  <si>
    <t>RGT AIRP M000367678 09/11/2024</t>
  </si>
  <si>
    <t>62024110900615565</t>
  </si>
  <si>
    <t>M000364378</t>
  </si>
  <si>
    <t>RGT AIRP M000364378 09/11/2024</t>
  </si>
  <si>
    <t>72024110900009434</t>
  </si>
  <si>
    <t>M000367144</t>
  </si>
  <si>
    <t>RGT AIRP M000367144 09/11/2024</t>
  </si>
  <si>
    <t>72024110900277647</t>
  </si>
  <si>
    <t>22994865733</t>
  </si>
  <si>
    <t>M000367586</t>
  </si>
  <si>
    <t>RGT AIRP M000367586 09/11/2024</t>
  </si>
  <si>
    <t>82024110900060165</t>
  </si>
  <si>
    <t>M000365924</t>
  </si>
  <si>
    <t>RGT AIRP M000365924 09/11/2024</t>
  </si>
  <si>
    <t>82024110900119290</t>
  </si>
  <si>
    <t>M000365020</t>
  </si>
  <si>
    <t>RGT AIRP M000365020 09/11/2024</t>
  </si>
  <si>
    <t>82024110900246203</t>
  </si>
  <si>
    <t>M000364402</t>
  </si>
  <si>
    <t>RGT AIRP M000364402 09/11/2024</t>
  </si>
  <si>
    <t>82024110900248276</t>
  </si>
  <si>
    <t>M000364762</t>
  </si>
  <si>
    <t>RGT AIRP M000364762 09/11/2024</t>
  </si>
  <si>
    <t>82024110900284620</t>
  </si>
  <si>
    <t>M000365169</t>
  </si>
  <si>
    <t>RGT AIRP M000365169 09/11/2024</t>
  </si>
  <si>
    <t>82024110900480807</t>
  </si>
  <si>
    <t>M000366046</t>
  </si>
  <si>
    <t>RGT AIRP M000366046 09/11/2024</t>
  </si>
  <si>
    <t>62024111000153982</t>
  </si>
  <si>
    <t>M000364198</t>
  </si>
  <si>
    <t>RGT AIRP M000364198 10/11/2024</t>
  </si>
  <si>
    <t>62024111000425411</t>
  </si>
  <si>
    <t>M000364521</t>
  </si>
  <si>
    <t>RGT AIRP M000364521 10/11/2024</t>
  </si>
  <si>
    <t>62024111000544206</t>
  </si>
  <si>
    <t>M000364045</t>
  </si>
  <si>
    <t>RGT AIRP M000364045 10/11/2024</t>
  </si>
  <si>
    <t>62024111000549078</t>
  </si>
  <si>
    <t>M000364081</t>
  </si>
  <si>
    <t>RGT AIRP M000364081 10/11/2024</t>
  </si>
  <si>
    <t>72024111000079684</t>
  </si>
  <si>
    <t>M000367339</t>
  </si>
  <si>
    <t>RGT AIRP M000367339 10/11/2024</t>
  </si>
  <si>
    <t>72024111000182285</t>
  </si>
  <si>
    <t>M000366794</t>
  </si>
  <si>
    <t>RGT AIRP M000366794 10/11/2024</t>
  </si>
  <si>
    <t>82024111000421179</t>
  </si>
  <si>
    <t>M000364145</t>
  </si>
  <si>
    <t>RGT AIRP M000364145 10/11/2024</t>
  </si>
  <si>
    <t>82024111000429061</t>
  </si>
  <si>
    <t>M000363637</t>
  </si>
  <si>
    <t>RGT AIRP M000363637 10/11/2024</t>
  </si>
  <si>
    <t>62024111100065736</t>
  </si>
  <si>
    <t>M000364666</t>
  </si>
  <si>
    <t>RGT AIRP M000364666 11/11/2024</t>
  </si>
  <si>
    <t>62024111100091045</t>
  </si>
  <si>
    <t>M000367359</t>
  </si>
  <si>
    <t>RGT AIRP M000367359 11/11/2024</t>
  </si>
  <si>
    <t>62024111100097623</t>
  </si>
  <si>
    <t>M000363321</t>
  </si>
  <si>
    <t>RGT AIRP M000363321 11/11/2024</t>
  </si>
  <si>
    <t>62024111100101756</t>
  </si>
  <si>
    <t>M000367242</t>
  </si>
  <si>
    <t>RGT AIRP M000367242 11/11/2024</t>
  </si>
  <si>
    <t>62024111100149868</t>
  </si>
  <si>
    <t>M000367271</t>
  </si>
  <si>
    <t>RGT AIRP M000367271 11/11/2024</t>
  </si>
  <si>
    <t>62024111100157306</t>
  </si>
  <si>
    <t>M000364251</t>
  </si>
  <si>
    <t>RGT AIRP M000364251 11/11/2024</t>
  </si>
  <si>
    <t>62024111100172444</t>
  </si>
  <si>
    <t>M000363710</t>
  </si>
  <si>
    <t>RGT AIRP M000363710 11/11/2024</t>
  </si>
  <si>
    <t>62024111100177082</t>
  </si>
  <si>
    <t>M000367623</t>
  </si>
  <si>
    <t>RGT AIRP M000367623 11/11/2024</t>
  </si>
  <si>
    <t>62024111100204483</t>
  </si>
  <si>
    <t>M000367465</t>
  </si>
  <si>
    <t>RGT AIRP M000367465 11/11/2024</t>
  </si>
  <si>
    <t>62024111100235737</t>
  </si>
  <si>
    <t>M000364531</t>
  </si>
  <si>
    <t>RGT AIRP M000364531 11/11/2024</t>
  </si>
  <si>
    <t>62024111100237284</t>
  </si>
  <si>
    <t>M000367193</t>
  </si>
  <si>
    <t>RGT AIRP M000367193 11/11/2024</t>
  </si>
  <si>
    <t>62024111100435379</t>
  </si>
  <si>
    <t>M000366186</t>
  </si>
  <si>
    <t>RGT AIRP M000366186 11/11/2024</t>
  </si>
  <si>
    <t>62024111100452075</t>
  </si>
  <si>
    <t>22995097427</t>
  </si>
  <si>
    <t>A0003393</t>
  </si>
  <si>
    <t>REHOBOTH-ATF</t>
  </si>
  <si>
    <t>M000365945</t>
  </si>
  <si>
    <t>RGT AIRP M000365945 11/11/2024</t>
  </si>
  <si>
    <t>62024111100638737</t>
  </si>
  <si>
    <t>M000366099</t>
  </si>
  <si>
    <t>RGT AIRP M000366099 11/11/2024</t>
  </si>
  <si>
    <t>62024111100649531</t>
  </si>
  <si>
    <t>M000367453</t>
  </si>
  <si>
    <t>RGT AIRP M000367453 11/11/2024</t>
  </si>
  <si>
    <t>72024111100045817</t>
  </si>
  <si>
    <t>M000367488</t>
  </si>
  <si>
    <t>RGT AIRP M000367488 11/11/2024</t>
  </si>
  <si>
    <t>72024111100071487</t>
  </si>
  <si>
    <t>M000366720</t>
  </si>
  <si>
    <t>RGT AIRP M000366720 11/11/2024</t>
  </si>
  <si>
    <t>72024111100119129</t>
  </si>
  <si>
    <t>M000366328</t>
  </si>
  <si>
    <t>RGT AIRP M000366328 11/11/2024</t>
  </si>
  <si>
    <t>72024111100258838</t>
  </si>
  <si>
    <t>M000365121</t>
  </si>
  <si>
    <t>RGT AIRP M000365121 11/11/2024</t>
  </si>
  <si>
    <t>72024111100274365</t>
  </si>
  <si>
    <t>M000367475</t>
  </si>
  <si>
    <t>RGT AIRP M000367475 11/11/2024</t>
  </si>
  <si>
    <t>82024111100030043</t>
  </si>
  <si>
    <t>M000363955</t>
  </si>
  <si>
    <t>RGT AIRP M000363955 11/11/2024</t>
  </si>
  <si>
    <t>82024111100031930</t>
  </si>
  <si>
    <t>M000365013</t>
  </si>
  <si>
    <t>RGT AIRP M000365013 11/11/2024</t>
  </si>
  <si>
    <t>82024111100089063</t>
  </si>
  <si>
    <t>M000366252</t>
  </si>
  <si>
    <t>RGT AIRP M000366252 11/11/2024</t>
  </si>
  <si>
    <t>82024111100100709</t>
  </si>
  <si>
    <t>M000367530</t>
  </si>
  <si>
    <t>RGT AIRP M000367530 11/11/2024</t>
  </si>
  <si>
    <t>82024111100105693</t>
  </si>
  <si>
    <t>M000366543</t>
  </si>
  <si>
    <t>RGT AIRP M000366543 11/11/2024</t>
  </si>
  <si>
    <t>82024111100113673</t>
  </si>
  <si>
    <t>22995547077</t>
  </si>
  <si>
    <t>A0005446</t>
  </si>
  <si>
    <t>AGDF</t>
  </si>
  <si>
    <t>M000364005</t>
  </si>
  <si>
    <t>RGT AIRP M000364005 11/11/2024</t>
  </si>
  <si>
    <t>82024111100139334</t>
  </si>
  <si>
    <t>M000367280</t>
  </si>
  <si>
    <t>RGT AIRP M000367280 11/11/2024</t>
  </si>
  <si>
    <t>82024111100140130</t>
  </si>
  <si>
    <t>M000367346</t>
  </si>
  <si>
    <t>RGT AIRP M000367346 11/11/2024</t>
  </si>
  <si>
    <t>82024111100185930</t>
  </si>
  <si>
    <t>M000366804</t>
  </si>
  <si>
    <t>RGT AIRP M000366804 11/11/2024</t>
  </si>
  <si>
    <t>82024111100187000</t>
  </si>
  <si>
    <t>M000364481</t>
  </si>
  <si>
    <t>RGT AIRP M000364481 11/11/2024</t>
  </si>
  <si>
    <t>82024111100251485</t>
  </si>
  <si>
    <t>M000364726</t>
  </si>
  <si>
    <t>RGT AIRP M000364726 11/11/2024</t>
  </si>
  <si>
    <t>82024111100295072</t>
  </si>
  <si>
    <t>M000367319</t>
  </si>
  <si>
    <t>RGT AIRP M000367319 11/11/2024</t>
  </si>
  <si>
    <t>82024111100310127</t>
  </si>
  <si>
    <t>M000366187</t>
  </si>
  <si>
    <t>RGT AIRP M000366187 11/11/2024</t>
  </si>
  <si>
    <t>62024111200115213</t>
  </si>
  <si>
    <t>M000367132</t>
  </si>
  <si>
    <t>RGT AIRP M000367132 12/11/2024</t>
  </si>
  <si>
    <t>62024111200132984</t>
  </si>
  <si>
    <t>22995503522</t>
  </si>
  <si>
    <t>A0006420</t>
  </si>
  <si>
    <t>CLINIQUE MEDICALE  SENARA</t>
  </si>
  <si>
    <t>M000359441</t>
  </si>
  <si>
    <t>RGT AIRP M000359441 12/11/2024</t>
  </si>
  <si>
    <t>62024111200204260</t>
  </si>
  <si>
    <t>M000365997</t>
  </si>
  <si>
    <t>RGT AIRP M000365997 12/11/2024</t>
  </si>
  <si>
    <t>62024111200210905</t>
  </si>
  <si>
    <t>M000365903</t>
  </si>
  <si>
    <t>RGT AIRP M000365903 12/11/2024</t>
  </si>
  <si>
    <t>62024111200225145</t>
  </si>
  <si>
    <t>M000367133</t>
  </si>
  <si>
    <t>RGT AIRP M000367133 12/11/2024</t>
  </si>
  <si>
    <t>62024111200308574</t>
  </si>
  <si>
    <t>M000363696</t>
  </si>
  <si>
    <t>RGT AIRP M000363696 12/11/2024</t>
  </si>
  <si>
    <t>62024111200357959</t>
  </si>
  <si>
    <t>M000367581</t>
  </si>
  <si>
    <t>RGT AIRP M000367581 12/11/2024</t>
  </si>
  <si>
    <t>62024111200406020</t>
  </si>
  <si>
    <t>M000366095</t>
  </si>
  <si>
    <t>RGT AIRP M000366095 12/11/2024</t>
  </si>
  <si>
    <t>62024111200490927</t>
  </si>
  <si>
    <t>M000366786</t>
  </si>
  <si>
    <t>RGT AIRP M000366786 12/11/2024</t>
  </si>
  <si>
    <t>62024111200654149</t>
  </si>
  <si>
    <t>22995994557</t>
  </si>
  <si>
    <t>A0008505</t>
  </si>
  <si>
    <t>DIMIGOU NOUNAGNON GILDAS</t>
  </si>
  <si>
    <t>M000367194</t>
  </si>
  <si>
    <t>RGT AIRP M000367194 12/11/2024</t>
  </si>
  <si>
    <t>72024111200180992</t>
  </si>
  <si>
    <t>M000366220</t>
  </si>
  <si>
    <t>RGT AIRP M000366220 12/11/2024</t>
  </si>
  <si>
    <t>72024111200182689</t>
  </si>
  <si>
    <t>M000364893</t>
  </si>
  <si>
    <t>RGT AIRP M000364893 12/11/2024</t>
  </si>
  <si>
    <t>82024111200137386</t>
  </si>
  <si>
    <t>M000365295</t>
  </si>
  <si>
    <t>RGT AIRP M000365295 12/11/2024</t>
  </si>
  <si>
    <t>82024111200148632</t>
  </si>
  <si>
    <t>M000366247</t>
  </si>
  <si>
    <t>RGT AIRP M000366247 12/11/2024</t>
  </si>
  <si>
    <t>82024111200155147</t>
  </si>
  <si>
    <t>M000367145</t>
  </si>
  <si>
    <t>RGT AIRP M000367145 12/11/2024</t>
  </si>
  <si>
    <t>82024111200158291</t>
  </si>
  <si>
    <t>M000366196</t>
  </si>
  <si>
    <t>RGT AIRP M000366196 12/11/2024</t>
  </si>
  <si>
    <t>82024111200249513</t>
  </si>
  <si>
    <t>M000366198</t>
  </si>
  <si>
    <t>RGT AIRP M000366198 12/11/2024</t>
  </si>
  <si>
    <t>82024111200289458</t>
  </si>
  <si>
    <t>M000366614</t>
  </si>
  <si>
    <t>RGT AIRP M000366614 12/11/2024</t>
  </si>
  <si>
    <t>82024111200332900</t>
  </si>
  <si>
    <t>M000366765</t>
  </si>
  <si>
    <t>RGT AIRP M000366765 12/11/2024</t>
  </si>
  <si>
    <t>82024111200467984</t>
  </si>
  <si>
    <t>M000364965</t>
  </si>
  <si>
    <t>RGT AIRP M000364965 12/11/2024</t>
  </si>
  <si>
    <t>62024111300249249</t>
  </si>
  <si>
    <t>M000364395</t>
  </si>
  <si>
    <t>RGT AIRP M000364395 13/11/2024</t>
  </si>
  <si>
    <t>62024111300386724</t>
  </si>
  <si>
    <t>M000363348</t>
  </si>
  <si>
    <t>RGT AIRP M000363348 13/11/2024</t>
  </si>
  <si>
    <t>62024111300445187</t>
  </si>
  <si>
    <t>22955013333</t>
  </si>
  <si>
    <t>M000364235</t>
  </si>
  <si>
    <t>RGT AIRP M000364235 13/11/2024</t>
  </si>
  <si>
    <t>62024111300452689</t>
  </si>
  <si>
    <t>M000366610</t>
  </si>
  <si>
    <t>RGT AIRP M000366610 13/11/2024</t>
  </si>
  <si>
    <t>62024111300453770</t>
  </si>
  <si>
    <t>22998856520</t>
  </si>
  <si>
    <t>M000365200</t>
  </si>
  <si>
    <t>RGT AIRP M000365200 13/11/2024</t>
  </si>
  <si>
    <t>62024111300504163</t>
  </si>
  <si>
    <t>M000357953</t>
  </si>
  <si>
    <t>RGT AIRP M000357953 13/11/2024</t>
  </si>
  <si>
    <t>62024111300603792</t>
  </si>
  <si>
    <t>M000367549</t>
  </si>
  <si>
    <t>RGT AIRP M000367549 13/11/2024</t>
  </si>
  <si>
    <t>72024111300159745</t>
  </si>
  <si>
    <t>M000366699</t>
  </si>
  <si>
    <t>RGT AIRP M000366699 13/11/2024</t>
  </si>
  <si>
    <t>72024111300313836</t>
  </si>
  <si>
    <t>M000364077</t>
  </si>
  <si>
    <t>RGT AIRP M000364077 13/11/2024</t>
  </si>
  <si>
    <t>72024111300340295</t>
  </si>
  <si>
    <t>M000367551</t>
  </si>
  <si>
    <t>RGT AIRP M000367551 13/11/2024</t>
  </si>
  <si>
    <t>82024111300079344</t>
  </si>
  <si>
    <t>M000364187</t>
  </si>
  <si>
    <t>RGT AIRP M000364187 13/11/2024</t>
  </si>
  <si>
    <t>82024111300079703</t>
  </si>
  <si>
    <t>M000363919</t>
  </si>
  <si>
    <t>RGT AIRP M000363919 13/11/2024</t>
  </si>
  <si>
    <t>82024111300237721</t>
  </si>
  <si>
    <t>M000364006</t>
  </si>
  <si>
    <t>RGT AIRP M000364006 13/11/2024</t>
  </si>
  <si>
    <t>82024111300389037</t>
  </si>
  <si>
    <t>M000367380</t>
  </si>
  <si>
    <t>RGT AIRP M000367380 13/11/2024</t>
  </si>
  <si>
    <t>82024111300422047</t>
  </si>
  <si>
    <t>22995259292</t>
  </si>
  <si>
    <t>A0008408</t>
  </si>
  <si>
    <t>XPRESS TRANSPORT ET SERVICES</t>
  </si>
  <si>
    <t>M000364839</t>
  </si>
  <si>
    <t>RGT AIRP M000364839 13/11/2024</t>
  </si>
  <si>
    <t>82024111300462275</t>
  </si>
  <si>
    <t>M000366907</t>
  </si>
  <si>
    <t>RGT AIRP M000366907 13/11/2024</t>
  </si>
  <si>
    <t>82024111300521769</t>
  </si>
  <si>
    <t>M000365940</t>
  </si>
  <si>
    <t>RGT AIRP M000365940 13/11/2024</t>
  </si>
  <si>
    <t>62024111400040524</t>
  </si>
  <si>
    <t>22995952073</t>
  </si>
  <si>
    <t>A0008343</t>
  </si>
  <si>
    <t>ABEILLE</t>
  </si>
  <si>
    <t>M000364812</t>
  </si>
  <si>
    <t>RGT AIRP M000364812 14/11/2024</t>
  </si>
  <si>
    <t>62024111400192665</t>
  </si>
  <si>
    <t>M000365077</t>
  </si>
  <si>
    <t>RGT AIRP M000365077 14/11/2024</t>
  </si>
  <si>
    <t>62024111400263892</t>
  </si>
  <si>
    <t>M000363612</t>
  </si>
  <si>
    <t>RGT AIRP M000363612 14/11/2024</t>
  </si>
  <si>
    <t>62024111400277691</t>
  </si>
  <si>
    <t>M000367604</t>
  </si>
  <si>
    <t>RGT AIRP M000367604 14/11/2024</t>
  </si>
  <si>
    <t>62024111400331405</t>
  </si>
  <si>
    <t>M000366936</t>
  </si>
  <si>
    <t>RGT AIRP M000366936 14/11/2024</t>
  </si>
  <si>
    <t>62024111400347396</t>
  </si>
  <si>
    <t>M000365156</t>
  </si>
  <si>
    <t>RGT AIRP M000365156 14/11/2024</t>
  </si>
  <si>
    <t>62024111400583624</t>
  </si>
  <si>
    <t>M000366934</t>
  </si>
  <si>
    <t>RGT AIRP M000366934 14/11/2024</t>
  </si>
  <si>
    <t>72024111400020553</t>
  </si>
  <si>
    <t>M000367120</t>
  </si>
  <si>
    <t>RGT AIRP M000367120 14/11/2024</t>
  </si>
  <si>
    <t>72024111400170773</t>
  </si>
  <si>
    <t>M000364309</t>
  </si>
  <si>
    <t>RGT AIRP M000364309 14/11/2024</t>
  </si>
  <si>
    <t>82024111400132751</t>
  </si>
  <si>
    <t>M000366662</t>
  </si>
  <si>
    <t>RGT AIRP M000366662 14/11/2024</t>
  </si>
  <si>
    <t>82024111400483685</t>
  </si>
  <si>
    <t>M000366152</t>
  </si>
  <si>
    <t>RGT AIRP M000366152 14/11/2024</t>
  </si>
  <si>
    <t>62024111500151402</t>
  </si>
  <si>
    <t>M000364900</t>
  </si>
  <si>
    <t>RGT AIRP M000364900 15/11/2024</t>
  </si>
  <si>
    <t>62024111500329497</t>
  </si>
  <si>
    <t>22995307189</t>
  </si>
  <si>
    <t>A0009313</t>
  </si>
  <si>
    <t>BARBOZA ACARY AUDREY</t>
  </si>
  <si>
    <t>M000358200</t>
  </si>
  <si>
    <t>RGT AIRP M000358200 15/11/2024</t>
  </si>
  <si>
    <t>62024111500366073</t>
  </si>
  <si>
    <t>M000364918</t>
  </si>
  <si>
    <t>RGT AIRP M000364918 15/11/2024</t>
  </si>
  <si>
    <t>62024111500680259</t>
  </si>
  <si>
    <t>A0009271</t>
  </si>
  <si>
    <t>ROYAL TECH ET SERVICES</t>
  </si>
  <si>
    <t>M000365233</t>
  </si>
  <si>
    <t>RGT AIRP M000365233 15/11/2024</t>
  </si>
  <si>
    <t>72024111500027411</t>
  </si>
  <si>
    <t>M000366454</t>
  </si>
  <si>
    <t>RGT AIRP M000366454 15/11/2024</t>
  </si>
  <si>
    <t>72024111500061971</t>
  </si>
  <si>
    <t>M000367199</t>
  </si>
  <si>
    <t>RGT AIRP M000367199 15/11/2024</t>
  </si>
  <si>
    <t>72024111500242971</t>
  </si>
  <si>
    <t>M000367507</t>
  </si>
  <si>
    <t>RGT AIRP M000367507 15/11/2024</t>
  </si>
  <si>
    <t>82024111500096130</t>
  </si>
  <si>
    <t>22963494903</t>
  </si>
  <si>
    <t>A0006623</t>
  </si>
  <si>
    <t>IMANI SERVICES SARL</t>
  </si>
  <si>
    <t>M000366633</t>
  </si>
  <si>
    <t>RGT AIRP M000366633 15/11/2024</t>
  </si>
  <si>
    <t>82024111500183441</t>
  </si>
  <si>
    <t>M000366026</t>
  </si>
  <si>
    <t>RGT AIRP M000366026 15/11/2024</t>
  </si>
  <si>
    <t>82024111500338507</t>
  </si>
  <si>
    <t>M000367360</t>
  </si>
  <si>
    <t>RGT AIRP M000367360 15/11/2024</t>
  </si>
  <si>
    <t>82024111500465839</t>
  </si>
  <si>
    <t>M000364320</t>
  </si>
  <si>
    <t>RGT AIRP M000364320 15/11/2024</t>
  </si>
  <si>
    <t>62024111600206473</t>
  </si>
  <si>
    <t>M000367528</t>
  </si>
  <si>
    <t>RGT AIRP M000367528 16/11/2024</t>
  </si>
  <si>
    <t>62024111600207539</t>
  </si>
  <si>
    <t>A0003692</t>
  </si>
  <si>
    <t>GAPS SECURITY BENIN</t>
  </si>
  <si>
    <t>M000363681</t>
  </si>
  <si>
    <t>RGT AIRP M000363681 16/11/2024</t>
  </si>
  <si>
    <t>62024111600215091</t>
  </si>
  <si>
    <t>M000366709</t>
  </si>
  <si>
    <t>RGT AIRP M000366709 16/11/2024</t>
  </si>
  <si>
    <t>62024111600443098</t>
  </si>
  <si>
    <t>M000364599</t>
  </si>
  <si>
    <t>RGT AIRP M000364599 16/11/2024</t>
  </si>
  <si>
    <t>62024111600487876</t>
  </si>
  <si>
    <t>M000367525</t>
  </si>
  <si>
    <t>RGT AIRP M000367525 16/11/2024</t>
  </si>
  <si>
    <t>72024111600151502</t>
  </si>
  <si>
    <t>M000364642</t>
  </si>
  <si>
    <t>RGT AIRP M000364642 16/11/2024</t>
  </si>
  <si>
    <t>72024111600296584</t>
  </si>
  <si>
    <t>22964572413</t>
  </si>
  <si>
    <t>M000367211</t>
  </si>
  <si>
    <t>RGT AIRP M000367211 16/11/2024</t>
  </si>
  <si>
    <t>82024111600098687</t>
  </si>
  <si>
    <t>M000364024</t>
  </si>
  <si>
    <t>RGT AIRP M000364024 16/11/2024</t>
  </si>
  <si>
    <t>82024111600106956</t>
  </si>
  <si>
    <t>M000367467</t>
  </si>
  <si>
    <t>RGT AIRP M000367467 16/11/2024</t>
  </si>
  <si>
    <t>82024111600224539</t>
  </si>
  <si>
    <t>M000364733</t>
  </si>
  <si>
    <t>RGT AIRP M000364733 16/11/2024</t>
  </si>
  <si>
    <t>82024111600239511</t>
  </si>
  <si>
    <t>M000367059</t>
  </si>
  <si>
    <t>RGT AIRP M000367059 16/11/2024</t>
  </si>
  <si>
    <t>62024111700109709</t>
  </si>
  <si>
    <t>M000367646</t>
  </si>
  <si>
    <t>RGT AIRP M000367646 17/11/2024</t>
  </si>
  <si>
    <t>62024111700539709</t>
  </si>
  <si>
    <t>M000364637</t>
  </si>
  <si>
    <t>RGT AIRP M000364637 17/11/2024</t>
  </si>
  <si>
    <t>82024111700183021</t>
  </si>
  <si>
    <t>M000364071</t>
  </si>
  <si>
    <t>RGT AIRP M000364071 17/11/2024</t>
  </si>
  <si>
    <t>82024111700385366</t>
  </si>
  <si>
    <t>M000366979</t>
  </si>
  <si>
    <t>RGT AIRP M000366979 17/11/2024</t>
  </si>
  <si>
    <t>62024111800184724</t>
  </si>
  <si>
    <t>M000363478</t>
  </si>
  <si>
    <t>RGT AIRP M000363478 18/11/2024</t>
  </si>
  <si>
    <t>62024111800229957</t>
  </si>
  <si>
    <t>M000367183</t>
  </si>
  <si>
    <t>RGT AIRP M000367183 18/11/2024</t>
  </si>
  <si>
    <t>62024111800234993</t>
  </si>
  <si>
    <t>22999999515</t>
  </si>
  <si>
    <t>A0009441</t>
  </si>
  <si>
    <t>FATHNELL</t>
  </si>
  <si>
    <t>M000363036</t>
  </si>
  <si>
    <t>RGT AIRP M000363036 18/11/2024</t>
  </si>
  <si>
    <t>62024111800286209</t>
  </si>
  <si>
    <t>M000367440</t>
  </si>
  <si>
    <t>RGT AIRP M000367440 18/11/2024</t>
  </si>
  <si>
    <t>62024111800372300</t>
  </si>
  <si>
    <t>M000367303</t>
  </si>
  <si>
    <t>RGT AIRP M000367303 18/11/2024</t>
  </si>
  <si>
    <t>62024111800414176</t>
  </si>
  <si>
    <t>M000365356</t>
  </si>
  <si>
    <t>RGT AIRP M000365356 18/11/2024</t>
  </si>
  <si>
    <t>62024111800554888</t>
  </si>
  <si>
    <t>M000367657</t>
  </si>
  <si>
    <t>RGT AIRP M000367657 18/11/2024</t>
  </si>
  <si>
    <t>72024111800078149</t>
  </si>
  <si>
    <t>22961810276</t>
  </si>
  <si>
    <t>M000365321</t>
  </si>
  <si>
    <t>RGT AIRP M000365321 18/11/2024</t>
  </si>
  <si>
    <t>72024111800252569</t>
  </si>
  <si>
    <t>22958701380</t>
  </si>
  <si>
    <t>M000366532</t>
  </si>
  <si>
    <t>RGT AIRP M000366532 18/11/2024</t>
  </si>
  <si>
    <t>72024111800342040</t>
  </si>
  <si>
    <t>M000365938</t>
  </si>
  <si>
    <t>RGT AIRP M000365938 18/11/2024</t>
  </si>
  <si>
    <t>82024111800022426</t>
  </si>
  <si>
    <t>M000366727</t>
  </si>
  <si>
    <t>RGT AIRP M000366727 18/11/2024</t>
  </si>
  <si>
    <t>82024111800062051</t>
  </si>
  <si>
    <t>M000363355</t>
  </si>
  <si>
    <t>RGT AIRP M000363355 18/11/2024</t>
  </si>
  <si>
    <t>82024111800262953</t>
  </si>
  <si>
    <t>M000365919</t>
  </si>
  <si>
    <t>RGT AIRP M000365919 18/11/2024</t>
  </si>
  <si>
    <t>62024111900093466</t>
  </si>
  <si>
    <t>M000366166</t>
  </si>
  <si>
    <t>RGT AIRP M000366166 19/11/2024</t>
  </si>
  <si>
    <t>62024111900129873</t>
  </si>
  <si>
    <t>M000366398</t>
  </si>
  <si>
    <t>RGT AIRP M000366398 19/11/2024</t>
  </si>
  <si>
    <t>62024111900227789</t>
  </si>
  <si>
    <t>M000367200</t>
  </si>
  <si>
    <t>RGT AIRP M000367200 19/11/2024</t>
  </si>
  <si>
    <t>62024111900354302</t>
  </si>
  <si>
    <t>M000366604</t>
  </si>
  <si>
    <t>RGT AIRP M000366604 19/11/2024</t>
  </si>
  <si>
    <t>62024111900424999</t>
  </si>
  <si>
    <t>22995068699</t>
  </si>
  <si>
    <t>A0005329</t>
  </si>
  <si>
    <t>STE PHARMACIE CARREFOUR GBODJE</t>
  </si>
  <si>
    <t>M000366312</t>
  </si>
  <si>
    <t>RGT AIRP M000366312 19/11/2024</t>
  </si>
  <si>
    <t>62024111900560202</t>
  </si>
  <si>
    <t>22963407604</t>
  </si>
  <si>
    <t>A0009587</t>
  </si>
  <si>
    <t>GBEKAN HERMAN COMLAN</t>
  </si>
  <si>
    <t>M000367732</t>
  </si>
  <si>
    <t>RGT AIRP M000367732 19/11/2024</t>
  </si>
  <si>
    <t>62024111900652618</t>
  </si>
  <si>
    <t>M000365304</t>
  </si>
  <si>
    <t>RGT AIRP M000365304 19/11/2024</t>
  </si>
  <si>
    <t>72024111900039480</t>
  </si>
  <si>
    <t>M000366333</t>
  </si>
  <si>
    <t>RGT AIRP M000366333 19/11/2024</t>
  </si>
  <si>
    <t>72024111900100728</t>
  </si>
  <si>
    <t>M000364333</t>
  </si>
  <si>
    <t>RGT AIRP M000364333 19/11/2024</t>
  </si>
  <si>
    <t>82024111900144071</t>
  </si>
  <si>
    <t>A0005553</t>
  </si>
  <si>
    <t>CSP LES CHEVALIERS</t>
  </si>
  <si>
    <t>M000366365</t>
  </si>
  <si>
    <t>RGT AIRP M000366365 19/11/2024</t>
  </si>
  <si>
    <t>82024111900147890</t>
  </si>
  <si>
    <t>M000366560</t>
  </si>
  <si>
    <t>RGT AIRP M000366560 19/11/2024</t>
  </si>
  <si>
    <t>82024111900160845</t>
  </si>
  <si>
    <t>M000366939</t>
  </si>
  <si>
    <t>RGT AIRP M000366939 19/11/2024</t>
  </si>
  <si>
    <t>82024111900175626</t>
  </si>
  <si>
    <t>M000367050</t>
  </si>
  <si>
    <t>RGT AIRP M000367050 19/11/2024</t>
  </si>
  <si>
    <t>82024111900281693</t>
  </si>
  <si>
    <t>22968529021</t>
  </si>
  <si>
    <t>M000366551</t>
  </si>
  <si>
    <t>RGT AIRP M000366551 19/11/2024</t>
  </si>
  <si>
    <t>82024111900323053</t>
  </si>
  <si>
    <t>M000366832</t>
  </si>
  <si>
    <t>RGT AIRP M000366832 19/11/2024</t>
  </si>
  <si>
    <t>82024111900339037</t>
  </si>
  <si>
    <t>M000366203</t>
  </si>
  <si>
    <t>RGT AIRP M000366203 19/11/2024</t>
  </si>
  <si>
    <t>82024111900521602</t>
  </si>
  <si>
    <t>M000367587</t>
  </si>
  <si>
    <t>RGT AIRP M000367587 19/11/2024</t>
  </si>
  <si>
    <t>62024112000077460</t>
  </si>
  <si>
    <t>M000366347</t>
  </si>
  <si>
    <t>RGT AIRP M000366347 20/11/2024</t>
  </si>
  <si>
    <t>62024112000084324</t>
  </si>
  <si>
    <t>M000366949</t>
  </si>
  <si>
    <t>RGT AIRP M000366949 20/11/2024</t>
  </si>
  <si>
    <t>62024112000132510</t>
  </si>
  <si>
    <t>M000367268</t>
  </si>
  <si>
    <t>RGT AIRP M000367268 20/11/2024</t>
  </si>
  <si>
    <t>62024112000220443</t>
  </si>
  <si>
    <t>M000367240</t>
  </si>
  <si>
    <t>RGT AIRP M000367240 20/11/2024</t>
  </si>
  <si>
    <t>62024112000314576</t>
  </si>
  <si>
    <t>M000365604</t>
  </si>
  <si>
    <t>RGT AIRP M000365604 20/11/2024</t>
  </si>
  <si>
    <t>62024112000345493</t>
  </si>
  <si>
    <t>M000366005</t>
  </si>
  <si>
    <t>RGT AIRP M000366005 20/11/2024</t>
  </si>
  <si>
    <t>62024112000562564</t>
  </si>
  <si>
    <t>M000367435</t>
  </si>
  <si>
    <t>RGT AIRP M000367435 20/11/2024</t>
  </si>
  <si>
    <t>62024112000583702</t>
  </si>
  <si>
    <t>M000366245</t>
  </si>
  <si>
    <t>RGT AIRP M000366245 20/11/2024</t>
  </si>
  <si>
    <t>72024112000073797</t>
  </si>
  <si>
    <t>M000367299</t>
  </si>
  <si>
    <t>RGT AIRP M000367299 20/11/2024</t>
  </si>
  <si>
    <t>72024112000078300</t>
  </si>
  <si>
    <t>M000366988</t>
  </si>
  <si>
    <t>RGT AIRP M000366988 20/11/2024</t>
  </si>
  <si>
    <t>72024112000179063</t>
  </si>
  <si>
    <t>M000367068</t>
  </si>
  <si>
    <t>RGT AIRP M000367068 20/11/2024</t>
  </si>
  <si>
    <t>82024112000099003</t>
  </si>
  <si>
    <t xml:space="preserve"> MAKA RACINE  CONSULTING BENIN</t>
  </si>
  <si>
    <t>M000367594</t>
  </si>
  <si>
    <t>RGT AIRP M000367594 20/11/2024</t>
  </si>
  <si>
    <t>82024112000117951</t>
  </si>
  <si>
    <t>M000365936</t>
  </si>
  <si>
    <t>RGT AIRP M000365936 20/11/2024</t>
  </si>
  <si>
    <t>82024112000259934</t>
  </si>
  <si>
    <t>22995285597</t>
  </si>
  <si>
    <t>M000366490</t>
  </si>
  <si>
    <t>RGT AIRP M000366490 20/11/2024</t>
  </si>
  <si>
    <t>82024112000507427</t>
  </si>
  <si>
    <t>M000366835</t>
  </si>
  <si>
    <t>RGT AIRP M000366835 20/11/2024</t>
  </si>
  <si>
    <t>62024112100001071</t>
  </si>
  <si>
    <t>M000363873</t>
  </si>
  <si>
    <t>RGT AIRP M000363873 21/11/2024</t>
  </si>
  <si>
    <t>62024112100012070</t>
  </si>
  <si>
    <t>M000365225</t>
  </si>
  <si>
    <t>RGT AIRP M000365225 21/11/2024</t>
  </si>
  <si>
    <t>62024112100071690</t>
  </si>
  <si>
    <t>M000365354</t>
  </si>
  <si>
    <t>RGT AIRP M000365354 21/11/2024</t>
  </si>
  <si>
    <t>62024112100075719</t>
  </si>
  <si>
    <t>M000366051</t>
  </si>
  <si>
    <t>RGT AIRP M000366051 21/11/2024</t>
  </si>
  <si>
    <t>62024112100076133</t>
  </si>
  <si>
    <t>M000363586</t>
  </si>
  <si>
    <t>RGT AIRP M000363586 21/11/2024</t>
  </si>
  <si>
    <t>62024112100190192</t>
  </si>
  <si>
    <t>M000367451</t>
  </si>
  <si>
    <t>RGT AIRP M000367451 21/11/2024</t>
  </si>
  <si>
    <t>62024112100373172</t>
  </si>
  <si>
    <t>22965330003</t>
  </si>
  <si>
    <t>A0009572</t>
  </si>
  <si>
    <t>SOMAHOUE RUTH</t>
  </si>
  <si>
    <t>M000367719</t>
  </si>
  <si>
    <t>RGT AIRP M000367719 21/11/2024</t>
  </si>
  <si>
    <t>62024112100375270</t>
  </si>
  <si>
    <t>M000365463</t>
  </si>
  <si>
    <t>RGT AIRP M000365463 21/11/2024</t>
  </si>
  <si>
    <t>62024112100408073</t>
  </si>
  <si>
    <t>M000367029</t>
  </si>
  <si>
    <t>RGT AIRP M000367029 21/11/2024</t>
  </si>
  <si>
    <t>62024112100432138</t>
  </si>
  <si>
    <t>M000367625</t>
  </si>
  <si>
    <t>RGT AIRP M000367625 21/11/2024</t>
  </si>
  <si>
    <t>62024112100454282</t>
  </si>
  <si>
    <t>22998206518</t>
  </si>
  <si>
    <t>A0007834</t>
  </si>
  <si>
    <t>ADIDO FLURICE ROSLAND</t>
  </si>
  <si>
    <t>M000366959</t>
  </si>
  <si>
    <t>RGT AIRP M000366959 21/11/2024</t>
  </si>
  <si>
    <t>62024112100476483</t>
  </si>
  <si>
    <t>22965404646</t>
  </si>
  <si>
    <t>M000365914</t>
  </si>
  <si>
    <t>RGT AIRP M000365914 21/11/2024</t>
  </si>
  <si>
    <t>62024112100493522</t>
  </si>
  <si>
    <t>M000359979</t>
  </si>
  <si>
    <t>RGT AIRP M000359979 21/11/2024</t>
  </si>
  <si>
    <t>72024112100022093</t>
  </si>
  <si>
    <t>M000363941</t>
  </si>
  <si>
    <t>RGT AIRP M000363941 21/11/2024</t>
  </si>
  <si>
    <t>72024112100091398</t>
  </si>
  <si>
    <t>M000367284</t>
  </si>
  <si>
    <t>RGT AIRP M000367284 21/11/2024</t>
  </si>
  <si>
    <t>72024112100233308</t>
  </si>
  <si>
    <t xml:space="preserve"> GEOLUMIERE</t>
  </si>
  <si>
    <t>M000366069</t>
  </si>
  <si>
    <t>RGT AIRP M000366069 21/11/2024</t>
  </si>
  <si>
    <t>72024112100322550</t>
  </si>
  <si>
    <t>M000367122</t>
  </si>
  <si>
    <t>RGT AIRP M000367122 21/11/2024</t>
  </si>
  <si>
    <t>82024112100055264</t>
  </si>
  <si>
    <t>M000367568</t>
  </si>
  <si>
    <t>RGT AIRP M000367568 21/11/2024</t>
  </si>
  <si>
    <t>82024112100078669</t>
  </si>
  <si>
    <t>M000365001</t>
  </si>
  <si>
    <t>RGT AIRP M000365001 21/11/2024</t>
  </si>
  <si>
    <t>82024112100102364</t>
  </si>
  <si>
    <t>M000356703</t>
  </si>
  <si>
    <t>RGT AIRP M000356703 21/11/2024</t>
  </si>
  <si>
    <t>82024112100141238</t>
  </si>
  <si>
    <t>M000366306</t>
  </si>
  <si>
    <t>RGT AIRP M000366306 21/11/2024</t>
  </si>
  <si>
    <t>82024112100314955</t>
  </si>
  <si>
    <t>M000363533</t>
  </si>
  <si>
    <t>RGT AIRP M000363533 21/11/2024</t>
  </si>
  <si>
    <t>82024112100320915</t>
  </si>
  <si>
    <t>M000366911</t>
  </si>
  <si>
    <t>RGT AIRP M000366911 21/11/2024</t>
  </si>
  <si>
    <t>82024112100332220</t>
  </si>
  <si>
    <t>M000365353</t>
  </si>
  <si>
    <t>RGT AIRP M000365353 21/11/2024</t>
  </si>
  <si>
    <t>62024112200058184</t>
  </si>
  <si>
    <t>M000367701</t>
  </si>
  <si>
    <t>RGT AIRP M000367701 22/11/2024</t>
  </si>
  <si>
    <t>62024112200199433</t>
  </si>
  <si>
    <t>22994205704</t>
  </si>
  <si>
    <t>A0002402</t>
  </si>
  <si>
    <t>ESSOR</t>
  </si>
  <si>
    <t>M000365737</t>
  </si>
  <si>
    <t>RGT AIRP M000365737 22/11/2024</t>
  </si>
  <si>
    <t>62024112200212974</t>
  </si>
  <si>
    <t>M000367341</t>
  </si>
  <si>
    <t>RGT AIRP M000367341 22/11/2024</t>
  </si>
  <si>
    <t>62024112200216686</t>
  </si>
  <si>
    <t>M000367006</t>
  </si>
  <si>
    <t>RGT AIRP M000367006 22/11/2024</t>
  </si>
  <si>
    <t>62024112200221001</t>
  </si>
  <si>
    <t>M000366897</t>
  </si>
  <si>
    <t>RGT AIRP M000366897 22/11/2024</t>
  </si>
  <si>
    <t>62024112200224618</t>
  </si>
  <si>
    <t>M000365973</t>
  </si>
  <si>
    <t>RGT AIRP M000365973 22/11/2024</t>
  </si>
  <si>
    <t>62024112200248957</t>
  </si>
  <si>
    <t>M000367334</t>
  </si>
  <si>
    <t>RGT AIRP M000367334 22/11/2024</t>
  </si>
  <si>
    <t>62024112200310790</t>
  </si>
  <si>
    <t>M000366989</t>
  </si>
  <si>
    <t>RGT AIRP M000366989 22/11/2024</t>
  </si>
  <si>
    <t>62024112200340778</t>
  </si>
  <si>
    <t>M000366447</t>
  </si>
  <si>
    <t>RGT AIRP M000366447 22/11/2024</t>
  </si>
  <si>
    <t>62024112200351253</t>
  </si>
  <si>
    <t>M000366692</t>
  </si>
  <si>
    <t>RGT AIRP M000366692 22/11/2024</t>
  </si>
  <si>
    <t>62024112200383801</t>
  </si>
  <si>
    <t>M000367662</t>
  </si>
  <si>
    <t>RGT AIRP M000367662 22/11/2024</t>
  </si>
  <si>
    <t>62024112200421728</t>
  </si>
  <si>
    <t>M000366496</t>
  </si>
  <si>
    <t>RGT AIRP M000366496 22/11/2024</t>
  </si>
  <si>
    <t>62024112200427537</t>
  </si>
  <si>
    <t>M000367725</t>
  </si>
  <si>
    <t>RGT AIRP M000367725 22/11/2024</t>
  </si>
  <si>
    <t>62024112200445651</t>
  </si>
  <si>
    <t>M000367202</t>
  </si>
  <si>
    <t>RGT AIRP M000367202 22/11/2024</t>
  </si>
  <si>
    <t>62024112200573387</t>
  </si>
  <si>
    <t>M000367555</t>
  </si>
  <si>
    <t>RGT AIRP M000367555 22/11/2024</t>
  </si>
  <si>
    <t>62024112200582030</t>
  </si>
  <si>
    <t>M000367645</t>
  </si>
  <si>
    <t>RGT AIRP M000367645 22/11/2024</t>
  </si>
  <si>
    <t>62024112200655340</t>
  </si>
  <si>
    <t>M000367565</t>
  </si>
  <si>
    <t>RGT AIRP M000367565 22/11/2024</t>
  </si>
  <si>
    <t>72024112200096924</t>
  </si>
  <si>
    <t>M000366809</t>
  </si>
  <si>
    <t>RGT AIRP M000366809 22/11/2024</t>
  </si>
  <si>
    <t>72024112200226437</t>
  </si>
  <si>
    <t>M000365987</t>
  </si>
  <si>
    <t>RGT AIRP M000365987 22/11/2024</t>
  </si>
  <si>
    <t>82024112200069404</t>
  </si>
  <si>
    <t>M000365687</t>
  </si>
  <si>
    <t>RGT AIRP M000365687 22/11/2024</t>
  </si>
  <si>
    <t>82024112200076961</t>
  </si>
  <si>
    <t>M000367455</t>
  </si>
  <si>
    <t>RGT AIRP M000367455 22/11/2024</t>
  </si>
  <si>
    <t>82024112200105742</t>
  </si>
  <si>
    <t>M000367422</t>
  </si>
  <si>
    <t>RGT AIRP M000367422 22/11/2024</t>
  </si>
  <si>
    <t>82024112200172989</t>
  </si>
  <si>
    <t>M000366066</t>
  </si>
  <si>
    <t>RGT AIRP M000366066 22/11/2024</t>
  </si>
  <si>
    <t>82024112200243695</t>
  </si>
  <si>
    <t>M000366374</t>
  </si>
  <si>
    <t>RGT AIRP M000366374 22/11/2024</t>
  </si>
  <si>
    <t>82024112200277577</t>
  </si>
  <si>
    <t>M000365424</t>
  </si>
  <si>
    <t>RGT AIRP M000365424 22/11/2024</t>
  </si>
  <si>
    <t>82024112200286763</t>
  </si>
  <si>
    <t>M000366649</t>
  </si>
  <si>
    <t>RGT AIRP M000366649 22/11/2024</t>
  </si>
  <si>
    <t>82024112200465792</t>
  </si>
  <si>
    <t>M000367524</t>
  </si>
  <si>
    <t>RGT AIRP M000367524 22/11/2024</t>
  </si>
  <si>
    <t>82024112200506908</t>
  </si>
  <si>
    <t>M000365377</t>
  </si>
  <si>
    <t>RGT AIRP M000365377 22/11/2024</t>
  </si>
  <si>
    <t>62024112300079017</t>
  </si>
  <si>
    <t>22965446875</t>
  </si>
  <si>
    <t>M000367257</t>
  </si>
  <si>
    <t>RGT AIRP M000367257 23/11/2024</t>
  </si>
  <si>
    <t>82024112300010816</t>
  </si>
  <si>
    <t>M000366420</t>
  </si>
  <si>
    <t>RGT AIRP M000366420 23/11/2024</t>
  </si>
  <si>
    <t>82024112300192280</t>
  </si>
  <si>
    <t>M000366301</t>
  </si>
  <si>
    <t>RGT AIRP M000366301 23/11/2024</t>
  </si>
  <si>
    <t>82024112300472055</t>
  </si>
  <si>
    <t>M000367503</t>
  </si>
  <si>
    <t>RGT AIRP M000367503 23/11/2024</t>
  </si>
  <si>
    <t>62024112400049264</t>
  </si>
  <si>
    <t>M000367562</t>
  </si>
  <si>
    <t>RGT AIRP M000367562 24/11/2024</t>
  </si>
  <si>
    <t>62024112400375894</t>
  </si>
  <si>
    <t>M000367318</t>
  </si>
  <si>
    <t>RGT AIRP M000367318 24/11/2024</t>
  </si>
  <si>
    <t>72024112400140768</t>
  </si>
  <si>
    <t>M000366352</t>
  </si>
  <si>
    <t>RGT AIRP M000366352 24/11/2024</t>
  </si>
  <si>
    <t>82024112400038360</t>
  </si>
  <si>
    <t>M000365918</t>
  </si>
  <si>
    <t>RGT AIRP M000365918 24/11/2024</t>
  </si>
  <si>
    <t>82024112400077434</t>
  </si>
  <si>
    <t>M000367368</t>
  </si>
  <si>
    <t>RGT AIRP M000367368 24/11/2024</t>
  </si>
  <si>
    <t>82024112400096207</t>
  </si>
  <si>
    <t>M000367454</t>
  </si>
  <si>
    <t>RGT AIRP M000367454 24/11/2024</t>
  </si>
  <si>
    <t>82024112400249590</t>
  </si>
  <si>
    <t>M000366812</t>
  </si>
  <si>
    <t>RGT AIRP M000366812 24/11/2024</t>
  </si>
  <si>
    <t>82024112400350590</t>
  </si>
  <si>
    <t>M000364811</t>
  </si>
  <si>
    <t>RGT AIRP M000364811 24/11/2024</t>
  </si>
  <si>
    <t>62024112500033777</t>
  </si>
  <si>
    <t>M000367378</t>
  </si>
  <si>
    <t>RGT AIRP M000367378 25/11/2024</t>
  </si>
  <si>
    <t>62024112500109176</t>
  </si>
  <si>
    <t>M000366011</t>
  </si>
  <si>
    <t>RGT AIRP M000366011 25/11/2024</t>
  </si>
  <si>
    <t>62024112500121367</t>
  </si>
  <si>
    <t>M000364794</t>
  </si>
  <si>
    <t>RGT AIRP M000364794 25/11/2024</t>
  </si>
  <si>
    <t>62024112500193751</t>
  </si>
  <si>
    <t>M000363653</t>
  </si>
  <si>
    <t>RGT AIRP M000363653 25/11/2024</t>
  </si>
  <si>
    <t>62024112500220532</t>
  </si>
  <si>
    <t>M000363914</t>
  </si>
  <si>
    <t>RGT AIRP M000363914 25/11/2024</t>
  </si>
  <si>
    <t>62024112500222448</t>
  </si>
  <si>
    <t>M000367282</t>
  </si>
  <si>
    <t>RGT AIRP M000367282 25/11/2024</t>
  </si>
  <si>
    <t>62024112500228072</t>
  </si>
  <si>
    <t>M000366562</t>
  </si>
  <si>
    <t>RGT AIRP M000366562 25/11/2024</t>
  </si>
  <si>
    <t>62024112500288706</t>
  </si>
  <si>
    <t>M000366440</t>
  </si>
  <si>
    <t>RGT AIRP M000366440 25/11/2024</t>
  </si>
  <si>
    <t>62024112500292599</t>
  </si>
  <si>
    <t>M000363798</t>
  </si>
  <si>
    <t>RGT AIRP M000363798 25/11/2024</t>
  </si>
  <si>
    <t>62024112500295154</t>
  </si>
  <si>
    <t>M000364674</t>
  </si>
  <si>
    <t>RGT AIRP M000364674 25/11/2024</t>
  </si>
  <si>
    <t>62024112500311121</t>
  </si>
  <si>
    <t>M000366043</t>
  </si>
  <si>
    <t>RGT AIRP M000366043 25/11/2024</t>
  </si>
  <si>
    <t>62024112500319138</t>
  </si>
  <si>
    <t>M000367023</t>
  </si>
  <si>
    <t>RGT AIRP M000367023 25/11/2024</t>
  </si>
  <si>
    <t>62024112500371705</t>
  </si>
  <si>
    <t>M000366343</t>
  </si>
  <si>
    <t>RGT AIRP M000366343 25/11/2024</t>
  </si>
  <si>
    <t>62024112500402274</t>
  </si>
  <si>
    <t>M000364653</t>
  </si>
  <si>
    <t>RGT AIRP M000364653 25/11/2024</t>
  </si>
  <si>
    <t>62024112500413784</t>
  </si>
  <si>
    <t>M000364060</t>
  </si>
  <si>
    <t>RGT AIRP M000364060 25/11/2024</t>
  </si>
  <si>
    <t>62024112500442505</t>
  </si>
  <si>
    <t>M000364287</t>
  </si>
  <si>
    <t>RGT AIRP M000364287 25/11/2024</t>
  </si>
  <si>
    <t>62024112500443614</t>
  </si>
  <si>
    <t>A0008110</t>
  </si>
  <si>
    <t>CEG1 ZOGBODOMEY/DATA</t>
  </si>
  <si>
    <t>M000364724</t>
  </si>
  <si>
    <t>RGT AIRP M000364724 25/11/2024</t>
  </si>
  <si>
    <t>62024112500478305</t>
  </si>
  <si>
    <t>M000367680</t>
  </si>
  <si>
    <t>RGT AIRP M000367680 25/11/2024</t>
  </si>
  <si>
    <t>62024112500495714</t>
  </si>
  <si>
    <t>M000364899</t>
  </si>
  <si>
    <t>RGT AIRP M000364899 25/11/2024</t>
  </si>
  <si>
    <t>62024112500498278</t>
  </si>
  <si>
    <t>M000364519</t>
  </si>
  <si>
    <t>RGT AIRP M000364519 25/11/2024</t>
  </si>
  <si>
    <t>62024112500500237</t>
  </si>
  <si>
    <t>M000364424</t>
  </si>
  <si>
    <t>RGT AIRP M000364424 25/11/2024</t>
  </si>
  <si>
    <t>62024112500500838</t>
  </si>
  <si>
    <t>M000364392</t>
  </si>
  <si>
    <t>RGT AIRP M000364392 25/11/2024</t>
  </si>
  <si>
    <t>62024112500502464</t>
  </si>
  <si>
    <t>M000363988</t>
  </si>
  <si>
    <t>RGT AIRP M000363988 25/11/2024</t>
  </si>
  <si>
    <t>62024112500515030</t>
  </si>
  <si>
    <t>M000367097</t>
  </si>
  <si>
    <t>RGT AIRP M000367097 25/11/2024</t>
  </si>
  <si>
    <t>62024112500527317</t>
  </si>
  <si>
    <t>M000364433</t>
  </si>
  <si>
    <t>RGT AIRP M000364433 25/11/2024</t>
  </si>
  <si>
    <t>62024112500530182</t>
  </si>
  <si>
    <t>M000364919</t>
  </si>
  <si>
    <t>RGT AIRP M000364919 25/11/2024</t>
  </si>
  <si>
    <t>62024112500532320</t>
  </si>
  <si>
    <t>M000364434</t>
  </si>
  <si>
    <t>RGT AIRP M000364434 25/11/2024</t>
  </si>
  <si>
    <t>62024112500534770</t>
  </si>
  <si>
    <t>M000365332</t>
  </si>
  <si>
    <t>RGT AIRP M000365332 25/11/2024</t>
  </si>
  <si>
    <t>62024112500537575</t>
  </si>
  <si>
    <t>M000366042</t>
  </si>
  <si>
    <t>RGT AIRP M000366042 25/11/2024</t>
  </si>
  <si>
    <t>62024112500544413</t>
  </si>
  <si>
    <t>M000364437</t>
  </si>
  <si>
    <t>RGT AIRP M000364437 25/11/2024</t>
  </si>
  <si>
    <t>62024112500548410</t>
  </si>
  <si>
    <t>M000364854</t>
  </si>
  <si>
    <t>RGT AIRP M000364854 25/11/2024</t>
  </si>
  <si>
    <t>62024112500560749</t>
  </si>
  <si>
    <t>M000365008</t>
  </si>
  <si>
    <t>RGT AIRP M000365008 25/11/2024</t>
  </si>
  <si>
    <t>62024112500572210</t>
  </si>
  <si>
    <t>M000366144</t>
  </si>
  <si>
    <t>RGT AIRP M000366144 25/11/2024</t>
  </si>
  <si>
    <t>62024112500625595</t>
  </si>
  <si>
    <t>M000365115</t>
  </si>
  <si>
    <t>RGT AIRP M000365115 25/11/2024</t>
  </si>
  <si>
    <t>62024112500651972</t>
  </si>
  <si>
    <t>M000367585</t>
  </si>
  <si>
    <t>RGT AIRP M000367585 25/11/2024</t>
  </si>
  <si>
    <t>62024112500664868</t>
  </si>
  <si>
    <t>M000367210</t>
  </si>
  <si>
    <t>RGT AIRP M000367210 25/11/2024</t>
  </si>
  <si>
    <t>72024112500092145</t>
  </si>
  <si>
    <t>M000364641</t>
  </si>
  <si>
    <t>RGT AIRP M000364641 25/11/2024</t>
  </si>
  <si>
    <t>72024112500100396</t>
  </si>
  <si>
    <t>M000363509</t>
  </si>
  <si>
    <t>RGT AIRP M000363509 25/11/2024</t>
  </si>
  <si>
    <t>72024112500126870</t>
  </si>
  <si>
    <t>M000363529</t>
  </si>
  <si>
    <t>RGT AIRP M000363529 25/11/2024</t>
  </si>
  <si>
    <t>72024112500159923</t>
  </si>
  <si>
    <t>M000366458</t>
  </si>
  <si>
    <t>RGT AIRP M000366458 25/11/2024</t>
  </si>
  <si>
    <t>72024112500212820</t>
  </si>
  <si>
    <t>22994355437</t>
  </si>
  <si>
    <t>A0001215</t>
  </si>
  <si>
    <t>INVEST DRINK SARL</t>
  </si>
  <si>
    <t>M000363295</t>
  </si>
  <si>
    <t>RGT AIRP M000363295 25/11/2024</t>
  </si>
  <si>
    <t>72024112500219551</t>
  </si>
  <si>
    <t>M000364021</t>
  </si>
  <si>
    <t>RGT AIRP M000364021 25/11/2024</t>
  </si>
  <si>
    <t>72024112500248959</t>
  </si>
  <si>
    <t>M000364461</t>
  </si>
  <si>
    <t>RGT AIRP M000364461 25/11/2024</t>
  </si>
  <si>
    <t>72024112500252484</t>
  </si>
  <si>
    <t>M000364752</t>
  </si>
  <si>
    <t>RGT AIRP M000364752 25/11/2024</t>
  </si>
  <si>
    <t>72024112500271297</t>
  </si>
  <si>
    <t>M000364828</t>
  </si>
  <si>
    <t>RGT AIRP M000364828 25/11/2024</t>
  </si>
  <si>
    <t>72024112500272294</t>
  </si>
  <si>
    <t>M000365206</t>
  </si>
  <si>
    <t>RGT AIRP M000365206 25/11/2024</t>
  </si>
  <si>
    <t>72024112500274010</t>
  </si>
  <si>
    <t>M000364808</t>
  </si>
  <si>
    <t>RGT AIRP M000364808 25/11/2024</t>
  </si>
  <si>
    <t>72024112500280980</t>
  </si>
  <si>
    <t>M000367322</t>
  </si>
  <si>
    <t>RGT AIRP M000367322 25/11/2024</t>
  </si>
  <si>
    <t>72024112500301374</t>
  </si>
  <si>
    <t>22995036570</t>
  </si>
  <si>
    <t>M000364647</t>
  </si>
  <si>
    <t>RGT AIRP M000364647 25/11/2024</t>
  </si>
  <si>
    <t>82024112500063098</t>
  </si>
  <si>
    <t>M000366916</t>
  </si>
  <si>
    <t>RGT AIRP M000366916 25/11/2024</t>
  </si>
  <si>
    <t>82024112500087677</t>
  </si>
  <si>
    <t>M000366843</t>
  </si>
  <si>
    <t>RGT AIRP M000366843 25/11/2024</t>
  </si>
  <si>
    <t>82024112500092362</t>
  </si>
  <si>
    <t>22995407181</t>
  </si>
  <si>
    <t>M000365196</t>
  </si>
  <si>
    <t>RGT AIRP M000365196 25/11/2024</t>
  </si>
  <si>
    <t>82024112500152751</t>
  </si>
  <si>
    <t>M000367703</t>
  </si>
  <si>
    <t>RGT AIRP M000367703 25/11/2024</t>
  </si>
  <si>
    <t>82024112500164247</t>
  </si>
  <si>
    <t>M000367558</t>
  </si>
  <si>
    <t>RGT AIRP M000367558 25/11/2024</t>
  </si>
  <si>
    <t>82024112500199544</t>
  </si>
  <si>
    <t>M000365868</t>
  </si>
  <si>
    <t>RGT AIRP M000365868 25/11/2024</t>
  </si>
  <si>
    <t>82024112500222740</t>
  </si>
  <si>
    <t>M000364190</t>
  </si>
  <si>
    <t>RGT AIRP M000364190 25/11/2024</t>
  </si>
  <si>
    <t>82024112500250827</t>
  </si>
  <si>
    <t>M000365407</t>
  </si>
  <si>
    <t>RGT AIRP M000365407 25/11/2024</t>
  </si>
  <si>
    <t>82024112500261204</t>
  </si>
  <si>
    <t>M000367091</t>
  </si>
  <si>
    <t>RGT AIRP M000367091 25/11/2024</t>
  </si>
  <si>
    <t>82024112500277201</t>
  </si>
  <si>
    <t>M000365992</t>
  </si>
  <si>
    <t>RGT AIRP M000365992 25/11/2024</t>
  </si>
  <si>
    <t>82024112500307936</t>
  </si>
  <si>
    <t>M000364076</t>
  </si>
  <si>
    <t>RGT AIRP M000364076 25/11/2024</t>
  </si>
  <si>
    <t>82024112500314918</t>
  </si>
  <si>
    <t>M000366390</t>
  </si>
  <si>
    <t>RGT AIRP M000366390 25/11/2024</t>
  </si>
  <si>
    <t>82024112500374868</t>
  </si>
  <si>
    <t>M000365114</t>
  </si>
  <si>
    <t>RGT AIRP M000365114 25/11/2024</t>
  </si>
  <si>
    <t>82024112500381853</t>
  </si>
  <si>
    <t>M000364560</t>
  </si>
  <si>
    <t>RGT AIRP M000364560 25/11/2024</t>
  </si>
  <si>
    <t>82024112500383199</t>
  </si>
  <si>
    <t>M000366996</t>
  </si>
  <si>
    <t>RGT AIRP M000366996 25/11/2024</t>
  </si>
  <si>
    <t>82024112500385777</t>
  </si>
  <si>
    <t>M000364855</t>
  </si>
  <si>
    <t>RGT AIRP M000364855 25/11/2024</t>
  </si>
  <si>
    <t>82024112500387720</t>
  </si>
  <si>
    <t>M000364432</t>
  </si>
  <si>
    <t>RGT AIRP M000364432 25/11/2024</t>
  </si>
  <si>
    <t>82024112500401075</t>
  </si>
  <si>
    <t>M000364656</t>
  </si>
  <si>
    <t>RGT AIRP M000364656 25/11/2024</t>
  </si>
  <si>
    <t>82024112500415203</t>
  </si>
  <si>
    <t>M000364390</t>
  </si>
  <si>
    <t>RGT AIRP M000364390 25/11/2024</t>
  </si>
  <si>
    <t>82024112500424081</t>
  </si>
  <si>
    <t>M000364872</t>
  </si>
  <si>
    <t>RGT AIRP M000364872 25/11/2024</t>
  </si>
  <si>
    <t>82024112500430694</t>
  </si>
  <si>
    <t>M000365113</t>
  </si>
  <si>
    <t>RGT AIRP M000365113 25/11/2024</t>
  </si>
  <si>
    <t>82024112500445418</t>
  </si>
  <si>
    <t>M000363809</t>
  </si>
  <si>
    <t>RGT AIRP M000363809 25/11/2024</t>
  </si>
  <si>
    <t>62024112600129880</t>
  </si>
  <si>
    <t>22968851585</t>
  </si>
  <si>
    <t>A0008899</t>
  </si>
  <si>
    <t>ATTINGLI BIDOSSESSI ARNAURD D</t>
  </si>
  <si>
    <t>M000365026</t>
  </si>
  <si>
    <t>RGT AIRP M000365026 26/11/2024</t>
  </si>
  <si>
    <t>62024112600155010</t>
  </si>
  <si>
    <t>M000364502</t>
  </si>
  <si>
    <t>RGT AIRP M000364502 26/11/2024</t>
  </si>
  <si>
    <t>62024112600158635</t>
  </si>
  <si>
    <t>22995852626</t>
  </si>
  <si>
    <t>A0004163</t>
  </si>
  <si>
    <t>LES GRACES DE LA BONNE SEMENCE (</t>
  </si>
  <si>
    <t>M000366097</t>
  </si>
  <si>
    <t>RGT AIRP M000366097 26/11/2024</t>
  </si>
  <si>
    <t>62024112600161234</t>
  </si>
  <si>
    <t>M000363762</t>
  </si>
  <si>
    <t>RGT AIRP M000363762 26/11/2024</t>
  </si>
  <si>
    <t>62024112600192269</t>
  </si>
  <si>
    <t>M000366031</t>
  </si>
  <si>
    <t>RGT AIRP M000366031 26/11/2024</t>
  </si>
  <si>
    <t>62024112600219896</t>
  </si>
  <si>
    <t>M000366828</t>
  </si>
  <si>
    <t>RGT AIRP M000366828 26/11/2024</t>
  </si>
  <si>
    <t>62024112600223256</t>
  </si>
  <si>
    <t>M000367526</t>
  </si>
  <si>
    <t>RGT AIRP M000367526 26/11/2024</t>
  </si>
  <si>
    <t>62024112600259078</t>
  </si>
  <si>
    <t>M000367088</t>
  </si>
  <si>
    <t>RGT AIRP M000367088 26/11/2024</t>
  </si>
  <si>
    <t>62024112600426885</t>
  </si>
  <si>
    <t>M000365939</t>
  </si>
  <si>
    <t>RGT AIRP M000365939 26/11/2024</t>
  </si>
  <si>
    <t>62024112600433998</t>
  </si>
  <si>
    <t>M000365882</t>
  </si>
  <si>
    <t>RGT AIRP M000365882 26/11/2024</t>
  </si>
  <si>
    <t>62024112600451835</t>
  </si>
  <si>
    <t>M000366163</t>
  </si>
  <si>
    <t>RGT AIRP M000366163 26/11/2024</t>
  </si>
  <si>
    <t>62024112600494199</t>
  </si>
  <si>
    <t>M000367065</t>
  </si>
  <si>
    <t>RGT AIRP M000367065 26/11/2024</t>
  </si>
  <si>
    <t>62024112600550921</t>
  </si>
  <si>
    <t>M000365980</t>
  </si>
  <si>
    <t>RGT AIRP M000365980 26/11/2024</t>
  </si>
  <si>
    <t>62024112600554401</t>
  </si>
  <si>
    <t>M000366642</t>
  </si>
  <si>
    <t>RGT AIRP M000366642 26/11/2024</t>
  </si>
  <si>
    <t>72024112600011529</t>
  </si>
  <si>
    <t>M000366639</t>
  </si>
  <si>
    <t>RGT AIRP M000366639 26/11/2024</t>
  </si>
  <si>
    <t>72024112600023601</t>
  </si>
  <si>
    <t>M000367405</t>
  </si>
  <si>
    <t>RGT AIRP M000367405 26/11/2024</t>
  </si>
  <si>
    <t>72024112600028863</t>
  </si>
  <si>
    <t>M000367295</t>
  </si>
  <si>
    <t>RGT AIRP M000367295 26/11/2024</t>
  </si>
  <si>
    <t>72024112600131173</t>
  </si>
  <si>
    <t>M000363464</t>
  </si>
  <si>
    <t>RGT AIRP M000363464 26/11/2024</t>
  </si>
  <si>
    <t>72024112600287765</t>
  </si>
  <si>
    <t>M000365435</t>
  </si>
  <si>
    <t>RGT AIRP M000365435 26/11/2024</t>
  </si>
  <si>
    <t>82024112600023392</t>
  </si>
  <si>
    <t>22995780879</t>
  </si>
  <si>
    <t>M000366647</t>
  </si>
  <si>
    <t>RGT AIRP M000366647 26/11/2024</t>
  </si>
  <si>
    <t>82024112600055810</t>
  </si>
  <si>
    <t>M000365194</t>
  </si>
  <si>
    <t>RGT AIRP M000365194 26/11/2024</t>
  </si>
  <si>
    <t>82024112600095249</t>
  </si>
  <si>
    <t>M000367285</t>
  </si>
  <si>
    <t>RGT AIRP M000367285 26/11/2024</t>
  </si>
  <si>
    <t>82024112600230518</t>
  </si>
  <si>
    <t>M000364742</t>
  </si>
  <si>
    <t>RGT AIRP M000364742 26/11/2024</t>
  </si>
  <si>
    <t>82024112600230852</t>
  </si>
  <si>
    <t>M000367054</t>
  </si>
  <si>
    <t>RGT AIRP M000367054 26/11/2024</t>
  </si>
  <si>
    <t>82024112600245452</t>
  </si>
  <si>
    <t>M000364853</t>
  </si>
  <si>
    <t>RGT AIRP M000364853 26/11/2024</t>
  </si>
  <si>
    <t>82024112600282302</t>
  </si>
  <si>
    <t>22958573019</t>
  </si>
  <si>
    <t>M000365437</t>
  </si>
  <si>
    <t>RGT AIRP M000365437 26/11/2024</t>
  </si>
  <si>
    <t>82024112600346933</t>
  </si>
  <si>
    <t>M000367569</t>
  </si>
  <si>
    <t>RGT AIRP M000367569 26/11/2024</t>
  </si>
  <si>
    <t>82024112600421677</t>
  </si>
  <si>
    <t>M000367665</t>
  </si>
  <si>
    <t>RGT AIRP M000367665 26/11/2024</t>
  </si>
  <si>
    <t>62024112700033580</t>
  </si>
  <si>
    <t>M000366779</t>
  </si>
  <si>
    <t>RGT AIRP M000366779 27/11/2024</t>
  </si>
  <si>
    <t>62024112700096878</t>
  </si>
  <si>
    <t>M000366856</t>
  </si>
  <si>
    <t>RGT AIRP M000366856 27/11/2024</t>
  </si>
  <si>
    <t>62024112700098956</t>
  </si>
  <si>
    <t>M000364533</t>
  </si>
  <si>
    <t>RGT AIRP M000364533 27/11/2024</t>
  </si>
  <si>
    <t>62024112700105434</t>
  </si>
  <si>
    <t>M000365382</t>
  </si>
  <si>
    <t>RGT AIRP M000365382 27/11/2024</t>
  </si>
  <si>
    <t>62024112700105913</t>
  </si>
  <si>
    <t>M000364845</t>
  </si>
  <si>
    <t>RGT AIRP M000364845 27/11/2024</t>
  </si>
  <si>
    <t>62024112700135676</t>
  </si>
  <si>
    <t>M000367613</t>
  </si>
  <si>
    <t>RGT AIRP M000367613 27/11/2024</t>
  </si>
  <si>
    <t>62024112700137131</t>
  </si>
  <si>
    <t>22968272320</t>
  </si>
  <si>
    <t>A0009607</t>
  </si>
  <si>
    <t>SGCI SARL</t>
  </si>
  <si>
    <t>M000367749</t>
  </si>
  <si>
    <t>RGT AIRP M000367749 27/11/2024</t>
  </si>
  <si>
    <t>62024112700143884</t>
  </si>
  <si>
    <t>M000363686</t>
  </si>
  <si>
    <t>RGT AIRP M000363686 27/11/2024</t>
  </si>
  <si>
    <t>62024112700208821</t>
  </si>
  <si>
    <t>M000366489</t>
  </si>
  <si>
    <t>RGT AIRP M000366489 27/11/2024</t>
  </si>
  <si>
    <t>62024112700228422</t>
  </si>
  <si>
    <t>22965041773</t>
  </si>
  <si>
    <t>A0009290</t>
  </si>
  <si>
    <t>JUST TRADING</t>
  </si>
  <si>
    <t>M000367539</t>
  </si>
  <si>
    <t>RGT AIRP M000367539 27/11/2024</t>
  </si>
  <si>
    <t>62024112700261263</t>
  </si>
  <si>
    <t>M000367215</t>
  </si>
  <si>
    <t>RGT AIRP M000367215 27/11/2024</t>
  </si>
  <si>
    <t>62024112700305488</t>
  </si>
  <si>
    <t>M000366256</t>
  </si>
  <si>
    <t>RGT AIRP M000366256 27/11/2024</t>
  </si>
  <si>
    <t>62024112700616847</t>
  </si>
  <si>
    <t>M000363779</t>
  </si>
  <si>
    <t>RGT AIRP M000363779 27/11/2024</t>
  </si>
  <si>
    <t>72024112700025676</t>
  </si>
  <si>
    <t>M000367161</t>
  </si>
  <si>
    <t>RGT AIRP M000367161 27/11/2024</t>
  </si>
  <si>
    <t>72024112700203948</t>
  </si>
  <si>
    <t>22994686004</t>
  </si>
  <si>
    <t>M000367715</t>
  </si>
  <si>
    <t>RGT AIRP M000367715 27/11/2024</t>
  </si>
  <si>
    <t>72024112700275169</t>
  </si>
  <si>
    <t>M000366209</t>
  </si>
  <si>
    <t>RGT AIRP M000366209 27/11/2024</t>
  </si>
  <si>
    <t>82024112700035180</t>
  </si>
  <si>
    <t>M000366248</t>
  </si>
  <si>
    <t>RGT AIRP M000366248 27/11/2024</t>
  </si>
  <si>
    <t>82024112700038442</t>
  </si>
  <si>
    <t>M000366771</t>
  </si>
  <si>
    <t>RGT AIRP M000366771 27/11/2024</t>
  </si>
  <si>
    <t>82024112700056696</t>
  </si>
  <si>
    <t>M000367411</t>
  </si>
  <si>
    <t>RGT AIRP M000367411 27/11/2024</t>
  </si>
  <si>
    <t>82024112700070535</t>
  </si>
  <si>
    <t>22964479409</t>
  </si>
  <si>
    <t>M000367366</t>
  </si>
  <si>
    <t>RGT AIRP M000367366 27/11/2024</t>
  </si>
  <si>
    <t>82024112700104150</t>
  </si>
  <si>
    <t>M000365910</t>
  </si>
  <si>
    <t>RGT AIRP M000365910 27/11/2024</t>
  </si>
  <si>
    <t>82024112700140177</t>
  </si>
  <si>
    <t>M000364398</t>
  </si>
  <si>
    <t>RGT AIRP M000364398 27/11/2024</t>
  </si>
  <si>
    <t>82024112700148241</t>
  </si>
  <si>
    <t>M000366586</t>
  </si>
  <si>
    <t>RGT AIRP M000366586 27/11/2024</t>
  </si>
  <si>
    <t>82024112700155203</t>
  </si>
  <si>
    <t>M000367217</t>
  </si>
  <si>
    <t>RGT AIRP M000367217 27/11/2024</t>
  </si>
  <si>
    <t>82024112700160865</t>
  </si>
  <si>
    <t>M000366725</t>
  </si>
  <si>
    <t>RGT AIRP M000366725 27/11/2024</t>
  </si>
  <si>
    <t>82024112700163500</t>
  </si>
  <si>
    <t>22995755813</t>
  </si>
  <si>
    <t>M000365998</t>
  </si>
  <si>
    <t>RGT AIRP M000365998 27/11/2024</t>
  </si>
  <si>
    <t>82024112700168649</t>
  </si>
  <si>
    <t>22994175960</t>
  </si>
  <si>
    <t>M000366299</t>
  </si>
  <si>
    <t>RGT AIRP M000366299 27/11/2024</t>
  </si>
  <si>
    <t>82024112700208050</t>
  </si>
  <si>
    <t>M000366129</t>
  </si>
  <si>
    <t>RGT AIRP M000366129 27/11/2024</t>
  </si>
  <si>
    <t>82024112700233318</t>
  </si>
  <si>
    <t>M000363664</t>
  </si>
  <si>
    <t>RGT AIRP M000363664 27/11/2024</t>
  </si>
  <si>
    <t>82024112700279577</t>
  </si>
  <si>
    <t>M000366494</t>
  </si>
  <si>
    <t>RGT AIRP M000366494 27/11/2024</t>
  </si>
  <si>
    <t>82024112700465391</t>
  </si>
  <si>
    <t>M000366672</t>
  </si>
  <si>
    <t>RGT AIRP M000366672 27/11/2024</t>
  </si>
  <si>
    <t>62024112800075281</t>
  </si>
  <si>
    <t>22960249046</t>
  </si>
  <si>
    <t>M000365165</t>
  </si>
  <si>
    <t>RGT AIRP M000365165 28/11/2024</t>
  </si>
  <si>
    <t>62024112800197239</t>
  </si>
  <si>
    <t>M000364597</t>
  </si>
  <si>
    <t>RGT AIRP M000364597 28/11/2024</t>
  </si>
  <si>
    <t>62024112800206675</t>
  </si>
  <si>
    <t>M000366236</t>
  </si>
  <si>
    <t>RGT AIRP M000366236 28/11/2024</t>
  </si>
  <si>
    <t>62024112800215169</t>
  </si>
  <si>
    <t>M000367508</t>
  </si>
  <si>
    <t>RGT AIRP M000367508 28/11/2024</t>
  </si>
  <si>
    <t>62024112800218902</t>
  </si>
  <si>
    <t>M000366861</t>
  </si>
  <si>
    <t>RGT AIRP M000366861 28/11/2024</t>
  </si>
  <si>
    <t>62024112800257732</t>
  </si>
  <si>
    <t>M000366433</t>
  </si>
  <si>
    <t>RGT AIRP M000366433 28/11/2024</t>
  </si>
  <si>
    <t>62024112800289311</t>
  </si>
  <si>
    <t>M000367160</t>
  </si>
  <si>
    <t>RGT AIRP M000367160 28/11/2024</t>
  </si>
  <si>
    <t>62024112800295258</t>
  </si>
  <si>
    <t>M000364951</t>
  </si>
  <si>
    <t>RGT AIRP M000364951 28/11/2024</t>
  </si>
  <si>
    <t>62024112800295577</t>
  </si>
  <si>
    <t>M000367255</t>
  </si>
  <si>
    <t>RGT AIRP M000367255 28/11/2024</t>
  </si>
  <si>
    <t>62024112800366342</t>
  </si>
  <si>
    <t>22995965193</t>
  </si>
  <si>
    <t>M000365995</t>
  </si>
  <si>
    <t>RGT AIRP M000365995 28/11/2024</t>
  </si>
  <si>
    <t>62024112800397075</t>
  </si>
  <si>
    <t>M000367089</t>
  </si>
  <si>
    <t>RGT AIRP M000367089 28/11/2024</t>
  </si>
  <si>
    <t>62024112800500690</t>
  </si>
  <si>
    <t>22964120245</t>
  </si>
  <si>
    <t>M000367729</t>
  </si>
  <si>
    <t>RGT AIRP M000367729 28/11/2024</t>
  </si>
  <si>
    <t>72024112800028573</t>
  </si>
  <si>
    <t>M000366194</t>
  </si>
  <si>
    <t>RGT AIRP M000366194 28/11/2024</t>
  </si>
  <si>
    <t>72024112800093479</t>
  </si>
  <si>
    <t>M000367071</t>
  </si>
  <si>
    <t>RGT AIRP M000367071 28/11/2024</t>
  </si>
  <si>
    <t>72024112800135500</t>
  </si>
  <si>
    <t>M000365305</t>
  </si>
  <si>
    <t>RGT AIRP M000365305 28/11/2024</t>
  </si>
  <si>
    <t>72024112800144211</t>
  </si>
  <si>
    <t>M000367666</t>
  </si>
  <si>
    <t>RGT AIRP M000367666 28/11/2024</t>
  </si>
  <si>
    <t>72024112800149627</t>
  </si>
  <si>
    <t>M000364950</t>
  </si>
  <si>
    <t>RGT AIRP M000364950 28/11/2024</t>
  </si>
  <si>
    <t>72024112800169651</t>
  </si>
  <si>
    <t>M000367035</t>
  </si>
  <si>
    <t>RGT AIRP M000367035 28/11/2024</t>
  </si>
  <si>
    <t>72024112800177813</t>
  </si>
  <si>
    <t>M000367547</t>
  </si>
  <si>
    <t>RGT AIRP M000367547 28/11/2024</t>
  </si>
  <si>
    <t>72024112800303888</t>
  </si>
  <si>
    <t>M000367382</t>
  </si>
  <si>
    <t>RGT AIRP M000367382 28/11/2024</t>
  </si>
  <si>
    <t>82024112800057747</t>
  </si>
  <si>
    <t>M000367458</t>
  </si>
  <si>
    <t>RGT AIRP M000367458 28/11/2024</t>
  </si>
  <si>
    <t>82024112800202099</t>
  </si>
  <si>
    <t>M000364498</t>
  </si>
  <si>
    <t>RGT AIRP M000364498 28/11/2024</t>
  </si>
  <si>
    <t>82024112800366243</t>
  </si>
  <si>
    <t>M000365426</t>
  </si>
  <si>
    <t>RGT AIRP M000365426 28/11/2024</t>
  </si>
  <si>
    <t>62024112900291712</t>
  </si>
  <si>
    <t>2290163185251</t>
  </si>
  <si>
    <t>A0008126</t>
  </si>
  <si>
    <t>GRANDES LIGNES DES TECHNOLOGIE</t>
  </si>
  <si>
    <t>M000364729</t>
  </si>
  <si>
    <t>RGT AIRP M000364729 29/11/2024</t>
  </si>
  <si>
    <t>72024112900075752</t>
  </si>
  <si>
    <t>2290195051133</t>
  </si>
  <si>
    <t>M000365418</t>
  </si>
  <si>
    <t>RGT AIRP M000365418 29/11/2024</t>
  </si>
  <si>
    <t>72024112900309818</t>
  </si>
  <si>
    <t>2290160601734</t>
  </si>
  <si>
    <t>M000364411</t>
  </si>
  <si>
    <t>RGT AIRP M000364411 29/11/2024</t>
  </si>
  <si>
    <t>72024112900337135</t>
  </si>
  <si>
    <t>2290158314245</t>
  </si>
  <si>
    <t>M000367583</t>
  </si>
  <si>
    <t>RGT AIRP M000367583 29/11/2024</t>
  </si>
  <si>
    <t>72024112900341521</t>
  </si>
  <si>
    <t>2290194204450</t>
  </si>
  <si>
    <t>M000367140</t>
  </si>
  <si>
    <t>RGT AIRP M000367140 29/11/2024</t>
  </si>
  <si>
    <t>72024112900387808</t>
  </si>
  <si>
    <t>2290195661295</t>
  </si>
  <si>
    <t>M000367376</t>
  </si>
  <si>
    <t>RGT AIRP M000367376 29/11/2024</t>
  </si>
  <si>
    <t>72024112900461962</t>
  </si>
  <si>
    <t>2290195448754</t>
  </si>
  <si>
    <t>M000364404</t>
  </si>
  <si>
    <t>RGT AIRP M000364404 29/11/2024</t>
  </si>
  <si>
    <t>72024112900647396</t>
  </si>
  <si>
    <t>2290164737251</t>
  </si>
  <si>
    <t>M000367464</t>
  </si>
  <si>
    <t>RGT AIRP M000367464 29/11/2024</t>
  </si>
  <si>
    <t>82024112900088468</t>
  </si>
  <si>
    <t>2290165309979</t>
  </si>
  <si>
    <t>M000366935</t>
  </si>
  <si>
    <t>RGT AIRP M000366935 29/11/2024</t>
  </si>
  <si>
    <t>82024112900181332</t>
  </si>
  <si>
    <t>2290165388484</t>
  </si>
  <si>
    <t>M000365762</t>
  </si>
  <si>
    <t>RGT AIRP M000365762 29/11/2024</t>
  </si>
  <si>
    <t>82024112900354328</t>
  </si>
  <si>
    <t>2290155806394</t>
  </si>
  <si>
    <t>M000367574</t>
  </si>
  <si>
    <t>RGT AIRP M000367574 29/11/2024</t>
  </si>
  <si>
    <t>82024112900415410</t>
  </si>
  <si>
    <t>2290195152670</t>
  </si>
  <si>
    <t>M000365593</t>
  </si>
  <si>
    <t>RGT AIRP M000365593 29/11/2024</t>
  </si>
  <si>
    <t>82024112900476033</t>
  </si>
  <si>
    <t>2290195672519</t>
  </si>
  <si>
    <t>M000367398</t>
  </si>
  <si>
    <t>RGT AIRP M000367398 29/11/2024</t>
  </si>
  <si>
    <t>82024112900615240</t>
  </si>
  <si>
    <t>2290165227171</t>
  </si>
  <si>
    <t>M000366033</t>
  </si>
  <si>
    <t>RGT AIRP M000366033 29/11/2024</t>
  </si>
  <si>
    <t>82024112900655701</t>
  </si>
  <si>
    <t>2290195003633</t>
  </si>
  <si>
    <t>M000367371</t>
  </si>
  <si>
    <t>RGT AIRP M000367371 29/11/2024</t>
  </si>
  <si>
    <t>82024112900662210</t>
  </si>
  <si>
    <t>2290199343439</t>
  </si>
  <si>
    <t>M000367301</t>
  </si>
  <si>
    <t>RGT AIRP M000367301 29/11/2024</t>
  </si>
  <si>
    <t>82024112900675613</t>
  </si>
  <si>
    <t>2290199045537</t>
  </si>
  <si>
    <t>M000366080</t>
  </si>
  <si>
    <t>RGT AIRP M000366080 29/11/2024</t>
  </si>
  <si>
    <t>82024112900922399</t>
  </si>
  <si>
    <t>2290195915810</t>
  </si>
  <si>
    <t>M000366104</t>
  </si>
  <si>
    <t>RGT AIRP M000366104 29/11/2024</t>
  </si>
  <si>
    <t>82024112901071951</t>
  </si>
  <si>
    <t>2290165139699</t>
  </si>
  <si>
    <t>M000366863</t>
  </si>
  <si>
    <t>RGT AIRP M000366863 29/11/2024</t>
  </si>
  <si>
    <t>72024113000148895</t>
  </si>
  <si>
    <t>2290195957339</t>
  </si>
  <si>
    <t>M000366660</t>
  </si>
  <si>
    <t>RGT AIRP M000366660 30/11/2024</t>
  </si>
  <si>
    <t>72024113000387670</t>
  </si>
  <si>
    <t>2290194294013</t>
  </si>
  <si>
    <t>M000367596</t>
  </si>
  <si>
    <t>RGT AIRP M000367596 30/11/2024</t>
  </si>
  <si>
    <t>72024113000508107</t>
  </si>
  <si>
    <t>2290195176173</t>
  </si>
  <si>
    <t>M000367070</t>
  </si>
  <si>
    <t>RGT AIRP M000367070 30/11/2024</t>
  </si>
  <si>
    <t>72024113000577460</t>
  </si>
  <si>
    <t>2290165907773</t>
  </si>
  <si>
    <t>M000366942</t>
  </si>
  <si>
    <t>RGT AIRP M000366942 30/11/2024</t>
  </si>
  <si>
    <t>82024113000180902</t>
  </si>
  <si>
    <t>2290164965942</t>
  </si>
  <si>
    <t>M000366555</t>
  </si>
  <si>
    <t>RGT AIRP M000366555 30/11/2024</t>
  </si>
  <si>
    <t>82024113000323870</t>
  </si>
  <si>
    <t>2290195068699</t>
  </si>
  <si>
    <t>M000363979</t>
  </si>
  <si>
    <t>RGT AIRP M000363979 30/11/2024</t>
  </si>
  <si>
    <t>82024113000428589</t>
  </si>
  <si>
    <t>2290195267304</t>
  </si>
  <si>
    <t>M000366088</t>
  </si>
  <si>
    <t>RGT AIRP M000366088 30/11/2024</t>
  </si>
  <si>
    <t>82024113000457369</t>
  </si>
  <si>
    <t>2290195190624</t>
  </si>
  <si>
    <t>M000365444</t>
  </si>
  <si>
    <t>RGT AIRP M000365444 30/11/2024</t>
  </si>
  <si>
    <t>82024113000549913</t>
  </si>
  <si>
    <t>2290194146397</t>
  </si>
  <si>
    <t>M000366953</t>
  </si>
  <si>
    <t>RGT AIRP M000366953 30/11/2024</t>
  </si>
  <si>
    <t>82024113000944023</t>
  </si>
  <si>
    <t>2290195533029</t>
  </si>
  <si>
    <t>M000366879</t>
  </si>
  <si>
    <t>RGT AIRP M000366879 30/11/2024</t>
  </si>
  <si>
    <t>82024113000990464</t>
  </si>
  <si>
    <t>M000361577</t>
  </si>
  <si>
    <t>RGT AIRP M000361577 30/11/2024</t>
  </si>
  <si>
    <t xml:space="preserve">TOTAL </t>
  </si>
  <si>
    <t>2290194818864</t>
  </si>
  <si>
    <t>2290195956242</t>
  </si>
  <si>
    <t>2290195935682</t>
  </si>
  <si>
    <t>2290195347788</t>
  </si>
  <si>
    <t>2290199311919</t>
  </si>
  <si>
    <t>2290168512485</t>
  </si>
  <si>
    <t>2290194855054</t>
  </si>
  <si>
    <t>A0009337</t>
  </si>
  <si>
    <t>ETS DELICES GLORIEUSE</t>
  </si>
  <si>
    <t>2290164656364</t>
  </si>
  <si>
    <t>2290194525166</t>
  </si>
  <si>
    <t>A0008043</t>
  </si>
  <si>
    <t>PHARMACIE SAINT BENOIT DE WOME</t>
  </si>
  <si>
    <t>2290198264677</t>
  </si>
  <si>
    <t>A0004134</t>
  </si>
  <si>
    <t>CHANTIER D'AFRIQUE ET EQUIPEMENT</t>
  </si>
  <si>
    <t>2290195066681</t>
  </si>
  <si>
    <t>2290168749727</t>
  </si>
  <si>
    <t>2290195446703</t>
  </si>
  <si>
    <t>2290195667094</t>
  </si>
  <si>
    <t>2290164186426</t>
  </si>
  <si>
    <t>2290194648616</t>
  </si>
  <si>
    <t>2290195841879</t>
  </si>
  <si>
    <t>2290194142212</t>
  </si>
  <si>
    <t>2290164196565</t>
  </si>
  <si>
    <t>2290164974343</t>
  </si>
  <si>
    <t>2290194501173</t>
  </si>
  <si>
    <t>2290195950589</t>
  </si>
  <si>
    <t>2290164474202</t>
  </si>
  <si>
    <t>2290158585656</t>
  </si>
  <si>
    <t>A0009278</t>
  </si>
  <si>
    <t>NIELSEN XAVIER PAUL</t>
  </si>
  <si>
    <t>2290164133465</t>
  </si>
  <si>
    <t>2290165124925</t>
  </si>
  <si>
    <t>2290165641010</t>
  </si>
  <si>
    <t>2290195769616</t>
  </si>
  <si>
    <t>2290195092688</t>
  </si>
  <si>
    <t>2290195063839</t>
  </si>
  <si>
    <t>A0005527</t>
  </si>
  <si>
    <t>EQUIP 1000 SA</t>
  </si>
  <si>
    <t>2290195862286</t>
  </si>
  <si>
    <t>2290163543130</t>
  </si>
  <si>
    <t>2290195505605</t>
  </si>
  <si>
    <t>2290158704671</t>
  </si>
  <si>
    <t>2290194512782</t>
  </si>
  <si>
    <t>2290163974868</t>
  </si>
  <si>
    <t>2290195056669</t>
  </si>
  <si>
    <t>2290194272817</t>
  </si>
  <si>
    <t>2290195965278</t>
  </si>
  <si>
    <t>2290164640904</t>
  </si>
  <si>
    <t>2290168935421</t>
  </si>
  <si>
    <t>2290195231918</t>
  </si>
  <si>
    <t>2290195823987</t>
  </si>
  <si>
    <t>2290195158644</t>
  </si>
  <si>
    <t>2290198717676</t>
  </si>
  <si>
    <t>2290198909191</t>
  </si>
  <si>
    <t>2290195400984</t>
  </si>
  <si>
    <t>2290194350369</t>
  </si>
  <si>
    <t>2290194870505</t>
  </si>
  <si>
    <t>2290160484638</t>
  </si>
  <si>
    <t>2290194725791</t>
  </si>
  <si>
    <t>2290194266184</t>
  </si>
  <si>
    <t>2290195969203</t>
  </si>
  <si>
    <t>2290195282522</t>
  </si>
  <si>
    <t>2290163163770</t>
  </si>
  <si>
    <t>2290199299999</t>
  </si>
  <si>
    <t>2290195795267</t>
  </si>
  <si>
    <t>2290160013193</t>
  </si>
  <si>
    <t>2290195289914</t>
  </si>
  <si>
    <t>2290195168291</t>
  </si>
  <si>
    <t>2290195974800</t>
  </si>
  <si>
    <t>2290195639695</t>
  </si>
  <si>
    <t>2290195190480</t>
  </si>
  <si>
    <t>2290194977345</t>
  </si>
  <si>
    <t>2290195347266</t>
  </si>
  <si>
    <t>2290195943974</t>
  </si>
  <si>
    <t>2290195920324</t>
  </si>
  <si>
    <t>2290195041500</t>
  </si>
  <si>
    <t>2290195168105</t>
  </si>
  <si>
    <t>2290195406908</t>
  </si>
  <si>
    <t>2290195114785</t>
  </si>
  <si>
    <t>2290195680145</t>
  </si>
  <si>
    <t>2290160304460</t>
  </si>
  <si>
    <t>2290194813293</t>
  </si>
  <si>
    <t>2290195800265</t>
  </si>
  <si>
    <t>2290163427815</t>
  </si>
  <si>
    <t>2290194487836</t>
  </si>
  <si>
    <t>2290198003377</t>
  </si>
  <si>
    <t>2290195061864</t>
  </si>
  <si>
    <t>2290195358429</t>
  </si>
  <si>
    <t>2290194716969</t>
  </si>
  <si>
    <t>2290195748869</t>
  </si>
  <si>
    <t>2290195094300</t>
  </si>
  <si>
    <t>2290195888339</t>
  </si>
  <si>
    <t>2290195439098</t>
  </si>
  <si>
    <t>2290195457799</t>
  </si>
  <si>
    <t>2290160092909</t>
  </si>
  <si>
    <t>2290195799665</t>
  </si>
  <si>
    <t>2290195185252</t>
  </si>
  <si>
    <t>2290195102456</t>
  </si>
  <si>
    <t>2290195617916</t>
  </si>
  <si>
    <t>2290195052437</t>
  </si>
  <si>
    <t>2290198922009</t>
  </si>
  <si>
    <t>2290145480495</t>
  </si>
  <si>
    <t>2290195282556</t>
  </si>
  <si>
    <t>2290198147431</t>
  </si>
  <si>
    <t>2290195753379</t>
  </si>
  <si>
    <t>2290164107848</t>
  </si>
  <si>
    <t>2290195856979</t>
  </si>
  <si>
    <t>2290195838162</t>
  </si>
  <si>
    <t>2290195858475</t>
  </si>
  <si>
    <t>2290195958165</t>
  </si>
  <si>
    <t>2290195381453</t>
  </si>
  <si>
    <t>2290194205704</t>
  </si>
  <si>
    <t>2290194694555</t>
  </si>
  <si>
    <t>2290168612867</t>
  </si>
  <si>
    <t>2290195663500</t>
  </si>
  <si>
    <t>2290158701380</t>
  </si>
  <si>
    <t>2290145756115</t>
  </si>
  <si>
    <t>2290195404745</t>
  </si>
  <si>
    <t>2290164249797</t>
  </si>
  <si>
    <t>2290195527700</t>
  </si>
  <si>
    <t>2290145061638</t>
  </si>
  <si>
    <t>2290194212125</t>
  </si>
  <si>
    <t>2290195050431</t>
  </si>
  <si>
    <t>2290164978499</t>
  </si>
  <si>
    <t>2290195459444</t>
  </si>
  <si>
    <t>2290199525292</t>
  </si>
  <si>
    <t>2290164861215</t>
  </si>
  <si>
    <t>2290194053062</t>
  </si>
  <si>
    <t>2290199531394</t>
  </si>
  <si>
    <t>2290195957731</t>
  </si>
  <si>
    <t>2290195005331</t>
  </si>
  <si>
    <t>2290158174586</t>
  </si>
  <si>
    <t>2290195000160</t>
  </si>
  <si>
    <t>A0005131</t>
  </si>
  <si>
    <t>TABERNACLE DE GRACE ET RECONCI</t>
  </si>
  <si>
    <t>2290195317576</t>
  </si>
  <si>
    <t>2290198145949</t>
  </si>
  <si>
    <t>2290164204527</t>
  </si>
  <si>
    <t>2290194031499</t>
  </si>
  <si>
    <t>2290163408863</t>
  </si>
  <si>
    <t>2290199000701</t>
  </si>
  <si>
    <t>2290195558010</t>
  </si>
  <si>
    <t>2290155013333</t>
  </si>
  <si>
    <t>2290195206060</t>
  </si>
  <si>
    <t>MAKA RACINE  CONSULTING BENIN</t>
  </si>
  <si>
    <t>2290195799278</t>
  </si>
  <si>
    <t>2290195522036</t>
  </si>
  <si>
    <t>2290194817905</t>
  </si>
  <si>
    <t>2290168383849</t>
  </si>
  <si>
    <t>2290164424242</t>
  </si>
  <si>
    <t>2290165804481</t>
  </si>
  <si>
    <t>2290195962004</t>
  </si>
  <si>
    <t>2290164943887</t>
  </si>
  <si>
    <t>2290195301600</t>
  </si>
  <si>
    <t>2290165240505</t>
  </si>
  <si>
    <t>2290194298928</t>
  </si>
  <si>
    <t>2290195187118</t>
  </si>
  <si>
    <t>2290160213333</t>
  </si>
  <si>
    <t>2290195860198</t>
  </si>
  <si>
    <t>2290194692537</t>
  </si>
  <si>
    <t>2290160233232</t>
  </si>
  <si>
    <t>2290195502015</t>
  </si>
  <si>
    <t>2290195952073</t>
  </si>
  <si>
    <t>2290195657754</t>
  </si>
  <si>
    <t>2290194549293</t>
  </si>
  <si>
    <t>2290195350674</t>
  </si>
  <si>
    <t>2290198108586</t>
  </si>
  <si>
    <t>2290195427272</t>
  </si>
  <si>
    <t>2290195962614</t>
  </si>
  <si>
    <t>2290165446875</t>
  </si>
  <si>
    <t>2290195153096</t>
  </si>
  <si>
    <t>2290195424947</t>
  </si>
  <si>
    <t>2290195036570</t>
  </si>
  <si>
    <t>2290195856828</t>
  </si>
  <si>
    <t>2290195324265</t>
  </si>
  <si>
    <t>2290164729608</t>
  </si>
  <si>
    <t>2290199473997</t>
  </si>
  <si>
    <t>2290195713357</t>
  </si>
  <si>
    <t>2290195610373</t>
  </si>
  <si>
    <t>2290195335458</t>
  </si>
  <si>
    <t>2290195324063</t>
  </si>
  <si>
    <t>2290195020074</t>
  </si>
  <si>
    <t>2290160600560</t>
  </si>
  <si>
    <t>2290198196774</t>
  </si>
  <si>
    <t>2290195289455</t>
  </si>
  <si>
    <t>2290194264545</t>
  </si>
  <si>
    <t>2290195003090</t>
  </si>
  <si>
    <t>2290195181329</t>
  </si>
  <si>
    <t>2290164423902</t>
  </si>
  <si>
    <t>2290195844114</t>
  </si>
  <si>
    <t>2290195831876</t>
  </si>
  <si>
    <t>A0007705</t>
  </si>
  <si>
    <t>CDP ELIANA 4</t>
  </si>
  <si>
    <t>2290160595142</t>
  </si>
  <si>
    <t>2290195008198</t>
  </si>
  <si>
    <t>2290195060073</t>
  </si>
  <si>
    <t>2290160560515</t>
  </si>
  <si>
    <t>A0008112</t>
  </si>
  <si>
    <t>ZANOU GBEGONDE MAELLIS SHALOM</t>
  </si>
  <si>
    <t>2290194315929</t>
  </si>
  <si>
    <t>2290195409053</t>
  </si>
  <si>
    <t>2290163850351</t>
  </si>
  <si>
    <t>2290164053050</t>
  </si>
  <si>
    <t>2290195980828</t>
  </si>
  <si>
    <t>2290164200137</t>
  </si>
  <si>
    <t>2290164764145</t>
  </si>
  <si>
    <t>A0002759</t>
  </si>
  <si>
    <t>LE MUTUALISTE FINANCE</t>
  </si>
  <si>
    <t>2290199997087</t>
  </si>
  <si>
    <t>2290195457116</t>
  </si>
  <si>
    <t>2290195129943</t>
  </si>
  <si>
    <t>2290195317694</t>
  </si>
  <si>
    <t>2290197689322</t>
  </si>
  <si>
    <t>2290195481790</t>
  </si>
  <si>
    <t>2290145691828</t>
  </si>
  <si>
    <t>2290195565380</t>
  </si>
  <si>
    <t>2290195549873</t>
  </si>
  <si>
    <t>2290195249554</t>
  </si>
  <si>
    <t>2290198383818</t>
  </si>
  <si>
    <t>2290195405809</t>
  </si>
  <si>
    <t>2290195845611</t>
  </si>
  <si>
    <t>2290164646464</t>
  </si>
  <si>
    <t>A0009536</t>
  </si>
  <si>
    <t>CEPEG LA FINESSE</t>
  </si>
  <si>
    <t>2290165210101</t>
  </si>
  <si>
    <t>2290195712621</t>
  </si>
  <si>
    <t>2290155017309</t>
  </si>
  <si>
    <t>2290195956014</t>
  </si>
  <si>
    <t>2290165245099</t>
  </si>
  <si>
    <t>2290163633890</t>
  </si>
  <si>
    <t>2290195108251</t>
  </si>
  <si>
    <t>2290195715705</t>
  </si>
  <si>
    <t>2290164492591</t>
  </si>
  <si>
    <t>2290164802626</t>
  </si>
  <si>
    <t>2290195302946</t>
  </si>
  <si>
    <t>2290160804571</t>
  </si>
  <si>
    <t>2290195551207</t>
  </si>
  <si>
    <t>2290164298112</t>
  </si>
  <si>
    <t>2290158573019</t>
  </si>
  <si>
    <t>2290145403875</t>
  </si>
  <si>
    <t>2290195585164</t>
  </si>
  <si>
    <t>2290195246919</t>
  </si>
  <si>
    <t>2290164121203</t>
  </si>
  <si>
    <t>2290199700019</t>
  </si>
  <si>
    <t>2290199998269</t>
  </si>
  <si>
    <t>2290164323855</t>
  </si>
  <si>
    <t>2290195962918</t>
  </si>
  <si>
    <t>2290160609543</t>
  </si>
  <si>
    <t>2290145299112</t>
  </si>
  <si>
    <t>2290195747018</t>
  </si>
  <si>
    <t>2290195567930</t>
  </si>
  <si>
    <t>2290195374327</t>
  </si>
  <si>
    <t>2290195349708</t>
  </si>
  <si>
    <t>2290195157049</t>
  </si>
  <si>
    <t>2290195056558</t>
  </si>
  <si>
    <t>2290168886777</t>
  </si>
  <si>
    <t>2290158787873</t>
  </si>
  <si>
    <t>2290160842200</t>
  </si>
  <si>
    <t>2290195296046</t>
  </si>
  <si>
    <t>2290195879219</t>
  </si>
  <si>
    <t>2290158999542</t>
  </si>
  <si>
    <t>A0009532</t>
  </si>
  <si>
    <t>LEGBA LILIANE JOSEPHA NELLY A.</t>
  </si>
  <si>
    <t>2290195566161</t>
  </si>
  <si>
    <t>COMMISSIONS ET FRAIS CREDOC IMPORT</t>
  </si>
  <si>
    <t>recon.</t>
  </si>
  <si>
    <t>estimé</t>
  </si>
  <si>
    <t>sept</t>
  </si>
  <si>
    <t>oct</t>
  </si>
  <si>
    <t>CA Reversement MAB hors auto rechargement</t>
  </si>
  <si>
    <t>31 JANV_25</t>
  </si>
  <si>
    <t>2290164572413</t>
  </si>
  <si>
    <t>2290194191080</t>
  </si>
  <si>
    <t>2290168272320</t>
  </si>
  <si>
    <t>2290195719775</t>
  </si>
  <si>
    <t>2290195944594</t>
  </si>
  <si>
    <t>2290199988060</t>
  </si>
  <si>
    <t>2290195733569</t>
  </si>
  <si>
    <t>2290195417013</t>
  </si>
  <si>
    <t>2290195959349</t>
  </si>
  <si>
    <t>2290195680073</t>
  </si>
  <si>
    <t>A0006446</t>
  </si>
  <si>
    <t>INSTITUT IN.U.D.E</t>
  </si>
  <si>
    <t>2290195748269</t>
  </si>
  <si>
    <t>2290195145331</t>
  </si>
  <si>
    <t>2290164710217</t>
  </si>
  <si>
    <t>2290195812473</t>
  </si>
  <si>
    <t>2290198586666</t>
  </si>
  <si>
    <t>2290160899188</t>
  </si>
  <si>
    <t>2290163075156</t>
  </si>
  <si>
    <t>2290165529852</t>
  </si>
  <si>
    <t>2290165796997</t>
  </si>
  <si>
    <t>2290195755813</t>
  </si>
  <si>
    <t>2290195501967</t>
  </si>
  <si>
    <t>2290199447212</t>
  </si>
  <si>
    <t>2290195347338</t>
  </si>
  <si>
    <t>2290168686666</t>
  </si>
  <si>
    <t>2290194651308</t>
  </si>
  <si>
    <t>A0002963</t>
  </si>
  <si>
    <t>DIC BTP</t>
  </si>
  <si>
    <t>2290199992421</t>
  </si>
  <si>
    <t>2290194666876</t>
  </si>
  <si>
    <t>2290194155503</t>
  </si>
  <si>
    <t>2290164262756</t>
  </si>
  <si>
    <t>A0009649</t>
  </si>
  <si>
    <t>2290165048773</t>
  </si>
  <si>
    <t>2290164649340</t>
  </si>
  <si>
    <t>2290194775566</t>
  </si>
  <si>
    <t>2290158183943</t>
  </si>
  <si>
    <t>2290195424719</t>
  </si>
  <si>
    <t>2290195626434</t>
  </si>
  <si>
    <t>2290168923708</t>
  </si>
  <si>
    <t>2290165779122</t>
  </si>
  <si>
    <t>2290164557759</t>
  </si>
  <si>
    <t>Reglement LC: LCI 582</t>
  </si>
  <si>
    <t>30031410005</t>
  </si>
  <si>
    <t>C957859</t>
  </si>
  <si>
    <t>CBI</t>
  </si>
  <si>
    <t>PANZ</t>
  </si>
  <si>
    <t>GROUPE D'AFRIQUE</t>
  </si>
  <si>
    <t>SANLAM BENIN</t>
  </si>
  <si>
    <t>BLACK N GREEN</t>
  </si>
  <si>
    <t>ITISSALAT AL MAGRHIB</t>
  </si>
  <si>
    <t>LEMOINE CIE DRT DOUANE</t>
  </si>
  <si>
    <t xml:space="preserve">CASANET </t>
  </si>
  <si>
    <t>ALCATEL</t>
  </si>
  <si>
    <t>Revenu Global HT avec auto rechargement</t>
  </si>
  <si>
    <t>Encaissements de caution 01/02/2025 au  28/02/2025</t>
  </si>
  <si>
    <t>AVCE CSO DATA-APN DEDIE SIPIEH</t>
  </si>
  <si>
    <t>CAUT DATA/AHOLOUKPE PARFAIT S</t>
  </si>
  <si>
    <t>CAUT DATA/DIGIWISE</t>
  </si>
  <si>
    <t>CAUT DATA/TOVO DOUNON FRANCOIS</t>
  </si>
  <si>
    <t>CAUT VEONE BENIN</t>
  </si>
  <si>
    <t>CAUT/DONOUVOSSI YELIAN M</t>
  </si>
  <si>
    <t>CAUT/INTER DE LA CROIX ROUGE</t>
  </si>
  <si>
    <t>CAUT/LA COTIERE SARL</t>
  </si>
  <si>
    <t>CAUT/PARTOUCHE CASINO COTONOU</t>
  </si>
  <si>
    <t>CAUT/RMO</t>
  </si>
  <si>
    <t>CAUT/STGS-B</t>
  </si>
  <si>
    <t>CAUTION  NUM VERT/DDS ATACORA</t>
  </si>
  <si>
    <t>CAUTION NUM VERT/ZS KOUANDE</t>
  </si>
  <si>
    <t>CMPT/MAJESTY SERVICES &amp;EQUIP</t>
  </si>
  <si>
    <t>PT CAUTION CHRIST BERTRANT GCB</t>
  </si>
  <si>
    <t>62025020100127296</t>
  </si>
  <si>
    <t>2290195965193</t>
  </si>
  <si>
    <t>M000370454</t>
  </si>
  <si>
    <t>RGT AIRP M000370454 01/02/2025</t>
  </si>
  <si>
    <t>62025020100267066</t>
  </si>
  <si>
    <t>A0003976</t>
  </si>
  <si>
    <t>KO-BENIN SARL</t>
  </si>
  <si>
    <t>M000368337</t>
  </si>
  <si>
    <t>RGT AIRP M000368337 01/02/2025</t>
  </si>
  <si>
    <t>62025020100267514</t>
  </si>
  <si>
    <t>M000366064</t>
  </si>
  <si>
    <t>RGT AIRP M000366064 01/02/2025</t>
  </si>
  <si>
    <t>62025020100382327</t>
  </si>
  <si>
    <t>2290194448113</t>
  </si>
  <si>
    <t>M000371817</t>
  </si>
  <si>
    <t>RGT AIRP M000371817 01/02/2025</t>
  </si>
  <si>
    <t>72025020100083112</t>
  </si>
  <si>
    <t>2290198374272</t>
  </si>
  <si>
    <t>M000370533</t>
  </si>
  <si>
    <t>RGT AIRP M000370533 01/02/2025</t>
  </si>
  <si>
    <t>72025020100244283</t>
  </si>
  <si>
    <t>A0009626</t>
  </si>
  <si>
    <t>MyResto</t>
  </si>
  <si>
    <t>M000372078</t>
  </si>
  <si>
    <t>RGT AIRP M000372078 01/02/2025</t>
  </si>
  <si>
    <t>72025020200011106</t>
  </si>
  <si>
    <t>2290199565660</t>
  </si>
  <si>
    <t>M000371535</t>
  </si>
  <si>
    <t>RGT AIRP M000371535 02/02/2025</t>
  </si>
  <si>
    <t>62025020300129662</t>
  </si>
  <si>
    <t>A0008104</t>
  </si>
  <si>
    <t>CEG BOUANRI/DATA</t>
  </si>
  <si>
    <t>M000371448</t>
  </si>
  <si>
    <t>RGT AIRP M000371448 03/02/2025</t>
  </si>
  <si>
    <t>62025020300153168</t>
  </si>
  <si>
    <t>2290160249046</t>
  </si>
  <si>
    <t>M000369682</t>
  </si>
  <si>
    <t>RGT AIRP M000369682 03/02/2025</t>
  </si>
  <si>
    <t>62025020300170178</t>
  </si>
  <si>
    <t>2290195961259</t>
  </si>
  <si>
    <t>M000371154</t>
  </si>
  <si>
    <t>RGT AIRP M000371154 03/02/2025</t>
  </si>
  <si>
    <t>62025020300218311</t>
  </si>
  <si>
    <t>2290198918341</t>
  </si>
  <si>
    <t>A0009597</t>
  </si>
  <si>
    <t>BIG TOAST SANDWICHES</t>
  </si>
  <si>
    <t>M000369924</t>
  </si>
  <si>
    <t>RGT AIRP M000369924 03/02/2025</t>
  </si>
  <si>
    <t>62025020300342676</t>
  </si>
  <si>
    <t>2290194006000</t>
  </si>
  <si>
    <t>M000370694</t>
  </si>
  <si>
    <t>RGT AIRP M000370694 03/02/2025</t>
  </si>
  <si>
    <t>62025020300442039</t>
  </si>
  <si>
    <t>2290195374215</t>
  </si>
  <si>
    <t>A0001269</t>
  </si>
  <si>
    <t>LA METROPOLITAINE</t>
  </si>
  <si>
    <t>M000370118</t>
  </si>
  <si>
    <t>RGT AIRP M000370118 03/02/2025</t>
  </si>
  <si>
    <t>62025020300444740</t>
  </si>
  <si>
    <t>2290194570068</t>
  </si>
  <si>
    <t>M000370320</t>
  </si>
  <si>
    <t>RGT AIRP M000370320 03/02/2025</t>
  </si>
  <si>
    <t>72025020300066020</t>
  </si>
  <si>
    <t>M000369285</t>
  </si>
  <si>
    <t>RGT AIRP M000369285 03/02/2025</t>
  </si>
  <si>
    <t>82025020300089118</t>
  </si>
  <si>
    <t>2290194057107</t>
  </si>
  <si>
    <t>M000370866</t>
  </si>
  <si>
    <t>RGT AIRP M000370866 03/02/2025</t>
  </si>
  <si>
    <t>82025020300105438</t>
  </si>
  <si>
    <t>M000371089</t>
  </si>
  <si>
    <t>RGT AIRP M000371089 03/02/2025</t>
  </si>
  <si>
    <t>82025020300131483</t>
  </si>
  <si>
    <t>2290199828203</t>
  </si>
  <si>
    <t>M000368142</t>
  </si>
  <si>
    <t>RGT AIRP M000368142 03/02/2025</t>
  </si>
  <si>
    <t>82025020300160204</t>
  </si>
  <si>
    <t>M000371354</t>
  </si>
  <si>
    <t>RGT AIRP M000371354 03/02/2025</t>
  </si>
  <si>
    <t>82025020300176849</t>
  </si>
  <si>
    <t>M000371754</t>
  </si>
  <si>
    <t>RGT AIRP M000371754 03/02/2025</t>
  </si>
  <si>
    <t>82025020300187343</t>
  </si>
  <si>
    <t>M000370803</t>
  </si>
  <si>
    <t>RGT AIRP M000370803 03/02/2025</t>
  </si>
  <si>
    <t>82025020300200018</t>
  </si>
  <si>
    <t>M000371091</t>
  </si>
  <si>
    <t>RGT AIRP M000371091 03/02/2025</t>
  </si>
  <si>
    <t>82025020300518600</t>
  </si>
  <si>
    <t>M000370602</t>
  </si>
  <si>
    <t>RGT AIRP M000370602 03/02/2025</t>
  </si>
  <si>
    <t>62025020400031399</t>
  </si>
  <si>
    <t>M000371387</t>
  </si>
  <si>
    <t>RGT AIRP M000371387 04/02/2025</t>
  </si>
  <si>
    <t>62025020400064672</t>
  </si>
  <si>
    <t>M000371832</t>
  </si>
  <si>
    <t>RGT AIRP M000371832 04/02/2025</t>
  </si>
  <si>
    <t>62025020400077721</t>
  </si>
  <si>
    <t>M000371685</t>
  </si>
  <si>
    <t>RGT AIRP M000371685 04/02/2025</t>
  </si>
  <si>
    <t>62025020400167470</t>
  </si>
  <si>
    <t>M000370983</t>
  </si>
  <si>
    <t>RGT AIRP M000370983 04/02/2025</t>
  </si>
  <si>
    <t>62025020400236349</t>
  </si>
  <si>
    <t>M000371014</t>
  </si>
  <si>
    <t>RGT AIRP M000371014 04/02/2025</t>
  </si>
  <si>
    <t>62025020400264386</t>
  </si>
  <si>
    <t>2290145336417</t>
  </si>
  <si>
    <t>M000371583</t>
  </si>
  <si>
    <t>RGT AIRP M000371583 04/02/2025</t>
  </si>
  <si>
    <t>62025020400271594</t>
  </si>
  <si>
    <t>2290155323333</t>
  </si>
  <si>
    <t>M000371650</t>
  </si>
  <si>
    <t>RGT AIRP M000371650 04/02/2025</t>
  </si>
  <si>
    <t>62025020400296086</t>
  </si>
  <si>
    <t>2290195792245</t>
  </si>
  <si>
    <t>M000371319</t>
  </si>
  <si>
    <t>RGT AIRP M000371319 04/02/2025</t>
  </si>
  <si>
    <t>62025020400367275</t>
  </si>
  <si>
    <t>M000370475</t>
  </si>
  <si>
    <t>RGT AIRP M000370475 04/02/2025</t>
  </si>
  <si>
    <t>62025020400416190</t>
  </si>
  <si>
    <t>M000371199</t>
  </si>
  <si>
    <t>RGT AIRP M000371199 04/02/2025</t>
  </si>
  <si>
    <t>62025020400431859</t>
  </si>
  <si>
    <t>2290199196353</t>
  </si>
  <si>
    <t>M000371326</t>
  </si>
  <si>
    <t>RGT AIRP M000371326 04/02/2025</t>
  </si>
  <si>
    <t>62025020400434610</t>
  </si>
  <si>
    <t>M000369158</t>
  </si>
  <si>
    <t>RGT AIRP M000369158 04/02/2025</t>
  </si>
  <si>
    <t>62025020400452560</t>
  </si>
  <si>
    <t>2290195860482</t>
  </si>
  <si>
    <t>M000371761</t>
  </si>
  <si>
    <t>RGT AIRP M000371761 04/02/2025</t>
  </si>
  <si>
    <t>62025020400496825</t>
  </si>
  <si>
    <t>2290163813839</t>
  </si>
  <si>
    <t>M000370650</t>
  </si>
  <si>
    <t>RGT AIRP M000370650 04/02/2025</t>
  </si>
  <si>
    <t>62025020400506855</t>
  </si>
  <si>
    <t>2290163407604</t>
  </si>
  <si>
    <t>M000372047</t>
  </si>
  <si>
    <t>RGT AIRP M000372047 04/02/2025</t>
  </si>
  <si>
    <t>62025020400719679</t>
  </si>
  <si>
    <t>M000370435</t>
  </si>
  <si>
    <t>RGT AIRP M000370435 04/02/2025</t>
  </si>
  <si>
    <t>72025020400174069</t>
  </si>
  <si>
    <t>M000371918</t>
  </si>
  <si>
    <t>RGT AIRP M000371918 04/02/2025</t>
  </si>
  <si>
    <t>72025020400210628</t>
  </si>
  <si>
    <t>M000372015</t>
  </si>
  <si>
    <t>RGT AIRP M000372015 04/02/2025</t>
  </si>
  <si>
    <t>72025020400236993</t>
  </si>
  <si>
    <t>M000370457</t>
  </si>
  <si>
    <t>RGT AIRP M000370457 04/02/2025</t>
  </si>
  <si>
    <t>82025020400243746</t>
  </si>
  <si>
    <t>2290160487183</t>
  </si>
  <si>
    <t>M000371670</t>
  </si>
  <si>
    <t>RGT AIRP M000371670 04/02/2025</t>
  </si>
  <si>
    <t>82025020400307535</t>
  </si>
  <si>
    <t>M000371559</t>
  </si>
  <si>
    <t>RGT AIRP M000371559 04/02/2025</t>
  </si>
  <si>
    <t>82025020400308841</t>
  </si>
  <si>
    <t>M000371524</t>
  </si>
  <si>
    <t>RGT AIRP M000371524 04/02/2025</t>
  </si>
  <si>
    <t>62025020500056168</t>
  </si>
  <si>
    <t>2290195953514</t>
  </si>
  <si>
    <t>M000370133</t>
  </si>
  <si>
    <t>RGT AIRP M000370133 05/02/2025</t>
  </si>
  <si>
    <t>62025020500072653</t>
  </si>
  <si>
    <t>M000370819</t>
  </si>
  <si>
    <t>RGT AIRP M000370819 05/02/2025</t>
  </si>
  <si>
    <t>62025020500136557</t>
  </si>
  <si>
    <t>SIBAK   COMPAGNIE SARL</t>
  </si>
  <si>
    <t>M000371481</t>
  </si>
  <si>
    <t>RGT AIRP M000371481 05/02/2025</t>
  </si>
  <si>
    <t>62025020500265749</t>
  </si>
  <si>
    <t>2290195845245</t>
  </si>
  <si>
    <t>M000371661</t>
  </si>
  <si>
    <t>RGT AIRP M000371661 05/02/2025</t>
  </si>
  <si>
    <t>62025020500384375</t>
  </si>
  <si>
    <t>2290195493349</t>
  </si>
  <si>
    <t>M000370646</t>
  </si>
  <si>
    <t>RGT AIRP M000370646 05/02/2025</t>
  </si>
  <si>
    <t>62025020500412356</t>
  </si>
  <si>
    <t>2290195561907</t>
  </si>
  <si>
    <t>M000369554</t>
  </si>
  <si>
    <t>RGT AIRP M000369554 05/02/2025</t>
  </si>
  <si>
    <t>62025020500414065</t>
  </si>
  <si>
    <t>M000371712</t>
  </si>
  <si>
    <t>RGT AIRP M000371712 05/02/2025</t>
  </si>
  <si>
    <t>62025020500432740</t>
  </si>
  <si>
    <t>M000371497</t>
  </si>
  <si>
    <t>RGT AIRP M000371497 05/02/2025</t>
  </si>
  <si>
    <t>62025020500563022</t>
  </si>
  <si>
    <t>M000371261</t>
  </si>
  <si>
    <t>RGT AIRP M000371261 05/02/2025</t>
  </si>
  <si>
    <t>62025020500727157</t>
  </si>
  <si>
    <t>M000370906</t>
  </si>
  <si>
    <t>RGT AIRP M000370906 05/02/2025</t>
  </si>
  <si>
    <t>72025020500053691</t>
  </si>
  <si>
    <t>M000371396</t>
  </si>
  <si>
    <t>RGT AIRP M000371396 05/02/2025</t>
  </si>
  <si>
    <t>72025020500069010</t>
  </si>
  <si>
    <t>M000370491</t>
  </si>
  <si>
    <t>RGT AIRP M000370491 05/02/2025</t>
  </si>
  <si>
    <t>72025020500162256</t>
  </si>
  <si>
    <t>M000371458</t>
  </si>
  <si>
    <t>RGT AIRP M000371458 05/02/2025</t>
  </si>
  <si>
    <t>72025020500204540</t>
  </si>
  <si>
    <t>2290194269577</t>
  </si>
  <si>
    <t>M000371284</t>
  </si>
  <si>
    <t>RGT AIRP M000371284 05/02/2025</t>
  </si>
  <si>
    <t>82025020500307688</t>
  </si>
  <si>
    <t>2290164270791</t>
  </si>
  <si>
    <t>M000370996</t>
  </si>
  <si>
    <t>RGT AIRP M000370996 05/02/2025</t>
  </si>
  <si>
    <t>82025020500342148</t>
  </si>
  <si>
    <t>M000370566</t>
  </si>
  <si>
    <t>RGT AIRP M000370566 05/02/2025</t>
  </si>
  <si>
    <t>82025020500525681</t>
  </si>
  <si>
    <t>M000370556</t>
  </si>
  <si>
    <t>RGT AIRP M000370556 05/02/2025</t>
  </si>
  <si>
    <t>62025020600108320</t>
  </si>
  <si>
    <t>M000370293</t>
  </si>
  <si>
    <t>RGT AIRP M000370293 06/02/2025</t>
  </si>
  <si>
    <t>62025020600484261</t>
  </si>
  <si>
    <t>2290194261779</t>
  </si>
  <si>
    <t>WORLD HOUSE GROUP SARL</t>
  </si>
  <si>
    <t>M000370852</t>
  </si>
  <si>
    <t>RGT AIRP M000370852 06/02/2025</t>
  </si>
  <si>
    <t>62025020600561771</t>
  </si>
  <si>
    <t>2290165547485</t>
  </si>
  <si>
    <t>M000371494</t>
  </si>
  <si>
    <t>RGT AIRP M000371494 06/02/2025</t>
  </si>
  <si>
    <t>62025020600578901</t>
  </si>
  <si>
    <t>A0006106</t>
  </si>
  <si>
    <t>KAKPO DORCASSE HOSANNA FOUMILA</t>
  </si>
  <si>
    <t>M000370923</t>
  </si>
  <si>
    <t>RGT AIRP M000370923 06/02/2025</t>
  </si>
  <si>
    <t>72025020600064401</t>
  </si>
  <si>
    <t>M000370833</t>
  </si>
  <si>
    <t>RGT AIRP M000370833 06/02/2025</t>
  </si>
  <si>
    <t>72025020600101148</t>
  </si>
  <si>
    <t>2290163044661</t>
  </si>
  <si>
    <t>M000370963</t>
  </si>
  <si>
    <t>RGT AIRP M000370963 06/02/2025</t>
  </si>
  <si>
    <t>72025020600158726</t>
  </si>
  <si>
    <t>M000371793</t>
  </si>
  <si>
    <t>RGT AIRP M000371793 06/02/2025</t>
  </si>
  <si>
    <t>82025020600030075</t>
  </si>
  <si>
    <t>M000371087</t>
  </si>
  <si>
    <t>RGT AIRP M000371087 06/02/2025</t>
  </si>
  <si>
    <t>82025020600075470</t>
  </si>
  <si>
    <t>2290160381289</t>
  </si>
  <si>
    <t>M000371705</t>
  </si>
  <si>
    <t>RGT AIRP M000371705 06/02/2025</t>
  </si>
  <si>
    <t>82025020600087790</t>
  </si>
  <si>
    <t>M000370436</t>
  </si>
  <si>
    <t>RGT AIRP M000370436 06/02/2025</t>
  </si>
  <si>
    <t>82025020600126947</t>
  </si>
  <si>
    <t>M000371787</t>
  </si>
  <si>
    <t>RGT AIRP M000371787 06/02/2025</t>
  </si>
  <si>
    <t>82025020600236815</t>
  </si>
  <si>
    <t>2290194530053</t>
  </si>
  <si>
    <t>M000370262</t>
  </si>
  <si>
    <t>RGT AIRP M000370262 06/02/2025</t>
  </si>
  <si>
    <t>82025020600277783</t>
  </si>
  <si>
    <t>M000370896</t>
  </si>
  <si>
    <t>RGT AIRP M000370896 06/02/2025</t>
  </si>
  <si>
    <t>82025020600301889</t>
  </si>
  <si>
    <t>M000370444</t>
  </si>
  <si>
    <t>RGT AIRP M000370444 06/02/2025</t>
  </si>
  <si>
    <t>82025020600334714</t>
  </si>
  <si>
    <t>M000372065</t>
  </si>
  <si>
    <t>RGT AIRP M000372065 06/02/2025</t>
  </si>
  <si>
    <t>82025020600361809</t>
  </si>
  <si>
    <t>A0008466</t>
  </si>
  <si>
    <t>Ambas de France/SGA/95549909</t>
  </si>
  <si>
    <t>M000369415</t>
  </si>
  <si>
    <t>RGT AIRP M000369415 06/02/2025</t>
  </si>
  <si>
    <t>82025020600463033</t>
  </si>
  <si>
    <t>M000371623</t>
  </si>
  <si>
    <t>RGT AIRP M000371623 06/02/2025</t>
  </si>
  <si>
    <t>62025020700115266</t>
  </si>
  <si>
    <t>2290164132149</t>
  </si>
  <si>
    <t>M000371408</t>
  </si>
  <si>
    <t>RGT AIRP M000371408 07/02/2025</t>
  </si>
  <si>
    <t>62025020700138203</t>
  </si>
  <si>
    <t>M000370161</t>
  </si>
  <si>
    <t>RGT AIRP M000370161 07/02/2025</t>
  </si>
  <si>
    <t>62025020700227823</t>
  </si>
  <si>
    <t>M000371411</t>
  </si>
  <si>
    <t>RGT AIRP M000371411 07/02/2025</t>
  </si>
  <si>
    <t>62025020700289305</t>
  </si>
  <si>
    <t>2290163274884</t>
  </si>
  <si>
    <t>M000371225</t>
  </si>
  <si>
    <t>RGT AIRP M000371225 07/02/2025</t>
  </si>
  <si>
    <t>62025020700293335</t>
  </si>
  <si>
    <t>2290195213681</t>
  </si>
  <si>
    <t>M000371908</t>
  </si>
  <si>
    <t>RGT AIRP M000371908 07/02/2025</t>
  </si>
  <si>
    <t>62025020700318866</t>
  </si>
  <si>
    <t>M000371374</t>
  </si>
  <si>
    <t>RGT AIRP M000371374 07/02/2025</t>
  </si>
  <si>
    <t>62025020700374312</t>
  </si>
  <si>
    <t>M000371161</t>
  </si>
  <si>
    <t>RGT AIRP M000371161 07/02/2025</t>
  </si>
  <si>
    <t>62025020700428053</t>
  </si>
  <si>
    <t>M000370894</t>
  </si>
  <si>
    <t>RGT AIRP M000370894 07/02/2025</t>
  </si>
  <si>
    <t>62025020700452249</t>
  </si>
  <si>
    <t>M000370391</t>
  </si>
  <si>
    <t>RGT AIRP M000370391 07/02/2025</t>
  </si>
  <si>
    <t>62025020700463629</t>
  </si>
  <si>
    <t>2290168440161</t>
  </si>
  <si>
    <t>M000371131</t>
  </si>
  <si>
    <t>RGT AIRP M000371131 07/02/2025</t>
  </si>
  <si>
    <t>62025020700523853</t>
  </si>
  <si>
    <t>M000370680</t>
  </si>
  <si>
    <t>RGT AIRP M000370680 07/02/2025</t>
  </si>
  <si>
    <t>62025020700567619</t>
  </si>
  <si>
    <t>M000370946</t>
  </si>
  <si>
    <t>RGT AIRP M000370946 07/02/2025</t>
  </si>
  <si>
    <t>62025020700583991</t>
  </si>
  <si>
    <t>2290145005555</t>
  </si>
  <si>
    <t>M000373827</t>
  </si>
  <si>
    <t>RGT AIRP M000373827 07/02/2025</t>
  </si>
  <si>
    <t>62025020700617600</t>
  </si>
  <si>
    <t>2290163393851</t>
  </si>
  <si>
    <t>M000373601</t>
  </si>
  <si>
    <t>RGT AIRP M000373601 07/02/2025</t>
  </si>
  <si>
    <t>62025020700618829</t>
  </si>
  <si>
    <t>M000371511</t>
  </si>
  <si>
    <t>RGT AIRP M000371511 07/02/2025</t>
  </si>
  <si>
    <t>62025020700661525</t>
  </si>
  <si>
    <t>M000370502</t>
  </si>
  <si>
    <t>RGT AIRP M000370502 07/02/2025</t>
  </si>
  <si>
    <t>72025020700006797</t>
  </si>
  <si>
    <t>2290194953276</t>
  </si>
  <si>
    <t>M000371024</t>
  </si>
  <si>
    <t>RGT AIRP M000371024 07/02/2025</t>
  </si>
  <si>
    <t>72025020700200009</t>
  </si>
  <si>
    <t>M000371502</t>
  </si>
  <si>
    <t>RGT AIRP M000371502 07/02/2025</t>
  </si>
  <si>
    <t>72025020700276004</t>
  </si>
  <si>
    <t>2290155833720</t>
  </si>
  <si>
    <t>M000371756</t>
  </si>
  <si>
    <t>RGT AIRP M000371756 07/02/2025</t>
  </si>
  <si>
    <t>82025020700083716</t>
  </si>
  <si>
    <t>2290195161200</t>
  </si>
  <si>
    <t>M000371487</t>
  </si>
  <si>
    <t>RGT AIRP M000371487 07/02/2025</t>
  </si>
  <si>
    <t>82025020700184295</t>
  </si>
  <si>
    <t>2290194994494</t>
  </si>
  <si>
    <t>M000370115</t>
  </si>
  <si>
    <t>RGT AIRP M000370115 07/02/2025</t>
  </si>
  <si>
    <t>82025020700221837</t>
  </si>
  <si>
    <t>M000370729</t>
  </si>
  <si>
    <t>RGT AIRP M000370729 07/02/2025</t>
  </si>
  <si>
    <t>82025020700406027</t>
  </si>
  <si>
    <t>M000373243</t>
  </si>
  <si>
    <t>RGT AIRP M000373243 07/02/2025</t>
  </si>
  <si>
    <t>82025020700503843</t>
  </si>
  <si>
    <t>M000372006</t>
  </si>
  <si>
    <t>RGT AIRP M000372006 07/02/2025</t>
  </si>
  <si>
    <t>82025020700540025</t>
  </si>
  <si>
    <t>M000373852</t>
  </si>
  <si>
    <t>RGT AIRP M000373852 07/02/2025</t>
  </si>
  <si>
    <t>62025020800024478</t>
  </si>
  <si>
    <t>M000372922</t>
  </si>
  <si>
    <t>RGT AIRP M000372922 08/02/2025</t>
  </si>
  <si>
    <t>62025020800051085</t>
  </si>
  <si>
    <t>M000372963</t>
  </si>
  <si>
    <t>RGT AIRP M000372963 08/02/2025</t>
  </si>
  <si>
    <t>62025020800109273</t>
  </si>
  <si>
    <t>2290199749394</t>
  </si>
  <si>
    <t>A0006821</t>
  </si>
  <si>
    <t>GROUPE 3M INTERNATIONAL SARL</t>
  </si>
  <si>
    <t>M000350088</t>
  </si>
  <si>
    <t>RGT AIRP M000350088 08/02/2025</t>
  </si>
  <si>
    <t>62025020800110265</t>
  </si>
  <si>
    <t>M000347686</t>
  </si>
  <si>
    <t>RGT AIRP M000347686 08/02/2025</t>
  </si>
  <si>
    <t>62025020800155540</t>
  </si>
  <si>
    <t>M000373316</t>
  </si>
  <si>
    <t>RGT AIRP M000373316 08/02/2025</t>
  </si>
  <si>
    <t>62025020800300568</t>
  </si>
  <si>
    <t>M000373377</t>
  </si>
  <si>
    <t>RGT AIRP M000373377 08/02/2025</t>
  </si>
  <si>
    <t>62025020800444857</t>
  </si>
  <si>
    <t>M000373644</t>
  </si>
  <si>
    <t>RGT AIRP M000373644 08/02/2025</t>
  </si>
  <si>
    <t>62025020800532731</t>
  </si>
  <si>
    <t>M000373910</t>
  </si>
  <si>
    <t>RGT AIRP M000373910 08/02/2025</t>
  </si>
  <si>
    <t>72025020800030957</t>
  </si>
  <si>
    <t>M000372813</t>
  </si>
  <si>
    <t>RGT AIRP M000372813 08/02/2025</t>
  </si>
  <si>
    <t>72025020800228726</t>
  </si>
  <si>
    <t>M000373198</t>
  </si>
  <si>
    <t>RGT AIRP M000373198 08/02/2025</t>
  </si>
  <si>
    <t>82025020800087975</t>
  </si>
  <si>
    <t>M000345268</t>
  </si>
  <si>
    <t>RGT AIRP M000345268 08/02/2025</t>
  </si>
  <si>
    <t>82025020800138980</t>
  </si>
  <si>
    <t>2290195706060</t>
  </si>
  <si>
    <t>M000371277</t>
  </si>
  <si>
    <t>RGT AIRP M000371277 08/02/2025</t>
  </si>
  <si>
    <t>82025020800145987</t>
  </si>
  <si>
    <t>M000371124</t>
  </si>
  <si>
    <t>RGT AIRP M000371124 08/02/2025</t>
  </si>
  <si>
    <t>82025020800146291</t>
  </si>
  <si>
    <t>2290195279212</t>
  </si>
  <si>
    <t>M000371678</t>
  </si>
  <si>
    <t>RGT AIRP M000371678 08/02/2025</t>
  </si>
  <si>
    <t>82025020800378043</t>
  </si>
  <si>
    <t>M000371919</t>
  </si>
  <si>
    <t>RGT AIRP M000371919 08/02/2025</t>
  </si>
  <si>
    <t>82025020800431084</t>
  </si>
  <si>
    <t>2290163143526</t>
  </si>
  <si>
    <t>M000369173</t>
  </si>
  <si>
    <t>RGT AIRP M000369173 08/02/2025</t>
  </si>
  <si>
    <t>62025020900022809</t>
  </si>
  <si>
    <t>2290155268484</t>
  </si>
  <si>
    <t>M000371723</t>
  </si>
  <si>
    <t>RGT AIRP M000371723 09/02/2025</t>
  </si>
  <si>
    <t>62025020900023027</t>
  </si>
  <si>
    <t>M000373807</t>
  </si>
  <si>
    <t>RGT AIRP M000373807 09/02/2025</t>
  </si>
  <si>
    <t>62025020900098640</t>
  </si>
  <si>
    <t>2290195956249</t>
  </si>
  <si>
    <t>M000371249</t>
  </si>
  <si>
    <t>RGT AIRP M000371249 09/02/2025</t>
  </si>
  <si>
    <t>62025020900220660</t>
  </si>
  <si>
    <t>M000374000</t>
  </si>
  <si>
    <t>RGT AIRP M000374000 09/02/2025</t>
  </si>
  <si>
    <t>62025020900341411</t>
  </si>
  <si>
    <t>M000373373</t>
  </si>
  <si>
    <t>RGT AIRP M000373373 09/02/2025</t>
  </si>
  <si>
    <t>72025020900012391</t>
  </si>
  <si>
    <t>M000373942</t>
  </si>
  <si>
    <t>RGT AIRP M000373942 09/02/2025</t>
  </si>
  <si>
    <t>82025020900015724</t>
  </si>
  <si>
    <t>M000373962</t>
  </si>
  <si>
    <t>RGT AIRP M000373962 09/02/2025</t>
  </si>
  <si>
    <t>82025020900201096</t>
  </si>
  <si>
    <t>2290195998915</t>
  </si>
  <si>
    <t>M000372475</t>
  </si>
  <si>
    <t>RGT AIRP M000372475 09/02/2025</t>
  </si>
  <si>
    <t>62025021000123236</t>
  </si>
  <si>
    <t>2290165343250</t>
  </si>
  <si>
    <t>M000373898</t>
  </si>
  <si>
    <t>RGT AIRP M000373898 10/02/2025</t>
  </si>
  <si>
    <t>62025021000181516</t>
  </si>
  <si>
    <t>M000371155</t>
  </si>
  <si>
    <t>RGT AIRP M000371155 10/02/2025</t>
  </si>
  <si>
    <t>62025021000214993</t>
  </si>
  <si>
    <t>M000370671</t>
  </si>
  <si>
    <t>RGT AIRP M000370671 10/02/2025</t>
  </si>
  <si>
    <t>62025021000215916</t>
  </si>
  <si>
    <t>M000372792</t>
  </si>
  <si>
    <t>RGT AIRP M000372792 10/02/2025</t>
  </si>
  <si>
    <t>62025021000230549</t>
  </si>
  <si>
    <t>M000371454</t>
  </si>
  <si>
    <t>RGT AIRP M000371454 10/02/2025</t>
  </si>
  <si>
    <t>62025021000313060</t>
  </si>
  <si>
    <t>M000373151</t>
  </si>
  <si>
    <t>RGT AIRP M000373151 10/02/2025</t>
  </si>
  <si>
    <t>62025021000332961</t>
  </si>
  <si>
    <t>M000372577</t>
  </si>
  <si>
    <t>RGT AIRP M000372577 10/02/2025</t>
  </si>
  <si>
    <t>62025021000393415</t>
  </si>
  <si>
    <t>M000371258</t>
  </si>
  <si>
    <t>RGT AIRP M000371258 10/02/2025</t>
  </si>
  <si>
    <t>62025021000479976</t>
  </si>
  <si>
    <t>M000370225</t>
  </si>
  <si>
    <t>RGT AIRP M000370225 10/02/2025</t>
  </si>
  <si>
    <t>62025021000541037</t>
  </si>
  <si>
    <t>M000371992</t>
  </si>
  <si>
    <t>RGT AIRP M000371992 10/02/2025</t>
  </si>
  <si>
    <t>62025021000570561</t>
  </si>
  <si>
    <t>M000371447</t>
  </si>
  <si>
    <t>RGT AIRP M000371447 10/02/2025</t>
  </si>
  <si>
    <t>72025021000029199</t>
  </si>
  <si>
    <t>M000371267</t>
  </si>
  <si>
    <t>RGT AIRP M000371267 10/02/2025</t>
  </si>
  <si>
    <t>82025021000054236</t>
  </si>
  <si>
    <t>M000370747</t>
  </si>
  <si>
    <t>RGT AIRP M000370747 10/02/2025</t>
  </si>
  <si>
    <t>82025021000141605</t>
  </si>
  <si>
    <t>M000371050</t>
  </si>
  <si>
    <t>RGT AIRP M000371050 10/02/2025</t>
  </si>
  <si>
    <t>82025021000251943</t>
  </si>
  <si>
    <t>M000373368</t>
  </si>
  <si>
    <t>RGT AIRP M000373368 10/02/2025</t>
  </si>
  <si>
    <t>82025021000335844</t>
  </si>
  <si>
    <t>2290195734213</t>
  </si>
  <si>
    <t>M000370402</t>
  </si>
  <si>
    <t>RGT AIRP M000370402 10/02/2025</t>
  </si>
  <si>
    <t>82025021000386967</t>
  </si>
  <si>
    <t>2290163319361</t>
  </si>
  <si>
    <t>A0009020</t>
  </si>
  <si>
    <t>GENIE BTP GROUPE</t>
  </si>
  <si>
    <t>M000373853</t>
  </si>
  <si>
    <t>RGT AIRP M000373853 10/02/2025</t>
  </si>
  <si>
    <t>82025021000411734</t>
  </si>
  <si>
    <t>M000373778</t>
  </si>
  <si>
    <t>RGT AIRP M000373778 10/02/2025</t>
  </si>
  <si>
    <t>82025021000440022</t>
  </si>
  <si>
    <t>M000370481</t>
  </si>
  <si>
    <t>RGT AIRP M000370481 10/02/2025</t>
  </si>
  <si>
    <t>62025021100112858</t>
  </si>
  <si>
    <t>M000372893</t>
  </si>
  <si>
    <t>RGT AIRP M000372893 11/02/2025</t>
  </si>
  <si>
    <t>62025021100123663</t>
  </si>
  <si>
    <t>M000372722</t>
  </si>
  <si>
    <t>RGT AIRP M000372722 11/02/2025</t>
  </si>
  <si>
    <t>62025021100246549</t>
  </si>
  <si>
    <t>M000372888</t>
  </si>
  <si>
    <t>RGT AIRP M000372888 11/02/2025</t>
  </si>
  <si>
    <t>62025021100281488</t>
  </si>
  <si>
    <t>M000371886</t>
  </si>
  <si>
    <t>RGT AIRP M000371886 11/02/2025</t>
  </si>
  <si>
    <t>62025021100288722</t>
  </si>
  <si>
    <t>M000371315</t>
  </si>
  <si>
    <t>RGT AIRP M000371315 11/02/2025</t>
  </si>
  <si>
    <t>62025021100365021</t>
  </si>
  <si>
    <t>M000370951</t>
  </si>
  <si>
    <t>RGT AIRP M000370951 11/02/2025</t>
  </si>
  <si>
    <t>62025021100425918</t>
  </si>
  <si>
    <t>M000373810</t>
  </si>
  <si>
    <t>RGT AIRP M000373810 11/02/2025</t>
  </si>
  <si>
    <t>62025021100430978</t>
  </si>
  <si>
    <t>M000372552</t>
  </si>
  <si>
    <t>RGT AIRP M000372552 11/02/2025</t>
  </si>
  <si>
    <t>62025021100431604</t>
  </si>
  <si>
    <t>M000373826</t>
  </si>
  <si>
    <t>RGT AIRP M000373826 11/02/2025</t>
  </si>
  <si>
    <t>62025021100470879</t>
  </si>
  <si>
    <t>M000371405</t>
  </si>
  <si>
    <t>RGT AIRP M000371405 11/02/2025</t>
  </si>
  <si>
    <t>62025021100523719</t>
  </si>
  <si>
    <t>M000370796</t>
  </si>
  <si>
    <t>RGT AIRP M000370796 11/02/2025</t>
  </si>
  <si>
    <t>72025021100037776</t>
  </si>
  <si>
    <t>2290194172201</t>
  </si>
  <si>
    <t>M000370560</t>
  </si>
  <si>
    <t>RGT AIRP M000370560 11/02/2025</t>
  </si>
  <si>
    <t>72025021100190360</t>
  </si>
  <si>
    <t>M000373035</t>
  </si>
  <si>
    <t>RGT AIRP M000373035 11/02/2025</t>
  </si>
  <si>
    <t>72025021100322955</t>
  </si>
  <si>
    <t>2290194841111</t>
  </si>
  <si>
    <t>A0006978</t>
  </si>
  <si>
    <t>GMD</t>
  </si>
  <si>
    <t>M000371163</t>
  </si>
  <si>
    <t>RGT AIRP M000371163 11/02/2025</t>
  </si>
  <si>
    <t>82025021100218014</t>
  </si>
  <si>
    <t>M000373999</t>
  </si>
  <si>
    <t>RGT AIRP M000373999 11/02/2025</t>
  </si>
  <si>
    <t>82025021100238198</t>
  </si>
  <si>
    <t>M000373960</t>
  </si>
  <si>
    <t>RGT AIRP M000373960 11/02/2025</t>
  </si>
  <si>
    <t>82025021100475437</t>
  </si>
  <si>
    <t>M000373531</t>
  </si>
  <si>
    <t>RGT AIRP M000373531 11/02/2025</t>
  </si>
  <si>
    <t>62025021200135138</t>
  </si>
  <si>
    <t>M000373684</t>
  </si>
  <si>
    <t>RGT AIRP M000373684 12/02/2025</t>
  </si>
  <si>
    <t>62025021200170772</t>
  </si>
  <si>
    <t>M000373369</t>
  </si>
  <si>
    <t>RGT AIRP M000373369 12/02/2025</t>
  </si>
  <si>
    <t>62025021200283785</t>
  </si>
  <si>
    <t>M000370698</t>
  </si>
  <si>
    <t>RGT AIRP M000370698 12/02/2025</t>
  </si>
  <si>
    <t>62025021200339993</t>
  </si>
  <si>
    <t>M000373761</t>
  </si>
  <si>
    <t>RGT AIRP M000373761 12/02/2025</t>
  </si>
  <si>
    <t>62025021200363728</t>
  </si>
  <si>
    <t>M000370311</t>
  </si>
  <si>
    <t>RGT AIRP M000370311 12/02/2025</t>
  </si>
  <si>
    <t>62025021200484639</t>
  </si>
  <si>
    <t>M000371043</t>
  </si>
  <si>
    <t>RGT AIRP M000371043 12/02/2025</t>
  </si>
  <si>
    <t>62025021200529287</t>
  </si>
  <si>
    <t>M000373574</t>
  </si>
  <si>
    <t>RGT AIRP M000373574 12/02/2025</t>
  </si>
  <si>
    <t>72025021200120561</t>
  </si>
  <si>
    <t>M000373258</t>
  </si>
  <si>
    <t>RGT AIRP M000373258 12/02/2025</t>
  </si>
  <si>
    <t>82025021200053798</t>
  </si>
  <si>
    <t>M000372518</t>
  </si>
  <si>
    <t>RGT AIRP M000372518 12/02/2025</t>
  </si>
  <si>
    <t>82025021200068450</t>
  </si>
  <si>
    <t>2290155046610</t>
  </si>
  <si>
    <t>A0007061</t>
  </si>
  <si>
    <t>EDI SESSI</t>
  </si>
  <si>
    <t>M000373282</t>
  </si>
  <si>
    <t>RGT AIRP M000373282 12/02/2025</t>
  </si>
  <si>
    <t>82025021200145299</t>
  </si>
  <si>
    <t>M000373523</t>
  </si>
  <si>
    <t>RGT AIRP M000373523 12/02/2025</t>
  </si>
  <si>
    <t>82025021200160170</t>
  </si>
  <si>
    <t>2290161877134</t>
  </si>
  <si>
    <t>M000373652</t>
  </si>
  <si>
    <t>RGT AIRP M000373652 12/02/2025</t>
  </si>
  <si>
    <t>82025021200267034</t>
  </si>
  <si>
    <t>M000373293</t>
  </si>
  <si>
    <t>RGT AIRP M000373293 12/02/2025</t>
  </si>
  <si>
    <t>82025021200310762</t>
  </si>
  <si>
    <t>M000374066</t>
  </si>
  <si>
    <t>RGT AIRP M000374066 12/02/2025</t>
  </si>
  <si>
    <t>82025021200339002</t>
  </si>
  <si>
    <t>M000371617</t>
  </si>
  <si>
    <t>RGT AIRP M000371617 12/02/2025</t>
  </si>
  <si>
    <t>82025021200346048</t>
  </si>
  <si>
    <t>M000373961</t>
  </si>
  <si>
    <t>RGT AIRP M000373961 12/02/2025</t>
  </si>
  <si>
    <t>82025021200363532</t>
  </si>
  <si>
    <t>M000370959</t>
  </si>
  <si>
    <t>RGT AIRP M000370959 12/02/2025</t>
  </si>
  <si>
    <t>62025021300014414</t>
  </si>
  <si>
    <t>M000373638</t>
  </si>
  <si>
    <t>RGT AIRP M000373638 13/02/2025</t>
  </si>
  <si>
    <t>62025021300099466</t>
  </si>
  <si>
    <t>2290195262545</t>
  </si>
  <si>
    <t>M000371626</t>
  </si>
  <si>
    <t>RGT AIRP M000371626 13/02/2025</t>
  </si>
  <si>
    <t>62025021300242904</t>
  </si>
  <si>
    <t>M000371184</t>
  </si>
  <si>
    <t>RGT AIRP M000371184 13/02/2025</t>
  </si>
  <si>
    <t>62025021300261091</t>
  </si>
  <si>
    <t>M000371627</t>
  </si>
  <si>
    <t>RGT AIRP M000371627 13/02/2025</t>
  </si>
  <si>
    <t>62025021300261785</t>
  </si>
  <si>
    <t>M000371185</t>
  </si>
  <si>
    <t>RGT AIRP M000371185 13/02/2025</t>
  </si>
  <si>
    <t>62025021300339753</t>
  </si>
  <si>
    <t>2290195907093</t>
  </si>
  <si>
    <t>M000370795</t>
  </si>
  <si>
    <t>RGT AIRP M000370795 13/02/2025</t>
  </si>
  <si>
    <t>62025021300476358</t>
  </si>
  <si>
    <t>2290195010088</t>
  </si>
  <si>
    <t>M000370573</t>
  </si>
  <si>
    <t>RGT AIRP M000370573 13/02/2025</t>
  </si>
  <si>
    <t>62025021300501107</t>
  </si>
  <si>
    <t>M000372452</t>
  </si>
  <si>
    <t>RGT AIRP M000372452 13/02/2025</t>
  </si>
  <si>
    <t>62025021300571594</t>
  </si>
  <si>
    <t>M000371382</t>
  </si>
  <si>
    <t>RGT AIRP M000371382 13/02/2025</t>
  </si>
  <si>
    <t>72025021300004741</t>
  </si>
  <si>
    <t>M000373609</t>
  </si>
  <si>
    <t>RGT AIRP M000373609 13/02/2025</t>
  </si>
  <si>
    <t>72025021300061205</t>
  </si>
  <si>
    <t>M000372984</t>
  </si>
  <si>
    <t>RGT AIRP M000372984 13/02/2025</t>
  </si>
  <si>
    <t>72025021300121493</t>
  </si>
  <si>
    <t>A0008198</t>
  </si>
  <si>
    <t>CEG AKPAO-OGOU/DATA</t>
  </si>
  <si>
    <t>M000371486</t>
  </si>
  <si>
    <t>RGT AIRP M000371486 13/02/2025</t>
  </si>
  <si>
    <t>72025021300122000</t>
  </si>
  <si>
    <t>M000371176</t>
  </si>
  <si>
    <t>RGT AIRP M000371176 13/02/2025</t>
  </si>
  <si>
    <t>72025021300140795</t>
  </si>
  <si>
    <t>M000373450</t>
  </si>
  <si>
    <t>RGT AIRP M000373450 13/02/2025</t>
  </si>
  <si>
    <t>72025021300161314</t>
  </si>
  <si>
    <t>M000373841</t>
  </si>
  <si>
    <t>RGT AIRP M000373841 13/02/2025</t>
  </si>
  <si>
    <t>72025021300172068</t>
  </si>
  <si>
    <t>M000373920</t>
  </si>
  <si>
    <t>RGT AIRP M000373920 13/02/2025</t>
  </si>
  <si>
    <t>72025021300175851</t>
  </si>
  <si>
    <t>M000370355</t>
  </si>
  <si>
    <t>RGT AIRP M000370355 13/02/2025</t>
  </si>
  <si>
    <t>72025021300240976</t>
  </si>
  <si>
    <t>2290164876216</t>
  </si>
  <si>
    <t>A0005484</t>
  </si>
  <si>
    <t>DDS ALIBORI</t>
  </si>
  <si>
    <t>M000370792</t>
  </si>
  <si>
    <t>RGT AIRP M000370792 13/02/2025</t>
  </si>
  <si>
    <t>82025021300078628</t>
  </si>
  <si>
    <t>M000373816</t>
  </si>
  <si>
    <t>RGT AIRP M000373816 13/02/2025</t>
  </si>
  <si>
    <t>82025021300117597</t>
  </si>
  <si>
    <t>M000372763</t>
  </si>
  <si>
    <t>RGT AIRP M000372763 13/02/2025</t>
  </si>
  <si>
    <t>82025021300123869</t>
  </si>
  <si>
    <t>M000373492</t>
  </si>
  <si>
    <t>RGT AIRP M000373492 13/02/2025</t>
  </si>
  <si>
    <t>82025021300139997</t>
  </si>
  <si>
    <t>2290163217476</t>
  </si>
  <si>
    <t>A0005628</t>
  </si>
  <si>
    <t>SOCIETE INVEST FIESTA SARL</t>
  </si>
  <si>
    <t>M000370824</t>
  </si>
  <si>
    <t>RGT AIRP M000370824 13/02/2025</t>
  </si>
  <si>
    <t>82025021300147454</t>
  </si>
  <si>
    <t>M000363534</t>
  </si>
  <si>
    <t>RGT AIRP M000363534 13/02/2025</t>
  </si>
  <si>
    <t>82025021300185632</t>
  </si>
  <si>
    <t>M000371305</t>
  </si>
  <si>
    <t>RGT AIRP M000371305 13/02/2025</t>
  </si>
  <si>
    <t>82025021300186042</t>
  </si>
  <si>
    <t>M000371608</t>
  </si>
  <si>
    <t>RGT AIRP M000371608 13/02/2025</t>
  </si>
  <si>
    <t>82025021300186883</t>
  </si>
  <si>
    <t>M000371567</t>
  </si>
  <si>
    <t>RGT AIRP M000371567 13/02/2025</t>
  </si>
  <si>
    <t>82025021300194292</t>
  </si>
  <si>
    <t>M000371937</t>
  </si>
  <si>
    <t>RGT AIRP M000371937 13/02/2025</t>
  </si>
  <si>
    <t>82025021300258737</t>
  </si>
  <si>
    <t>2290163092291</t>
  </si>
  <si>
    <t>M000373093</t>
  </si>
  <si>
    <t>RGT AIRP M000373093 13/02/2025</t>
  </si>
  <si>
    <t>82025021300409730</t>
  </si>
  <si>
    <t>M000371616</t>
  </si>
  <si>
    <t>RGT AIRP M000371616 13/02/2025</t>
  </si>
  <si>
    <t>82025021300430814</t>
  </si>
  <si>
    <t>M000371452</t>
  </si>
  <si>
    <t>RGT AIRP M000371452 13/02/2025</t>
  </si>
  <si>
    <t>62025021400166601</t>
  </si>
  <si>
    <t>M000373740</t>
  </si>
  <si>
    <t>RGT AIRP M000373740 14/02/2025</t>
  </si>
  <si>
    <t>62025021400181524</t>
  </si>
  <si>
    <t>M000371653</t>
  </si>
  <si>
    <t>RGT AIRP M000371653 14/02/2025</t>
  </si>
  <si>
    <t>62025021400218338</t>
  </si>
  <si>
    <t>M000371246</t>
  </si>
  <si>
    <t>RGT AIRP M000371246 14/02/2025</t>
  </si>
  <si>
    <t>62025021400251418</t>
  </si>
  <si>
    <t>M000373681</t>
  </si>
  <si>
    <t>RGT AIRP M000373681 14/02/2025</t>
  </si>
  <si>
    <t>62025021400293172</t>
  </si>
  <si>
    <t>M000374031</t>
  </si>
  <si>
    <t>RGT AIRP M000374031 14/02/2025</t>
  </si>
  <si>
    <t>62025021400295716</t>
  </si>
  <si>
    <t>M000373426</t>
  </si>
  <si>
    <t>RGT AIRP M000373426 14/02/2025</t>
  </si>
  <si>
    <t>62025021400343267</t>
  </si>
  <si>
    <t>M000370841</t>
  </si>
  <si>
    <t>RGT AIRP M000370841 14/02/2025</t>
  </si>
  <si>
    <t>62025021400356109</t>
  </si>
  <si>
    <t>2290195547077</t>
  </si>
  <si>
    <t>M000370780</t>
  </si>
  <si>
    <t>RGT AIRP M000370780 14/02/2025</t>
  </si>
  <si>
    <t>62025021400358073</t>
  </si>
  <si>
    <t>M000373463</t>
  </si>
  <si>
    <t>RGT AIRP M000373463 14/02/2025</t>
  </si>
  <si>
    <t>62025021400359229</t>
  </si>
  <si>
    <t>M000372508</t>
  </si>
  <si>
    <t>RGT AIRP M000372508 14/02/2025</t>
  </si>
  <si>
    <t>62025021400368862</t>
  </si>
  <si>
    <t>M000373796</t>
  </si>
  <si>
    <t>RGT AIRP M000373796 14/02/2025</t>
  </si>
  <si>
    <t>62025021400372263</t>
  </si>
  <si>
    <t>M000372570</t>
  </si>
  <si>
    <t>RGT AIRP M000372570 14/02/2025</t>
  </si>
  <si>
    <t>62025021400411033</t>
  </si>
  <si>
    <t>M000373354</t>
  </si>
  <si>
    <t>RGT AIRP M000373354 14/02/2025</t>
  </si>
  <si>
    <t>62025021400465433</t>
  </si>
  <si>
    <t>2290195336430</t>
  </si>
  <si>
    <t>A0009247</t>
  </si>
  <si>
    <t>CERVEAU COLLECTIF GROUPE AFRIQ</t>
  </si>
  <si>
    <t>M000373947</t>
  </si>
  <si>
    <t>RGT AIRP M000373947 14/02/2025</t>
  </si>
  <si>
    <t>62025021400467407</t>
  </si>
  <si>
    <t>M000371582</t>
  </si>
  <si>
    <t>RGT AIRP M000371582 14/02/2025</t>
  </si>
  <si>
    <t>62025021400714431</t>
  </si>
  <si>
    <t>M000370410</t>
  </si>
  <si>
    <t>RGT AIRP M000370410 14/02/2025</t>
  </si>
  <si>
    <t>72025021400072069</t>
  </si>
  <si>
    <t>M000373912</t>
  </si>
  <si>
    <t>RGT AIRP M000373912 14/02/2025</t>
  </si>
  <si>
    <t>72025021400086298</t>
  </si>
  <si>
    <t>M000371183</t>
  </si>
  <si>
    <t>RGT AIRP M000371183 14/02/2025</t>
  </si>
  <si>
    <t>72025021400271454</t>
  </si>
  <si>
    <t>M000368368</t>
  </si>
  <si>
    <t>RGT AIRP M000368368 14/02/2025</t>
  </si>
  <si>
    <t>82025021400138720</t>
  </si>
  <si>
    <t>M000371864</t>
  </si>
  <si>
    <t>RGT AIRP M000371864 14/02/2025</t>
  </si>
  <si>
    <t>82025021400169191</t>
  </si>
  <si>
    <t>M000371074</t>
  </si>
  <si>
    <t>RGT AIRP M000371074 14/02/2025</t>
  </si>
  <si>
    <t>82025021400178984</t>
  </si>
  <si>
    <t>M000373500</t>
  </si>
  <si>
    <t>RGT AIRP M000373500 14/02/2025</t>
  </si>
  <si>
    <t>82025021400273029</t>
  </si>
  <si>
    <t>M000370440</t>
  </si>
  <si>
    <t>RGT AIRP M000370440 14/02/2025</t>
  </si>
  <si>
    <t>82025021400339322</t>
  </si>
  <si>
    <t>M000371874</t>
  </si>
  <si>
    <t>RGT AIRP M000371874 14/02/2025</t>
  </si>
  <si>
    <t>62025021500255058</t>
  </si>
  <si>
    <t>2290195042537</t>
  </si>
  <si>
    <t>M000371690</t>
  </si>
  <si>
    <t>RGT AIRP M000371690 15/02/2025</t>
  </si>
  <si>
    <t>62025021500310740</t>
  </si>
  <si>
    <t>M000370662</t>
  </si>
  <si>
    <t>RGT AIRP M000370662 15/02/2025</t>
  </si>
  <si>
    <t>62025021500348517</t>
  </si>
  <si>
    <t>M000372775</t>
  </si>
  <si>
    <t>RGT AIRP M000372775 15/02/2025</t>
  </si>
  <si>
    <t>62025021500637645</t>
  </si>
  <si>
    <t>M000370344</t>
  </si>
  <si>
    <t>RGT AIRP M000370344 15/02/2025</t>
  </si>
  <si>
    <t>72025021500241349</t>
  </si>
  <si>
    <t>M000373233</t>
  </si>
  <si>
    <t>RGT AIRP M000373233 15/02/2025</t>
  </si>
  <si>
    <t>62025021600446866</t>
  </si>
  <si>
    <t>M000373448</t>
  </si>
  <si>
    <t>RGT AIRP M000373448 16/02/2025</t>
  </si>
  <si>
    <t>62025021600564247</t>
  </si>
  <si>
    <t>M000372915</t>
  </si>
  <si>
    <t>RGT AIRP M000372915 16/02/2025</t>
  </si>
  <si>
    <t>72025021600195006</t>
  </si>
  <si>
    <t>M000370793</t>
  </si>
  <si>
    <t>RGT AIRP M000370793 16/02/2025</t>
  </si>
  <si>
    <t>82025021600042298</t>
  </si>
  <si>
    <t>M000373323</t>
  </si>
  <si>
    <t>RGT AIRP M000373323 16/02/2025</t>
  </si>
  <si>
    <t>62025021700119102</t>
  </si>
  <si>
    <t>M000371188</t>
  </si>
  <si>
    <t>RGT AIRP M000371188 17/02/2025</t>
  </si>
  <si>
    <t>62025021700155741</t>
  </si>
  <si>
    <t>2290145012222</t>
  </si>
  <si>
    <t>M000373803</t>
  </si>
  <si>
    <t>RGT AIRP M000373803 17/02/2025</t>
  </si>
  <si>
    <t>62025021700309659</t>
  </si>
  <si>
    <t>M000373698</t>
  </si>
  <si>
    <t>RGT AIRP M000373698 17/02/2025</t>
  </si>
  <si>
    <t>62025021700414758</t>
  </si>
  <si>
    <t>2290160667578</t>
  </si>
  <si>
    <t>A0002896</t>
  </si>
  <si>
    <t>DA SECURITE</t>
  </si>
  <si>
    <t>M000372433</t>
  </si>
  <si>
    <t>RGT AIRP M000372433 17/02/2025</t>
  </si>
  <si>
    <t>62025021700480668</t>
  </si>
  <si>
    <t>M000371947</t>
  </si>
  <si>
    <t>RGT AIRP M000371947 17/02/2025</t>
  </si>
  <si>
    <t>62025021700483830</t>
  </si>
  <si>
    <t>M000372008</t>
  </si>
  <si>
    <t>RGT AIRP M000372008 17/02/2025</t>
  </si>
  <si>
    <t>62025021700489174</t>
  </si>
  <si>
    <t>M000371265</t>
  </si>
  <si>
    <t>RGT AIRP M000371265 17/02/2025</t>
  </si>
  <si>
    <t>62025021700642995</t>
  </si>
  <si>
    <t>M000371802</t>
  </si>
  <si>
    <t>RGT AIRP M000371802 17/02/2025</t>
  </si>
  <si>
    <t>62025021700711829</t>
  </si>
  <si>
    <t>2290164151319</t>
  </si>
  <si>
    <t>M000373100</t>
  </si>
  <si>
    <t>RGT AIRP M000373100 17/02/2025</t>
  </si>
  <si>
    <t>72025021700060669</t>
  </si>
  <si>
    <t>M000371040</t>
  </si>
  <si>
    <t>RGT AIRP M000371040 17/02/2025</t>
  </si>
  <si>
    <t>72025021700086085</t>
  </si>
  <si>
    <t>M000373479</t>
  </si>
  <si>
    <t>RGT AIRP M000373479 17/02/2025</t>
  </si>
  <si>
    <t>72025021700191538</t>
  </si>
  <si>
    <t>M000372686</t>
  </si>
  <si>
    <t>RGT AIRP M000372686 17/02/2025</t>
  </si>
  <si>
    <t>72025021700226824</t>
  </si>
  <si>
    <t>M000373512</t>
  </si>
  <si>
    <t>RGT AIRP M000373512 17/02/2025</t>
  </si>
  <si>
    <t>72025021700239146</t>
  </si>
  <si>
    <t>A0009595</t>
  </si>
  <si>
    <t>GDAV ET FILS</t>
  </si>
  <si>
    <t>M000372054</t>
  </si>
  <si>
    <t>RGT AIRP M000372054 17/02/2025</t>
  </si>
  <si>
    <t>82025021700097935</t>
  </si>
  <si>
    <t>M000371377</t>
  </si>
  <si>
    <t>RGT AIRP M000371377 17/02/2025</t>
  </si>
  <si>
    <t>82025021700120083</t>
  </si>
  <si>
    <t>M000372821</t>
  </si>
  <si>
    <t>RGT AIRP M000372821 17/02/2025</t>
  </si>
  <si>
    <t>82025021700262747</t>
  </si>
  <si>
    <t>2290194906870</t>
  </si>
  <si>
    <t>M000371699</t>
  </si>
  <si>
    <t>RGT AIRP M000371699 17/02/2025</t>
  </si>
  <si>
    <t>82025021700312929</t>
  </si>
  <si>
    <t>2290195000286</t>
  </si>
  <si>
    <t>A0003241</t>
  </si>
  <si>
    <t>CABINETMAITRE VINCENT TOHOZIN</t>
  </si>
  <si>
    <t>M000370369</t>
  </si>
  <si>
    <t>RGT AIRP M000370369 17/02/2025</t>
  </si>
  <si>
    <t>82025021700344154</t>
  </si>
  <si>
    <t>M000374010</t>
  </si>
  <si>
    <t>RGT AIRP M000374010 17/02/2025</t>
  </si>
  <si>
    <t>82025021700361788</t>
  </si>
  <si>
    <t>M000373675</t>
  </si>
  <si>
    <t>RGT AIRP M000373675 17/02/2025</t>
  </si>
  <si>
    <t>82025021700366439</t>
  </si>
  <si>
    <t>M000371788</t>
  </si>
  <si>
    <t>RGT AIRP M000371788 17/02/2025</t>
  </si>
  <si>
    <t>82025021700467149</t>
  </si>
  <si>
    <t>M000372590</t>
  </si>
  <si>
    <t>RGT AIRP M000372590 17/02/2025</t>
  </si>
  <si>
    <t>82025021700510281</t>
  </si>
  <si>
    <t>2290195824318</t>
  </si>
  <si>
    <t>M000373026</t>
  </si>
  <si>
    <t>RGT AIRP M000373026 17/02/2025</t>
  </si>
  <si>
    <t>62025021800005625</t>
  </si>
  <si>
    <t>2290155551213</t>
  </si>
  <si>
    <t>M000372041</t>
  </si>
  <si>
    <t>RGT AIRP M000372041 18/02/2025</t>
  </si>
  <si>
    <t>62025021800111784</t>
  </si>
  <si>
    <t>M000373036</t>
  </si>
  <si>
    <t>RGT AIRP M000373036 18/02/2025</t>
  </si>
  <si>
    <t>62025021800136248</t>
  </si>
  <si>
    <t>M000371459</t>
  </si>
  <si>
    <t>RGT AIRP M000371459 18/02/2025</t>
  </si>
  <si>
    <t>62025021800137849</t>
  </si>
  <si>
    <t>M000371468</t>
  </si>
  <si>
    <t>RGT AIRP M000371468 18/02/2025</t>
  </si>
  <si>
    <t>62025021800141934</t>
  </si>
  <si>
    <t>M000371647</t>
  </si>
  <si>
    <t>RGT AIRP M000371647 18/02/2025</t>
  </si>
  <si>
    <t>62025021800188019</t>
  </si>
  <si>
    <t>M000373085</t>
  </si>
  <si>
    <t>RGT AIRP M000373085 18/02/2025</t>
  </si>
  <si>
    <t>62025021800188715</t>
  </si>
  <si>
    <t>M000373253</t>
  </si>
  <si>
    <t>RGT AIRP M000373253 18/02/2025</t>
  </si>
  <si>
    <t>62025021800200952</t>
  </si>
  <si>
    <t>M000373128</t>
  </si>
  <si>
    <t>RGT AIRP M000373128 18/02/2025</t>
  </si>
  <si>
    <t>62025021800251363</t>
  </si>
  <si>
    <t>M000372497</t>
  </si>
  <si>
    <t>RGT AIRP M000372497 18/02/2025</t>
  </si>
  <si>
    <t>62025021800269874</t>
  </si>
  <si>
    <t>2290194546821</t>
  </si>
  <si>
    <t>M000371760</t>
  </si>
  <si>
    <t>RGT AIRP M000371760 18/02/2025</t>
  </si>
  <si>
    <t>62025021800320783</t>
  </si>
  <si>
    <t>M000373097</t>
  </si>
  <si>
    <t>RGT AIRP M000373097 18/02/2025</t>
  </si>
  <si>
    <t>62025021800323851</t>
  </si>
  <si>
    <t>M000371977</t>
  </si>
  <si>
    <t>RGT AIRP M000371977 18/02/2025</t>
  </si>
  <si>
    <t>62025021800358556</t>
  </si>
  <si>
    <t>M000372504</t>
  </si>
  <si>
    <t>RGT AIRP M000372504 18/02/2025</t>
  </si>
  <si>
    <t>62025021800362717</t>
  </si>
  <si>
    <t>M000373521</t>
  </si>
  <si>
    <t>RGT AIRP M000373521 18/02/2025</t>
  </si>
  <si>
    <t>62025021800384992</t>
  </si>
  <si>
    <t>M000372742</t>
  </si>
  <si>
    <t>RGT AIRP M000372742 18/02/2025</t>
  </si>
  <si>
    <t>62025021800404367</t>
  </si>
  <si>
    <t>M000371609</t>
  </si>
  <si>
    <t>RGT AIRP M000371609 18/02/2025</t>
  </si>
  <si>
    <t>62025021800404877</t>
  </si>
  <si>
    <t>M000371717</t>
  </si>
  <si>
    <t>RGT AIRP M000371717 18/02/2025</t>
  </si>
  <si>
    <t>62025021800443787</t>
  </si>
  <si>
    <t>2290195118271</t>
  </si>
  <si>
    <t>A0003496</t>
  </si>
  <si>
    <t>KODAMA-SERVICES SARL</t>
  </si>
  <si>
    <t>M000370432</t>
  </si>
  <si>
    <t>RGT AIRP M000370432 18/02/2025</t>
  </si>
  <si>
    <t>62025021800475858</t>
  </si>
  <si>
    <t>M000370449</t>
  </si>
  <si>
    <t>RGT AIRP M000370449 18/02/2025</t>
  </si>
  <si>
    <t>72025021800000805</t>
  </si>
  <si>
    <t>2290194267076</t>
  </si>
  <si>
    <t>M000373414</t>
  </si>
  <si>
    <t>RGT AIRP M000373414 18/02/2025</t>
  </si>
  <si>
    <t>72025021800081463</t>
  </si>
  <si>
    <t>M000374071</t>
  </si>
  <si>
    <t>RGT AIRP M000374071 18/02/2025</t>
  </si>
  <si>
    <t>72025021800098531</t>
  </si>
  <si>
    <t>M000371104</t>
  </si>
  <si>
    <t>RGT AIRP M000371104 18/02/2025</t>
  </si>
  <si>
    <t>72025021800098879</t>
  </si>
  <si>
    <t>M000371566</t>
  </si>
  <si>
    <t>RGT AIRP M000371566 18/02/2025</t>
  </si>
  <si>
    <t>72025021800125138</t>
  </si>
  <si>
    <t>M000373639</t>
  </si>
  <si>
    <t>RGT AIRP M000373639 18/02/2025</t>
  </si>
  <si>
    <t>72025021800137788</t>
  </si>
  <si>
    <t>M000371967</t>
  </si>
  <si>
    <t>RGT AIRP M000371967 18/02/2025</t>
  </si>
  <si>
    <t>72025021800186218</t>
  </si>
  <si>
    <t>M000372633</t>
  </si>
  <si>
    <t>RGT AIRP M000372633 18/02/2025</t>
  </si>
  <si>
    <t>72025021800231674</t>
  </si>
  <si>
    <t>M000370000</t>
  </si>
  <si>
    <t>RGT AIRP M000370000 18/02/2025</t>
  </si>
  <si>
    <t>72025021800242615</t>
  </si>
  <si>
    <t>2290199313623</t>
  </si>
  <si>
    <t>M000373473</t>
  </si>
  <si>
    <t>RGT AIRP M000373473 18/02/2025</t>
  </si>
  <si>
    <t>72025021800288434</t>
  </si>
  <si>
    <t>2290195570508</t>
  </si>
  <si>
    <t>M000371662</t>
  </si>
  <si>
    <t>RGT AIRP M000371662 18/02/2025</t>
  </si>
  <si>
    <t>82025021800001153</t>
  </si>
  <si>
    <t>M000371321</t>
  </si>
  <si>
    <t>RGT AIRP M000371321 18/02/2025</t>
  </si>
  <si>
    <t>82025021800143827</t>
  </si>
  <si>
    <t>M000373914</t>
  </si>
  <si>
    <t>RGT AIRP M000373914 18/02/2025</t>
  </si>
  <si>
    <t>82025021800144985</t>
  </si>
  <si>
    <t>M000371241</t>
  </si>
  <si>
    <t>RGT AIRP M000371241 18/02/2025</t>
  </si>
  <si>
    <t>82025021800184511</t>
  </si>
  <si>
    <t>M000372770</t>
  </si>
  <si>
    <t>RGT AIRP M000372770 18/02/2025</t>
  </si>
  <si>
    <t>82025021800217939</t>
  </si>
  <si>
    <t>2290195321227</t>
  </si>
  <si>
    <t>M000372824</t>
  </si>
  <si>
    <t>RGT AIRP M000372824 18/02/2025</t>
  </si>
  <si>
    <t>82025021800314227</t>
  </si>
  <si>
    <t>M000371056</t>
  </si>
  <si>
    <t>RGT AIRP M000371056 18/02/2025</t>
  </si>
  <si>
    <t>82025021800356161</t>
  </si>
  <si>
    <t>M000371380</t>
  </si>
  <si>
    <t>RGT AIRP M000371380 18/02/2025</t>
  </si>
  <si>
    <t>62025021900048259</t>
  </si>
  <si>
    <t>M000371591</t>
  </si>
  <si>
    <t>RGT AIRP M000371591 19/02/2025</t>
  </si>
  <si>
    <t>62025021900069610</t>
  </si>
  <si>
    <t>M000373396</t>
  </si>
  <si>
    <t>RGT AIRP M000373396 19/02/2025</t>
  </si>
  <si>
    <t>62025021900127384</t>
  </si>
  <si>
    <t>M000370549</t>
  </si>
  <si>
    <t>RGT AIRP M000370549 19/02/2025</t>
  </si>
  <si>
    <t>62025021900177914</t>
  </si>
  <si>
    <t>M000370590</t>
  </si>
  <si>
    <t>RGT AIRP M000370590 19/02/2025</t>
  </si>
  <si>
    <t>62025021900185209</t>
  </si>
  <si>
    <t>M000373075</t>
  </si>
  <si>
    <t>RGT AIRP M000373075 19/02/2025</t>
  </si>
  <si>
    <t>62025021900210278</t>
  </si>
  <si>
    <t>M000371453</t>
  </si>
  <si>
    <t>RGT AIRP M000371453 19/02/2025</t>
  </si>
  <si>
    <t>62025021900229945</t>
  </si>
  <si>
    <t>2290195962467</t>
  </si>
  <si>
    <t>M000370331</t>
  </si>
  <si>
    <t>RGT AIRP M000370331 19/02/2025</t>
  </si>
  <si>
    <t>62025021900232391</t>
  </si>
  <si>
    <t>M000371542</t>
  </si>
  <si>
    <t>RGT AIRP M000371542 19/02/2025</t>
  </si>
  <si>
    <t>62025021900282761</t>
  </si>
  <si>
    <t>M000373170</t>
  </si>
  <si>
    <t>RGT AIRP M000373170 19/02/2025</t>
  </si>
  <si>
    <t>62025021900326729</t>
  </si>
  <si>
    <t>M000370477</t>
  </si>
  <si>
    <t>RGT AIRP M000370477 19/02/2025</t>
  </si>
  <si>
    <t>62025021900375850</t>
  </si>
  <si>
    <t>M000373929</t>
  </si>
  <si>
    <t>RGT AIRP M000373929 19/02/2025</t>
  </si>
  <si>
    <t>62025021900438709</t>
  </si>
  <si>
    <t>M000367190</t>
  </si>
  <si>
    <t>RGT AIRP M000367190 19/02/2025</t>
  </si>
  <si>
    <t>62025021900465383</t>
  </si>
  <si>
    <t>M000370335</t>
  </si>
  <si>
    <t>RGT AIRP M000370335 19/02/2025</t>
  </si>
  <si>
    <t>62025021900472731</t>
  </si>
  <si>
    <t>M000372652</t>
  </si>
  <si>
    <t>RGT AIRP M000372652 19/02/2025</t>
  </si>
  <si>
    <t>62025021900476070</t>
  </si>
  <si>
    <t>2290195151984</t>
  </si>
  <si>
    <t>M000370562</t>
  </si>
  <si>
    <t>RGT AIRP M000370562 19/02/2025</t>
  </si>
  <si>
    <t>62025021900477788</t>
  </si>
  <si>
    <t>M000372533</t>
  </si>
  <si>
    <t>RGT AIRP M000372533 19/02/2025</t>
  </si>
  <si>
    <t>62025021900554093</t>
  </si>
  <si>
    <t>M000372605</t>
  </si>
  <si>
    <t>RGT AIRP M000372605 19/02/2025</t>
  </si>
  <si>
    <t>62025021900628067</t>
  </si>
  <si>
    <t>M000370275</t>
  </si>
  <si>
    <t>RGT AIRP M000370275 19/02/2025</t>
  </si>
  <si>
    <t>62025021900667907</t>
  </si>
  <si>
    <t>M000373555</t>
  </si>
  <si>
    <t>RGT AIRP M000373555 19/02/2025</t>
  </si>
  <si>
    <t>72025021900124533</t>
  </si>
  <si>
    <t>M000372529</t>
  </si>
  <si>
    <t>RGT AIRP M000372529 19/02/2025</t>
  </si>
  <si>
    <t>72025021900179634</t>
  </si>
  <si>
    <t>M000373040</t>
  </si>
  <si>
    <t>RGT AIRP M000373040 19/02/2025</t>
  </si>
  <si>
    <t>72025021900202398</t>
  </si>
  <si>
    <t>M000371339</t>
  </si>
  <si>
    <t>RGT AIRP M000371339 19/02/2025</t>
  </si>
  <si>
    <t>82025021900142096</t>
  </si>
  <si>
    <t>M000373878</t>
  </si>
  <si>
    <t>RGT AIRP M000373878 19/02/2025</t>
  </si>
  <si>
    <t>82025021900162684</t>
  </si>
  <si>
    <t>M000372012</t>
  </si>
  <si>
    <t>RGT AIRP M000372012 19/02/2025</t>
  </si>
  <si>
    <t>82025021900170463</t>
  </si>
  <si>
    <t>A0007322</t>
  </si>
  <si>
    <t>ETS EXPONENTIELLE</t>
  </si>
  <si>
    <t>M000369081</t>
  </si>
  <si>
    <t>RGT AIRP M000369081 19/02/2025</t>
  </si>
  <si>
    <t>82025021900245258</t>
  </si>
  <si>
    <t>M000371402</t>
  </si>
  <si>
    <t>RGT AIRP M000371402 19/02/2025</t>
  </si>
  <si>
    <t>82025021900274987</t>
  </si>
  <si>
    <t>M000373101</t>
  </si>
  <si>
    <t>RGT AIRP M000373101 19/02/2025</t>
  </si>
  <si>
    <t>82025021900288044</t>
  </si>
  <si>
    <t>M000370995</t>
  </si>
  <si>
    <t>RGT AIRP M000370995 19/02/2025</t>
  </si>
  <si>
    <t>82025021900385118</t>
  </si>
  <si>
    <t>M000372243</t>
  </si>
  <si>
    <t>RGT AIRP M000372243 19/02/2025</t>
  </si>
  <si>
    <t>82025021900467918</t>
  </si>
  <si>
    <t>M000370997</t>
  </si>
  <si>
    <t>RGT AIRP M000370997 19/02/2025</t>
  </si>
  <si>
    <t>82025021900470495</t>
  </si>
  <si>
    <t>M000371435</t>
  </si>
  <si>
    <t>RGT AIRP M000371435 19/02/2025</t>
  </si>
  <si>
    <t>62025022000018371</t>
  </si>
  <si>
    <t>M000369226</t>
  </si>
  <si>
    <t>RGT AIRP M000369226 20/02/2025</t>
  </si>
  <si>
    <t>62025022000018510</t>
  </si>
  <si>
    <t>M000371393</t>
  </si>
  <si>
    <t>RGT AIRP M000371393 20/02/2025</t>
  </si>
  <si>
    <t>62025022000077796</t>
  </si>
  <si>
    <t>M000370990</t>
  </si>
  <si>
    <t>RGT AIRP M000370990 20/02/2025</t>
  </si>
  <si>
    <t>62025022000090851</t>
  </si>
  <si>
    <t>M000371700</t>
  </si>
  <si>
    <t>RGT AIRP M000371700 20/02/2025</t>
  </si>
  <si>
    <t>62025022000116920</t>
  </si>
  <si>
    <t>M000372741</t>
  </si>
  <si>
    <t>RGT AIRP M000372741 20/02/2025</t>
  </si>
  <si>
    <t>62025022000169785</t>
  </si>
  <si>
    <t>M000371479</t>
  </si>
  <si>
    <t>RGT AIRP M000371479 20/02/2025</t>
  </si>
  <si>
    <t>62025022000170138</t>
  </si>
  <si>
    <t>M000371146</t>
  </si>
  <si>
    <t>RGT AIRP M000371146 20/02/2025</t>
  </si>
  <si>
    <t>62025022000170655</t>
  </si>
  <si>
    <t>M000371144</t>
  </si>
  <si>
    <t>RGT AIRP M000371144 20/02/2025</t>
  </si>
  <si>
    <t>62025022000179428</t>
  </si>
  <si>
    <t>M000370781</t>
  </si>
  <si>
    <t>RGT AIRP M000370781 20/02/2025</t>
  </si>
  <si>
    <t>62025022000180205</t>
  </si>
  <si>
    <t>M000372897</t>
  </si>
  <si>
    <t>RGT AIRP M000372897 20/02/2025</t>
  </si>
  <si>
    <t>62025022000184548</t>
  </si>
  <si>
    <t>M000373749</t>
  </si>
  <si>
    <t>RGT AIRP M000373749 20/02/2025</t>
  </si>
  <si>
    <t>62025022000208395</t>
  </si>
  <si>
    <t>M000371702</t>
  </si>
  <si>
    <t>RGT AIRP M000371702 20/02/2025</t>
  </si>
  <si>
    <t>62025022000288782</t>
  </si>
  <si>
    <t>PORTEO BTP BENIN SA/ DP INA ÃÂ</t>
  </si>
  <si>
    <t>M000374146</t>
  </si>
  <si>
    <t>RGT AIRP M000374146 20/02/2025</t>
  </si>
  <si>
    <t>62025022000357372</t>
  </si>
  <si>
    <t>M000371257</t>
  </si>
  <si>
    <t>RGT AIRP M000371257 20/02/2025</t>
  </si>
  <si>
    <t>62025022000404790</t>
  </si>
  <si>
    <t>M000372976</t>
  </si>
  <si>
    <t>RGT AIRP M000372976 20/02/2025</t>
  </si>
  <si>
    <t>62025022000433851</t>
  </si>
  <si>
    <t>M000372512</t>
  </si>
  <si>
    <t>RGT AIRP M000372512 20/02/2025</t>
  </si>
  <si>
    <t>62025022000580439</t>
  </si>
  <si>
    <t>2290195066283</t>
  </si>
  <si>
    <t>M000371933</t>
  </si>
  <si>
    <t>RGT AIRP M000371933 20/02/2025</t>
  </si>
  <si>
    <t>62025022000615680</t>
  </si>
  <si>
    <t>M000372678</t>
  </si>
  <si>
    <t>RGT AIRP M000372678 20/02/2025</t>
  </si>
  <si>
    <t>72025022000039567</t>
  </si>
  <si>
    <t>M000370915</t>
  </si>
  <si>
    <t>RGT AIRP M000370915 20/02/2025</t>
  </si>
  <si>
    <t>72025022000077503</t>
  </si>
  <si>
    <t>M000373309</t>
  </si>
  <si>
    <t>RGT AIRP M000373309 20/02/2025</t>
  </si>
  <si>
    <t>72025022000142501</t>
  </si>
  <si>
    <t>M000373973</t>
  </si>
  <si>
    <t>RGT AIRP M000373973 20/02/2025</t>
  </si>
  <si>
    <t>72025022000216339</t>
  </si>
  <si>
    <t>M000373984</t>
  </si>
  <si>
    <t>RGT AIRP M000373984 20/02/2025</t>
  </si>
  <si>
    <t>72025022000216984</t>
  </si>
  <si>
    <t>M000371044</t>
  </si>
  <si>
    <t>RGT AIRP M000371044 20/02/2025</t>
  </si>
  <si>
    <t>72025022000221034</t>
  </si>
  <si>
    <t>M000370183</t>
  </si>
  <si>
    <t>RGT AIRP M000370183 20/02/2025</t>
  </si>
  <si>
    <t>72025022000227924</t>
  </si>
  <si>
    <t>M000371059</t>
  </si>
  <si>
    <t>RGT AIRP M000371059 20/02/2025</t>
  </si>
  <si>
    <t>72025022000241867</t>
  </si>
  <si>
    <t>M000373700</t>
  </si>
  <si>
    <t>RGT AIRP M000373700 20/02/2025</t>
  </si>
  <si>
    <t>82025022000024013</t>
  </si>
  <si>
    <t>A0007624</t>
  </si>
  <si>
    <t>PHARMAQUICK  BY ABT SA</t>
  </si>
  <si>
    <t>M000373423</t>
  </si>
  <si>
    <t>RGT AIRP M000373423 20/02/2025</t>
  </si>
  <si>
    <t>82025022000046165</t>
  </si>
  <si>
    <t>2290199914342</t>
  </si>
  <si>
    <t>M000373000</t>
  </si>
  <si>
    <t>RGT AIRP M000373000 20/02/2025</t>
  </si>
  <si>
    <t>82025022000060488</t>
  </si>
  <si>
    <t>M000370847</t>
  </si>
  <si>
    <t>RGT AIRP M000370847 20/02/2025</t>
  </si>
  <si>
    <t>82025022000072341</t>
  </si>
  <si>
    <t>M000371272</t>
  </si>
  <si>
    <t>RGT AIRP M000371272 20/02/2025</t>
  </si>
  <si>
    <t>82025022000078401</t>
  </si>
  <si>
    <t>M000372566</t>
  </si>
  <si>
    <t>RGT AIRP M000372566 20/02/2025</t>
  </si>
  <si>
    <t>82025022000098203</t>
  </si>
  <si>
    <t>M000370571</t>
  </si>
  <si>
    <t>RGT AIRP M000370571 20/02/2025</t>
  </si>
  <si>
    <t>82025022000152618</t>
  </si>
  <si>
    <t>M000370385</t>
  </si>
  <si>
    <t>RGT AIRP M000370385 20/02/2025</t>
  </si>
  <si>
    <t>82025022000199734</t>
  </si>
  <si>
    <t>M000368902</t>
  </si>
  <si>
    <t>RGT AIRP M000368902 20/02/2025</t>
  </si>
  <si>
    <t>82025022000243574</t>
  </si>
  <si>
    <t>M000368434</t>
  </si>
  <si>
    <t>RGT AIRP M000368434 20/02/2025</t>
  </si>
  <si>
    <t>82025022000286479</t>
  </si>
  <si>
    <t>M000373528</t>
  </si>
  <si>
    <t>RGT AIRP M000373528 20/02/2025</t>
  </si>
  <si>
    <t>82025022000287397</t>
  </si>
  <si>
    <t>M000373129</t>
  </si>
  <si>
    <t>RGT AIRP M000373129 20/02/2025</t>
  </si>
  <si>
    <t>82025022000322826</t>
  </si>
  <si>
    <t>M000372914</t>
  </si>
  <si>
    <t>RGT AIRP M000372914 20/02/2025</t>
  </si>
  <si>
    <t>82025022000408739</t>
  </si>
  <si>
    <t>M000370651</t>
  </si>
  <si>
    <t>RGT AIRP M000370651 20/02/2025</t>
  </si>
  <si>
    <t>62025022100071289</t>
  </si>
  <si>
    <t>2290194798194</t>
  </si>
  <si>
    <t>M000372953</t>
  </si>
  <si>
    <t>RGT AIRP M000372953 21/02/2025</t>
  </si>
  <si>
    <t>62025022100112873</t>
  </si>
  <si>
    <t>M000372540</t>
  </si>
  <si>
    <t>RGT AIRP M000372540 21/02/2025</t>
  </si>
  <si>
    <t>62025022100128062</t>
  </si>
  <si>
    <t>M000372531</t>
  </si>
  <si>
    <t>RGT AIRP M000372531 21/02/2025</t>
  </si>
  <si>
    <t>62025022100157513</t>
  </si>
  <si>
    <t>M000372751</t>
  </si>
  <si>
    <t>RGT AIRP M000372751 21/02/2025</t>
  </si>
  <si>
    <t>62025022100162822</t>
  </si>
  <si>
    <t>M000372325</t>
  </si>
  <si>
    <t>RGT AIRP M000372325 21/02/2025</t>
  </si>
  <si>
    <t>62025022100163507</t>
  </si>
  <si>
    <t>M000372571</t>
  </si>
  <si>
    <t>RGT AIRP M000372571 21/02/2025</t>
  </si>
  <si>
    <t>62025022100163996</t>
  </si>
  <si>
    <t>M000372572</t>
  </si>
  <si>
    <t>RGT AIRP M000372572 21/02/2025</t>
  </si>
  <si>
    <t>62025022100208148</t>
  </si>
  <si>
    <t>2290158012836</t>
  </si>
  <si>
    <t>M000372907</t>
  </si>
  <si>
    <t>RGT AIRP M000372907 21/02/2025</t>
  </si>
  <si>
    <t>62025022100241597</t>
  </si>
  <si>
    <t>M000368416</t>
  </si>
  <si>
    <t>RGT AIRP M000368416 21/02/2025</t>
  </si>
  <si>
    <t>62025022100373058</t>
  </si>
  <si>
    <t>M000371929</t>
  </si>
  <si>
    <t>RGT AIRP M000371929 21/02/2025</t>
  </si>
  <si>
    <t>62025022100543738</t>
  </si>
  <si>
    <t>M000373845</t>
  </si>
  <si>
    <t>RGT AIRP M000373845 21/02/2025</t>
  </si>
  <si>
    <t>62025022100578590</t>
  </si>
  <si>
    <t>M000373939</t>
  </si>
  <si>
    <t>RGT AIRP M000373939 21/02/2025</t>
  </si>
  <si>
    <t>62025022100663245</t>
  </si>
  <si>
    <t>M000370960</t>
  </si>
  <si>
    <t>RGT AIRP M000370960 21/02/2025</t>
  </si>
  <si>
    <t>62025022100669565</t>
  </si>
  <si>
    <t>M000374054</t>
  </si>
  <si>
    <t>RGT AIRP M000374054 21/02/2025</t>
  </si>
  <si>
    <t>72025022100044828</t>
  </si>
  <si>
    <t>M000368285</t>
  </si>
  <si>
    <t>RGT AIRP M000368285 21/02/2025</t>
  </si>
  <si>
    <t>72025022100118328</t>
  </si>
  <si>
    <t>M000373779</t>
  </si>
  <si>
    <t>RGT AIRP M000373779 21/02/2025</t>
  </si>
  <si>
    <t>82025022100086345</t>
  </si>
  <si>
    <t>2290165941444</t>
  </si>
  <si>
    <t>M000373207</t>
  </si>
  <si>
    <t>RGT AIRP M000373207 21/02/2025</t>
  </si>
  <si>
    <t>82025022100152667</t>
  </si>
  <si>
    <t>M000370791</t>
  </si>
  <si>
    <t>RGT AIRP M000370791 21/02/2025</t>
  </si>
  <si>
    <t>82025022100163181</t>
  </si>
  <si>
    <t>M000371726</t>
  </si>
  <si>
    <t>RGT AIRP M000371726 21/02/2025</t>
  </si>
  <si>
    <t>82025022100196701</t>
  </si>
  <si>
    <t>M000374084</t>
  </si>
  <si>
    <t>RGT AIRP M000374084 21/02/2025</t>
  </si>
  <si>
    <t>62025022200210136</t>
  </si>
  <si>
    <t>M000374045</t>
  </si>
  <si>
    <t>RGT AIRP M000374045 22/02/2025</t>
  </si>
  <si>
    <t>62025022200233989</t>
  </si>
  <si>
    <t>M000373084</t>
  </si>
  <si>
    <t>RGT AIRP M000373084 22/02/2025</t>
  </si>
  <si>
    <t>62025022200307231</t>
  </si>
  <si>
    <t>M000371981</t>
  </si>
  <si>
    <t>RGT AIRP M000371981 22/02/2025</t>
  </si>
  <si>
    <t>62025022200388308</t>
  </si>
  <si>
    <t>M000373693</t>
  </si>
  <si>
    <t>RGT AIRP M000373693 22/02/2025</t>
  </si>
  <si>
    <t>62025022200430603</t>
  </si>
  <si>
    <t>M000373096</t>
  </si>
  <si>
    <t>RGT AIRP M000373096 22/02/2025</t>
  </si>
  <si>
    <t>62025022200637034</t>
  </si>
  <si>
    <t>M000373535</t>
  </si>
  <si>
    <t>RGT AIRP M000373535 22/02/2025</t>
  </si>
  <si>
    <t>72025022200128812</t>
  </si>
  <si>
    <t>M000374002</t>
  </si>
  <si>
    <t>RGT AIRP M000374002 22/02/2025</t>
  </si>
  <si>
    <t>82025022200177456</t>
  </si>
  <si>
    <t>M000372744</t>
  </si>
  <si>
    <t>RGT AIRP M000372744 22/02/2025</t>
  </si>
  <si>
    <t>62025022300451525</t>
  </si>
  <si>
    <t>M000373487</t>
  </si>
  <si>
    <t>RGT AIRP M000373487 23/02/2025</t>
  </si>
  <si>
    <t>72025022300132514</t>
  </si>
  <si>
    <t>M000373955</t>
  </si>
  <si>
    <t>RGT AIRP M000373955 23/02/2025</t>
  </si>
  <si>
    <t>72025022300207430</t>
  </si>
  <si>
    <t>M000364954</t>
  </si>
  <si>
    <t>RGT AIRP M000364954 23/02/2025</t>
  </si>
  <si>
    <t>72025022300238759</t>
  </si>
  <si>
    <t>M000373615</t>
  </si>
  <si>
    <t>RGT AIRP M000373615 23/02/2025</t>
  </si>
  <si>
    <t>72025022300239228</t>
  </si>
  <si>
    <t>2290165677207</t>
  </si>
  <si>
    <t>M000371103</t>
  </si>
  <si>
    <t>RGT AIRP M000371103 23/02/2025</t>
  </si>
  <si>
    <t>62025022400075690</t>
  </si>
  <si>
    <t>M000366276</t>
  </si>
  <si>
    <t>RGT AIRP M000366276 24/02/2025</t>
  </si>
  <si>
    <t>62025022400087058</t>
  </si>
  <si>
    <t>M000372630</t>
  </si>
  <si>
    <t>RGT AIRP M000372630 24/02/2025</t>
  </si>
  <si>
    <t>62025022400102686</t>
  </si>
  <si>
    <t>2290198998097</t>
  </si>
  <si>
    <t>A0009248</t>
  </si>
  <si>
    <t>EBAS</t>
  </si>
  <si>
    <t>M000367513</t>
  </si>
  <si>
    <t>RGT AIRP M000367513 24/02/2025</t>
  </si>
  <si>
    <t>62025022400106005</t>
  </si>
  <si>
    <t>M000369164</t>
  </si>
  <si>
    <t>RGT AIRP M000369164 24/02/2025</t>
  </si>
  <si>
    <t>62025022400129933</t>
  </si>
  <si>
    <t>M000373943</t>
  </si>
  <si>
    <t>RGT AIRP M000373943 24/02/2025</t>
  </si>
  <si>
    <t>62025022400241322</t>
  </si>
  <si>
    <t>M000370629</t>
  </si>
  <si>
    <t>RGT AIRP M000370629 24/02/2025</t>
  </si>
  <si>
    <t>62025022400255689</t>
  </si>
  <si>
    <t>M000373185</t>
  </si>
  <si>
    <t>RGT AIRP M000373185 24/02/2025</t>
  </si>
  <si>
    <t>62025022400431515</t>
  </si>
  <si>
    <t>2290165208101</t>
  </si>
  <si>
    <t>M000371819</t>
  </si>
  <si>
    <t>RGT AIRP M000371819 24/02/2025</t>
  </si>
  <si>
    <t>62025022400487093</t>
  </si>
  <si>
    <t>2290195184567</t>
  </si>
  <si>
    <t>M000373570</t>
  </si>
  <si>
    <t>RGT AIRP M000373570 24/02/2025</t>
  </si>
  <si>
    <t>62025022400563243</t>
  </si>
  <si>
    <t>M000373226</t>
  </si>
  <si>
    <t>RGT AIRP M000373226 24/02/2025</t>
  </si>
  <si>
    <t>62025022400672511</t>
  </si>
  <si>
    <t>M000370659</t>
  </si>
  <si>
    <t>RGT AIRP M000370659 24/02/2025</t>
  </si>
  <si>
    <t>62025022400673386</t>
  </si>
  <si>
    <t>M000373616</t>
  </si>
  <si>
    <t>RGT AIRP M000373616 24/02/2025</t>
  </si>
  <si>
    <t>72025022400036673</t>
  </si>
  <si>
    <t>M000372933</t>
  </si>
  <si>
    <t>RGT AIRP M000372933 24/02/2025</t>
  </si>
  <si>
    <t>72025022400204954</t>
  </si>
  <si>
    <t>M000373978</t>
  </si>
  <si>
    <t>RGT AIRP M000373978 24/02/2025</t>
  </si>
  <si>
    <t>72025022400205671</t>
  </si>
  <si>
    <t>M000373896</t>
  </si>
  <si>
    <t>RGT AIRP M000373896 24/02/2025</t>
  </si>
  <si>
    <t>72025022400261553</t>
  </si>
  <si>
    <t>M000373889</t>
  </si>
  <si>
    <t>RGT AIRP M000373889 24/02/2025</t>
  </si>
  <si>
    <t>82025022400117044</t>
  </si>
  <si>
    <t>M000373989</t>
  </si>
  <si>
    <t>RGT AIRP M000373989 24/02/2025</t>
  </si>
  <si>
    <t>82025022400153489</t>
  </si>
  <si>
    <t>M000373975</t>
  </si>
  <si>
    <t>RGT AIRP M000373975 24/02/2025</t>
  </si>
  <si>
    <t>82025022400274397</t>
  </si>
  <si>
    <t>M000372342</t>
  </si>
  <si>
    <t>RGT AIRP M000372342 24/02/2025</t>
  </si>
  <si>
    <t>82025022400282929</t>
  </si>
  <si>
    <t>M000373541</t>
  </si>
  <si>
    <t>RGT AIRP M000373541 24/02/2025</t>
  </si>
  <si>
    <t>82025022400297220</t>
  </si>
  <si>
    <t>M000373690</t>
  </si>
  <si>
    <t>RGT AIRP M000373690 24/02/2025</t>
  </si>
  <si>
    <t>62025022500071222</t>
  </si>
  <si>
    <t>M000373334</t>
  </si>
  <si>
    <t>RGT AIRP M000373334 25/02/2025</t>
  </si>
  <si>
    <t>62025022500125770</t>
  </si>
  <si>
    <t>M000371149</t>
  </si>
  <si>
    <t>RGT AIRP M000371149 25/02/2025</t>
  </si>
  <si>
    <t>62025022500160611</t>
  </si>
  <si>
    <t>M000373011</t>
  </si>
  <si>
    <t>RGT AIRP M000373011 25/02/2025</t>
  </si>
  <si>
    <t>62025022500210056</t>
  </si>
  <si>
    <t>M000373578</t>
  </si>
  <si>
    <t>RGT AIRP M000373578 25/02/2025</t>
  </si>
  <si>
    <t>62025022500301690</t>
  </si>
  <si>
    <t>M000373980</t>
  </si>
  <si>
    <t>RGT AIRP M000373980 25/02/2025</t>
  </si>
  <si>
    <t>62025022500340624</t>
  </si>
  <si>
    <t>M000373575</t>
  </si>
  <si>
    <t>RGT AIRP M000373575 25/02/2025</t>
  </si>
  <si>
    <t>62025022500342841</t>
  </si>
  <si>
    <t>M000372663</t>
  </si>
  <si>
    <t>RGT AIRP M000372663 25/02/2025</t>
  </si>
  <si>
    <t>62025022500358092</t>
  </si>
  <si>
    <t>M000373837</t>
  </si>
  <si>
    <t>RGT AIRP M000373837 25/02/2025</t>
  </si>
  <si>
    <t>62025022500372513</t>
  </si>
  <si>
    <t>M000373505</t>
  </si>
  <si>
    <t>RGT AIRP M000373505 25/02/2025</t>
  </si>
  <si>
    <t>62025022500383935</t>
  </si>
  <si>
    <t>M000372532</t>
  </si>
  <si>
    <t>RGT AIRP M000372532 25/02/2025</t>
  </si>
  <si>
    <t>62025022500391903</t>
  </si>
  <si>
    <t>M000371353</t>
  </si>
  <si>
    <t>RGT AIRP M000371353 25/02/2025</t>
  </si>
  <si>
    <t>62025022500465498</t>
  </si>
  <si>
    <t>M000373834</t>
  </si>
  <si>
    <t>RGT AIRP M000373834 25/02/2025</t>
  </si>
  <si>
    <t>62025022500556606</t>
  </si>
  <si>
    <t>M000373706</t>
  </si>
  <si>
    <t>RGT AIRP M000373706 25/02/2025</t>
  </si>
  <si>
    <t>62025022500574219</t>
  </si>
  <si>
    <t>M000373957</t>
  </si>
  <si>
    <t>RGT AIRP M000373957 25/02/2025</t>
  </si>
  <si>
    <t>72025022500027818</t>
  </si>
  <si>
    <t>2290199710434</t>
  </si>
  <si>
    <t>A0009576</t>
  </si>
  <si>
    <t>SKY BENIN</t>
  </si>
  <si>
    <t>M000374099</t>
  </si>
  <si>
    <t>RGT AIRP M000374099 25/02/2025</t>
  </si>
  <si>
    <t>72025022500042381</t>
  </si>
  <si>
    <t>M000370748</t>
  </si>
  <si>
    <t>RGT AIRP M000370748 25/02/2025</t>
  </si>
  <si>
    <t>72025022500089926</t>
  </si>
  <si>
    <t>M000373565</t>
  </si>
  <si>
    <t>RGT AIRP M000373565 25/02/2025</t>
  </si>
  <si>
    <t>72025022500104815</t>
  </si>
  <si>
    <t>M000373627</t>
  </si>
  <si>
    <t>RGT AIRP M000373627 25/02/2025</t>
  </si>
  <si>
    <t>72025022500180544</t>
  </si>
  <si>
    <t>M000373591</t>
  </si>
  <si>
    <t>RGT AIRP M000373591 25/02/2025</t>
  </si>
  <si>
    <t>82025022500058133</t>
  </si>
  <si>
    <t>M000373331</t>
  </si>
  <si>
    <t>RGT AIRP M000373331 25/02/2025</t>
  </si>
  <si>
    <t>82025022500063097</t>
  </si>
  <si>
    <t>M000372865</t>
  </si>
  <si>
    <t>RGT AIRP M000372865 25/02/2025</t>
  </si>
  <si>
    <t>82025022500076180</t>
  </si>
  <si>
    <t>M000373799</t>
  </si>
  <si>
    <t>RGT AIRP M000373799 25/02/2025</t>
  </si>
  <si>
    <t>82025022500130934</t>
  </si>
  <si>
    <t>2290194696578</t>
  </si>
  <si>
    <t>M000373431</t>
  </si>
  <si>
    <t>RGT AIRP M000373431 25/02/2025</t>
  </si>
  <si>
    <t>82025022500150393</t>
  </si>
  <si>
    <t>M000373762</t>
  </si>
  <si>
    <t>RGT AIRP M000373762 25/02/2025</t>
  </si>
  <si>
    <t>82025022500166717</t>
  </si>
  <si>
    <t>M000373573</t>
  </si>
  <si>
    <t>RGT AIRP M000373573 25/02/2025</t>
  </si>
  <si>
    <t>82025022500191306</t>
  </si>
  <si>
    <t>M000372902</t>
  </si>
  <si>
    <t>RGT AIRP M000372902 25/02/2025</t>
  </si>
  <si>
    <t>82025022500201194</t>
  </si>
  <si>
    <t>M000372638</t>
  </si>
  <si>
    <t>RGT AIRP M000372638 25/02/2025</t>
  </si>
  <si>
    <t>82025022500270121</t>
  </si>
  <si>
    <t>M000373348</t>
  </si>
  <si>
    <t>RGT AIRP M000373348 25/02/2025</t>
  </si>
  <si>
    <t>82025022500298656</t>
  </si>
  <si>
    <t>M000373590</t>
  </si>
  <si>
    <t>RGT AIRP M000373590 25/02/2025</t>
  </si>
  <si>
    <t>82025022500332700</t>
  </si>
  <si>
    <t>M000372594</t>
  </si>
  <si>
    <t>RGT AIRP M000372594 25/02/2025</t>
  </si>
  <si>
    <t>82025022500354110</t>
  </si>
  <si>
    <t>M000373529</t>
  </si>
  <si>
    <t>RGT AIRP M000373529 25/02/2025</t>
  </si>
  <si>
    <t>62025022600112992</t>
  </si>
  <si>
    <t>M000373007</t>
  </si>
  <si>
    <t>RGT AIRP M000373007 26/02/2025</t>
  </si>
  <si>
    <t>62025022600122978</t>
  </si>
  <si>
    <t>2290195811460</t>
  </si>
  <si>
    <t>A0005773</t>
  </si>
  <si>
    <t>PHARMACIE CENTRALE DE BANIKOAR</t>
  </si>
  <si>
    <t>M000370860</t>
  </si>
  <si>
    <t>RGT AIRP M000370860 26/02/2025</t>
  </si>
  <si>
    <t>62025022600124707</t>
  </si>
  <si>
    <t>2290194412673</t>
  </si>
  <si>
    <t>M000372628</t>
  </si>
  <si>
    <t>RGT AIRP M000372628 26/02/2025</t>
  </si>
  <si>
    <t>62025022600126634</t>
  </si>
  <si>
    <t>M000372973</t>
  </si>
  <si>
    <t>RGT AIRP M000372973 26/02/2025</t>
  </si>
  <si>
    <t>62025022600148878</t>
  </si>
  <si>
    <t>M000373764</t>
  </si>
  <si>
    <t>RGT AIRP M000373764 26/02/2025</t>
  </si>
  <si>
    <t>62025022600202692</t>
  </si>
  <si>
    <t>M000372584</t>
  </si>
  <si>
    <t>RGT AIRP M000372584 26/02/2025</t>
  </si>
  <si>
    <t>62025022600336925</t>
  </si>
  <si>
    <t>M000368300</t>
  </si>
  <si>
    <t>RGT AIRP M000368300 26/02/2025</t>
  </si>
  <si>
    <t>62025022600676000</t>
  </si>
  <si>
    <t>2290195757889</t>
  </si>
  <si>
    <t>M000372854</t>
  </si>
  <si>
    <t>RGT AIRP M000372854 26/02/2025</t>
  </si>
  <si>
    <t>62025022600681412</t>
  </si>
  <si>
    <t>M000373453</t>
  </si>
  <si>
    <t>RGT AIRP M000373453 26/02/2025</t>
  </si>
  <si>
    <t>72025022600062213</t>
  </si>
  <si>
    <t>M000368681</t>
  </si>
  <si>
    <t>RGT AIRP M000368681 26/02/2025</t>
  </si>
  <si>
    <t>72025022600062721</t>
  </si>
  <si>
    <t>2290195404675</t>
  </si>
  <si>
    <t>M000372709</t>
  </si>
  <si>
    <t>RGT AIRP M000372709 26/02/2025</t>
  </si>
  <si>
    <t>72025022600133970</t>
  </si>
  <si>
    <t>M000372817</t>
  </si>
  <si>
    <t>RGT AIRP M000372817 26/02/2025</t>
  </si>
  <si>
    <t>72025022600195861</t>
  </si>
  <si>
    <t>M000372730</t>
  </si>
  <si>
    <t>RGT AIRP M000372730 26/02/2025</t>
  </si>
  <si>
    <t>72025022600219594</t>
  </si>
  <si>
    <t>2290195565656</t>
  </si>
  <si>
    <t>M000372837</t>
  </si>
  <si>
    <t>RGT AIRP M000372837 26/02/2025</t>
  </si>
  <si>
    <t>82025022600105608</t>
  </si>
  <si>
    <t>M000374011</t>
  </si>
  <si>
    <t>RGT AIRP M000374011 26/02/2025</t>
  </si>
  <si>
    <t>82025022600245464</t>
  </si>
  <si>
    <t>M000372615</t>
  </si>
  <si>
    <t>RGT AIRP M000372615 26/02/2025</t>
  </si>
  <si>
    <t>82025022600385789</t>
  </si>
  <si>
    <t>M000374107</t>
  </si>
  <si>
    <t>RGT AIRP M000374107 26/02/2025</t>
  </si>
  <si>
    <t>82025022600425983</t>
  </si>
  <si>
    <t>M000372587</t>
  </si>
  <si>
    <t>RGT AIRP M000372587 26/02/2025</t>
  </si>
  <si>
    <t>82025022600442248</t>
  </si>
  <si>
    <t>M000373149</t>
  </si>
  <si>
    <t>RGT AIRP M000373149 26/02/2025</t>
  </si>
  <si>
    <t>82025022600448834</t>
  </si>
  <si>
    <t>M000372671</t>
  </si>
  <si>
    <t>RGT AIRP M000372671 26/02/2025</t>
  </si>
  <si>
    <t>62025022700177678</t>
  </si>
  <si>
    <t>2290195647768</t>
  </si>
  <si>
    <t>M000373930</t>
  </si>
  <si>
    <t>RGT AIRP M000373930 27/02/2025</t>
  </si>
  <si>
    <t>62025022700260299</t>
  </si>
  <si>
    <t>M000373911</t>
  </si>
  <si>
    <t>RGT AIRP M000373911 27/02/2025</t>
  </si>
  <si>
    <t>62025022700509582</t>
  </si>
  <si>
    <t>M000372620</t>
  </si>
  <si>
    <t>RGT AIRP M000372620 27/02/2025</t>
  </si>
  <si>
    <t>62025022700617092</t>
  </si>
  <si>
    <t>2290165901599</t>
  </si>
  <si>
    <t>M000373375</t>
  </si>
  <si>
    <t>RGT AIRP M000373375 27/02/2025</t>
  </si>
  <si>
    <t>72025022700009745</t>
  </si>
  <si>
    <t>M000373425</t>
  </si>
  <si>
    <t>RGT AIRP M000373425 27/02/2025</t>
  </si>
  <si>
    <t>72025022700093032</t>
  </si>
  <si>
    <t>M000373593</t>
  </si>
  <si>
    <t>RGT AIRP M000373593 27/02/2025</t>
  </si>
  <si>
    <t>72025022700157826</t>
  </si>
  <si>
    <t>2290163472220</t>
  </si>
  <si>
    <t>M000372564</t>
  </si>
  <si>
    <t>RGT AIRP M000372564 27/02/2025</t>
  </si>
  <si>
    <t>82025022700132443</t>
  </si>
  <si>
    <t>M000373071</t>
  </si>
  <si>
    <t>RGT AIRP M000373071 27/02/2025</t>
  </si>
  <si>
    <t>82025022700159175</t>
  </si>
  <si>
    <t>M000373214</t>
  </si>
  <si>
    <t>RGT AIRP M000373214 27/02/2025</t>
  </si>
  <si>
    <t>82025022700176556</t>
  </si>
  <si>
    <t>M000372870</t>
  </si>
  <si>
    <t>RGT AIRP M000372870 27/02/2025</t>
  </si>
  <si>
    <t>82025022700217521</t>
  </si>
  <si>
    <t>M000372586</t>
  </si>
  <si>
    <t>RGT AIRP M000372586 27/02/2025</t>
  </si>
  <si>
    <t>62025022800039393</t>
  </si>
  <si>
    <t>M000372781</t>
  </si>
  <si>
    <t>RGT AIRP M000372781 28/02/2025</t>
  </si>
  <si>
    <t>62025022800095755</t>
  </si>
  <si>
    <t>M000373116</t>
  </si>
  <si>
    <t>RGT AIRP M000373116 28/02/2025</t>
  </si>
  <si>
    <t>62025022800208960</t>
  </si>
  <si>
    <t>M000373350</t>
  </si>
  <si>
    <t>RGT AIRP M000373350 28/02/2025</t>
  </si>
  <si>
    <t>62025022800223936</t>
  </si>
  <si>
    <t>2290165788367</t>
  </si>
  <si>
    <t>M000372366</t>
  </si>
  <si>
    <t>RGT AIRP M000372366 28/02/2025</t>
  </si>
  <si>
    <t>62025022800394867</t>
  </si>
  <si>
    <t>M000373746</t>
  </si>
  <si>
    <t>RGT AIRP M000373746 28/02/2025</t>
  </si>
  <si>
    <t>62025022800425627</t>
  </si>
  <si>
    <t>M000373130</t>
  </si>
  <si>
    <t>RGT AIRP M000373130 28/02/2025</t>
  </si>
  <si>
    <t>62025022800594422</t>
  </si>
  <si>
    <t>M000373102</t>
  </si>
  <si>
    <t>RGT AIRP M000373102 28/02/2025</t>
  </si>
  <si>
    <t>62025022800594806</t>
  </si>
  <si>
    <t>M000372659</t>
  </si>
  <si>
    <t>RGT AIRP M000372659 28/02/2025</t>
  </si>
  <si>
    <t>62025022800640915</t>
  </si>
  <si>
    <t>M000373993</t>
  </si>
  <si>
    <t>RGT AIRP M000373993 28/02/2025</t>
  </si>
  <si>
    <t>62025022800712577</t>
  </si>
  <si>
    <t>M000373298</t>
  </si>
  <si>
    <t>RGT AIRP M000373298 28/02/2025</t>
  </si>
  <si>
    <t>72025022800196544</t>
  </si>
  <si>
    <t>M000372205</t>
  </si>
  <si>
    <t>RGT AIRP M000372205 28/02/2025</t>
  </si>
  <si>
    <t>72025022800296065</t>
  </si>
  <si>
    <t>M000372395</t>
  </si>
  <si>
    <t>RGT AIRP M000372395 28/02/2025</t>
  </si>
  <si>
    <t>72025022800317505</t>
  </si>
  <si>
    <t>M000371924</t>
  </si>
  <si>
    <t>RGT AIRP M000371924 28/02/2025</t>
  </si>
  <si>
    <t>82025022800195687</t>
  </si>
  <si>
    <t>M000372414</t>
  </si>
  <si>
    <t>RGT AIRP M000372414 28/02/2025</t>
  </si>
  <si>
    <t>82025022800367828</t>
  </si>
  <si>
    <t>M000372596</t>
  </si>
  <si>
    <t>RGT AIRP M000372596 28/02/2025</t>
  </si>
  <si>
    <t>82025022800526657</t>
  </si>
  <si>
    <t>2290164810374</t>
  </si>
  <si>
    <t>M000373905</t>
  </si>
  <si>
    <t>RGT AIRP M000373905 28/02/2025</t>
  </si>
  <si>
    <t>2025-02</t>
  </si>
  <si>
    <t>003141</t>
  </si>
  <si>
    <t>ETISALAT BENIN SA</t>
  </si>
  <si>
    <t>TR0380/25 MOOV MONEY CI FAV ETISALAT BN</t>
  </si>
  <si>
    <t>D643252</t>
  </si>
  <si>
    <t>TR0395/25 DEPENSES MOBICASH FAV MOOV BN</t>
  </si>
  <si>
    <t>D646682</t>
  </si>
  <si>
    <t>TR0378/25 MOOV MONEY CI FAV ETISALAT BN</t>
  </si>
  <si>
    <t>D642901</t>
  </si>
  <si>
    <t>TR0377/25 MOOV MONEY CI FAV ETISALAT BN</t>
  </si>
  <si>
    <t>D642900</t>
  </si>
  <si>
    <t>TR0376/25 MOOV MONE CI FAV ETISALAT BN</t>
  </si>
  <si>
    <t>D643251</t>
  </si>
  <si>
    <t>TR0379/25 MOOV MONEY CI FAV ETISALAT BN</t>
  </si>
  <si>
    <t>D642902</t>
  </si>
  <si>
    <t>TR0432/25 MOOV MONEY CI FAV ETISALAT BN</t>
  </si>
  <si>
    <t>D651568</t>
  </si>
  <si>
    <t>TR0483/25 MOOV MONEY CI FAV ETISALAT BN</t>
  </si>
  <si>
    <t>D661603</t>
  </si>
  <si>
    <t>TR0484/25 MOOV MONEY CI FAV ETISALAT BN</t>
  </si>
  <si>
    <t>D661604</t>
  </si>
  <si>
    <t>TR0482/25 SOTELMA FAV ETISALAT BN</t>
  </si>
  <si>
    <t>D661697</t>
  </si>
  <si>
    <t>TR0550/25 MOOV MONEY CI FAV ETISALAT BN</t>
  </si>
  <si>
    <t>D670214</t>
  </si>
  <si>
    <t>TR0556/25 MOOV MONEY CI FAV ETISALAT BENIN</t>
  </si>
  <si>
    <t>D671786</t>
  </si>
  <si>
    <t>TR0657/25 MOOV MONEY CI FAV ETISALAT BN</t>
  </si>
  <si>
    <t>D687542</t>
  </si>
  <si>
    <t>CLIENT</t>
  </si>
  <si>
    <t>NOM</t>
  </si>
  <si>
    <t>D658068</t>
  </si>
  <si>
    <t>VG41596</t>
  </si>
  <si>
    <t xml:space="preserve">COMMISSIONS ET FRAIS CREDOC IMPORT LCI 1346 KM 9200 ROUTE DE </t>
  </si>
  <si>
    <t>VV95712</t>
  </si>
  <si>
    <t>REGLEMENT LC: LCI 1346</t>
  </si>
  <si>
    <t>COMMISSION DE MOUVEMENTS 01858530008</t>
  </si>
  <si>
    <t>TAXE SUR FRAIS TENUE CPTE 01858530008</t>
  </si>
  <si>
    <t>TAXE SUR COMMISSION DE MOUVEMENTS 01858530008</t>
  </si>
  <si>
    <t>TAXE SUR INTERETS DEBIT</t>
  </si>
  <si>
    <t>INTERETS DEBIT</t>
  </si>
  <si>
    <t>D034242</t>
  </si>
  <si>
    <t>Reglement LC: LCI 584</t>
  </si>
  <si>
    <t>D681791</t>
  </si>
  <si>
    <t>240227CDI0003BEN CHARGES SUR 1ER REGLEMENT LCI 584</t>
  </si>
  <si>
    <t>D681806</t>
  </si>
  <si>
    <t xml:space="preserve">  </t>
  </si>
  <si>
    <t>TOTAL DECAISSEMENTS FEV 2025</t>
  </si>
  <si>
    <t xml:space="preserve">Détail Décaissements  FEVRIER 2025         </t>
  </si>
  <si>
    <t>SANKO BENIN</t>
  </si>
  <si>
    <t>TELEPAIEMENT IMPOT AUBIN</t>
  </si>
  <si>
    <t>REDEVANCE ARCEP 10%</t>
  </si>
  <si>
    <t>BENIN TRACKING SECURITY</t>
  </si>
  <si>
    <t>MELE BLAISE</t>
  </si>
  <si>
    <t>PAIEMENTB LC ERICSSON</t>
  </si>
  <si>
    <t>MAIRIE DE GLAZOUE</t>
  </si>
  <si>
    <t>DMF/PEBCO BETHESDA LOKOSSOU EMMANUEL</t>
  </si>
  <si>
    <t>ANDRE TOSSA GLELE</t>
  </si>
  <si>
    <t>MEHOBE LUDOVIC</t>
  </si>
  <si>
    <t>URBAIN COMLAN AFOE</t>
  </si>
  <si>
    <t>JJ PLUS OUENSAVI VICTORIEN</t>
  </si>
  <si>
    <t>LIBRAIRIE SONAEC</t>
  </si>
  <si>
    <t>GLOBAL LOGISTICS BENIN</t>
  </si>
  <si>
    <t>BENIN PETRO INVEST</t>
  </si>
  <si>
    <t>DES LANS LO ROGER</t>
  </si>
  <si>
    <t>BIO BOUKARY</t>
  </si>
  <si>
    <t>IDOHOU FRANCIS</t>
  </si>
  <si>
    <t>SAROUKOU MARZOUCK</t>
  </si>
  <si>
    <t>3D TECHLOGIS</t>
  </si>
  <si>
    <t>ADJAHO MAKINOUNI</t>
  </si>
  <si>
    <t>AFRIC CONSULTING</t>
  </si>
  <si>
    <t>FRAIS DE DOSSIER PAM</t>
  </si>
  <si>
    <t>AVIATS NETWORKS</t>
  </si>
  <si>
    <t>MAXIME AKPOGAN</t>
  </si>
  <si>
    <t>ARCS BENIN</t>
  </si>
  <si>
    <t>ISSERE ADRIEN TCHOUMAKOU</t>
  </si>
  <si>
    <t>FIDUCIAIRE CONSEILS ET ASSISTANCE</t>
  </si>
  <si>
    <t>RCHGMT MASETR DISTR</t>
  </si>
  <si>
    <t>STE RSI</t>
  </si>
  <si>
    <t>SALIOU RACHIDI</t>
  </si>
  <si>
    <t>COMLAN AGBANTE</t>
  </si>
  <si>
    <t>ADJIBADE AYOUBA</t>
  </si>
  <si>
    <t>CONTRÔLE 20 PLUS</t>
  </si>
  <si>
    <t>RESISTANCE MOUVEMENT OPPERATIONEL</t>
  </si>
  <si>
    <t>DJOKLE COSME SCHADRAC</t>
  </si>
  <si>
    <t>MAXIME AGBETO</t>
  </si>
  <si>
    <t>FAGBITE IRENEE</t>
  </si>
  <si>
    <t>OGOUCHINAN WILSON</t>
  </si>
  <si>
    <t>HANTO ROMAIN</t>
  </si>
  <si>
    <t>ALLOSSA JULES</t>
  </si>
  <si>
    <t>COBA BAI LEOCADIE</t>
  </si>
  <si>
    <t>AMOUSSA SOURADJATOU</t>
  </si>
  <si>
    <t>AHOUANSOU FIRMIN</t>
  </si>
  <si>
    <t>GBAFFONOU GABRIEL AMONLES</t>
  </si>
  <si>
    <t>ALEX'S CHERIF NONGNIDE</t>
  </si>
  <si>
    <t>NOUETOWE AMBROISE SEGLA</t>
  </si>
  <si>
    <t>COSME ADJHOUNGBETA</t>
  </si>
  <si>
    <t xml:space="preserve">SBIN </t>
  </si>
  <si>
    <t>SALAIRE FEV 2025</t>
  </si>
  <si>
    <t>CREDIT SECOURS</t>
  </si>
  <si>
    <t>SOCIETE AFRICA FOURNITURE ET SERVICES</t>
  </si>
  <si>
    <t>MANE GERE ASSOCIET</t>
  </si>
  <si>
    <t>CENTRE DE SANTE DE COME</t>
  </si>
  <si>
    <t>WEST COAST PROPERTY</t>
  </si>
  <si>
    <t>AGONHOUN LATIFOU</t>
  </si>
  <si>
    <t>ELSTRONICS SECURIITY SYSTEME</t>
  </si>
  <si>
    <t>SLI AFRIQUE</t>
  </si>
  <si>
    <t>PBS 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</si>
</sst>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_-* #,##0\ _F_-;\-* #,##0\ _F_-;_-* &quot;-&quot;??\ _F_-;_-@_-"/>
    <numFmt numFmtId="167" formatCode="_-* #,##0\ _€_-;\-* #,##0\ _€_-;_-* &quot;-&quot;??\ _€_-;_-@_-"/>
    <numFmt numFmtId="168" formatCode="dd/mm/yyyy&quot;  &quot;hh\:mm\:ss\ "/>
    <numFmt numFmtId="169" formatCode="\ dd\/mm\/yyyy"/>
    <numFmt numFmtId="170" formatCode="yyyy/mm/dd"/>
    <numFmt numFmtId="171" formatCode="[$-F800]dddd\,\ mmmm\ dd\,\ yyyy"/>
    <numFmt numFmtId="172" formatCode="_(* #,##0.00_);_(* \(#,##0.00\);_(* \-??_);_(@_)"/>
    <numFmt numFmtId="173" formatCode="0.0%"/>
    <numFmt numFmtId="174" formatCode="_(* #,##0.00_);_(* \(#,##0.00\);_(* &quot;-&quot;??_);_(@_)"/>
    <numFmt numFmtId="175" formatCode="_(* #,##0_);_(* \(#,##0\);_(* &quot;-&quot;??_);_(@_)"/>
    <numFmt numFmtId="176" formatCode="#,###"/>
    <numFmt numFmtId="177" formatCode="[$-40C]d\-mmm;@"/>
    <numFmt numFmtId="178" formatCode="0.000%"/>
    <numFmt numFmtId="179" formatCode="mm/dd/yyyy\ hh:mm:ss"/>
    <numFmt numFmtId="180" formatCode="dd/mm/yy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 MT"/>
    </font>
    <font>
      <b/>
      <sz val="11"/>
      <color indexed="62"/>
      <name val="Arial"/>
      <family val="2"/>
    </font>
    <font>
      <b/>
      <sz val="12"/>
      <color theme="1"/>
      <name val="Arial"/>
      <family val="2"/>
    </font>
    <font>
      <sz val="11"/>
      <color indexed="8"/>
      <name val="Arial"/>
      <family val="2"/>
    </font>
    <font>
      <b/>
      <sz val="12"/>
      <color indexed="62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6"/>
      <color theme="0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sz val="16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name val="Dialog"/>
    </font>
    <font>
      <sz val="10"/>
      <color theme="1"/>
      <name val="Trebuchet MS"/>
      <family val="2"/>
    </font>
    <font>
      <sz val="10"/>
      <name val="Trebuchet MS"/>
      <family val="2"/>
    </font>
    <font>
      <b/>
      <sz val="12"/>
      <color theme="1"/>
      <name val="Times New Roman"/>
      <family val="1"/>
    </font>
    <font>
      <sz val="10"/>
      <color rgb="FF000000"/>
      <name val="Trebuchet MS"/>
      <family val="2"/>
    </font>
    <font>
      <sz val="10"/>
      <color rgb="FFFFFFFF"/>
      <name val="Trebuchet MS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9"/>
      <name val="Arial"/>
      <family val="2"/>
      <charset val="1"/>
    </font>
    <font>
      <sz val="9"/>
      <color indexed="8"/>
      <name val="Calibri"/>
      <family val="2"/>
      <charset val="1"/>
    </font>
    <font>
      <b/>
      <sz val="9"/>
      <name val="Arial"/>
      <family val="2"/>
    </font>
    <font>
      <sz val="11"/>
      <color indexed="8"/>
      <name val="Calibri"/>
      <family val="2"/>
      <charset val="134"/>
    </font>
    <font>
      <b/>
      <sz val="8"/>
      <name val="Arial"/>
      <family val="2"/>
      <charset val="1"/>
    </font>
    <font>
      <sz val="8"/>
      <name val="Arial"/>
      <family val="2"/>
    </font>
    <font>
      <sz val="9"/>
      <name val="Arial"/>
      <family val="2"/>
      <charset val="1"/>
    </font>
    <font>
      <i/>
      <sz val="9"/>
      <name val="Arial"/>
      <family val="2"/>
    </font>
    <font>
      <sz val="9"/>
      <color indexed="8"/>
      <name val="Calibri"/>
      <family val="2"/>
      <charset val="134"/>
    </font>
    <font>
      <sz val="8"/>
      <color indexed="10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1"/>
    </font>
    <font>
      <sz val="11"/>
      <color indexed="8"/>
      <name val="Calibri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i/>
      <sz val="9"/>
      <color theme="0"/>
      <name val="Arial"/>
      <family val="2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1F497D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C00000"/>
      <name val="Calibri"/>
      <family val="2"/>
      <scheme val="minor"/>
    </font>
    <font>
      <b/>
      <i/>
      <sz val="9"/>
      <color theme="3"/>
      <name val="Calibri"/>
      <family val="2"/>
      <scheme val="minor"/>
    </font>
    <font>
      <b/>
      <sz val="8"/>
      <name val="Arial"/>
      <family val="2"/>
    </font>
    <font>
      <sz val="9"/>
      <color rgb="FF33333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charset val="1"/>
    </font>
    <font>
      <sz val="10"/>
      <color indexed="8"/>
      <name val="Arial"/>
      <family val="2"/>
    </font>
    <font>
      <b/>
      <sz val="16"/>
      <color rgb="FFFF0000"/>
      <name val="Calibri"/>
      <family val="2"/>
      <scheme val="minor"/>
    </font>
    <font>
      <b/>
      <sz val="11"/>
      <color indexed="8"/>
      <name val="Calibri"/>
      <family val="2"/>
    </font>
    <font>
      <sz val="7"/>
      <color rgb="FF000000"/>
      <name val="Times New Roman"/>
      <family val="2"/>
    </font>
    <font>
      <sz val="9"/>
      <color rgb="FFFF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0" tint="-0.14999847407452621"/>
        <bgColor indexed="34"/>
      </patternFill>
    </fill>
    <fill>
      <patternFill patternType="solid">
        <fgColor theme="0" tint="-0.14999847407452621"/>
        <bgColor indexed="60"/>
      </patternFill>
    </fill>
    <fill>
      <patternFill patternType="solid">
        <fgColor theme="0" tint="-0.14999847407452621"/>
        <bgColor indexed="55"/>
      </patternFill>
    </fill>
    <fill>
      <patternFill patternType="solid">
        <fgColor indexed="55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5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CFDF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/>
    <xf numFmtId="43" fontId="1" fillId="0" borderId="0" applyFont="0" applyFill="0" applyBorder="0" applyAlignment="0" applyProtection="0"/>
    <xf numFmtId="2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0"/>
    <xf numFmtId="164" fontId="1" fillId="0" borderId="0" applyFont="0" applyFill="0" applyBorder="0" applyAlignment="0" applyProtection="0"/>
    <xf numFmtId="0" fontId="35" fillId="0" borderId="0">
      <alignment vertical="top"/>
    </xf>
    <xf numFmtId="0" fontId="37" fillId="0" borderId="0"/>
    <xf numFmtId="172" fontId="41" fillId="0" borderId="0"/>
    <xf numFmtId="0" fontId="41" fillId="0" borderId="0"/>
    <xf numFmtId="0" fontId="50" fillId="0" borderId="0"/>
    <xf numFmtId="9" fontId="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5" fillId="0" borderId="0">
      <alignment vertical="top"/>
    </xf>
    <xf numFmtId="0" fontId="33" fillId="0" borderId="0">
      <alignment vertical="top"/>
    </xf>
    <xf numFmtId="164" fontId="65" fillId="0" borderId="0" applyFont="0" applyFill="0" applyBorder="0" applyAlignment="0" applyProtection="0">
      <alignment vertical="top"/>
    </xf>
    <xf numFmtId="0" fontId="66" fillId="0" borderId="0"/>
    <xf numFmtId="9" fontId="1" fillId="0" borderId="0" applyFont="0" applyFill="0" applyBorder="0" applyAlignment="0" applyProtection="0"/>
    <xf numFmtId="0" fontId="69" fillId="0" borderId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174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71" fillId="0" borderId="0">
      <alignment vertical="top"/>
    </xf>
    <xf numFmtId="41" fontId="1" fillId="0" borderId="0" applyFont="0" applyFill="0" applyBorder="0" applyAlignment="0" applyProtection="0"/>
  </cellStyleXfs>
  <cellXfs count="629">
    <xf numFmtId="0" fontId="0" fillId="0" borderId="0" xfId="0"/>
    <xf numFmtId="165" fontId="4" fillId="2" borderId="4" xfId="1" applyNumberFormat="1" applyFont="1" applyFill="1" applyBorder="1" applyAlignment="1">
      <alignment vertical="center"/>
    </xf>
    <xf numFmtId="165" fontId="4" fillId="2" borderId="7" xfId="1" applyNumberFormat="1" applyFont="1" applyFill="1" applyBorder="1" applyAlignment="1" applyProtection="1">
      <alignment horizontal="center" vertical="center"/>
    </xf>
    <xf numFmtId="166" fontId="6" fillId="0" borderId="8" xfId="1" applyNumberFormat="1" applyFont="1" applyFill="1" applyBorder="1" applyAlignment="1" applyProtection="1">
      <alignment vertical="center"/>
    </xf>
    <xf numFmtId="0" fontId="0" fillId="0" borderId="8" xfId="0" applyBorder="1"/>
    <xf numFmtId="165" fontId="0" fillId="0" borderId="9" xfId="1" applyNumberFormat="1" applyFont="1" applyBorder="1"/>
    <xf numFmtId="165" fontId="0" fillId="0" borderId="8" xfId="1" applyNumberFormat="1" applyFont="1" applyBorder="1"/>
    <xf numFmtId="165" fontId="2" fillId="0" borderId="8" xfId="1" applyNumberFormat="1" applyFont="1" applyBorder="1"/>
    <xf numFmtId="166" fontId="7" fillId="3" borderId="4" xfId="1" applyNumberFormat="1" applyFont="1" applyFill="1" applyBorder="1" applyAlignment="1" applyProtection="1">
      <alignment horizontal="center" vertical="center"/>
    </xf>
    <xf numFmtId="0" fontId="2" fillId="0" borderId="8" xfId="0" applyFont="1" applyBorder="1"/>
    <xf numFmtId="166" fontId="8" fillId="0" borderId="8" xfId="1" applyNumberFormat="1" applyFont="1" applyFill="1" applyBorder="1" applyAlignment="1" applyProtection="1">
      <alignment vertical="center"/>
    </xf>
    <xf numFmtId="166" fontId="6" fillId="0" borderId="8" xfId="1" applyNumberFormat="1" applyFont="1" applyFill="1" applyBorder="1" applyAlignment="1" applyProtection="1">
      <alignment vertical="center" wrapText="1"/>
    </xf>
    <xf numFmtId="166" fontId="8" fillId="0" borderId="0" xfId="1" applyNumberFormat="1" applyFont="1" applyFill="1" applyBorder="1" applyAlignment="1" applyProtection="1">
      <alignment vertical="center"/>
    </xf>
    <xf numFmtId="166" fontId="6" fillId="0" borderId="0" xfId="1" applyNumberFormat="1" applyFont="1" applyFill="1" applyBorder="1" applyAlignment="1" applyProtection="1">
      <alignment vertical="center"/>
    </xf>
    <xf numFmtId="166" fontId="6" fillId="0" borderId="4" xfId="1" applyNumberFormat="1" applyFont="1" applyFill="1" applyBorder="1" applyAlignment="1" applyProtection="1">
      <alignment vertical="center"/>
    </xf>
    <xf numFmtId="166" fontId="8" fillId="0" borderId="12" xfId="1" applyNumberFormat="1" applyFont="1" applyFill="1" applyBorder="1" applyAlignment="1" applyProtection="1">
      <alignment vertical="center"/>
    </xf>
    <xf numFmtId="0" fontId="0" fillId="0" borderId="13" xfId="0" applyBorder="1"/>
    <xf numFmtId="0" fontId="0" fillId="0" borderId="14" xfId="0" applyBorder="1"/>
    <xf numFmtId="166" fontId="11" fillId="0" borderId="15" xfId="1" applyNumberFormat="1" applyFont="1" applyFill="1" applyBorder="1" applyAlignment="1" applyProtection="1">
      <alignment vertical="center"/>
    </xf>
    <xf numFmtId="0" fontId="0" fillId="0" borderId="15" xfId="0" applyBorder="1"/>
    <xf numFmtId="166" fontId="11" fillId="0" borderId="17" xfId="1" applyNumberFormat="1" applyFont="1" applyFill="1" applyBorder="1" applyAlignment="1" applyProtection="1">
      <alignment vertical="center"/>
    </xf>
    <xf numFmtId="165" fontId="0" fillId="0" borderId="0" xfId="1" applyNumberFormat="1" applyFont="1"/>
    <xf numFmtId="165" fontId="0" fillId="0" borderId="0" xfId="0" applyNumberFormat="1"/>
    <xf numFmtId="167" fontId="13" fillId="5" borderId="8" xfId="1" applyNumberFormat="1" applyFont="1" applyFill="1" applyBorder="1" applyAlignment="1">
      <alignment vertical="center"/>
    </xf>
    <xf numFmtId="167" fontId="13" fillId="5" borderId="13" xfId="1" applyNumberFormat="1" applyFont="1" applyFill="1" applyBorder="1" applyAlignment="1">
      <alignment vertical="center"/>
    </xf>
    <xf numFmtId="167" fontId="14" fillId="5" borderId="8" xfId="1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wrapText="1"/>
    </xf>
    <xf numFmtId="0" fontId="0" fillId="6" borderId="8" xfId="0" applyFill="1" applyBorder="1"/>
    <xf numFmtId="0" fontId="0" fillId="0" borderId="8" xfId="0" applyFill="1" applyBorder="1"/>
    <xf numFmtId="167" fontId="14" fillId="0" borderId="8" xfId="1" applyNumberFormat="1" applyFont="1" applyFill="1" applyBorder="1"/>
    <xf numFmtId="0" fontId="0" fillId="0" borderId="8" xfId="0" applyFill="1" applyBorder="1" applyAlignment="1">
      <alignment horizontal="center" vertical="center"/>
    </xf>
    <xf numFmtId="0" fontId="0" fillId="7" borderId="8" xfId="0" applyFill="1" applyBorder="1"/>
    <xf numFmtId="14" fontId="2" fillId="0" borderId="0" xfId="0" applyNumberFormat="1" applyFont="1"/>
    <xf numFmtId="0" fontId="15" fillId="0" borderId="8" xfId="0" applyFont="1" applyFill="1" applyBorder="1"/>
    <xf numFmtId="167" fontId="0" fillId="0" borderId="8" xfId="1" applyNumberFormat="1" applyFont="1" applyFill="1" applyBorder="1"/>
    <xf numFmtId="0" fontId="16" fillId="8" borderId="8" xfId="0" applyFont="1" applyFill="1" applyBorder="1" applyAlignment="1">
      <alignment horizontal="left" vertical="center"/>
    </xf>
    <xf numFmtId="3" fontId="16" fillId="8" borderId="8" xfId="0" applyNumberFormat="1" applyFont="1" applyFill="1" applyBorder="1" applyAlignment="1">
      <alignment horizontal="right" vertical="center"/>
    </xf>
    <xf numFmtId="3" fontId="16" fillId="8" borderId="20" xfId="0" applyNumberFormat="1" applyFont="1" applyFill="1" applyBorder="1" applyAlignment="1">
      <alignment horizontal="right" vertical="center"/>
    </xf>
    <xf numFmtId="0" fontId="12" fillId="9" borderId="0" xfId="0" applyFont="1" applyFill="1"/>
    <xf numFmtId="0" fontId="17" fillId="0" borderId="8" xfId="0" applyFont="1" applyBorder="1" applyAlignment="1">
      <alignment horizontal="center" vertical="center"/>
    </xf>
    <xf numFmtId="14" fontId="17" fillId="0" borderId="8" xfId="0" applyNumberFormat="1" applyFont="1" applyBorder="1" applyAlignment="1">
      <alignment horizontal="center" vertical="center"/>
    </xf>
    <xf numFmtId="167" fontId="18" fillId="0" borderId="8" xfId="1" applyNumberFormat="1" applyFont="1" applyFill="1" applyBorder="1"/>
    <xf numFmtId="167" fontId="0" fillId="0" borderId="0" xfId="0" applyNumberFormat="1"/>
    <xf numFmtId="14" fontId="18" fillId="0" borderId="0" xfId="0" applyNumberFormat="1" applyFont="1" applyBorder="1" applyAlignment="1">
      <alignment horizontal="left" wrapText="1"/>
    </xf>
    <xf numFmtId="0" fontId="18" fillId="0" borderId="0" xfId="0" applyFont="1"/>
    <xf numFmtId="0" fontId="17" fillId="0" borderId="0" xfId="0" applyFont="1" applyFill="1" applyBorder="1" applyAlignment="1">
      <alignment horizontal="left" vertical="center"/>
    </xf>
    <xf numFmtId="0" fontId="19" fillId="0" borderId="0" xfId="0" applyFont="1" applyFill="1" applyBorder="1"/>
    <xf numFmtId="167" fontId="19" fillId="0" borderId="0" xfId="0" applyNumberFormat="1" applyFont="1"/>
    <xf numFmtId="0" fontId="19" fillId="0" borderId="0" xfId="0" applyFont="1"/>
    <xf numFmtId="0" fontId="0" fillId="0" borderId="8" xfId="0" applyFill="1" applyBorder="1" applyAlignment="1">
      <alignment wrapText="1"/>
    </xf>
    <xf numFmtId="0" fontId="19" fillId="0" borderId="8" xfId="0" applyFont="1" applyBorder="1"/>
    <xf numFmtId="14" fontId="0" fillId="0" borderId="8" xfId="0" applyNumberFormat="1" applyBorder="1"/>
    <xf numFmtId="0" fontId="0" fillId="0" borderId="0" xfId="0" applyFill="1" applyBorder="1"/>
    <xf numFmtId="165" fontId="2" fillId="0" borderId="8" xfId="0" applyNumberFormat="1" applyFont="1" applyBorder="1"/>
    <xf numFmtId="0" fontId="0" fillId="10" borderId="8" xfId="0" applyFill="1" applyBorder="1"/>
    <xf numFmtId="14" fontId="2" fillId="0" borderId="0" xfId="0" applyNumberFormat="1" applyFont="1" applyFill="1"/>
    <xf numFmtId="14" fontId="2" fillId="6" borderId="0" xfId="0" applyNumberFormat="1" applyFont="1" applyFill="1"/>
    <xf numFmtId="167" fontId="14" fillId="6" borderId="8" xfId="1" applyNumberFormat="1" applyFont="1" applyFill="1" applyBorder="1"/>
    <xf numFmtId="0" fontId="0" fillId="6" borderId="0" xfId="0" applyFill="1"/>
    <xf numFmtId="0" fontId="0" fillId="6" borderId="8" xfId="0" applyFill="1" applyBorder="1" applyAlignment="1">
      <alignment horizontal="center" vertical="center"/>
    </xf>
    <xf numFmtId="14" fontId="2" fillId="10" borderId="0" xfId="0" applyNumberFormat="1" applyFont="1" applyFill="1"/>
    <xf numFmtId="167" fontId="14" fillId="10" borderId="8" xfId="1" applyNumberFormat="1" applyFont="1" applyFill="1" applyBorder="1"/>
    <xf numFmtId="0" fontId="0" fillId="10" borderId="8" xfId="0" applyFill="1" applyBorder="1" applyAlignment="1">
      <alignment horizontal="center" vertical="center"/>
    </xf>
    <xf numFmtId="0" fontId="0" fillId="10" borderId="0" xfId="0" applyFill="1"/>
    <xf numFmtId="14" fontId="2" fillId="11" borderId="0" xfId="0" applyNumberFormat="1" applyFont="1" applyFill="1"/>
    <xf numFmtId="0" fontId="0" fillId="11" borderId="8" xfId="0" applyFill="1" applyBorder="1"/>
    <xf numFmtId="167" fontId="14" fillId="11" borderId="8" xfId="1" applyNumberFormat="1" applyFont="1" applyFill="1" applyBorder="1"/>
    <xf numFmtId="0" fontId="0" fillId="11" borderId="8" xfId="0" applyFill="1" applyBorder="1" applyAlignment="1">
      <alignment horizontal="center" vertical="center"/>
    </xf>
    <xf numFmtId="0" fontId="0" fillId="11" borderId="0" xfId="0" applyFill="1"/>
    <xf numFmtId="14" fontId="2" fillId="12" borderId="0" xfId="0" applyNumberFormat="1" applyFont="1" applyFill="1"/>
    <xf numFmtId="0" fontId="0" fillId="12" borderId="8" xfId="0" applyFill="1" applyBorder="1"/>
    <xf numFmtId="167" fontId="14" fillId="12" borderId="8" xfId="1" applyNumberFormat="1" applyFont="1" applyFill="1" applyBorder="1"/>
    <xf numFmtId="0" fontId="0" fillId="12" borderId="0" xfId="0" applyFill="1"/>
    <xf numFmtId="0" fontId="0" fillId="12" borderId="8" xfId="0" applyFill="1" applyBorder="1" applyAlignment="1">
      <alignment horizontal="center" vertical="center"/>
    </xf>
    <xf numFmtId="14" fontId="2" fillId="7" borderId="0" xfId="0" applyNumberFormat="1" applyFont="1" applyFill="1"/>
    <xf numFmtId="167" fontId="14" fillId="7" borderId="8" xfId="1" applyNumberFormat="1" applyFont="1" applyFill="1" applyBorder="1"/>
    <xf numFmtId="0" fontId="0" fillId="7" borderId="0" xfId="0" applyFill="1"/>
    <xf numFmtId="0" fontId="0" fillId="7" borderId="8" xfId="0" applyFill="1" applyBorder="1" applyAlignment="1">
      <alignment horizontal="center" vertical="center"/>
    </xf>
    <xf numFmtId="14" fontId="2" fillId="13" borderId="0" xfId="0" applyNumberFormat="1" applyFont="1" applyFill="1"/>
    <xf numFmtId="0" fontId="0" fillId="13" borderId="8" xfId="0" applyFill="1" applyBorder="1"/>
    <xf numFmtId="167" fontId="14" fillId="13" borderId="8" xfId="1" applyNumberFormat="1" applyFont="1" applyFill="1" applyBorder="1"/>
    <xf numFmtId="0" fontId="0" fillId="13" borderId="8" xfId="0" applyFill="1" applyBorder="1" applyAlignment="1">
      <alignment horizontal="center" vertical="center"/>
    </xf>
    <xf numFmtId="0" fontId="0" fillId="13" borderId="0" xfId="0" applyFill="1"/>
    <xf numFmtId="14" fontId="2" fillId="4" borderId="0" xfId="0" applyNumberFormat="1" applyFont="1" applyFill="1"/>
    <xf numFmtId="0" fontId="0" fillId="4" borderId="8" xfId="0" applyFill="1" applyBorder="1"/>
    <xf numFmtId="167" fontId="14" fillId="4" borderId="8" xfId="1" applyNumberFormat="1" applyFont="1" applyFill="1" applyBorder="1"/>
    <xf numFmtId="0" fontId="0" fillId="4" borderId="0" xfId="0" applyFill="1"/>
    <xf numFmtId="0" fontId="0" fillId="4" borderId="8" xfId="0" applyFill="1" applyBorder="1" applyAlignment="1">
      <alignment horizontal="center" vertical="center"/>
    </xf>
    <xf numFmtId="3" fontId="0" fillId="0" borderId="0" xfId="0" applyNumberFormat="1"/>
    <xf numFmtId="14" fontId="0" fillId="0" borderId="0" xfId="0" applyNumberFormat="1"/>
    <xf numFmtId="0" fontId="20" fillId="11" borderId="20" xfId="0" applyFont="1" applyFill="1" applyBorder="1" applyAlignment="1">
      <alignment vertical="center" wrapText="1"/>
    </xf>
    <xf numFmtId="0" fontId="20" fillId="11" borderId="22" xfId="0" applyFont="1" applyFill="1" applyBorder="1" applyAlignment="1">
      <alignment horizontal="right" vertical="center" wrapText="1"/>
    </xf>
    <xf numFmtId="3" fontId="20" fillId="11" borderId="22" xfId="0" applyNumberFormat="1" applyFont="1" applyFill="1" applyBorder="1" applyAlignment="1">
      <alignment horizontal="right" vertical="center" wrapText="1"/>
    </xf>
    <xf numFmtId="0" fontId="20" fillId="11" borderId="22" xfId="0" applyFont="1" applyFill="1" applyBorder="1" applyAlignment="1">
      <alignment vertical="center" wrapText="1"/>
    </xf>
    <xf numFmtId="0" fontId="20" fillId="15" borderId="20" xfId="0" applyFont="1" applyFill="1" applyBorder="1" applyAlignment="1">
      <alignment vertical="center" wrapText="1"/>
    </xf>
    <xf numFmtId="0" fontId="20" fillId="15" borderId="22" xfId="0" applyFont="1" applyFill="1" applyBorder="1" applyAlignment="1">
      <alignment horizontal="right" vertical="center" wrapText="1"/>
    </xf>
    <xf numFmtId="3" fontId="20" fillId="15" borderId="22" xfId="0" applyNumberFormat="1" applyFont="1" applyFill="1" applyBorder="1" applyAlignment="1">
      <alignment horizontal="right" vertical="center" wrapText="1"/>
    </xf>
    <xf numFmtId="0" fontId="20" fillId="15" borderId="22" xfId="0" applyFont="1" applyFill="1" applyBorder="1" applyAlignment="1">
      <alignment vertical="center" wrapText="1"/>
    </xf>
    <xf numFmtId="0" fontId="20" fillId="7" borderId="20" xfId="0" applyFont="1" applyFill="1" applyBorder="1" applyAlignment="1">
      <alignment vertical="center" wrapText="1"/>
    </xf>
    <xf numFmtId="0" fontId="20" fillId="7" borderId="22" xfId="0" applyFont="1" applyFill="1" applyBorder="1" applyAlignment="1">
      <alignment horizontal="right" vertical="center" wrapText="1"/>
    </xf>
    <xf numFmtId="3" fontId="20" fillId="7" borderId="22" xfId="0" applyNumberFormat="1" applyFont="1" applyFill="1" applyBorder="1" applyAlignment="1">
      <alignment horizontal="right" vertical="center" wrapText="1"/>
    </xf>
    <xf numFmtId="0" fontId="20" fillId="7" borderId="22" xfId="0" applyFont="1" applyFill="1" applyBorder="1" applyAlignment="1">
      <alignment vertical="center" wrapText="1"/>
    </xf>
    <xf numFmtId="0" fontId="20" fillId="0" borderId="22" xfId="0" applyFont="1" applyBorder="1" applyAlignment="1">
      <alignment horizontal="right" vertical="center" wrapText="1"/>
    </xf>
    <xf numFmtId="3" fontId="20" fillId="0" borderId="22" xfId="0" applyNumberFormat="1" applyFont="1" applyBorder="1" applyAlignment="1">
      <alignment horizontal="right" vertical="center" wrapText="1"/>
    </xf>
    <xf numFmtId="14" fontId="21" fillId="0" borderId="0" xfId="0" applyNumberFormat="1" applyFont="1" applyAlignment="1">
      <alignment horizontal="right" vertical="center" wrapText="1"/>
    </xf>
    <xf numFmtId="0" fontId="20" fillId="9" borderId="23" xfId="0" applyFont="1" applyFill="1" applyBorder="1" applyAlignment="1">
      <alignment vertical="center" wrapText="1"/>
    </xf>
    <xf numFmtId="0" fontId="20" fillId="9" borderId="24" xfId="0" applyFont="1" applyFill="1" applyBorder="1" applyAlignment="1">
      <alignment horizontal="right" vertical="center" wrapText="1"/>
    </xf>
    <xf numFmtId="3" fontId="20" fillId="9" borderId="24" xfId="0" applyNumberFormat="1" applyFont="1" applyFill="1" applyBorder="1" applyAlignment="1">
      <alignment horizontal="right" vertical="center" wrapText="1"/>
    </xf>
    <xf numFmtId="0" fontId="20" fillId="9" borderId="24" xfId="0" applyFont="1" applyFill="1" applyBorder="1" applyAlignment="1">
      <alignment vertical="center" wrapText="1"/>
    </xf>
    <xf numFmtId="0" fontId="22" fillId="0" borderId="0" xfId="0" applyFont="1" applyAlignment="1">
      <alignment horizontal="right" vertical="center" wrapText="1"/>
    </xf>
    <xf numFmtId="0" fontId="20" fillId="12" borderId="20" xfId="0" applyFont="1" applyFill="1" applyBorder="1" applyAlignment="1">
      <alignment vertical="center" wrapText="1"/>
    </xf>
    <xf numFmtId="0" fontId="20" fillId="12" borderId="22" xfId="0" applyFont="1" applyFill="1" applyBorder="1" applyAlignment="1">
      <alignment horizontal="right" vertical="center" wrapText="1"/>
    </xf>
    <xf numFmtId="3" fontId="20" fillId="12" borderId="22" xfId="0" applyNumberFormat="1" applyFont="1" applyFill="1" applyBorder="1" applyAlignment="1">
      <alignment horizontal="right" vertical="center" wrapText="1"/>
    </xf>
    <xf numFmtId="0" fontId="20" fillId="12" borderId="22" xfId="0" applyFont="1" applyFill="1" applyBorder="1" applyAlignment="1">
      <alignment vertical="center" wrapText="1"/>
    </xf>
    <xf numFmtId="0" fontId="20" fillId="14" borderId="20" xfId="0" applyFont="1" applyFill="1" applyBorder="1" applyAlignment="1">
      <alignment vertical="center" wrapText="1"/>
    </xf>
    <xf numFmtId="3" fontId="20" fillId="14" borderId="22" xfId="0" applyNumberFormat="1" applyFont="1" applyFill="1" applyBorder="1" applyAlignment="1">
      <alignment horizontal="right" vertical="center" wrapText="1"/>
    </xf>
    <xf numFmtId="0" fontId="20" fillId="14" borderId="22" xfId="0" applyFont="1" applyFill="1" applyBorder="1" applyAlignment="1">
      <alignment horizontal="right" vertical="center" wrapText="1"/>
    </xf>
    <xf numFmtId="0" fontId="20" fillId="14" borderId="22" xfId="0" applyFont="1" applyFill="1" applyBorder="1" applyAlignment="1">
      <alignment vertical="center" wrapText="1"/>
    </xf>
    <xf numFmtId="14" fontId="23" fillId="0" borderId="0" xfId="0" applyNumberFormat="1" applyFont="1" applyAlignment="1">
      <alignment horizontal="right" vertical="center" wrapText="1"/>
    </xf>
    <xf numFmtId="14" fontId="22" fillId="0" borderId="0" xfId="0" applyNumberFormat="1" applyFont="1" applyAlignment="1">
      <alignment horizontal="right" vertical="center" wrapText="1"/>
    </xf>
    <xf numFmtId="0" fontId="20" fillId="10" borderId="20" xfId="0" applyFont="1" applyFill="1" applyBorder="1" applyAlignment="1">
      <alignment vertical="center" wrapText="1"/>
    </xf>
    <xf numFmtId="0" fontId="20" fillId="10" borderId="22" xfId="0" applyFont="1" applyFill="1" applyBorder="1" applyAlignment="1">
      <alignment horizontal="right" vertical="center" wrapText="1"/>
    </xf>
    <xf numFmtId="3" fontId="20" fillId="10" borderId="22" xfId="0" applyNumberFormat="1" applyFont="1" applyFill="1" applyBorder="1" applyAlignment="1">
      <alignment horizontal="right" vertical="center" wrapText="1"/>
    </xf>
    <xf numFmtId="0" fontId="20" fillId="10" borderId="22" xfId="0" applyFont="1" applyFill="1" applyBorder="1" applyAlignment="1">
      <alignment vertical="center" wrapText="1"/>
    </xf>
    <xf numFmtId="14" fontId="20" fillId="10" borderId="22" xfId="0" applyNumberFormat="1" applyFont="1" applyFill="1" applyBorder="1" applyAlignment="1">
      <alignment vertical="center" wrapText="1"/>
    </xf>
    <xf numFmtId="0" fontId="20" fillId="0" borderId="20" xfId="0" applyFont="1" applyBorder="1" applyAlignment="1">
      <alignment horizontal="left" vertical="top" wrapText="1"/>
    </xf>
    <xf numFmtId="0" fontId="20" fillId="0" borderId="22" xfId="0" applyFont="1" applyBorder="1" applyAlignment="1">
      <alignment horizontal="left" vertical="center" wrapText="1"/>
    </xf>
    <xf numFmtId="0" fontId="20" fillId="15" borderId="20" xfId="0" applyFont="1" applyFill="1" applyBorder="1" applyAlignment="1">
      <alignment horizontal="left" vertical="top" wrapText="1"/>
    </xf>
    <xf numFmtId="0" fontId="20" fillId="15" borderId="22" xfId="0" applyFont="1" applyFill="1" applyBorder="1" applyAlignment="1">
      <alignment horizontal="left" vertical="center" wrapText="1"/>
    </xf>
    <xf numFmtId="0" fontId="20" fillId="7" borderId="20" xfId="0" applyFont="1" applyFill="1" applyBorder="1" applyAlignment="1">
      <alignment horizontal="left" vertical="top" wrapText="1"/>
    </xf>
    <xf numFmtId="0" fontId="20" fillId="7" borderId="22" xfId="0" applyFont="1" applyFill="1" applyBorder="1" applyAlignment="1">
      <alignment horizontal="left" vertical="center" wrapText="1"/>
    </xf>
    <xf numFmtId="0" fontId="20" fillId="12" borderId="20" xfId="0" applyFont="1" applyFill="1" applyBorder="1" applyAlignment="1">
      <alignment horizontal="left" vertical="top" wrapText="1"/>
    </xf>
    <xf numFmtId="0" fontId="20" fillId="12" borderId="22" xfId="0" applyFont="1" applyFill="1" applyBorder="1" applyAlignment="1">
      <alignment horizontal="left" vertical="center" wrapText="1"/>
    </xf>
    <xf numFmtId="0" fontId="20" fillId="10" borderId="20" xfId="0" applyFont="1" applyFill="1" applyBorder="1" applyAlignment="1">
      <alignment horizontal="left" vertical="top" wrapText="1"/>
    </xf>
    <xf numFmtId="0" fontId="20" fillId="10" borderId="22" xfId="0" applyFont="1" applyFill="1" applyBorder="1" applyAlignment="1">
      <alignment horizontal="left" vertical="center" wrapText="1"/>
    </xf>
    <xf numFmtId="0" fontId="20" fillId="9" borderId="20" xfId="0" applyFont="1" applyFill="1" applyBorder="1" applyAlignment="1">
      <alignment horizontal="left" vertical="top" wrapText="1"/>
    </xf>
    <xf numFmtId="0" fontId="20" fillId="9" borderId="22" xfId="0" applyFont="1" applyFill="1" applyBorder="1" applyAlignment="1">
      <alignment horizontal="right" vertical="center" wrapText="1"/>
    </xf>
    <xf numFmtId="3" fontId="20" fillId="9" borderId="22" xfId="0" applyNumberFormat="1" applyFont="1" applyFill="1" applyBorder="1" applyAlignment="1">
      <alignment horizontal="right" vertical="center" wrapText="1"/>
    </xf>
    <xf numFmtId="0" fontId="20" fillId="9" borderId="2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0" fillId="14" borderId="20" xfId="0" applyFont="1" applyFill="1" applyBorder="1" applyAlignment="1">
      <alignment horizontal="left" vertical="top" wrapText="1"/>
    </xf>
    <xf numFmtId="0" fontId="20" fillId="14" borderId="22" xfId="0" applyFont="1" applyFill="1" applyBorder="1" applyAlignment="1">
      <alignment horizontal="left" vertical="center" wrapText="1"/>
    </xf>
    <xf numFmtId="0" fontId="20" fillId="6" borderId="20" xfId="0" applyFont="1" applyFill="1" applyBorder="1" applyAlignment="1">
      <alignment horizontal="left" vertical="top" wrapText="1"/>
    </xf>
    <xf numFmtId="0" fontId="20" fillId="6" borderId="22" xfId="0" applyFont="1" applyFill="1" applyBorder="1" applyAlignment="1">
      <alignment horizontal="right" vertical="center" wrapText="1"/>
    </xf>
    <xf numFmtId="3" fontId="20" fillId="6" borderId="22" xfId="0" applyNumberFormat="1" applyFont="1" applyFill="1" applyBorder="1" applyAlignment="1">
      <alignment horizontal="right" vertical="center" wrapText="1"/>
    </xf>
    <xf numFmtId="0" fontId="20" fillId="6" borderId="22" xfId="0" applyFont="1" applyFill="1" applyBorder="1" applyAlignment="1">
      <alignment horizontal="left" vertical="center" wrapText="1"/>
    </xf>
    <xf numFmtId="14" fontId="2" fillId="15" borderId="0" xfId="0" applyNumberFormat="1" applyFont="1" applyFill="1"/>
    <xf numFmtId="14" fontId="2" fillId="9" borderId="0" xfId="0" applyNumberFormat="1" applyFont="1" applyFill="1"/>
    <xf numFmtId="167" fontId="0" fillId="6" borderId="8" xfId="1" applyNumberFormat="1" applyFont="1" applyFill="1" applyBorder="1"/>
    <xf numFmtId="167" fontId="1" fillId="6" borderId="8" xfId="1" applyNumberFormat="1" applyFont="1" applyFill="1" applyBorder="1"/>
    <xf numFmtId="167" fontId="0" fillId="11" borderId="8" xfId="1" applyNumberFormat="1" applyFont="1" applyFill="1" applyBorder="1"/>
    <xf numFmtId="167" fontId="0" fillId="7" borderId="8" xfId="1" applyNumberFormat="1" applyFont="1" applyFill="1" applyBorder="1"/>
    <xf numFmtId="167" fontId="0" fillId="10" borderId="8" xfId="1" applyNumberFormat="1" applyFont="1" applyFill="1" applyBorder="1"/>
    <xf numFmtId="167" fontId="1" fillId="0" borderId="8" xfId="1" applyNumberFormat="1" applyFont="1" applyFill="1" applyBorder="1"/>
    <xf numFmtId="43" fontId="0" fillId="0" borderId="0" xfId="1" applyFont="1"/>
    <xf numFmtId="0" fontId="22" fillId="11" borderId="0" xfId="0" applyFont="1" applyFill="1" applyAlignment="1">
      <alignment horizontal="right" vertical="center" wrapText="1"/>
    </xf>
    <xf numFmtId="0" fontId="20" fillId="11" borderId="20" xfId="0" applyFont="1" applyFill="1" applyBorder="1" applyAlignment="1">
      <alignment horizontal="left" vertical="top" wrapText="1"/>
    </xf>
    <xf numFmtId="0" fontId="20" fillId="11" borderId="22" xfId="0" applyFont="1" applyFill="1" applyBorder="1" applyAlignment="1">
      <alignment horizontal="left" vertical="center" wrapText="1"/>
    </xf>
    <xf numFmtId="14" fontId="2" fillId="16" borderId="0" xfId="0" applyNumberFormat="1" applyFont="1" applyFill="1"/>
    <xf numFmtId="0" fontId="0" fillId="16" borderId="8" xfId="0" applyFill="1" applyBorder="1"/>
    <xf numFmtId="167" fontId="14" fillId="16" borderId="8" xfId="1" applyNumberFormat="1" applyFont="1" applyFill="1" applyBorder="1"/>
    <xf numFmtId="0" fontId="0" fillId="16" borderId="8" xfId="0" applyFill="1" applyBorder="1" applyAlignment="1">
      <alignment horizontal="center" vertical="center"/>
    </xf>
    <xf numFmtId="0" fontId="0" fillId="16" borderId="0" xfId="0" applyFill="1"/>
    <xf numFmtId="0" fontId="0" fillId="14" borderId="8" xfId="0" applyFill="1" applyBorder="1"/>
    <xf numFmtId="167" fontId="14" fillId="14" borderId="8" xfId="1" applyNumberFormat="1" applyFont="1" applyFill="1" applyBorder="1"/>
    <xf numFmtId="0" fontId="0" fillId="14" borderId="8" xfId="0" applyFill="1" applyBorder="1" applyAlignment="1">
      <alignment horizontal="center" vertical="center"/>
    </xf>
    <xf numFmtId="0" fontId="0" fillId="9" borderId="8" xfId="0" applyFill="1" applyBorder="1"/>
    <xf numFmtId="167" fontId="14" fillId="9" borderId="8" xfId="1" applyNumberFormat="1" applyFont="1" applyFill="1" applyBorder="1"/>
    <xf numFmtId="0" fontId="0" fillId="9" borderId="8" xfId="0" applyFill="1" applyBorder="1" applyAlignment="1">
      <alignment horizontal="center" vertical="center"/>
    </xf>
    <xf numFmtId="167" fontId="0" fillId="0" borderId="8" xfId="0" applyNumberFormat="1" applyBorder="1"/>
    <xf numFmtId="0" fontId="0" fillId="0" borderId="0" xfId="0" applyFill="1"/>
    <xf numFmtId="0" fontId="0" fillId="17" borderId="8" xfId="0" applyFill="1" applyBorder="1"/>
    <xf numFmtId="167" fontId="14" fillId="17" borderId="8" xfId="1" applyNumberFormat="1" applyFont="1" applyFill="1" applyBorder="1"/>
    <xf numFmtId="0" fontId="0" fillId="18" borderId="8" xfId="0" applyFill="1" applyBorder="1"/>
    <xf numFmtId="167" fontId="14" fillId="18" borderId="8" xfId="1" applyNumberFormat="1" applyFont="1" applyFill="1" applyBorder="1"/>
    <xf numFmtId="167" fontId="0" fillId="0" borderId="8" xfId="0" applyNumberFormat="1" applyFill="1" applyBorder="1"/>
    <xf numFmtId="0" fontId="0" fillId="18" borderId="8" xfId="0" applyFill="1" applyBorder="1" applyAlignment="1">
      <alignment horizontal="center" vertical="center"/>
    </xf>
    <xf numFmtId="0" fontId="0" fillId="19" borderId="8" xfId="0" applyFill="1" applyBorder="1"/>
    <xf numFmtId="167" fontId="14" fillId="19" borderId="8" xfId="1" applyNumberFormat="1" applyFont="1" applyFill="1" applyBorder="1"/>
    <xf numFmtId="0" fontId="0" fillId="17" borderId="8" xfId="0" applyFill="1" applyBorder="1" applyAlignment="1">
      <alignment horizontal="center" vertical="center"/>
    </xf>
    <xf numFmtId="165" fontId="24" fillId="0" borderId="0" xfId="0" applyNumberFormat="1" applyFont="1"/>
    <xf numFmtId="0" fontId="25" fillId="0" borderId="0" xfId="0" applyFont="1" applyAlignment="1">
      <alignment horizontal="right"/>
    </xf>
    <xf numFmtId="165" fontId="0" fillId="0" borderId="8" xfId="3" applyNumberFormat="1" applyFont="1" applyBorder="1"/>
    <xf numFmtId="0" fontId="17" fillId="0" borderId="0" xfId="0" applyFont="1" applyAlignment="1">
      <alignment horizontal="center"/>
    </xf>
    <xf numFmtId="165" fontId="17" fillId="0" borderId="0" xfId="1" applyNumberFormat="1" applyFont="1" applyAlignment="1">
      <alignment horizontal="center"/>
    </xf>
    <xf numFmtId="0" fontId="0" fillId="0" borderId="0" xfId="0" applyNumberFormat="1"/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/>
    <xf numFmtId="165" fontId="15" fillId="0" borderId="8" xfId="1" applyNumberFormat="1" applyFont="1" applyBorder="1"/>
    <xf numFmtId="165" fontId="28" fillId="0" borderId="0" xfId="1" applyNumberFormat="1" applyFont="1"/>
    <xf numFmtId="0" fontId="0" fillId="0" borderId="0" xfId="0"/>
    <xf numFmtId="0" fontId="29" fillId="0" borderId="0" xfId="0" applyFont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3" fontId="29" fillId="0" borderId="8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3" fillId="20" borderId="0" xfId="7" applyFont="1" applyFill="1"/>
    <xf numFmtId="0" fontId="33" fillId="0" borderId="0" xfId="7"/>
    <xf numFmtId="0" fontId="33" fillId="0" borderId="0" xfId="7" applyFont="1" applyFill="1"/>
    <xf numFmtId="165" fontId="0" fillId="0" borderId="0" xfId="1" applyNumberFormat="1" applyFont="1" applyAlignment="1">
      <alignment horizontal="center" vertical="center"/>
    </xf>
    <xf numFmtId="165" fontId="2" fillId="0" borderId="27" xfId="1" applyNumberFormat="1" applyFont="1" applyBorder="1" applyAlignment="1">
      <alignment horizontal="center"/>
    </xf>
    <xf numFmtId="165" fontId="0" fillId="0" borderId="27" xfId="1" applyNumberFormat="1" applyFont="1" applyBorder="1" applyAlignment="1">
      <alignment horizontal="center" vertical="center"/>
    </xf>
    <xf numFmtId="165" fontId="2" fillId="0" borderId="0" xfId="1" applyNumberFormat="1" applyFont="1" applyAlignment="1">
      <alignment horizontal="center"/>
    </xf>
    <xf numFmtId="0" fontId="2" fillId="0" borderId="29" xfId="0" applyFont="1" applyBorder="1"/>
    <xf numFmtId="165" fontId="0" fillId="0" borderId="29" xfId="1" applyNumberFormat="1" applyFont="1" applyBorder="1"/>
    <xf numFmtId="165" fontId="0" fillId="0" borderId="30" xfId="1" applyNumberFormat="1" applyFont="1" applyBorder="1"/>
    <xf numFmtId="165" fontId="2" fillId="0" borderId="10" xfId="1" applyNumberFormat="1" applyFont="1" applyBorder="1" applyAlignment="1">
      <alignment horizontal="center" vertical="center"/>
    </xf>
    <xf numFmtId="165" fontId="0" fillId="0" borderId="32" xfId="1" applyNumberFormat="1" applyFont="1" applyBorder="1"/>
    <xf numFmtId="165" fontId="2" fillId="0" borderId="20" xfId="1" applyNumberFormat="1" applyFont="1" applyBorder="1" applyAlignment="1">
      <alignment horizontal="center" vertical="center"/>
    </xf>
    <xf numFmtId="0" fontId="0" fillId="0" borderId="18" xfId="0" applyBorder="1"/>
    <xf numFmtId="165" fontId="0" fillId="0" borderId="18" xfId="1" applyNumberFormat="1" applyFont="1" applyBorder="1"/>
    <xf numFmtId="165" fontId="0" fillId="0" borderId="33" xfId="1" applyNumberFormat="1" applyFont="1" applyBorder="1"/>
    <xf numFmtId="165" fontId="0" fillId="0" borderId="11" xfId="1" applyNumberFormat="1" applyFont="1" applyBorder="1" applyAlignment="1">
      <alignment horizontal="center" vertical="center"/>
    </xf>
    <xf numFmtId="165" fontId="31" fillId="0" borderId="8" xfId="1" applyNumberFormat="1" applyFont="1" applyBorder="1"/>
    <xf numFmtId="165" fontId="31" fillId="0" borderId="32" xfId="1" applyNumberFormat="1" applyFont="1" applyBorder="1"/>
    <xf numFmtId="165" fontId="32" fillId="0" borderId="10" xfId="1" applyNumberFormat="1" applyFont="1" applyBorder="1" applyAlignment="1">
      <alignment horizontal="center" vertical="center"/>
    </xf>
    <xf numFmtId="0" fontId="2" fillId="0" borderId="35" xfId="0" applyFont="1" applyBorder="1"/>
    <xf numFmtId="165" fontId="31" fillId="0" borderId="35" xfId="1" applyNumberFormat="1" applyFont="1" applyBorder="1"/>
    <xf numFmtId="165" fontId="31" fillId="0" borderId="36" xfId="1" applyNumberFormat="1" applyFont="1" applyBorder="1"/>
    <xf numFmtId="165" fontId="32" fillId="0" borderId="20" xfId="1" applyNumberFormat="1" applyFont="1" applyBorder="1" applyAlignment="1">
      <alignment horizontal="center" vertical="center"/>
    </xf>
    <xf numFmtId="165" fontId="2" fillId="0" borderId="38" xfId="1" applyNumberFormat="1" applyFont="1" applyBorder="1"/>
    <xf numFmtId="165" fontId="32" fillId="0" borderId="23" xfId="1" applyNumberFormat="1" applyFont="1" applyBorder="1" applyAlignment="1">
      <alignment horizontal="center" vertical="center"/>
    </xf>
    <xf numFmtId="165" fontId="2" fillId="0" borderId="23" xfId="1" applyNumberFormat="1" applyFont="1" applyBorder="1" applyAlignment="1">
      <alignment horizontal="center" vertical="center"/>
    </xf>
    <xf numFmtId="170" fontId="38" fillId="21" borderId="41" xfId="10" applyNumberFormat="1" applyFont="1" applyFill="1" applyBorder="1" applyAlignment="1">
      <alignment horizontal="center" vertical="center"/>
    </xf>
    <xf numFmtId="0" fontId="39" fillId="0" borderId="0" xfId="10" applyFont="1" applyAlignment="1">
      <alignment vertical="center"/>
    </xf>
    <xf numFmtId="171" fontId="40" fillId="21" borderId="41" xfId="10" applyNumberFormat="1" applyFont="1" applyFill="1" applyBorder="1" applyAlignment="1">
      <alignment horizontal="center" vertical="center"/>
    </xf>
    <xf numFmtId="1" fontId="38" fillId="21" borderId="41" xfId="11" applyNumberFormat="1" applyFont="1" applyFill="1" applyBorder="1" applyAlignment="1">
      <alignment horizontal="center" vertical="center"/>
    </xf>
    <xf numFmtId="0" fontId="38" fillId="25" borderId="41" xfId="10" applyFont="1" applyFill="1" applyBorder="1" applyAlignment="1">
      <alignment horizontal="center" vertical="center"/>
    </xf>
    <xf numFmtId="0" fontId="38" fillId="21" borderId="54" xfId="10" applyFont="1" applyFill="1" applyBorder="1" applyAlignment="1">
      <alignment horizontal="center" vertical="center"/>
    </xf>
    <xf numFmtId="0" fontId="38" fillId="21" borderId="55" xfId="10" applyFont="1" applyFill="1" applyBorder="1" applyAlignment="1">
      <alignment horizontal="center" vertical="center"/>
    </xf>
    <xf numFmtId="0" fontId="42" fillId="21" borderId="41" xfId="10" applyFont="1" applyFill="1" applyBorder="1" applyAlignment="1">
      <alignment horizontal="center" vertical="center"/>
    </xf>
    <xf numFmtId="0" fontId="38" fillId="21" borderId="56" xfId="10" applyFont="1" applyFill="1" applyBorder="1" applyAlignment="1">
      <alignment horizontal="center" vertical="center"/>
    </xf>
    <xf numFmtId="0" fontId="42" fillId="21" borderId="42" xfId="10" applyFont="1" applyFill="1" applyBorder="1" applyAlignment="1">
      <alignment horizontal="center" vertical="center"/>
    </xf>
    <xf numFmtId="14" fontId="38" fillId="26" borderId="41" xfId="10" applyNumberFormat="1" applyFont="1" applyFill="1" applyBorder="1" applyAlignment="1">
      <alignment horizontal="center" vertical="center"/>
    </xf>
    <xf numFmtId="3" fontId="43" fillId="0" borderId="41" xfId="10" applyNumberFormat="1" applyFont="1" applyBorder="1" applyAlignment="1">
      <alignment horizontal="center" vertical="center"/>
    </xf>
    <xf numFmtId="3" fontId="44" fillId="0" borderId="41" xfId="10" applyNumberFormat="1" applyFont="1" applyBorder="1" applyAlignment="1">
      <alignment horizontal="center" vertical="center"/>
    </xf>
    <xf numFmtId="3" fontId="43" fillId="26" borderId="41" xfId="10" applyNumberFormat="1" applyFont="1" applyFill="1" applyBorder="1" applyAlignment="1">
      <alignment horizontal="center" vertical="center"/>
    </xf>
    <xf numFmtId="3" fontId="44" fillId="27" borderId="41" xfId="10" applyNumberFormat="1" applyFont="1" applyFill="1" applyBorder="1" applyAlignment="1">
      <alignment horizontal="center" vertical="center"/>
    </xf>
    <xf numFmtId="1" fontId="43" fillId="0" borderId="41" xfId="10" applyNumberFormat="1" applyFont="1" applyBorder="1" applyAlignment="1">
      <alignment horizontal="center" vertical="center"/>
    </xf>
    <xf numFmtId="3" fontId="44" fillId="28" borderId="41" xfId="10" applyNumberFormat="1" applyFont="1" applyFill="1" applyBorder="1" applyAlignment="1">
      <alignment horizontal="center" vertical="center"/>
    </xf>
    <xf numFmtId="3" fontId="43" fillId="0" borderId="42" xfId="10" applyNumberFormat="1" applyFont="1" applyBorder="1" applyAlignment="1">
      <alignment horizontal="center" vertical="top"/>
    </xf>
    <xf numFmtId="3" fontId="45" fillId="0" borderId="57" xfId="10" applyNumberFormat="1" applyFont="1" applyBorder="1" applyAlignment="1">
      <alignment horizontal="center" vertical="center"/>
    </xf>
    <xf numFmtId="3" fontId="45" fillId="0" borderId="41" xfId="10" applyNumberFormat="1" applyFont="1" applyBorder="1" applyAlignment="1">
      <alignment horizontal="center" vertical="center"/>
    </xf>
    <xf numFmtId="3" fontId="40" fillId="0" borderId="41" xfId="10" applyNumberFormat="1" applyFont="1" applyBorder="1" applyAlignment="1">
      <alignment horizontal="center" vertical="center"/>
    </xf>
    <xf numFmtId="3" fontId="40" fillId="0" borderId="58" xfId="10" applyNumberFormat="1" applyFont="1" applyBorder="1" applyAlignment="1">
      <alignment horizontal="center" vertical="center"/>
    </xf>
    <xf numFmtId="0" fontId="46" fillId="0" borderId="0" xfId="12" applyFont="1" applyAlignment="1">
      <alignment vertical="center"/>
    </xf>
    <xf numFmtId="3" fontId="43" fillId="0" borderId="47" xfId="10" applyNumberFormat="1" applyFont="1" applyBorder="1" applyAlignment="1">
      <alignment horizontal="center" vertical="center"/>
    </xf>
    <xf numFmtId="3" fontId="43" fillId="26" borderId="47" xfId="10" applyNumberFormat="1" applyFont="1" applyFill="1" applyBorder="1" applyAlignment="1">
      <alignment horizontal="center" vertical="center"/>
    </xf>
    <xf numFmtId="1" fontId="43" fillId="0" borderId="47" xfId="10" applyNumberFormat="1" applyFont="1" applyBorder="1" applyAlignment="1">
      <alignment horizontal="center" vertical="center"/>
    </xf>
    <xf numFmtId="3" fontId="43" fillId="0" borderId="54" xfId="10" applyNumberFormat="1" applyFont="1" applyBorder="1" applyAlignment="1">
      <alignment horizontal="center" vertical="center"/>
    </xf>
    <xf numFmtId="3" fontId="43" fillId="26" borderId="54" xfId="10" applyNumberFormat="1" applyFont="1" applyFill="1" applyBorder="1" applyAlignment="1">
      <alignment horizontal="center" vertical="center"/>
    </xf>
    <xf numFmtId="1" fontId="43" fillId="0" borderId="54" xfId="10" applyNumberFormat="1" applyFont="1" applyBorder="1" applyAlignment="1">
      <alignment horizontal="center" vertical="center"/>
    </xf>
    <xf numFmtId="3" fontId="47" fillId="0" borderId="41" xfId="10" applyNumberFormat="1" applyFont="1" applyBorder="1" applyAlignment="1">
      <alignment horizontal="center" vertical="center"/>
    </xf>
    <xf numFmtId="1" fontId="48" fillId="0" borderId="41" xfId="12" applyNumberFormat="1" applyFont="1" applyBorder="1" applyAlignment="1">
      <alignment horizontal="center" vertical="center"/>
    </xf>
    <xf numFmtId="3" fontId="43" fillId="0" borderId="41" xfId="10" applyNumberFormat="1" applyFont="1" applyBorder="1" applyAlignment="1">
      <alignment horizontal="center"/>
    </xf>
    <xf numFmtId="3" fontId="43" fillId="26" borderId="41" xfId="10" applyNumberFormat="1" applyFont="1" applyFill="1" applyBorder="1" applyAlignment="1">
      <alignment horizontal="center"/>
    </xf>
    <xf numFmtId="1" fontId="48" fillId="0" borderId="41" xfId="12" applyNumberFormat="1" applyFont="1" applyBorder="1" applyAlignment="1">
      <alignment horizontal="center" vertical="top"/>
    </xf>
    <xf numFmtId="3" fontId="40" fillId="26" borderId="41" xfId="13" applyNumberFormat="1" applyFont="1" applyFill="1" applyBorder="1" applyAlignment="1">
      <alignment horizontal="left" vertical="center"/>
    </xf>
    <xf numFmtId="3" fontId="40" fillId="26" borderId="41" xfId="13" applyNumberFormat="1" applyFont="1" applyFill="1" applyBorder="1" applyAlignment="1">
      <alignment horizontal="center" vertical="center"/>
    </xf>
    <xf numFmtId="3" fontId="51" fillId="0" borderId="0" xfId="13" applyNumberFormat="1" applyFont="1" applyAlignment="1">
      <alignment horizontal="center" vertical="center"/>
    </xf>
    <xf numFmtId="173" fontId="51" fillId="0" borderId="0" xfId="14" applyNumberFormat="1" applyFont="1" applyFill="1" applyBorder="1" applyAlignment="1">
      <alignment horizontal="center" vertical="center"/>
    </xf>
    <xf numFmtId="3" fontId="51" fillId="29" borderId="0" xfId="13" applyNumberFormat="1" applyFont="1" applyFill="1" applyAlignment="1">
      <alignment horizontal="center" vertical="center"/>
    </xf>
    <xf numFmtId="3" fontId="51" fillId="30" borderId="0" xfId="13" applyNumberFormat="1" applyFont="1" applyFill="1" applyAlignment="1">
      <alignment horizontal="center" vertical="center"/>
    </xf>
    <xf numFmtId="3" fontId="51" fillId="28" borderId="0" xfId="13" applyNumberFormat="1" applyFont="1" applyFill="1" applyAlignment="1">
      <alignment horizontal="center" vertical="center"/>
    </xf>
    <xf numFmtId="3" fontId="51" fillId="31" borderId="0" xfId="13" applyNumberFormat="1" applyFont="1" applyFill="1" applyAlignment="1">
      <alignment horizontal="center" vertical="center"/>
    </xf>
    <xf numFmtId="3" fontId="51" fillId="4" borderId="0" xfId="13" applyNumberFormat="1" applyFont="1" applyFill="1" applyAlignment="1">
      <alignment horizontal="center" vertical="center"/>
    </xf>
    <xf numFmtId="3" fontId="43" fillId="4" borderId="0" xfId="13" applyNumberFormat="1" applyFont="1" applyFill="1" applyAlignment="1">
      <alignment horizontal="center" vertical="center"/>
    </xf>
    <xf numFmtId="3" fontId="51" fillId="0" borderId="8" xfId="13" applyNumberFormat="1" applyFont="1" applyBorder="1" applyAlignment="1">
      <alignment horizontal="center" vertical="center"/>
    </xf>
    <xf numFmtId="3" fontId="46" fillId="0" borderId="0" xfId="12" applyNumberFormat="1" applyFont="1" applyAlignment="1">
      <alignment horizontal="center" vertical="center"/>
    </xf>
    <xf numFmtId="3" fontId="53" fillId="32" borderId="0" xfId="15" applyNumberFormat="1" applyFont="1" applyFill="1" applyAlignment="1">
      <alignment horizontal="center" vertical="center"/>
    </xf>
    <xf numFmtId="3" fontId="51" fillId="30" borderId="0" xfId="13" applyNumberFormat="1" applyFont="1" applyFill="1" applyAlignment="1">
      <alignment horizontal="center" vertical="center" wrapText="1"/>
    </xf>
    <xf numFmtId="10" fontId="52" fillId="0" borderId="0" xfId="14" applyNumberFormat="1" applyFont="1" applyAlignment="1">
      <alignment vertical="center"/>
    </xf>
    <xf numFmtId="3" fontId="51" fillId="6" borderId="0" xfId="13" applyNumberFormat="1" applyFont="1" applyFill="1" applyAlignment="1">
      <alignment horizontal="center" vertical="center"/>
    </xf>
    <xf numFmtId="3" fontId="53" fillId="7" borderId="0" xfId="15" applyNumberFormat="1" applyFont="1" applyFill="1" applyAlignment="1">
      <alignment horizontal="center" vertical="center"/>
    </xf>
    <xf numFmtId="3" fontId="51" fillId="0" borderId="0" xfId="14" applyNumberFormat="1" applyFont="1" applyFill="1" applyBorder="1" applyAlignment="1">
      <alignment horizontal="center" vertical="center"/>
    </xf>
    <xf numFmtId="3" fontId="52" fillId="0" borderId="0" xfId="16" applyNumberFormat="1" applyFont="1" applyAlignment="1">
      <alignment horizontal="center" vertical="center"/>
    </xf>
    <xf numFmtId="3" fontId="51" fillId="0" borderId="0" xfId="13" applyNumberFormat="1" applyFont="1" applyAlignment="1">
      <alignment horizontal="center" vertical="center" wrapText="1"/>
    </xf>
    <xf numFmtId="3" fontId="40" fillId="26" borderId="8" xfId="13" applyNumberFormat="1" applyFont="1" applyFill="1" applyBorder="1" applyAlignment="1">
      <alignment horizontal="left" vertical="center"/>
    </xf>
    <xf numFmtId="3" fontId="40" fillId="26" borderId="8" xfId="13" applyNumberFormat="1" applyFont="1" applyFill="1" applyBorder="1" applyAlignment="1">
      <alignment horizontal="center" vertical="center"/>
    </xf>
    <xf numFmtId="3" fontId="40" fillId="33" borderId="41" xfId="13" applyNumberFormat="1" applyFont="1" applyFill="1" applyBorder="1" applyAlignment="1">
      <alignment horizontal="center" vertical="center"/>
    </xf>
    <xf numFmtId="3" fontId="52" fillId="19" borderId="0" xfId="17" applyNumberFormat="1" applyFont="1" applyFill="1" applyAlignment="1">
      <alignment vertical="center"/>
    </xf>
    <xf numFmtId="3" fontId="52" fillId="19" borderId="0" xfId="17" applyNumberFormat="1" applyFont="1" applyFill="1" applyAlignment="1">
      <alignment horizontal="center" vertical="center"/>
    </xf>
    <xf numFmtId="0" fontId="52" fillId="0" borderId="0" xfId="17" applyFont="1" applyAlignment="1">
      <alignment vertical="center"/>
    </xf>
    <xf numFmtId="3" fontId="52" fillId="9" borderId="0" xfId="18" applyNumberFormat="1" applyFont="1" applyFill="1" applyAlignment="1">
      <alignment horizontal="center" vertical="center"/>
    </xf>
    <xf numFmtId="175" fontId="52" fillId="9" borderId="0" xfId="18" applyNumberFormat="1" applyFont="1" applyFill="1" applyAlignment="1">
      <alignment vertical="center"/>
    </xf>
    <xf numFmtId="175" fontId="52" fillId="0" borderId="0" xfId="16" applyNumberFormat="1" applyFont="1" applyAlignment="1">
      <alignment vertical="center"/>
    </xf>
    <xf numFmtId="3" fontId="52" fillId="28" borderId="0" xfId="19" applyNumberFormat="1" applyFont="1" applyFill="1" applyAlignment="1">
      <alignment vertical="center"/>
    </xf>
    <xf numFmtId="3" fontId="52" fillId="28" borderId="0" xfId="17" applyNumberFormat="1" applyFont="1" applyFill="1" applyAlignment="1">
      <alignment vertical="center"/>
    </xf>
    <xf numFmtId="41" fontId="52" fillId="0" borderId="0" xfId="17" applyNumberFormat="1" applyFont="1" applyAlignment="1">
      <alignment vertical="center"/>
    </xf>
    <xf numFmtId="175" fontId="52" fillId="0" borderId="0" xfId="18" applyNumberFormat="1" applyFont="1" applyFill="1" applyAlignment="1">
      <alignment vertical="center"/>
    </xf>
    <xf numFmtId="3" fontId="52" fillId="0" borderId="0" xfId="17" applyNumberFormat="1" applyFont="1" applyAlignment="1">
      <alignment vertical="center"/>
    </xf>
    <xf numFmtId="3" fontId="52" fillId="35" borderId="0" xfId="17" applyNumberFormat="1" applyFont="1" applyFill="1" applyAlignment="1">
      <alignment vertical="center"/>
    </xf>
    <xf numFmtId="3" fontId="52" fillId="35" borderId="0" xfId="17" applyNumberFormat="1" applyFont="1" applyFill="1" applyAlignment="1">
      <alignment horizontal="center" vertical="center"/>
    </xf>
    <xf numFmtId="3" fontId="51" fillId="4" borderId="40" xfId="13" applyNumberFormat="1" applyFont="1" applyFill="1" applyBorder="1" applyAlignment="1">
      <alignment horizontal="center" vertical="center"/>
    </xf>
    <xf numFmtId="3" fontId="51" fillId="4" borderId="61" xfId="13" applyNumberFormat="1" applyFont="1" applyFill="1" applyBorder="1" applyAlignment="1">
      <alignment horizontal="center" vertical="center"/>
    </xf>
    <xf numFmtId="3" fontId="51" fillId="0" borderId="61" xfId="13" applyNumberFormat="1" applyFont="1" applyBorder="1" applyAlignment="1">
      <alignment horizontal="center" vertical="center"/>
    </xf>
    <xf numFmtId="3" fontId="51" fillId="0" borderId="24" xfId="13" applyNumberFormat="1" applyFont="1" applyBorder="1" applyAlignment="1">
      <alignment horizontal="center" vertical="center"/>
    </xf>
    <xf numFmtId="165" fontId="52" fillId="0" borderId="0" xfId="17" applyNumberFormat="1" applyFont="1" applyAlignment="1">
      <alignment vertical="center"/>
    </xf>
    <xf numFmtId="175" fontId="52" fillId="0" borderId="0" xfId="17" applyNumberFormat="1" applyFont="1" applyAlignment="1">
      <alignment vertical="center"/>
    </xf>
    <xf numFmtId="175" fontId="57" fillId="0" borderId="0" xfId="18" applyNumberFormat="1" applyFont="1" applyFill="1" applyAlignment="1">
      <alignment vertical="center"/>
    </xf>
    <xf numFmtId="41" fontId="54" fillId="0" borderId="40" xfId="17" applyNumberFormat="1" applyFont="1" applyBorder="1" applyAlignment="1">
      <alignment vertical="center"/>
    </xf>
    <xf numFmtId="41" fontId="54" fillId="9" borderId="24" xfId="20" applyFont="1" applyFill="1" applyBorder="1" applyAlignment="1">
      <alignment vertical="center"/>
    </xf>
    <xf numFmtId="173" fontId="52" fillId="0" borderId="0" xfId="14" applyNumberFormat="1" applyFont="1" applyAlignment="1">
      <alignment vertical="center"/>
    </xf>
    <xf numFmtId="9" fontId="52" fillId="0" borderId="0" xfId="14" applyFont="1" applyAlignment="1">
      <alignment vertical="center"/>
    </xf>
    <xf numFmtId="1" fontId="52" fillId="0" borderId="0" xfId="16" applyNumberFormat="1" applyFont="1" applyAlignment="1">
      <alignment horizontal="center" vertical="center"/>
    </xf>
    <xf numFmtId="3" fontId="52" fillId="0" borderId="0" xfId="17" applyNumberFormat="1" applyFont="1" applyAlignment="1">
      <alignment horizontal="center" vertical="center"/>
    </xf>
    <xf numFmtId="175" fontId="57" fillId="9" borderId="0" xfId="18" applyNumberFormat="1" applyFont="1" applyFill="1" applyAlignment="1">
      <alignment vertical="center"/>
    </xf>
    <xf numFmtId="3" fontId="52" fillId="29" borderId="0" xfId="17" applyNumberFormat="1" applyFont="1" applyFill="1" applyAlignment="1">
      <alignment horizontal="center" vertical="center"/>
    </xf>
    <xf numFmtId="173" fontId="52" fillId="0" borderId="0" xfId="21" applyNumberFormat="1" applyFont="1" applyAlignment="1">
      <alignment vertical="center"/>
    </xf>
    <xf numFmtId="3" fontId="54" fillId="2" borderId="8" xfId="17" applyNumberFormat="1" applyFont="1" applyFill="1" applyBorder="1" applyAlignment="1">
      <alignment horizontal="center" vertical="center"/>
    </xf>
    <xf numFmtId="41" fontId="52" fillId="0" borderId="0" xfId="20" applyFont="1" applyAlignment="1">
      <alignment vertical="center"/>
    </xf>
    <xf numFmtId="3" fontId="60" fillId="0" borderId="0" xfId="17" applyNumberFormat="1" applyFont="1" applyAlignment="1">
      <alignment vertical="center"/>
    </xf>
    <xf numFmtId="1" fontId="52" fillId="0" borderId="0" xfId="18" applyNumberFormat="1" applyFont="1" applyAlignment="1">
      <alignment horizontal="center" vertical="center"/>
    </xf>
    <xf numFmtId="41" fontId="58" fillId="32" borderId="40" xfId="17" applyNumberFormat="1" applyFont="1" applyFill="1" applyBorder="1" applyAlignment="1">
      <alignment vertical="center"/>
    </xf>
    <xf numFmtId="177" fontId="61" fillId="26" borderId="8" xfId="13" applyNumberFormat="1" applyFont="1" applyFill="1" applyBorder="1" applyAlignment="1">
      <alignment horizontal="left"/>
    </xf>
    <xf numFmtId="173" fontId="0" fillId="0" borderId="0" xfId="14" applyNumberFormat="1" applyFont="1"/>
    <xf numFmtId="0" fontId="62" fillId="36" borderId="63" xfId="15" applyFont="1" applyFill="1" applyBorder="1" applyAlignment="1">
      <alignment horizontal="right"/>
    </xf>
    <xf numFmtId="0" fontId="62" fillId="37" borderId="63" xfId="15" applyFont="1" applyFill="1" applyBorder="1" applyAlignment="1">
      <alignment horizontal="right"/>
    </xf>
    <xf numFmtId="41" fontId="58" fillId="18" borderId="8" xfId="17" applyNumberFormat="1" applyFont="1" applyFill="1" applyBorder="1" applyAlignment="1">
      <alignment vertical="center"/>
    </xf>
    <xf numFmtId="0" fontId="38" fillId="21" borderId="41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 wrapText="1"/>
    </xf>
    <xf numFmtId="0" fontId="38" fillId="21" borderId="8" xfId="10" applyFont="1" applyFill="1" applyBorder="1" applyAlignment="1">
      <alignment horizontal="center" vertical="center"/>
    </xf>
    <xf numFmtId="0" fontId="38" fillId="21" borderId="44" xfId="10" applyFont="1" applyFill="1" applyBorder="1" applyAlignment="1">
      <alignment horizontal="center" vertical="center"/>
    </xf>
    <xf numFmtId="0" fontId="0" fillId="9" borderId="0" xfId="0" applyFill="1" applyAlignment="1"/>
    <xf numFmtId="0" fontId="0" fillId="0" borderId="0" xfId="0" applyAlignment="1"/>
    <xf numFmtId="0" fontId="43" fillId="0" borderId="0" xfId="25" applyFont="1" applyAlignment="1">
      <alignment horizontal="center" vertical="center"/>
    </xf>
    <xf numFmtId="0" fontId="43" fillId="0" borderId="8" xfId="25" applyFont="1" applyBorder="1" applyAlignment="1">
      <alignment horizontal="center" vertical="center"/>
    </xf>
    <xf numFmtId="0" fontId="66" fillId="0" borderId="0" xfId="25"/>
    <xf numFmtId="3" fontId="49" fillId="27" borderId="41" xfId="10" applyNumberFormat="1" applyFont="1" applyFill="1" applyBorder="1" applyAlignment="1">
      <alignment horizontal="center" vertical="center"/>
    </xf>
    <xf numFmtId="3" fontId="61" fillId="27" borderId="41" xfId="10" applyNumberFormat="1" applyFont="1" applyFill="1" applyBorder="1" applyAlignment="1">
      <alignment horizontal="center" vertical="center"/>
    </xf>
    <xf numFmtId="3" fontId="52" fillId="0" borderId="0" xfId="25" applyNumberFormat="1" applyFont="1" applyAlignment="1">
      <alignment horizontal="center" vertical="center"/>
    </xf>
    <xf numFmtId="3" fontId="53" fillId="32" borderId="0" xfId="25" applyNumberFormat="1" applyFont="1" applyFill="1" applyAlignment="1">
      <alignment horizontal="center" vertical="center"/>
    </xf>
    <xf numFmtId="3" fontId="53" fillId="7" borderId="0" xfId="25" applyNumberFormat="1" applyFont="1" applyFill="1" applyAlignment="1">
      <alignment horizontal="center" vertical="center"/>
    </xf>
    <xf numFmtId="0" fontId="52" fillId="0" borderId="0" xfId="25" applyFont="1" applyAlignment="1">
      <alignment vertical="center"/>
    </xf>
    <xf numFmtId="165" fontId="54" fillId="34" borderId="59" xfId="25" applyNumberFormat="1" applyFont="1" applyFill="1" applyBorder="1" applyAlignment="1">
      <alignment vertical="center"/>
    </xf>
    <xf numFmtId="0" fontId="54" fillId="0" borderId="1" xfId="25" applyFont="1" applyBorder="1" applyAlignment="1">
      <alignment vertical="center"/>
    </xf>
    <xf numFmtId="0" fontId="52" fillId="0" borderId="60" xfId="25" applyFont="1" applyBorder="1" applyAlignment="1">
      <alignment vertical="center"/>
    </xf>
    <xf numFmtId="41" fontId="55" fillId="0" borderId="0" xfId="25" applyNumberFormat="1" applyFont="1" applyAlignment="1">
      <alignment vertical="center"/>
    </xf>
    <xf numFmtId="3" fontId="52" fillId="0" borderId="0" xfId="25" applyNumberFormat="1" applyFont="1" applyAlignment="1">
      <alignment vertical="center"/>
    </xf>
    <xf numFmtId="0" fontId="52" fillId="0" borderId="61" xfId="25" applyFont="1" applyBorder="1" applyAlignment="1">
      <alignment vertical="center"/>
    </xf>
    <xf numFmtId="3" fontId="52" fillId="9" borderId="62" xfId="25" applyNumberFormat="1" applyFont="1" applyFill="1" applyBorder="1" applyAlignment="1">
      <alignment vertical="center"/>
    </xf>
    <xf numFmtId="3" fontId="52" fillId="9" borderId="22" xfId="25" applyNumberFormat="1" applyFont="1" applyFill="1" applyBorder="1" applyAlignment="1">
      <alignment vertical="center"/>
    </xf>
    <xf numFmtId="0" fontId="56" fillId="0" borderId="0" xfId="25" applyFont="1" applyAlignment="1">
      <alignment vertical="center"/>
    </xf>
    <xf numFmtId="3" fontId="55" fillId="0" borderId="0" xfId="25" applyNumberFormat="1" applyFont="1" applyAlignment="1">
      <alignment vertical="center"/>
    </xf>
    <xf numFmtId="3" fontId="58" fillId="32" borderId="0" xfId="25" applyNumberFormat="1" applyFont="1" applyFill="1" applyAlignment="1">
      <alignment vertical="center"/>
    </xf>
    <xf numFmtId="3" fontId="59" fillId="0" borderId="0" xfId="25" applyNumberFormat="1" applyFont="1" applyAlignment="1">
      <alignment vertical="center"/>
    </xf>
    <xf numFmtId="0" fontId="58" fillId="0" borderId="0" xfId="25" applyFont="1" applyAlignment="1">
      <alignment vertical="center"/>
    </xf>
    <xf numFmtId="176" fontId="52" fillId="0" borderId="0" xfId="25" applyNumberFormat="1" applyFont="1" applyAlignment="1">
      <alignment horizontal="center" vertical="center"/>
    </xf>
    <xf numFmtId="14" fontId="55" fillId="0" borderId="0" xfId="25" applyNumberFormat="1" applyFont="1" applyAlignment="1">
      <alignment vertical="center"/>
    </xf>
    <xf numFmtId="3" fontId="36" fillId="32" borderId="0" xfId="25" applyNumberFormat="1" applyFont="1" applyFill="1" applyAlignment="1">
      <alignment vertical="center"/>
    </xf>
    <xf numFmtId="0" fontId="52" fillId="0" borderId="0" xfId="25" applyFont="1" applyAlignment="1">
      <alignment horizontal="center" vertical="center"/>
    </xf>
    <xf numFmtId="165" fontId="52" fillId="0" borderId="0" xfId="25" applyNumberFormat="1" applyFont="1" applyAlignment="1">
      <alignment vertical="center"/>
    </xf>
    <xf numFmtId="0" fontId="59" fillId="0" borderId="0" xfId="25" applyFont="1" applyAlignment="1">
      <alignment vertical="center"/>
    </xf>
    <xf numFmtId="0" fontId="66" fillId="0" borderId="0" xfId="25" applyAlignment="1">
      <alignment horizontal="center" vertical="center"/>
    </xf>
    <xf numFmtId="0" fontId="2" fillId="0" borderId="0" xfId="25" applyFont="1"/>
    <xf numFmtId="178" fontId="2" fillId="0" borderId="0" xfId="25" applyNumberFormat="1" applyFont="1"/>
    <xf numFmtId="0" fontId="52" fillId="5" borderId="8" xfId="25" applyFont="1" applyFill="1" applyBorder="1" applyAlignment="1">
      <alignment vertical="center"/>
    </xf>
    <xf numFmtId="3" fontId="58" fillId="18" borderId="8" xfId="25" applyNumberFormat="1" applyFont="1" applyFill="1" applyBorder="1" applyAlignment="1">
      <alignment vertical="center"/>
    </xf>
    <xf numFmtId="0" fontId="38" fillId="21" borderId="8" xfId="10" applyFont="1" applyFill="1" applyBorder="1" applyAlignment="1">
      <alignment horizontal="center" vertical="center"/>
    </xf>
    <xf numFmtId="0" fontId="38" fillId="21" borderId="44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 wrapText="1"/>
    </xf>
    <xf numFmtId="0" fontId="38" fillId="21" borderId="41" xfId="1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3" fontId="32" fillId="0" borderId="0" xfId="0" applyNumberFormat="1" applyFont="1" applyAlignment="1">
      <alignment vertical="top"/>
    </xf>
    <xf numFmtId="16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8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49" fontId="50" fillId="9" borderId="0" xfId="0" applyNumberFormat="1" applyFont="1" applyFill="1" applyAlignment="1"/>
    <xf numFmtId="3" fontId="50" fillId="9" borderId="0" xfId="0" applyNumberFormat="1" applyFont="1" applyFill="1" applyAlignment="1"/>
    <xf numFmtId="179" fontId="50" fillId="0" borderId="0" xfId="0" applyNumberFormat="1" applyFont="1" applyAlignment="1"/>
    <xf numFmtId="49" fontId="50" fillId="0" borderId="0" xfId="0" applyNumberFormat="1" applyFont="1" applyAlignment="1"/>
    <xf numFmtId="3" fontId="50" fillId="0" borderId="0" xfId="0" applyNumberFormat="1" applyFont="1" applyAlignment="1"/>
    <xf numFmtId="179" fontId="50" fillId="0" borderId="0" xfId="0" applyNumberFormat="1" applyFont="1" applyFill="1" applyAlignment="1"/>
    <xf numFmtId="49" fontId="50" fillId="0" borderId="0" xfId="0" applyNumberFormat="1" applyFont="1" applyFill="1" applyAlignment="1"/>
    <xf numFmtId="3" fontId="50" fillId="0" borderId="0" xfId="0" applyNumberFormat="1" applyFont="1" applyFill="1" applyAlignment="1"/>
    <xf numFmtId="3" fontId="2" fillId="0" borderId="0" xfId="0" applyNumberFormat="1" applyFont="1"/>
    <xf numFmtId="165" fontId="34" fillId="0" borderId="0" xfId="1" applyNumberFormat="1" applyFont="1" applyFill="1" applyAlignment="1"/>
    <xf numFmtId="3" fontId="52" fillId="0" borderId="0" xfId="0" applyNumberFormat="1" applyFont="1" applyAlignment="1">
      <alignment horizontal="center" vertical="center"/>
    </xf>
    <xf numFmtId="3" fontId="53" fillId="32" borderId="0" xfId="0" applyNumberFormat="1" applyFont="1" applyFill="1" applyAlignment="1">
      <alignment horizontal="center" vertical="center"/>
    </xf>
    <xf numFmtId="3" fontId="53" fillId="7" borderId="0" xfId="0" applyNumberFormat="1" applyFont="1" applyFill="1" applyAlignment="1">
      <alignment horizontal="center" vertical="center"/>
    </xf>
    <xf numFmtId="0" fontId="52" fillId="0" borderId="0" xfId="0" applyFont="1" applyAlignment="1">
      <alignment vertical="center"/>
    </xf>
    <xf numFmtId="165" fontId="54" fillId="34" borderId="59" xfId="0" applyNumberFormat="1" applyFont="1" applyFill="1" applyBorder="1" applyAlignment="1">
      <alignment vertical="center"/>
    </xf>
    <xf numFmtId="0" fontId="54" fillId="0" borderId="1" xfId="0" applyFont="1" applyBorder="1" applyAlignment="1">
      <alignment vertical="center"/>
    </xf>
    <xf numFmtId="0" fontId="52" fillId="0" borderId="60" xfId="0" applyFont="1" applyBorder="1" applyAlignment="1">
      <alignment vertical="center"/>
    </xf>
    <xf numFmtId="41" fontId="55" fillId="0" borderId="0" xfId="0" applyNumberFormat="1" applyFont="1" applyAlignment="1">
      <alignment vertical="center"/>
    </xf>
    <xf numFmtId="3" fontId="52" fillId="0" borderId="0" xfId="0" applyNumberFormat="1" applyFont="1" applyAlignment="1">
      <alignment vertical="center"/>
    </xf>
    <xf numFmtId="0" fontId="52" fillId="0" borderId="61" xfId="0" applyFont="1" applyBorder="1" applyAlignment="1">
      <alignment vertical="center"/>
    </xf>
    <xf numFmtId="3" fontId="52" fillId="9" borderId="62" xfId="0" applyNumberFormat="1" applyFont="1" applyFill="1" applyBorder="1" applyAlignment="1">
      <alignment vertical="center"/>
    </xf>
    <xf numFmtId="3" fontId="52" fillId="9" borderId="22" xfId="0" applyNumberFormat="1" applyFont="1" applyFill="1" applyBorder="1" applyAlignment="1">
      <alignment vertical="center"/>
    </xf>
    <xf numFmtId="0" fontId="56" fillId="0" borderId="0" xfId="0" applyFont="1" applyAlignment="1">
      <alignment vertical="center"/>
    </xf>
    <xf numFmtId="3" fontId="55" fillId="0" borderId="0" xfId="0" applyNumberFormat="1" applyFont="1" applyAlignment="1">
      <alignment vertical="center"/>
    </xf>
    <xf numFmtId="3" fontId="58" fillId="32" borderId="0" xfId="0" applyNumberFormat="1" applyFont="1" applyFill="1" applyAlignment="1">
      <alignment vertical="center"/>
    </xf>
    <xf numFmtId="3" fontId="59" fillId="0" borderId="0" xfId="0" applyNumberFormat="1" applyFont="1" applyAlignment="1">
      <alignment vertical="center"/>
    </xf>
    <xf numFmtId="0" fontId="58" fillId="0" borderId="0" xfId="0" applyFont="1" applyAlignment="1">
      <alignment vertical="center"/>
    </xf>
    <xf numFmtId="176" fontId="52" fillId="0" borderId="0" xfId="0" applyNumberFormat="1" applyFont="1" applyAlignment="1">
      <alignment horizontal="center" vertical="center"/>
    </xf>
    <xf numFmtId="14" fontId="55" fillId="0" borderId="0" xfId="0" applyNumberFormat="1" applyFont="1" applyAlignment="1">
      <alignment vertical="center"/>
    </xf>
    <xf numFmtId="3" fontId="36" fillId="32" borderId="0" xfId="0" applyNumberFormat="1" applyFont="1" applyFill="1" applyAlignment="1">
      <alignment vertical="center"/>
    </xf>
    <xf numFmtId="0" fontId="52" fillId="0" borderId="0" xfId="0" applyFont="1" applyAlignment="1">
      <alignment horizontal="center" vertical="center"/>
    </xf>
    <xf numFmtId="165" fontId="52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178" fontId="2" fillId="0" borderId="0" xfId="0" applyNumberFormat="1" applyFont="1"/>
    <xf numFmtId="0" fontId="52" fillId="5" borderId="8" xfId="0" applyFont="1" applyFill="1" applyBorder="1" applyAlignment="1">
      <alignment vertical="center"/>
    </xf>
    <xf numFmtId="3" fontId="58" fillId="18" borderId="8" xfId="0" applyNumberFormat="1" applyFont="1" applyFill="1" applyBorder="1" applyAlignment="1">
      <alignment vertical="center"/>
    </xf>
    <xf numFmtId="165" fontId="52" fillId="0" borderId="0" xfId="1" applyNumberFormat="1" applyFont="1" applyAlignment="1">
      <alignment vertical="center"/>
    </xf>
    <xf numFmtId="0" fontId="19" fillId="0" borderId="0" xfId="0" applyFont="1" applyAlignment="1">
      <alignment vertical="center"/>
    </xf>
    <xf numFmtId="165" fontId="19" fillId="0" borderId="0" xfId="0" applyNumberFormat="1" applyFont="1" applyAlignment="1">
      <alignment vertical="center"/>
    </xf>
    <xf numFmtId="0" fontId="67" fillId="0" borderId="0" xfId="0" applyFont="1"/>
    <xf numFmtId="165" fontId="67" fillId="0" borderId="0" xfId="1" applyNumberFormat="1" applyFont="1"/>
    <xf numFmtId="43" fontId="0" fillId="0" borderId="0" xfId="0" applyNumberFormat="1"/>
    <xf numFmtId="165" fontId="32" fillId="0" borderId="38" xfId="1" applyNumberFormat="1" applyFont="1" applyBorder="1"/>
    <xf numFmtId="17" fontId="26" fillId="0" borderId="0" xfId="0" applyNumberFormat="1" applyFont="1" applyAlignment="1">
      <alignment horizontal="center" vertical="center"/>
    </xf>
    <xf numFmtId="3" fontId="32" fillId="0" borderId="0" xfId="0" applyNumberFormat="1" applyFont="1"/>
    <xf numFmtId="165" fontId="50" fillId="0" borderId="0" xfId="1" applyNumberFormat="1" applyFont="1" applyFill="1" applyAlignment="1"/>
    <xf numFmtId="0" fontId="0" fillId="0" borderId="0" xfId="0" applyFill="1" applyAlignment="1"/>
    <xf numFmtId="165" fontId="0" fillId="0" borderId="0" xfId="1" applyNumberFormat="1" applyFont="1" applyFill="1"/>
    <xf numFmtId="49" fontId="50" fillId="6" borderId="0" xfId="0" applyNumberFormat="1" applyFont="1" applyFill="1" applyAlignment="1"/>
    <xf numFmtId="179" fontId="50" fillId="38" borderId="0" xfId="0" applyNumberFormat="1" applyFont="1" applyFill="1" applyAlignment="1"/>
    <xf numFmtId="49" fontId="50" fillId="38" borderId="0" xfId="0" applyNumberFormat="1" applyFont="1" applyFill="1" applyAlignment="1"/>
    <xf numFmtId="3" fontId="50" fillId="38" borderId="0" xfId="0" applyNumberFormat="1" applyFont="1" applyFill="1" applyAlignment="1"/>
    <xf numFmtId="0" fontId="68" fillId="0" borderId="0" xfId="0" applyFont="1"/>
    <xf numFmtId="173" fontId="51" fillId="0" borderId="0" xfId="26" applyNumberFormat="1" applyFont="1" applyFill="1" applyBorder="1" applyAlignment="1">
      <alignment horizontal="center" vertical="center"/>
    </xf>
    <xf numFmtId="3" fontId="53" fillId="32" borderId="0" xfId="28" applyNumberFormat="1" applyFont="1" applyFill="1" applyAlignment="1">
      <alignment horizontal="center" vertical="center"/>
    </xf>
    <xf numFmtId="10" fontId="52" fillId="0" borderId="0" xfId="26" applyNumberFormat="1" applyFont="1" applyAlignment="1">
      <alignment vertical="center"/>
    </xf>
    <xf numFmtId="3" fontId="53" fillId="7" borderId="0" xfId="28" applyNumberFormat="1" applyFont="1" applyFill="1" applyAlignment="1">
      <alignment horizontal="center" vertical="center"/>
    </xf>
    <xf numFmtId="3" fontId="51" fillId="0" borderId="0" xfId="26" applyNumberFormat="1" applyFont="1" applyFill="1" applyBorder="1" applyAlignment="1">
      <alignment horizontal="center" vertical="center"/>
    </xf>
    <xf numFmtId="3" fontId="52" fillId="0" borderId="0" xfId="29" applyNumberFormat="1" applyFont="1" applyAlignment="1">
      <alignment horizontal="center" vertical="center"/>
    </xf>
    <xf numFmtId="3" fontId="52" fillId="19" borderId="0" xfId="30" applyNumberFormat="1" applyFont="1" applyFill="1" applyAlignment="1">
      <alignment vertical="center"/>
    </xf>
    <xf numFmtId="3" fontId="52" fillId="19" borderId="0" xfId="30" applyNumberFormat="1" applyFont="1" applyFill="1" applyAlignment="1">
      <alignment horizontal="center" vertical="center"/>
    </xf>
    <xf numFmtId="0" fontId="52" fillId="0" borderId="0" xfId="30" applyFont="1" applyAlignment="1">
      <alignment vertical="center"/>
    </xf>
    <xf numFmtId="3" fontId="52" fillId="9" borderId="0" xfId="31" applyNumberFormat="1" applyFont="1" applyFill="1" applyAlignment="1">
      <alignment horizontal="center" vertical="center"/>
    </xf>
    <xf numFmtId="175" fontId="52" fillId="9" borderId="0" xfId="31" applyNumberFormat="1" applyFont="1" applyFill="1" applyAlignment="1">
      <alignment vertical="center"/>
    </xf>
    <xf numFmtId="175" fontId="52" fillId="0" borderId="0" xfId="29" applyNumberFormat="1" applyFont="1" applyAlignment="1">
      <alignment vertical="center"/>
    </xf>
    <xf numFmtId="3" fontId="52" fillId="28" borderId="0" xfId="32" applyNumberFormat="1" applyFont="1" applyFill="1" applyAlignment="1">
      <alignment vertical="center"/>
    </xf>
    <xf numFmtId="3" fontId="52" fillId="28" borderId="0" xfId="30" applyNumberFormat="1" applyFont="1" applyFill="1" applyAlignment="1">
      <alignment vertical="center"/>
    </xf>
    <xf numFmtId="41" fontId="52" fillId="0" borderId="0" xfId="30" applyNumberFormat="1" applyFont="1" applyAlignment="1">
      <alignment vertical="center"/>
    </xf>
    <xf numFmtId="175" fontId="52" fillId="0" borderId="0" xfId="31" applyNumberFormat="1" applyFont="1" applyFill="1" applyAlignment="1">
      <alignment vertical="center"/>
    </xf>
    <xf numFmtId="3" fontId="52" fillId="0" borderId="0" xfId="30" applyNumberFormat="1" applyFont="1" applyAlignment="1">
      <alignment vertical="center"/>
    </xf>
    <xf numFmtId="3" fontId="52" fillId="35" borderId="0" xfId="30" applyNumberFormat="1" applyFont="1" applyFill="1" applyAlignment="1">
      <alignment vertical="center"/>
    </xf>
    <xf numFmtId="3" fontId="52" fillId="35" borderId="0" xfId="30" applyNumberFormat="1" applyFont="1" applyFill="1" applyAlignment="1">
      <alignment horizontal="center" vertical="center"/>
    </xf>
    <xf numFmtId="165" fontId="52" fillId="0" borderId="0" xfId="30" applyNumberFormat="1" applyFont="1" applyAlignment="1">
      <alignment vertical="center"/>
    </xf>
    <xf numFmtId="175" fontId="52" fillId="0" borderId="0" xfId="30" applyNumberFormat="1" applyFont="1" applyAlignment="1">
      <alignment vertical="center"/>
    </xf>
    <xf numFmtId="175" fontId="57" fillId="0" borderId="0" xfId="31" applyNumberFormat="1" applyFont="1" applyFill="1" applyAlignment="1">
      <alignment vertical="center"/>
    </xf>
    <xf numFmtId="41" fontId="54" fillId="0" borderId="40" xfId="30" applyNumberFormat="1" applyFont="1" applyBorder="1" applyAlignment="1">
      <alignment vertical="center"/>
    </xf>
    <xf numFmtId="41" fontId="54" fillId="9" borderId="24" xfId="33" applyFont="1" applyFill="1" applyBorder="1" applyAlignment="1">
      <alignment vertical="center"/>
    </xf>
    <xf numFmtId="173" fontId="52" fillId="0" borderId="0" xfId="26" applyNumberFormat="1" applyFont="1" applyAlignment="1">
      <alignment vertical="center"/>
    </xf>
    <xf numFmtId="9" fontId="52" fillId="0" borderId="0" xfId="26" applyFont="1" applyAlignment="1">
      <alignment vertical="center"/>
    </xf>
    <xf numFmtId="1" fontId="52" fillId="0" borderId="0" xfId="29" applyNumberFormat="1" applyFont="1" applyAlignment="1">
      <alignment horizontal="center" vertical="center"/>
    </xf>
    <xf numFmtId="3" fontId="52" fillId="0" borderId="0" xfId="30" applyNumberFormat="1" applyFont="1" applyAlignment="1">
      <alignment horizontal="center" vertical="center"/>
    </xf>
    <xf numFmtId="175" fontId="57" fillId="9" borderId="0" xfId="31" applyNumberFormat="1" applyFont="1" applyFill="1" applyAlignment="1">
      <alignment vertical="center"/>
    </xf>
    <xf numFmtId="3" fontId="52" fillId="29" borderId="0" xfId="30" applyNumberFormat="1" applyFont="1" applyFill="1" applyAlignment="1">
      <alignment horizontal="center" vertical="center"/>
    </xf>
    <xf numFmtId="173" fontId="52" fillId="0" borderId="0" xfId="34" applyNumberFormat="1" applyFont="1" applyAlignment="1">
      <alignment vertical="center"/>
    </xf>
    <xf numFmtId="3" fontId="54" fillId="2" borderId="8" xfId="30" applyNumberFormat="1" applyFont="1" applyFill="1" applyBorder="1" applyAlignment="1">
      <alignment horizontal="center" vertical="center"/>
    </xf>
    <xf numFmtId="41" fontId="52" fillId="0" borderId="0" xfId="33" applyFont="1" applyAlignment="1">
      <alignment vertical="center"/>
    </xf>
    <xf numFmtId="3" fontId="60" fillId="0" borderId="0" xfId="30" applyNumberFormat="1" applyFont="1" applyAlignment="1">
      <alignment vertical="center"/>
    </xf>
    <xf numFmtId="1" fontId="52" fillId="0" borderId="0" xfId="31" applyNumberFormat="1" applyFont="1" applyAlignment="1">
      <alignment horizontal="center" vertical="center"/>
    </xf>
    <xf numFmtId="175" fontId="52" fillId="0" borderId="0" xfId="18" applyNumberFormat="1" applyFont="1" applyAlignment="1">
      <alignment vertical="center"/>
    </xf>
    <xf numFmtId="41" fontId="58" fillId="32" borderId="40" xfId="30" applyNumberFormat="1" applyFont="1" applyFill="1" applyBorder="1" applyAlignment="1">
      <alignment vertical="center"/>
    </xf>
    <xf numFmtId="173" fontId="0" fillId="0" borderId="0" xfId="26" applyNumberFormat="1" applyFont="1"/>
    <xf numFmtId="0" fontId="62" fillId="36" borderId="63" xfId="28" applyFont="1" applyFill="1" applyBorder="1" applyAlignment="1">
      <alignment horizontal="right"/>
    </xf>
    <xf numFmtId="0" fontId="62" fillId="37" borderId="63" xfId="28" applyFont="1" applyFill="1" applyBorder="1" applyAlignment="1">
      <alignment horizontal="right"/>
    </xf>
    <xf numFmtId="41" fontId="58" fillId="18" borderId="8" xfId="30" applyNumberFormat="1" applyFont="1" applyFill="1" applyBorder="1" applyAlignment="1">
      <alignment vertical="center"/>
    </xf>
    <xf numFmtId="179" fontId="50" fillId="10" borderId="0" xfId="0" applyNumberFormat="1" applyFont="1" applyFill="1" applyAlignment="1"/>
    <xf numFmtId="49" fontId="50" fillId="10" borderId="0" xfId="0" applyNumberFormat="1" applyFont="1" applyFill="1" applyAlignment="1"/>
    <xf numFmtId="1" fontId="70" fillId="0" borderId="41" xfId="12" applyNumberFormat="1" applyFont="1" applyBorder="1" applyAlignment="1">
      <alignment horizontal="center" vertical="top"/>
    </xf>
    <xf numFmtId="3" fontId="52" fillId="0" borderId="0" xfId="35" applyNumberFormat="1" applyFont="1" applyAlignment="1">
      <alignment horizontal="center" vertical="center"/>
    </xf>
    <xf numFmtId="3" fontId="53" fillId="32" borderId="0" xfId="35" applyNumberFormat="1" applyFont="1" applyFill="1" applyAlignment="1">
      <alignment horizontal="center" vertical="center"/>
    </xf>
    <xf numFmtId="3" fontId="53" fillId="7" borderId="0" xfId="35" applyNumberFormat="1" applyFont="1" applyFill="1" applyAlignment="1">
      <alignment horizontal="center" vertical="center"/>
    </xf>
    <xf numFmtId="0" fontId="52" fillId="0" borderId="0" xfId="35" applyFont="1" applyAlignment="1">
      <alignment vertical="center"/>
    </xf>
    <xf numFmtId="165" fontId="54" fillId="34" borderId="59" xfId="35" applyNumberFormat="1" applyFont="1" applyFill="1" applyBorder="1" applyAlignment="1">
      <alignment vertical="center"/>
    </xf>
    <xf numFmtId="0" fontId="54" fillId="0" borderId="1" xfId="35" applyFont="1" applyBorder="1" applyAlignment="1">
      <alignment vertical="center"/>
    </xf>
    <xf numFmtId="0" fontId="52" fillId="0" borderId="60" xfId="35" applyFont="1" applyBorder="1" applyAlignment="1">
      <alignment vertical="center"/>
    </xf>
    <xf numFmtId="41" fontId="55" fillId="0" borderId="0" xfId="35" applyNumberFormat="1" applyFont="1" applyAlignment="1">
      <alignment vertical="center"/>
    </xf>
    <xf numFmtId="3" fontId="52" fillId="0" borderId="0" xfId="35" applyNumberFormat="1" applyFont="1" applyAlignment="1">
      <alignment vertical="center"/>
    </xf>
    <xf numFmtId="0" fontId="52" fillId="0" borderId="61" xfId="35" applyFont="1" applyBorder="1" applyAlignment="1">
      <alignment vertical="center"/>
    </xf>
    <xf numFmtId="0" fontId="0" fillId="0" borderId="64" xfId="0" applyBorder="1"/>
    <xf numFmtId="0" fontId="0" fillId="0" borderId="65" xfId="0" applyBorder="1"/>
    <xf numFmtId="0" fontId="0" fillId="0" borderId="66" xfId="0" applyBorder="1"/>
    <xf numFmtId="3" fontId="52" fillId="9" borderId="62" xfId="35" applyNumberFormat="1" applyFont="1" applyFill="1" applyBorder="1" applyAlignment="1">
      <alignment vertical="center"/>
    </xf>
    <xf numFmtId="3" fontId="52" fillId="9" borderId="22" xfId="35" applyNumberFormat="1" applyFont="1" applyFill="1" applyBorder="1" applyAlignment="1">
      <alignment vertical="center"/>
    </xf>
    <xf numFmtId="0" fontId="56" fillId="0" borderId="0" xfId="35" applyFont="1" applyAlignment="1">
      <alignment vertical="center"/>
    </xf>
    <xf numFmtId="3" fontId="55" fillId="0" borderId="0" xfId="35" applyNumberFormat="1" applyFont="1" applyAlignment="1">
      <alignment vertical="center"/>
    </xf>
    <xf numFmtId="0" fontId="0" fillId="0" borderId="3" xfId="0" applyBorder="1"/>
    <xf numFmtId="3" fontId="58" fillId="32" borderId="0" xfId="35" applyNumberFormat="1" applyFont="1" applyFill="1" applyAlignment="1">
      <alignment vertical="center"/>
    </xf>
    <xf numFmtId="3" fontId="59" fillId="0" borderId="0" xfId="35" applyNumberFormat="1" applyFont="1" applyAlignment="1">
      <alignment vertical="center"/>
    </xf>
    <xf numFmtId="0" fontId="58" fillId="0" borderId="0" xfId="35" applyFont="1" applyAlignment="1">
      <alignment vertical="center"/>
    </xf>
    <xf numFmtId="176" fontId="52" fillId="0" borderId="0" xfId="35" applyNumberFormat="1" applyFont="1" applyAlignment="1">
      <alignment horizontal="center" vertical="center"/>
    </xf>
    <xf numFmtId="3" fontId="0" fillId="0" borderId="15" xfId="0" applyNumberFormat="1" applyBorder="1"/>
    <xf numFmtId="14" fontId="55" fillId="0" borderId="0" xfId="35" applyNumberFormat="1" applyFont="1" applyAlignment="1">
      <alignment vertical="center"/>
    </xf>
    <xf numFmtId="0" fontId="0" fillId="0" borderId="67" xfId="0" applyBorder="1"/>
    <xf numFmtId="0" fontId="0" fillId="0" borderId="68" xfId="0" applyBorder="1"/>
    <xf numFmtId="3" fontId="0" fillId="0" borderId="17" xfId="0" applyNumberFormat="1" applyBorder="1"/>
    <xf numFmtId="3" fontId="36" fillId="32" borderId="0" xfId="35" applyNumberFormat="1" applyFont="1" applyFill="1" applyAlignment="1">
      <alignment vertical="center"/>
    </xf>
    <xf numFmtId="0" fontId="52" fillId="0" borderId="0" xfId="35" applyFont="1" applyAlignment="1">
      <alignment horizontal="center" vertical="center"/>
    </xf>
    <xf numFmtId="175" fontId="52" fillId="0" borderId="0" xfId="35" applyNumberFormat="1" applyFont="1" applyAlignment="1">
      <alignment vertical="center"/>
    </xf>
    <xf numFmtId="165" fontId="52" fillId="0" borderId="0" xfId="35" applyNumberFormat="1" applyFont="1" applyAlignment="1">
      <alignment vertical="center"/>
    </xf>
    <xf numFmtId="0" fontId="59" fillId="0" borderId="0" xfId="35" applyFont="1" applyAlignment="1">
      <alignment vertical="center"/>
    </xf>
    <xf numFmtId="0" fontId="1" fillId="0" borderId="0" xfId="35" applyAlignment="1">
      <alignment horizontal="center" vertical="center"/>
    </xf>
    <xf numFmtId="0" fontId="1" fillId="0" borderId="0" xfId="35"/>
    <xf numFmtId="0" fontId="2" fillId="0" borderId="0" xfId="35" applyFont="1"/>
    <xf numFmtId="178" fontId="2" fillId="0" borderId="0" xfId="35" applyNumberFormat="1" applyFont="1"/>
    <xf numFmtId="0" fontId="52" fillId="5" borderId="8" xfId="35" applyFont="1" applyFill="1" applyBorder="1" applyAlignment="1">
      <alignment vertical="center"/>
    </xf>
    <xf numFmtId="3" fontId="58" fillId="18" borderId="8" xfId="35" applyNumberFormat="1" applyFont="1" applyFill="1" applyBorder="1" applyAlignment="1">
      <alignment vertical="center"/>
    </xf>
    <xf numFmtId="165" fontId="31" fillId="0" borderId="0" xfId="1" applyNumberFormat="1" applyFont="1"/>
    <xf numFmtId="0" fontId="72" fillId="0" borderId="0" xfId="0" applyFont="1"/>
    <xf numFmtId="165" fontId="72" fillId="0" borderId="0" xfId="0" applyNumberFormat="1" applyFont="1"/>
    <xf numFmtId="43" fontId="0" fillId="0" borderId="0" xfId="1" applyFont="1" applyFill="1"/>
    <xf numFmtId="0" fontId="0" fillId="11" borderId="0" xfId="0" applyFill="1" applyAlignment="1"/>
    <xf numFmtId="0" fontId="0" fillId="6" borderId="0" xfId="0" applyFill="1" applyAlignment="1"/>
    <xf numFmtId="0" fontId="50" fillId="0" borderId="0" xfId="0" applyFont="1" applyFill="1" applyAlignment="1"/>
    <xf numFmtId="3" fontId="26" fillId="0" borderId="0" xfId="0" applyNumberFormat="1" applyFont="1" applyAlignment="1">
      <alignment horizontal="center" vertical="center"/>
    </xf>
    <xf numFmtId="0" fontId="38" fillId="21" borderId="41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 wrapText="1"/>
    </xf>
    <xf numFmtId="0" fontId="38" fillId="21" borderId="8" xfId="10" applyFont="1" applyFill="1" applyBorder="1" applyAlignment="1">
      <alignment horizontal="center" vertical="center"/>
    </xf>
    <xf numFmtId="0" fontId="38" fillId="21" borderId="44" xfId="10" applyFont="1" applyFill="1" applyBorder="1" applyAlignment="1">
      <alignment horizontal="center" vertical="center"/>
    </xf>
    <xf numFmtId="0" fontId="0" fillId="39" borderId="8" xfId="0" applyFill="1" applyBorder="1"/>
    <xf numFmtId="167" fontId="14" fillId="39" borderId="8" xfId="1" applyNumberFormat="1" applyFont="1" applyFill="1" applyBorder="1"/>
    <xf numFmtId="0" fontId="0" fillId="39" borderId="8" xfId="0" applyFill="1" applyBorder="1" applyAlignment="1">
      <alignment horizontal="center" vertical="center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3" fontId="71" fillId="0" borderId="0" xfId="36" applyNumberFormat="1">
      <alignment vertical="top"/>
    </xf>
    <xf numFmtId="165" fontId="32" fillId="0" borderId="0" xfId="0" applyNumberFormat="1" applyFont="1"/>
    <xf numFmtId="0" fontId="32" fillId="0" borderId="0" xfId="0" applyFont="1" applyAlignment="1">
      <alignment vertical="top"/>
    </xf>
    <xf numFmtId="0" fontId="33" fillId="0" borderId="0" xfId="23">
      <alignment vertical="top"/>
    </xf>
    <xf numFmtId="3" fontId="33" fillId="0" borderId="0" xfId="23" applyNumberFormat="1">
      <alignment vertical="top"/>
    </xf>
    <xf numFmtId="179" fontId="50" fillId="9" borderId="0" xfId="0" applyNumberFormat="1" applyFont="1" applyFill="1" applyAlignment="1"/>
    <xf numFmtId="49" fontId="73" fillId="0" borderId="0" xfId="0" applyNumberFormat="1" applyFont="1" applyFill="1" applyAlignment="1"/>
    <xf numFmtId="179" fontId="50" fillId="15" borderId="0" xfId="0" applyNumberFormat="1" applyFont="1" applyFill="1" applyAlignment="1"/>
    <xf numFmtId="49" fontId="50" fillId="15" borderId="0" xfId="0" applyNumberFormat="1" applyFont="1" applyFill="1" applyAlignment="1"/>
    <xf numFmtId="3" fontId="50" fillId="15" borderId="0" xfId="0" applyNumberFormat="1" applyFont="1" applyFill="1" applyAlignment="1"/>
    <xf numFmtId="180" fontId="74" fillId="0" borderId="0" xfId="0" applyNumberFormat="1" applyFont="1" applyFill="1" applyBorder="1" applyAlignment="1" applyProtection="1">
      <alignment horizontal="center" vertical="center" wrapText="1"/>
    </xf>
    <xf numFmtId="0" fontId="74" fillId="0" borderId="0" xfId="0" applyNumberFormat="1" applyFont="1" applyFill="1" applyBorder="1" applyAlignment="1" applyProtection="1">
      <alignment horizontal="center" vertical="center" wrapText="1"/>
    </xf>
    <xf numFmtId="0" fontId="74" fillId="0" borderId="0" xfId="0" applyNumberFormat="1" applyFont="1" applyFill="1" applyBorder="1" applyAlignment="1" applyProtection="1">
      <alignment vertical="center" wrapText="1"/>
    </xf>
    <xf numFmtId="3" fontId="74" fillId="0" borderId="0" xfId="0" applyNumberFormat="1" applyFont="1" applyFill="1" applyBorder="1" applyAlignment="1" applyProtection="1">
      <alignment vertical="center" wrapText="1"/>
    </xf>
    <xf numFmtId="3" fontId="57" fillId="9" borderId="0" xfId="35" applyNumberFormat="1" applyFont="1" applyFill="1" applyAlignment="1">
      <alignment vertical="center"/>
    </xf>
    <xf numFmtId="3" fontId="75" fillId="9" borderId="0" xfId="13" applyNumberFormat="1" applyFont="1" applyFill="1" applyAlignment="1">
      <alignment horizontal="center" vertical="center"/>
    </xf>
    <xf numFmtId="165" fontId="50" fillId="15" borderId="0" xfId="1" applyNumberFormat="1" applyFont="1" applyFill="1" applyAlignment="1"/>
    <xf numFmtId="165" fontId="74" fillId="0" borderId="0" xfId="1" applyNumberFormat="1" applyFont="1" applyFill="1" applyBorder="1" applyAlignment="1" applyProtection="1">
      <alignment vertical="center" wrapText="1"/>
    </xf>
    <xf numFmtId="0" fontId="0" fillId="40" borderId="8" xfId="0" applyFill="1" applyBorder="1"/>
    <xf numFmtId="167" fontId="14" fillId="40" borderId="8" xfId="1" applyNumberFormat="1" applyFont="1" applyFill="1" applyBorder="1"/>
    <xf numFmtId="0" fontId="0" fillId="40" borderId="8" xfId="0" applyFill="1" applyBorder="1" applyAlignment="1">
      <alignment horizontal="center" vertical="center"/>
    </xf>
    <xf numFmtId="41" fontId="0" fillId="0" borderId="0" xfId="37" applyFont="1"/>
    <xf numFmtId="0" fontId="12" fillId="4" borderId="0" xfId="0" applyFont="1" applyFill="1" applyAlignment="1">
      <alignment horizontal="center"/>
    </xf>
    <xf numFmtId="167" fontId="13" fillId="5" borderId="13" xfId="1" applyNumberFormat="1" applyFont="1" applyFill="1" applyBorder="1" applyAlignment="1">
      <alignment horizontal="center" vertical="center"/>
    </xf>
    <xf numFmtId="167" fontId="13" fillId="5" borderId="18" xfId="1" applyNumberFormat="1" applyFont="1" applyFill="1" applyBorder="1" applyAlignment="1">
      <alignment horizontal="center" vertical="center"/>
    </xf>
    <xf numFmtId="167" fontId="13" fillId="5" borderId="21" xfId="1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166" fontId="10" fillId="0" borderId="10" xfId="1" applyNumberFormat="1" applyFont="1" applyBorder="1" applyAlignment="1">
      <alignment horizontal="center" vertical="center" textRotation="90"/>
    </xf>
    <xf numFmtId="166" fontId="10" fillId="0" borderId="11" xfId="1" applyNumberFormat="1" applyFont="1" applyBorder="1" applyAlignment="1">
      <alignment horizontal="center" vertical="center" textRotation="90"/>
    </xf>
    <xf numFmtId="166" fontId="10" fillId="0" borderId="16" xfId="1" applyNumberFormat="1" applyFont="1" applyBorder="1" applyAlignment="1">
      <alignment horizontal="center" vertical="center" textRotation="90"/>
    </xf>
    <xf numFmtId="2" fontId="4" fillId="2" borderId="1" xfId="2" applyFont="1" applyFill="1" applyBorder="1" applyAlignment="1" applyProtection="1">
      <alignment horizontal="center" vertical="center"/>
    </xf>
    <xf numFmtId="2" fontId="4" fillId="2" borderId="5" xfId="2" applyFont="1" applyFill="1" applyBorder="1" applyAlignment="1" applyProtection="1">
      <alignment horizontal="center" vertical="center"/>
    </xf>
    <xf numFmtId="2" fontId="4" fillId="2" borderId="2" xfId="2" applyFont="1" applyFill="1" applyBorder="1" applyAlignment="1" applyProtection="1">
      <alignment horizontal="center" vertical="center" wrapText="1"/>
    </xf>
    <xf numFmtId="2" fontId="4" fillId="2" borderId="6" xfId="2" applyFont="1" applyFill="1" applyBorder="1" applyAlignment="1" applyProtection="1">
      <alignment horizontal="center" vertical="center" wrapText="1"/>
    </xf>
    <xf numFmtId="2" fontId="4" fillId="2" borderId="3" xfId="2" applyFont="1" applyFill="1" applyBorder="1" applyAlignment="1" applyProtection="1">
      <alignment horizontal="center" vertical="center" wrapText="1"/>
    </xf>
    <xf numFmtId="166" fontId="5" fillId="0" borderId="8" xfId="1" applyNumberFormat="1" applyFont="1" applyBorder="1" applyAlignment="1">
      <alignment horizontal="center" vertical="center" textRotation="90"/>
    </xf>
    <xf numFmtId="166" fontId="9" fillId="0" borderId="10" xfId="1" applyNumberFormat="1" applyFont="1" applyBorder="1" applyAlignment="1">
      <alignment horizontal="center" vertical="center" textRotation="90"/>
    </xf>
    <xf numFmtId="166" fontId="9" fillId="0" borderId="11" xfId="1" applyNumberFormat="1" applyFont="1" applyBorder="1" applyAlignment="1">
      <alignment horizontal="center" vertical="center" textRotation="90"/>
    </xf>
    <xf numFmtId="166" fontId="10" fillId="0" borderId="5" xfId="1" applyNumberFormat="1" applyFont="1" applyBorder="1" applyAlignment="1">
      <alignment horizontal="center" vertical="center" textRotation="90"/>
    </xf>
    <xf numFmtId="14" fontId="34" fillId="0" borderId="0" xfId="7" applyNumberFormat="1" applyFont="1" applyFill="1" applyAlignment="1">
      <alignment horizontal="center"/>
    </xf>
    <xf numFmtId="165" fontId="0" fillId="0" borderId="40" xfId="1" applyNumberFormat="1" applyFont="1" applyBorder="1" applyAlignment="1">
      <alignment horizontal="center" vertical="center"/>
    </xf>
    <xf numFmtId="165" fontId="0" fillId="0" borderId="24" xfId="1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5" fontId="0" fillId="0" borderId="37" xfId="1" applyNumberFormat="1" applyFont="1" applyBorder="1" applyAlignment="1">
      <alignment horizontal="center"/>
    </xf>
    <xf numFmtId="165" fontId="0" fillId="0" borderId="38" xfId="1" applyNumberFormat="1" applyFont="1" applyBorder="1" applyAlignment="1">
      <alignment horizontal="center"/>
    </xf>
    <xf numFmtId="165" fontId="0" fillId="0" borderId="39" xfId="1" applyNumberFormat="1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7" fontId="2" fillId="0" borderId="25" xfId="1" applyNumberFormat="1" applyFont="1" applyBorder="1" applyAlignment="1">
      <alignment horizontal="center" vertical="center"/>
    </xf>
    <xf numFmtId="0" fontId="2" fillId="0" borderId="26" xfId="1" applyNumberFormat="1" applyFont="1" applyBorder="1" applyAlignment="1">
      <alignment horizontal="center" vertical="center"/>
    </xf>
    <xf numFmtId="165" fontId="2" fillId="0" borderId="25" xfId="1" applyNumberFormat="1" applyFont="1" applyBorder="1" applyAlignment="1">
      <alignment horizontal="center" vertical="center"/>
    </xf>
    <xf numFmtId="165" fontId="2" fillId="0" borderId="26" xfId="1" applyNumberFormat="1" applyFont="1" applyBorder="1" applyAlignment="1">
      <alignment horizontal="center" vertical="center"/>
    </xf>
    <xf numFmtId="0" fontId="38" fillId="22" borderId="41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 wrapText="1"/>
    </xf>
    <xf numFmtId="0" fontId="38" fillId="21" borderId="8" xfId="10" applyFont="1" applyFill="1" applyBorder="1" applyAlignment="1">
      <alignment horizontal="center" vertical="center"/>
    </xf>
    <xf numFmtId="0" fontId="38" fillId="22" borderId="42" xfId="10" applyFont="1" applyFill="1" applyBorder="1" applyAlignment="1">
      <alignment horizontal="center" vertical="center"/>
    </xf>
    <xf numFmtId="0" fontId="38" fillId="22" borderId="43" xfId="10" applyFont="1" applyFill="1" applyBorder="1" applyAlignment="1">
      <alignment horizontal="center" vertical="center"/>
    </xf>
    <xf numFmtId="0" fontId="38" fillId="22" borderId="44" xfId="10" applyFont="1" applyFill="1" applyBorder="1" applyAlignment="1">
      <alignment horizontal="center" vertical="center"/>
    </xf>
    <xf numFmtId="0" fontId="38" fillId="21" borderId="42" xfId="10" applyFont="1" applyFill="1" applyBorder="1" applyAlignment="1">
      <alignment horizontal="center" vertical="center"/>
    </xf>
    <xf numFmtId="0" fontId="38" fillId="21" borderId="43" xfId="10" applyFont="1" applyFill="1" applyBorder="1" applyAlignment="1">
      <alignment horizontal="center" vertical="center"/>
    </xf>
    <xf numFmtId="0" fontId="38" fillId="21" borderId="44" xfId="10" applyFont="1" applyFill="1" applyBorder="1" applyAlignment="1">
      <alignment horizontal="center" vertical="center"/>
    </xf>
    <xf numFmtId="0" fontId="38" fillId="23" borderId="42" xfId="10" applyFont="1" applyFill="1" applyBorder="1" applyAlignment="1">
      <alignment horizontal="center" vertical="center"/>
    </xf>
    <xf numFmtId="0" fontId="38" fillId="23" borderId="43" xfId="10" applyFont="1" applyFill="1" applyBorder="1" applyAlignment="1">
      <alignment horizontal="center" vertical="center"/>
    </xf>
    <xf numFmtId="0" fontId="38" fillId="21" borderId="13" xfId="10" applyFont="1" applyFill="1" applyBorder="1" applyAlignment="1">
      <alignment horizontal="center" vertical="center"/>
    </xf>
    <xf numFmtId="0" fontId="38" fillId="21" borderId="18" xfId="10" applyFont="1" applyFill="1" applyBorder="1" applyAlignment="1">
      <alignment horizontal="center" vertical="center"/>
    </xf>
    <xf numFmtId="0" fontId="38" fillId="21" borderId="21" xfId="10" applyFont="1" applyFill="1" applyBorder="1" applyAlignment="1">
      <alignment horizontal="center" vertical="center"/>
    </xf>
    <xf numFmtId="0" fontId="38" fillId="21" borderId="45" xfId="10" applyFont="1" applyFill="1" applyBorder="1" applyAlignment="1">
      <alignment horizontal="center" vertical="center"/>
    </xf>
    <xf numFmtId="0" fontId="38" fillId="21" borderId="46" xfId="10" applyFont="1" applyFill="1" applyBorder="1" applyAlignment="1">
      <alignment horizontal="center" vertical="center"/>
    </xf>
    <xf numFmtId="0" fontId="38" fillId="21" borderId="52" xfId="10" applyFont="1" applyFill="1" applyBorder="1" applyAlignment="1">
      <alignment horizontal="center" vertical="center"/>
    </xf>
    <xf numFmtId="0" fontId="38" fillId="21" borderId="50" xfId="10" applyFont="1" applyFill="1" applyBorder="1" applyAlignment="1">
      <alignment horizontal="center" vertical="center"/>
    </xf>
    <xf numFmtId="0" fontId="38" fillId="24" borderId="47" xfId="10" applyFont="1" applyFill="1" applyBorder="1" applyAlignment="1">
      <alignment horizontal="center" vertical="center" wrapText="1"/>
    </xf>
    <xf numFmtId="0" fontId="38" fillId="24" borderId="54" xfId="10" applyFont="1" applyFill="1" applyBorder="1" applyAlignment="1">
      <alignment horizontal="center" vertical="center" wrapText="1"/>
    </xf>
    <xf numFmtId="0" fontId="38" fillId="24" borderId="48" xfId="10" applyFont="1" applyFill="1" applyBorder="1" applyAlignment="1">
      <alignment horizontal="center" vertical="center" wrapText="1"/>
    </xf>
    <xf numFmtId="0" fontId="38" fillId="24" borderId="45" xfId="10" applyFont="1" applyFill="1" applyBorder="1" applyAlignment="1">
      <alignment horizontal="center" vertical="center" wrapText="1"/>
    </xf>
    <xf numFmtId="0" fontId="38" fillId="21" borderId="49" xfId="10" applyFont="1" applyFill="1" applyBorder="1" applyAlignment="1">
      <alignment horizontal="center" vertical="center"/>
    </xf>
    <xf numFmtId="0" fontId="38" fillId="21" borderId="51" xfId="10" applyFont="1" applyFill="1" applyBorder="1" applyAlignment="1">
      <alignment horizontal="center" vertical="center"/>
    </xf>
    <xf numFmtId="0" fontId="38" fillId="21" borderId="53" xfId="10" applyFont="1" applyFill="1" applyBorder="1" applyAlignment="1">
      <alignment horizontal="center" vertical="center"/>
    </xf>
  </cellXfs>
  <cellStyles count="38">
    <cellStyle name="Excel Built-in Normal 1" xfId="13"/>
    <cellStyle name="Excel Built-in Normal 1 2" xfId="10"/>
    <cellStyle name="Excel Built-in Normal 2" xfId="12"/>
    <cellStyle name="Milliers" xfId="1" builtinId="3"/>
    <cellStyle name="Milliers [0]" xfId="37" builtinId="6"/>
    <cellStyle name="Milliers [0] 2 6" xfId="20"/>
    <cellStyle name="Milliers [0] 2 6 2" xfId="33"/>
    <cellStyle name="Milliers 16" xfId="11"/>
    <cellStyle name="Milliers 2" xfId="3"/>
    <cellStyle name="Milliers 2 2" xfId="5"/>
    <cellStyle name="Milliers 2 7" xfId="18"/>
    <cellStyle name="Milliers 2 7 2" xfId="31"/>
    <cellStyle name="Milliers 24" xfId="16"/>
    <cellStyle name="Milliers 24 2" xfId="29"/>
    <cellStyle name="Milliers 3" xfId="4"/>
    <cellStyle name="Milliers 4" xfId="6"/>
    <cellStyle name="Milliers 5" xfId="8"/>
    <cellStyle name="Milliers 6" xfId="24"/>
    <cellStyle name="Normal" xfId="0" builtinId="0"/>
    <cellStyle name="Normal 2" xfId="7"/>
    <cellStyle name="Normal 2 9" xfId="15"/>
    <cellStyle name="Normal 2 9 2" xfId="28"/>
    <cellStyle name="Normal 3" xfId="9"/>
    <cellStyle name="Normal 3 2" xfId="23"/>
    <cellStyle name="Normal 3 4 3" xfId="19"/>
    <cellStyle name="Normal 3 4 3 2" xfId="32"/>
    <cellStyle name="Normal 3 7" xfId="17"/>
    <cellStyle name="Normal 3 7 2" xfId="30"/>
    <cellStyle name="Normal 4" xfId="22"/>
    <cellStyle name="Normal 5" xfId="25"/>
    <cellStyle name="Normal 5 2" xfId="27"/>
    <cellStyle name="Normal 5 3" xfId="35"/>
    <cellStyle name="Normal 6" xfId="36"/>
    <cellStyle name="Normal_BUDTRESO11" xfId="2"/>
    <cellStyle name="Pourcentage 2 6" xfId="21"/>
    <cellStyle name="Pourcentage 2 6 2" xfId="34"/>
    <cellStyle name="Pourcentage 5" xfId="14"/>
    <cellStyle name="Pourcentage 5 2" xfId="26"/>
  </cellStyles>
  <dxfs count="4">
    <dxf>
      <fill>
        <patternFill patternType="solid">
          <fgColor rgb="FFFFC000"/>
          <bgColor rgb="FF000000"/>
        </patternFill>
      </fill>
    </dxf>
    <dxf>
      <fill>
        <patternFill patternType="solid">
          <fgColor rgb="FF8497B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7030A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DONNES%20XBORDER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DONNES%20XBORDER%202024%20-%20Copi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Flooz_Reportings_Septembre%202024%20Provisoi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Flooz_Reportings_F&#233;vrie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Flooz_Reportings_Octobre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es mois encours"/>
      <sheetName val="DETAILS XBORDER- DEC 2024"/>
      <sheetName val="SITUATION COMPTABLE"/>
      <sheetName val="RECAP"/>
      <sheetName val="Recap Encours"/>
      <sheetName val="Feuil1"/>
      <sheetName val="Feuil4"/>
    </sheetNames>
    <sheetDataSet>
      <sheetData sheetId="0">
        <row r="7">
          <cell r="D7">
            <v>106191</v>
          </cell>
          <cell r="E7">
            <v>3040931885</v>
          </cell>
        </row>
        <row r="8">
          <cell r="D8">
            <v>13212</v>
          </cell>
          <cell r="E8">
            <v>462996782</v>
          </cell>
        </row>
        <row r="9">
          <cell r="D9">
            <v>6578</v>
          </cell>
          <cell r="E9">
            <v>230483565</v>
          </cell>
        </row>
        <row r="10">
          <cell r="D10">
            <v>2217</v>
          </cell>
          <cell r="E10">
            <v>82630281</v>
          </cell>
        </row>
        <row r="11">
          <cell r="D11">
            <v>327</v>
          </cell>
          <cell r="E11">
            <v>6179003</v>
          </cell>
        </row>
        <row r="18">
          <cell r="D18">
            <v>87246</v>
          </cell>
          <cell r="E18">
            <v>2808045332</v>
          </cell>
        </row>
        <row r="19">
          <cell r="D19">
            <v>46209</v>
          </cell>
          <cell r="E19">
            <v>1029434119</v>
          </cell>
        </row>
        <row r="20">
          <cell r="D20">
            <v>22780</v>
          </cell>
          <cell r="E20">
            <v>951986234</v>
          </cell>
        </row>
        <row r="21">
          <cell r="D21">
            <v>11313</v>
          </cell>
          <cell r="E21">
            <v>577841370</v>
          </cell>
        </row>
        <row r="22">
          <cell r="D22">
            <v>1221</v>
          </cell>
          <cell r="E22">
            <v>21620520</v>
          </cell>
        </row>
        <row r="30">
          <cell r="D30">
            <v>302</v>
          </cell>
          <cell r="E30">
            <v>6851133</v>
          </cell>
        </row>
        <row r="31">
          <cell r="D31">
            <v>6</v>
          </cell>
          <cell r="E31">
            <v>6755000</v>
          </cell>
        </row>
        <row r="32">
          <cell r="D32">
            <v>10</v>
          </cell>
          <cell r="E32">
            <v>3312650</v>
          </cell>
        </row>
        <row r="33">
          <cell r="D33">
            <v>29</v>
          </cell>
          <cell r="E33">
            <v>1560087</v>
          </cell>
        </row>
        <row r="34">
          <cell r="D34">
            <v>9</v>
          </cell>
          <cell r="E34">
            <v>381200</v>
          </cell>
        </row>
        <row r="38">
          <cell r="D38">
            <v>1</v>
          </cell>
          <cell r="E38">
            <v>2000</v>
          </cell>
        </row>
        <row r="49">
          <cell r="D49">
            <v>184</v>
          </cell>
          <cell r="E49">
            <v>5618217</v>
          </cell>
        </row>
        <row r="50">
          <cell r="D50">
            <v>39</v>
          </cell>
          <cell r="E50">
            <v>1653300</v>
          </cell>
        </row>
        <row r="51">
          <cell r="D51">
            <v>39</v>
          </cell>
          <cell r="E51">
            <v>1611790</v>
          </cell>
        </row>
        <row r="52">
          <cell r="D52">
            <v>28</v>
          </cell>
          <cell r="E52">
            <v>1056034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Donnes mois encours"/>
      <sheetName val="DETAILS XBORDER-2024"/>
      <sheetName val="SITUATION COMPTABLE"/>
      <sheetName val="RECAP"/>
      <sheetName val="Recap Encours"/>
      <sheetName val="Feuil4"/>
    </sheetNames>
    <sheetDataSet>
      <sheetData sheetId="0" refreshError="1"/>
      <sheetData sheetId="1">
        <row r="7">
          <cell r="D7">
            <v>87069</v>
          </cell>
          <cell r="E7">
            <v>2328260619</v>
          </cell>
        </row>
        <row r="8">
          <cell r="D8">
            <v>10253</v>
          </cell>
          <cell r="E8">
            <v>334808346</v>
          </cell>
        </row>
        <row r="9">
          <cell r="D9">
            <v>5663</v>
          </cell>
          <cell r="E9">
            <v>205374543</v>
          </cell>
        </row>
        <row r="10">
          <cell r="D10">
            <v>1936</v>
          </cell>
          <cell r="E10">
            <v>64342959</v>
          </cell>
        </row>
        <row r="11">
          <cell r="D11">
            <v>294</v>
          </cell>
          <cell r="E11">
            <v>7966041</v>
          </cell>
        </row>
        <row r="18">
          <cell r="D18">
            <v>93812</v>
          </cell>
          <cell r="E18">
            <v>2767602818</v>
          </cell>
        </row>
        <row r="19">
          <cell r="D19">
            <v>26647</v>
          </cell>
          <cell r="E19">
            <v>971452490</v>
          </cell>
        </row>
        <row r="20">
          <cell r="D20">
            <v>47696</v>
          </cell>
          <cell r="E20">
            <v>958655720</v>
          </cell>
        </row>
        <row r="21">
          <cell r="D21">
            <v>12122</v>
          </cell>
          <cell r="E21">
            <v>570427232</v>
          </cell>
        </row>
        <row r="30">
          <cell r="D30">
            <v>262</v>
          </cell>
          <cell r="E30">
            <v>5822801</v>
          </cell>
        </row>
        <row r="31">
          <cell r="D31">
            <v>3</v>
          </cell>
          <cell r="E31">
            <v>1321550</v>
          </cell>
        </row>
        <row r="32">
          <cell r="D32">
            <v>26</v>
          </cell>
          <cell r="E32">
            <v>991994</v>
          </cell>
        </row>
        <row r="33">
          <cell r="D33">
            <v>10</v>
          </cell>
          <cell r="E33">
            <v>387000</v>
          </cell>
        </row>
        <row r="34">
          <cell r="D34">
            <v>5</v>
          </cell>
          <cell r="E34">
            <v>150500</v>
          </cell>
        </row>
        <row r="38">
          <cell r="D38">
            <v>2</v>
          </cell>
          <cell r="E38">
            <v>8100</v>
          </cell>
        </row>
        <row r="49">
          <cell r="D49">
            <v>230</v>
          </cell>
          <cell r="E49">
            <v>6648635</v>
          </cell>
        </row>
        <row r="50">
          <cell r="D50">
            <v>49</v>
          </cell>
          <cell r="E50">
            <v>4750780</v>
          </cell>
        </row>
        <row r="51">
          <cell r="D51">
            <v>73</v>
          </cell>
          <cell r="E51">
            <v>2445123</v>
          </cell>
        </row>
        <row r="52">
          <cell r="D52">
            <v>33</v>
          </cell>
          <cell r="E52">
            <v>717600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2021"/>
      <sheetName val="Feb2021"/>
      <sheetName val="Mar2021"/>
      <sheetName val="Apr2021"/>
      <sheetName val="May2021"/>
      <sheetName val="June2021"/>
      <sheetName val="June2021 estim"/>
      <sheetName val="June2021 consolidé"/>
      <sheetName val="July2021"/>
      <sheetName val="August2021"/>
      <sheetName val="Septement2021"/>
      <sheetName val="Octobre2021"/>
      <sheetName val="Novembre2021"/>
      <sheetName val="Decembre2021"/>
      <sheetName val="Janvier 22"/>
      <sheetName val="Février 22"/>
      <sheetName val="Mars 22"/>
      <sheetName val="Avril 22"/>
      <sheetName val="Mai 22"/>
      <sheetName val="Juin 22"/>
      <sheetName val="Juillet 22"/>
      <sheetName val="Août 22"/>
      <sheetName val="Sept 22"/>
      <sheetName val="Octobre 22"/>
      <sheetName val="Novembre 22"/>
      <sheetName val="Décembre 22"/>
      <sheetName val="Janvier 23"/>
      <sheetName val="Février 23"/>
      <sheetName val="Mars 23 PROVI"/>
      <sheetName val="Mars 23"/>
      <sheetName val="Avril 23"/>
      <sheetName val="Feuil7"/>
      <sheetName val="Mai 23"/>
      <sheetName val="Juin 23"/>
      <sheetName val="Juillet 23"/>
      <sheetName val="Août 23"/>
      <sheetName val="Sept 23"/>
      <sheetName val="Oct 23"/>
      <sheetName val="Sept 23 PROV"/>
      <sheetName val="Nov 23"/>
      <sheetName val="Déc 23"/>
      <sheetName val="Janv 24 "/>
      <sheetName val="Fév 24"/>
      <sheetName val="Mars Prov 24"/>
      <sheetName val="Mars 24"/>
      <sheetName val="Avril 24"/>
      <sheetName val="Mai 24 "/>
      <sheetName val="Juin Prov 24"/>
      <sheetName val="Juin Prov 24 (2)"/>
      <sheetName val="Juil Prov 24"/>
      <sheetName val="Juin 24"/>
      <sheetName val="Juil 24"/>
      <sheetName val="Août 24"/>
      <sheetName val="Sept 24 Prov"/>
      <sheetName val="MT"/>
      <sheetName val="FLOOZ"/>
      <sheetName val="Réal Glob"/>
      <sheetName val="PROJECTION DEC 22"/>
      <sheetName val="Feuil6"/>
      <sheetName val="Sept 22 Provisoire"/>
      <sheetName val="Feuil5"/>
      <sheetName val="Feuil5 (2)"/>
      <sheetName val="Feuil4"/>
      <sheetName val="Feuil2"/>
      <sheetName val="Mars 22 Prov"/>
      <sheetName val="Feuil1"/>
      <sheetName val="Mars 2022 hh"/>
      <sheetName val="Feuil3"/>
      <sheetName val="transf int"/>
      <sheetName val="Dec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6">
          <cell r="BJ36">
            <v>3807529.8293571295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v 24 "/>
      <sheetName val="Fév 24"/>
      <sheetName val="Mars 24"/>
      <sheetName val="Avril 24"/>
      <sheetName val="Mai 24 "/>
      <sheetName val="Juin 24"/>
      <sheetName val="Juil 24"/>
      <sheetName val="Août 24"/>
      <sheetName val="Sept 24"/>
      <sheetName val="Oct 24"/>
      <sheetName val="Nov 24"/>
      <sheetName val="Déc 24"/>
      <sheetName val="Janv 25"/>
      <sheetName val="Févr 25"/>
      <sheetName val="Estimé "/>
      <sheetName val="Contribution 5% "/>
      <sheetName val="MT"/>
      <sheetName val="FLOOZ"/>
      <sheetName val="REC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0">
          <cell r="AY40">
            <v>35404</v>
          </cell>
          <cell r="BA40">
            <v>564420911</v>
          </cell>
          <cell r="BC40">
            <v>12804758</v>
          </cell>
        </row>
        <row r="45">
          <cell r="AQ45">
            <v>4190572905</v>
          </cell>
          <cell r="AR45">
            <v>6581960</v>
          </cell>
        </row>
        <row r="100">
          <cell r="BA100">
            <v>564420911</v>
          </cell>
          <cell r="BB100">
            <v>10851489.830508474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2021"/>
      <sheetName val="Feb2021"/>
      <sheetName val="Mar2021"/>
      <sheetName val="Apr2021"/>
      <sheetName val="May2021"/>
      <sheetName val="June2021"/>
      <sheetName val="June2021 estim"/>
      <sheetName val="June2021 consolidé"/>
      <sheetName val="July2021"/>
      <sheetName val="August2021"/>
      <sheetName val="Septement2021"/>
      <sheetName val="Octobre2021"/>
      <sheetName val="Novembre2021"/>
      <sheetName val="Decembre2021"/>
      <sheetName val="Janvier 22"/>
      <sheetName val="Février 22"/>
      <sheetName val="Mars 22"/>
      <sheetName val="Avril 22"/>
      <sheetName val="Mai 22"/>
      <sheetName val="Juin 22"/>
      <sheetName val="Juillet 22"/>
      <sheetName val="Août 22"/>
      <sheetName val="Sept 22"/>
      <sheetName val="Octobre 22"/>
      <sheetName val="Novembre 22"/>
      <sheetName val="Décembre 22"/>
      <sheetName val="Janvier 23"/>
      <sheetName val="Février 23"/>
      <sheetName val="Mars 23 PROVI"/>
      <sheetName val="Mars 23"/>
      <sheetName val="Avril 23"/>
      <sheetName val="Feuil7"/>
      <sheetName val="Mai 23"/>
      <sheetName val="Juin 23"/>
      <sheetName val="Juillet 23"/>
      <sheetName val="Août 23"/>
      <sheetName val="Sept 23"/>
      <sheetName val="Oct 23"/>
      <sheetName val="Sept 23 PROV"/>
      <sheetName val="Nov 23"/>
      <sheetName val="Déc 23"/>
      <sheetName val="Janv 24 "/>
      <sheetName val="Fév 24"/>
      <sheetName val="Mars Prov 24"/>
      <sheetName val="Mars 24"/>
      <sheetName val="Avril 24"/>
      <sheetName val="Mai 24 "/>
      <sheetName val="Juin Prov 24"/>
      <sheetName val="Juin Prov 24 (2)"/>
      <sheetName val="Juil Prov 24"/>
      <sheetName val="Juin 24"/>
      <sheetName val="Juil 24"/>
      <sheetName val="Août 24"/>
      <sheetName val="Sept 24 Prov"/>
      <sheetName val="Sept 24"/>
      <sheetName val="Oct 24"/>
      <sheetName val="MT"/>
      <sheetName val="FLOOZ"/>
      <sheetName val="Réal Glob"/>
      <sheetName val="PROJECTION DEC 22"/>
      <sheetName val="Feuil6"/>
      <sheetName val="Sept 22 Provisoire"/>
      <sheetName val="Feuil5"/>
      <sheetName val="Feuil5 (2)"/>
      <sheetName val="Feuil4"/>
      <sheetName val="Feuil2"/>
      <sheetName val="Mars 22 Prov"/>
      <sheetName val="Feuil1"/>
      <sheetName val="Mars 2022 hh"/>
      <sheetName val="Feuil3"/>
      <sheetName val="transf int"/>
      <sheetName val="Dec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36">
          <cell r="BJ36">
            <v>2224966.8022633642</v>
          </cell>
        </row>
        <row r="44">
          <cell r="BG44">
            <v>2148440.7008000002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I226"/>
  <sheetViews>
    <sheetView topLeftCell="B1" workbookViewId="0">
      <selection activeCell="E227" sqref="E227"/>
    </sheetView>
  </sheetViews>
  <sheetFormatPr baseColWidth="10" defaultRowHeight="14.5"/>
  <cols>
    <col min="1" max="1" width="17.6328125" bestFit="1" customWidth="1"/>
    <col min="2" max="2" width="63.90625" customWidth="1"/>
    <col min="3" max="3" width="25" customWidth="1"/>
    <col min="4" max="4" width="19.6328125" customWidth="1"/>
    <col min="5" max="5" width="21" customWidth="1"/>
    <col min="6" max="6" width="23.08984375" customWidth="1"/>
    <col min="7" max="7" width="12.90625" customWidth="1"/>
    <col min="9" max="9" width="12.36328125" bestFit="1" customWidth="1"/>
  </cols>
  <sheetData>
    <row r="3" spans="1:9" ht="26">
      <c r="B3" s="564" t="s">
        <v>317</v>
      </c>
      <c r="C3" s="564"/>
    </row>
    <row r="4" spans="1:9" hidden="1"/>
    <row r="5" spans="1:9" ht="20" hidden="1">
      <c r="B5" s="23" t="s">
        <v>309</v>
      </c>
      <c r="C5" s="565" t="s">
        <v>46</v>
      </c>
      <c r="D5" s="566"/>
      <c r="E5" s="565" t="s">
        <v>47</v>
      </c>
      <c r="F5" s="567"/>
      <c r="G5" s="568" t="s">
        <v>48</v>
      </c>
    </row>
    <row r="6" spans="1:9" ht="30.5" hidden="1">
      <c r="B6" s="23"/>
      <c r="C6" s="25" t="s">
        <v>49</v>
      </c>
      <c r="D6" s="26" t="s">
        <v>50</v>
      </c>
      <c r="E6" s="27" t="s">
        <v>51</v>
      </c>
      <c r="F6" s="28" t="s">
        <v>52</v>
      </c>
      <c r="G6" s="569"/>
    </row>
    <row r="7" spans="1:9" ht="19" hidden="1" thickBot="1">
      <c r="A7" s="91">
        <v>44805</v>
      </c>
      <c r="B7" s="92" t="s">
        <v>318</v>
      </c>
      <c r="C7" s="93"/>
      <c r="D7" s="93"/>
      <c r="E7" s="94">
        <v>38691299</v>
      </c>
      <c r="F7" s="95" t="s">
        <v>319</v>
      </c>
      <c r="G7" s="95" t="s">
        <v>154</v>
      </c>
      <c r="I7" s="90"/>
    </row>
    <row r="8" spans="1:9" ht="19" hidden="1" thickBot="1">
      <c r="B8" s="96" t="s">
        <v>320</v>
      </c>
      <c r="C8" s="97"/>
      <c r="D8" s="97"/>
      <c r="E8" s="98">
        <v>1209250</v>
      </c>
      <c r="F8" s="99" t="s">
        <v>321</v>
      </c>
      <c r="G8" s="99" t="s">
        <v>58</v>
      </c>
    </row>
    <row r="9" spans="1:9" ht="19" thickBot="1">
      <c r="B9" s="100" t="s">
        <v>312</v>
      </c>
      <c r="C9" s="101"/>
      <c r="D9" s="101"/>
      <c r="E9" s="102">
        <v>363177</v>
      </c>
      <c r="F9" s="103"/>
      <c r="G9" s="103" t="s">
        <v>53</v>
      </c>
      <c r="I9" s="90">
        <f>E9+E32+E36+E37+E56+E102+E125</f>
        <v>828015131</v>
      </c>
    </row>
    <row r="10" spans="1:9" ht="19" hidden="1" thickBot="1">
      <c r="B10" s="96" t="s">
        <v>322</v>
      </c>
      <c r="C10" s="97"/>
      <c r="D10" s="97"/>
      <c r="E10" s="98">
        <v>792000</v>
      </c>
      <c r="F10" s="99"/>
      <c r="G10" s="99" t="s">
        <v>54</v>
      </c>
      <c r="I10" s="90">
        <f>E9+E32+E36+E37+E56+E102+E125+E44</f>
        <v>2610923646</v>
      </c>
    </row>
    <row r="11" spans="1:9" ht="19" hidden="1" thickBot="1">
      <c r="B11" s="96" t="s">
        <v>322</v>
      </c>
      <c r="C11" s="97"/>
      <c r="D11" s="97"/>
      <c r="E11" s="98">
        <v>792000</v>
      </c>
      <c r="F11" s="99"/>
      <c r="G11" s="99" t="s">
        <v>57</v>
      </c>
      <c r="I11" s="90">
        <f>I10-837564094</f>
        <v>1773359552</v>
      </c>
    </row>
    <row r="12" spans="1:9" ht="19" hidden="1" thickBot="1">
      <c r="B12" s="96" t="s">
        <v>323</v>
      </c>
      <c r="C12" s="97"/>
      <c r="D12" s="97"/>
      <c r="E12" s="98">
        <v>119698</v>
      </c>
      <c r="F12" s="99"/>
      <c r="G12" s="99"/>
      <c r="I12" s="90">
        <f>E9+E32+E36+E37+E56+E102+E125+E44</f>
        <v>2610923646</v>
      </c>
    </row>
    <row r="13" spans="1:9" ht="19" hidden="1" thickBot="1">
      <c r="A13" s="91">
        <v>44806</v>
      </c>
      <c r="B13" s="96" t="s">
        <v>98</v>
      </c>
      <c r="C13" s="97"/>
      <c r="D13" s="97"/>
      <c r="E13" s="98">
        <v>243145577</v>
      </c>
      <c r="F13" s="99" t="s">
        <v>324</v>
      </c>
      <c r="G13" s="99" t="s">
        <v>64</v>
      </c>
    </row>
    <row r="14" spans="1:9" ht="19" hidden="1" thickBot="1">
      <c r="B14" s="96" t="s">
        <v>325</v>
      </c>
      <c r="C14" s="97"/>
      <c r="D14" s="97"/>
      <c r="E14" s="98">
        <v>5558327</v>
      </c>
      <c r="F14" s="99" t="s">
        <v>326</v>
      </c>
      <c r="G14" s="99" t="s">
        <v>54</v>
      </c>
    </row>
    <row r="15" spans="1:9" ht="19" hidden="1" thickBot="1">
      <c r="B15" s="96" t="s">
        <v>238</v>
      </c>
      <c r="C15" s="97"/>
      <c r="D15" s="97"/>
      <c r="E15" s="98">
        <v>28324</v>
      </c>
      <c r="F15" s="99" t="s">
        <v>327</v>
      </c>
      <c r="G15" s="99" t="s">
        <v>54</v>
      </c>
    </row>
    <row r="16" spans="1:9" ht="19" hidden="1" thickBot="1">
      <c r="B16" s="96" t="s">
        <v>299</v>
      </c>
      <c r="C16" s="97"/>
      <c r="D16" s="97"/>
      <c r="E16" s="98">
        <v>4008991</v>
      </c>
      <c r="F16" s="99" t="s">
        <v>328</v>
      </c>
      <c r="G16" s="99" t="s">
        <v>55</v>
      </c>
    </row>
    <row r="17" spans="1:9" ht="19" hidden="1" thickBot="1">
      <c r="B17" s="96" t="s">
        <v>329</v>
      </c>
      <c r="C17" s="97"/>
      <c r="D17" s="97"/>
      <c r="E17" s="98">
        <v>1742400</v>
      </c>
      <c r="F17" s="99" t="s">
        <v>330</v>
      </c>
      <c r="G17" s="99" t="s">
        <v>55</v>
      </c>
    </row>
    <row r="18" spans="1:9" ht="19" hidden="1" thickBot="1">
      <c r="B18" s="96" t="s">
        <v>331</v>
      </c>
      <c r="C18" s="97"/>
      <c r="D18" s="97"/>
      <c r="E18" s="98">
        <v>22890175</v>
      </c>
      <c r="F18" s="99" t="s">
        <v>332</v>
      </c>
      <c r="G18" s="99" t="s">
        <v>58</v>
      </c>
    </row>
    <row r="19" spans="1:9" ht="19" hidden="1" thickBot="1">
      <c r="B19" s="96" t="s">
        <v>333</v>
      </c>
      <c r="C19" s="97"/>
      <c r="D19" s="97"/>
      <c r="E19" s="98">
        <v>1756920</v>
      </c>
      <c r="F19" s="99" t="s">
        <v>334</v>
      </c>
      <c r="G19" s="99" t="s">
        <v>58</v>
      </c>
    </row>
    <row r="20" spans="1:9" ht="19" hidden="1" thickBot="1">
      <c r="B20" s="96" t="s">
        <v>248</v>
      </c>
      <c r="C20" s="97"/>
      <c r="D20" s="97"/>
      <c r="E20" s="98">
        <v>580000</v>
      </c>
      <c r="F20" s="99"/>
      <c r="G20" s="99" t="s">
        <v>54</v>
      </c>
    </row>
    <row r="21" spans="1:9" ht="19" hidden="1" thickBot="1">
      <c r="A21" s="106">
        <v>44809</v>
      </c>
      <c r="B21" s="107" t="s">
        <v>63</v>
      </c>
      <c r="C21" s="108"/>
      <c r="D21" s="108"/>
      <c r="E21" s="109">
        <v>143148385</v>
      </c>
      <c r="F21" s="110" t="s">
        <v>335</v>
      </c>
      <c r="G21" s="110" t="s">
        <v>56</v>
      </c>
      <c r="I21" s="90"/>
    </row>
    <row r="22" spans="1:9" ht="24" hidden="1" thickBot="1">
      <c r="A22" s="111"/>
      <c r="B22" s="96" t="s">
        <v>336</v>
      </c>
      <c r="C22" s="97"/>
      <c r="D22" s="97"/>
      <c r="E22" s="98">
        <v>66320586</v>
      </c>
      <c r="F22" s="99" t="s">
        <v>337</v>
      </c>
      <c r="G22" s="99" t="s">
        <v>55</v>
      </c>
    </row>
    <row r="23" spans="1:9" ht="24" hidden="1" thickBot="1">
      <c r="A23" s="111"/>
      <c r="B23" s="96" t="s">
        <v>265</v>
      </c>
      <c r="C23" s="97"/>
      <c r="D23" s="97"/>
      <c r="E23" s="98">
        <v>19134526</v>
      </c>
      <c r="F23" s="99" t="s">
        <v>338</v>
      </c>
      <c r="G23" s="99" t="s">
        <v>55</v>
      </c>
    </row>
    <row r="24" spans="1:9" ht="24" hidden="1" thickBot="1">
      <c r="A24" s="111"/>
      <c r="B24" s="112" t="s">
        <v>199</v>
      </c>
      <c r="C24" s="113"/>
      <c r="D24" s="113"/>
      <c r="E24" s="114">
        <v>138112797</v>
      </c>
      <c r="F24" s="115" t="s">
        <v>339</v>
      </c>
      <c r="G24" s="115" t="s">
        <v>55</v>
      </c>
      <c r="I24" s="90"/>
    </row>
    <row r="25" spans="1:9" ht="24" hidden="1" thickBot="1">
      <c r="A25" s="111"/>
      <c r="B25" s="96" t="s">
        <v>340</v>
      </c>
      <c r="C25" s="97"/>
      <c r="D25" s="97"/>
      <c r="E25" s="98">
        <v>1495582</v>
      </c>
      <c r="F25" s="99" t="s">
        <v>341</v>
      </c>
      <c r="G25" s="99" t="s">
        <v>58</v>
      </c>
      <c r="I25" s="90"/>
    </row>
    <row r="26" spans="1:9" ht="24" hidden="1" thickBot="1">
      <c r="A26" s="111"/>
      <c r="B26" s="96" t="s">
        <v>342</v>
      </c>
      <c r="C26" s="97"/>
      <c r="D26" s="97"/>
      <c r="E26" s="98">
        <v>10350000</v>
      </c>
      <c r="F26" s="99" t="s">
        <v>343</v>
      </c>
      <c r="G26" s="99" t="s">
        <v>60</v>
      </c>
    </row>
    <row r="27" spans="1:9" ht="24" hidden="1" thickBot="1">
      <c r="A27" s="111"/>
      <c r="B27" s="112" t="s">
        <v>344</v>
      </c>
      <c r="C27" s="113"/>
      <c r="D27" s="113"/>
      <c r="E27" s="114">
        <v>5000000</v>
      </c>
      <c r="F27" s="115" t="s">
        <v>345</v>
      </c>
      <c r="G27" s="115" t="s">
        <v>64</v>
      </c>
    </row>
    <row r="28" spans="1:9" ht="24" hidden="1" thickBot="1">
      <c r="A28" s="111"/>
      <c r="B28" s="116" t="s">
        <v>96</v>
      </c>
      <c r="C28" s="117"/>
      <c r="D28" s="118"/>
      <c r="E28" s="117">
        <v>790608871</v>
      </c>
      <c r="F28" s="119"/>
      <c r="G28" s="119"/>
    </row>
    <row r="29" spans="1:9" ht="21.5" hidden="1" thickBot="1">
      <c r="A29" s="120">
        <v>44810</v>
      </c>
      <c r="B29" s="96" t="s">
        <v>346</v>
      </c>
      <c r="C29" s="97"/>
      <c r="D29" s="97"/>
      <c r="E29" s="98">
        <v>145500</v>
      </c>
      <c r="F29" s="99"/>
      <c r="G29" s="99" t="s">
        <v>54</v>
      </c>
    </row>
    <row r="30" spans="1:9" ht="24" hidden="1" thickBot="1">
      <c r="A30" s="111"/>
      <c r="B30" s="96" t="s">
        <v>347</v>
      </c>
      <c r="C30" s="97"/>
      <c r="D30" s="97"/>
      <c r="E30" s="98">
        <v>3167102</v>
      </c>
      <c r="F30" s="99"/>
      <c r="G30" s="99" t="s">
        <v>54</v>
      </c>
    </row>
    <row r="31" spans="1:9" ht="24" hidden="1" thickBot="1">
      <c r="A31" s="111"/>
      <c r="B31" s="96" t="s">
        <v>348</v>
      </c>
      <c r="C31" s="97"/>
      <c r="D31" s="97"/>
      <c r="E31" s="98">
        <v>2904000</v>
      </c>
      <c r="F31" s="99"/>
      <c r="G31" s="99" t="s">
        <v>54</v>
      </c>
    </row>
    <row r="32" spans="1:9" ht="24" thickBot="1">
      <c r="A32" s="111"/>
      <c r="B32" s="100" t="s">
        <v>96</v>
      </c>
      <c r="C32" s="101"/>
      <c r="D32" s="102"/>
      <c r="E32" s="102">
        <v>778329941</v>
      </c>
      <c r="F32" s="103"/>
      <c r="G32" s="103"/>
      <c r="I32" s="90">
        <f>+E32+500000000</f>
        <v>1278329941</v>
      </c>
    </row>
    <row r="33" spans="1:7" ht="24" hidden="1" thickBot="1">
      <c r="A33" s="111"/>
      <c r="B33" s="96" t="s">
        <v>349</v>
      </c>
      <c r="C33" s="97"/>
      <c r="D33" s="98"/>
      <c r="E33" s="98">
        <v>638880</v>
      </c>
      <c r="F33" s="99"/>
      <c r="G33" s="99" t="s">
        <v>58</v>
      </c>
    </row>
    <row r="34" spans="1:7" ht="24" hidden="1" thickBot="1">
      <c r="A34" s="111"/>
      <c r="B34" s="96" t="s">
        <v>350</v>
      </c>
      <c r="C34" s="97"/>
      <c r="D34" s="98"/>
      <c r="E34" s="98">
        <v>660000</v>
      </c>
      <c r="F34" s="99"/>
      <c r="G34" s="99" t="s">
        <v>58</v>
      </c>
    </row>
    <row r="35" spans="1:7" ht="24" hidden="1" thickBot="1">
      <c r="A35" s="111"/>
      <c r="B35" s="96" t="s">
        <v>351</v>
      </c>
      <c r="C35" s="97"/>
      <c r="D35" s="98"/>
      <c r="E35" s="98">
        <v>638080</v>
      </c>
      <c r="F35" s="99"/>
      <c r="G35" s="99" t="s">
        <v>311</v>
      </c>
    </row>
    <row r="36" spans="1:7" ht="24" thickBot="1">
      <c r="A36" s="121">
        <v>44811</v>
      </c>
      <c r="B36" s="100" t="s">
        <v>312</v>
      </c>
      <c r="C36" s="101"/>
      <c r="D36" s="102"/>
      <c r="E36" s="102">
        <v>5429813</v>
      </c>
      <c r="F36" s="103"/>
      <c r="G36" s="103" t="s">
        <v>53</v>
      </c>
    </row>
    <row r="37" spans="1:7" ht="24" thickBot="1">
      <c r="A37" s="111"/>
      <c r="B37" s="100" t="s">
        <v>312</v>
      </c>
      <c r="C37" s="101"/>
      <c r="D37" s="102"/>
      <c r="E37" s="102">
        <v>16603913</v>
      </c>
      <c r="F37" s="103"/>
      <c r="G37" s="103" t="s">
        <v>53</v>
      </c>
    </row>
    <row r="38" spans="1:7" ht="24" hidden="1" thickBot="1">
      <c r="A38" s="121">
        <v>44812</v>
      </c>
      <c r="B38" s="96" t="s">
        <v>352</v>
      </c>
      <c r="C38" s="98"/>
      <c r="D38" s="97"/>
      <c r="E38" s="98">
        <v>290000000</v>
      </c>
      <c r="F38" s="99"/>
      <c r="G38" s="99" t="s">
        <v>53</v>
      </c>
    </row>
    <row r="39" spans="1:7" ht="24" hidden="1" thickBot="1">
      <c r="A39" s="111"/>
      <c r="B39" s="122" t="s">
        <v>353</v>
      </c>
      <c r="C39" s="123"/>
      <c r="D39" s="123"/>
      <c r="E39" s="124">
        <v>283500</v>
      </c>
      <c r="F39" s="125" t="s">
        <v>354</v>
      </c>
      <c r="G39" s="125" t="s">
        <v>56</v>
      </c>
    </row>
    <row r="40" spans="1:7" ht="24" hidden="1" thickBot="1">
      <c r="A40" s="121">
        <v>44813</v>
      </c>
      <c r="B40" s="122" t="s">
        <v>355</v>
      </c>
      <c r="C40" s="123"/>
      <c r="D40" s="123"/>
      <c r="E40" s="124">
        <v>1149589</v>
      </c>
      <c r="F40" s="126"/>
      <c r="G40" s="125" t="s">
        <v>54</v>
      </c>
    </row>
    <row r="41" spans="1:7" ht="24" hidden="1" thickBot="1">
      <c r="A41" s="111"/>
      <c r="B41" s="96" t="s">
        <v>356</v>
      </c>
      <c r="C41" s="97"/>
      <c r="D41" s="97"/>
      <c r="E41" s="98">
        <v>4312500</v>
      </c>
      <c r="F41" s="99" t="s">
        <v>357</v>
      </c>
      <c r="G41" s="99" t="s">
        <v>58</v>
      </c>
    </row>
    <row r="42" spans="1:7" ht="24" hidden="1" thickBot="1">
      <c r="A42" s="121">
        <v>44816</v>
      </c>
      <c r="B42" s="129" t="s">
        <v>271</v>
      </c>
      <c r="C42" s="97"/>
      <c r="D42" s="97"/>
      <c r="E42" s="98">
        <v>3000000</v>
      </c>
      <c r="F42" s="97"/>
      <c r="G42" s="130" t="s">
        <v>54</v>
      </c>
    </row>
    <row r="43" spans="1:7" ht="24" hidden="1" thickBot="1">
      <c r="A43" s="111"/>
      <c r="B43" s="129" t="s">
        <v>358</v>
      </c>
      <c r="C43" s="97"/>
      <c r="D43" s="97"/>
      <c r="E43" s="98">
        <v>633600</v>
      </c>
      <c r="F43" s="97" t="s">
        <v>359</v>
      </c>
      <c r="G43" s="130" t="s">
        <v>55</v>
      </c>
    </row>
    <row r="44" spans="1:7" ht="24" hidden="1" thickBot="1">
      <c r="A44" s="111"/>
      <c r="B44" s="127" t="s">
        <v>360</v>
      </c>
      <c r="C44" s="104"/>
      <c r="D44" s="104"/>
      <c r="E44" s="105">
        <v>1782908515</v>
      </c>
      <c r="F44" s="104"/>
      <c r="G44" s="128" t="s">
        <v>58</v>
      </c>
    </row>
    <row r="45" spans="1:7" ht="24" hidden="1" thickBot="1">
      <c r="A45" s="121">
        <v>44817</v>
      </c>
      <c r="B45" s="129" t="s">
        <v>361</v>
      </c>
      <c r="C45" s="97"/>
      <c r="D45" s="97"/>
      <c r="E45" s="98">
        <v>2885850</v>
      </c>
      <c r="F45" s="97" t="s">
        <v>362</v>
      </c>
      <c r="G45" s="130" t="s">
        <v>56</v>
      </c>
    </row>
    <row r="46" spans="1:7" ht="24" hidden="1" thickBot="1">
      <c r="A46" s="111"/>
      <c r="B46" s="129" t="s">
        <v>363</v>
      </c>
      <c r="C46" s="97"/>
      <c r="D46" s="97"/>
      <c r="E46" s="98">
        <v>132000</v>
      </c>
      <c r="F46" s="97" t="s">
        <v>364</v>
      </c>
      <c r="G46" s="130" t="s">
        <v>56</v>
      </c>
    </row>
    <row r="47" spans="1:7" ht="24" hidden="1" thickBot="1">
      <c r="A47" s="111"/>
      <c r="B47" s="129" t="s">
        <v>365</v>
      </c>
      <c r="C47" s="97"/>
      <c r="D47" s="97"/>
      <c r="E47" s="98">
        <v>618412</v>
      </c>
      <c r="F47" s="97" t="s">
        <v>366</v>
      </c>
      <c r="G47" s="130" t="s">
        <v>55</v>
      </c>
    </row>
    <row r="48" spans="1:7" ht="24" hidden="1" thickBot="1">
      <c r="A48" s="111"/>
      <c r="B48" s="129" t="s">
        <v>358</v>
      </c>
      <c r="C48" s="97"/>
      <c r="D48" s="97"/>
      <c r="E48" s="98">
        <v>633600</v>
      </c>
      <c r="F48" s="97" t="s">
        <v>359</v>
      </c>
      <c r="G48" s="130" t="s">
        <v>55</v>
      </c>
    </row>
    <row r="49" spans="1:7" ht="24" hidden="1" thickBot="1">
      <c r="A49" s="111"/>
      <c r="B49" s="129" t="s">
        <v>367</v>
      </c>
      <c r="C49" s="97"/>
      <c r="D49" s="97"/>
      <c r="E49" s="98">
        <v>877920</v>
      </c>
      <c r="F49" s="97" t="s">
        <v>368</v>
      </c>
      <c r="G49" s="130" t="s">
        <v>54</v>
      </c>
    </row>
    <row r="50" spans="1:7" ht="24" hidden="1" thickBot="1">
      <c r="A50" s="111"/>
      <c r="B50" s="129" t="s">
        <v>315</v>
      </c>
      <c r="C50" s="97"/>
      <c r="D50" s="97"/>
      <c r="E50" s="98">
        <v>5320231</v>
      </c>
      <c r="F50" s="97" t="s">
        <v>369</v>
      </c>
      <c r="G50" s="130" t="s">
        <v>58</v>
      </c>
    </row>
    <row r="51" spans="1:7" ht="24" hidden="1" thickBot="1">
      <c r="A51" s="111"/>
      <c r="B51" s="129" t="s">
        <v>370</v>
      </c>
      <c r="C51" s="97"/>
      <c r="D51" s="97"/>
      <c r="E51" s="98">
        <v>106842333</v>
      </c>
      <c r="F51" s="97" t="s">
        <v>371</v>
      </c>
      <c r="G51" s="130" t="s">
        <v>64</v>
      </c>
    </row>
    <row r="52" spans="1:7" ht="24" hidden="1" thickBot="1">
      <c r="A52" s="111"/>
      <c r="B52" s="129" t="s">
        <v>276</v>
      </c>
      <c r="C52" s="97"/>
      <c r="D52" s="97"/>
      <c r="E52" s="98">
        <v>660000</v>
      </c>
      <c r="F52" s="97"/>
      <c r="G52" s="130" t="s">
        <v>57</v>
      </c>
    </row>
    <row r="53" spans="1:7" ht="24" hidden="1" thickBot="1">
      <c r="A53" s="111"/>
      <c r="B53" s="129" t="s">
        <v>372</v>
      </c>
      <c r="C53" s="97"/>
      <c r="D53" s="97"/>
      <c r="E53" s="98">
        <v>1472000</v>
      </c>
      <c r="F53" s="97"/>
      <c r="G53" s="130" t="s">
        <v>56</v>
      </c>
    </row>
    <row r="54" spans="1:7" ht="24" hidden="1" thickBot="1">
      <c r="A54" s="111"/>
      <c r="B54" s="129" t="s">
        <v>373</v>
      </c>
      <c r="C54" s="97"/>
      <c r="D54" s="97"/>
      <c r="E54" s="98">
        <v>726000</v>
      </c>
      <c r="F54" s="97"/>
      <c r="G54" s="130" t="s">
        <v>60</v>
      </c>
    </row>
    <row r="55" spans="1:7" ht="24" hidden="1" thickBot="1">
      <c r="A55" s="111" t="s">
        <v>374</v>
      </c>
      <c r="B55" s="129" t="s">
        <v>375</v>
      </c>
      <c r="C55" s="97">
        <v>0</v>
      </c>
      <c r="D55" s="97"/>
      <c r="E55" s="98">
        <v>660000</v>
      </c>
      <c r="F55" s="97">
        <v>0</v>
      </c>
      <c r="G55" s="130" t="s">
        <v>57</v>
      </c>
    </row>
    <row r="56" spans="1:7" ht="24" thickBot="1">
      <c r="A56" s="111"/>
      <c r="B56" s="131" t="s">
        <v>376</v>
      </c>
      <c r="C56" s="102"/>
      <c r="D56" s="101"/>
      <c r="E56" s="102">
        <v>18357889</v>
      </c>
      <c r="F56" s="101"/>
      <c r="G56" s="132" t="s">
        <v>57</v>
      </c>
    </row>
    <row r="57" spans="1:7" ht="24" hidden="1" thickBot="1">
      <c r="A57" s="111"/>
      <c r="B57" s="129" t="s">
        <v>377</v>
      </c>
      <c r="C57" s="98"/>
      <c r="D57" s="97"/>
      <c r="E57" s="98">
        <v>500000</v>
      </c>
      <c r="F57" s="97"/>
      <c r="G57" s="130" t="s">
        <v>56</v>
      </c>
    </row>
    <row r="58" spans="1:7" ht="24" hidden="1" thickBot="1">
      <c r="A58" s="111"/>
      <c r="B58" s="129" t="s">
        <v>378</v>
      </c>
      <c r="C58" s="98"/>
      <c r="D58" s="97"/>
      <c r="E58" s="98">
        <v>540000</v>
      </c>
      <c r="F58" s="97"/>
      <c r="G58" s="130" t="s">
        <v>56</v>
      </c>
    </row>
    <row r="59" spans="1:7" ht="24" hidden="1" thickBot="1">
      <c r="A59" s="111"/>
      <c r="B59" s="129" t="s">
        <v>379</v>
      </c>
      <c r="C59" s="98"/>
      <c r="D59" s="97"/>
      <c r="E59" s="98">
        <v>1044780</v>
      </c>
      <c r="F59" s="97"/>
      <c r="G59" s="130" t="s">
        <v>56</v>
      </c>
    </row>
    <row r="60" spans="1:7" ht="24" hidden="1" thickBot="1">
      <c r="A60" s="111"/>
      <c r="B60" s="129" t="s">
        <v>380</v>
      </c>
      <c r="C60" s="97">
        <v>0</v>
      </c>
      <c r="D60" s="97"/>
      <c r="E60" s="98">
        <v>2085850</v>
      </c>
      <c r="F60" s="97"/>
      <c r="G60" s="130" t="s">
        <v>54</v>
      </c>
    </row>
    <row r="61" spans="1:7" ht="24" hidden="1" thickBot="1">
      <c r="A61" s="111"/>
      <c r="B61" s="129" t="s">
        <v>314</v>
      </c>
      <c r="C61" s="98"/>
      <c r="D61" s="97"/>
      <c r="E61" s="98">
        <v>359667786</v>
      </c>
      <c r="F61" s="97"/>
      <c r="G61" s="130" t="s">
        <v>90</v>
      </c>
    </row>
    <row r="62" spans="1:7" ht="24" hidden="1" thickBot="1">
      <c r="A62" s="111"/>
      <c r="B62" s="129" t="s">
        <v>314</v>
      </c>
      <c r="C62" s="97"/>
      <c r="D62" s="97"/>
      <c r="E62" s="98">
        <v>373559245</v>
      </c>
      <c r="F62" s="97"/>
      <c r="G62" s="130" t="s">
        <v>90</v>
      </c>
    </row>
    <row r="63" spans="1:7" ht="24" hidden="1" thickBot="1">
      <c r="A63" s="121">
        <v>44819</v>
      </c>
      <c r="B63" s="129" t="s">
        <v>310</v>
      </c>
      <c r="C63" s="97"/>
      <c r="D63" s="97"/>
      <c r="E63" s="98">
        <v>554013</v>
      </c>
      <c r="F63" s="98"/>
      <c r="G63" s="130"/>
    </row>
    <row r="64" spans="1:7" ht="24" hidden="1" thickBot="1">
      <c r="A64" s="111"/>
      <c r="B64" s="129" t="s">
        <v>316</v>
      </c>
      <c r="C64" s="97"/>
      <c r="D64" s="97"/>
      <c r="E64" s="98">
        <v>2100000</v>
      </c>
      <c r="F64" s="97" t="s">
        <v>381</v>
      </c>
      <c r="G64" s="130" t="s">
        <v>64</v>
      </c>
    </row>
    <row r="65" spans="1:7" ht="24" hidden="1" thickBot="1">
      <c r="A65" s="111"/>
      <c r="B65" s="129" t="s">
        <v>382</v>
      </c>
      <c r="C65" s="97"/>
      <c r="D65" s="97"/>
      <c r="E65" s="98">
        <v>13287000</v>
      </c>
      <c r="F65" s="97" t="s">
        <v>383</v>
      </c>
      <c r="G65" s="130" t="s">
        <v>64</v>
      </c>
    </row>
    <row r="66" spans="1:7" ht="24" hidden="1" thickBot="1">
      <c r="A66" s="111"/>
      <c r="B66" s="129" t="s">
        <v>384</v>
      </c>
      <c r="C66" s="97"/>
      <c r="D66" s="97"/>
      <c r="E66" s="98">
        <v>798600</v>
      </c>
      <c r="F66" s="97" t="s">
        <v>385</v>
      </c>
      <c r="G66" s="130" t="s">
        <v>54</v>
      </c>
    </row>
    <row r="67" spans="1:7" ht="24" hidden="1" thickBot="1">
      <c r="A67" s="111"/>
      <c r="B67" s="129" t="s">
        <v>386</v>
      </c>
      <c r="C67" s="97"/>
      <c r="D67" s="97"/>
      <c r="E67" s="98">
        <v>5050869</v>
      </c>
      <c r="F67" s="97" t="s">
        <v>387</v>
      </c>
      <c r="G67" s="130" t="s">
        <v>58</v>
      </c>
    </row>
    <row r="68" spans="1:7" ht="24" hidden="1" thickBot="1">
      <c r="A68" s="111"/>
      <c r="B68" s="129" t="s">
        <v>388</v>
      </c>
      <c r="C68" s="97"/>
      <c r="D68" s="97"/>
      <c r="E68" s="98">
        <v>610189</v>
      </c>
      <c r="F68" s="97" t="s">
        <v>389</v>
      </c>
      <c r="G68" s="130" t="s">
        <v>58</v>
      </c>
    </row>
    <row r="69" spans="1:7" ht="24" hidden="1" thickBot="1">
      <c r="A69" s="111"/>
      <c r="B69" s="129" t="s">
        <v>331</v>
      </c>
      <c r="C69" s="97"/>
      <c r="D69" s="97"/>
      <c r="E69" s="98">
        <v>28239400</v>
      </c>
      <c r="F69" s="97" t="s">
        <v>390</v>
      </c>
      <c r="G69" s="130" t="s">
        <v>58</v>
      </c>
    </row>
    <row r="70" spans="1:7" ht="24" hidden="1" thickBot="1">
      <c r="A70" s="111"/>
      <c r="B70" s="129" t="s">
        <v>391</v>
      </c>
      <c r="C70" s="97"/>
      <c r="D70" s="97"/>
      <c r="E70" s="98">
        <v>660000</v>
      </c>
      <c r="F70" s="97" t="s">
        <v>392</v>
      </c>
      <c r="G70" s="130" t="s">
        <v>56</v>
      </c>
    </row>
    <row r="71" spans="1:7" ht="24" hidden="1" thickBot="1">
      <c r="A71" s="111"/>
      <c r="B71" s="129" t="s">
        <v>231</v>
      </c>
      <c r="C71" s="97"/>
      <c r="D71" s="97"/>
      <c r="E71" s="98">
        <v>924000</v>
      </c>
      <c r="F71" s="97" t="s">
        <v>393</v>
      </c>
      <c r="G71" s="130" t="s">
        <v>56</v>
      </c>
    </row>
    <row r="72" spans="1:7" ht="24" hidden="1" thickBot="1">
      <c r="A72" s="111"/>
      <c r="B72" s="129" t="s">
        <v>394</v>
      </c>
      <c r="C72" s="98"/>
      <c r="D72" s="97"/>
      <c r="E72" s="98">
        <v>3000000</v>
      </c>
      <c r="F72" s="97"/>
      <c r="G72" s="130" t="s">
        <v>54</v>
      </c>
    </row>
    <row r="73" spans="1:7" ht="24" hidden="1" thickBot="1">
      <c r="A73" s="111"/>
      <c r="B73" s="129" t="s">
        <v>395</v>
      </c>
      <c r="C73" s="98"/>
      <c r="D73" s="97"/>
      <c r="E73" s="98">
        <v>1765260</v>
      </c>
      <c r="F73" s="97"/>
      <c r="G73" s="130" t="s">
        <v>54</v>
      </c>
    </row>
    <row r="74" spans="1:7" ht="24" hidden="1" thickBot="1">
      <c r="A74" s="111"/>
      <c r="B74" s="129" t="s">
        <v>396</v>
      </c>
      <c r="C74" s="98"/>
      <c r="D74" s="97"/>
      <c r="E74" s="98">
        <v>528000</v>
      </c>
      <c r="F74" s="97"/>
      <c r="G74" s="130" t="s">
        <v>54</v>
      </c>
    </row>
    <row r="75" spans="1:7" ht="24" hidden="1" thickBot="1">
      <c r="A75" s="111"/>
      <c r="B75" s="129" t="s">
        <v>293</v>
      </c>
      <c r="C75" s="98"/>
      <c r="D75" s="97"/>
      <c r="E75" s="98">
        <v>184679</v>
      </c>
      <c r="F75" s="97"/>
      <c r="G75" s="130" t="s">
        <v>55</v>
      </c>
    </row>
    <row r="76" spans="1:7" ht="24" hidden="1" thickBot="1">
      <c r="A76" s="111"/>
      <c r="B76" s="129" t="s">
        <v>397</v>
      </c>
      <c r="C76" s="98"/>
      <c r="D76" s="97"/>
      <c r="E76" s="98">
        <v>4025576</v>
      </c>
      <c r="F76" s="97"/>
      <c r="G76" s="130" t="s">
        <v>55</v>
      </c>
    </row>
    <row r="77" spans="1:7" ht="24" hidden="1" thickBot="1">
      <c r="A77" s="111"/>
      <c r="B77" s="129" t="s">
        <v>398</v>
      </c>
      <c r="C77" s="97"/>
      <c r="D77" s="97"/>
      <c r="E77" s="98">
        <v>712800</v>
      </c>
      <c r="F77" s="97"/>
      <c r="G77" s="130" t="s">
        <v>58</v>
      </c>
    </row>
    <row r="78" spans="1:7" ht="24" hidden="1" thickBot="1">
      <c r="A78" s="111"/>
      <c r="B78" s="129" t="s">
        <v>59</v>
      </c>
      <c r="C78" s="97"/>
      <c r="D78" s="97"/>
      <c r="E78" s="98">
        <v>348310</v>
      </c>
      <c r="F78" s="97"/>
      <c r="G78" s="130" t="s">
        <v>58</v>
      </c>
    </row>
    <row r="79" spans="1:7" ht="24" hidden="1" thickBot="1">
      <c r="A79" s="111"/>
      <c r="B79" s="129" t="s">
        <v>399</v>
      </c>
      <c r="C79" s="97"/>
      <c r="D79" s="97"/>
      <c r="E79" s="98">
        <v>528000</v>
      </c>
      <c r="F79" s="97"/>
      <c r="G79" s="130" t="s">
        <v>60</v>
      </c>
    </row>
    <row r="80" spans="1:7" ht="24" hidden="1" thickBot="1">
      <c r="A80" s="121">
        <v>44820</v>
      </c>
      <c r="B80" s="129" t="s">
        <v>400</v>
      </c>
      <c r="C80" s="97"/>
      <c r="D80" s="97"/>
      <c r="E80" s="98">
        <v>726000</v>
      </c>
      <c r="F80" s="97">
        <v>0</v>
      </c>
      <c r="G80" s="130" t="s">
        <v>57</v>
      </c>
    </row>
    <row r="81" spans="1:7" ht="24" hidden="1" thickBot="1">
      <c r="A81" s="111"/>
      <c r="B81" s="129" t="s">
        <v>401</v>
      </c>
      <c r="C81" s="98"/>
      <c r="D81" s="97"/>
      <c r="E81" s="98">
        <v>1584000</v>
      </c>
      <c r="F81" s="97"/>
      <c r="G81" s="130" t="s">
        <v>57</v>
      </c>
    </row>
    <row r="82" spans="1:7" ht="24" hidden="1" thickBot="1">
      <c r="A82" s="111"/>
      <c r="B82" s="129" t="s">
        <v>402</v>
      </c>
      <c r="C82" s="98"/>
      <c r="D82" s="97"/>
      <c r="E82" s="98">
        <v>528000</v>
      </c>
      <c r="F82" s="97"/>
      <c r="G82" s="130" t="s">
        <v>56</v>
      </c>
    </row>
    <row r="83" spans="1:7" ht="24" hidden="1" thickBot="1">
      <c r="A83" s="111"/>
      <c r="B83" s="129" t="s">
        <v>403</v>
      </c>
      <c r="C83" s="98"/>
      <c r="D83" s="97"/>
      <c r="E83" s="98">
        <v>900000</v>
      </c>
      <c r="F83" s="97"/>
      <c r="G83" s="130" t="s">
        <v>56</v>
      </c>
    </row>
    <row r="84" spans="1:7" ht="24" hidden="1" thickBot="1">
      <c r="A84" s="111"/>
      <c r="B84" s="129" t="s">
        <v>404</v>
      </c>
      <c r="C84" s="98"/>
      <c r="D84" s="97"/>
      <c r="E84" s="98">
        <v>924000</v>
      </c>
      <c r="F84" s="97"/>
      <c r="G84" s="130" t="s">
        <v>56</v>
      </c>
    </row>
    <row r="85" spans="1:7" ht="24" hidden="1" thickBot="1">
      <c r="A85" s="111"/>
      <c r="B85" s="129" t="s">
        <v>231</v>
      </c>
      <c r="C85" s="98"/>
      <c r="D85" s="97"/>
      <c r="E85" s="98">
        <v>924000</v>
      </c>
      <c r="F85" s="97"/>
      <c r="G85" s="130" t="s">
        <v>56</v>
      </c>
    </row>
    <row r="86" spans="1:7" ht="24" hidden="1" thickBot="1">
      <c r="A86" s="111"/>
      <c r="B86" s="133" t="s">
        <v>405</v>
      </c>
      <c r="C86" s="114"/>
      <c r="D86" s="113"/>
      <c r="E86" s="114">
        <v>4000000</v>
      </c>
      <c r="F86" s="113"/>
      <c r="G86" s="134" t="s">
        <v>56</v>
      </c>
    </row>
    <row r="87" spans="1:7" ht="24" hidden="1" thickBot="1">
      <c r="A87" s="111"/>
      <c r="B87" s="135" t="s">
        <v>406</v>
      </c>
      <c r="C87" s="124"/>
      <c r="D87" s="123"/>
      <c r="E87" s="124">
        <v>42612000</v>
      </c>
      <c r="F87" s="123"/>
      <c r="G87" s="136" t="s">
        <v>56</v>
      </c>
    </row>
    <row r="88" spans="1:7" ht="24" hidden="1" thickBot="1">
      <c r="A88" s="111"/>
      <c r="B88" s="129" t="s">
        <v>407</v>
      </c>
      <c r="C88" s="98"/>
      <c r="D88" s="97"/>
      <c r="E88" s="98">
        <v>1848000</v>
      </c>
      <c r="F88" s="97"/>
      <c r="G88" s="130" t="s">
        <v>54</v>
      </c>
    </row>
    <row r="89" spans="1:7" ht="24" hidden="1" thickBot="1">
      <c r="A89" s="111"/>
      <c r="B89" s="129" t="s">
        <v>408</v>
      </c>
      <c r="C89" s="98"/>
      <c r="D89" s="97"/>
      <c r="E89" s="98">
        <v>1473430</v>
      </c>
      <c r="F89" s="97"/>
      <c r="G89" s="130" t="s">
        <v>54</v>
      </c>
    </row>
    <row r="90" spans="1:7" ht="24" hidden="1" thickBot="1">
      <c r="A90" s="111"/>
      <c r="B90" s="129" t="s">
        <v>100</v>
      </c>
      <c r="C90" s="98"/>
      <c r="D90" s="97"/>
      <c r="E90" s="98">
        <v>9978404</v>
      </c>
      <c r="F90" s="97"/>
      <c r="G90" s="130" t="s">
        <v>55</v>
      </c>
    </row>
    <row r="91" spans="1:7" ht="24" hidden="1" thickBot="1">
      <c r="A91" s="111"/>
      <c r="B91" s="129" t="s">
        <v>171</v>
      </c>
      <c r="C91" s="97"/>
      <c r="D91" s="97"/>
      <c r="E91" s="98">
        <v>38827996</v>
      </c>
      <c r="F91" s="97"/>
      <c r="G91" s="130" t="s">
        <v>58</v>
      </c>
    </row>
    <row r="92" spans="1:7" ht="24" hidden="1" thickBot="1">
      <c r="A92" s="111"/>
      <c r="B92" s="129" t="s">
        <v>95</v>
      </c>
      <c r="C92" s="97"/>
      <c r="D92" s="97"/>
      <c r="E92" s="98">
        <v>5103974</v>
      </c>
      <c r="F92" s="97"/>
      <c r="G92" s="130" t="s">
        <v>58</v>
      </c>
    </row>
    <row r="93" spans="1:7" ht="24" hidden="1" thickBot="1">
      <c r="A93" s="121">
        <v>44823</v>
      </c>
      <c r="B93" s="129" t="s">
        <v>409</v>
      </c>
      <c r="C93" s="97"/>
      <c r="D93" s="97"/>
      <c r="E93" s="98">
        <v>660000</v>
      </c>
      <c r="F93" s="97"/>
      <c r="G93" s="130" t="s">
        <v>56</v>
      </c>
    </row>
    <row r="94" spans="1:7" ht="24" hidden="1" thickBot="1">
      <c r="A94" s="111"/>
      <c r="B94" s="129" t="s">
        <v>410</v>
      </c>
      <c r="C94" s="97"/>
      <c r="D94" s="97"/>
      <c r="E94" s="98">
        <v>660000</v>
      </c>
      <c r="F94" s="97"/>
      <c r="G94" s="130" t="s">
        <v>56</v>
      </c>
    </row>
    <row r="95" spans="1:7" ht="24" hidden="1" thickBot="1">
      <c r="A95" s="111"/>
      <c r="B95" s="129" t="s">
        <v>411</v>
      </c>
      <c r="C95" s="97"/>
      <c r="D95" s="97"/>
      <c r="E95" s="98">
        <v>1431000</v>
      </c>
      <c r="F95" s="97"/>
      <c r="G95" s="130" t="s">
        <v>56</v>
      </c>
    </row>
    <row r="96" spans="1:7" ht="24" hidden="1" thickBot="1">
      <c r="A96" s="111"/>
      <c r="B96" s="129" t="s">
        <v>70</v>
      </c>
      <c r="C96" s="97"/>
      <c r="D96" s="97"/>
      <c r="E96" s="98">
        <v>12476580</v>
      </c>
      <c r="F96" s="97"/>
      <c r="G96" s="130" t="s">
        <v>56</v>
      </c>
    </row>
    <row r="97" spans="1:7" ht="24" hidden="1" thickBot="1">
      <c r="A97" s="111"/>
      <c r="B97" s="129" t="s">
        <v>412</v>
      </c>
      <c r="C97" s="98"/>
      <c r="D97" s="97"/>
      <c r="E97" s="98">
        <v>1320000</v>
      </c>
      <c r="F97" s="97"/>
      <c r="G97" s="130" t="s">
        <v>54</v>
      </c>
    </row>
    <row r="98" spans="1:7" ht="24" hidden="1" thickBot="1">
      <c r="A98" s="111"/>
      <c r="B98" s="133" t="s">
        <v>413</v>
      </c>
      <c r="C98" s="113"/>
      <c r="D98" s="113"/>
      <c r="E98" s="114">
        <v>20957154</v>
      </c>
      <c r="F98" s="113"/>
      <c r="G98" s="134" t="s">
        <v>60</v>
      </c>
    </row>
    <row r="99" spans="1:7" ht="24" hidden="1" thickBot="1">
      <c r="A99" s="111"/>
      <c r="B99" s="129" t="s">
        <v>221</v>
      </c>
      <c r="C99" s="97"/>
      <c r="D99" s="97"/>
      <c r="E99" s="98">
        <v>4600000</v>
      </c>
      <c r="F99" s="97"/>
      <c r="G99" s="130" t="s">
        <v>60</v>
      </c>
    </row>
    <row r="100" spans="1:7" ht="24" hidden="1" thickBot="1">
      <c r="A100" s="111"/>
      <c r="B100" s="129" t="s">
        <v>414</v>
      </c>
      <c r="C100" s="97"/>
      <c r="D100" s="97"/>
      <c r="E100" s="98">
        <v>61515383</v>
      </c>
      <c r="F100" s="97"/>
      <c r="G100" s="130"/>
    </row>
    <row r="101" spans="1:7" ht="24" hidden="1" thickBot="1">
      <c r="A101" s="111"/>
      <c r="B101" s="129" t="s">
        <v>96</v>
      </c>
      <c r="C101" s="98"/>
      <c r="D101" s="97"/>
      <c r="E101" s="98">
        <f>30133313+67825</f>
        <v>30201138</v>
      </c>
      <c r="F101" s="97"/>
      <c r="G101" s="130" t="s">
        <v>53</v>
      </c>
    </row>
    <row r="102" spans="1:7" ht="24" thickBot="1">
      <c r="A102" s="121">
        <v>44824</v>
      </c>
      <c r="B102" s="131" t="s">
        <v>96</v>
      </c>
      <c r="C102" s="101"/>
      <c r="D102" s="101"/>
      <c r="E102" s="102">
        <v>7241278</v>
      </c>
      <c r="F102" s="101"/>
      <c r="G102" s="132" t="s">
        <v>53</v>
      </c>
    </row>
    <row r="103" spans="1:7" ht="24" hidden="1" thickBot="1">
      <c r="A103" s="111"/>
      <c r="B103" s="129" t="s">
        <v>415</v>
      </c>
      <c r="C103" s="97"/>
      <c r="D103" s="97"/>
      <c r="E103" s="98">
        <v>580800</v>
      </c>
      <c r="F103" s="97"/>
      <c r="G103" s="130" t="s">
        <v>54</v>
      </c>
    </row>
    <row r="104" spans="1:7" ht="24" hidden="1" thickBot="1">
      <c r="A104" s="111"/>
      <c r="B104" s="129" t="s">
        <v>416</v>
      </c>
      <c r="C104" s="97"/>
      <c r="D104" s="97"/>
      <c r="E104" s="98">
        <v>21919284</v>
      </c>
      <c r="F104" s="97"/>
      <c r="G104" s="130" t="s">
        <v>54</v>
      </c>
    </row>
    <row r="105" spans="1:7" ht="24" hidden="1" thickBot="1">
      <c r="A105" s="111"/>
      <c r="B105" s="129" t="s">
        <v>110</v>
      </c>
      <c r="C105" s="97"/>
      <c r="D105" s="97"/>
      <c r="E105" s="98">
        <v>61801612</v>
      </c>
      <c r="F105" s="97"/>
      <c r="G105" s="130" t="s">
        <v>56</v>
      </c>
    </row>
    <row r="106" spans="1:7" ht="24" hidden="1" thickBot="1">
      <c r="A106" s="111"/>
      <c r="B106" s="129" t="s">
        <v>417</v>
      </c>
      <c r="C106" s="97"/>
      <c r="D106" s="97"/>
      <c r="E106" s="98">
        <v>924000</v>
      </c>
      <c r="F106" s="97"/>
      <c r="G106" s="130" t="s">
        <v>311</v>
      </c>
    </row>
    <row r="107" spans="1:7" ht="24" hidden="1" thickBot="1">
      <c r="A107" s="121">
        <v>44825</v>
      </c>
      <c r="B107" s="129" t="s">
        <v>418</v>
      </c>
      <c r="C107" s="97"/>
      <c r="D107" s="97"/>
      <c r="E107" s="98">
        <v>694600</v>
      </c>
      <c r="F107" s="97"/>
      <c r="G107" s="130" t="s">
        <v>54</v>
      </c>
    </row>
    <row r="108" spans="1:7" ht="24" hidden="1" thickBot="1">
      <c r="A108" s="111"/>
      <c r="B108" s="129" t="s">
        <v>419</v>
      </c>
      <c r="C108" s="97"/>
      <c r="D108" s="97"/>
      <c r="E108" s="98">
        <v>900000</v>
      </c>
      <c r="F108" s="97"/>
      <c r="G108" s="130" t="s">
        <v>54</v>
      </c>
    </row>
    <row r="109" spans="1:7" ht="24" hidden="1" thickBot="1">
      <c r="A109" s="111"/>
      <c r="B109" s="129" t="s">
        <v>420</v>
      </c>
      <c r="C109" s="97"/>
      <c r="D109" s="97"/>
      <c r="E109" s="98">
        <v>813419</v>
      </c>
      <c r="F109" s="97"/>
      <c r="G109" s="130" t="s">
        <v>54</v>
      </c>
    </row>
    <row r="110" spans="1:7" ht="24" hidden="1" thickBot="1">
      <c r="A110" s="111"/>
      <c r="B110" s="129" t="s">
        <v>313</v>
      </c>
      <c r="C110" s="97"/>
      <c r="D110" s="97"/>
      <c r="E110" s="98">
        <v>1837718</v>
      </c>
      <c r="F110" s="97"/>
      <c r="G110" s="130" t="s">
        <v>56</v>
      </c>
    </row>
    <row r="111" spans="1:7" ht="24" hidden="1" thickBot="1">
      <c r="A111" s="111"/>
      <c r="B111" s="129" t="s">
        <v>421</v>
      </c>
      <c r="C111" s="97"/>
      <c r="D111" s="97"/>
      <c r="E111" s="98">
        <v>396000</v>
      </c>
      <c r="F111" s="97"/>
      <c r="G111" s="130" t="s">
        <v>56</v>
      </c>
    </row>
    <row r="112" spans="1:7" ht="24" hidden="1" thickBot="1">
      <c r="A112" s="111"/>
      <c r="B112" s="129" t="s">
        <v>148</v>
      </c>
      <c r="C112" s="97"/>
      <c r="D112" s="97"/>
      <c r="E112" s="98">
        <v>450000</v>
      </c>
      <c r="F112" s="97"/>
      <c r="G112" s="130" t="s">
        <v>56</v>
      </c>
    </row>
    <row r="113" spans="1:7" ht="24" hidden="1" thickBot="1">
      <c r="A113" s="111"/>
      <c r="B113" s="129" t="s">
        <v>422</v>
      </c>
      <c r="C113" s="97"/>
      <c r="D113" s="97"/>
      <c r="E113" s="98">
        <v>500000</v>
      </c>
      <c r="F113" s="97"/>
      <c r="G113" s="130" t="s">
        <v>56</v>
      </c>
    </row>
    <row r="114" spans="1:7" ht="24" hidden="1" thickBot="1">
      <c r="A114" s="111"/>
      <c r="B114" s="129" t="s">
        <v>418</v>
      </c>
      <c r="C114" s="97"/>
      <c r="D114" s="97"/>
      <c r="E114" s="98">
        <v>588800</v>
      </c>
      <c r="F114" s="97"/>
      <c r="G114" s="130" t="s">
        <v>56</v>
      </c>
    </row>
    <row r="115" spans="1:7" ht="24" hidden="1" thickBot="1">
      <c r="A115" s="111"/>
      <c r="B115" s="129" t="s">
        <v>423</v>
      </c>
      <c r="C115" s="97"/>
      <c r="D115" s="97"/>
      <c r="E115" s="98">
        <v>600000</v>
      </c>
      <c r="F115" s="97"/>
      <c r="G115" s="130" t="s">
        <v>56</v>
      </c>
    </row>
    <row r="116" spans="1:7" ht="24" hidden="1" thickBot="1">
      <c r="A116" s="111"/>
      <c r="B116" s="129" t="s">
        <v>424</v>
      </c>
      <c r="C116" s="97"/>
      <c r="D116" s="97"/>
      <c r="E116" s="98">
        <v>660000</v>
      </c>
      <c r="F116" s="97"/>
      <c r="G116" s="130" t="s">
        <v>56</v>
      </c>
    </row>
    <row r="117" spans="1:7" ht="24" hidden="1" thickBot="1">
      <c r="A117" s="111"/>
      <c r="B117" s="129" t="s">
        <v>179</v>
      </c>
      <c r="C117" s="97"/>
      <c r="D117" s="97"/>
      <c r="E117" s="98">
        <v>726000</v>
      </c>
      <c r="F117" s="97"/>
      <c r="G117" s="130" t="s">
        <v>56</v>
      </c>
    </row>
    <row r="118" spans="1:7" ht="24" hidden="1" thickBot="1">
      <c r="A118" s="111"/>
      <c r="B118" s="129" t="s">
        <v>425</v>
      </c>
      <c r="C118" s="97"/>
      <c r="D118" s="97"/>
      <c r="E118" s="98">
        <v>792000</v>
      </c>
      <c r="F118" s="97"/>
      <c r="G118" s="130" t="s">
        <v>56</v>
      </c>
    </row>
    <row r="119" spans="1:7" ht="24" hidden="1" thickBot="1">
      <c r="A119" s="111"/>
      <c r="B119" s="129" t="s">
        <v>426</v>
      </c>
      <c r="C119" s="97"/>
      <c r="D119" s="97"/>
      <c r="E119" s="98">
        <v>1288320</v>
      </c>
      <c r="F119" s="97"/>
      <c r="G119" s="130" t="s">
        <v>56</v>
      </c>
    </row>
    <row r="120" spans="1:7" ht="24" hidden="1" thickBot="1">
      <c r="A120" s="111"/>
      <c r="B120" s="129" t="s">
        <v>427</v>
      </c>
      <c r="C120" s="97"/>
      <c r="D120" s="97"/>
      <c r="E120" s="98">
        <v>1516680</v>
      </c>
      <c r="F120" s="97"/>
      <c r="G120" s="130" t="s">
        <v>56</v>
      </c>
    </row>
    <row r="121" spans="1:7" ht="24" hidden="1" thickBot="1">
      <c r="A121" s="111"/>
      <c r="B121" s="137" t="s">
        <v>63</v>
      </c>
      <c r="C121" s="138"/>
      <c r="D121" s="138"/>
      <c r="E121" s="139">
        <v>2358978</v>
      </c>
      <c r="F121" s="138"/>
      <c r="G121" s="140" t="s">
        <v>56</v>
      </c>
    </row>
    <row r="122" spans="1:7" ht="24" hidden="1" thickBot="1">
      <c r="A122" s="111"/>
      <c r="B122" s="129" t="s">
        <v>428</v>
      </c>
      <c r="C122" s="97"/>
      <c r="D122" s="97"/>
      <c r="E122" s="98">
        <v>5278509</v>
      </c>
      <c r="F122" s="97"/>
      <c r="G122" s="130" t="s">
        <v>56</v>
      </c>
    </row>
    <row r="123" spans="1:7" ht="24" hidden="1" thickBot="1">
      <c r="A123" s="111"/>
      <c r="B123" s="135" t="s">
        <v>429</v>
      </c>
      <c r="C123" s="123"/>
      <c r="D123" s="123"/>
      <c r="E123" s="124">
        <v>13276451</v>
      </c>
      <c r="F123" s="123"/>
      <c r="G123" s="136" t="s">
        <v>56</v>
      </c>
    </row>
    <row r="124" spans="1:7" ht="24" hidden="1" thickBot="1">
      <c r="A124" s="121">
        <v>44826</v>
      </c>
      <c r="B124" s="129" t="s">
        <v>268</v>
      </c>
      <c r="C124" s="97"/>
      <c r="D124" s="97"/>
      <c r="E124" s="98">
        <v>4828139</v>
      </c>
      <c r="F124" s="97"/>
      <c r="G124" s="130" t="s">
        <v>58</v>
      </c>
    </row>
    <row r="125" spans="1:7" ht="24" thickBot="1">
      <c r="A125" s="111"/>
      <c r="B125" s="131" t="s">
        <v>430</v>
      </c>
      <c r="C125" s="101"/>
      <c r="D125" s="101"/>
      <c r="E125" s="102">
        <v>1689120</v>
      </c>
      <c r="F125" s="101"/>
      <c r="G125" s="132" t="s">
        <v>57</v>
      </c>
    </row>
    <row r="126" spans="1:7" ht="24" hidden="1" thickBot="1">
      <c r="A126" s="111"/>
      <c r="B126" s="129" t="s">
        <v>68</v>
      </c>
      <c r="C126" s="97"/>
      <c r="D126" s="97"/>
      <c r="E126" s="98">
        <v>8545661</v>
      </c>
      <c r="F126" s="97"/>
      <c r="G126" s="130"/>
    </row>
    <row r="127" spans="1:7" ht="24" hidden="1" thickBot="1">
      <c r="A127" s="111"/>
      <c r="B127" s="129" t="s">
        <v>431</v>
      </c>
      <c r="C127" s="97"/>
      <c r="D127" s="97"/>
      <c r="E127" s="98">
        <v>1800000</v>
      </c>
      <c r="F127" s="97"/>
      <c r="G127" s="130" t="s">
        <v>154</v>
      </c>
    </row>
    <row r="128" spans="1:7" ht="24" hidden="1" thickBot="1">
      <c r="A128" s="111"/>
      <c r="B128" s="129" t="s">
        <v>432</v>
      </c>
      <c r="C128" s="97"/>
      <c r="D128" s="97"/>
      <c r="E128" s="98">
        <v>18877876</v>
      </c>
      <c r="F128" s="97"/>
      <c r="G128" s="130" t="s">
        <v>154</v>
      </c>
    </row>
    <row r="129" spans="1:7" ht="24" hidden="1" thickBot="1">
      <c r="A129" s="111"/>
      <c r="B129" s="129" t="s">
        <v>194</v>
      </c>
      <c r="C129" s="97"/>
      <c r="D129" s="97"/>
      <c r="E129" s="98">
        <v>2518710</v>
      </c>
      <c r="F129" s="97"/>
      <c r="G129" s="130" t="s">
        <v>154</v>
      </c>
    </row>
    <row r="130" spans="1:7" hidden="1">
      <c r="A130" s="141"/>
    </row>
    <row r="131" spans="1:7" hidden="1">
      <c r="B131" s="4"/>
      <c r="C131" s="4"/>
      <c r="D131" s="4"/>
      <c r="E131" s="4"/>
      <c r="F131" s="4"/>
      <c r="G131" s="4"/>
    </row>
    <row r="132" spans="1:7" hidden="1">
      <c r="B132" s="4"/>
      <c r="C132" s="4"/>
      <c r="D132" s="4"/>
      <c r="E132" s="4"/>
      <c r="F132" s="4"/>
      <c r="G132" s="4"/>
    </row>
    <row r="133" spans="1:7" hidden="1"/>
    <row r="134" spans="1:7" hidden="1"/>
    <row r="135" spans="1:7" hidden="1"/>
    <row r="136" spans="1:7" hidden="1"/>
    <row r="137" spans="1:7" ht="18.5" hidden="1">
      <c r="B137" s="570" t="s">
        <v>73</v>
      </c>
      <c r="C137" s="571"/>
    </row>
    <row r="138" spans="1:7" hidden="1"/>
    <row r="139" spans="1:7" ht="18.5" hidden="1">
      <c r="B139" s="41" t="s">
        <v>74</v>
      </c>
      <c r="C139" s="41" t="s">
        <v>51</v>
      </c>
    </row>
    <row r="140" spans="1:7" ht="21" hidden="1">
      <c r="B140" s="42">
        <v>44817</v>
      </c>
      <c r="C140" s="43">
        <v>91542974</v>
      </c>
    </row>
    <row r="141" spans="1:7" ht="21" hidden="1">
      <c r="B141" s="42">
        <v>44818</v>
      </c>
      <c r="C141" s="43">
        <v>32677475</v>
      </c>
    </row>
    <row r="142" spans="1:7" ht="21" hidden="1">
      <c r="B142" s="42">
        <v>44819</v>
      </c>
      <c r="C142" s="43">
        <v>38259506</v>
      </c>
    </row>
    <row r="143" spans="1:7" ht="21" hidden="1">
      <c r="B143" s="42">
        <v>44820</v>
      </c>
      <c r="C143" s="43">
        <v>179001916</v>
      </c>
    </row>
    <row r="144" spans="1:7" ht="21" hidden="1">
      <c r="B144" s="42">
        <v>44823</v>
      </c>
      <c r="C144" s="43">
        <v>99714195</v>
      </c>
    </row>
    <row r="145" spans="2:3" ht="21" hidden="1">
      <c r="B145" s="41" t="s">
        <v>75</v>
      </c>
      <c r="C145" s="43">
        <f>C140+C141+C142+C143+C144</f>
        <v>441196066</v>
      </c>
    </row>
    <row r="146" spans="2:3" hidden="1"/>
    <row r="147" spans="2:3" hidden="1"/>
    <row r="148" spans="2:3" hidden="1"/>
    <row r="149" spans="2:3" hidden="1">
      <c r="C149" s="44"/>
    </row>
    <row r="150" spans="2:3" hidden="1"/>
    <row r="151" spans="2:3" hidden="1"/>
    <row r="152" spans="2:3" hidden="1"/>
    <row r="153" spans="2:3" hidden="1"/>
    <row r="154" spans="2:3" hidden="1"/>
    <row r="155" spans="2:3" ht="15.5" hidden="1">
      <c r="B155" s="50" t="s">
        <v>78</v>
      </c>
    </row>
    <row r="156" spans="2:3" ht="21" hidden="1">
      <c r="B156" s="30" t="s">
        <v>96</v>
      </c>
      <c r="C156" s="31">
        <v>7241278</v>
      </c>
    </row>
    <row r="157" spans="2:3" ht="21" hidden="1">
      <c r="B157" s="30" t="s">
        <v>437</v>
      </c>
      <c r="C157" s="31">
        <v>1689120</v>
      </c>
    </row>
    <row r="158" spans="2:3" ht="21" hidden="1">
      <c r="B158" s="30" t="s">
        <v>438</v>
      </c>
      <c r="C158" s="31">
        <v>10700853</v>
      </c>
    </row>
    <row r="159" spans="2:3" ht="21" hidden="1">
      <c r="B159" s="30"/>
      <c r="C159" s="31"/>
    </row>
    <row r="160" spans="2:3" ht="21" hidden="1">
      <c r="B160" s="30"/>
      <c r="C160" s="31"/>
    </row>
    <row r="161" spans="2:3" ht="21" hidden="1">
      <c r="B161" s="30"/>
      <c r="C161" s="31"/>
    </row>
    <row r="162" spans="2:3" ht="21" hidden="1">
      <c r="B162" s="30"/>
      <c r="C162" s="31"/>
    </row>
    <row r="163" spans="2:3" ht="21" hidden="1">
      <c r="B163" s="30"/>
      <c r="C163" s="31"/>
    </row>
    <row r="164" spans="2:3" ht="21" hidden="1">
      <c r="B164" s="30"/>
      <c r="C164" s="31"/>
    </row>
    <row r="165" spans="2:3" ht="21" hidden="1">
      <c r="B165" s="30"/>
      <c r="C165" s="31"/>
    </row>
    <row r="166" spans="2:3" ht="21" hidden="1">
      <c r="B166" s="30"/>
      <c r="C166" s="31"/>
    </row>
    <row r="167" spans="2:3" ht="21" hidden="1">
      <c r="B167" s="30"/>
      <c r="C167" s="31"/>
    </row>
    <row r="168" spans="2:3" ht="21" hidden="1">
      <c r="B168" s="31"/>
      <c r="C168" s="31"/>
    </row>
    <row r="169" spans="2:3" ht="21" hidden="1">
      <c r="B169" s="31"/>
      <c r="C169" s="31"/>
    </row>
    <row r="170" spans="2:3" ht="21" hidden="1">
      <c r="B170" s="31"/>
      <c r="C170" s="31"/>
    </row>
    <row r="171" spans="2:3" ht="21" hidden="1">
      <c r="B171" s="30"/>
      <c r="C171" s="31"/>
    </row>
    <row r="172" spans="2:3" ht="15.5" hidden="1">
      <c r="B172" s="48" t="s">
        <v>75</v>
      </c>
      <c r="C172" s="49">
        <f>C160+C159+C158+C157+C156</f>
        <v>19631251</v>
      </c>
    </row>
    <row r="173" spans="2:3" ht="15.5" hidden="1">
      <c r="B173" s="48"/>
      <c r="C173" s="49"/>
    </row>
    <row r="174" spans="2:3" ht="15.5" hidden="1">
      <c r="B174" s="48"/>
      <c r="C174" s="49"/>
    </row>
    <row r="175" spans="2:3" ht="15.5" hidden="1">
      <c r="B175" s="48"/>
      <c r="C175" s="49"/>
    </row>
    <row r="176" spans="2:3" ht="15.5" hidden="1">
      <c r="B176" s="50" t="s">
        <v>79</v>
      </c>
    </row>
    <row r="177" spans="2:3" ht="21" hidden="1">
      <c r="B177" s="30" t="s">
        <v>429</v>
      </c>
      <c r="C177" s="31">
        <v>13276451</v>
      </c>
    </row>
    <row r="178" spans="2:3" ht="21" hidden="1">
      <c r="B178" s="30" t="s">
        <v>439</v>
      </c>
      <c r="C178" s="31">
        <v>157247314</v>
      </c>
    </row>
    <row r="179" spans="2:3" ht="21" hidden="1">
      <c r="B179" s="30"/>
      <c r="C179" s="31"/>
    </row>
    <row r="180" spans="2:3" ht="21" hidden="1">
      <c r="B180" s="30"/>
      <c r="C180" s="31"/>
    </row>
    <row r="181" spans="2:3" ht="15.5" hidden="1">
      <c r="B181" s="52"/>
      <c r="C181" s="4"/>
    </row>
    <row r="182" spans="2:3" ht="15.5" hidden="1">
      <c r="B182" s="48" t="s">
        <v>75</v>
      </c>
      <c r="C182" s="49">
        <f>C178+C177</f>
        <v>170523765</v>
      </c>
    </row>
    <row r="183" spans="2:3" ht="15.5" hidden="1">
      <c r="B183" s="48"/>
      <c r="C183" s="49"/>
    </row>
    <row r="184" spans="2:3" ht="15.5" hidden="1">
      <c r="B184" s="48"/>
      <c r="C184" s="49"/>
    </row>
    <row r="185" spans="2:3" ht="15.5" hidden="1">
      <c r="B185" s="48"/>
      <c r="C185" s="49"/>
    </row>
    <row r="186" spans="2:3" hidden="1">
      <c r="C186" s="44"/>
    </row>
    <row r="187" spans="2:3" ht="15.5" hidden="1">
      <c r="B187" s="50" t="s">
        <v>80</v>
      </c>
    </row>
    <row r="188" spans="2:3" ht="21" hidden="1">
      <c r="B188" s="30" t="s">
        <v>415</v>
      </c>
      <c r="C188" s="31">
        <v>580800</v>
      </c>
    </row>
    <row r="189" spans="2:3" ht="21" hidden="1">
      <c r="B189" s="30" t="s">
        <v>416</v>
      </c>
      <c r="C189" s="31">
        <v>21919284</v>
      </c>
    </row>
    <row r="190" spans="2:3" ht="21" hidden="1">
      <c r="B190" s="30" t="s">
        <v>110</v>
      </c>
      <c r="C190" s="31">
        <v>61801612</v>
      </c>
    </row>
    <row r="191" spans="2:3" ht="21" hidden="1">
      <c r="B191" s="30" t="s">
        <v>418</v>
      </c>
      <c r="C191" s="31">
        <v>694600</v>
      </c>
    </row>
    <row r="192" spans="2:3" ht="21" hidden="1">
      <c r="B192" s="30" t="s">
        <v>419</v>
      </c>
      <c r="C192" s="31">
        <v>900000</v>
      </c>
    </row>
    <row r="193" spans="2:3" ht="21" hidden="1">
      <c r="B193" s="30" t="s">
        <v>420</v>
      </c>
      <c r="C193" s="31">
        <v>813419</v>
      </c>
    </row>
    <row r="194" spans="2:3" ht="21" hidden="1">
      <c r="B194" s="30" t="s">
        <v>313</v>
      </c>
      <c r="C194" s="31">
        <v>1837718</v>
      </c>
    </row>
    <row r="195" spans="2:3" ht="21" hidden="1">
      <c r="B195" s="30" t="s">
        <v>421</v>
      </c>
      <c r="C195" s="31">
        <v>396000</v>
      </c>
    </row>
    <row r="196" spans="2:3" ht="21" hidden="1">
      <c r="B196" s="30" t="s">
        <v>148</v>
      </c>
      <c r="C196" s="31">
        <v>450000</v>
      </c>
    </row>
    <row r="197" spans="2:3" ht="21" hidden="1">
      <c r="B197" s="30" t="s">
        <v>422</v>
      </c>
      <c r="C197" s="31">
        <v>500000</v>
      </c>
    </row>
    <row r="198" spans="2:3" ht="21" hidden="1">
      <c r="B198" s="30" t="s">
        <v>418</v>
      </c>
      <c r="C198" s="31">
        <v>588800</v>
      </c>
    </row>
    <row r="199" spans="2:3" ht="21" hidden="1">
      <c r="B199" s="30" t="s">
        <v>423</v>
      </c>
      <c r="C199" s="31">
        <v>600000</v>
      </c>
    </row>
    <row r="200" spans="2:3" ht="21" hidden="1">
      <c r="B200" s="30" t="s">
        <v>424</v>
      </c>
      <c r="C200" s="31">
        <v>660000</v>
      </c>
    </row>
    <row r="201" spans="2:3" ht="21" hidden="1">
      <c r="B201" s="30" t="s">
        <v>179</v>
      </c>
      <c r="C201" s="31">
        <v>726000</v>
      </c>
    </row>
    <row r="202" spans="2:3" ht="21" hidden="1">
      <c r="B202" s="30" t="s">
        <v>425</v>
      </c>
      <c r="C202" s="31">
        <v>792000</v>
      </c>
    </row>
    <row r="203" spans="2:3" ht="21" hidden="1">
      <c r="B203" s="30" t="s">
        <v>426</v>
      </c>
      <c r="C203" s="31">
        <v>1288320</v>
      </c>
    </row>
    <row r="204" spans="2:3" ht="21" hidden="1">
      <c r="B204" s="30" t="s">
        <v>427</v>
      </c>
      <c r="C204" s="31">
        <v>1516680</v>
      </c>
    </row>
    <row r="205" spans="2:3" ht="21" hidden="1">
      <c r="B205" s="30" t="s">
        <v>63</v>
      </c>
      <c r="C205" s="31">
        <v>2358978</v>
      </c>
    </row>
    <row r="206" spans="2:3" ht="21" hidden="1">
      <c r="B206" s="30" t="s">
        <v>428</v>
      </c>
      <c r="C206" s="31">
        <v>5278509</v>
      </c>
    </row>
    <row r="207" spans="2:3" ht="21" hidden="1">
      <c r="B207" s="30" t="s">
        <v>68</v>
      </c>
      <c r="C207" s="31">
        <v>8545661</v>
      </c>
    </row>
    <row r="208" spans="2:3" ht="21" hidden="1">
      <c r="B208" s="30" t="s">
        <v>431</v>
      </c>
      <c r="C208" s="31">
        <v>1800000</v>
      </c>
    </row>
    <row r="209" spans="2:3" ht="21" hidden="1">
      <c r="B209" s="30" t="s">
        <v>432</v>
      </c>
      <c r="C209" s="31">
        <v>18877876</v>
      </c>
    </row>
    <row r="210" spans="2:3" ht="21" hidden="1">
      <c r="B210" s="30" t="s">
        <v>194</v>
      </c>
      <c r="C210" s="31">
        <v>2518710</v>
      </c>
    </row>
    <row r="211" spans="2:3" ht="21" hidden="1">
      <c r="B211" s="30" t="s">
        <v>268</v>
      </c>
      <c r="C211" s="31">
        <v>4828139</v>
      </c>
    </row>
    <row r="212" spans="2:3" ht="21" hidden="1">
      <c r="B212" s="30" t="s">
        <v>433</v>
      </c>
      <c r="C212" s="31">
        <v>1408000</v>
      </c>
    </row>
    <row r="213" spans="2:3" ht="21" hidden="1">
      <c r="B213" s="30" t="s">
        <v>434</v>
      </c>
      <c r="C213" s="31">
        <v>2640000</v>
      </c>
    </row>
    <row r="214" spans="2:3" ht="21" hidden="1">
      <c r="B214" s="30" t="s">
        <v>435</v>
      </c>
      <c r="C214" s="31">
        <v>5693330</v>
      </c>
    </row>
    <row r="215" spans="2:3" ht="21" hidden="1">
      <c r="B215" s="30" t="s">
        <v>156</v>
      </c>
      <c r="C215" s="31">
        <v>1312419</v>
      </c>
    </row>
    <row r="216" spans="2:3" ht="21" hidden="1">
      <c r="B216" s="30" t="s">
        <v>86</v>
      </c>
      <c r="C216" s="31">
        <f>44953651+24681000+130094</f>
        <v>69764745</v>
      </c>
    </row>
    <row r="217" spans="2:3" ht="21" hidden="1">
      <c r="B217" s="30" t="s">
        <v>436</v>
      </c>
      <c r="C217" s="31">
        <v>29949450</v>
      </c>
    </row>
    <row r="218" spans="2:3" ht="21" hidden="1">
      <c r="B218" s="30"/>
      <c r="C218" s="31"/>
    </row>
    <row r="219" spans="2:3" ht="21" hidden="1">
      <c r="B219" s="30"/>
      <c r="C219" s="31"/>
    </row>
    <row r="220" spans="2:3" ht="21" hidden="1">
      <c r="B220" s="30"/>
      <c r="C220" s="31"/>
    </row>
    <row r="221" spans="2:3" ht="15.5" hidden="1">
      <c r="B221" s="54" t="s">
        <v>75</v>
      </c>
      <c r="C221" s="49">
        <f>C217+C216+C215+C214+C213+C212+C211+C210+C209+C208+C207+C206+C205+C204+C203+C202+C201+C200+C199+C198+C197+C196+C195+C194+C193+C192+C191+C190+C189+C188</f>
        <v>251041050</v>
      </c>
    </row>
    <row r="222" spans="2:3" hidden="1"/>
    <row r="223" spans="2:3" hidden="1"/>
    <row r="224" spans="2:3" hidden="1">
      <c r="C224" s="44"/>
    </row>
    <row r="226" spans="5:5">
      <c r="E226">
        <f>SUBTOTAL(9,E7:E225)</f>
        <v>828015131</v>
      </c>
    </row>
  </sheetData>
  <autoFilter ref="B3:B224">
    <filterColumn colId="0">
      <colorFilter dxfId="3"/>
    </filterColumn>
  </autoFilter>
  <mergeCells count="5">
    <mergeCell ref="B3:C3"/>
    <mergeCell ref="C5:D5"/>
    <mergeCell ref="E5:F5"/>
    <mergeCell ref="G5:G6"/>
    <mergeCell ref="B137:C1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4"/>
  <sheetViews>
    <sheetView tabSelected="1" topLeftCell="A16" workbookViewId="0">
      <selection activeCell="F22" sqref="F22"/>
    </sheetView>
  </sheetViews>
  <sheetFormatPr baseColWidth="10" defaultRowHeight="14.5"/>
  <cols>
    <col min="2" max="2" width="77.36328125" customWidth="1"/>
    <col min="5" max="5" width="18.6328125" customWidth="1"/>
    <col min="6" max="6" width="16.6328125" customWidth="1"/>
    <col min="7" max="7" width="19.453125" customWidth="1"/>
    <col min="8" max="8" width="14.54296875" customWidth="1"/>
    <col min="9" max="9" width="10.6328125" customWidth="1"/>
    <col min="10" max="10" width="16.36328125" bestFit="1" customWidth="1"/>
    <col min="11" max="11" width="16.54296875" bestFit="1" customWidth="1"/>
    <col min="12" max="12" width="16.1796875" style="21" bestFit="1" customWidth="1"/>
    <col min="13" max="13" width="12.1796875" bestFit="1" customWidth="1"/>
    <col min="14" max="14" width="11.54296875" style="21"/>
    <col min="15" max="15" width="12.6328125" style="21" bestFit="1" customWidth="1"/>
    <col min="16" max="16" width="11.6328125" style="21" bestFit="1" customWidth="1"/>
    <col min="17" max="17" width="12.6328125" style="21" bestFit="1" customWidth="1"/>
    <col min="18" max="18" width="11.54296875" style="21"/>
  </cols>
  <sheetData>
    <row r="1" spans="1:18" ht="15" thickBot="1">
      <c r="B1" s="575" t="s">
        <v>0</v>
      </c>
      <c r="C1" s="577" t="s">
        <v>742</v>
      </c>
      <c r="D1" s="577" t="s">
        <v>947</v>
      </c>
      <c r="E1" s="1"/>
    </row>
    <row r="2" spans="1:18" ht="15" thickBot="1">
      <c r="B2" s="576"/>
      <c r="C2" s="578"/>
      <c r="D2" s="579"/>
      <c r="E2" s="2" t="s">
        <v>7769</v>
      </c>
    </row>
    <row r="3" spans="1:18" ht="15.5">
      <c r="A3" s="580" t="s">
        <v>1</v>
      </c>
      <c r="B3" s="3" t="s">
        <v>2</v>
      </c>
      <c r="C3" s="4"/>
      <c r="D3" s="4"/>
      <c r="E3" s="5">
        <f>+'ENC AGCES FEVR 25'!H566</f>
        <v>933033150</v>
      </c>
      <c r="F3" s="156"/>
      <c r="G3" s="21"/>
      <c r="H3" s="22"/>
      <c r="K3" s="192"/>
    </row>
    <row r="4" spans="1:18">
      <c r="A4" s="580"/>
      <c r="B4" s="3" t="s">
        <v>3</v>
      </c>
      <c r="C4" s="4"/>
      <c r="D4" s="4"/>
      <c r="E4" s="6"/>
    </row>
    <row r="5" spans="1:18">
      <c r="A5" s="580"/>
      <c r="B5" s="3" t="s">
        <v>4</v>
      </c>
      <c r="C5" s="4"/>
      <c r="D5" s="4"/>
      <c r="E5" s="5">
        <v>304681933</v>
      </c>
    </row>
    <row r="6" spans="1:18">
      <c r="A6" s="580"/>
      <c r="B6" s="3" t="s">
        <v>5</v>
      </c>
      <c r="C6" s="4"/>
      <c r="D6" s="4"/>
      <c r="E6" s="6">
        <f>1748804862+489726354</f>
        <v>2238531216</v>
      </c>
    </row>
    <row r="7" spans="1:18" s="193" customFormat="1">
      <c r="A7" s="580"/>
      <c r="B7" s="3" t="s">
        <v>948</v>
      </c>
      <c r="C7" s="4"/>
      <c r="D7" s="4"/>
      <c r="E7" s="6">
        <v>712256821.49330008</v>
      </c>
      <c r="L7" s="21"/>
      <c r="N7" s="21"/>
      <c r="O7" s="21"/>
      <c r="P7" s="21"/>
      <c r="Q7" s="21"/>
      <c r="R7" s="21"/>
    </row>
    <row r="8" spans="1:18">
      <c r="A8" s="580"/>
      <c r="B8" s="3" t="s">
        <v>839</v>
      </c>
      <c r="C8" s="4"/>
      <c r="D8" s="4"/>
      <c r="E8" s="6">
        <v>913333660</v>
      </c>
    </row>
    <row r="9" spans="1:18">
      <c r="A9" s="580"/>
      <c r="B9" s="3" t="s">
        <v>840</v>
      </c>
      <c r="C9" s="4"/>
      <c r="D9" s="4"/>
      <c r="E9" s="6">
        <v>5628237280</v>
      </c>
    </row>
    <row r="10" spans="1:18" ht="16" thickBot="1">
      <c r="A10" s="580"/>
      <c r="B10" s="8" t="s">
        <v>6</v>
      </c>
      <c r="C10" s="9"/>
      <c r="D10" s="9"/>
      <c r="E10" s="7">
        <f>SUM(E3:E9)</f>
        <v>10730074060.493299</v>
      </c>
      <c r="J10" s="21"/>
    </row>
    <row r="11" spans="1:18" ht="16" thickBot="1">
      <c r="A11" s="580"/>
      <c r="B11" s="8" t="s">
        <v>580</v>
      </c>
      <c r="C11" s="4"/>
      <c r="D11" s="4"/>
      <c r="E11" s="6"/>
      <c r="J11" s="21"/>
    </row>
    <row r="12" spans="1:18">
      <c r="A12" s="580"/>
      <c r="B12" s="10" t="s">
        <v>7</v>
      </c>
      <c r="C12" s="4"/>
      <c r="D12" s="4"/>
      <c r="E12" s="7">
        <f>SUM(E13:E20)</f>
        <v>7352096877.4491529</v>
      </c>
      <c r="J12" s="21"/>
    </row>
    <row r="13" spans="1:18">
      <c r="A13" s="580"/>
      <c r="B13" s="3" t="s">
        <v>8</v>
      </c>
      <c r="C13" s="4"/>
      <c r="D13" s="4"/>
      <c r="E13" s="6">
        <v>517316899</v>
      </c>
      <c r="J13" s="21"/>
      <c r="M13" s="22"/>
    </row>
    <row r="14" spans="1:18">
      <c r="A14" s="580"/>
      <c r="B14" s="3" t="s">
        <v>9</v>
      </c>
      <c r="C14" s="4"/>
      <c r="D14" s="4"/>
      <c r="E14" s="6"/>
      <c r="J14" s="21"/>
      <c r="M14" s="22"/>
    </row>
    <row r="15" spans="1:18">
      <c r="A15" s="580"/>
      <c r="B15" s="3" t="s">
        <v>10</v>
      </c>
      <c r="C15" s="4"/>
      <c r="D15" s="4"/>
      <c r="E15" s="6">
        <v>2159488132</v>
      </c>
      <c r="F15" s="21"/>
      <c r="J15" s="21"/>
      <c r="M15" s="22"/>
    </row>
    <row r="16" spans="1:18">
      <c r="A16" s="580"/>
      <c r="B16" s="3" t="s">
        <v>11</v>
      </c>
      <c r="C16" s="4"/>
      <c r="D16" s="4"/>
      <c r="E16" s="6">
        <f>637843260+186326226+3584833</f>
        <v>827754319</v>
      </c>
      <c r="F16" s="21"/>
      <c r="J16" s="21"/>
      <c r="K16" s="22"/>
      <c r="M16" s="22"/>
    </row>
    <row r="17" spans="1:18">
      <c r="A17" s="580"/>
      <c r="B17" s="3" t="s">
        <v>12</v>
      </c>
      <c r="C17" s="4"/>
      <c r="D17" s="4"/>
      <c r="E17" s="6">
        <v>747402357</v>
      </c>
      <c r="F17" s="21"/>
      <c r="J17" s="21"/>
      <c r="M17" s="22"/>
    </row>
    <row r="18" spans="1:18">
      <c r="A18" s="580"/>
      <c r="B18" s="3" t="s">
        <v>13</v>
      </c>
      <c r="C18" s="4"/>
      <c r="D18" s="4"/>
      <c r="E18" s="6">
        <v>438537470</v>
      </c>
      <c r="J18" s="21"/>
      <c r="K18" s="22"/>
      <c r="M18" s="22"/>
    </row>
    <row r="19" spans="1:18" s="193" customFormat="1">
      <c r="A19" s="580"/>
      <c r="B19" s="3" t="s">
        <v>949</v>
      </c>
      <c r="C19" s="4"/>
      <c r="D19" s="4"/>
      <c r="E19" s="6">
        <f>392891205+1500000000</f>
        <v>1892891205</v>
      </c>
      <c r="F19" s="22"/>
      <c r="J19" s="21"/>
      <c r="K19" s="22"/>
      <c r="L19" s="21"/>
      <c r="M19" s="22"/>
      <c r="N19" s="21"/>
      <c r="O19" s="21"/>
      <c r="P19" s="21"/>
      <c r="Q19" s="21"/>
      <c r="R19" s="21"/>
    </row>
    <row r="20" spans="1:18">
      <c r="A20" s="580"/>
      <c r="B20" s="3" t="s">
        <v>14</v>
      </c>
      <c r="C20" s="4"/>
      <c r="D20" s="4"/>
      <c r="E20" s="7">
        <f>761506495.449153+7200000</f>
        <v>768706495.44915295</v>
      </c>
      <c r="F20" s="22"/>
      <c r="J20" s="21"/>
      <c r="M20" s="22"/>
    </row>
    <row r="21" spans="1:18">
      <c r="A21" s="580"/>
      <c r="B21" s="3"/>
      <c r="C21" s="4"/>
      <c r="D21" s="4"/>
      <c r="E21" s="6"/>
      <c r="J21" s="21"/>
      <c r="M21" s="22"/>
    </row>
    <row r="22" spans="1:18">
      <c r="A22" s="580"/>
      <c r="B22" s="10" t="s">
        <v>15</v>
      </c>
      <c r="C22" s="4"/>
      <c r="D22" s="4"/>
      <c r="E22" s="7">
        <f>SUM(E24:E29)</f>
        <v>623764004</v>
      </c>
      <c r="F22" s="21"/>
      <c r="J22" s="22"/>
      <c r="M22" s="22"/>
    </row>
    <row r="23" spans="1:18" ht="28">
      <c r="A23" s="580"/>
      <c r="B23" s="11" t="s">
        <v>16</v>
      </c>
      <c r="C23" s="4"/>
      <c r="D23" s="4"/>
      <c r="E23" s="4"/>
      <c r="M23" s="22"/>
    </row>
    <row r="24" spans="1:18">
      <c r="A24" s="580"/>
      <c r="B24" s="11" t="s">
        <v>17</v>
      </c>
      <c r="C24" s="4"/>
      <c r="D24" s="4"/>
      <c r="E24" s="6"/>
      <c r="M24" s="22"/>
    </row>
    <row r="25" spans="1:18">
      <c r="A25" s="580"/>
      <c r="B25" s="3" t="s">
        <v>18</v>
      </c>
      <c r="C25" s="4"/>
      <c r="D25" s="4"/>
      <c r="E25" s="6"/>
      <c r="M25" s="22"/>
    </row>
    <row r="26" spans="1:18">
      <c r="A26" s="580"/>
      <c r="B26" s="3" t="s">
        <v>19</v>
      </c>
      <c r="C26" s="4"/>
      <c r="D26" s="4"/>
      <c r="E26" s="6"/>
      <c r="M26" s="22"/>
    </row>
    <row r="27" spans="1:18">
      <c r="A27" s="580"/>
      <c r="B27" s="3" t="s">
        <v>20</v>
      </c>
      <c r="C27" s="4"/>
      <c r="D27" s="4"/>
      <c r="E27" s="6"/>
      <c r="M27" s="22"/>
    </row>
    <row r="28" spans="1:18">
      <c r="A28" s="580"/>
      <c r="B28" s="3" t="s">
        <v>21</v>
      </c>
      <c r="C28" s="4"/>
      <c r="D28" s="4"/>
      <c r="E28" s="6">
        <f>341713876+282050128</f>
        <v>623764004</v>
      </c>
      <c r="M28" s="22"/>
    </row>
    <row r="29" spans="1:18">
      <c r="A29" s="580"/>
      <c r="B29" s="3" t="s">
        <v>22</v>
      </c>
      <c r="C29" s="4"/>
      <c r="D29" s="4"/>
      <c r="E29" s="6"/>
    </row>
    <row r="30" spans="1:18" ht="16" thickBot="1">
      <c r="A30" s="580"/>
      <c r="B30" s="8" t="s">
        <v>23</v>
      </c>
      <c r="C30" s="4"/>
      <c r="D30" s="4"/>
      <c r="E30" s="6"/>
    </row>
    <row r="31" spans="1:18" ht="16" thickBot="1">
      <c r="A31" s="580"/>
      <c r="B31" s="8" t="s">
        <v>24</v>
      </c>
      <c r="C31" s="4"/>
      <c r="D31" s="4"/>
      <c r="E31" s="7"/>
    </row>
    <row r="32" spans="1:18" ht="19" thickBot="1">
      <c r="A32" s="580"/>
      <c r="B32" s="8" t="s">
        <v>25</v>
      </c>
      <c r="C32" s="4"/>
      <c r="D32" s="4"/>
      <c r="E32" s="55">
        <f>+E10-E12-E22</f>
        <v>2754213179.0441465</v>
      </c>
      <c r="F32" s="193"/>
      <c r="G32" s="414"/>
      <c r="J32" s="22"/>
    </row>
    <row r="33" spans="1:10" ht="19" thickBot="1">
      <c r="A33" s="580"/>
      <c r="B33" s="8" t="s">
        <v>26</v>
      </c>
      <c r="C33" s="4"/>
      <c r="D33" s="4"/>
      <c r="E33" s="4"/>
      <c r="G33" s="413"/>
    </row>
    <row r="34" spans="1:10">
      <c r="A34" s="581" t="s">
        <v>27</v>
      </c>
      <c r="B34" s="12" t="s">
        <v>28</v>
      </c>
      <c r="C34" s="4"/>
      <c r="D34" s="4"/>
      <c r="E34" s="4"/>
      <c r="G34" s="22"/>
      <c r="H34" s="193"/>
      <c r="I34" s="193"/>
      <c r="J34" s="193"/>
    </row>
    <row r="35" spans="1:10">
      <c r="A35" s="582"/>
      <c r="B35" s="13" t="s">
        <v>29</v>
      </c>
      <c r="C35" s="4"/>
      <c r="D35" s="4"/>
      <c r="E35" s="4"/>
    </row>
    <row r="36" spans="1:10">
      <c r="A36" s="582"/>
      <c r="B36" s="13" t="s">
        <v>30</v>
      </c>
      <c r="C36" s="4"/>
      <c r="D36" s="4"/>
      <c r="E36" s="6"/>
    </row>
    <row r="37" spans="1:10" ht="15" thickBot="1">
      <c r="A37" s="582"/>
      <c r="B37" s="14"/>
      <c r="C37" s="4"/>
      <c r="D37" s="4"/>
      <c r="E37" s="4"/>
    </row>
    <row r="38" spans="1:10" ht="16" thickBot="1">
      <c r="A38" s="582"/>
      <c r="B38" s="8" t="s">
        <v>31</v>
      </c>
      <c r="C38" s="4"/>
      <c r="D38" s="4"/>
      <c r="E38" s="4"/>
    </row>
    <row r="39" spans="1:10" ht="69.75" customHeight="1" thickBot="1">
      <c r="A39" s="582"/>
      <c r="B39" s="8" t="s">
        <v>26</v>
      </c>
      <c r="C39" s="4"/>
      <c r="D39" s="4"/>
      <c r="E39" s="4" t="s">
        <v>580</v>
      </c>
    </row>
    <row r="40" spans="1:10">
      <c r="A40" s="572" t="s">
        <v>32</v>
      </c>
      <c r="B40" s="15" t="s">
        <v>33</v>
      </c>
      <c r="C40" s="4"/>
      <c r="D40" s="4"/>
      <c r="E40" s="55">
        <f>SUM(E41:E48)</f>
        <v>948830192</v>
      </c>
    </row>
    <row r="41" spans="1:10">
      <c r="A41" s="573"/>
      <c r="B41" s="13" t="s">
        <v>34</v>
      </c>
      <c r="C41" s="4"/>
      <c r="D41" s="4"/>
      <c r="E41" s="184">
        <v>433000000</v>
      </c>
      <c r="J41" s="190"/>
    </row>
    <row r="42" spans="1:10">
      <c r="A42" s="573"/>
      <c r="B42" s="13" t="s">
        <v>35</v>
      </c>
      <c r="C42" s="4"/>
      <c r="D42" s="4"/>
      <c r="E42" s="184">
        <v>515830192</v>
      </c>
      <c r="J42" s="190"/>
    </row>
    <row r="43" spans="1:10">
      <c r="A43" s="573"/>
      <c r="B43" s="13" t="s">
        <v>36</v>
      </c>
      <c r="C43" s="4"/>
      <c r="D43" s="4"/>
      <c r="E43" s="184"/>
      <c r="J43" s="190"/>
    </row>
    <row r="44" spans="1:10">
      <c r="A44" s="573"/>
      <c r="B44" s="13" t="s">
        <v>37</v>
      </c>
      <c r="C44" s="4"/>
      <c r="D44" s="4"/>
      <c r="E44" s="184"/>
      <c r="J44" s="190"/>
    </row>
    <row r="45" spans="1:10">
      <c r="A45" s="573"/>
      <c r="B45" s="13" t="s">
        <v>38</v>
      </c>
      <c r="C45" s="4"/>
      <c r="D45" s="4"/>
      <c r="E45" s="184"/>
      <c r="J45" s="190"/>
    </row>
    <row r="46" spans="1:10">
      <c r="A46" s="573"/>
      <c r="B46" s="13" t="s">
        <v>39</v>
      </c>
      <c r="C46" s="4"/>
      <c r="D46" s="4"/>
      <c r="E46" s="184"/>
      <c r="J46" s="190"/>
    </row>
    <row r="47" spans="1:10" ht="15.5">
      <c r="A47" s="573"/>
      <c r="B47" s="13" t="s">
        <v>40</v>
      </c>
      <c r="C47" s="4"/>
      <c r="D47" s="4"/>
      <c r="E47" s="191"/>
      <c r="J47" s="190"/>
    </row>
    <row r="48" spans="1:10">
      <c r="A48" s="583"/>
      <c r="B48" s="16"/>
      <c r="C48" s="4"/>
      <c r="D48" s="4"/>
      <c r="E48" s="6"/>
      <c r="J48" s="190"/>
    </row>
    <row r="49" spans="1:5" ht="16" thickBot="1">
      <c r="A49" s="583"/>
      <c r="B49" s="8" t="s">
        <v>41</v>
      </c>
      <c r="C49" s="4"/>
      <c r="D49" s="4"/>
      <c r="E49" s="6"/>
    </row>
    <row r="50" spans="1:5" ht="16" thickBot="1">
      <c r="A50" s="583"/>
      <c r="B50" s="8" t="s">
        <v>42</v>
      </c>
      <c r="C50" s="4"/>
      <c r="D50" s="4"/>
      <c r="E50" s="4"/>
    </row>
    <row r="51" spans="1:5">
      <c r="A51" s="572" t="s">
        <v>43</v>
      </c>
      <c r="B51" s="17"/>
      <c r="C51" s="4"/>
      <c r="D51" s="4"/>
      <c r="E51" s="4"/>
    </row>
    <row r="52" spans="1:5" ht="15.5">
      <c r="A52" s="573"/>
      <c r="B52" s="18" t="s">
        <v>44</v>
      </c>
      <c r="C52" s="4"/>
      <c r="D52" s="4"/>
      <c r="E52" s="4"/>
    </row>
    <row r="53" spans="1:5">
      <c r="A53" s="573"/>
      <c r="B53" s="19"/>
      <c r="C53" s="4"/>
      <c r="D53" s="4"/>
      <c r="E53" s="4"/>
    </row>
    <row r="54" spans="1:5" ht="69.75" customHeight="1">
      <c r="A54" s="574"/>
      <c r="B54" s="20" t="s">
        <v>45</v>
      </c>
      <c r="C54" s="4"/>
      <c r="D54" s="4"/>
      <c r="E54" s="4"/>
    </row>
    <row r="55" spans="1:5">
      <c r="E55" s="563">
        <v>1500000000</v>
      </c>
    </row>
    <row r="57" spans="1:5">
      <c r="B57" t="s">
        <v>9554</v>
      </c>
    </row>
    <row r="89" spans="5:7">
      <c r="E89" s="91"/>
      <c r="F89" s="91"/>
      <c r="G89" s="21"/>
    </row>
    <row r="91" spans="5:7">
      <c r="F91" s="91"/>
    </row>
    <row r="95" spans="5:7">
      <c r="E95" s="156"/>
    </row>
    <row r="96" spans="5:7">
      <c r="F96" s="156"/>
    </row>
    <row r="98" spans="6:6">
      <c r="F98" s="156"/>
    </row>
    <row r="100" spans="6:6">
      <c r="F100" s="156"/>
    </row>
    <row r="102" spans="6:6">
      <c r="F102" s="156"/>
    </row>
    <row r="104" spans="6:6">
      <c r="F104" s="415"/>
    </row>
  </sheetData>
  <mergeCells count="7">
    <mergeCell ref="A51:A54"/>
    <mergeCell ref="B1:B2"/>
    <mergeCell ref="C1:C2"/>
    <mergeCell ref="D1:D2"/>
    <mergeCell ref="A3:A33"/>
    <mergeCell ref="A34:A39"/>
    <mergeCell ref="A40:A5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569"/>
  <sheetViews>
    <sheetView topLeftCell="A88" workbookViewId="0">
      <selection activeCell="E41" sqref="E41"/>
    </sheetView>
  </sheetViews>
  <sheetFormatPr baseColWidth="10" defaultRowHeight="14.5"/>
  <cols>
    <col min="2" max="2" width="12.1796875" bestFit="1" customWidth="1"/>
    <col min="5" max="5" width="36.08984375" bestFit="1" customWidth="1"/>
    <col min="7" max="7" width="19.08984375" bestFit="1" customWidth="1"/>
    <col min="8" max="8" width="18.453125" bestFit="1" customWidth="1"/>
  </cols>
  <sheetData>
    <row r="3" spans="1:2">
      <c r="A3" s="365" t="s">
        <v>971</v>
      </c>
      <c r="B3" s="21">
        <v>13432732</v>
      </c>
    </row>
    <row r="4" spans="1:2">
      <c r="A4" s="365" t="s">
        <v>972</v>
      </c>
      <c r="B4" s="21">
        <v>11668372</v>
      </c>
    </row>
    <row r="5" spans="1:2">
      <c r="A5" s="365" t="s">
        <v>973</v>
      </c>
      <c r="B5" s="524">
        <v>113442498</v>
      </c>
    </row>
    <row r="6" spans="1:2">
      <c r="A6" s="365" t="s">
        <v>975</v>
      </c>
      <c r="B6" s="525">
        <v>5296377</v>
      </c>
    </row>
    <row r="7" spans="1:2">
      <c r="A7" s="365" t="s">
        <v>976</v>
      </c>
      <c r="B7" s="526">
        <v>31859025</v>
      </c>
    </row>
    <row r="8" spans="1:2">
      <c r="A8" s="365" t="s">
        <v>978</v>
      </c>
      <c r="B8" s="527">
        <v>29943052</v>
      </c>
    </row>
    <row r="9" spans="1:2">
      <c r="A9" s="365" t="s">
        <v>979</v>
      </c>
      <c r="B9" s="528">
        <v>14256670</v>
      </c>
    </row>
    <row r="10" spans="1:2">
      <c r="A10" s="365" t="s">
        <v>980</v>
      </c>
      <c r="B10" s="528">
        <v>6374956</v>
      </c>
    </row>
    <row r="11" spans="1:2">
      <c r="A11" s="365" t="s">
        <v>981</v>
      </c>
      <c r="B11" s="529">
        <v>7638497</v>
      </c>
    </row>
    <row r="12" spans="1:2">
      <c r="A12" s="365" t="s">
        <v>982</v>
      </c>
      <c r="B12" s="528">
        <v>18739387</v>
      </c>
    </row>
    <row r="13" spans="1:2">
      <c r="A13" s="365" t="s">
        <v>983</v>
      </c>
      <c r="B13" s="530">
        <v>14666958</v>
      </c>
    </row>
    <row r="14" spans="1:2">
      <c r="A14" s="365" t="s">
        <v>969</v>
      </c>
      <c r="B14" s="531">
        <v>4046707</v>
      </c>
    </row>
    <row r="15" spans="1:2">
      <c r="A15" s="365" t="s">
        <v>984</v>
      </c>
      <c r="B15" s="532">
        <v>9804199</v>
      </c>
    </row>
    <row r="16" spans="1:2">
      <c r="A16" s="365" t="s">
        <v>986</v>
      </c>
      <c r="B16" s="533">
        <v>4501400</v>
      </c>
    </row>
    <row r="17" spans="1:7">
      <c r="A17" s="365" t="s">
        <v>987</v>
      </c>
      <c r="B17" s="534">
        <v>15479683</v>
      </c>
    </row>
    <row r="18" spans="1:7">
      <c r="A18" s="365" t="s">
        <v>988</v>
      </c>
      <c r="B18" s="535">
        <v>12675503</v>
      </c>
    </row>
    <row r="19" spans="1:7">
      <c r="A19" s="365" t="s">
        <v>989</v>
      </c>
      <c r="B19" s="536">
        <v>32929230</v>
      </c>
    </row>
    <row r="20" spans="1:7">
      <c r="A20" s="365" t="s">
        <v>991</v>
      </c>
      <c r="B20" s="537">
        <v>9711951</v>
      </c>
    </row>
    <row r="21" spans="1:7">
      <c r="A21" s="365" t="s">
        <v>993</v>
      </c>
      <c r="B21" s="538">
        <v>25533716</v>
      </c>
    </row>
    <row r="22" spans="1:7">
      <c r="A22" s="365" t="s">
        <v>994</v>
      </c>
      <c r="B22" s="528">
        <v>0</v>
      </c>
    </row>
    <row r="23" spans="1:7">
      <c r="A23" s="365" t="s">
        <v>970</v>
      </c>
      <c r="B23" s="540">
        <v>25668583</v>
      </c>
    </row>
    <row r="24" spans="1:7">
      <c r="A24" s="365" t="s">
        <v>995</v>
      </c>
      <c r="B24" s="541">
        <v>11954343</v>
      </c>
    </row>
    <row r="25" spans="1:7">
      <c r="A25" s="365" t="s">
        <v>996</v>
      </c>
      <c r="B25" s="542">
        <v>3533000</v>
      </c>
    </row>
    <row r="26" spans="1:7">
      <c r="A26" s="365" t="s">
        <v>963</v>
      </c>
      <c r="B26" s="539">
        <v>489360346</v>
      </c>
    </row>
    <row r="28" spans="1:7">
      <c r="A28" s="544" t="s">
        <v>75</v>
      </c>
      <c r="B28" s="543">
        <f>SUM(B3:B27)</f>
        <v>912517185</v>
      </c>
    </row>
    <row r="32" spans="1:7">
      <c r="A32" s="545" t="s">
        <v>7826</v>
      </c>
      <c r="B32" s="545"/>
      <c r="C32" s="545"/>
      <c r="D32" s="545"/>
      <c r="E32" s="545"/>
      <c r="F32" s="545"/>
      <c r="G32" s="545"/>
    </row>
    <row r="34" spans="1:7">
      <c r="A34" s="545"/>
      <c r="B34" s="545" t="s">
        <v>997</v>
      </c>
      <c r="C34" s="545" t="s">
        <v>973</v>
      </c>
      <c r="D34" s="545" t="s">
        <v>988</v>
      </c>
      <c r="E34" s="545" t="s">
        <v>989</v>
      </c>
      <c r="F34" s="545" t="s">
        <v>993</v>
      </c>
      <c r="G34" s="545" t="s">
        <v>963</v>
      </c>
    </row>
    <row r="35" spans="1:7">
      <c r="A35" s="545" t="s">
        <v>997</v>
      </c>
      <c r="B35" s="543">
        <v>3207000</v>
      </c>
      <c r="C35" s="546">
        <v>50000</v>
      </c>
      <c r="D35" s="546">
        <v>200000</v>
      </c>
      <c r="E35" s="546">
        <v>9000</v>
      </c>
      <c r="F35" s="546">
        <v>2568000</v>
      </c>
      <c r="G35" s="546">
        <v>380000</v>
      </c>
    </row>
    <row r="36" spans="1:7">
      <c r="A36" s="545" t="s">
        <v>7827</v>
      </c>
      <c r="B36" s="546">
        <v>2568000</v>
      </c>
      <c r="C36" s="546">
        <v>0</v>
      </c>
      <c r="D36" s="546">
        <v>0</v>
      </c>
      <c r="E36" s="546">
        <v>0</v>
      </c>
      <c r="F36" s="546">
        <v>2568000</v>
      </c>
      <c r="G36" s="546">
        <v>0</v>
      </c>
    </row>
    <row r="37" spans="1:7">
      <c r="A37" s="545" t="s">
        <v>7828</v>
      </c>
      <c r="B37" s="546">
        <v>16000</v>
      </c>
      <c r="C37" s="546">
        <v>0</v>
      </c>
      <c r="D37" s="546">
        <v>0</v>
      </c>
      <c r="E37" s="546">
        <v>0</v>
      </c>
      <c r="F37" s="546">
        <v>0</v>
      </c>
      <c r="G37" s="546">
        <v>16000</v>
      </c>
    </row>
    <row r="38" spans="1:7">
      <c r="A38" s="545" t="s">
        <v>7829</v>
      </c>
      <c r="B38" s="546">
        <v>21000</v>
      </c>
      <c r="C38" s="546">
        <v>0</v>
      </c>
      <c r="D38" s="546">
        <v>0</v>
      </c>
      <c r="E38" s="546">
        <v>0</v>
      </c>
      <c r="F38" s="546">
        <v>0</v>
      </c>
      <c r="G38" s="546">
        <v>21000</v>
      </c>
    </row>
    <row r="39" spans="1:7">
      <c r="A39" s="545" t="s">
        <v>7830</v>
      </c>
      <c r="B39" s="546">
        <v>16000</v>
      </c>
      <c r="C39" s="546">
        <v>0</v>
      </c>
      <c r="D39" s="546">
        <v>0</v>
      </c>
      <c r="E39" s="546">
        <v>0</v>
      </c>
      <c r="F39" s="546">
        <v>0</v>
      </c>
      <c r="G39" s="546">
        <v>16000</v>
      </c>
    </row>
    <row r="40" spans="1:7">
      <c r="A40" s="545" t="s">
        <v>7831</v>
      </c>
      <c r="B40" s="546">
        <v>50000</v>
      </c>
      <c r="C40" s="546">
        <v>50000</v>
      </c>
      <c r="D40" s="546">
        <v>0</v>
      </c>
      <c r="E40" s="546">
        <v>0</v>
      </c>
      <c r="F40" s="546">
        <v>0</v>
      </c>
      <c r="G40" s="546">
        <v>0</v>
      </c>
    </row>
    <row r="41" spans="1:7">
      <c r="A41" s="545" t="s">
        <v>7832</v>
      </c>
      <c r="B41" s="546">
        <v>16000</v>
      </c>
      <c r="C41" s="546">
        <v>0</v>
      </c>
      <c r="D41" s="546">
        <v>0</v>
      </c>
      <c r="E41" s="546">
        <v>0</v>
      </c>
      <c r="F41" s="546">
        <v>0</v>
      </c>
      <c r="G41" s="546">
        <v>16000</v>
      </c>
    </row>
    <row r="42" spans="1:7">
      <c r="A42" s="545" t="s">
        <v>7833</v>
      </c>
      <c r="B42" s="546">
        <v>161500</v>
      </c>
      <c r="C42" s="546">
        <v>0</v>
      </c>
      <c r="D42" s="546">
        <v>0</v>
      </c>
      <c r="E42" s="546">
        <v>0</v>
      </c>
      <c r="F42" s="546">
        <v>0</v>
      </c>
      <c r="G42" s="546">
        <v>161500</v>
      </c>
    </row>
    <row r="43" spans="1:7">
      <c r="A43" s="545" t="s">
        <v>7834</v>
      </c>
      <c r="B43" s="546">
        <v>7500</v>
      </c>
      <c r="C43" s="546">
        <v>0</v>
      </c>
      <c r="D43" s="546">
        <v>0</v>
      </c>
      <c r="E43" s="546">
        <v>0</v>
      </c>
      <c r="F43" s="546">
        <v>0</v>
      </c>
      <c r="G43" s="546">
        <v>7500</v>
      </c>
    </row>
    <row r="44" spans="1:7">
      <c r="A44" s="545" t="s">
        <v>7835</v>
      </c>
      <c r="B44" s="546">
        <v>97000</v>
      </c>
      <c r="C44" s="546">
        <v>0</v>
      </c>
      <c r="D44" s="546">
        <v>0</v>
      </c>
      <c r="E44" s="546">
        <v>0</v>
      </c>
      <c r="F44" s="546">
        <v>0</v>
      </c>
      <c r="G44" s="546">
        <v>97000</v>
      </c>
    </row>
    <row r="45" spans="1:7">
      <c r="A45" s="545" t="s">
        <v>7836</v>
      </c>
      <c r="B45" s="546">
        <v>18000</v>
      </c>
      <c r="C45" s="546">
        <v>0</v>
      </c>
      <c r="D45" s="546">
        <v>0</v>
      </c>
      <c r="E45" s="546">
        <v>0</v>
      </c>
      <c r="F45" s="546">
        <v>0</v>
      </c>
      <c r="G45" s="546">
        <v>18000</v>
      </c>
    </row>
    <row r="46" spans="1:7">
      <c r="A46" s="545" t="s">
        <v>7837</v>
      </c>
      <c r="B46" s="546">
        <v>12000</v>
      </c>
      <c r="C46" s="546">
        <v>0</v>
      </c>
      <c r="D46" s="546">
        <v>0</v>
      </c>
      <c r="E46" s="546">
        <v>0</v>
      </c>
      <c r="F46" s="546">
        <v>0</v>
      </c>
      <c r="G46" s="546">
        <v>12000</v>
      </c>
    </row>
    <row r="47" spans="1:7">
      <c r="A47" s="545" t="s">
        <v>7838</v>
      </c>
      <c r="B47" s="546">
        <v>100000</v>
      </c>
      <c r="C47" s="546">
        <v>0</v>
      </c>
      <c r="D47" s="546">
        <v>100000</v>
      </c>
      <c r="E47" s="546">
        <v>0</v>
      </c>
      <c r="F47" s="546">
        <v>0</v>
      </c>
      <c r="G47" s="546">
        <v>0</v>
      </c>
    </row>
    <row r="48" spans="1:7">
      <c r="A48" s="545" t="s">
        <v>7839</v>
      </c>
      <c r="B48" s="546">
        <v>100000</v>
      </c>
      <c r="C48" s="546">
        <v>0</v>
      </c>
      <c r="D48" s="546">
        <v>100000</v>
      </c>
      <c r="E48" s="546">
        <v>0</v>
      </c>
      <c r="F48" s="546">
        <v>0</v>
      </c>
      <c r="G48" s="546">
        <v>0</v>
      </c>
    </row>
    <row r="49" spans="1:12">
      <c r="A49" s="545" t="s">
        <v>7840</v>
      </c>
      <c r="B49" s="546">
        <v>15000</v>
      </c>
      <c r="C49" s="546">
        <v>0</v>
      </c>
      <c r="D49" s="546">
        <v>0</v>
      </c>
      <c r="E49" s="546">
        <v>0</v>
      </c>
      <c r="F49" s="546">
        <v>0</v>
      </c>
      <c r="G49" s="546">
        <v>15000</v>
      </c>
    </row>
    <row r="50" spans="1:12">
      <c r="A50" s="545" t="s">
        <v>7841</v>
      </c>
      <c r="B50" s="546">
        <v>9000</v>
      </c>
      <c r="C50" s="546">
        <v>0</v>
      </c>
      <c r="D50" s="546">
        <v>0</v>
      </c>
      <c r="E50" s="546">
        <v>9000</v>
      </c>
      <c r="F50" s="546">
        <v>0</v>
      </c>
      <c r="G50" s="546">
        <v>0</v>
      </c>
    </row>
    <row r="55" spans="1:12">
      <c r="A55" s="365" t="s">
        <v>1210</v>
      </c>
      <c r="B55" s="365" t="s">
        <v>1211</v>
      </c>
      <c r="C55" s="371">
        <v>45689</v>
      </c>
      <c r="D55" s="365" t="s">
        <v>1212</v>
      </c>
      <c r="E55" s="371">
        <v>45716</v>
      </c>
      <c r="F55" s="365"/>
      <c r="G55" s="365"/>
      <c r="H55" s="365"/>
      <c r="I55" s="365"/>
      <c r="J55" s="365"/>
      <c r="K55" s="365"/>
      <c r="L55" s="365"/>
    </row>
    <row r="56" spans="1:12">
      <c r="A56" s="365" t="s">
        <v>1213</v>
      </c>
      <c r="B56" s="365" t="s">
        <v>1214</v>
      </c>
      <c r="C56" s="365" t="s">
        <v>1215</v>
      </c>
      <c r="D56" s="365" t="s">
        <v>1216</v>
      </c>
      <c r="E56" s="365" t="s">
        <v>1217</v>
      </c>
      <c r="F56" s="365" t="s">
        <v>1218</v>
      </c>
      <c r="G56" s="365" t="s">
        <v>1219</v>
      </c>
      <c r="H56" s="365" t="s">
        <v>1220</v>
      </c>
      <c r="I56" s="365" t="s">
        <v>1221</v>
      </c>
      <c r="J56" s="365" t="s">
        <v>1222</v>
      </c>
      <c r="K56" s="365" t="s">
        <v>1223</v>
      </c>
      <c r="L56" s="365" t="s">
        <v>1224</v>
      </c>
    </row>
    <row r="57" spans="1:12">
      <c r="A57" s="370">
        <v>45689.381145833337</v>
      </c>
      <c r="B57" s="365" t="s">
        <v>7842</v>
      </c>
      <c r="C57" s="365" t="s">
        <v>7843</v>
      </c>
      <c r="D57" s="365" t="s">
        <v>1665</v>
      </c>
      <c r="E57" s="365" t="s">
        <v>1666</v>
      </c>
      <c r="F57" s="365" t="s">
        <v>7844</v>
      </c>
      <c r="G57" s="370">
        <v>45681</v>
      </c>
      <c r="H57" s="369">
        <v>9000</v>
      </c>
      <c r="I57" s="365" t="s">
        <v>7845</v>
      </c>
      <c r="J57" s="365" t="s">
        <v>1228</v>
      </c>
      <c r="K57" s="365" t="s">
        <v>1229</v>
      </c>
      <c r="L57" s="370">
        <v>45689.382222222222</v>
      </c>
    </row>
    <row r="58" spans="1:12">
      <c r="A58" s="370">
        <v>45689.519537037035</v>
      </c>
      <c r="B58" s="365" t="s">
        <v>7846</v>
      </c>
      <c r="C58" s="365" t="s">
        <v>7501</v>
      </c>
      <c r="D58" s="365" t="s">
        <v>7847</v>
      </c>
      <c r="E58" s="365" t="s">
        <v>7848</v>
      </c>
      <c r="F58" s="365" t="s">
        <v>7849</v>
      </c>
      <c r="G58" s="370">
        <v>45652</v>
      </c>
      <c r="H58" s="369">
        <v>87999</v>
      </c>
      <c r="I58" s="365" t="s">
        <v>7850</v>
      </c>
      <c r="J58" s="365" t="s">
        <v>1228</v>
      </c>
      <c r="K58" s="365" t="s">
        <v>1229</v>
      </c>
      <c r="L58" s="370">
        <v>45689.521087962959</v>
      </c>
    </row>
    <row r="59" spans="1:12">
      <c r="A59" s="370">
        <v>45689.519942129627</v>
      </c>
      <c r="B59" s="365" t="s">
        <v>7851</v>
      </c>
      <c r="C59" s="365" t="s">
        <v>7501</v>
      </c>
      <c r="D59" s="365" t="s">
        <v>7847</v>
      </c>
      <c r="E59" s="365" t="s">
        <v>7848</v>
      </c>
      <c r="F59" s="365" t="s">
        <v>7852</v>
      </c>
      <c r="G59" s="370">
        <v>45621</v>
      </c>
      <c r="H59" s="369">
        <v>87999</v>
      </c>
      <c r="I59" s="365" t="s">
        <v>7853</v>
      </c>
      <c r="J59" s="365" t="s">
        <v>1228</v>
      </c>
      <c r="K59" s="365" t="s">
        <v>1229</v>
      </c>
      <c r="L59" s="370">
        <v>45689.521273148152</v>
      </c>
    </row>
    <row r="60" spans="1:12">
      <c r="A60" s="370">
        <v>45689.650567129633</v>
      </c>
      <c r="B60" s="365" t="s">
        <v>7854</v>
      </c>
      <c r="C60" s="365" t="s">
        <v>7855</v>
      </c>
      <c r="D60" s="365" t="s">
        <v>5660</v>
      </c>
      <c r="E60" s="365" t="s">
        <v>5661</v>
      </c>
      <c r="F60" s="365" t="s">
        <v>7856</v>
      </c>
      <c r="G60" s="370">
        <v>45681</v>
      </c>
      <c r="H60" s="369">
        <v>14999</v>
      </c>
      <c r="I60" s="365" t="s">
        <v>7857</v>
      </c>
      <c r="J60" s="365" t="s">
        <v>1228</v>
      </c>
      <c r="K60" s="365" t="s">
        <v>1229</v>
      </c>
      <c r="L60" s="370">
        <v>45689.65315972222</v>
      </c>
    </row>
    <row r="61" spans="1:12">
      <c r="A61" s="370">
        <v>45689.407870370371</v>
      </c>
      <c r="B61" s="365" t="s">
        <v>7858</v>
      </c>
      <c r="C61" s="365" t="s">
        <v>7859</v>
      </c>
      <c r="D61" s="365" t="s">
        <v>1430</v>
      </c>
      <c r="E61" s="365" t="s">
        <v>1431</v>
      </c>
      <c r="F61" s="365" t="s">
        <v>7860</v>
      </c>
      <c r="G61" s="370">
        <v>45681</v>
      </c>
      <c r="H61" s="369">
        <v>46999</v>
      </c>
      <c r="I61" s="365" t="s">
        <v>7861</v>
      </c>
      <c r="J61" s="365" t="s">
        <v>1228</v>
      </c>
      <c r="K61" s="365" t="s">
        <v>1229</v>
      </c>
      <c r="L61" s="370">
        <v>45689.410196759258</v>
      </c>
    </row>
    <row r="62" spans="1:12">
      <c r="A62" s="370">
        <v>45689.743136574078</v>
      </c>
      <c r="B62" s="365" t="s">
        <v>7862</v>
      </c>
      <c r="C62" s="365" t="s">
        <v>7710</v>
      </c>
      <c r="D62" s="365" t="s">
        <v>7863</v>
      </c>
      <c r="E62" s="365" t="s">
        <v>7864</v>
      </c>
      <c r="F62" s="365" t="s">
        <v>7865</v>
      </c>
      <c r="G62" s="370">
        <v>45681</v>
      </c>
      <c r="H62" s="369">
        <v>16500</v>
      </c>
      <c r="I62" s="365" t="s">
        <v>7866</v>
      </c>
      <c r="J62" s="365" t="s">
        <v>1228</v>
      </c>
      <c r="K62" s="365" t="s">
        <v>1229</v>
      </c>
      <c r="L62" s="370">
        <v>45689.746828703705</v>
      </c>
    </row>
    <row r="63" spans="1:12">
      <c r="A63" s="370">
        <v>45690.262766203705</v>
      </c>
      <c r="B63" s="365" t="s">
        <v>7867</v>
      </c>
      <c r="C63" s="365" t="s">
        <v>7868</v>
      </c>
      <c r="D63" s="365" t="s">
        <v>2507</v>
      </c>
      <c r="E63" s="365" t="s">
        <v>2508</v>
      </c>
      <c r="F63" s="365" t="s">
        <v>7869</v>
      </c>
      <c r="G63" s="370">
        <v>45681</v>
      </c>
      <c r="H63" s="369">
        <v>9000</v>
      </c>
      <c r="I63" s="365" t="s">
        <v>7870</v>
      </c>
      <c r="J63" s="365" t="s">
        <v>1228</v>
      </c>
      <c r="K63" s="365" t="s">
        <v>1229</v>
      </c>
      <c r="L63" s="370">
        <v>45690.264155092591</v>
      </c>
    </row>
    <row r="64" spans="1:12">
      <c r="A64" s="370">
        <v>45691.395648148151</v>
      </c>
      <c r="B64" s="365" t="s">
        <v>7871</v>
      </c>
      <c r="C64" s="365" t="s">
        <v>7501</v>
      </c>
      <c r="D64" s="365" t="s">
        <v>7872</v>
      </c>
      <c r="E64" s="365" t="s">
        <v>7873</v>
      </c>
      <c r="F64" s="365" t="s">
        <v>7874</v>
      </c>
      <c r="G64" s="370">
        <v>45681</v>
      </c>
      <c r="H64" s="369">
        <v>15000</v>
      </c>
      <c r="I64" s="365" t="s">
        <v>7875</v>
      </c>
      <c r="J64" s="365" t="s">
        <v>1228</v>
      </c>
      <c r="K64" s="365" t="s">
        <v>1229</v>
      </c>
      <c r="L64" s="370">
        <v>45691.39640046296</v>
      </c>
    </row>
    <row r="65" spans="1:12">
      <c r="A65" s="370">
        <v>45691.418483796297</v>
      </c>
      <c r="B65" s="365" t="s">
        <v>7876</v>
      </c>
      <c r="C65" s="365" t="s">
        <v>7877</v>
      </c>
      <c r="D65" s="365" t="s">
        <v>3815</v>
      </c>
      <c r="E65" s="365" t="s">
        <v>3816</v>
      </c>
      <c r="F65" s="365" t="s">
        <v>7878</v>
      </c>
      <c r="G65" s="370">
        <v>45652</v>
      </c>
      <c r="H65" s="369">
        <v>76999</v>
      </c>
      <c r="I65" s="365" t="s">
        <v>7879</v>
      </c>
      <c r="J65" s="365" t="s">
        <v>1228</v>
      </c>
      <c r="K65" s="365" t="s">
        <v>1229</v>
      </c>
      <c r="L65" s="370">
        <v>45691.421365740738</v>
      </c>
    </row>
    <row r="66" spans="1:12">
      <c r="A66" s="370">
        <v>45691.435868055552</v>
      </c>
      <c r="B66" s="365" t="s">
        <v>7880</v>
      </c>
      <c r="C66" s="365" t="s">
        <v>7881</v>
      </c>
      <c r="D66" s="365" t="s">
        <v>1662</v>
      </c>
      <c r="E66" s="365" t="s">
        <v>1663</v>
      </c>
      <c r="F66" s="365" t="s">
        <v>7882</v>
      </c>
      <c r="G66" s="370">
        <v>45681</v>
      </c>
      <c r="H66" s="369">
        <v>35000</v>
      </c>
      <c r="I66" s="365" t="s">
        <v>7883</v>
      </c>
      <c r="J66" s="365" t="s">
        <v>1228</v>
      </c>
      <c r="K66" s="365" t="s">
        <v>1229</v>
      </c>
      <c r="L66" s="370">
        <v>45691.438576388886</v>
      </c>
    </row>
    <row r="67" spans="1:12">
      <c r="A67" s="370">
        <v>45691.485937500001</v>
      </c>
      <c r="B67" s="365" t="s">
        <v>7884</v>
      </c>
      <c r="C67" s="365" t="s">
        <v>7885</v>
      </c>
      <c r="D67" s="365" t="s">
        <v>7886</v>
      </c>
      <c r="E67" s="365" t="s">
        <v>7887</v>
      </c>
      <c r="F67" s="365" t="s">
        <v>7888</v>
      </c>
      <c r="G67" s="370">
        <v>45652</v>
      </c>
      <c r="H67" s="369">
        <v>40999</v>
      </c>
      <c r="I67" s="365" t="s">
        <v>7889</v>
      </c>
      <c r="J67" s="365" t="s">
        <v>1228</v>
      </c>
      <c r="K67" s="365" t="s">
        <v>1229</v>
      </c>
      <c r="L67" s="370">
        <v>45691.48710648148</v>
      </c>
    </row>
    <row r="68" spans="1:12">
      <c r="A68" s="370">
        <v>45691.611284722225</v>
      </c>
      <c r="B68" s="365" t="s">
        <v>7890</v>
      </c>
      <c r="C68" s="365" t="s">
        <v>7891</v>
      </c>
      <c r="D68" s="365" t="s">
        <v>2391</v>
      </c>
      <c r="E68" s="365" t="s">
        <v>2392</v>
      </c>
      <c r="F68" s="365" t="s">
        <v>7892</v>
      </c>
      <c r="G68" s="370">
        <v>45681</v>
      </c>
      <c r="H68" s="369">
        <v>18000</v>
      </c>
      <c r="I68" s="365" t="s">
        <v>7893</v>
      </c>
      <c r="J68" s="365" t="s">
        <v>1228</v>
      </c>
      <c r="K68" s="365" t="s">
        <v>1229</v>
      </c>
      <c r="L68" s="370">
        <v>45691.611967592595</v>
      </c>
    </row>
    <row r="69" spans="1:12">
      <c r="A69" s="370">
        <v>45691.706666666665</v>
      </c>
      <c r="B69" s="365" t="s">
        <v>7894</v>
      </c>
      <c r="C69" s="365" t="s">
        <v>7895</v>
      </c>
      <c r="D69" s="365" t="s">
        <v>7896</v>
      </c>
      <c r="E69" s="365" t="s">
        <v>7897</v>
      </c>
      <c r="F69" s="365" t="s">
        <v>7898</v>
      </c>
      <c r="G69" s="370">
        <v>45681</v>
      </c>
      <c r="H69" s="369">
        <v>63000</v>
      </c>
      <c r="I69" s="365" t="s">
        <v>7899</v>
      </c>
      <c r="J69" s="365" t="s">
        <v>1228</v>
      </c>
      <c r="K69" s="365" t="s">
        <v>1229</v>
      </c>
      <c r="L69" s="370">
        <v>45691.709432870368</v>
      </c>
    </row>
    <row r="70" spans="1:12">
      <c r="A70" s="370">
        <v>45691.709328703706</v>
      </c>
      <c r="B70" s="365" t="s">
        <v>7900</v>
      </c>
      <c r="C70" s="365" t="s">
        <v>7901</v>
      </c>
      <c r="D70" s="365" t="s">
        <v>2258</v>
      </c>
      <c r="E70" s="365" t="s">
        <v>2259</v>
      </c>
      <c r="F70" s="365" t="s">
        <v>7902</v>
      </c>
      <c r="G70" s="370">
        <v>45681</v>
      </c>
      <c r="H70" s="369">
        <v>28499</v>
      </c>
      <c r="I70" s="365" t="s">
        <v>7903</v>
      </c>
      <c r="J70" s="365" t="s">
        <v>1228</v>
      </c>
      <c r="K70" s="365" t="s">
        <v>1229</v>
      </c>
      <c r="L70" s="370">
        <v>45691.712835648148</v>
      </c>
    </row>
    <row r="71" spans="1:12">
      <c r="A71" s="370">
        <v>45691.395300925928</v>
      </c>
      <c r="B71" s="365" t="s">
        <v>7904</v>
      </c>
      <c r="C71" s="365" t="s">
        <v>7501</v>
      </c>
      <c r="D71" s="365" t="s">
        <v>7872</v>
      </c>
      <c r="E71" s="365" t="s">
        <v>7873</v>
      </c>
      <c r="F71" s="365" t="s">
        <v>7905</v>
      </c>
      <c r="G71" s="370">
        <v>45652</v>
      </c>
      <c r="H71" s="369">
        <v>15000</v>
      </c>
      <c r="I71" s="365" t="s">
        <v>7906</v>
      </c>
      <c r="J71" s="365" t="s">
        <v>1228</v>
      </c>
      <c r="K71" s="365" t="s">
        <v>1229</v>
      </c>
      <c r="L71" s="370">
        <v>45691.396574074075</v>
      </c>
    </row>
    <row r="72" spans="1:12">
      <c r="A72" s="370">
        <v>45691.384444444448</v>
      </c>
      <c r="B72" s="365" t="s">
        <v>7907</v>
      </c>
      <c r="C72" s="365" t="s">
        <v>7908</v>
      </c>
      <c r="D72" s="365" t="s">
        <v>1620</v>
      </c>
      <c r="E72" s="365" t="s">
        <v>1621</v>
      </c>
      <c r="F72" s="365" t="s">
        <v>7909</v>
      </c>
      <c r="G72" s="370">
        <v>45681</v>
      </c>
      <c r="H72" s="369">
        <v>24000</v>
      </c>
      <c r="I72" s="365" t="s">
        <v>7910</v>
      </c>
      <c r="J72" s="365" t="s">
        <v>1228</v>
      </c>
      <c r="K72" s="365" t="s">
        <v>1229</v>
      </c>
      <c r="L72" s="370">
        <v>45691.385648148149</v>
      </c>
    </row>
    <row r="73" spans="1:12">
      <c r="A73" s="370">
        <v>45691.40388888889</v>
      </c>
      <c r="B73" s="365" t="s">
        <v>7911</v>
      </c>
      <c r="C73" s="365" t="s">
        <v>7773</v>
      </c>
      <c r="D73" s="365" t="s">
        <v>2161</v>
      </c>
      <c r="E73" s="365" t="s">
        <v>2162</v>
      </c>
      <c r="F73" s="365" t="s">
        <v>7912</v>
      </c>
      <c r="G73" s="370">
        <v>45681</v>
      </c>
      <c r="H73" s="369">
        <v>15000</v>
      </c>
      <c r="I73" s="365" t="s">
        <v>7913</v>
      </c>
      <c r="J73" s="365" t="s">
        <v>1228</v>
      </c>
      <c r="K73" s="365" t="s">
        <v>1229</v>
      </c>
      <c r="L73" s="370">
        <v>45691.407407407409</v>
      </c>
    </row>
    <row r="74" spans="1:12">
      <c r="A74" s="370">
        <v>45691.437465277777</v>
      </c>
      <c r="B74" s="365" t="s">
        <v>7914</v>
      </c>
      <c r="C74" s="365" t="s">
        <v>7915</v>
      </c>
      <c r="D74" s="365" t="s">
        <v>4392</v>
      </c>
      <c r="E74" s="365" t="s">
        <v>4393</v>
      </c>
      <c r="F74" s="365" t="s">
        <v>7916</v>
      </c>
      <c r="G74" s="370">
        <v>45652</v>
      </c>
      <c r="H74" s="369">
        <v>31999</v>
      </c>
      <c r="I74" s="365" t="s">
        <v>7917</v>
      </c>
      <c r="J74" s="365" t="s">
        <v>1228</v>
      </c>
      <c r="K74" s="365" t="s">
        <v>1229</v>
      </c>
      <c r="L74" s="370">
        <v>45691.438761574071</v>
      </c>
    </row>
    <row r="75" spans="1:12">
      <c r="A75" s="370">
        <v>45691.477210648147</v>
      </c>
      <c r="B75" s="365" t="s">
        <v>7918</v>
      </c>
      <c r="C75" s="365" t="s">
        <v>7521</v>
      </c>
      <c r="D75" s="365" t="s">
        <v>2149</v>
      </c>
      <c r="E75" s="365" t="s">
        <v>2150</v>
      </c>
      <c r="F75" s="365" t="s">
        <v>7919</v>
      </c>
      <c r="G75" s="370">
        <v>45681</v>
      </c>
      <c r="H75" s="369">
        <v>14000</v>
      </c>
      <c r="I75" s="365" t="s">
        <v>7920</v>
      </c>
      <c r="J75" s="365" t="s">
        <v>1228</v>
      </c>
      <c r="K75" s="365" t="s">
        <v>1229</v>
      </c>
      <c r="L75" s="370">
        <v>45691.48033564815</v>
      </c>
    </row>
    <row r="76" spans="1:12">
      <c r="A76" s="370">
        <v>45691.498854166668</v>
      </c>
      <c r="B76" s="365" t="s">
        <v>7921</v>
      </c>
      <c r="C76" s="365" t="s">
        <v>7434</v>
      </c>
      <c r="D76" s="365" t="s">
        <v>1671</v>
      </c>
      <c r="E76" s="365" t="s">
        <v>1672</v>
      </c>
      <c r="F76" s="365" t="s">
        <v>7922</v>
      </c>
      <c r="G76" s="370">
        <v>45681</v>
      </c>
      <c r="H76" s="369">
        <v>15000</v>
      </c>
      <c r="I76" s="365" t="s">
        <v>7923</v>
      </c>
      <c r="J76" s="365" t="s">
        <v>1228</v>
      </c>
      <c r="K76" s="365" t="s">
        <v>1229</v>
      </c>
      <c r="L76" s="370">
        <v>45691.501099537039</v>
      </c>
    </row>
    <row r="77" spans="1:12">
      <c r="A77" s="370">
        <v>45691.511990740742</v>
      </c>
      <c r="B77" s="365" t="s">
        <v>7924</v>
      </c>
      <c r="C77" s="365" t="s">
        <v>7534</v>
      </c>
      <c r="D77" s="365" t="s">
        <v>7535</v>
      </c>
      <c r="E77" s="365" t="s">
        <v>7536</v>
      </c>
      <c r="F77" s="365" t="s">
        <v>7925</v>
      </c>
      <c r="G77" s="370">
        <v>45681</v>
      </c>
      <c r="H77" s="369">
        <v>15999</v>
      </c>
      <c r="I77" s="365" t="s">
        <v>7926</v>
      </c>
      <c r="J77" s="365" t="s">
        <v>1228</v>
      </c>
      <c r="K77" s="365" t="s">
        <v>1229</v>
      </c>
      <c r="L77" s="370">
        <v>45691.515115740738</v>
      </c>
    </row>
    <row r="78" spans="1:12">
      <c r="A78" s="370">
        <v>45691.527754629627</v>
      </c>
      <c r="B78" s="365" t="s">
        <v>7927</v>
      </c>
      <c r="C78" s="365" t="s">
        <v>7454</v>
      </c>
      <c r="D78" s="365" t="s">
        <v>2912</v>
      </c>
      <c r="E78" s="365" t="s">
        <v>2913</v>
      </c>
      <c r="F78" s="365" t="s">
        <v>7928</v>
      </c>
      <c r="G78" s="370">
        <v>45681</v>
      </c>
      <c r="H78" s="369">
        <v>131000</v>
      </c>
      <c r="I78" s="365" t="s">
        <v>7929</v>
      </c>
      <c r="J78" s="365" t="s">
        <v>1228</v>
      </c>
      <c r="K78" s="365" t="s">
        <v>1229</v>
      </c>
      <c r="L78" s="370">
        <v>45691.52853009259</v>
      </c>
    </row>
    <row r="79" spans="1:12">
      <c r="A79" s="370">
        <v>45691.911307870374</v>
      </c>
      <c r="B79" s="365" t="s">
        <v>7930</v>
      </c>
      <c r="C79" s="365" t="s">
        <v>7519</v>
      </c>
      <c r="D79" s="365" t="s">
        <v>2772</v>
      </c>
      <c r="E79" s="365" t="s">
        <v>2773</v>
      </c>
      <c r="F79" s="365" t="s">
        <v>7931</v>
      </c>
      <c r="G79" s="370">
        <v>45681</v>
      </c>
      <c r="H79" s="369">
        <v>52000</v>
      </c>
      <c r="I79" s="365" t="s">
        <v>7932</v>
      </c>
      <c r="J79" s="365" t="s">
        <v>1228</v>
      </c>
      <c r="K79" s="365" t="s">
        <v>1229</v>
      </c>
      <c r="L79" s="370">
        <v>45691.914166666669</v>
      </c>
    </row>
    <row r="80" spans="1:12">
      <c r="A80" s="370">
        <v>45692.282847222225</v>
      </c>
      <c r="B80" s="365" t="s">
        <v>7933</v>
      </c>
      <c r="C80" s="365" t="s">
        <v>7671</v>
      </c>
      <c r="D80" s="365" t="s">
        <v>2674</v>
      </c>
      <c r="E80" s="365" t="s">
        <v>2675</v>
      </c>
      <c r="F80" s="365" t="s">
        <v>7934</v>
      </c>
      <c r="G80" s="370">
        <v>45681</v>
      </c>
      <c r="H80" s="369">
        <v>9000</v>
      </c>
      <c r="I80" s="365" t="s">
        <v>7935</v>
      </c>
      <c r="J80" s="365" t="s">
        <v>1228</v>
      </c>
      <c r="K80" s="365" t="s">
        <v>1229</v>
      </c>
      <c r="L80" s="370">
        <v>45692.285173611112</v>
      </c>
    </row>
    <row r="81" spans="1:12">
      <c r="A81" s="370">
        <v>45692.327060185184</v>
      </c>
      <c r="B81" s="365" t="s">
        <v>7936</v>
      </c>
      <c r="C81" s="365" t="s">
        <v>7877</v>
      </c>
      <c r="D81" s="365" t="s">
        <v>3815</v>
      </c>
      <c r="E81" s="365" t="s">
        <v>3816</v>
      </c>
      <c r="F81" s="365" t="s">
        <v>7937</v>
      </c>
      <c r="G81" s="370">
        <v>45681</v>
      </c>
      <c r="H81" s="369">
        <v>76999</v>
      </c>
      <c r="I81" s="365" t="s">
        <v>7938</v>
      </c>
      <c r="J81" s="365" t="s">
        <v>1228</v>
      </c>
      <c r="K81" s="365" t="s">
        <v>1229</v>
      </c>
      <c r="L81" s="370">
        <v>45692.330324074072</v>
      </c>
    </row>
    <row r="82" spans="1:12">
      <c r="A82" s="370">
        <v>45692.341458333336</v>
      </c>
      <c r="B82" s="365" t="s">
        <v>7939</v>
      </c>
      <c r="C82" s="365" t="s">
        <v>7525</v>
      </c>
      <c r="D82" s="365" t="s">
        <v>2465</v>
      </c>
      <c r="E82" s="365" t="s">
        <v>2466</v>
      </c>
      <c r="F82" s="365" t="s">
        <v>7940</v>
      </c>
      <c r="G82" s="370">
        <v>45681</v>
      </c>
      <c r="H82" s="369">
        <v>131999</v>
      </c>
      <c r="I82" s="365" t="s">
        <v>7941</v>
      </c>
      <c r="J82" s="365" t="s">
        <v>1228</v>
      </c>
      <c r="K82" s="365" t="s">
        <v>1229</v>
      </c>
      <c r="L82" s="370">
        <v>45692.343981481485</v>
      </c>
    </row>
    <row r="83" spans="1:12">
      <c r="A83" s="370">
        <v>45692.430381944447</v>
      </c>
      <c r="B83" s="365" t="s">
        <v>7942</v>
      </c>
      <c r="C83" s="365" t="s">
        <v>7499</v>
      </c>
      <c r="D83" s="365" t="s">
        <v>2252</v>
      </c>
      <c r="E83" s="365" t="s">
        <v>2253</v>
      </c>
      <c r="F83" s="365" t="s">
        <v>7943</v>
      </c>
      <c r="G83" s="370">
        <v>45681</v>
      </c>
      <c r="H83" s="369">
        <v>30000</v>
      </c>
      <c r="I83" s="365" t="s">
        <v>7944</v>
      </c>
      <c r="J83" s="365" t="s">
        <v>1228</v>
      </c>
      <c r="K83" s="365" t="s">
        <v>1229</v>
      </c>
      <c r="L83" s="370">
        <v>45692.430902777778</v>
      </c>
    </row>
    <row r="84" spans="1:12">
      <c r="A84" s="370">
        <v>45692.497465277775</v>
      </c>
      <c r="B84" s="365" t="s">
        <v>7945</v>
      </c>
      <c r="C84" s="365" t="s">
        <v>7531</v>
      </c>
      <c r="D84" s="365" t="s">
        <v>2409</v>
      </c>
      <c r="E84" s="365" t="s">
        <v>2410</v>
      </c>
      <c r="F84" s="365" t="s">
        <v>7946</v>
      </c>
      <c r="G84" s="370">
        <v>45681</v>
      </c>
      <c r="H84" s="369">
        <v>31999</v>
      </c>
      <c r="I84" s="365" t="s">
        <v>7947</v>
      </c>
      <c r="J84" s="365" t="s">
        <v>1228</v>
      </c>
      <c r="K84" s="365" t="s">
        <v>1229</v>
      </c>
      <c r="L84" s="370">
        <v>45692.500231481485</v>
      </c>
    </row>
    <row r="85" spans="1:12">
      <c r="A85" s="370">
        <v>45692.524270833332</v>
      </c>
      <c r="B85" s="365" t="s">
        <v>7948</v>
      </c>
      <c r="C85" s="365" t="s">
        <v>7949</v>
      </c>
      <c r="D85" s="365" t="s">
        <v>1974</v>
      </c>
      <c r="E85" s="365" t="s">
        <v>1975</v>
      </c>
      <c r="F85" s="365" t="s">
        <v>7950</v>
      </c>
      <c r="G85" s="370">
        <v>45681</v>
      </c>
      <c r="H85" s="369">
        <v>9000</v>
      </c>
      <c r="I85" s="365" t="s">
        <v>7951</v>
      </c>
      <c r="J85" s="365" t="s">
        <v>1228</v>
      </c>
      <c r="K85" s="365" t="s">
        <v>1229</v>
      </c>
      <c r="L85" s="370">
        <v>45692.524641203701</v>
      </c>
    </row>
    <row r="86" spans="1:12">
      <c r="A86" s="370">
        <v>45692.531307870369</v>
      </c>
      <c r="B86" s="365" t="s">
        <v>7952</v>
      </c>
      <c r="C86" s="365" t="s">
        <v>7953</v>
      </c>
      <c r="D86" s="365" t="s">
        <v>3244</v>
      </c>
      <c r="E86" s="365" t="s">
        <v>3245</v>
      </c>
      <c r="F86" s="365" t="s">
        <v>7954</v>
      </c>
      <c r="G86" s="370">
        <v>45681</v>
      </c>
      <c r="H86" s="369">
        <v>15999</v>
      </c>
      <c r="I86" s="365" t="s">
        <v>7955</v>
      </c>
      <c r="J86" s="365" t="s">
        <v>1228</v>
      </c>
      <c r="K86" s="365" t="s">
        <v>1229</v>
      </c>
      <c r="L86" s="370">
        <v>45692.531782407408</v>
      </c>
    </row>
    <row r="87" spans="1:12">
      <c r="A87" s="370">
        <v>45692.557812500003</v>
      </c>
      <c r="B87" s="365" t="s">
        <v>7956</v>
      </c>
      <c r="C87" s="365" t="s">
        <v>7957</v>
      </c>
      <c r="D87" s="365" t="s">
        <v>4582</v>
      </c>
      <c r="E87" s="365" t="s">
        <v>4583</v>
      </c>
      <c r="F87" s="365" t="s">
        <v>7958</v>
      </c>
      <c r="G87" s="370">
        <v>45681</v>
      </c>
      <c r="H87" s="369">
        <v>15999</v>
      </c>
      <c r="I87" s="365" t="s">
        <v>7959</v>
      </c>
      <c r="J87" s="365" t="s">
        <v>1228</v>
      </c>
      <c r="K87" s="365" t="s">
        <v>1229</v>
      </c>
      <c r="L87" s="370">
        <v>45692.559328703705</v>
      </c>
    </row>
    <row r="88" spans="1:12">
      <c r="A88" s="370">
        <v>45692.638726851852</v>
      </c>
      <c r="B88" s="365" t="s">
        <v>7960</v>
      </c>
      <c r="C88" s="365" t="s">
        <v>7788</v>
      </c>
      <c r="D88" s="365" t="s">
        <v>2397</v>
      </c>
      <c r="E88" s="365" t="s">
        <v>2398</v>
      </c>
      <c r="F88" s="365" t="s">
        <v>7961</v>
      </c>
      <c r="G88" s="370">
        <v>45681</v>
      </c>
      <c r="H88" s="369">
        <v>25000</v>
      </c>
      <c r="I88" s="365" t="s">
        <v>7962</v>
      </c>
      <c r="J88" s="365" t="s">
        <v>1228</v>
      </c>
      <c r="K88" s="365" t="s">
        <v>1229</v>
      </c>
      <c r="L88" s="370">
        <v>45692.639131944445</v>
      </c>
    </row>
    <row r="89" spans="1:12">
      <c r="A89" s="370">
        <v>45692.689108796294</v>
      </c>
      <c r="B89" s="365" t="s">
        <v>7963</v>
      </c>
      <c r="C89" s="365" t="s">
        <v>7501</v>
      </c>
      <c r="D89" s="365" t="s">
        <v>3464</v>
      </c>
      <c r="E89" s="365" t="s">
        <v>3465</v>
      </c>
      <c r="F89" s="365" t="s">
        <v>7964</v>
      </c>
      <c r="G89" s="370">
        <v>45681</v>
      </c>
      <c r="H89" s="369">
        <v>15000</v>
      </c>
      <c r="I89" s="365" t="s">
        <v>7965</v>
      </c>
      <c r="J89" s="365" t="s">
        <v>1228</v>
      </c>
      <c r="K89" s="365" t="s">
        <v>1229</v>
      </c>
      <c r="L89" s="370">
        <v>45692.691435185188</v>
      </c>
    </row>
    <row r="90" spans="1:12">
      <c r="A90" s="370">
        <v>45692.702326388891</v>
      </c>
      <c r="B90" s="365" t="s">
        <v>7966</v>
      </c>
      <c r="C90" s="365" t="s">
        <v>7967</v>
      </c>
      <c r="D90" s="365" t="s">
        <v>3634</v>
      </c>
      <c r="E90" s="365" t="s">
        <v>3635</v>
      </c>
      <c r="F90" s="365" t="s">
        <v>7968</v>
      </c>
      <c r="G90" s="370">
        <v>45681</v>
      </c>
      <c r="H90" s="369">
        <v>45000</v>
      </c>
      <c r="I90" s="365" t="s">
        <v>7969</v>
      </c>
      <c r="J90" s="365" t="s">
        <v>1228</v>
      </c>
      <c r="K90" s="365" t="s">
        <v>1229</v>
      </c>
      <c r="L90" s="370">
        <v>45692.706053240741</v>
      </c>
    </row>
    <row r="91" spans="1:12">
      <c r="A91" s="370">
        <v>45692.704768518517</v>
      </c>
      <c r="B91" s="365" t="s">
        <v>7970</v>
      </c>
      <c r="C91" s="365" t="s">
        <v>7967</v>
      </c>
      <c r="D91" s="365" t="s">
        <v>3634</v>
      </c>
      <c r="E91" s="365" t="s">
        <v>3635</v>
      </c>
      <c r="F91" s="365" t="s">
        <v>7971</v>
      </c>
      <c r="G91" s="370">
        <v>45652</v>
      </c>
      <c r="H91" s="369">
        <v>45000</v>
      </c>
      <c r="I91" s="365" t="s">
        <v>7972</v>
      </c>
      <c r="J91" s="365" t="s">
        <v>1228</v>
      </c>
      <c r="K91" s="365" t="s">
        <v>1229</v>
      </c>
      <c r="L91" s="370">
        <v>45692.706238425926</v>
      </c>
    </row>
    <row r="92" spans="1:12">
      <c r="A92" s="370">
        <v>45692.720902777779</v>
      </c>
      <c r="B92" s="365" t="s">
        <v>7973</v>
      </c>
      <c r="C92" s="365" t="s">
        <v>7974</v>
      </c>
      <c r="D92" s="365" t="s">
        <v>2026</v>
      </c>
      <c r="E92" s="365" t="s">
        <v>2027</v>
      </c>
      <c r="F92" s="365" t="s">
        <v>7975</v>
      </c>
      <c r="G92" s="370">
        <v>45681</v>
      </c>
      <c r="H92" s="369">
        <v>4000</v>
      </c>
      <c r="I92" s="365" t="s">
        <v>7976</v>
      </c>
      <c r="J92" s="365" t="s">
        <v>1228</v>
      </c>
      <c r="K92" s="365" t="s">
        <v>1229</v>
      </c>
      <c r="L92" s="370">
        <v>45692.723379629628</v>
      </c>
    </row>
    <row r="93" spans="1:12">
      <c r="A93" s="370">
        <v>45692.756747685184</v>
      </c>
      <c r="B93" s="365" t="s">
        <v>7977</v>
      </c>
      <c r="C93" s="365" t="s">
        <v>7978</v>
      </c>
      <c r="D93" s="365" t="s">
        <v>1980</v>
      </c>
      <c r="E93" s="365" t="s">
        <v>1981</v>
      </c>
      <c r="F93" s="365" t="s">
        <v>7979</v>
      </c>
      <c r="G93" s="370">
        <v>45681</v>
      </c>
      <c r="H93" s="369">
        <v>12000</v>
      </c>
      <c r="I93" s="365" t="s">
        <v>7980</v>
      </c>
      <c r="J93" s="365" t="s">
        <v>1228</v>
      </c>
      <c r="K93" s="365" t="s">
        <v>1229</v>
      </c>
      <c r="L93" s="370">
        <v>45692.757835648146</v>
      </c>
    </row>
    <row r="94" spans="1:12">
      <c r="A94" s="370">
        <v>45692.764085648145</v>
      </c>
      <c r="B94" s="365" t="s">
        <v>7981</v>
      </c>
      <c r="C94" s="365" t="s">
        <v>7982</v>
      </c>
      <c r="D94" s="365" t="s">
        <v>6597</v>
      </c>
      <c r="E94" s="365" t="s">
        <v>6598</v>
      </c>
      <c r="F94" s="365" t="s">
        <v>7983</v>
      </c>
      <c r="G94" s="370">
        <v>45681</v>
      </c>
      <c r="H94" s="369">
        <v>27000</v>
      </c>
      <c r="I94" s="365" t="s">
        <v>7984</v>
      </c>
      <c r="J94" s="365" t="s">
        <v>1228</v>
      </c>
      <c r="K94" s="365" t="s">
        <v>1229</v>
      </c>
      <c r="L94" s="370">
        <v>45692.765115740738</v>
      </c>
    </row>
    <row r="95" spans="1:12">
      <c r="A95" s="370">
        <v>45692.950729166667</v>
      </c>
      <c r="B95" s="365" t="s">
        <v>7985</v>
      </c>
      <c r="C95" s="365" t="s">
        <v>7530</v>
      </c>
      <c r="D95" s="365" t="s">
        <v>2626</v>
      </c>
      <c r="E95" s="365" t="s">
        <v>2627</v>
      </c>
      <c r="F95" s="365" t="s">
        <v>7986</v>
      </c>
      <c r="G95" s="370">
        <v>45681</v>
      </c>
      <c r="H95" s="369">
        <v>24000</v>
      </c>
      <c r="I95" s="365" t="s">
        <v>7987</v>
      </c>
      <c r="J95" s="365" t="s">
        <v>1228</v>
      </c>
      <c r="K95" s="365" t="s">
        <v>1229</v>
      </c>
      <c r="L95" s="370">
        <v>45692.952465277776</v>
      </c>
    </row>
    <row r="96" spans="1:12">
      <c r="A96" s="370">
        <v>45692.600914351853</v>
      </c>
      <c r="B96" s="365" t="s">
        <v>7988</v>
      </c>
      <c r="C96" s="365" t="s">
        <v>7503</v>
      </c>
      <c r="D96" s="365" t="s">
        <v>7504</v>
      </c>
      <c r="E96" s="365" t="s">
        <v>7505</v>
      </c>
      <c r="F96" s="365" t="s">
        <v>7989</v>
      </c>
      <c r="G96" s="370">
        <v>45681</v>
      </c>
      <c r="H96" s="369">
        <v>11000</v>
      </c>
      <c r="I96" s="365" t="s">
        <v>7990</v>
      </c>
      <c r="J96" s="365" t="s">
        <v>1228</v>
      </c>
      <c r="K96" s="365" t="s">
        <v>1229</v>
      </c>
      <c r="L96" s="370">
        <v>45692.601180555554</v>
      </c>
    </row>
    <row r="97" spans="1:12">
      <c r="A97" s="370">
        <v>45692.679594907408</v>
      </c>
      <c r="B97" s="365" t="s">
        <v>7991</v>
      </c>
      <c r="C97" s="365" t="s">
        <v>7737</v>
      </c>
      <c r="D97" s="365" t="s">
        <v>2011</v>
      </c>
      <c r="E97" s="365" t="s">
        <v>2012</v>
      </c>
      <c r="F97" s="365" t="s">
        <v>7992</v>
      </c>
      <c r="G97" s="370">
        <v>45681</v>
      </c>
      <c r="H97" s="369">
        <v>88000</v>
      </c>
      <c r="I97" s="365" t="s">
        <v>7993</v>
      </c>
      <c r="J97" s="365" t="s">
        <v>1228</v>
      </c>
      <c r="K97" s="365" t="s">
        <v>1229</v>
      </c>
      <c r="L97" s="370">
        <v>45692.680891203701</v>
      </c>
    </row>
    <row r="98" spans="1:12">
      <c r="A98" s="370">
        <v>45692.724039351851</v>
      </c>
      <c r="B98" s="365" t="s">
        <v>7994</v>
      </c>
      <c r="C98" s="365" t="s">
        <v>7791</v>
      </c>
      <c r="D98" s="365" t="s">
        <v>5572</v>
      </c>
      <c r="E98" s="365" t="s">
        <v>5573</v>
      </c>
      <c r="F98" s="365" t="s">
        <v>7995</v>
      </c>
      <c r="G98" s="370">
        <v>45681</v>
      </c>
      <c r="H98" s="369">
        <v>4500</v>
      </c>
      <c r="I98" s="365" t="s">
        <v>7996</v>
      </c>
      <c r="J98" s="365" t="s">
        <v>1228</v>
      </c>
      <c r="K98" s="365" t="s">
        <v>1229</v>
      </c>
      <c r="L98" s="370">
        <v>45692.726770833331</v>
      </c>
    </row>
    <row r="99" spans="1:12">
      <c r="A99" s="370">
        <v>45692.595462962963</v>
      </c>
      <c r="B99" s="365" t="s">
        <v>7997</v>
      </c>
      <c r="C99" s="365" t="s">
        <v>7998</v>
      </c>
      <c r="D99" s="365" t="s">
        <v>2181</v>
      </c>
      <c r="E99" s="365" t="s">
        <v>2182</v>
      </c>
      <c r="F99" s="365" t="s">
        <v>7999</v>
      </c>
      <c r="G99" s="370">
        <v>45681</v>
      </c>
      <c r="H99" s="369">
        <v>320000</v>
      </c>
      <c r="I99" s="365" t="s">
        <v>8000</v>
      </c>
      <c r="J99" s="365" t="s">
        <v>1228</v>
      </c>
      <c r="K99" s="365" t="s">
        <v>1229</v>
      </c>
      <c r="L99" s="370">
        <v>45692.597430555557</v>
      </c>
    </row>
    <row r="100" spans="1:12">
      <c r="A100" s="370">
        <v>45692.687847222223</v>
      </c>
      <c r="B100" s="365" t="s">
        <v>8001</v>
      </c>
      <c r="C100" s="365" t="s">
        <v>7501</v>
      </c>
      <c r="D100" s="365" t="s">
        <v>1294</v>
      </c>
      <c r="E100" s="365" t="s">
        <v>1295</v>
      </c>
      <c r="F100" s="365" t="s">
        <v>8002</v>
      </c>
      <c r="G100" s="370">
        <v>45681</v>
      </c>
      <c r="H100" s="369">
        <v>392503</v>
      </c>
      <c r="I100" s="365" t="s">
        <v>8003</v>
      </c>
      <c r="J100" s="365" t="s">
        <v>1228</v>
      </c>
      <c r="K100" s="365" t="s">
        <v>1229</v>
      </c>
      <c r="L100" s="370">
        <v>45692.691608796296</v>
      </c>
    </row>
    <row r="101" spans="1:12">
      <c r="A101" s="370">
        <v>45692.689560185187</v>
      </c>
      <c r="B101" s="365" t="s">
        <v>8004</v>
      </c>
      <c r="C101" s="365" t="s">
        <v>7501</v>
      </c>
      <c r="D101" s="365" t="s">
        <v>2052</v>
      </c>
      <c r="E101" s="365" t="s">
        <v>2053</v>
      </c>
      <c r="F101" s="365" t="s">
        <v>8005</v>
      </c>
      <c r="G101" s="370">
        <v>45681</v>
      </c>
      <c r="H101" s="369">
        <v>34999</v>
      </c>
      <c r="I101" s="365" t="s">
        <v>8006</v>
      </c>
      <c r="J101" s="365" t="s">
        <v>1228</v>
      </c>
      <c r="K101" s="365" t="s">
        <v>1229</v>
      </c>
      <c r="L101" s="370">
        <v>45692.691793981481</v>
      </c>
    </row>
    <row r="102" spans="1:12">
      <c r="A102" s="370">
        <v>45693.293958333335</v>
      </c>
      <c r="B102" s="365" t="s">
        <v>8007</v>
      </c>
      <c r="C102" s="365" t="s">
        <v>8008</v>
      </c>
      <c r="D102" s="365" t="s">
        <v>2415</v>
      </c>
      <c r="E102" s="365" t="s">
        <v>2416</v>
      </c>
      <c r="F102" s="365" t="s">
        <v>8009</v>
      </c>
      <c r="G102" s="370">
        <v>45681</v>
      </c>
      <c r="H102" s="369">
        <v>27726</v>
      </c>
      <c r="I102" s="365" t="s">
        <v>8010</v>
      </c>
      <c r="J102" s="365" t="s">
        <v>1228</v>
      </c>
      <c r="K102" s="365" t="s">
        <v>1229</v>
      </c>
      <c r="L102" s="370">
        <v>45693.29546296296</v>
      </c>
    </row>
    <row r="103" spans="1:12">
      <c r="A103" s="370">
        <v>45693.314733796295</v>
      </c>
      <c r="B103" s="365" t="s">
        <v>8011</v>
      </c>
      <c r="C103" s="365" t="s">
        <v>7569</v>
      </c>
      <c r="D103" s="365" t="s">
        <v>2632</v>
      </c>
      <c r="E103" s="365" t="s">
        <v>2633</v>
      </c>
      <c r="F103" s="365" t="s">
        <v>8012</v>
      </c>
      <c r="G103" s="370">
        <v>45681</v>
      </c>
      <c r="H103" s="369">
        <v>18000</v>
      </c>
      <c r="I103" s="365" t="s">
        <v>8013</v>
      </c>
      <c r="J103" s="365" t="s">
        <v>1228</v>
      </c>
      <c r="K103" s="365" t="s">
        <v>1229</v>
      </c>
      <c r="L103" s="370">
        <v>45693.31622685185</v>
      </c>
    </row>
    <row r="104" spans="1:12">
      <c r="A104" s="370">
        <v>45693.379050925927</v>
      </c>
      <c r="B104" s="365" t="s">
        <v>8014</v>
      </c>
      <c r="C104" s="365" t="s">
        <v>7552</v>
      </c>
      <c r="D104" s="365" t="s">
        <v>2845</v>
      </c>
      <c r="E104" s="365" t="s">
        <v>8015</v>
      </c>
      <c r="F104" s="365" t="s">
        <v>8016</v>
      </c>
      <c r="G104" s="370">
        <v>45681</v>
      </c>
      <c r="H104" s="369">
        <v>27000</v>
      </c>
      <c r="I104" s="365" t="s">
        <v>8017</v>
      </c>
      <c r="J104" s="365" t="s">
        <v>1228</v>
      </c>
      <c r="K104" s="365" t="s">
        <v>1229</v>
      </c>
      <c r="L104" s="370">
        <v>45693.382407407407</v>
      </c>
    </row>
    <row r="105" spans="1:12">
      <c r="A105" s="370">
        <v>45693.500937500001</v>
      </c>
      <c r="B105" s="365" t="s">
        <v>8018</v>
      </c>
      <c r="C105" s="365" t="s">
        <v>8019</v>
      </c>
      <c r="D105" s="365" t="s">
        <v>1350</v>
      </c>
      <c r="E105" s="365" t="s">
        <v>1351</v>
      </c>
      <c r="F105" s="365" t="s">
        <v>8020</v>
      </c>
      <c r="G105" s="370">
        <v>45681</v>
      </c>
      <c r="H105" s="369">
        <v>15999</v>
      </c>
      <c r="I105" s="365" t="s">
        <v>8021</v>
      </c>
      <c r="J105" s="365" t="s">
        <v>1228</v>
      </c>
      <c r="K105" s="365" t="s">
        <v>1229</v>
      </c>
      <c r="L105" s="370">
        <v>45693.503854166665</v>
      </c>
    </row>
    <row r="106" spans="1:12">
      <c r="A106" s="370">
        <v>45693.616203703707</v>
      </c>
      <c r="B106" s="365" t="s">
        <v>8022</v>
      </c>
      <c r="C106" s="365" t="s">
        <v>8023</v>
      </c>
      <c r="D106" s="365" t="s">
        <v>2006</v>
      </c>
      <c r="E106" s="365" t="s">
        <v>2007</v>
      </c>
      <c r="F106" s="365" t="s">
        <v>8024</v>
      </c>
      <c r="G106" s="370">
        <v>45681</v>
      </c>
      <c r="H106" s="369">
        <v>18000</v>
      </c>
      <c r="I106" s="365" t="s">
        <v>8025</v>
      </c>
      <c r="J106" s="365" t="s">
        <v>1228</v>
      </c>
      <c r="K106" s="365" t="s">
        <v>1229</v>
      </c>
      <c r="L106" s="370">
        <v>45693.618495370371</v>
      </c>
    </row>
    <row r="107" spans="1:12">
      <c r="A107" s="370">
        <v>45693.644675925927</v>
      </c>
      <c r="B107" s="365" t="s">
        <v>8026</v>
      </c>
      <c r="C107" s="365" t="s">
        <v>8027</v>
      </c>
      <c r="D107" s="365" t="s">
        <v>3015</v>
      </c>
      <c r="E107" s="365" t="s">
        <v>3016</v>
      </c>
      <c r="F107" s="365" t="s">
        <v>8028</v>
      </c>
      <c r="G107" s="370">
        <v>45652</v>
      </c>
      <c r="H107" s="369">
        <v>17501</v>
      </c>
      <c r="I107" s="365" t="s">
        <v>8029</v>
      </c>
      <c r="J107" s="365" t="s">
        <v>1228</v>
      </c>
      <c r="K107" s="365" t="s">
        <v>1229</v>
      </c>
      <c r="L107" s="370">
        <v>45693.646111111113</v>
      </c>
    </row>
    <row r="108" spans="1:12">
      <c r="A108" s="370">
        <v>45693.646597222221</v>
      </c>
      <c r="B108" s="365" t="s">
        <v>8030</v>
      </c>
      <c r="C108" s="365" t="s">
        <v>8027</v>
      </c>
      <c r="D108" s="365" t="s">
        <v>3015</v>
      </c>
      <c r="E108" s="365" t="s">
        <v>3016</v>
      </c>
      <c r="F108" s="365" t="s">
        <v>8031</v>
      </c>
      <c r="G108" s="370">
        <v>45681</v>
      </c>
      <c r="H108" s="369">
        <v>17501</v>
      </c>
      <c r="I108" s="365" t="s">
        <v>8032</v>
      </c>
      <c r="J108" s="365" t="s">
        <v>1228</v>
      </c>
      <c r="K108" s="365" t="s">
        <v>1229</v>
      </c>
      <c r="L108" s="370">
        <v>45693.649699074071</v>
      </c>
    </row>
    <row r="109" spans="1:12">
      <c r="A109" s="370">
        <v>45693.666759259257</v>
      </c>
      <c r="B109" s="365" t="s">
        <v>8033</v>
      </c>
      <c r="C109" s="365" t="s">
        <v>7501</v>
      </c>
      <c r="D109" s="365" t="s">
        <v>1328</v>
      </c>
      <c r="E109" s="365" t="s">
        <v>1329</v>
      </c>
      <c r="F109" s="365" t="s">
        <v>8034</v>
      </c>
      <c r="G109" s="370">
        <v>45681</v>
      </c>
      <c r="H109" s="369">
        <v>14500</v>
      </c>
      <c r="I109" s="365" t="s">
        <v>8035</v>
      </c>
      <c r="J109" s="365" t="s">
        <v>1228</v>
      </c>
      <c r="K109" s="365" t="s">
        <v>1229</v>
      </c>
      <c r="L109" s="370">
        <v>45693.670474537037</v>
      </c>
    </row>
    <row r="110" spans="1:12">
      <c r="A110" s="370">
        <v>45693.77579861111</v>
      </c>
      <c r="B110" s="365" t="s">
        <v>8036</v>
      </c>
      <c r="C110" s="365" t="s">
        <v>7541</v>
      </c>
      <c r="D110" s="365" t="s">
        <v>2560</v>
      </c>
      <c r="E110" s="365" t="s">
        <v>2561</v>
      </c>
      <c r="F110" s="365" t="s">
        <v>8037</v>
      </c>
      <c r="G110" s="370">
        <v>45681</v>
      </c>
      <c r="H110" s="369">
        <v>15000</v>
      </c>
      <c r="I110" s="365" t="s">
        <v>8038</v>
      </c>
      <c r="J110" s="365" t="s">
        <v>1228</v>
      </c>
      <c r="K110" s="365" t="s">
        <v>1229</v>
      </c>
      <c r="L110" s="370">
        <v>45693.778194444443</v>
      </c>
    </row>
    <row r="111" spans="1:12">
      <c r="A111" s="370">
        <v>45693.906504629631</v>
      </c>
      <c r="B111" s="365" t="s">
        <v>8039</v>
      </c>
      <c r="C111" s="365" t="s">
        <v>7561</v>
      </c>
      <c r="D111" s="365" t="s">
        <v>2611</v>
      </c>
      <c r="E111" s="365" t="s">
        <v>2612</v>
      </c>
      <c r="F111" s="365" t="s">
        <v>8040</v>
      </c>
      <c r="G111" s="370">
        <v>45681</v>
      </c>
      <c r="H111" s="369">
        <v>15000</v>
      </c>
      <c r="I111" s="365" t="s">
        <v>8041</v>
      </c>
      <c r="J111" s="365" t="s">
        <v>1228</v>
      </c>
      <c r="K111" s="365" t="s">
        <v>1229</v>
      </c>
      <c r="L111" s="370">
        <v>45693.910034722219</v>
      </c>
    </row>
    <row r="112" spans="1:12">
      <c r="A112" s="370">
        <v>45693.337280092594</v>
      </c>
      <c r="B112" s="365" t="s">
        <v>8042</v>
      </c>
      <c r="C112" s="365" t="s">
        <v>7501</v>
      </c>
      <c r="D112" s="365" t="s">
        <v>3474</v>
      </c>
      <c r="E112" s="365" t="s">
        <v>3475</v>
      </c>
      <c r="F112" s="365" t="s">
        <v>8043</v>
      </c>
      <c r="G112" s="370">
        <v>45681</v>
      </c>
      <c r="H112" s="369">
        <v>15999</v>
      </c>
      <c r="I112" s="365" t="s">
        <v>8044</v>
      </c>
      <c r="J112" s="365" t="s">
        <v>1228</v>
      </c>
      <c r="K112" s="365" t="s">
        <v>1229</v>
      </c>
      <c r="L112" s="370">
        <v>45693.340613425928</v>
      </c>
    </row>
    <row r="113" spans="1:12">
      <c r="A113" s="370">
        <v>45693.36822916667</v>
      </c>
      <c r="B113" s="365" t="s">
        <v>8045</v>
      </c>
      <c r="C113" s="365" t="s">
        <v>7547</v>
      </c>
      <c r="D113" s="365" t="s">
        <v>2352</v>
      </c>
      <c r="E113" s="365" t="s">
        <v>2353</v>
      </c>
      <c r="F113" s="365" t="s">
        <v>8046</v>
      </c>
      <c r="G113" s="370">
        <v>45681</v>
      </c>
      <c r="H113" s="369">
        <v>23000</v>
      </c>
      <c r="I113" s="365" t="s">
        <v>8047</v>
      </c>
      <c r="J113" s="365" t="s">
        <v>1228</v>
      </c>
      <c r="K113" s="365" t="s">
        <v>1229</v>
      </c>
      <c r="L113" s="370">
        <v>45693.368437500001</v>
      </c>
    </row>
    <row r="114" spans="1:12">
      <c r="A114" s="370">
        <v>45693.544756944444</v>
      </c>
      <c r="B114" s="365" t="s">
        <v>8048</v>
      </c>
      <c r="C114" s="365" t="s">
        <v>7524</v>
      </c>
      <c r="D114" s="365" t="s">
        <v>5888</v>
      </c>
      <c r="E114" s="365" t="s">
        <v>5889</v>
      </c>
      <c r="F114" s="365" t="s">
        <v>8049</v>
      </c>
      <c r="G114" s="370">
        <v>45681</v>
      </c>
      <c r="H114" s="369">
        <v>37000</v>
      </c>
      <c r="I114" s="365" t="s">
        <v>8050</v>
      </c>
      <c r="J114" s="365" t="s">
        <v>1228</v>
      </c>
      <c r="K114" s="365" t="s">
        <v>1229</v>
      </c>
      <c r="L114" s="370">
        <v>45693.545555555553</v>
      </c>
    </row>
    <row r="115" spans="1:12">
      <c r="A115" s="370">
        <v>45693.625138888892</v>
      </c>
      <c r="B115" s="365" t="s">
        <v>8051</v>
      </c>
      <c r="C115" s="365" t="s">
        <v>8052</v>
      </c>
      <c r="D115" s="365" t="s">
        <v>3886</v>
      </c>
      <c r="E115" s="365" t="s">
        <v>3887</v>
      </c>
      <c r="F115" s="365" t="s">
        <v>8053</v>
      </c>
      <c r="G115" s="370">
        <v>45681</v>
      </c>
      <c r="H115" s="369">
        <v>44999</v>
      </c>
      <c r="I115" s="365" t="s">
        <v>8054</v>
      </c>
      <c r="J115" s="365" t="s">
        <v>1228</v>
      </c>
      <c r="K115" s="365" t="s">
        <v>1229</v>
      </c>
      <c r="L115" s="370">
        <v>45693.628865740742</v>
      </c>
    </row>
    <row r="116" spans="1:12">
      <c r="A116" s="370">
        <v>45693.648773148147</v>
      </c>
      <c r="B116" s="365" t="s">
        <v>8055</v>
      </c>
      <c r="C116" s="365" t="s">
        <v>8056</v>
      </c>
      <c r="D116" s="365" t="s">
        <v>3531</v>
      </c>
      <c r="E116" s="365" t="s">
        <v>3532</v>
      </c>
      <c r="F116" s="365" t="s">
        <v>8057</v>
      </c>
      <c r="G116" s="370">
        <v>45681</v>
      </c>
      <c r="H116" s="369">
        <v>15000</v>
      </c>
      <c r="I116" s="365" t="s">
        <v>8058</v>
      </c>
      <c r="J116" s="365" t="s">
        <v>1228</v>
      </c>
      <c r="K116" s="365" t="s">
        <v>1229</v>
      </c>
      <c r="L116" s="370">
        <v>45693.649884259263</v>
      </c>
    </row>
    <row r="117" spans="1:12">
      <c r="A117" s="370">
        <v>45693.693437499998</v>
      </c>
      <c r="B117" s="365" t="s">
        <v>8059</v>
      </c>
      <c r="C117" s="365" t="s">
        <v>7545</v>
      </c>
      <c r="D117" s="365" t="s">
        <v>2501</v>
      </c>
      <c r="E117" s="365" t="s">
        <v>2502</v>
      </c>
      <c r="F117" s="365" t="s">
        <v>8060</v>
      </c>
      <c r="G117" s="370">
        <v>45681</v>
      </c>
      <c r="H117" s="369">
        <v>13000</v>
      </c>
      <c r="I117" s="365" t="s">
        <v>8061</v>
      </c>
      <c r="J117" s="365" t="s">
        <v>1228</v>
      </c>
      <c r="K117" s="365" t="s">
        <v>1229</v>
      </c>
      <c r="L117" s="370">
        <v>45693.694594907407</v>
      </c>
    </row>
    <row r="118" spans="1:12">
      <c r="A118" s="370">
        <v>45693.883506944447</v>
      </c>
      <c r="B118" s="365" t="s">
        <v>8062</v>
      </c>
      <c r="C118" s="365" t="s">
        <v>7806</v>
      </c>
      <c r="D118" s="365" t="s">
        <v>2599</v>
      </c>
      <c r="E118" s="365" t="s">
        <v>2600</v>
      </c>
      <c r="F118" s="365" t="s">
        <v>8063</v>
      </c>
      <c r="G118" s="370">
        <v>45681</v>
      </c>
      <c r="H118" s="369">
        <v>12000</v>
      </c>
      <c r="I118" s="365" t="s">
        <v>8064</v>
      </c>
      <c r="J118" s="365" t="s">
        <v>1228</v>
      </c>
      <c r="K118" s="365" t="s">
        <v>1229</v>
      </c>
      <c r="L118" s="370">
        <v>45693.885740740741</v>
      </c>
    </row>
    <row r="119" spans="1:12">
      <c r="A119" s="370">
        <v>45694.367488425924</v>
      </c>
      <c r="B119" s="365" t="s">
        <v>8065</v>
      </c>
      <c r="C119" s="365" t="s">
        <v>7572</v>
      </c>
      <c r="D119" s="365" t="s">
        <v>2590</v>
      </c>
      <c r="E119" s="365" t="s">
        <v>2591</v>
      </c>
      <c r="F119" s="365" t="s">
        <v>8066</v>
      </c>
      <c r="G119" s="370">
        <v>45681</v>
      </c>
      <c r="H119" s="369">
        <v>44999</v>
      </c>
      <c r="I119" s="365" t="s">
        <v>8067</v>
      </c>
      <c r="J119" s="365" t="s">
        <v>1228</v>
      </c>
      <c r="K119" s="365" t="s">
        <v>1229</v>
      </c>
      <c r="L119" s="370">
        <v>45694.368587962963</v>
      </c>
    </row>
    <row r="120" spans="1:12">
      <c r="A120" s="370">
        <v>45694.758321759262</v>
      </c>
      <c r="B120" s="365" t="s">
        <v>8068</v>
      </c>
      <c r="C120" s="365" t="s">
        <v>8069</v>
      </c>
      <c r="D120" s="365" t="s">
        <v>3161</v>
      </c>
      <c r="E120" s="365" t="s">
        <v>8070</v>
      </c>
      <c r="F120" s="365" t="s">
        <v>8071</v>
      </c>
      <c r="G120" s="370">
        <v>45681</v>
      </c>
      <c r="H120" s="369">
        <v>27000</v>
      </c>
      <c r="I120" s="365" t="s">
        <v>8072</v>
      </c>
      <c r="J120" s="365" t="s">
        <v>1228</v>
      </c>
      <c r="K120" s="365" t="s">
        <v>1229</v>
      </c>
      <c r="L120" s="370">
        <v>45694.760763888888</v>
      </c>
    </row>
    <row r="121" spans="1:12">
      <c r="A121" s="370">
        <v>45694.810173611113</v>
      </c>
      <c r="B121" s="365" t="s">
        <v>8073</v>
      </c>
      <c r="C121" s="365" t="s">
        <v>8074</v>
      </c>
      <c r="D121" s="365" t="s">
        <v>3940</v>
      </c>
      <c r="E121" s="365" t="s">
        <v>3941</v>
      </c>
      <c r="F121" s="365" t="s">
        <v>8075</v>
      </c>
      <c r="G121" s="370">
        <v>45681</v>
      </c>
      <c r="H121" s="369">
        <v>31000</v>
      </c>
      <c r="I121" s="365" t="s">
        <v>8076</v>
      </c>
      <c r="J121" s="365" t="s">
        <v>1228</v>
      </c>
      <c r="K121" s="365" t="s">
        <v>1229</v>
      </c>
      <c r="L121" s="370">
        <v>45694.812997685185</v>
      </c>
    </row>
    <row r="122" spans="1:12">
      <c r="A122" s="370">
        <v>45694.821319444447</v>
      </c>
      <c r="B122" s="365" t="s">
        <v>8077</v>
      </c>
      <c r="C122" s="365" t="s">
        <v>7631</v>
      </c>
      <c r="D122" s="365" t="s">
        <v>8078</v>
      </c>
      <c r="E122" s="365" t="s">
        <v>8079</v>
      </c>
      <c r="F122" s="365" t="s">
        <v>8080</v>
      </c>
      <c r="G122" s="370">
        <v>45681</v>
      </c>
      <c r="H122" s="369">
        <v>48000</v>
      </c>
      <c r="I122" s="365" t="s">
        <v>8081</v>
      </c>
      <c r="J122" s="365" t="s">
        <v>1228</v>
      </c>
      <c r="K122" s="365" t="s">
        <v>1229</v>
      </c>
      <c r="L122" s="370">
        <v>45694.823344907411</v>
      </c>
    </row>
    <row r="123" spans="1:12">
      <c r="A123" s="370">
        <v>45694.390520833331</v>
      </c>
      <c r="B123" s="365" t="s">
        <v>8082</v>
      </c>
      <c r="C123" s="365" t="s">
        <v>7777</v>
      </c>
      <c r="D123" s="365" t="s">
        <v>4276</v>
      </c>
      <c r="E123" s="365" t="s">
        <v>4277</v>
      </c>
      <c r="F123" s="365" t="s">
        <v>8083</v>
      </c>
      <c r="G123" s="370">
        <v>45681</v>
      </c>
      <c r="H123" s="369">
        <v>32000</v>
      </c>
      <c r="I123" s="365" t="s">
        <v>8084</v>
      </c>
      <c r="J123" s="365" t="s">
        <v>1228</v>
      </c>
      <c r="K123" s="365" t="s">
        <v>1229</v>
      </c>
      <c r="L123" s="370">
        <v>45694.392627314817</v>
      </c>
    </row>
    <row r="124" spans="1:12">
      <c r="A124" s="370">
        <v>45694.468587962961</v>
      </c>
      <c r="B124" s="365" t="s">
        <v>8085</v>
      </c>
      <c r="C124" s="365" t="s">
        <v>8086</v>
      </c>
      <c r="D124" s="365" t="s">
        <v>1648</v>
      </c>
      <c r="E124" s="365" t="s">
        <v>1649</v>
      </c>
      <c r="F124" s="365" t="s">
        <v>8087</v>
      </c>
      <c r="G124" s="370">
        <v>45681</v>
      </c>
      <c r="H124" s="369">
        <v>9000</v>
      </c>
      <c r="I124" s="365" t="s">
        <v>8088</v>
      </c>
      <c r="J124" s="365" t="s">
        <v>1228</v>
      </c>
      <c r="K124" s="365" t="s">
        <v>1229</v>
      </c>
      <c r="L124" s="370">
        <v>45694.469201388885</v>
      </c>
    </row>
    <row r="125" spans="1:12">
      <c r="A125" s="370">
        <v>45694.596898148149</v>
      </c>
      <c r="B125" s="365" t="s">
        <v>8089</v>
      </c>
      <c r="C125" s="365" t="s">
        <v>7497</v>
      </c>
      <c r="D125" s="365" t="s">
        <v>2187</v>
      </c>
      <c r="E125" s="365" t="s">
        <v>2188</v>
      </c>
      <c r="F125" s="365" t="s">
        <v>8090</v>
      </c>
      <c r="G125" s="370">
        <v>45681</v>
      </c>
      <c r="H125" s="369">
        <v>15000</v>
      </c>
      <c r="I125" s="365" t="s">
        <v>8091</v>
      </c>
      <c r="J125" s="365" t="s">
        <v>1228</v>
      </c>
      <c r="K125" s="365" t="s">
        <v>1229</v>
      </c>
      <c r="L125" s="370">
        <v>45694.597627314812</v>
      </c>
    </row>
    <row r="126" spans="1:12">
      <c r="A126" s="370">
        <v>45694.290960648148</v>
      </c>
      <c r="B126" s="365" t="s">
        <v>8092</v>
      </c>
      <c r="C126" s="365" t="s">
        <v>7720</v>
      </c>
      <c r="D126" s="365" t="s">
        <v>4077</v>
      </c>
      <c r="E126" s="365" t="s">
        <v>4078</v>
      </c>
      <c r="F126" s="365" t="s">
        <v>8093</v>
      </c>
      <c r="G126" s="370">
        <v>45681</v>
      </c>
      <c r="H126" s="369">
        <v>15000</v>
      </c>
      <c r="I126" s="365" t="s">
        <v>8094</v>
      </c>
      <c r="J126" s="365" t="s">
        <v>1228</v>
      </c>
      <c r="K126" s="365" t="s">
        <v>1229</v>
      </c>
      <c r="L126" s="370">
        <v>45694.291921296295</v>
      </c>
    </row>
    <row r="127" spans="1:12">
      <c r="A127" s="370">
        <v>45694.362175925926</v>
      </c>
      <c r="B127" s="365" t="s">
        <v>8095</v>
      </c>
      <c r="C127" s="365" t="s">
        <v>8096</v>
      </c>
      <c r="D127" s="365" t="s">
        <v>2827</v>
      </c>
      <c r="E127" s="365" t="s">
        <v>2828</v>
      </c>
      <c r="F127" s="365" t="s">
        <v>8097</v>
      </c>
      <c r="G127" s="370">
        <v>45681</v>
      </c>
      <c r="H127" s="369">
        <v>33500</v>
      </c>
      <c r="I127" s="365" t="s">
        <v>8098</v>
      </c>
      <c r="J127" s="365" t="s">
        <v>1228</v>
      </c>
      <c r="K127" s="365" t="s">
        <v>1229</v>
      </c>
      <c r="L127" s="370">
        <v>45694.365023148152</v>
      </c>
    </row>
    <row r="128" spans="1:12">
      <c r="A128" s="370">
        <v>45694.378680555557</v>
      </c>
      <c r="B128" s="365" t="s">
        <v>8099</v>
      </c>
      <c r="C128" s="365" t="s">
        <v>7533</v>
      </c>
      <c r="D128" s="365" t="s">
        <v>1490</v>
      </c>
      <c r="E128" s="365" t="s">
        <v>1491</v>
      </c>
      <c r="F128" s="365" t="s">
        <v>8100</v>
      </c>
      <c r="G128" s="370">
        <v>45681</v>
      </c>
      <c r="H128" s="369">
        <v>25000</v>
      </c>
      <c r="I128" s="365" t="s">
        <v>8101</v>
      </c>
      <c r="J128" s="365" t="s">
        <v>1228</v>
      </c>
      <c r="K128" s="365" t="s">
        <v>1229</v>
      </c>
      <c r="L128" s="370">
        <v>45694.378819444442</v>
      </c>
    </row>
    <row r="129" spans="1:12">
      <c r="A129" s="370">
        <v>45694.431875000002</v>
      </c>
      <c r="B129" s="365" t="s">
        <v>8102</v>
      </c>
      <c r="C129" s="365" t="s">
        <v>7501</v>
      </c>
      <c r="D129" s="365" t="s">
        <v>3800</v>
      </c>
      <c r="E129" s="365" t="s">
        <v>3801</v>
      </c>
      <c r="F129" s="365" t="s">
        <v>8103</v>
      </c>
      <c r="G129" s="370">
        <v>45681</v>
      </c>
      <c r="H129" s="369">
        <v>72501</v>
      </c>
      <c r="I129" s="365" t="s">
        <v>8104</v>
      </c>
      <c r="J129" s="365" t="s">
        <v>1228</v>
      </c>
      <c r="K129" s="365" t="s">
        <v>1229</v>
      </c>
      <c r="L129" s="370">
        <v>45694.434525462966</v>
      </c>
    </row>
    <row r="130" spans="1:12">
      <c r="A130" s="370">
        <v>45694.594490740739</v>
      </c>
      <c r="B130" s="365" t="s">
        <v>8105</v>
      </c>
      <c r="C130" s="365" t="s">
        <v>8106</v>
      </c>
      <c r="D130" s="365" t="s">
        <v>1868</v>
      </c>
      <c r="E130" s="365" t="s">
        <v>1869</v>
      </c>
      <c r="F130" s="365" t="s">
        <v>8107</v>
      </c>
      <c r="G130" s="370">
        <v>45681</v>
      </c>
      <c r="H130" s="369">
        <v>36000</v>
      </c>
      <c r="I130" s="365" t="s">
        <v>8108</v>
      </c>
      <c r="J130" s="365" t="s">
        <v>1228</v>
      </c>
      <c r="K130" s="365" t="s">
        <v>1229</v>
      </c>
      <c r="L130" s="370">
        <v>45694.597800925927</v>
      </c>
    </row>
    <row r="131" spans="1:12">
      <c r="A131" s="370">
        <v>45694.662280092591</v>
      </c>
      <c r="B131" s="365" t="s">
        <v>8109</v>
      </c>
      <c r="C131" s="365" t="s">
        <v>7553</v>
      </c>
      <c r="D131" s="365" t="s">
        <v>2789</v>
      </c>
      <c r="E131" s="365" t="s">
        <v>2790</v>
      </c>
      <c r="F131" s="365" t="s">
        <v>8110</v>
      </c>
      <c r="G131" s="370">
        <v>45681</v>
      </c>
      <c r="H131" s="369">
        <v>27000</v>
      </c>
      <c r="I131" s="365" t="s">
        <v>8111</v>
      </c>
      <c r="J131" s="365" t="s">
        <v>1228</v>
      </c>
      <c r="K131" s="365" t="s">
        <v>1229</v>
      </c>
      <c r="L131" s="370">
        <v>45694.663275462961</v>
      </c>
    </row>
    <row r="132" spans="1:12">
      <c r="A132" s="370">
        <v>45694.692025462966</v>
      </c>
      <c r="B132" s="365" t="s">
        <v>8112</v>
      </c>
      <c r="C132" s="365" t="s">
        <v>7518</v>
      </c>
      <c r="D132" s="365" t="s">
        <v>1545</v>
      </c>
      <c r="E132" s="365" t="s">
        <v>1546</v>
      </c>
      <c r="F132" s="365" t="s">
        <v>8113</v>
      </c>
      <c r="G132" s="370">
        <v>45681</v>
      </c>
      <c r="H132" s="369">
        <v>25000</v>
      </c>
      <c r="I132" s="365" t="s">
        <v>8114</v>
      </c>
      <c r="J132" s="365" t="s">
        <v>1228</v>
      </c>
      <c r="K132" s="365" t="s">
        <v>1229</v>
      </c>
      <c r="L132" s="370">
        <v>45694.694675925923</v>
      </c>
    </row>
    <row r="133" spans="1:12">
      <c r="A133" s="370">
        <v>45694.732488425929</v>
      </c>
      <c r="B133" s="365" t="s">
        <v>8115</v>
      </c>
      <c r="C133" s="365" t="s">
        <v>7772</v>
      </c>
      <c r="D133" s="365" t="s">
        <v>7220</v>
      </c>
      <c r="E133" s="365" t="s">
        <v>7221</v>
      </c>
      <c r="F133" s="365" t="s">
        <v>8116</v>
      </c>
      <c r="G133" s="370">
        <v>45681</v>
      </c>
      <c r="H133" s="369">
        <v>15999</v>
      </c>
      <c r="I133" s="365" t="s">
        <v>8117</v>
      </c>
      <c r="J133" s="365" t="s">
        <v>1228</v>
      </c>
      <c r="K133" s="365" t="s">
        <v>1229</v>
      </c>
      <c r="L133" s="370">
        <v>45694.732951388891</v>
      </c>
    </row>
    <row r="134" spans="1:12">
      <c r="A134" s="370">
        <v>45694.763472222221</v>
      </c>
      <c r="B134" s="365" t="s">
        <v>8118</v>
      </c>
      <c r="C134" s="365" t="s">
        <v>7794</v>
      </c>
      <c r="D134" s="365" t="s">
        <v>8119</v>
      </c>
      <c r="E134" s="365" t="s">
        <v>8120</v>
      </c>
      <c r="F134" s="365" t="s">
        <v>8121</v>
      </c>
      <c r="G134" s="370">
        <v>45652</v>
      </c>
      <c r="H134" s="369">
        <v>3508</v>
      </c>
      <c r="I134" s="365" t="s">
        <v>8122</v>
      </c>
      <c r="J134" s="365" t="s">
        <v>1228</v>
      </c>
      <c r="K134" s="365" t="s">
        <v>1229</v>
      </c>
      <c r="L134" s="370">
        <v>45694.764317129629</v>
      </c>
    </row>
    <row r="135" spans="1:12">
      <c r="A135" s="370">
        <v>45694.864618055559</v>
      </c>
      <c r="B135" s="365" t="s">
        <v>8123</v>
      </c>
      <c r="C135" s="365" t="s">
        <v>7588</v>
      </c>
      <c r="D135" s="365" t="s">
        <v>2692</v>
      </c>
      <c r="E135" s="365" t="s">
        <v>2693</v>
      </c>
      <c r="F135" s="365" t="s">
        <v>8124</v>
      </c>
      <c r="G135" s="370">
        <v>45681</v>
      </c>
      <c r="H135" s="369">
        <v>27000</v>
      </c>
      <c r="I135" s="365" t="s">
        <v>8125</v>
      </c>
      <c r="J135" s="365" t="s">
        <v>1228</v>
      </c>
      <c r="K135" s="365" t="s">
        <v>1229</v>
      </c>
      <c r="L135" s="370">
        <v>45694.868368055555</v>
      </c>
    </row>
    <row r="136" spans="1:12">
      <c r="A136" s="370">
        <v>45695.372696759259</v>
      </c>
      <c r="B136" s="365" t="s">
        <v>8126</v>
      </c>
      <c r="C136" s="365" t="s">
        <v>8127</v>
      </c>
      <c r="D136" s="365" t="s">
        <v>2450</v>
      </c>
      <c r="E136" s="365" t="s">
        <v>2451</v>
      </c>
      <c r="F136" s="365" t="s">
        <v>8128</v>
      </c>
      <c r="G136" s="370">
        <v>45681</v>
      </c>
      <c r="H136" s="369">
        <v>15999</v>
      </c>
      <c r="I136" s="365" t="s">
        <v>8129</v>
      </c>
      <c r="J136" s="365" t="s">
        <v>1228</v>
      </c>
      <c r="K136" s="365" t="s">
        <v>1229</v>
      </c>
      <c r="L136" s="370">
        <v>45695.3753125</v>
      </c>
    </row>
    <row r="137" spans="1:12">
      <c r="A137" s="370">
        <v>45695.393877314818</v>
      </c>
      <c r="B137" s="365" t="s">
        <v>8130</v>
      </c>
      <c r="C137" s="365" t="s">
        <v>7548</v>
      </c>
      <c r="D137" s="365" t="s">
        <v>3049</v>
      </c>
      <c r="E137" s="365" t="s">
        <v>3050</v>
      </c>
      <c r="F137" s="365" t="s">
        <v>8131</v>
      </c>
      <c r="G137" s="370">
        <v>45681</v>
      </c>
      <c r="H137" s="369">
        <v>39000</v>
      </c>
      <c r="I137" s="365" t="s">
        <v>8132</v>
      </c>
      <c r="J137" s="365" t="s">
        <v>1228</v>
      </c>
      <c r="K137" s="365" t="s">
        <v>1229</v>
      </c>
      <c r="L137" s="370">
        <v>45695.396157407406</v>
      </c>
    </row>
    <row r="138" spans="1:12">
      <c r="A138" s="370">
        <v>45695.482777777775</v>
      </c>
      <c r="B138" s="365" t="s">
        <v>8133</v>
      </c>
      <c r="C138" s="365" t="s">
        <v>7674</v>
      </c>
      <c r="D138" s="365" t="s">
        <v>1581</v>
      </c>
      <c r="E138" s="365" t="s">
        <v>1582</v>
      </c>
      <c r="F138" s="365" t="s">
        <v>8134</v>
      </c>
      <c r="G138" s="370">
        <v>45681</v>
      </c>
      <c r="H138" s="369">
        <v>46400</v>
      </c>
      <c r="I138" s="365" t="s">
        <v>8135</v>
      </c>
      <c r="J138" s="365" t="s">
        <v>1228</v>
      </c>
      <c r="K138" s="365" t="s">
        <v>1229</v>
      </c>
      <c r="L138" s="370">
        <v>45695.483032407406</v>
      </c>
    </row>
    <row r="139" spans="1:12">
      <c r="A139" s="370">
        <v>45695.54378472222</v>
      </c>
      <c r="B139" s="365" t="s">
        <v>8136</v>
      </c>
      <c r="C139" s="365" t="s">
        <v>8137</v>
      </c>
      <c r="D139" s="365" t="s">
        <v>2020</v>
      </c>
      <c r="E139" s="365" t="s">
        <v>2021</v>
      </c>
      <c r="F139" s="365" t="s">
        <v>8138</v>
      </c>
      <c r="G139" s="370">
        <v>45681</v>
      </c>
      <c r="H139" s="369">
        <v>15000</v>
      </c>
      <c r="I139" s="365" t="s">
        <v>8139</v>
      </c>
      <c r="J139" s="365" t="s">
        <v>1228</v>
      </c>
      <c r="K139" s="365" t="s">
        <v>1229</v>
      </c>
      <c r="L139" s="370">
        <v>45695.545347222222</v>
      </c>
    </row>
    <row r="140" spans="1:12">
      <c r="A140" s="370">
        <v>45695.548125000001</v>
      </c>
      <c r="B140" s="365" t="s">
        <v>8140</v>
      </c>
      <c r="C140" s="365" t="s">
        <v>8141</v>
      </c>
      <c r="D140" s="365" t="s">
        <v>1573</v>
      </c>
      <c r="E140" s="365" t="s">
        <v>1574</v>
      </c>
      <c r="F140" s="365" t="s">
        <v>8142</v>
      </c>
      <c r="G140" s="370">
        <v>45681</v>
      </c>
      <c r="H140" s="369">
        <v>17501</v>
      </c>
      <c r="I140" s="365" t="s">
        <v>8143</v>
      </c>
      <c r="J140" s="365" t="s">
        <v>1228</v>
      </c>
      <c r="K140" s="365" t="s">
        <v>1229</v>
      </c>
      <c r="L140" s="370">
        <v>45695.548935185187</v>
      </c>
    </row>
    <row r="141" spans="1:12">
      <c r="A141" s="370">
        <v>45695.576319444444</v>
      </c>
      <c r="B141" s="365" t="s">
        <v>8144</v>
      </c>
      <c r="C141" s="365" t="s">
        <v>7486</v>
      </c>
      <c r="D141" s="365" t="s">
        <v>2000</v>
      </c>
      <c r="E141" s="365" t="s">
        <v>2001</v>
      </c>
      <c r="F141" s="365" t="s">
        <v>8145</v>
      </c>
      <c r="G141" s="370">
        <v>45681</v>
      </c>
      <c r="H141" s="369">
        <v>15999</v>
      </c>
      <c r="I141" s="365" t="s">
        <v>8146</v>
      </c>
      <c r="J141" s="365" t="s">
        <v>1228</v>
      </c>
      <c r="K141" s="365" t="s">
        <v>1229</v>
      </c>
      <c r="L141" s="370">
        <v>45695.576805555553</v>
      </c>
    </row>
    <row r="142" spans="1:12">
      <c r="A142" s="370">
        <v>45695.636006944442</v>
      </c>
      <c r="B142" s="365" t="s">
        <v>8147</v>
      </c>
      <c r="C142" s="365" t="s">
        <v>7542</v>
      </c>
      <c r="D142" s="365" t="s">
        <v>2669</v>
      </c>
      <c r="E142" s="365" t="s">
        <v>2670</v>
      </c>
      <c r="F142" s="365" t="s">
        <v>8148</v>
      </c>
      <c r="G142" s="370">
        <v>45681</v>
      </c>
      <c r="H142" s="369">
        <v>15000</v>
      </c>
      <c r="I142" s="365" t="s">
        <v>8149</v>
      </c>
      <c r="J142" s="365" t="s">
        <v>1228</v>
      </c>
      <c r="K142" s="365" t="s">
        <v>1229</v>
      </c>
      <c r="L142" s="370">
        <v>45695.639444444445</v>
      </c>
    </row>
    <row r="143" spans="1:12">
      <c r="A143" s="370">
        <v>45695.688831018517</v>
      </c>
      <c r="B143" s="365" t="s">
        <v>8150</v>
      </c>
      <c r="C143" s="365" t="s">
        <v>7559</v>
      </c>
      <c r="D143" s="365" t="s">
        <v>2929</v>
      </c>
      <c r="E143" s="365" t="s">
        <v>2930</v>
      </c>
      <c r="F143" s="365" t="s">
        <v>8151</v>
      </c>
      <c r="G143" s="370">
        <v>45681</v>
      </c>
      <c r="H143" s="369">
        <v>27000</v>
      </c>
      <c r="I143" s="365" t="s">
        <v>8152</v>
      </c>
      <c r="J143" s="365" t="s">
        <v>1228</v>
      </c>
      <c r="K143" s="365" t="s">
        <v>1229</v>
      </c>
      <c r="L143" s="370">
        <v>45695.691284722219</v>
      </c>
    </row>
    <row r="144" spans="1:12">
      <c r="A144" s="370">
        <v>45695.710104166668</v>
      </c>
      <c r="B144" s="365" t="s">
        <v>8153</v>
      </c>
      <c r="C144" s="365" t="s">
        <v>7701</v>
      </c>
      <c r="D144" s="365" t="s">
        <v>1637</v>
      </c>
      <c r="E144" s="365" t="s">
        <v>1638</v>
      </c>
      <c r="F144" s="365" t="s">
        <v>8154</v>
      </c>
      <c r="G144" s="370">
        <v>45681</v>
      </c>
      <c r="H144" s="369">
        <v>83000</v>
      </c>
      <c r="I144" s="365" t="s">
        <v>8155</v>
      </c>
      <c r="J144" s="365" t="s">
        <v>1228</v>
      </c>
      <c r="K144" s="365" t="s">
        <v>1229</v>
      </c>
      <c r="L144" s="370">
        <v>45695.712118055555</v>
      </c>
    </row>
    <row r="145" spans="1:12">
      <c r="A145" s="370">
        <v>45695.720937500002</v>
      </c>
      <c r="B145" s="365" t="s">
        <v>8156</v>
      </c>
      <c r="C145" s="365" t="s">
        <v>8157</v>
      </c>
      <c r="D145" s="365" t="s">
        <v>2361</v>
      </c>
      <c r="E145" s="365" t="s">
        <v>2362</v>
      </c>
      <c r="F145" s="365" t="s">
        <v>8158</v>
      </c>
      <c r="G145" s="370">
        <v>45681</v>
      </c>
      <c r="H145" s="369">
        <v>60000</v>
      </c>
      <c r="I145" s="365" t="s">
        <v>8159</v>
      </c>
      <c r="J145" s="365" t="s">
        <v>1228</v>
      </c>
      <c r="K145" s="365" t="s">
        <v>1229</v>
      </c>
      <c r="L145" s="370">
        <v>45695.722731481481</v>
      </c>
    </row>
    <row r="146" spans="1:12">
      <c r="A146" s="370">
        <v>45695.772997685184</v>
      </c>
      <c r="B146" s="365" t="s">
        <v>8160</v>
      </c>
      <c r="C146" s="365" t="s">
        <v>7563</v>
      </c>
      <c r="D146" s="365" t="s">
        <v>2047</v>
      </c>
      <c r="E146" s="365" t="s">
        <v>2048</v>
      </c>
      <c r="F146" s="365" t="s">
        <v>8161</v>
      </c>
      <c r="G146" s="370">
        <v>45681</v>
      </c>
      <c r="H146" s="369">
        <v>33500</v>
      </c>
      <c r="I146" s="365" t="s">
        <v>8162</v>
      </c>
      <c r="J146" s="365" t="s">
        <v>1228</v>
      </c>
      <c r="K146" s="365" t="s">
        <v>1229</v>
      </c>
      <c r="L146" s="370">
        <v>45695.774675925924</v>
      </c>
    </row>
    <row r="147" spans="1:12">
      <c r="A147" s="370">
        <v>45695.804062499999</v>
      </c>
      <c r="B147" s="365" t="s">
        <v>8163</v>
      </c>
      <c r="C147" s="365" t="s">
        <v>7539</v>
      </c>
      <c r="D147" s="365" t="s">
        <v>2851</v>
      </c>
      <c r="E147" s="365" t="s">
        <v>2852</v>
      </c>
      <c r="F147" s="365" t="s">
        <v>8164</v>
      </c>
      <c r="G147" s="370">
        <v>45681</v>
      </c>
      <c r="H147" s="369">
        <v>21000</v>
      </c>
      <c r="I147" s="365" t="s">
        <v>8165</v>
      </c>
      <c r="J147" s="365" t="s">
        <v>1228</v>
      </c>
      <c r="K147" s="365" t="s">
        <v>1229</v>
      </c>
      <c r="L147" s="370">
        <v>45695.805983796294</v>
      </c>
    </row>
    <row r="148" spans="1:12">
      <c r="A148" s="370">
        <v>45695.815787037034</v>
      </c>
      <c r="B148" s="365" t="s">
        <v>8166</v>
      </c>
      <c r="C148" s="365" t="s">
        <v>8167</v>
      </c>
      <c r="D148" s="365" t="s">
        <v>3368</v>
      </c>
      <c r="E148" s="365" t="s">
        <v>3369</v>
      </c>
      <c r="F148" s="365" t="s">
        <v>8168</v>
      </c>
      <c r="G148" s="370">
        <v>45713</v>
      </c>
      <c r="H148" s="369">
        <v>18000</v>
      </c>
      <c r="I148" s="365" t="s">
        <v>8169</v>
      </c>
      <c r="J148" s="365" t="s">
        <v>1228</v>
      </c>
      <c r="K148" s="365" t="s">
        <v>1229</v>
      </c>
      <c r="L148" s="370">
        <v>45695.816481481481</v>
      </c>
    </row>
    <row r="149" spans="1:12">
      <c r="A149" s="370">
        <v>45695.841932870368</v>
      </c>
      <c r="B149" s="365" t="s">
        <v>8170</v>
      </c>
      <c r="C149" s="365" t="s">
        <v>8171</v>
      </c>
      <c r="D149" s="365" t="s">
        <v>3069</v>
      </c>
      <c r="E149" s="365" t="s">
        <v>3070</v>
      </c>
      <c r="F149" s="365" t="s">
        <v>8172</v>
      </c>
      <c r="G149" s="370">
        <v>45713</v>
      </c>
      <c r="H149" s="369">
        <v>15999</v>
      </c>
      <c r="I149" s="365" t="s">
        <v>8173</v>
      </c>
      <c r="J149" s="365" t="s">
        <v>1228</v>
      </c>
      <c r="K149" s="365" t="s">
        <v>1229</v>
      </c>
      <c r="L149" s="370">
        <v>45695.843993055554</v>
      </c>
    </row>
    <row r="150" spans="1:12">
      <c r="A150" s="370">
        <v>45695.842893518522</v>
      </c>
      <c r="B150" s="365" t="s">
        <v>8174</v>
      </c>
      <c r="C150" s="365" t="s">
        <v>8171</v>
      </c>
      <c r="D150" s="365" t="s">
        <v>3069</v>
      </c>
      <c r="E150" s="365" t="s">
        <v>3070</v>
      </c>
      <c r="F150" s="365" t="s">
        <v>8175</v>
      </c>
      <c r="G150" s="370">
        <v>45681</v>
      </c>
      <c r="H150" s="369">
        <v>15999</v>
      </c>
      <c r="I150" s="365" t="s">
        <v>8176</v>
      </c>
      <c r="J150" s="365" t="s">
        <v>1228</v>
      </c>
      <c r="K150" s="365" t="s">
        <v>1229</v>
      </c>
      <c r="L150" s="370">
        <v>45695.844178240739</v>
      </c>
    </row>
    <row r="151" spans="1:12">
      <c r="A151" s="370">
        <v>45695.886203703703</v>
      </c>
      <c r="B151" s="365" t="s">
        <v>8177</v>
      </c>
      <c r="C151" s="365" t="s">
        <v>7506</v>
      </c>
      <c r="D151" s="365" t="s">
        <v>2970</v>
      </c>
      <c r="E151" s="365" t="s">
        <v>2971</v>
      </c>
      <c r="F151" s="365" t="s">
        <v>8178</v>
      </c>
      <c r="G151" s="370">
        <v>45681</v>
      </c>
      <c r="H151" s="369">
        <v>41000</v>
      </c>
      <c r="I151" s="365" t="s">
        <v>8179</v>
      </c>
      <c r="J151" s="365" t="s">
        <v>1228</v>
      </c>
      <c r="K151" s="365" t="s">
        <v>1229</v>
      </c>
      <c r="L151" s="370">
        <v>45695.889282407406</v>
      </c>
    </row>
    <row r="152" spans="1:12">
      <c r="A152" s="370">
        <v>45695.048229166663</v>
      </c>
      <c r="B152" s="365" t="s">
        <v>8180</v>
      </c>
      <c r="C152" s="365" t="s">
        <v>8181</v>
      </c>
      <c r="D152" s="365" t="s">
        <v>2471</v>
      </c>
      <c r="E152" s="365" t="s">
        <v>2472</v>
      </c>
      <c r="F152" s="365" t="s">
        <v>8182</v>
      </c>
      <c r="G152" s="370">
        <v>45681</v>
      </c>
      <c r="H152" s="369">
        <v>291999</v>
      </c>
      <c r="I152" s="365" t="s">
        <v>8183</v>
      </c>
      <c r="J152" s="365" t="s">
        <v>1228</v>
      </c>
      <c r="K152" s="365" t="s">
        <v>1229</v>
      </c>
      <c r="L152" s="370">
        <v>45695.125381944446</v>
      </c>
    </row>
    <row r="153" spans="1:12">
      <c r="A153" s="370">
        <v>45695.670775462961</v>
      </c>
      <c r="B153" s="365" t="s">
        <v>8184</v>
      </c>
      <c r="C153" s="365" t="s">
        <v>7568</v>
      </c>
      <c r="D153" s="365" t="s">
        <v>2578</v>
      </c>
      <c r="E153" s="365" t="s">
        <v>2579</v>
      </c>
      <c r="F153" s="365" t="s">
        <v>8185</v>
      </c>
      <c r="G153" s="370">
        <v>45681</v>
      </c>
      <c r="H153" s="369">
        <v>27000</v>
      </c>
      <c r="I153" s="365" t="s">
        <v>8186</v>
      </c>
      <c r="J153" s="365" t="s">
        <v>1228</v>
      </c>
      <c r="K153" s="365" t="s">
        <v>1229</v>
      </c>
      <c r="L153" s="370">
        <v>45695.674120370371</v>
      </c>
    </row>
    <row r="154" spans="1:12">
      <c r="A154" s="370">
        <v>45695.806608796294</v>
      </c>
      <c r="B154" s="365" t="s">
        <v>8187</v>
      </c>
      <c r="C154" s="365" t="s">
        <v>8188</v>
      </c>
      <c r="D154" s="365" t="s">
        <v>2736</v>
      </c>
      <c r="E154" s="365" t="s">
        <v>2737</v>
      </c>
      <c r="F154" s="365" t="s">
        <v>8189</v>
      </c>
      <c r="G154" s="370">
        <v>45681</v>
      </c>
      <c r="H154" s="369">
        <v>31999</v>
      </c>
      <c r="I154" s="365" t="s">
        <v>8190</v>
      </c>
      <c r="J154" s="365" t="s">
        <v>1228</v>
      </c>
      <c r="K154" s="365" t="s">
        <v>1229</v>
      </c>
      <c r="L154" s="370">
        <v>45695.809270833335</v>
      </c>
    </row>
    <row r="155" spans="1:12">
      <c r="A155" s="370">
        <v>45695.369560185187</v>
      </c>
      <c r="B155" s="365" t="s">
        <v>8191</v>
      </c>
      <c r="C155" s="365" t="s">
        <v>8192</v>
      </c>
      <c r="D155" s="365" t="s">
        <v>2173</v>
      </c>
      <c r="E155" s="365" t="s">
        <v>2174</v>
      </c>
      <c r="F155" s="365" t="s">
        <v>8193</v>
      </c>
      <c r="G155" s="370">
        <v>45681</v>
      </c>
      <c r="H155" s="369">
        <v>15999</v>
      </c>
      <c r="I155" s="365" t="s">
        <v>8194</v>
      </c>
      <c r="J155" s="365" t="s">
        <v>1228</v>
      </c>
      <c r="K155" s="365" t="s">
        <v>1229</v>
      </c>
      <c r="L155" s="370">
        <v>45695.371759259258</v>
      </c>
    </row>
    <row r="156" spans="1:12">
      <c r="A156" s="370">
        <v>45695.49894675926</v>
      </c>
      <c r="B156" s="365" t="s">
        <v>8195</v>
      </c>
      <c r="C156" s="365" t="s">
        <v>8196</v>
      </c>
      <c r="D156" s="365" t="s">
        <v>2131</v>
      </c>
      <c r="E156" s="365" t="s">
        <v>2132</v>
      </c>
      <c r="F156" s="365" t="s">
        <v>8197</v>
      </c>
      <c r="G156" s="370">
        <v>45681</v>
      </c>
      <c r="H156" s="369">
        <v>15000</v>
      </c>
      <c r="I156" s="365" t="s">
        <v>8198</v>
      </c>
      <c r="J156" s="365" t="s">
        <v>1228</v>
      </c>
      <c r="K156" s="365" t="s">
        <v>1229</v>
      </c>
      <c r="L156" s="370">
        <v>45695.500231481485</v>
      </c>
    </row>
    <row r="157" spans="1:12">
      <c r="A157" s="370">
        <v>45695.547650462962</v>
      </c>
      <c r="B157" s="365" t="s">
        <v>8199</v>
      </c>
      <c r="C157" s="365" t="s">
        <v>7571</v>
      </c>
      <c r="D157" s="365" t="s">
        <v>2704</v>
      </c>
      <c r="E157" s="365" t="s">
        <v>2705</v>
      </c>
      <c r="F157" s="365" t="s">
        <v>8200</v>
      </c>
      <c r="G157" s="370">
        <v>45681</v>
      </c>
      <c r="H157" s="369">
        <v>27000</v>
      </c>
      <c r="I157" s="365" t="s">
        <v>8201</v>
      </c>
      <c r="J157" s="365" t="s">
        <v>1228</v>
      </c>
      <c r="K157" s="365" t="s">
        <v>1229</v>
      </c>
      <c r="L157" s="370">
        <v>45695.549120370371</v>
      </c>
    </row>
    <row r="158" spans="1:12">
      <c r="A158" s="370">
        <v>45695.781018518515</v>
      </c>
      <c r="B158" s="365" t="s">
        <v>8202</v>
      </c>
      <c r="C158" s="365" t="s">
        <v>7590</v>
      </c>
      <c r="D158" s="365" t="s">
        <v>3214</v>
      </c>
      <c r="E158" s="365" t="s">
        <v>3215</v>
      </c>
      <c r="F158" s="365" t="s">
        <v>8203</v>
      </c>
      <c r="G158" s="370">
        <v>45713</v>
      </c>
      <c r="H158" s="369">
        <v>24000</v>
      </c>
      <c r="I158" s="365" t="s">
        <v>8204</v>
      </c>
      <c r="J158" s="365" t="s">
        <v>1228</v>
      </c>
      <c r="K158" s="365" t="s">
        <v>1229</v>
      </c>
      <c r="L158" s="370">
        <v>45695.781793981485</v>
      </c>
    </row>
    <row r="159" spans="1:12">
      <c r="A159" s="370">
        <v>45695.883055555554</v>
      </c>
      <c r="B159" s="365" t="s">
        <v>8205</v>
      </c>
      <c r="C159" s="365" t="s">
        <v>7595</v>
      </c>
      <c r="D159" s="365" t="s">
        <v>1507</v>
      </c>
      <c r="E159" s="365" t="s">
        <v>1508</v>
      </c>
      <c r="F159" s="365" t="s">
        <v>8206</v>
      </c>
      <c r="G159" s="370">
        <v>45681</v>
      </c>
      <c r="H159" s="369">
        <v>15999</v>
      </c>
      <c r="I159" s="365" t="s">
        <v>8207</v>
      </c>
      <c r="J159" s="365" t="s">
        <v>1228</v>
      </c>
      <c r="K159" s="365" t="s">
        <v>1229</v>
      </c>
      <c r="L159" s="370">
        <v>45695.885740740741</v>
      </c>
    </row>
    <row r="160" spans="1:12">
      <c r="A160" s="370">
        <v>45695.945879629631</v>
      </c>
      <c r="B160" s="365" t="s">
        <v>8208</v>
      </c>
      <c r="C160" s="365" t="s">
        <v>7578</v>
      </c>
      <c r="D160" s="365" t="s">
        <v>3173</v>
      </c>
      <c r="E160" s="365" t="s">
        <v>3174</v>
      </c>
      <c r="F160" s="365" t="s">
        <v>8209</v>
      </c>
      <c r="G160" s="370">
        <v>45713</v>
      </c>
      <c r="H160" s="369">
        <v>15999</v>
      </c>
      <c r="I160" s="365" t="s">
        <v>8210</v>
      </c>
      <c r="J160" s="365" t="s">
        <v>1228</v>
      </c>
      <c r="K160" s="365" t="s">
        <v>1229</v>
      </c>
      <c r="L160" s="370">
        <v>45695.948379629626</v>
      </c>
    </row>
    <row r="161" spans="1:12">
      <c r="A161" s="370">
        <v>45696.114270833335</v>
      </c>
      <c r="B161" s="365" t="s">
        <v>8211</v>
      </c>
      <c r="C161" s="365" t="s">
        <v>7516</v>
      </c>
      <c r="D161" s="365" t="s">
        <v>4342</v>
      </c>
      <c r="E161" s="365" t="s">
        <v>4343</v>
      </c>
      <c r="F161" s="365" t="s">
        <v>8212</v>
      </c>
      <c r="G161" s="370">
        <v>45713</v>
      </c>
      <c r="H161" s="369">
        <v>23400</v>
      </c>
      <c r="I161" s="365" t="s">
        <v>8213</v>
      </c>
      <c r="J161" s="365" t="s">
        <v>1228</v>
      </c>
      <c r="K161" s="365" t="s">
        <v>1229</v>
      </c>
      <c r="L161" s="370">
        <v>45696.125509259262</v>
      </c>
    </row>
    <row r="162" spans="1:12">
      <c r="A162" s="370">
        <v>45696.29346064815</v>
      </c>
      <c r="B162" s="365" t="s">
        <v>8214</v>
      </c>
      <c r="C162" s="365" t="s">
        <v>7586</v>
      </c>
      <c r="D162" s="365" t="s">
        <v>3140</v>
      </c>
      <c r="E162" s="365" t="s">
        <v>3141</v>
      </c>
      <c r="F162" s="365" t="s">
        <v>8215</v>
      </c>
      <c r="G162" s="370">
        <v>45713</v>
      </c>
      <c r="H162" s="369">
        <v>30999</v>
      </c>
      <c r="I162" s="365" t="s">
        <v>8216</v>
      </c>
      <c r="J162" s="365" t="s">
        <v>1228</v>
      </c>
      <c r="K162" s="365" t="s">
        <v>1229</v>
      </c>
      <c r="L162" s="370">
        <v>45696.295671296299</v>
      </c>
    </row>
    <row r="163" spans="1:12">
      <c r="A163" s="370">
        <v>45696.356932870367</v>
      </c>
      <c r="B163" s="365" t="s">
        <v>8217</v>
      </c>
      <c r="C163" s="365" t="s">
        <v>8218</v>
      </c>
      <c r="D163" s="365" t="s">
        <v>8219</v>
      </c>
      <c r="E163" s="365" t="s">
        <v>8220</v>
      </c>
      <c r="F163" s="365" t="s">
        <v>8221</v>
      </c>
      <c r="G163" s="370">
        <v>45407</v>
      </c>
      <c r="H163" s="369">
        <v>60000</v>
      </c>
      <c r="I163" s="365" t="s">
        <v>8222</v>
      </c>
      <c r="J163" s="365" t="s">
        <v>1228</v>
      </c>
      <c r="K163" s="365" t="s">
        <v>1229</v>
      </c>
      <c r="L163" s="370">
        <v>45696.357881944445</v>
      </c>
    </row>
    <row r="164" spans="1:12">
      <c r="A164" s="370">
        <v>45696.358055555553</v>
      </c>
      <c r="B164" s="365" t="s">
        <v>8223</v>
      </c>
      <c r="C164" s="365" t="s">
        <v>8218</v>
      </c>
      <c r="D164" s="365" t="s">
        <v>8219</v>
      </c>
      <c r="E164" s="365" t="s">
        <v>8220</v>
      </c>
      <c r="F164" s="365" t="s">
        <v>8224</v>
      </c>
      <c r="G164" s="370">
        <v>45376</v>
      </c>
      <c r="H164" s="369">
        <v>60000</v>
      </c>
      <c r="I164" s="365" t="s">
        <v>8225</v>
      </c>
      <c r="J164" s="365" t="s">
        <v>1228</v>
      </c>
      <c r="K164" s="365" t="s">
        <v>1229</v>
      </c>
      <c r="L164" s="370">
        <v>45696.361458333333</v>
      </c>
    </row>
    <row r="165" spans="1:12">
      <c r="A165" s="370">
        <v>45696.400347222225</v>
      </c>
      <c r="B165" s="365" t="s">
        <v>8226</v>
      </c>
      <c r="C165" s="365" t="s">
        <v>7623</v>
      </c>
      <c r="D165" s="365" t="s">
        <v>3075</v>
      </c>
      <c r="E165" s="365" t="s">
        <v>3076</v>
      </c>
      <c r="F165" s="365" t="s">
        <v>8227</v>
      </c>
      <c r="G165" s="370">
        <v>45713</v>
      </c>
      <c r="H165" s="369">
        <v>35000</v>
      </c>
      <c r="I165" s="365" t="s">
        <v>8228</v>
      </c>
      <c r="J165" s="365" t="s">
        <v>1228</v>
      </c>
      <c r="K165" s="365" t="s">
        <v>1229</v>
      </c>
      <c r="L165" s="370">
        <v>45696.403252314813</v>
      </c>
    </row>
    <row r="166" spans="1:12">
      <c r="A166" s="370">
        <v>45696.549317129633</v>
      </c>
      <c r="B166" s="365" t="s">
        <v>8229</v>
      </c>
      <c r="C166" s="365" t="s">
        <v>8052</v>
      </c>
      <c r="D166" s="365" t="s">
        <v>3886</v>
      </c>
      <c r="E166" s="365" t="s">
        <v>3887</v>
      </c>
      <c r="F166" s="365" t="s">
        <v>8230</v>
      </c>
      <c r="G166" s="370">
        <v>45713</v>
      </c>
      <c r="H166" s="369">
        <v>44999</v>
      </c>
      <c r="I166" s="365" t="s">
        <v>8231</v>
      </c>
      <c r="J166" s="365" t="s">
        <v>1228</v>
      </c>
      <c r="K166" s="365" t="s">
        <v>1229</v>
      </c>
      <c r="L166" s="370">
        <v>45696.552523148152</v>
      </c>
    </row>
    <row r="167" spans="1:12">
      <c r="A167" s="370">
        <v>45696.704432870371</v>
      </c>
      <c r="B167" s="365" t="s">
        <v>8232</v>
      </c>
      <c r="C167" s="365" t="s">
        <v>7584</v>
      </c>
      <c r="D167" s="365" t="s">
        <v>3197</v>
      </c>
      <c r="E167" s="365" t="s">
        <v>3198</v>
      </c>
      <c r="F167" s="365" t="s">
        <v>8233</v>
      </c>
      <c r="G167" s="370">
        <v>45713</v>
      </c>
      <c r="H167" s="369">
        <v>12000</v>
      </c>
      <c r="I167" s="365" t="s">
        <v>8234</v>
      </c>
      <c r="J167" s="365" t="s">
        <v>1228</v>
      </c>
      <c r="K167" s="365" t="s">
        <v>1229</v>
      </c>
      <c r="L167" s="370">
        <v>45696.70511574074</v>
      </c>
    </row>
    <row r="168" spans="1:12">
      <c r="A168" s="370">
        <v>45696.778773148151</v>
      </c>
      <c r="B168" s="365" t="s">
        <v>8235</v>
      </c>
      <c r="C168" s="365" t="s">
        <v>7575</v>
      </c>
      <c r="D168" s="365" t="s">
        <v>1169</v>
      </c>
      <c r="E168" s="365" t="s">
        <v>1170</v>
      </c>
      <c r="F168" s="365" t="s">
        <v>8236</v>
      </c>
      <c r="G168" s="370">
        <v>45713</v>
      </c>
      <c r="H168" s="369">
        <v>45999</v>
      </c>
      <c r="I168" s="365" t="s">
        <v>8237</v>
      </c>
      <c r="J168" s="365" t="s">
        <v>1228</v>
      </c>
      <c r="K168" s="365" t="s">
        <v>1229</v>
      </c>
      <c r="L168" s="370">
        <v>45696.781666666669</v>
      </c>
    </row>
    <row r="169" spans="1:12">
      <c r="A169" s="370">
        <v>45696.283645833333</v>
      </c>
      <c r="B169" s="365" t="s">
        <v>8238</v>
      </c>
      <c r="C169" s="365" t="s">
        <v>7517</v>
      </c>
      <c r="D169" s="365" t="s">
        <v>1331</v>
      </c>
      <c r="E169" s="365" t="s">
        <v>1332</v>
      </c>
      <c r="F169" s="365" t="s">
        <v>8239</v>
      </c>
      <c r="G169" s="370">
        <v>45713</v>
      </c>
      <c r="H169" s="369">
        <v>15000</v>
      </c>
      <c r="I169" s="365" t="s">
        <v>8240</v>
      </c>
      <c r="J169" s="365" t="s">
        <v>1228</v>
      </c>
      <c r="K169" s="365" t="s">
        <v>1229</v>
      </c>
      <c r="L169" s="370">
        <v>45696.285185185188</v>
      </c>
    </row>
    <row r="170" spans="1:12">
      <c r="A170" s="370">
        <v>45696.695613425924</v>
      </c>
      <c r="B170" s="365" t="s">
        <v>8241</v>
      </c>
      <c r="C170" s="365" t="s">
        <v>7550</v>
      </c>
      <c r="D170" s="365" t="s">
        <v>4150</v>
      </c>
      <c r="E170" s="365" t="s">
        <v>4151</v>
      </c>
      <c r="F170" s="365" t="s">
        <v>8242</v>
      </c>
      <c r="G170" s="370">
        <v>45713</v>
      </c>
      <c r="H170" s="369">
        <v>10000</v>
      </c>
      <c r="I170" s="365" t="s">
        <v>8243</v>
      </c>
      <c r="J170" s="365" t="s">
        <v>1228</v>
      </c>
      <c r="K170" s="365" t="s">
        <v>1229</v>
      </c>
      <c r="L170" s="370">
        <v>45696.698344907411</v>
      </c>
    </row>
    <row r="171" spans="1:12">
      <c r="A171" s="370">
        <v>45696.359305555554</v>
      </c>
      <c r="B171" s="365" t="s">
        <v>8244</v>
      </c>
      <c r="C171" s="365" t="s">
        <v>8218</v>
      </c>
      <c r="D171" s="365" t="s">
        <v>8219</v>
      </c>
      <c r="E171" s="365" t="s">
        <v>8220</v>
      </c>
      <c r="F171" s="365" t="s">
        <v>8245</v>
      </c>
      <c r="G171" s="370">
        <v>45348</v>
      </c>
      <c r="H171" s="369">
        <v>60000</v>
      </c>
      <c r="I171" s="365" t="s">
        <v>8246</v>
      </c>
      <c r="J171" s="365" t="s">
        <v>1228</v>
      </c>
      <c r="K171" s="365" t="s">
        <v>1229</v>
      </c>
      <c r="L171" s="370">
        <v>45696.361655092594</v>
      </c>
    </row>
    <row r="172" spans="1:12">
      <c r="A172" s="370">
        <v>45696.419953703706</v>
      </c>
      <c r="B172" s="365" t="s">
        <v>8247</v>
      </c>
      <c r="C172" s="365" t="s">
        <v>8248</v>
      </c>
      <c r="D172" s="365" t="s">
        <v>2105</v>
      </c>
      <c r="E172" s="365" t="s">
        <v>2106</v>
      </c>
      <c r="F172" s="365" t="s">
        <v>8249</v>
      </c>
      <c r="G172" s="370">
        <v>45681</v>
      </c>
      <c r="H172" s="369">
        <v>23400</v>
      </c>
      <c r="I172" s="365" t="s">
        <v>8250</v>
      </c>
      <c r="J172" s="365" t="s">
        <v>1228</v>
      </c>
      <c r="K172" s="365" t="s">
        <v>1229</v>
      </c>
      <c r="L172" s="370">
        <v>45696.420416666668</v>
      </c>
    </row>
    <row r="173" spans="1:12">
      <c r="A173" s="370">
        <v>45696.429907407408</v>
      </c>
      <c r="B173" s="365" t="s">
        <v>8251</v>
      </c>
      <c r="C173" s="365" t="s">
        <v>7789</v>
      </c>
      <c r="D173" s="365" t="s">
        <v>1355</v>
      </c>
      <c r="E173" s="365" t="s">
        <v>1356</v>
      </c>
      <c r="F173" s="365" t="s">
        <v>8252</v>
      </c>
      <c r="G173" s="370">
        <v>45681</v>
      </c>
      <c r="H173" s="369">
        <v>15000</v>
      </c>
      <c r="I173" s="365" t="s">
        <v>8253</v>
      </c>
      <c r="J173" s="365" t="s">
        <v>1228</v>
      </c>
      <c r="K173" s="365" t="s">
        <v>1229</v>
      </c>
      <c r="L173" s="370">
        <v>45696.430717592593</v>
      </c>
    </row>
    <row r="174" spans="1:12">
      <c r="A174" s="370">
        <v>45696.430347222224</v>
      </c>
      <c r="B174" s="365" t="s">
        <v>8254</v>
      </c>
      <c r="C174" s="365" t="s">
        <v>8255</v>
      </c>
      <c r="D174" s="365" t="s">
        <v>5629</v>
      </c>
      <c r="E174" s="365" t="s">
        <v>5630</v>
      </c>
      <c r="F174" s="365" t="s">
        <v>8256</v>
      </c>
      <c r="G174" s="370">
        <v>45681</v>
      </c>
      <c r="H174" s="369">
        <v>15001</v>
      </c>
      <c r="I174" s="365" t="s">
        <v>8257</v>
      </c>
      <c r="J174" s="365" t="s">
        <v>1228</v>
      </c>
      <c r="K174" s="365" t="s">
        <v>1229</v>
      </c>
      <c r="L174" s="370">
        <v>45696.430902777778</v>
      </c>
    </row>
    <row r="175" spans="1:12">
      <c r="A175" s="370">
        <v>45696.746874999997</v>
      </c>
      <c r="B175" s="365" t="s">
        <v>8258</v>
      </c>
      <c r="C175" s="365" t="s">
        <v>7712</v>
      </c>
      <c r="D175" s="365" t="s">
        <v>1761</v>
      </c>
      <c r="E175" s="365" t="s">
        <v>1762</v>
      </c>
      <c r="F175" s="365" t="s">
        <v>8259</v>
      </c>
      <c r="G175" s="370">
        <v>45681</v>
      </c>
      <c r="H175" s="369">
        <v>15999</v>
      </c>
      <c r="I175" s="365" t="s">
        <v>8260</v>
      </c>
      <c r="J175" s="365" t="s">
        <v>1228</v>
      </c>
      <c r="K175" s="365" t="s">
        <v>1229</v>
      </c>
      <c r="L175" s="370">
        <v>45696.750532407408</v>
      </c>
    </row>
    <row r="176" spans="1:12">
      <c r="A176" s="370">
        <v>45696.799328703702</v>
      </c>
      <c r="B176" s="365" t="s">
        <v>8261</v>
      </c>
      <c r="C176" s="365" t="s">
        <v>8262</v>
      </c>
      <c r="D176" s="365" t="s">
        <v>1767</v>
      </c>
      <c r="E176" s="365" t="s">
        <v>1768</v>
      </c>
      <c r="F176" s="365" t="s">
        <v>8263</v>
      </c>
      <c r="G176" s="370">
        <v>45652</v>
      </c>
      <c r="H176" s="369">
        <v>23400</v>
      </c>
      <c r="I176" s="365" t="s">
        <v>8264</v>
      </c>
      <c r="J176" s="365" t="s">
        <v>1228</v>
      </c>
      <c r="K176" s="365" t="s">
        <v>1229</v>
      </c>
      <c r="L176" s="370">
        <v>45696.802314814813</v>
      </c>
    </row>
    <row r="177" spans="1:12">
      <c r="A177" s="370">
        <v>45697.267488425925</v>
      </c>
      <c r="B177" s="365" t="s">
        <v>8265</v>
      </c>
      <c r="C177" s="365" t="s">
        <v>8266</v>
      </c>
      <c r="D177" s="365" t="s">
        <v>3509</v>
      </c>
      <c r="E177" s="365" t="s">
        <v>3510</v>
      </c>
      <c r="F177" s="365" t="s">
        <v>8267</v>
      </c>
      <c r="G177" s="370">
        <v>45681</v>
      </c>
      <c r="H177" s="369">
        <v>27000</v>
      </c>
      <c r="I177" s="365" t="s">
        <v>8268</v>
      </c>
      <c r="J177" s="365" t="s">
        <v>1228</v>
      </c>
      <c r="K177" s="365" t="s">
        <v>1229</v>
      </c>
      <c r="L177" s="370">
        <v>45697.267731481479</v>
      </c>
    </row>
    <row r="178" spans="1:12">
      <c r="A178" s="370">
        <v>45697.268240740741</v>
      </c>
      <c r="B178" s="365" t="s">
        <v>8269</v>
      </c>
      <c r="C178" s="365" t="s">
        <v>8266</v>
      </c>
      <c r="D178" s="365" t="s">
        <v>3509</v>
      </c>
      <c r="E178" s="365" t="s">
        <v>3510</v>
      </c>
      <c r="F178" s="365" t="s">
        <v>8270</v>
      </c>
      <c r="G178" s="370">
        <v>45713</v>
      </c>
      <c r="H178" s="369">
        <v>27000</v>
      </c>
      <c r="I178" s="365" t="s">
        <v>8271</v>
      </c>
      <c r="J178" s="365" t="s">
        <v>1228</v>
      </c>
      <c r="K178" s="365" t="s">
        <v>1229</v>
      </c>
      <c r="L178" s="370">
        <v>45697.271273148152</v>
      </c>
    </row>
    <row r="179" spans="1:12">
      <c r="A179" s="370">
        <v>45697.384837962964</v>
      </c>
      <c r="B179" s="365" t="s">
        <v>8272</v>
      </c>
      <c r="C179" s="365" t="s">
        <v>8273</v>
      </c>
      <c r="D179" s="365" t="s">
        <v>1874</v>
      </c>
      <c r="E179" s="365" t="s">
        <v>1875</v>
      </c>
      <c r="F179" s="365" t="s">
        <v>8274</v>
      </c>
      <c r="G179" s="370">
        <v>45681</v>
      </c>
      <c r="H179" s="369">
        <v>48400</v>
      </c>
      <c r="I179" s="365" t="s">
        <v>8275</v>
      </c>
      <c r="J179" s="365" t="s">
        <v>1228</v>
      </c>
      <c r="K179" s="365" t="s">
        <v>1229</v>
      </c>
      <c r="L179" s="370">
        <v>45697.385960648149</v>
      </c>
    </row>
    <row r="180" spans="1:12">
      <c r="A180" s="370">
        <v>45697.528726851851</v>
      </c>
      <c r="B180" s="365" t="s">
        <v>8276</v>
      </c>
      <c r="C180" s="365" t="s">
        <v>7592</v>
      </c>
      <c r="D180" s="365" t="s">
        <v>3122</v>
      </c>
      <c r="E180" s="365" t="s">
        <v>3123</v>
      </c>
      <c r="F180" s="365" t="s">
        <v>8277</v>
      </c>
      <c r="G180" s="370">
        <v>45713</v>
      </c>
      <c r="H180" s="369">
        <v>7501</v>
      </c>
      <c r="I180" s="365" t="s">
        <v>8278</v>
      </c>
      <c r="J180" s="365" t="s">
        <v>1228</v>
      </c>
      <c r="K180" s="365" t="s">
        <v>1229</v>
      </c>
      <c r="L180" s="370">
        <v>45697.531493055554</v>
      </c>
    </row>
    <row r="181" spans="1:12">
      <c r="A181" s="370">
        <v>45697.676446759258</v>
      </c>
      <c r="B181" s="365" t="s">
        <v>8279</v>
      </c>
      <c r="C181" s="365" t="s">
        <v>7627</v>
      </c>
      <c r="D181" s="365" t="s">
        <v>1364</v>
      </c>
      <c r="E181" s="365" t="s">
        <v>1365</v>
      </c>
      <c r="F181" s="365" t="s">
        <v>8280</v>
      </c>
      <c r="G181" s="370">
        <v>45713</v>
      </c>
      <c r="H181" s="369">
        <v>23500</v>
      </c>
      <c r="I181" s="365" t="s">
        <v>8281</v>
      </c>
      <c r="J181" s="365" t="s">
        <v>1228</v>
      </c>
      <c r="K181" s="365" t="s">
        <v>1229</v>
      </c>
      <c r="L181" s="370">
        <v>45697.677314814813</v>
      </c>
    </row>
    <row r="182" spans="1:12">
      <c r="A182" s="370">
        <v>45697.262974537036</v>
      </c>
      <c r="B182" s="365" t="s">
        <v>8282</v>
      </c>
      <c r="C182" s="365" t="s">
        <v>7526</v>
      </c>
      <c r="D182" s="365" t="s">
        <v>4913</v>
      </c>
      <c r="E182" s="365" t="s">
        <v>4914</v>
      </c>
      <c r="F182" s="365" t="s">
        <v>8283</v>
      </c>
      <c r="G182" s="370">
        <v>45713</v>
      </c>
      <c r="H182" s="369">
        <v>34501</v>
      </c>
      <c r="I182" s="365" t="s">
        <v>8284</v>
      </c>
      <c r="J182" s="365" t="s">
        <v>1228</v>
      </c>
      <c r="K182" s="365" t="s">
        <v>1229</v>
      </c>
      <c r="L182" s="370">
        <v>45697.264155092591</v>
      </c>
    </row>
    <row r="183" spans="1:12">
      <c r="A183" s="370">
        <v>45697.264236111114</v>
      </c>
      <c r="B183" s="365" t="s">
        <v>8285</v>
      </c>
      <c r="C183" s="365" t="s">
        <v>7526</v>
      </c>
      <c r="D183" s="365" t="s">
        <v>7527</v>
      </c>
      <c r="E183" s="365" t="s">
        <v>7528</v>
      </c>
      <c r="F183" s="365" t="s">
        <v>8286</v>
      </c>
      <c r="G183" s="370">
        <v>45713</v>
      </c>
      <c r="H183" s="369">
        <v>52999</v>
      </c>
      <c r="I183" s="365" t="s">
        <v>8287</v>
      </c>
      <c r="J183" s="365" t="s">
        <v>1228</v>
      </c>
      <c r="K183" s="365" t="s">
        <v>1229</v>
      </c>
      <c r="L183" s="370">
        <v>45697.267916666664</v>
      </c>
    </row>
    <row r="184" spans="1:12">
      <c r="A184" s="370">
        <v>45697.583460648151</v>
      </c>
      <c r="B184" s="365" t="s">
        <v>8288</v>
      </c>
      <c r="C184" s="365" t="s">
        <v>8289</v>
      </c>
      <c r="D184" s="365" t="s">
        <v>1178</v>
      </c>
      <c r="E184" s="365" t="s">
        <v>1179</v>
      </c>
      <c r="F184" s="365" t="s">
        <v>8290</v>
      </c>
      <c r="G184" s="370">
        <v>45713</v>
      </c>
      <c r="H184" s="369">
        <v>24000</v>
      </c>
      <c r="I184" s="365" t="s">
        <v>8291</v>
      </c>
      <c r="J184" s="365" t="s">
        <v>1228</v>
      </c>
      <c r="K184" s="365" t="s">
        <v>1229</v>
      </c>
      <c r="L184" s="370">
        <v>45697.587187500001</v>
      </c>
    </row>
    <row r="185" spans="1:12">
      <c r="A185" s="370">
        <v>45698.377592592595</v>
      </c>
      <c r="B185" s="365" t="s">
        <v>8292</v>
      </c>
      <c r="C185" s="365" t="s">
        <v>8293</v>
      </c>
      <c r="D185" s="365" t="s">
        <v>2994</v>
      </c>
      <c r="E185" s="365" t="s">
        <v>2995</v>
      </c>
      <c r="F185" s="365" t="s">
        <v>8294</v>
      </c>
      <c r="G185" s="370">
        <v>45713</v>
      </c>
      <c r="H185" s="369">
        <v>21999</v>
      </c>
      <c r="I185" s="365" t="s">
        <v>8295</v>
      </c>
      <c r="J185" s="365" t="s">
        <v>1228</v>
      </c>
      <c r="K185" s="365" t="s">
        <v>1229</v>
      </c>
      <c r="L185" s="370">
        <v>45698.378935185188</v>
      </c>
    </row>
    <row r="186" spans="1:12">
      <c r="A186" s="370">
        <v>45698.431979166664</v>
      </c>
      <c r="B186" s="365" t="s">
        <v>8296</v>
      </c>
      <c r="C186" s="365" t="s">
        <v>7529</v>
      </c>
      <c r="D186" s="365" t="s">
        <v>3232</v>
      </c>
      <c r="E186" s="365" t="s">
        <v>3233</v>
      </c>
      <c r="F186" s="365" t="s">
        <v>8297</v>
      </c>
      <c r="G186" s="370">
        <v>45681</v>
      </c>
      <c r="H186" s="369">
        <v>15000</v>
      </c>
      <c r="I186" s="365" t="s">
        <v>8298</v>
      </c>
      <c r="J186" s="365" t="s">
        <v>1228</v>
      </c>
      <c r="K186" s="365" t="s">
        <v>1229</v>
      </c>
      <c r="L186" s="370">
        <v>45698.434398148151</v>
      </c>
    </row>
    <row r="187" spans="1:12">
      <c r="A187" s="370">
        <v>45698.465138888889</v>
      </c>
      <c r="B187" s="365" t="s">
        <v>8299</v>
      </c>
      <c r="C187" s="365" t="s">
        <v>7782</v>
      </c>
      <c r="D187" s="365" t="s">
        <v>6024</v>
      </c>
      <c r="E187" s="365" t="s">
        <v>6025</v>
      </c>
      <c r="F187" s="365" t="s">
        <v>8300</v>
      </c>
      <c r="G187" s="370">
        <v>45681</v>
      </c>
      <c r="H187" s="369">
        <v>33000</v>
      </c>
      <c r="I187" s="365" t="s">
        <v>8301</v>
      </c>
      <c r="J187" s="365" t="s">
        <v>1228</v>
      </c>
      <c r="K187" s="365" t="s">
        <v>1229</v>
      </c>
      <c r="L187" s="370">
        <v>45698.465497685182</v>
      </c>
    </row>
    <row r="188" spans="1:12">
      <c r="A188" s="370">
        <v>45698.465949074074</v>
      </c>
      <c r="B188" s="365" t="s">
        <v>8302</v>
      </c>
      <c r="C188" s="365" t="s">
        <v>7782</v>
      </c>
      <c r="D188" s="365" t="s">
        <v>6024</v>
      </c>
      <c r="E188" s="365" t="s">
        <v>6025</v>
      </c>
      <c r="F188" s="365" t="s">
        <v>8303</v>
      </c>
      <c r="G188" s="370">
        <v>45713</v>
      </c>
      <c r="H188" s="369">
        <v>33000</v>
      </c>
      <c r="I188" s="365" t="s">
        <v>8304</v>
      </c>
      <c r="J188" s="365" t="s">
        <v>1228</v>
      </c>
      <c r="K188" s="365" t="s">
        <v>1229</v>
      </c>
      <c r="L188" s="370">
        <v>45698.469143518516</v>
      </c>
    </row>
    <row r="189" spans="1:12">
      <c r="A189" s="370">
        <v>45698.480833333335</v>
      </c>
      <c r="B189" s="365" t="s">
        <v>8305</v>
      </c>
      <c r="C189" s="365" t="s">
        <v>7557</v>
      </c>
      <c r="D189" s="365" t="s">
        <v>2584</v>
      </c>
      <c r="E189" s="365" t="s">
        <v>2585</v>
      </c>
      <c r="F189" s="365" t="s">
        <v>8306</v>
      </c>
      <c r="G189" s="370">
        <v>45681</v>
      </c>
      <c r="H189" s="369">
        <v>15999</v>
      </c>
      <c r="I189" s="365" t="s">
        <v>8307</v>
      </c>
      <c r="J189" s="365" t="s">
        <v>1228</v>
      </c>
      <c r="K189" s="365" t="s">
        <v>1229</v>
      </c>
      <c r="L189" s="370">
        <v>45698.483055555553</v>
      </c>
    </row>
    <row r="190" spans="1:12">
      <c r="A190" s="370">
        <v>45698.557395833333</v>
      </c>
      <c r="B190" s="365" t="s">
        <v>8308</v>
      </c>
      <c r="C190" s="365" t="s">
        <v>7591</v>
      </c>
      <c r="D190" s="365" t="s">
        <v>4245</v>
      </c>
      <c r="E190" s="365" t="s">
        <v>4246</v>
      </c>
      <c r="F190" s="365" t="s">
        <v>8309</v>
      </c>
      <c r="G190" s="370">
        <v>45713</v>
      </c>
      <c r="H190" s="369">
        <v>20000</v>
      </c>
      <c r="I190" s="365" t="s">
        <v>8310</v>
      </c>
      <c r="J190" s="365" t="s">
        <v>1228</v>
      </c>
      <c r="K190" s="365" t="s">
        <v>1229</v>
      </c>
      <c r="L190" s="370">
        <v>45698.559259259258</v>
      </c>
    </row>
    <row r="191" spans="1:12">
      <c r="A191" s="370">
        <v>45698.579085648147</v>
      </c>
      <c r="B191" s="365" t="s">
        <v>8311</v>
      </c>
      <c r="C191" s="365" t="s">
        <v>7636</v>
      </c>
      <c r="D191" s="365" t="s">
        <v>4515</v>
      </c>
      <c r="E191" s="365" t="s">
        <v>4516</v>
      </c>
      <c r="F191" s="365" t="s">
        <v>8312</v>
      </c>
      <c r="G191" s="370">
        <v>45713</v>
      </c>
      <c r="H191" s="369">
        <v>28000</v>
      </c>
      <c r="I191" s="365" t="s">
        <v>8313</v>
      </c>
      <c r="J191" s="365" t="s">
        <v>1228</v>
      </c>
      <c r="K191" s="365" t="s">
        <v>1229</v>
      </c>
      <c r="L191" s="370">
        <v>45698.580312500002</v>
      </c>
    </row>
    <row r="192" spans="1:12">
      <c r="A192" s="370">
        <v>45698.644907407404</v>
      </c>
      <c r="B192" s="365" t="s">
        <v>8314</v>
      </c>
      <c r="C192" s="365" t="s">
        <v>7771</v>
      </c>
      <c r="D192" s="365" t="s">
        <v>1556</v>
      </c>
      <c r="E192" s="365" t="s">
        <v>1557</v>
      </c>
      <c r="F192" s="365" t="s">
        <v>8315</v>
      </c>
      <c r="G192" s="370">
        <v>45681</v>
      </c>
      <c r="H192" s="369">
        <v>23400</v>
      </c>
      <c r="I192" s="365" t="s">
        <v>8316</v>
      </c>
      <c r="J192" s="365" t="s">
        <v>1228</v>
      </c>
      <c r="K192" s="365" t="s">
        <v>1229</v>
      </c>
      <c r="L192" s="370">
        <v>45698.646145833336</v>
      </c>
    </row>
    <row r="193" spans="1:12">
      <c r="A193" s="370">
        <v>45698.728854166664</v>
      </c>
      <c r="B193" s="365" t="s">
        <v>8317</v>
      </c>
      <c r="C193" s="365" t="s">
        <v>7500</v>
      </c>
      <c r="D193" s="365" t="s">
        <v>2232</v>
      </c>
      <c r="E193" s="365" t="s">
        <v>2233</v>
      </c>
      <c r="F193" s="365" t="s">
        <v>8318</v>
      </c>
      <c r="G193" s="370">
        <v>45681</v>
      </c>
      <c r="H193" s="369">
        <v>43000</v>
      </c>
      <c r="I193" s="365" t="s">
        <v>8319</v>
      </c>
      <c r="J193" s="365" t="s">
        <v>1228</v>
      </c>
      <c r="K193" s="365" t="s">
        <v>1229</v>
      </c>
      <c r="L193" s="370">
        <v>45698.729502314818</v>
      </c>
    </row>
    <row r="194" spans="1:12">
      <c r="A194" s="370">
        <v>45698.777997685182</v>
      </c>
      <c r="B194" s="365" t="s">
        <v>8320</v>
      </c>
      <c r="C194" s="365" t="s">
        <v>8188</v>
      </c>
      <c r="D194" s="365" t="s">
        <v>2731</v>
      </c>
      <c r="E194" s="365" t="s">
        <v>2732</v>
      </c>
      <c r="F194" s="365" t="s">
        <v>8321</v>
      </c>
      <c r="G194" s="370">
        <v>45681</v>
      </c>
      <c r="H194" s="369">
        <v>95999</v>
      </c>
      <c r="I194" s="365" t="s">
        <v>8322</v>
      </c>
      <c r="J194" s="365" t="s">
        <v>1228</v>
      </c>
      <c r="K194" s="365" t="s">
        <v>1229</v>
      </c>
      <c r="L194" s="370">
        <v>45698.778240740743</v>
      </c>
    </row>
    <row r="195" spans="1:12">
      <c r="A195" s="370">
        <v>45698.797858796293</v>
      </c>
      <c r="B195" s="365" t="s">
        <v>8323</v>
      </c>
      <c r="C195" s="365" t="s">
        <v>7549</v>
      </c>
      <c r="D195" s="365" t="s">
        <v>2888</v>
      </c>
      <c r="E195" s="365" t="s">
        <v>2889</v>
      </c>
      <c r="F195" s="365" t="s">
        <v>8324</v>
      </c>
      <c r="G195" s="370">
        <v>45681</v>
      </c>
      <c r="H195" s="369">
        <v>27000</v>
      </c>
      <c r="I195" s="365" t="s">
        <v>8325</v>
      </c>
      <c r="J195" s="365" t="s">
        <v>1228</v>
      </c>
      <c r="K195" s="365" t="s">
        <v>1229</v>
      </c>
      <c r="L195" s="370">
        <v>45698.79896990741</v>
      </c>
    </row>
    <row r="196" spans="1:12">
      <c r="A196" s="370">
        <v>45698.30678240741</v>
      </c>
      <c r="B196" s="365" t="s">
        <v>8326</v>
      </c>
      <c r="C196" s="365" t="s">
        <v>7574</v>
      </c>
      <c r="D196" s="365" t="s">
        <v>2745</v>
      </c>
      <c r="E196" s="365" t="s">
        <v>2746</v>
      </c>
      <c r="F196" s="365" t="s">
        <v>8327</v>
      </c>
      <c r="G196" s="370">
        <v>45681</v>
      </c>
      <c r="H196" s="369">
        <v>15000</v>
      </c>
      <c r="I196" s="365" t="s">
        <v>8328</v>
      </c>
      <c r="J196" s="365" t="s">
        <v>1228</v>
      </c>
      <c r="K196" s="365" t="s">
        <v>1229</v>
      </c>
      <c r="L196" s="370">
        <v>45698.309328703705</v>
      </c>
    </row>
    <row r="197" spans="1:12">
      <c r="A197" s="370">
        <v>45698.325613425928</v>
      </c>
      <c r="B197" s="365" t="s">
        <v>8329</v>
      </c>
      <c r="C197" s="365" t="s">
        <v>7570</v>
      </c>
      <c r="D197" s="365" t="s">
        <v>2783</v>
      </c>
      <c r="E197" s="365" t="s">
        <v>2784</v>
      </c>
      <c r="F197" s="365" t="s">
        <v>8330</v>
      </c>
      <c r="G197" s="370">
        <v>45681</v>
      </c>
      <c r="H197" s="369">
        <v>18000</v>
      </c>
      <c r="I197" s="365" t="s">
        <v>8331</v>
      </c>
      <c r="J197" s="365" t="s">
        <v>1228</v>
      </c>
      <c r="K197" s="365" t="s">
        <v>1229</v>
      </c>
      <c r="L197" s="370">
        <v>45698.326666666668</v>
      </c>
    </row>
    <row r="198" spans="1:12">
      <c r="A198" s="370">
        <v>45698.440416666665</v>
      </c>
      <c r="B198" s="365" t="s">
        <v>8332</v>
      </c>
      <c r="C198" s="365" t="s">
        <v>7522</v>
      </c>
      <c r="D198" s="365" t="s">
        <v>4004</v>
      </c>
      <c r="E198" s="365" t="s">
        <v>4005</v>
      </c>
      <c r="F198" s="365" t="s">
        <v>8333</v>
      </c>
      <c r="G198" s="370">
        <v>45681</v>
      </c>
      <c r="H198" s="369">
        <v>15000</v>
      </c>
      <c r="I198" s="365" t="s">
        <v>8334</v>
      </c>
      <c r="J198" s="365" t="s">
        <v>1228</v>
      </c>
      <c r="K198" s="365" t="s">
        <v>1229</v>
      </c>
      <c r="L198" s="370">
        <v>45698.441192129627</v>
      </c>
    </row>
    <row r="199" spans="1:12">
      <c r="A199" s="370">
        <v>45698.591805555552</v>
      </c>
      <c r="B199" s="365" t="s">
        <v>8335</v>
      </c>
      <c r="C199" s="365" t="s">
        <v>7582</v>
      </c>
      <c r="D199" s="365" t="s">
        <v>3134</v>
      </c>
      <c r="E199" s="365" t="s">
        <v>3135</v>
      </c>
      <c r="F199" s="365" t="s">
        <v>8336</v>
      </c>
      <c r="G199" s="370">
        <v>45713</v>
      </c>
      <c r="H199" s="369">
        <v>9000</v>
      </c>
      <c r="I199" s="365" t="s">
        <v>8337</v>
      </c>
      <c r="J199" s="365" t="s">
        <v>1228</v>
      </c>
      <c r="K199" s="365" t="s">
        <v>1229</v>
      </c>
      <c r="L199" s="370">
        <v>45698.594259259262</v>
      </c>
    </row>
    <row r="200" spans="1:12">
      <c r="A200" s="370">
        <v>45698.708321759259</v>
      </c>
      <c r="B200" s="365" t="s">
        <v>8338</v>
      </c>
      <c r="C200" s="365" t="s">
        <v>8339</v>
      </c>
      <c r="D200" s="365" t="s">
        <v>2119</v>
      </c>
      <c r="E200" s="365" t="s">
        <v>2120</v>
      </c>
      <c r="F200" s="365" t="s">
        <v>8340</v>
      </c>
      <c r="G200" s="370">
        <v>45681</v>
      </c>
      <c r="H200" s="369">
        <v>9000</v>
      </c>
      <c r="I200" s="365" t="s">
        <v>8341</v>
      </c>
      <c r="J200" s="365" t="s">
        <v>1228</v>
      </c>
      <c r="K200" s="365" t="s">
        <v>1229</v>
      </c>
      <c r="L200" s="370">
        <v>45698.708773148152</v>
      </c>
    </row>
    <row r="201" spans="1:12">
      <c r="A201" s="370">
        <v>45698.768287037034</v>
      </c>
      <c r="B201" s="365" t="s">
        <v>8342</v>
      </c>
      <c r="C201" s="365" t="s">
        <v>8343</v>
      </c>
      <c r="D201" s="365" t="s">
        <v>8344</v>
      </c>
      <c r="E201" s="365" t="s">
        <v>8345</v>
      </c>
      <c r="F201" s="365" t="s">
        <v>8346</v>
      </c>
      <c r="G201" s="370">
        <v>45713</v>
      </c>
      <c r="H201" s="369">
        <v>21000</v>
      </c>
      <c r="I201" s="365" t="s">
        <v>8347</v>
      </c>
      <c r="J201" s="365" t="s">
        <v>1228</v>
      </c>
      <c r="K201" s="365" t="s">
        <v>1229</v>
      </c>
      <c r="L201" s="370">
        <v>45698.771099537036</v>
      </c>
    </row>
    <row r="202" spans="1:12">
      <c r="A202" s="370">
        <v>45698.790590277778</v>
      </c>
      <c r="B202" s="365" t="s">
        <v>8348</v>
      </c>
      <c r="C202" s="365" t="s">
        <v>7638</v>
      </c>
      <c r="D202" s="365" t="s">
        <v>4010</v>
      </c>
      <c r="E202" s="365" t="s">
        <v>4011</v>
      </c>
      <c r="F202" s="365" t="s">
        <v>8349</v>
      </c>
      <c r="G202" s="370">
        <v>45713</v>
      </c>
      <c r="H202" s="369">
        <v>14000</v>
      </c>
      <c r="I202" s="365" t="s">
        <v>8350</v>
      </c>
      <c r="J202" s="365" t="s">
        <v>1228</v>
      </c>
      <c r="K202" s="365" t="s">
        <v>1229</v>
      </c>
      <c r="L202" s="370">
        <v>45698.792175925926</v>
      </c>
    </row>
    <row r="203" spans="1:12">
      <c r="A203" s="370">
        <v>45698.815254629626</v>
      </c>
      <c r="B203" s="365" t="s">
        <v>8351</v>
      </c>
      <c r="C203" s="365" t="s">
        <v>7685</v>
      </c>
      <c r="D203" s="365" t="s">
        <v>1659</v>
      </c>
      <c r="E203" s="365" t="s">
        <v>1660</v>
      </c>
      <c r="F203" s="365" t="s">
        <v>8352</v>
      </c>
      <c r="G203" s="370">
        <v>45681</v>
      </c>
      <c r="H203" s="369">
        <v>31000</v>
      </c>
      <c r="I203" s="365" t="s">
        <v>8353</v>
      </c>
      <c r="J203" s="365" t="s">
        <v>1228</v>
      </c>
      <c r="K203" s="365" t="s">
        <v>1229</v>
      </c>
      <c r="L203" s="370">
        <v>45698.816516203704</v>
      </c>
    </row>
    <row r="204" spans="1:12">
      <c r="A204" s="370">
        <v>45699.372627314813</v>
      </c>
      <c r="B204" s="365" t="s">
        <v>8354</v>
      </c>
      <c r="C204" s="365" t="s">
        <v>7656</v>
      </c>
      <c r="D204" s="365" t="s">
        <v>4016</v>
      </c>
      <c r="E204" s="365" t="s">
        <v>4017</v>
      </c>
      <c r="F204" s="365" t="s">
        <v>8355</v>
      </c>
      <c r="G204" s="370">
        <v>45713</v>
      </c>
      <c r="H204" s="369">
        <v>15000</v>
      </c>
      <c r="I204" s="365" t="s">
        <v>8356</v>
      </c>
      <c r="J204" s="365" t="s">
        <v>1228</v>
      </c>
      <c r="K204" s="365" t="s">
        <v>1229</v>
      </c>
      <c r="L204" s="370">
        <v>45699.375439814816</v>
      </c>
    </row>
    <row r="205" spans="1:12">
      <c r="A205" s="370">
        <v>45699.382395833331</v>
      </c>
      <c r="B205" s="365" t="s">
        <v>8357</v>
      </c>
      <c r="C205" s="365" t="s">
        <v>7587</v>
      </c>
      <c r="D205" s="365" t="s">
        <v>3149</v>
      </c>
      <c r="E205" s="365" t="s">
        <v>3150</v>
      </c>
      <c r="F205" s="365" t="s">
        <v>8358</v>
      </c>
      <c r="G205" s="370">
        <v>45713</v>
      </c>
      <c r="H205" s="369">
        <v>30000</v>
      </c>
      <c r="I205" s="365" t="s">
        <v>8359</v>
      </c>
      <c r="J205" s="365" t="s">
        <v>1228</v>
      </c>
      <c r="K205" s="365" t="s">
        <v>1229</v>
      </c>
      <c r="L205" s="370">
        <v>45699.385833333334</v>
      </c>
    </row>
    <row r="206" spans="1:12">
      <c r="A206" s="370">
        <v>45699.50267361111</v>
      </c>
      <c r="B206" s="365" t="s">
        <v>8360</v>
      </c>
      <c r="C206" s="365" t="s">
        <v>7602</v>
      </c>
      <c r="D206" s="365" t="s">
        <v>3306</v>
      </c>
      <c r="E206" s="365" t="s">
        <v>3307</v>
      </c>
      <c r="F206" s="365" t="s">
        <v>8361</v>
      </c>
      <c r="G206" s="370">
        <v>45713</v>
      </c>
      <c r="H206" s="369">
        <v>21000</v>
      </c>
      <c r="I206" s="365" t="s">
        <v>8362</v>
      </c>
      <c r="J206" s="365" t="s">
        <v>1228</v>
      </c>
      <c r="K206" s="365" t="s">
        <v>1229</v>
      </c>
      <c r="L206" s="370">
        <v>45699.503611111111</v>
      </c>
    </row>
    <row r="207" spans="1:12">
      <c r="A207" s="370">
        <v>45699.535509259258</v>
      </c>
      <c r="B207" s="365" t="s">
        <v>8363</v>
      </c>
      <c r="C207" s="365" t="s">
        <v>7583</v>
      </c>
      <c r="D207" s="365" t="s">
        <v>2906</v>
      </c>
      <c r="E207" s="365" t="s">
        <v>2907</v>
      </c>
      <c r="F207" s="365" t="s">
        <v>8364</v>
      </c>
      <c r="G207" s="370">
        <v>45681</v>
      </c>
      <c r="H207" s="369">
        <v>15999</v>
      </c>
      <c r="I207" s="365" t="s">
        <v>8365</v>
      </c>
      <c r="J207" s="365" t="s">
        <v>1228</v>
      </c>
      <c r="K207" s="365" t="s">
        <v>1229</v>
      </c>
      <c r="L207" s="370">
        <v>45699.538587962961</v>
      </c>
    </row>
    <row r="208" spans="1:12">
      <c r="A208" s="370">
        <v>45699.543240740742</v>
      </c>
      <c r="B208" s="365" t="s">
        <v>8366</v>
      </c>
      <c r="C208" s="365" t="s">
        <v>7538</v>
      </c>
      <c r="D208" s="365" t="s">
        <v>2082</v>
      </c>
      <c r="E208" s="365" t="s">
        <v>2083</v>
      </c>
      <c r="F208" s="365" t="s">
        <v>8367</v>
      </c>
      <c r="G208" s="370">
        <v>45681</v>
      </c>
      <c r="H208" s="369">
        <v>25000</v>
      </c>
      <c r="I208" s="365" t="s">
        <v>8368</v>
      </c>
      <c r="J208" s="365" t="s">
        <v>1228</v>
      </c>
      <c r="K208" s="365" t="s">
        <v>1229</v>
      </c>
      <c r="L208" s="370">
        <v>45699.545381944445</v>
      </c>
    </row>
    <row r="209" spans="1:12">
      <c r="A209" s="370">
        <v>45699.632384259261</v>
      </c>
      <c r="B209" s="365" t="s">
        <v>8369</v>
      </c>
      <c r="C209" s="365" t="s">
        <v>7683</v>
      </c>
      <c r="D209" s="365" t="s">
        <v>2833</v>
      </c>
      <c r="E209" s="365" t="s">
        <v>2834</v>
      </c>
      <c r="F209" s="365" t="s">
        <v>8370</v>
      </c>
      <c r="G209" s="370">
        <v>45681</v>
      </c>
      <c r="H209" s="369">
        <v>65900</v>
      </c>
      <c r="I209" s="365" t="s">
        <v>8371</v>
      </c>
      <c r="J209" s="365" t="s">
        <v>1228</v>
      </c>
      <c r="K209" s="365" t="s">
        <v>1229</v>
      </c>
      <c r="L209" s="370">
        <v>45699.635833333334</v>
      </c>
    </row>
    <row r="210" spans="1:12">
      <c r="A210" s="370">
        <v>45699.696701388886</v>
      </c>
      <c r="B210" s="365" t="s">
        <v>8372</v>
      </c>
      <c r="C210" s="365" t="s">
        <v>7783</v>
      </c>
      <c r="D210" s="365" t="s">
        <v>3583</v>
      </c>
      <c r="E210" s="365" t="s">
        <v>3584</v>
      </c>
      <c r="F210" s="365" t="s">
        <v>8373</v>
      </c>
      <c r="G210" s="370">
        <v>45713</v>
      </c>
      <c r="H210" s="369">
        <v>9000</v>
      </c>
      <c r="I210" s="365" t="s">
        <v>8374</v>
      </c>
      <c r="J210" s="365" t="s">
        <v>1228</v>
      </c>
      <c r="K210" s="365" t="s">
        <v>1229</v>
      </c>
      <c r="L210" s="370">
        <v>45699.698148148149</v>
      </c>
    </row>
    <row r="211" spans="1:12">
      <c r="A211" s="370">
        <v>45699.701122685183</v>
      </c>
      <c r="B211" s="365" t="s">
        <v>8375</v>
      </c>
      <c r="C211" s="365" t="s">
        <v>7616</v>
      </c>
      <c r="D211" s="365" t="s">
        <v>3191</v>
      </c>
      <c r="E211" s="365" t="s">
        <v>3192</v>
      </c>
      <c r="F211" s="365" t="s">
        <v>8376</v>
      </c>
      <c r="G211" s="370">
        <v>45713</v>
      </c>
      <c r="H211" s="369">
        <v>12000</v>
      </c>
      <c r="I211" s="365" t="s">
        <v>8377</v>
      </c>
      <c r="J211" s="365" t="s">
        <v>1228</v>
      </c>
      <c r="K211" s="365" t="s">
        <v>1229</v>
      </c>
      <c r="L211" s="370">
        <v>45699.70171296296</v>
      </c>
    </row>
    <row r="212" spans="1:12">
      <c r="A212" s="370">
        <v>45699.701620370368</v>
      </c>
      <c r="B212" s="365" t="s">
        <v>8378</v>
      </c>
      <c r="C212" s="365" t="s">
        <v>7596</v>
      </c>
      <c r="D212" s="365" t="s">
        <v>2495</v>
      </c>
      <c r="E212" s="365" t="s">
        <v>2496</v>
      </c>
      <c r="F212" s="365" t="s">
        <v>8379</v>
      </c>
      <c r="G212" s="370">
        <v>45713</v>
      </c>
      <c r="H212" s="369">
        <v>18000</v>
      </c>
      <c r="I212" s="365" t="s">
        <v>8380</v>
      </c>
      <c r="J212" s="365" t="s">
        <v>1228</v>
      </c>
      <c r="K212" s="365" t="s">
        <v>1229</v>
      </c>
      <c r="L212" s="370">
        <v>45699.705266203702</v>
      </c>
    </row>
    <row r="213" spans="1:12">
      <c r="A213" s="370">
        <v>45699.736759259256</v>
      </c>
      <c r="B213" s="365" t="s">
        <v>8381</v>
      </c>
      <c r="C213" s="365" t="s">
        <v>7543</v>
      </c>
      <c r="D213" s="365" t="s">
        <v>2657</v>
      </c>
      <c r="E213" s="365" t="s">
        <v>2658</v>
      </c>
      <c r="F213" s="365" t="s">
        <v>8382</v>
      </c>
      <c r="G213" s="370">
        <v>45681</v>
      </c>
      <c r="H213" s="369">
        <v>27000</v>
      </c>
      <c r="I213" s="365" t="s">
        <v>8383</v>
      </c>
      <c r="J213" s="365" t="s">
        <v>1228</v>
      </c>
      <c r="K213" s="365" t="s">
        <v>1229</v>
      </c>
      <c r="L213" s="370">
        <v>45699.739976851852</v>
      </c>
    </row>
    <row r="214" spans="1:12">
      <c r="A214" s="370">
        <v>45699.776886574073</v>
      </c>
      <c r="B214" s="365" t="s">
        <v>8384</v>
      </c>
      <c r="C214" s="365" t="s">
        <v>7681</v>
      </c>
      <c r="D214" s="365" t="s">
        <v>3922</v>
      </c>
      <c r="E214" s="365" t="s">
        <v>3923</v>
      </c>
      <c r="F214" s="365" t="s">
        <v>8385</v>
      </c>
      <c r="G214" s="370">
        <v>45681</v>
      </c>
      <c r="H214" s="369">
        <v>135000</v>
      </c>
      <c r="I214" s="365" t="s">
        <v>8386</v>
      </c>
      <c r="J214" s="365" t="s">
        <v>1228</v>
      </c>
      <c r="K214" s="365" t="s">
        <v>1229</v>
      </c>
      <c r="L214" s="370">
        <v>45699.778287037036</v>
      </c>
    </row>
    <row r="215" spans="1:12">
      <c r="A215" s="370">
        <v>45699.335821759261</v>
      </c>
      <c r="B215" s="365" t="s">
        <v>8387</v>
      </c>
      <c r="C215" s="365" t="s">
        <v>8388</v>
      </c>
      <c r="D215" s="365" t="s">
        <v>2763</v>
      </c>
      <c r="E215" s="365" t="s">
        <v>2764</v>
      </c>
      <c r="F215" s="365" t="s">
        <v>8389</v>
      </c>
      <c r="G215" s="370">
        <v>45681</v>
      </c>
      <c r="H215" s="369">
        <v>30000</v>
      </c>
      <c r="I215" s="365" t="s">
        <v>8390</v>
      </c>
      <c r="J215" s="365" t="s">
        <v>1228</v>
      </c>
      <c r="K215" s="365" t="s">
        <v>1229</v>
      </c>
      <c r="L215" s="370">
        <v>45699.337233796294</v>
      </c>
    </row>
    <row r="216" spans="1:12">
      <c r="A216" s="370">
        <v>45699.668078703704</v>
      </c>
      <c r="B216" s="365" t="s">
        <v>8391</v>
      </c>
      <c r="C216" s="365" t="s">
        <v>7640</v>
      </c>
      <c r="D216" s="365" t="s">
        <v>4928</v>
      </c>
      <c r="E216" s="365" t="s">
        <v>4929</v>
      </c>
      <c r="F216" s="365" t="s">
        <v>8392</v>
      </c>
      <c r="G216" s="370">
        <v>45713</v>
      </c>
      <c r="H216" s="369">
        <v>27000</v>
      </c>
      <c r="I216" s="365" t="s">
        <v>8393</v>
      </c>
      <c r="J216" s="365" t="s">
        <v>1228</v>
      </c>
      <c r="K216" s="365" t="s">
        <v>1229</v>
      </c>
      <c r="L216" s="370">
        <v>45699.670567129629</v>
      </c>
    </row>
    <row r="217" spans="1:12">
      <c r="A217" s="370">
        <v>45699.890775462962</v>
      </c>
      <c r="B217" s="365" t="s">
        <v>8394</v>
      </c>
      <c r="C217" s="365" t="s">
        <v>8395</v>
      </c>
      <c r="D217" s="365" t="s">
        <v>8396</v>
      </c>
      <c r="E217" s="365" t="s">
        <v>8397</v>
      </c>
      <c r="F217" s="365" t="s">
        <v>8398</v>
      </c>
      <c r="G217" s="370">
        <v>45681</v>
      </c>
      <c r="H217" s="369">
        <v>14813</v>
      </c>
      <c r="I217" s="365" t="s">
        <v>8399</v>
      </c>
      <c r="J217" s="365" t="s">
        <v>1228</v>
      </c>
      <c r="K217" s="365" t="s">
        <v>1229</v>
      </c>
      <c r="L217" s="370">
        <v>45699.892627314817</v>
      </c>
    </row>
    <row r="218" spans="1:12">
      <c r="A218" s="370">
        <v>45699.566377314812</v>
      </c>
      <c r="B218" s="365" t="s">
        <v>8400</v>
      </c>
      <c r="C218" s="365" t="s">
        <v>7600</v>
      </c>
      <c r="D218" s="365" t="s">
        <v>4524</v>
      </c>
      <c r="E218" s="365" t="s">
        <v>4525</v>
      </c>
      <c r="F218" s="365" t="s">
        <v>8401</v>
      </c>
      <c r="G218" s="370">
        <v>45713</v>
      </c>
      <c r="H218" s="369">
        <v>31999</v>
      </c>
      <c r="I218" s="365" t="s">
        <v>8402</v>
      </c>
      <c r="J218" s="365" t="s">
        <v>1228</v>
      </c>
      <c r="K218" s="365" t="s">
        <v>1229</v>
      </c>
      <c r="L218" s="370">
        <v>45699.569745370369</v>
      </c>
    </row>
    <row r="219" spans="1:12">
      <c r="A219" s="370">
        <v>45699.601701388892</v>
      </c>
      <c r="B219" s="365" t="s">
        <v>8403</v>
      </c>
      <c r="C219" s="365" t="s">
        <v>7593</v>
      </c>
      <c r="D219" s="365" t="s">
        <v>3658</v>
      </c>
      <c r="E219" s="365" t="s">
        <v>3659</v>
      </c>
      <c r="F219" s="365" t="s">
        <v>8404</v>
      </c>
      <c r="G219" s="370">
        <v>45713</v>
      </c>
      <c r="H219" s="369">
        <v>12000</v>
      </c>
      <c r="I219" s="365" t="s">
        <v>8405</v>
      </c>
      <c r="J219" s="365" t="s">
        <v>1228</v>
      </c>
      <c r="K219" s="365" t="s">
        <v>1229</v>
      </c>
      <c r="L219" s="370">
        <v>45699.604722222219</v>
      </c>
    </row>
    <row r="220" spans="1:12">
      <c r="A220" s="370">
        <v>45699.894432870373</v>
      </c>
      <c r="B220" s="365" t="s">
        <v>8406</v>
      </c>
      <c r="C220" s="365" t="s">
        <v>7556</v>
      </c>
      <c r="D220" s="365" t="s">
        <v>2064</v>
      </c>
      <c r="E220" s="365" t="s">
        <v>2065</v>
      </c>
      <c r="F220" s="365" t="s">
        <v>8407</v>
      </c>
      <c r="G220" s="370">
        <v>45713</v>
      </c>
      <c r="H220" s="369">
        <v>15999</v>
      </c>
      <c r="I220" s="365" t="s">
        <v>8408</v>
      </c>
      <c r="J220" s="365" t="s">
        <v>1228</v>
      </c>
      <c r="K220" s="365" t="s">
        <v>1229</v>
      </c>
      <c r="L220" s="370">
        <v>45699.896192129629</v>
      </c>
    </row>
    <row r="221" spans="1:12">
      <c r="A221" s="370">
        <v>45700.391539351855</v>
      </c>
      <c r="B221" s="365" t="s">
        <v>8409</v>
      </c>
      <c r="C221" s="365" t="s">
        <v>7654</v>
      </c>
      <c r="D221" s="365" t="s">
        <v>3664</v>
      </c>
      <c r="E221" s="365" t="s">
        <v>3665</v>
      </c>
      <c r="F221" s="365" t="s">
        <v>8410</v>
      </c>
      <c r="G221" s="370">
        <v>45713</v>
      </c>
      <c r="H221" s="369">
        <v>11500</v>
      </c>
      <c r="I221" s="365" t="s">
        <v>8411</v>
      </c>
      <c r="J221" s="365" t="s">
        <v>1228</v>
      </c>
      <c r="K221" s="365" t="s">
        <v>1229</v>
      </c>
      <c r="L221" s="370">
        <v>45700.39261574074</v>
      </c>
    </row>
    <row r="222" spans="1:12">
      <c r="A222" s="370">
        <v>45700.425046296295</v>
      </c>
      <c r="B222" s="365" t="s">
        <v>8412</v>
      </c>
      <c r="C222" s="365" t="s">
        <v>7589</v>
      </c>
      <c r="D222" s="365" t="s">
        <v>3063</v>
      </c>
      <c r="E222" s="365" t="s">
        <v>3064</v>
      </c>
      <c r="F222" s="365" t="s">
        <v>8413</v>
      </c>
      <c r="G222" s="370">
        <v>45713</v>
      </c>
      <c r="H222" s="369">
        <v>23000</v>
      </c>
      <c r="I222" s="365" t="s">
        <v>8414</v>
      </c>
      <c r="J222" s="365" t="s">
        <v>1228</v>
      </c>
      <c r="K222" s="365" t="s">
        <v>1229</v>
      </c>
      <c r="L222" s="370">
        <v>45700.427372685182</v>
      </c>
    </row>
    <row r="223" spans="1:12">
      <c r="A223" s="370">
        <v>45700.5387962963</v>
      </c>
      <c r="B223" s="365" t="s">
        <v>8415</v>
      </c>
      <c r="C223" s="365" t="s">
        <v>7598</v>
      </c>
      <c r="D223" s="365" t="s">
        <v>3250</v>
      </c>
      <c r="E223" s="365" t="s">
        <v>3251</v>
      </c>
      <c r="F223" s="365" t="s">
        <v>8416</v>
      </c>
      <c r="G223" s="370">
        <v>45681</v>
      </c>
      <c r="H223" s="369">
        <v>32400</v>
      </c>
      <c r="I223" s="365" t="s">
        <v>8417</v>
      </c>
      <c r="J223" s="365" t="s">
        <v>1228</v>
      </c>
      <c r="K223" s="365" t="s">
        <v>1229</v>
      </c>
      <c r="L223" s="370">
        <v>45700.542187500003</v>
      </c>
    </row>
    <row r="224" spans="1:12">
      <c r="A224" s="370">
        <v>45700.603159722225</v>
      </c>
      <c r="B224" s="365" t="s">
        <v>8418</v>
      </c>
      <c r="C224" s="365" t="s">
        <v>7599</v>
      </c>
      <c r="D224" s="365" t="s">
        <v>3346</v>
      </c>
      <c r="E224" s="365" t="s">
        <v>3347</v>
      </c>
      <c r="F224" s="365" t="s">
        <v>8419</v>
      </c>
      <c r="G224" s="370">
        <v>45713</v>
      </c>
      <c r="H224" s="369">
        <v>31999</v>
      </c>
      <c r="I224" s="365" t="s">
        <v>8420</v>
      </c>
      <c r="J224" s="365" t="s">
        <v>1228</v>
      </c>
      <c r="K224" s="365" t="s">
        <v>1229</v>
      </c>
      <c r="L224" s="370">
        <v>45700.604490740741</v>
      </c>
    </row>
    <row r="225" spans="1:12">
      <c r="A225" s="370">
        <v>45700.631527777776</v>
      </c>
      <c r="B225" s="365" t="s">
        <v>8421</v>
      </c>
      <c r="C225" s="365" t="s">
        <v>7558</v>
      </c>
      <c r="D225" s="365" t="s">
        <v>2220</v>
      </c>
      <c r="E225" s="365" t="s">
        <v>2221</v>
      </c>
      <c r="F225" s="365" t="s">
        <v>8422</v>
      </c>
      <c r="G225" s="370">
        <v>45681</v>
      </c>
      <c r="H225" s="369">
        <v>51000</v>
      </c>
      <c r="I225" s="365" t="s">
        <v>8423</v>
      </c>
      <c r="J225" s="365" t="s">
        <v>1228</v>
      </c>
      <c r="K225" s="365" t="s">
        <v>1229</v>
      </c>
      <c r="L225" s="370">
        <v>45700.632256944446</v>
      </c>
    </row>
    <row r="226" spans="1:12">
      <c r="A226" s="370">
        <v>45700.750057870369</v>
      </c>
      <c r="B226" s="365" t="s">
        <v>8424</v>
      </c>
      <c r="C226" s="365" t="s">
        <v>7620</v>
      </c>
      <c r="D226" s="365" t="s">
        <v>2725</v>
      </c>
      <c r="E226" s="365" t="s">
        <v>2726</v>
      </c>
      <c r="F226" s="365" t="s">
        <v>8425</v>
      </c>
      <c r="G226" s="370">
        <v>45681</v>
      </c>
      <c r="H226" s="369">
        <v>15000</v>
      </c>
      <c r="I226" s="365" t="s">
        <v>8426</v>
      </c>
      <c r="J226" s="365" t="s">
        <v>1228</v>
      </c>
      <c r="K226" s="365" t="s">
        <v>1229</v>
      </c>
      <c r="L226" s="370">
        <v>45700.750381944446</v>
      </c>
    </row>
    <row r="227" spans="1:12">
      <c r="A227" s="370">
        <v>45700.783356481479</v>
      </c>
      <c r="B227" s="365" t="s">
        <v>8427</v>
      </c>
      <c r="C227" s="365" t="s">
        <v>7462</v>
      </c>
      <c r="D227" s="365" t="s">
        <v>1862</v>
      </c>
      <c r="E227" s="365" t="s">
        <v>1863</v>
      </c>
      <c r="F227" s="365" t="s">
        <v>8428</v>
      </c>
      <c r="G227" s="370">
        <v>45713</v>
      </c>
      <c r="H227" s="369">
        <v>9000</v>
      </c>
      <c r="I227" s="365" t="s">
        <v>8429</v>
      </c>
      <c r="J227" s="365" t="s">
        <v>1228</v>
      </c>
      <c r="K227" s="365" t="s">
        <v>1229</v>
      </c>
      <c r="L227" s="370">
        <v>45700.785127314812</v>
      </c>
    </row>
    <row r="228" spans="1:12">
      <c r="A228" s="370">
        <v>45700.504155092596</v>
      </c>
      <c r="B228" s="365" t="s">
        <v>8430</v>
      </c>
      <c r="C228" s="365" t="s">
        <v>7655</v>
      </c>
      <c r="D228" s="365" t="s">
        <v>3783</v>
      </c>
      <c r="E228" s="365" t="s">
        <v>3784</v>
      </c>
      <c r="F228" s="365" t="s">
        <v>8431</v>
      </c>
      <c r="G228" s="370">
        <v>45713</v>
      </c>
      <c r="H228" s="369">
        <v>24000</v>
      </c>
      <c r="I228" s="365" t="s">
        <v>8432</v>
      </c>
      <c r="J228" s="365" t="s">
        <v>1228</v>
      </c>
      <c r="K228" s="365" t="s">
        <v>1229</v>
      </c>
      <c r="L228" s="370">
        <v>45700.507418981484</v>
      </c>
    </row>
    <row r="229" spans="1:12">
      <c r="A229" s="370">
        <v>45700.333298611113</v>
      </c>
      <c r="B229" s="365" t="s">
        <v>8433</v>
      </c>
      <c r="C229" s="365" t="s">
        <v>7634</v>
      </c>
      <c r="D229" s="365" t="s">
        <v>3290</v>
      </c>
      <c r="E229" s="365" t="s">
        <v>3291</v>
      </c>
      <c r="F229" s="365" t="s">
        <v>8434</v>
      </c>
      <c r="G229" s="370">
        <v>45713</v>
      </c>
      <c r="H229" s="369">
        <v>15000</v>
      </c>
      <c r="I229" s="365" t="s">
        <v>8435</v>
      </c>
      <c r="J229" s="365" t="s">
        <v>1228</v>
      </c>
      <c r="K229" s="365" t="s">
        <v>1229</v>
      </c>
      <c r="L229" s="370">
        <v>45700.333587962959</v>
      </c>
    </row>
    <row r="230" spans="1:12">
      <c r="A230" s="370">
        <v>45700.353449074071</v>
      </c>
      <c r="B230" s="365" t="s">
        <v>8436</v>
      </c>
      <c r="C230" s="365" t="s">
        <v>8437</v>
      </c>
      <c r="D230" s="365" t="s">
        <v>8438</v>
      </c>
      <c r="E230" s="365" t="s">
        <v>8439</v>
      </c>
      <c r="F230" s="365" t="s">
        <v>8440</v>
      </c>
      <c r="G230" s="370">
        <v>45713</v>
      </c>
      <c r="H230" s="369">
        <v>49944</v>
      </c>
      <c r="I230" s="365" t="s">
        <v>8441</v>
      </c>
      <c r="J230" s="365" t="s">
        <v>1228</v>
      </c>
      <c r="K230" s="365" t="s">
        <v>1229</v>
      </c>
      <c r="L230" s="370">
        <v>45700.354386574072</v>
      </c>
    </row>
    <row r="231" spans="1:12">
      <c r="A231" s="370">
        <v>45700.454652777778</v>
      </c>
      <c r="B231" s="365" t="s">
        <v>8442</v>
      </c>
      <c r="C231" s="365" t="s">
        <v>7618</v>
      </c>
      <c r="D231" s="365" t="s">
        <v>3274</v>
      </c>
      <c r="E231" s="365" t="s">
        <v>3275</v>
      </c>
      <c r="F231" s="365" t="s">
        <v>8443</v>
      </c>
      <c r="G231" s="370">
        <v>45713</v>
      </c>
      <c r="H231" s="369">
        <v>32500</v>
      </c>
      <c r="I231" s="365" t="s">
        <v>8444</v>
      </c>
      <c r="J231" s="365" t="s">
        <v>1228</v>
      </c>
      <c r="K231" s="365" t="s">
        <v>1229</v>
      </c>
      <c r="L231" s="370">
        <v>45700.455254629633</v>
      </c>
    </row>
    <row r="232" spans="1:12">
      <c r="A232" s="370">
        <v>45700.475370370368</v>
      </c>
      <c r="B232" s="365" t="s">
        <v>8445</v>
      </c>
      <c r="C232" s="365" t="s">
        <v>8446</v>
      </c>
      <c r="D232" s="365" t="s">
        <v>1243</v>
      </c>
      <c r="E232" s="365" t="s">
        <v>1244</v>
      </c>
      <c r="F232" s="365" t="s">
        <v>8447</v>
      </c>
      <c r="G232" s="370">
        <v>45713</v>
      </c>
      <c r="H232" s="369">
        <v>15000</v>
      </c>
      <c r="I232" s="365" t="s">
        <v>8448</v>
      </c>
      <c r="J232" s="365" t="s">
        <v>1228</v>
      </c>
      <c r="K232" s="365" t="s">
        <v>1229</v>
      </c>
      <c r="L232" s="370">
        <v>45700.476076388892</v>
      </c>
    </row>
    <row r="233" spans="1:12">
      <c r="A233" s="370">
        <v>45700.622881944444</v>
      </c>
      <c r="B233" s="365" t="s">
        <v>8449</v>
      </c>
      <c r="C233" s="365" t="s">
        <v>7637</v>
      </c>
      <c r="D233" s="365" t="s">
        <v>3706</v>
      </c>
      <c r="E233" s="365" t="s">
        <v>3707</v>
      </c>
      <c r="F233" s="365" t="s">
        <v>8450</v>
      </c>
      <c r="G233" s="370">
        <v>45713</v>
      </c>
      <c r="H233" s="369">
        <v>18000</v>
      </c>
      <c r="I233" s="365" t="s">
        <v>8451</v>
      </c>
      <c r="J233" s="365" t="s">
        <v>1228</v>
      </c>
      <c r="K233" s="365" t="s">
        <v>1229</v>
      </c>
      <c r="L233" s="370">
        <v>45700.625324074077</v>
      </c>
    </row>
    <row r="234" spans="1:12">
      <c r="A234" s="370">
        <v>45700.684444444443</v>
      </c>
      <c r="B234" s="365" t="s">
        <v>8452</v>
      </c>
      <c r="C234" s="365" t="s">
        <v>7577</v>
      </c>
      <c r="D234" s="365" t="s">
        <v>2125</v>
      </c>
      <c r="E234" s="365" t="s">
        <v>2126</v>
      </c>
      <c r="F234" s="365" t="s">
        <v>8453</v>
      </c>
      <c r="G234" s="370">
        <v>45713</v>
      </c>
      <c r="H234" s="369">
        <v>15999</v>
      </c>
      <c r="I234" s="365" t="s">
        <v>8454</v>
      </c>
      <c r="J234" s="365" t="s">
        <v>1228</v>
      </c>
      <c r="K234" s="365" t="s">
        <v>1229</v>
      </c>
      <c r="L234" s="370">
        <v>45700.687847222223</v>
      </c>
    </row>
    <row r="235" spans="1:12">
      <c r="A235" s="370">
        <v>45700.718599537038</v>
      </c>
      <c r="B235" s="365" t="s">
        <v>8455</v>
      </c>
      <c r="C235" s="365" t="s">
        <v>7787</v>
      </c>
      <c r="D235" s="365" t="s">
        <v>3043</v>
      </c>
      <c r="E235" s="365" t="s">
        <v>3044</v>
      </c>
      <c r="F235" s="365" t="s">
        <v>8456</v>
      </c>
      <c r="G235" s="370">
        <v>45681</v>
      </c>
      <c r="H235" s="369">
        <v>15999</v>
      </c>
      <c r="I235" s="365" t="s">
        <v>8457</v>
      </c>
      <c r="J235" s="365" t="s">
        <v>1228</v>
      </c>
      <c r="K235" s="365" t="s">
        <v>1229</v>
      </c>
      <c r="L235" s="370">
        <v>45700.719305555554</v>
      </c>
    </row>
    <row r="236" spans="1:12">
      <c r="A236" s="370">
        <v>45700.727488425924</v>
      </c>
      <c r="B236" s="365" t="s">
        <v>8458</v>
      </c>
      <c r="C236" s="365" t="s">
        <v>7648</v>
      </c>
      <c r="D236" s="365" t="s">
        <v>3312</v>
      </c>
      <c r="E236" s="365" t="s">
        <v>3313</v>
      </c>
      <c r="F236" s="365" t="s">
        <v>8459</v>
      </c>
      <c r="G236" s="370">
        <v>45713</v>
      </c>
      <c r="H236" s="369">
        <v>15000</v>
      </c>
      <c r="I236" s="365" t="s">
        <v>8460</v>
      </c>
      <c r="J236" s="365" t="s">
        <v>1228</v>
      </c>
      <c r="K236" s="365" t="s">
        <v>1229</v>
      </c>
      <c r="L236" s="370">
        <v>45700.729733796295</v>
      </c>
    </row>
    <row r="237" spans="1:12">
      <c r="A237" s="370">
        <v>45700.748472222222</v>
      </c>
      <c r="B237" s="365" t="s">
        <v>8461</v>
      </c>
      <c r="C237" s="365" t="s">
        <v>7386</v>
      </c>
      <c r="D237" s="365" t="s">
        <v>3208</v>
      </c>
      <c r="E237" s="365" t="s">
        <v>3209</v>
      </c>
      <c r="F237" s="365" t="s">
        <v>8462</v>
      </c>
      <c r="G237" s="370">
        <v>45681</v>
      </c>
      <c r="H237" s="369">
        <v>33000</v>
      </c>
      <c r="I237" s="365" t="s">
        <v>8463</v>
      </c>
      <c r="J237" s="365" t="s">
        <v>1228</v>
      </c>
      <c r="K237" s="365" t="s">
        <v>1229</v>
      </c>
      <c r="L237" s="370">
        <v>45700.750567129631</v>
      </c>
    </row>
    <row r="238" spans="1:12">
      <c r="A238" s="370">
        <v>45701.207974537036</v>
      </c>
      <c r="B238" s="365" t="s">
        <v>8464</v>
      </c>
      <c r="C238" s="365" t="s">
        <v>7629</v>
      </c>
      <c r="D238" s="365" t="s">
        <v>3179</v>
      </c>
      <c r="E238" s="365" t="s">
        <v>3180</v>
      </c>
      <c r="F238" s="365" t="s">
        <v>8465</v>
      </c>
      <c r="G238" s="370">
        <v>45713</v>
      </c>
      <c r="H238" s="369">
        <v>19000</v>
      </c>
      <c r="I238" s="365" t="s">
        <v>8466</v>
      </c>
      <c r="J238" s="365" t="s">
        <v>1228</v>
      </c>
      <c r="K238" s="365" t="s">
        <v>1229</v>
      </c>
      <c r="L238" s="370">
        <v>45701.208680555559</v>
      </c>
    </row>
    <row r="239" spans="1:12">
      <c r="A239" s="370">
        <v>45701.362013888887</v>
      </c>
      <c r="B239" s="365" t="s">
        <v>8467</v>
      </c>
      <c r="C239" s="365" t="s">
        <v>8468</v>
      </c>
      <c r="D239" s="365" t="s">
        <v>1570</v>
      </c>
      <c r="E239" s="365" t="s">
        <v>1571</v>
      </c>
      <c r="F239" s="365" t="s">
        <v>8469</v>
      </c>
      <c r="G239" s="370">
        <v>45681</v>
      </c>
      <c r="H239" s="369">
        <v>138000</v>
      </c>
      <c r="I239" s="365" t="s">
        <v>8470</v>
      </c>
      <c r="J239" s="365" t="s">
        <v>1228</v>
      </c>
      <c r="K239" s="365" t="s">
        <v>1229</v>
      </c>
      <c r="L239" s="370">
        <v>45701.364814814813</v>
      </c>
    </row>
    <row r="240" spans="1:12">
      <c r="A240" s="370">
        <v>45701.512743055559</v>
      </c>
      <c r="B240" s="365" t="s">
        <v>8471</v>
      </c>
      <c r="C240" s="365" t="s">
        <v>7501</v>
      </c>
      <c r="D240" s="365" t="s">
        <v>3593</v>
      </c>
      <c r="E240" s="365" t="s">
        <v>3594</v>
      </c>
      <c r="F240" s="365" t="s">
        <v>8472</v>
      </c>
      <c r="G240" s="370">
        <v>45681</v>
      </c>
      <c r="H240" s="369">
        <v>9000</v>
      </c>
      <c r="I240" s="365" t="s">
        <v>8473</v>
      </c>
      <c r="J240" s="365" t="s">
        <v>1228</v>
      </c>
      <c r="K240" s="365" t="s">
        <v>1229</v>
      </c>
      <c r="L240" s="370">
        <v>45701.514351851853</v>
      </c>
    </row>
    <row r="241" spans="1:12">
      <c r="A241" s="370">
        <v>45701.529467592591</v>
      </c>
      <c r="B241" s="365" t="s">
        <v>8474</v>
      </c>
      <c r="C241" s="365" t="s">
        <v>7501</v>
      </c>
      <c r="D241" s="365" t="s">
        <v>3907</v>
      </c>
      <c r="E241" s="365" t="s">
        <v>3908</v>
      </c>
      <c r="F241" s="365" t="s">
        <v>8475</v>
      </c>
      <c r="G241" s="370">
        <v>45681</v>
      </c>
      <c r="H241" s="369">
        <v>20999</v>
      </c>
      <c r="I241" s="365" t="s">
        <v>8476</v>
      </c>
      <c r="J241" s="365" t="s">
        <v>1228</v>
      </c>
      <c r="K241" s="365" t="s">
        <v>1229</v>
      </c>
      <c r="L241" s="370">
        <v>45701.53224537037</v>
      </c>
    </row>
    <row r="242" spans="1:12">
      <c r="A242" s="370">
        <v>45701.530138888891</v>
      </c>
      <c r="B242" s="365" t="s">
        <v>8477</v>
      </c>
      <c r="C242" s="365" t="s">
        <v>7501</v>
      </c>
      <c r="D242" s="365" t="s">
        <v>3541</v>
      </c>
      <c r="E242" s="365" t="s">
        <v>3542</v>
      </c>
      <c r="F242" s="365" t="s">
        <v>8478</v>
      </c>
      <c r="G242" s="370">
        <v>45681</v>
      </c>
      <c r="H242" s="369">
        <v>21000</v>
      </c>
      <c r="I242" s="365" t="s">
        <v>8479</v>
      </c>
      <c r="J242" s="365" t="s">
        <v>1228</v>
      </c>
      <c r="K242" s="365" t="s">
        <v>1229</v>
      </c>
      <c r="L242" s="370">
        <v>45701.532430555555</v>
      </c>
    </row>
    <row r="243" spans="1:12">
      <c r="A243" s="370">
        <v>45701.615069444444</v>
      </c>
      <c r="B243" s="365" t="s">
        <v>8480</v>
      </c>
      <c r="C243" s="365" t="s">
        <v>8481</v>
      </c>
      <c r="D243" s="365" t="s">
        <v>1623</v>
      </c>
      <c r="E243" s="365" t="s">
        <v>1624</v>
      </c>
      <c r="F243" s="365" t="s">
        <v>8482</v>
      </c>
      <c r="G243" s="370">
        <v>45681</v>
      </c>
      <c r="H243" s="369">
        <v>39000</v>
      </c>
      <c r="I243" s="365" t="s">
        <v>8483</v>
      </c>
      <c r="J243" s="365" t="s">
        <v>1228</v>
      </c>
      <c r="K243" s="365" t="s">
        <v>1229</v>
      </c>
      <c r="L243" s="370">
        <v>45701.615590277775</v>
      </c>
    </row>
    <row r="244" spans="1:12">
      <c r="A244" s="370">
        <v>45701.748726851853</v>
      </c>
      <c r="B244" s="365" t="s">
        <v>8484</v>
      </c>
      <c r="C244" s="365" t="s">
        <v>8485</v>
      </c>
      <c r="D244" s="365" t="s">
        <v>1750</v>
      </c>
      <c r="E244" s="365" t="s">
        <v>1751</v>
      </c>
      <c r="F244" s="365" t="s">
        <v>8486</v>
      </c>
      <c r="G244" s="370">
        <v>45681</v>
      </c>
      <c r="H244" s="369">
        <v>18000</v>
      </c>
      <c r="I244" s="365" t="s">
        <v>8487</v>
      </c>
      <c r="J244" s="365" t="s">
        <v>1228</v>
      </c>
      <c r="K244" s="365" t="s">
        <v>1229</v>
      </c>
      <c r="L244" s="370">
        <v>45701.751145833332</v>
      </c>
    </row>
    <row r="245" spans="1:12">
      <c r="A245" s="370">
        <v>45701.767442129632</v>
      </c>
      <c r="B245" s="365" t="s">
        <v>8488</v>
      </c>
      <c r="C245" s="365" t="s">
        <v>7796</v>
      </c>
      <c r="D245" s="365" t="s">
        <v>7797</v>
      </c>
      <c r="E245" s="365" t="s">
        <v>7798</v>
      </c>
      <c r="F245" s="365" t="s">
        <v>8489</v>
      </c>
      <c r="G245" s="370">
        <v>45713</v>
      </c>
      <c r="H245" s="369">
        <v>44400</v>
      </c>
      <c r="I245" s="365" t="s">
        <v>8490</v>
      </c>
      <c r="J245" s="365" t="s">
        <v>1228</v>
      </c>
      <c r="K245" s="365" t="s">
        <v>1229</v>
      </c>
      <c r="L245" s="370">
        <v>45701.768587962964</v>
      </c>
    </row>
    <row r="246" spans="1:12">
      <c r="A246" s="370">
        <v>45701.811539351853</v>
      </c>
      <c r="B246" s="365" t="s">
        <v>8491</v>
      </c>
      <c r="C246" s="365" t="s">
        <v>7513</v>
      </c>
      <c r="D246" s="365" t="s">
        <v>3983</v>
      </c>
      <c r="E246" s="365" t="s">
        <v>3984</v>
      </c>
      <c r="F246" s="365" t="s">
        <v>8492</v>
      </c>
      <c r="G246" s="370">
        <v>45681</v>
      </c>
      <c r="H246" s="369">
        <v>15999</v>
      </c>
      <c r="I246" s="365" t="s">
        <v>8493</v>
      </c>
      <c r="J246" s="365" t="s">
        <v>1228</v>
      </c>
      <c r="K246" s="365" t="s">
        <v>1229</v>
      </c>
      <c r="L246" s="370">
        <v>45701.813738425924</v>
      </c>
    </row>
    <row r="247" spans="1:12">
      <c r="A247" s="370">
        <v>45701.01059027778</v>
      </c>
      <c r="B247" s="365" t="s">
        <v>8494</v>
      </c>
      <c r="C247" s="365" t="s">
        <v>7546</v>
      </c>
      <c r="D247" s="365" t="s">
        <v>2839</v>
      </c>
      <c r="E247" s="365" t="s">
        <v>2840</v>
      </c>
      <c r="F247" s="365" t="s">
        <v>8495</v>
      </c>
      <c r="G247" s="370">
        <v>45713</v>
      </c>
      <c r="H247" s="369">
        <v>27000</v>
      </c>
      <c r="I247" s="365" t="s">
        <v>8496</v>
      </c>
      <c r="J247" s="365" t="s">
        <v>1228</v>
      </c>
      <c r="K247" s="365" t="s">
        <v>1229</v>
      </c>
      <c r="L247" s="370">
        <v>45701.125439814816</v>
      </c>
    </row>
    <row r="248" spans="1:12">
      <c r="A248" s="370">
        <v>45701.388738425929</v>
      </c>
      <c r="B248" s="365" t="s">
        <v>8497</v>
      </c>
      <c r="C248" s="365" t="s">
        <v>7520</v>
      </c>
      <c r="D248" s="365" t="s">
        <v>1915</v>
      </c>
      <c r="E248" s="365" t="s">
        <v>1916</v>
      </c>
      <c r="F248" s="365" t="s">
        <v>8498</v>
      </c>
      <c r="G248" s="370">
        <v>45713</v>
      </c>
      <c r="H248" s="369">
        <v>15000</v>
      </c>
      <c r="I248" s="365" t="s">
        <v>8499</v>
      </c>
      <c r="J248" s="365" t="s">
        <v>1228</v>
      </c>
      <c r="K248" s="365" t="s">
        <v>1229</v>
      </c>
      <c r="L248" s="370">
        <v>45701.388981481483</v>
      </c>
    </row>
    <row r="249" spans="1:12">
      <c r="A249" s="370">
        <v>45701.517939814818</v>
      </c>
      <c r="B249" s="365" t="s">
        <v>8500</v>
      </c>
      <c r="C249" s="365" t="s">
        <v>7501</v>
      </c>
      <c r="D249" s="365" t="s">
        <v>8501</v>
      </c>
      <c r="E249" s="365" t="s">
        <v>8502</v>
      </c>
      <c r="F249" s="365" t="s">
        <v>8503</v>
      </c>
      <c r="G249" s="370">
        <v>45681</v>
      </c>
      <c r="H249" s="369">
        <v>15000</v>
      </c>
      <c r="I249" s="365" t="s">
        <v>8504</v>
      </c>
      <c r="J249" s="365" t="s">
        <v>1228</v>
      </c>
      <c r="K249" s="365" t="s">
        <v>1229</v>
      </c>
      <c r="L249" s="370">
        <v>45701.521168981482</v>
      </c>
    </row>
    <row r="250" spans="1:12">
      <c r="A250" s="370">
        <v>45701.519050925926</v>
      </c>
      <c r="B250" s="365" t="s">
        <v>8505</v>
      </c>
      <c r="C250" s="365" t="s">
        <v>7501</v>
      </c>
      <c r="D250" s="365" t="s">
        <v>4167</v>
      </c>
      <c r="E250" s="365" t="s">
        <v>4168</v>
      </c>
      <c r="F250" s="365" t="s">
        <v>8506</v>
      </c>
      <c r="G250" s="370">
        <v>45681</v>
      </c>
      <c r="H250" s="369">
        <v>15000</v>
      </c>
      <c r="I250" s="365" t="s">
        <v>8507</v>
      </c>
      <c r="J250" s="365" t="s">
        <v>1228</v>
      </c>
      <c r="K250" s="365" t="s">
        <v>1229</v>
      </c>
      <c r="L250" s="370">
        <v>45701.521354166667</v>
      </c>
    </row>
    <row r="251" spans="1:12">
      <c r="A251" s="370">
        <v>45701.561423611114</v>
      </c>
      <c r="B251" s="365" t="s">
        <v>8508</v>
      </c>
      <c r="C251" s="365" t="s">
        <v>7622</v>
      </c>
      <c r="D251" s="365" t="s">
        <v>3417</v>
      </c>
      <c r="E251" s="365" t="s">
        <v>3418</v>
      </c>
      <c r="F251" s="365" t="s">
        <v>8509</v>
      </c>
      <c r="G251" s="370">
        <v>45713</v>
      </c>
      <c r="H251" s="369">
        <v>30000</v>
      </c>
      <c r="I251" s="365" t="s">
        <v>8510</v>
      </c>
      <c r="J251" s="365" t="s">
        <v>1228</v>
      </c>
      <c r="K251" s="365" t="s">
        <v>1229</v>
      </c>
      <c r="L251" s="370">
        <v>45701.563738425924</v>
      </c>
    </row>
    <row r="252" spans="1:12">
      <c r="A252" s="370">
        <v>45701.60664351852</v>
      </c>
      <c r="B252" s="365" t="s">
        <v>8511</v>
      </c>
      <c r="C252" s="365" t="s">
        <v>7398</v>
      </c>
      <c r="D252" s="365" t="s">
        <v>4828</v>
      </c>
      <c r="E252" s="365" t="s">
        <v>4829</v>
      </c>
      <c r="F252" s="365" t="s">
        <v>8512</v>
      </c>
      <c r="G252" s="370">
        <v>45713</v>
      </c>
      <c r="H252" s="369">
        <v>9000</v>
      </c>
      <c r="I252" s="365" t="s">
        <v>8513</v>
      </c>
      <c r="J252" s="365" t="s">
        <v>1228</v>
      </c>
      <c r="K252" s="365" t="s">
        <v>1229</v>
      </c>
      <c r="L252" s="370">
        <v>45701.608819444446</v>
      </c>
    </row>
    <row r="253" spans="1:12">
      <c r="A253" s="370">
        <v>45701.62300925926</v>
      </c>
      <c r="B253" s="365" t="s">
        <v>8514</v>
      </c>
      <c r="C253" s="365" t="s">
        <v>7604</v>
      </c>
      <c r="D253" s="365" t="s">
        <v>3712</v>
      </c>
      <c r="E253" s="365" t="s">
        <v>3713</v>
      </c>
      <c r="F253" s="365" t="s">
        <v>8515</v>
      </c>
      <c r="G253" s="370">
        <v>45713</v>
      </c>
      <c r="H253" s="369">
        <v>7501</v>
      </c>
      <c r="I253" s="365" t="s">
        <v>8516</v>
      </c>
      <c r="J253" s="365" t="s">
        <v>1228</v>
      </c>
      <c r="K253" s="365" t="s">
        <v>1229</v>
      </c>
      <c r="L253" s="370">
        <v>45701.625763888886</v>
      </c>
    </row>
    <row r="254" spans="1:12">
      <c r="A254" s="370">
        <v>45701.63077546296</v>
      </c>
      <c r="B254" s="365" t="s">
        <v>8517</v>
      </c>
      <c r="C254" s="365" t="s">
        <v>7566</v>
      </c>
      <c r="D254" s="365" t="s">
        <v>4552</v>
      </c>
      <c r="E254" s="365" t="s">
        <v>4553</v>
      </c>
      <c r="F254" s="365" t="s">
        <v>8518</v>
      </c>
      <c r="G254" s="370">
        <v>45681</v>
      </c>
      <c r="H254" s="369">
        <v>46000</v>
      </c>
      <c r="I254" s="365" t="s">
        <v>8519</v>
      </c>
      <c r="J254" s="365" t="s">
        <v>1228</v>
      </c>
      <c r="K254" s="365" t="s">
        <v>1229</v>
      </c>
      <c r="L254" s="370">
        <v>45701.633032407408</v>
      </c>
    </row>
    <row r="255" spans="1:12">
      <c r="A255" s="370">
        <v>45701.756724537037</v>
      </c>
      <c r="B255" s="365" t="s">
        <v>8520</v>
      </c>
      <c r="C255" s="365" t="s">
        <v>8521</v>
      </c>
      <c r="D255" s="365" t="s">
        <v>8522</v>
      </c>
      <c r="E255" s="365" t="s">
        <v>8523</v>
      </c>
      <c r="F255" s="365" t="s">
        <v>8524</v>
      </c>
      <c r="G255" s="370">
        <v>45681</v>
      </c>
      <c r="H255" s="369">
        <v>25170</v>
      </c>
      <c r="I255" s="365" t="s">
        <v>8525</v>
      </c>
      <c r="J255" s="365" t="s">
        <v>1228</v>
      </c>
      <c r="K255" s="365" t="s">
        <v>1229</v>
      </c>
      <c r="L255" s="370">
        <v>45701.757916666669</v>
      </c>
    </row>
    <row r="256" spans="1:12">
      <c r="A256" s="370">
        <v>45701.367719907408</v>
      </c>
      <c r="B256" s="365" t="s">
        <v>8526</v>
      </c>
      <c r="C256" s="365" t="s">
        <v>7619</v>
      </c>
      <c r="D256" s="365" t="s">
        <v>1617</v>
      </c>
      <c r="E256" s="365" t="s">
        <v>1618</v>
      </c>
      <c r="F256" s="365" t="s">
        <v>8527</v>
      </c>
      <c r="G256" s="370">
        <v>45713</v>
      </c>
      <c r="H256" s="369">
        <v>20999</v>
      </c>
      <c r="I256" s="365" t="s">
        <v>8528</v>
      </c>
      <c r="J256" s="365" t="s">
        <v>1228</v>
      </c>
      <c r="K256" s="365" t="s">
        <v>1229</v>
      </c>
      <c r="L256" s="370">
        <v>45701.368391203701</v>
      </c>
    </row>
    <row r="257" spans="1:12">
      <c r="A257" s="370">
        <v>45701.419305555559</v>
      </c>
      <c r="B257" s="365" t="s">
        <v>8529</v>
      </c>
      <c r="C257" s="365" t="s">
        <v>7605</v>
      </c>
      <c r="D257" s="365" t="s">
        <v>3571</v>
      </c>
      <c r="E257" s="365" t="s">
        <v>3572</v>
      </c>
      <c r="F257" s="365" t="s">
        <v>8530</v>
      </c>
      <c r="G257" s="370">
        <v>45713</v>
      </c>
      <c r="H257" s="369">
        <v>16500</v>
      </c>
      <c r="I257" s="365" t="s">
        <v>8531</v>
      </c>
      <c r="J257" s="365" t="s">
        <v>1228</v>
      </c>
      <c r="K257" s="365" t="s">
        <v>1229</v>
      </c>
      <c r="L257" s="370">
        <v>45701.420405092591</v>
      </c>
    </row>
    <row r="258" spans="1:12">
      <c r="A258" s="370">
        <v>45701.428402777776</v>
      </c>
      <c r="B258" s="365" t="s">
        <v>8532</v>
      </c>
      <c r="C258" s="365" t="s">
        <v>7795</v>
      </c>
      <c r="D258" s="365" t="s">
        <v>1061</v>
      </c>
      <c r="E258" s="365" t="s">
        <v>1062</v>
      </c>
      <c r="F258" s="365" t="s">
        <v>8533</v>
      </c>
      <c r="G258" s="370">
        <v>45713</v>
      </c>
      <c r="H258" s="369">
        <v>49000</v>
      </c>
      <c r="I258" s="365" t="s">
        <v>8534</v>
      </c>
      <c r="J258" s="365" t="s">
        <v>1228</v>
      </c>
      <c r="K258" s="365" t="s">
        <v>1229</v>
      </c>
      <c r="L258" s="370">
        <v>45701.431018518517</v>
      </c>
    </row>
    <row r="259" spans="1:12">
      <c r="A259" s="370">
        <v>45701.452152777776</v>
      </c>
      <c r="B259" s="365" t="s">
        <v>8535</v>
      </c>
      <c r="C259" s="365" t="s">
        <v>8536</v>
      </c>
      <c r="D259" s="365" t="s">
        <v>8537</v>
      </c>
      <c r="E259" s="365" t="s">
        <v>8538</v>
      </c>
      <c r="F259" s="365" t="s">
        <v>8539</v>
      </c>
      <c r="G259" s="370">
        <v>45681</v>
      </c>
      <c r="H259" s="369">
        <v>42000</v>
      </c>
      <c r="I259" s="365" t="s">
        <v>8540</v>
      </c>
      <c r="J259" s="365" t="s">
        <v>1228</v>
      </c>
      <c r="K259" s="365" t="s">
        <v>1229</v>
      </c>
      <c r="L259" s="370">
        <v>45701.455324074072</v>
      </c>
    </row>
    <row r="260" spans="1:12">
      <c r="A260" s="370">
        <v>45701.46334490741</v>
      </c>
      <c r="B260" s="365" t="s">
        <v>8541</v>
      </c>
      <c r="C260" s="365" t="s">
        <v>7608</v>
      </c>
      <c r="D260" s="365" t="s">
        <v>2334</v>
      </c>
      <c r="E260" s="365" t="s">
        <v>2335</v>
      </c>
      <c r="F260" s="365" t="s">
        <v>8542</v>
      </c>
      <c r="G260" s="370">
        <v>45595</v>
      </c>
      <c r="H260" s="369">
        <v>20000</v>
      </c>
      <c r="I260" s="365" t="s">
        <v>8543</v>
      </c>
      <c r="J260" s="365" t="s">
        <v>1228</v>
      </c>
      <c r="K260" s="365" t="s">
        <v>1229</v>
      </c>
      <c r="L260" s="370">
        <v>45701.465520833335</v>
      </c>
    </row>
    <row r="261" spans="1:12">
      <c r="A261" s="370">
        <v>45701.515960648147</v>
      </c>
      <c r="B261" s="365" t="s">
        <v>8544</v>
      </c>
      <c r="C261" s="365" t="s">
        <v>7501</v>
      </c>
      <c r="D261" s="365" t="s">
        <v>1303</v>
      </c>
      <c r="E261" s="365" t="s">
        <v>1304</v>
      </c>
      <c r="F261" s="365" t="s">
        <v>8545</v>
      </c>
      <c r="G261" s="370">
        <v>45681</v>
      </c>
      <c r="H261" s="369">
        <v>12000</v>
      </c>
      <c r="I261" s="365" t="s">
        <v>8546</v>
      </c>
      <c r="J261" s="365" t="s">
        <v>1228</v>
      </c>
      <c r="K261" s="365" t="s">
        <v>1229</v>
      </c>
      <c r="L261" s="370">
        <v>45701.517581018517</v>
      </c>
    </row>
    <row r="262" spans="1:12">
      <c r="A262" s="370">
        <v>45701.516423611109</v>
      </c>
      <c r="B262" s="365" t="s">
        <v>8547</v>
      </c>
      <c r="C262" s="365" t="s">
        <v>7501</v>
      </c>
      <c r="D262" s="365" t="s">
        <v>1393</v>
      </c>
      <c r="E262" s="365" t="s">
        <v>1394</v>
      </c>
      <c r="F262" s="365" t="s">
        <v>8548</v>
      </c>
      <c r="G262" s="370">
        <v>45681</v>
      </c>
      <c r="H262" s="369">
        <v>15000</v>
      </c>
      <c r="I262" s="365" t="s">
        <v>8549</v>
      </c>
      <c r="J262" s="365" t="s">
        <v>1228</v>
      </c>
      <c r="K262" s="365" t="s">
        <v>1229</v>
      </c>
      <c r="L262" s="370">
        <v>45701.517766203702</v>
      </c>
    </row>
    <row r="263" spans="1:12">
      <c r="A263" s="370">
        <v>45701.517488425925</v>
      </c>
      <c r="B263" s="365" t="s">
        <v>8550</v>
      </c>
      <c r="C263" s="365" t="s">
        <v>7501</v>
      </c>
      <c r="D263" s="365" t="s">
        <v>1502</v>
      </c>
      <c r="E263" s="365" t="s">
        <v>1503</v>
      </c>
      <c r="F263" s="365" t="s">
        <v>8551</v>
      </c>
      <c r="G263" s="370">
        <v>45681</v>
      </c>
      <c r="H263" s="369">
        <v>15000</v>
      </c>
      <c r="I263" s="365" t="s">
        <v>8552</v>
      </c>
      <c r="J263" s="365" t="s">
        <v>1228</v>
      </c>
      <c r="K263" s="365" t="s">
        <v>1229</v>
      </c>
      <c r="L263" s="370">
        <v>45701.521527777775</v>
      </c>
    </row>
    <row r="264" spans="1:12">
      <c r="A264" s="370">
        <v>45701.528252314813</v>
      </c>
      <c r="B264" s="365" t="s">
        <v>8553</v>
      </c>
      <c r="C264" s="365" t="s">
        <v>7501</v>
      </c>
      <c r="D264" s="365" t="s">
        <v>3902</v>
      </c>
      <c r="E264" s="365" t="s">
        <v>3903</v>
      </c>
      <c r="F264" s="365" t="s">
        <v>8554</v>
      </c>
      <c r="G264" s="370">
        <v>45681</v>
      </c>
      <c r="H264" s="369">
        <v>18000</v>
      </c>
      <c r="I264" s="365" t="s">
        <v>8555</v>
      </c>
      <c r="J264" s="365" t="s">
        <v>1228</v>
      </c>
      <c r="K264" s="365" t="s">
        <v>1229</v>
      </c>
      <c r="L264" s="370">
        <v>45701.528946759259</v>
      </c>
    </row>
    <row r="265" spans="1:12">
      <c r="A265" s="370">
        <v>45701.625671296293</v>
      </c>
      <c r="B265" s="365" t="s">
        <v>8556</v>
      </c>
      <c r="C265" s="365" t="s">
        <v>8557</v>
      </c>
      <c r="D265" s="365" t="s">
        <v>3613</v>
      </c>
      <c r="E265" s="365" t="s">
        <v>3614</v>
      </c>
      <c r="F265" s="365" t="s">
        <v>8558</v>
      </c>
      <c r="G265" s="370">
        <v>45713</v>
      </c>
      <c r="H265" s="369">
        <v>30000</v>
      </c>
      <c r="I265" s="365" t="s">
        <v>8559</v>
      </c>
      <c r="J265" s="365" t="s">
        <v>1228</v>
      </c>
      <c r="K265" s="365" t="s">
        <v>1229</v>
      </c>
      <c r="L265" s="370">
        <v>45701.625949074078</v>
      </c>
    </row>
    <row r="266" spans="1:12">
      <c r="A266" s="370">
        <v>45701.801145833335</v>
      </c>
      <c r="B266" s="365" t="s">
        <v>8560</v>
      </c>
      <c r="C266" s="365" t="s">
        <v>7953</v>
      </c>
      <c r="D266" s="365" t="s">
        <v>2238</v>
      </c>
      <c r="E266" s="365" t="s">
        <v>2239</v>
      </c>
      <c r="F266" s="365" t="s">
        <v>8561</v>
      </c>
      <c r="G266" s="370">
        <v>45681</v>
      </c>
      <c r="H266" s="369">
        <v>15999</v>
      </c>
      <c r="I266" s="365" t="s">
        <v>8562</v>
      </c>
      <c r="J266" s="365" t="s">
        <v>1228</v>
      </c>
      <c r="K266" s="365" t="s">
        <v>1229</v>
      </c>
      <c r="L266" s="370">
        <v>45701.803020833337</v>
      </c>
    </row>
    <row r="267" spans="1:12">
      <c r="A267" s="370">
        <v>45701.818101851852</v>
      </c>
      <c r="B267" s="365" t="s">
        <v>8563</v>
      </c>
      <c r="C267" s="365" t="s">
        <v>7513</v>
      </c>
      <c r="D267" s="365" t="s">
        <v>6937</v>
      </c>
      <c r="E267" s="365" t="s">
        <v>6938</v>
      </c>
      <c r="F267" s="365" t="s">
        <v>8564</v>
      </c>
      <c r="G267" s="370">
        <v>45681</v>
      </c>
      <c r="H267" s="369">
        <v>15000</v>
      </c>
      <c r="I267" s="365" t="s">
        <v>8565</v>
      </c>
      <c r="J267" s="365" t="s">
        <v>1228</v>
      </c>
      <c r="K267" s="365" t="s">
        <v>1229</v>
      </c>
      <c r="L267" s="370">
        <v>45701.820590277777</v>
      </c>
    </row>
    <row r="268" spans="1:12">
      <c r="A268" s="370">
        <v>45702.413182870368</v>
      </c>
      <c r="B268" s="365" t="s">
        <v>8566</v>
      </c>
      <c r="C268" s="365" t="s">
        <v>7668</v>
      </c>
      <c r="D268" s="365" t="s">
        <v>1301</v>
      </c>
      <c r="E268" s="365" t="s">
        <v>1302</v>
      </c>
      <c r="F268" s="365" t="s">
        <v>8567</v>
      </c>
      <c r="G268" s="370">
        <v>45713</v>
      </c>
      <c r="H268" s="369">
        <v>9000</v>
      </c>
      <c r="I268" s="365" t="s">
        <v>8568</v>
      </c>
      <c r="J268" s="365" t="s">
        <v>1228</v>
      </c>
      <c r="K268" s="365" t="s">
        <v>1229</v>
      </c>
      <c r="L268" s="370">
        <v>45702.41369212963</v>
      </c>
    </row>
    <row r="269" spans="1:12">
      <c r="A269" s="370">
        <v>45702.427789351852</v>
      </c>
      <c r="B269" s="365" t="s">
        <v>8569</v>
      </c>
      <c r="C269" s="365" t="s">
        <v>7501</v>
      </c>
      <c r="D269" s="365" t="s">
        <v>1481</v>
      </c>
      <c r="E269" s="365" t="s">
        <v>1482</v>
      </c>
      <c r="F269" s="365" t="s">
        <v>8570</v>
      </c>
      <c r="G269" s="370">
        <v>45681</v>
      </c>
      <c r="H269" s="369">
        <v>25000</v>
      </c>
      <c r="I269" s="365" t="s">
        <v>8571</v>
      </c>
      <c r="J269" s="365" t="s">
        <v>1228</v>
      </c>
      <c r="K269" s="365" t="s">
        <v>1229</v>
      </c>
      <c r="L269" s="370">
        <v>45702.430937500001</v>
      </c>
    </row>
    <row r="270" spans="1:12">
      <c r="A270" s="370">
        <v>45702.465567129628</v>
      </c>
      <c r="B270" s="365" t="s">
        <v>8572</v>
      </c>
      <c r="C270" s="365" t="s">
        <v>7501</v>
      </c>
      <c r="D270" s="365" t="s">
        <v>4362</v>
      </c>
      <c r="E270" s="365" t="s">
        <v>4363</v>
      </c>
      <c r="F270" s="365" t="s">
        <v>8573</v>
      </c>
      <c r="G270" s="370">
        <v>45681</v>
      </c>
      <c r="H270" s="369">
        <v>24000</v>
      </c>
      <c r="I270" s="365" t="s">
        <v>8574</v>
      </c>
      <c r="J270" s="365" t="s">
        <v>1228</v>
      </c>
      <c r="K270" s="365" t="s">
        <v>1229</v>
      </c>
      <c r="L270" s="370">
        <v>45702.469247685185</v>
      </c>
    </row>
    <row r="271" spans="1:12">
      <c r="A271" s="370">
        <v>45702.498356481483</v>
      </c>
      <c r="B271" s="365" t="s">
        <v>8575</v>
      </c>
      <c r="C271" s="365" t="s">
        <v>7793</v>
      </c>
      <c r="D271" s="365" t="s">
        <v>1387</v>
      </c>
      <c r="E271" s="365" t="s">
        <v>1388</v>
      </c>
      <c r="F271" s="365" t="s">
        <v>8576</v>
      </c>
      <c r="G271" s="370">
        <v>45713</v>
      </c>
      <c r="H271" s="369">
        <v>25000</v>
      </c>
      <c r="I271" s="365" t="s">
        <v>8577</v>
      </c>
      <c r="J271" s="365" t="s">
        <v>1228</v>
      </c>
      <c r="K271" s="365" t="s">
        <v>1229</v>
      </c>
      <c r="L271" s="370">
        <v>45702.500393518516</v>
      </c>
    </row>
    <row r="272" spans="1:12">
      <c r="A272" s="370">
        <v>45702.53979166667</v>
      </c>
      <c r="B272" s="365" t="s">
        <v>8578</v>
      </c>
      <c r="C272" s="365" t="s">
        <v>7575</v>
      </c>
      <c r="D272" s="365" t="s">
        <v>3762</v>
      </c>
      <c r="E272" s="365" t="s">
        <v>3763</v>
      </c>
      <c r="F272" s="365" t="s">
        <v>8579</v>
      </c>
      <c r="G272" s="370">
        <v>45713</v>
      </c>
      <c r="H272" s="369">
        <v>30000</v>
      </c>
      <c r="I272" s="365" t="s">
        <v>8580</v>
      </c>
      <c r="J272" s="365" t="s">
        <v>1228</v>
      </c>
      <c r="K272" s="365" t="s">
        <v>1229</v>
      </c>
      <c r="L272" s="370">
        <v>45702.542129629626</v>
      </c>
    </row>
    <row r="273" spans="1:12">
      <c r="A273" s="370">
        <v>45702.542557870373</v>
      </c>
      <c r="B273" s="365" t="s">
        <v>8581</v>
      </c>
      <c r="C273" s="365" t="s">
        <v>7665</v>
      </c>
      <c r="D273" s="365" t="s">
        <v>3751</v>
      </c>
      <c r="E273" s="365" t="s">
        <v>3752</v>
      </c>
      <c r="F273" s="365" t="s">
        <v>8582</v>
      </c>
      <c r="G273" s="370">
        <v>45713</v>
      </c>
      <c r="H273" s="369">
        <v>30000</v>
      </c>
      <c r="I273" s="365" t="s">
        <v>8583</v>
      </c>
      <c r="J273" s="365" t="s">
        <v>1228</v>
      </c>
      <c r="K273" s="365" t="s">
        <v>1229</v>
      </c>
      <c r="L273" s="370">
        <v>45702.545347222222</v>
      </c>
    </row>
    <row r="274" spans="1:12">
      <c r="A274" s="370">
        <v>45702.590555555558</v>
      </c>
      <c r="B274" s="365" t="s">
        <v>8584</v>
      </c>
      <c r="C274" s="365" t="s">
        <v>7754</v>
      </c>
      <c r="D274" s="365" t="s">
        <v>1785</v>
      </c>
      <c r="E274" s="365" t="s">
        <v>1786</v>
      </c>
      <c r="F274" s="365" t="s">
        <v>8585</v>
      </c>
      <c r="G274" s="370">
        <v>45681</v>
      </c>
      <c r="H274" s="369">
        <v>30000</v>
      </c>
      <c r="I274" s="365" t="s">
        <v>8586</v>
      </c>
      <c r="J274" s="365" t="s">
        <v>1228</v>
      </c>
      <c r="K274" s="365" t="s">
        <v>1229</v>
      </c>
      <c r="L274" s="370">
        <v>45702.590613425928</v>
      </c>
    </row>
    <row r="275" spans="1:12">
      <c r="A275" s="370">
        <v>45702.604201388887</v>
      </c>
      <c r="B275" s="365" t="s">
        <v>8587</v>
      </c>
      <c r="C275" s="365" t="s">
        <v>8588</v>
      </c>
      <c r="D275" s="365" t="s">
        <v>6261</v>
      </c>
      <c r="E275" s="365" t="s">
        <v>6262</v>
      </c>
      <c r="F275" s="365" t="s">
        <v>8589</v>
      </c>
      <c r="G275" s="370">
        <v>45681</v>
      </c>
      <c r="H275" s="369">
        <v>63400</v>
      </c>
      <c r="I275" s="365" t="s">
        <v>8590</v>
      </c>
      <c r="J275" s="365" t="s">
        <v>1228</v>
      </c>
      <c r="K275" s="365" t="s">
        <v>1229</v>
      </c>
      <c r="L275" s="370">
        <v>45702.604444444441</v>
      </c>
    </row>
    <row r="276" spans="1:12">
      <c r="A276" s="370">
        <v>45702.606446759259</v>
      </c>
      <c r="B276" s="365" t="s">
        <v>8591</v>
      </c>
      <c r="C276" s="365" t="s">
        <v>7597</v>
      </c>
      <c r="D276" s="365" t="s">
        <v>3340</v>
      </c>
      <c r="E276" s="365" t="s">
        <v>3341</v>
      </c>
      <c r="F276" s="365" t="s">
        <v>8592</v>
      </c>
      <c r="G276" s="370">
        <v>45713</v>
      </c>
      <c r="H276" s="369">
        <v>65400</v>
      </c>
      <c r="I276" s="365" t="s">
        <v>8593</v>
      </c>
      <c r="J276" s="365" t="s">
        <v>1228</v>
      </c>
      <c r="K276" s="365" t="s">
        <v>1229</v>
      </c>
      <c r="L276" s="370">
        <v>45702.608020833337</v>
      </c>
    </row>
    <row r="277" spans="1:12">
      <c r="A277" s="370">
        <v>45702.608032407406</v>
      </c>
      <c r="B277" s="365" t="s">
        <v>8594</v>
      </c>
      <c r="C277" s="365" t="s">
        <v>7799</v>
      </c>
      <c r="D277" s="365" t="s">
        <v>5648</v>
      </c>
      <c r="E277" s="365" t="s">
        <v>5649</v>
      </c>
      <c r="F277" s="365" t="s">
        <v>8595</v>
      </c>
      <c r="G277" s="370">
        <v>45713</v>
      </c>
      <c r="H277" s="369">
        <v>15000</v>
      </c>
      <c r="I277" s="365" t="s">
        <v>8596</v>
      </c>
      <c r="J277" s="365" t="s">
        <v>1228</v>
      </c>
      <c r="K277" s="365" t="s">
        <v>1229</v>
      </c>
      <c r="L277" s="370">
        <v>45702.61141203704</v>
      </c>
    </row>
    <row r="278" spans="1:12">
      <c r="A278" s="370">
        <v>45702.618530092594</v>
      </c>
      <c r="B278" s="365" t="s">
        <v>8597</v>
      </c>
      <c r="C278" s="365" t="s">
        <v>7625</v>
      </c>
      <c r="D278" s="365" t="s">
        <v>3226</v>
      </c>
      <c r="E278" s="365" t="s">
        <v>3227</v>
      </c>
      <c r="F278" s="365" t="s">
        <v>8598</v>
      </c>
      <c r="G278" s="370">
        <v>45713</v>
      </c>
      <c r="H278" s="369">
        <v>37000</v>
      </c>
      <c r="I278" s="365" t="s">
        <v>8599</v>
      </c>
      <c r="J278" s="365" t="s">
        <v>1228</v>
      </c>
      <c r="K278" s="365" t="s">
        <v>1229</v>
      </c>
      <c r="L278" s="370">
        <v>45702.621932870374</v>
      </c>
    </row>
    <row r="279" spans="1:12">
      <c r="A279" s="370">
        <v>45702.622372685182</v>
      </c>
      <c r="B279" s="365" t="s">
        <v>8600</v>
      </c>
      <c r="C279" s="365" t="s">
        <v>7774</v>
      </c>
      <c r="D279" s="365" t="s">
        <v>5590</v>
      </c>
      <c r="E279" s="365" t="s">
        <v>5591</v>
      </c>
      <c r="F279" s="365" t="s">
        <v>8601</v>
      </c>
      <c r="G279" s="370">
        <v>45713</v>
      </c>
      <c r="H279" s="369">
        <v>33000</v>
      </c>
      <c r="I279" s="365" t="s">
        <v>8602</v>
      </c>
      <c r="J279" s="365" t="s">
        <v>1228</v>
      </c>
      <c r="K279" s="365" t="s">
        <v>1229</v>
      </c>
      <c r="L279" s="370">
        <v>45702.625486111108</v>
      </c>
    </row>
    <row r="280" spans="1:12">
      <c r="A280" s="370">
        <v>45702.663657407407</v>
      </c>
      <c r="B280" s="365" t="s">
        <v>8603</v>
      </c>
      <c r="C280" s="365" t="s">
        <v>7708</v>
      </c>
      <c r="D280" s="365" t="s">
        <v>4404</v>
      </c>
      <c r="E280" s="365" t="s">
        <v>4405</v>
      </c>
      <c r="F280" s="365" t="s">
        <v>8604</v>
      </c>
      <c r="G280" s="370">
        <v>45713</v>
      </c>
      <c r="H280" s="369">
        <v>29000</v>
      </c>
      <c r="I280" s="365" t="s">
        <v>8605</v>
      </c>
      <c r="J280" s="365" t="s">
        <v>1228</v>
      </c>
      <c r="K280" s="365" t="s">
        <v>1229</v>
      </c>
      <c r="L280" s="370">
        <v>45702.666967592595</v>
      </c>
    </row>
    <row r="281" spans="1:12">
      <c r="A281" s="370">
        <v>45702.710995370369</v>
      </c>
      <c r="B281" s="365" t="s">
        <v>8606</v>
      </c>
      <c r="C281" s="365" t="s">
        <v>8607</v>
      </c>
      <c r="D281" s="365" t="s">
        <v>8608</v>
      </c>
      <c r="E281" s="365" t="s">
        <v>8609</v>
      </c>
      <c r="F281" s="365" t="s">
        <v>8610</v>
      </c>
      <c r="G281" s="370">
        <v>45713</v>
      </c>
      <c r="H281" s="369">
        <v>17501</v>
      </c>
      <c r="I281" s="365" t="s">
        <v>8611</v>
      </c>
      <c r="J281" s="365" t="s">
        <v>1228</v>
      </c>
      <c r="K281" s="365" t="s">
        <v>1229</v>
      </c>
      <c r="L281" s="370">
        <v>45702.712118055555</v>
      </c>
    </row>
    <row r="282" spans="1:12">
      <c r="A282" s="370">
        <v>45702.713067129633</v>
      </c>
      <c r="B282" s="365" t="s">
        <v>8612</v>
      </c>
      <c r="C282" s="365" t="s">
        <v>7501</v>
      </c>
      <c r="D282" s="365" t="s">
        <v>3957</v>
      </c>
      <c r="E282" s="365" t="s">
        <v>3958</v>
      </c>
      <c r="F282" s="365" t="s">
        <v>8613</v>
      </c>
      <c r="G282" s="370">
        <v>45681</v>
      </c>
      <c r="H282" s="369">
        <v>40000</v>
      </c>
      <c r="I282" s="365" t="s">
        <v>8614</v>
      </c>
      <c r="J282" s="365" t="s">
        <v>1228</v>
      </c>
      <c r="K282" s="365" t="s">
        <v>1229</v>
      </c>
      <c r="L282" s="370">
        <v>45702.715671296297</v>
      </c>
    </row>
    <row r="283" spans="1:12">
      <c r="A283" s="370">
        <v>45702.922905092593</v>
      </c>
      <c r="B283" s="365" t="s">
        <v>8615</v>
      </c>
      <c r="C283" s="365" t="s">
        <v>7698</v>
      </c>
      <c r="D283" s="365" t="s">
        <v>1632</v>
      </c>
      <c r="E283" s="365" t="s">
        <v>1633</v>
      </c>
      <c r="F283" s="365" t="s">
        <v>8616</v>
      </c>
      <c r="G283" s="370">
        <v>45681</v>
      </c>
      <c r="H283" s="369">
        <v>34000</v>
      </c>
      <c r="I283" s="365" t="s">
        <v>8617</v>
      </c>
      <c r="J283" s="365" t="s">
        <v>1228</v>
      </c>
      <c r="K283" s="365" t="s">
        <v>1229</v>
      </c>
      <c r="L283" s="370">
        <v>45702.924108796295</v>
      </c>
    </row>
    <row r="284" spans="1:12">
      <c r="A284" s="370">
        <v>45702.392337962963</v>
      </c>
      <c r="B284" s="365" t="s">
        <v>8618</v>
      </c>
      <c r="C284" s="365" t="s">
        <v>7699</v>
      </c>
      <c r="D284" s="365" t="s">
        <v>4640</v>
      </c>
      <c r="E284" s="365" t="s">
        <v>4641</v>
      </c>
      <c r="F284" s="365" t="s">
        <v>8619</v>
      </c>
      <c r="G284" s="370">
        <v>45713</v>
      </c>
      <c r="H284" s="369">
        <v>12000</v>
      </c>
      <c r="I284" s="365" t="s">
        <v>8620</v>
      </c>
      <c r="J284" s="365" t="s">
        <v>1228</v>
      </c>
      <c r="K284" s="365" t="s">
        <v>1229</v>
      </c>
      <c r="L284" s="370">
        <v>45702.39261574074</v>
      </c>
    </row>
    <row r="285" spans="1:12">
      <c r="A285" s="370">
        <v>45702.419027777774</v>
      </c>
      <c r="B285" s="365" t="s">
        <v>8621</v>
      </c>
      <c r="C285" s="365" t="s">
        <v>7501</v>
      </c>
      <c r="D285" s="365" t="s">
        <v>3536</v>
      </c>
      <c r="E285" s="365" t="s">
        <v>3537</v>
      </c>
      <c r="F285" s="365" t="s">
        <v>8622</v>
      </c>
      <c r="G285" s="370">
        <v>45681</v>
      </c>
      <c r="H285" s="369">
        <v>15000</v>
      </c>
      <c r="I285" s="365" t="s">
        <v>8623</v>
      </c>
      <c r="J285" s="365" t="s">
        <v>1228</v>
      </c>
      <c r="K285" s="365" t="s">
        <v>1229</v>
      </c>
      <c r="L285" s="370">
        <v>45702.420474537037</v>
      </c>
    </row>
    <row r="286" spans="1:12">
      <c r="A286" s="370">
        <v>45702.792847222219</v>
      </c>
      <c r="B286" s="365" t="s">
        <v>8624</v>
      </c>
      <c r="C286" s="365" t="s">
        <v>7532</v>
      </c>
      <c r="D286" s="365" t="s">
        <v>2947</v>
      </c>
      <c r="E286" s="365" t="s">
        <v>2948</v>
      </c>
      <c r="F286" s="365" t="s">
        <v>8625</v>
      </c>
      <c r="G286" s="370">
        <v>45652</v>
      </c>
      <c r="H286" s="369">
        <v>82000</v>
      </c>
      <c r="I286" s="365" t="s">
        <v>8626</v>
      </c>
      <c r="J286" s="365" t="s">
        <v>1228</v>
      </c>
      <c r="K286" s="365" t="s">
        <v>1229</v>
      </c>
      <c r="L286" s="370">
        <v>45702.795428240737</v>
      </c>
    </row>
    <row r="287" spans="1:12">
      <c r="A287" s="370">
        <v>45702.433587962965</v>
      </c>
      <c r="B287" s="365" t="s">
        <v>8627</v>
      </c>
      <c r="C287" s="365" t="s">
        <v>7501</v>
      </c>
      <c r="D287" s="365" t="s">
        <v>3491</v>
      </c>
      <c r="E287" s="365" t="s">
        <v>3492</v>
      </c>
      <c r="F287" s="365" t="s">
        <v>8628</v>
      </c>
      <c r="G287" s="370">
        <v>45681</v>
      </c>
      <c r="H287" s="369">
        <v>30001</v>
      </c>
      <c r="I287" s="365" t="s">
        <v>8629</v>
      </c>
      <c r="J287" s="365" t="s">
        <v>1228</v>
      </c>
      <c r="K287" s="365" t="s">
        <v>1229</v>
      </c>
      <c r="L287" s="370">
        <v>45702.434490740743</v>
      </c>
    </row>
    <row r="288" spans="1:12">
      <c r="A288" s="370">
        <v>45702.478206018517</v>
      </c>
      <c r="B288" s="365" t="s">
        <v>8630</v>
      </c>
      <c r="C288" s="365" t="s">
        <v>7792</v>
      </c>
      <c r="D288" s="365" t="s">
        <v>3992</v>
      </c>
      <c r="E288" s="365" t="s">
        <v>3993</v>
      </c>
      <c r="F288" s="365" t="s">
        <v>8631</v>
      </c>
      <c r="G288" s="370">
        <v>45681</v>
      </c>
      <c r="H288" s="369">
        <v>94000</v>
      </c>
      <c r="I288" s="365" t="s">
        <v>8632</v>
      </c>
      <c r="J288" s="365" t="s">
        <v>1228</v>
      </c>
      <c r="K288" s="365" t="s">
        <v>1229</v>
      </c>
      <c r="L288" s="370">
        <v>45702.479594907411</v>
      </c>
    </row>
    <row r="289" spans="1:12">
      <c r="A289" s="370">
        <v>45702.4919212963</v>
      </c>
      <c r="B289" s="365" t="s">
        <v>8633</v>
      </c>
      <c r="C289" s="365" t="s">
        <v>7635</v>
      </c>
      <c r="D289" s="365" t="s">
        <v>1226</v>
      </c>
      <c r="E289" s="365" t="s">
        <v>1227</v>
      </c>
      <c r="F289" s="365" t="s">
        <v>8634</v>
      </c>
      <c r="G289" s="370">
        <v>45713</v>
      </c>
      <c r="H289" s="369">
        <v>30999</v>
      </c>
      <c r="I289" s="365" t="s">
        <v>8635</v>
      </c>
      <c r="J289" s="365" t="s">
        <v>1228</v>
      </c>
      <c r="K289" s="365" t="s">
        <v>1229</v>
      </c>
      <c r="L289" s="370">
        <v>45702.493530092594</v>
      </c>
    </row>
    <row r="290" spans="1:12">
      <c r="A290" s="370">
        <v>45702.621527777781</v>
      </c>
      <c r="B290" s="365" t="s">
        <v>8636</v>
      </c>
      <c r="C290" s="365" t="s">
        <v>7774</v>
      </c>
      <c r="D290" s="365" t="s">
        <v>5590</v>
      </c>
      <c r="E290" s="365" t="s">
        <v>5591</v>
      </c>
      <c r="F290" s="365" t="s">
        <v>8637</v>
      </c>
      <c r="G290" s="370">
        <v>45681</v>
      </c>
      <c r="H290" s="369">
        <v>33000</v>
      </c>
      <c r="I290" s="365" t="s">
        <v>8638</v>
      </c>
      <c r="J290" s="365" t="s">
        <v>1228</v>
      </c>
      <c r="K290" s="365" t="s">
        <v>1229</v>
      </c>
      <c r="L290" s="370">
        <v>45702.622118055559</v>
      </c>
    </row>
    <row r="291" spans="1:12">
      <c r="A291" s="370">
        <v>45702.709386574075</v>
      </c>
      <c r="B291" s="365" t="s">
        <v>8639</v>
      </c>
      <c r="C291" s="365" t="s">
        <v>8607</v>
      </c>
      <c r="D291" s="365" t="s">
        <v>8608</v>
      </c>
      <c r="E291" s="365" t="s">
        <v>8609</v>
      </c>
      <c r="F291" s="365" t="s">
        <v>8640</v>
      </c>
      <c r="G291" s="370">
        <v>45681</v>
      </c>
      <c r="H291" s="369">
        <v>17501</v>
      </c>
      <c r="I291" s="365" t="s">
        <v>8641</v>
      </c>
      <c r="J291" s="365" t="s">
        <v>1228</v>
      </c>
      <c r="K291" s="365" t="s">
        <v>1229</v>
      </c>
      <c r="L291" s="370">
        <v>45702.71230324074</v>
      </c>
    </row>
    <row r="292" spans="1:12">
      <c r="A292" s="370">
        <v>45703.510474537034</v>
      </c>
      <c r="B292" s="365" t="s">
        <v>8642</v>
      </c>
      <c r="C292" s="365" t="s">
        <v>8643</v>
      </c>
      <c r="D292" s="365" t="s">
        <v>1286</v>
      </c>
      <c r="E292" s="365" t="s">
        <v>1287</v>
      </c>
      <c r="F292" s="365" t="s">
        <v>8644</v>
      </c>
      <c r="G292" s="370">
        <v>45681</v>
      </c>
      <c r="H292" s="369">
        <v>15000</v>
      </c>
      <c r="I292" s="365" t="s">
        <v>8645</v>
      </c>
      <c r="J292" s="365" t="s">
        <v>1228</v>
      </c>
      <c r="K292" s="365" t="s">
        <v>1229</v>
      </c>
      <c r="L292" s="370">
        <v>45703.510891203703</v>
      </c>
    </row>
    <row r="293" spans="1:12">
      <c r="A293" s="370">
        <v>45703.569016203706</v>
      </c>
      <c r="B293" s="365" t="s">
        <v>8646</v>
      </c>
      <c r="C293" s="365" t="s">
        <v>7565</v>
      </c>
      <c r="D293" s="365" t="s">
        <v>1699</v>
      </c>
      <c r="E293" s="365" t="s">
        <v>1700</v>
      </c>
      <c r="F293" s="365" t="s">
        <v>8647</v>
      </c>
      <c r="G293" s="370">
        <v>45681</v>
      </c>
      <c r="H293" s="369">
        <v>21000</v>
      </c>
      <c r="I293" s="365" t="s">
        <v>8648</v>
      </c>
      <c r="J293" s="365" t="s">
        <v>1228</v>
      </c>
      <c r="K293" s="365" t="s">
        <v>1229</v>
      </c>
      <c r="L293" s="370">
        <v>45703.569872685184</v>
      </c>
    </row>
    <row r="294" spans="1:12">
      <c r="A294" s="370">
        <v>45703.610717592594</v>
      </c>
      <c r="B294" s="365" t="s">
        <v>8649</v>
      </c>
      <c r="C294" s="365" t="s">
        <v>7731</v>
      </c>
      <c r="D294" s="365" t="s">
        <v>2270</v>
      </c>
      <c r="E294" s="365" t="s">
        <v>2271</v>
      </c>
      <c r="F294" s="365" t="s">
        <v>8650</v>
      </c>
      <c r="G294" s="370">
        <v>45713</v>
      </c>
      <c r="H294" s="369">
        <v>7500</v>
      </c>
      <c r="I294" s="365" t="s">
        <v>8651</v>
      </c>
      <c r="J294" s="365" t="s">
        <v>1228</v>
      </c>
      <c r="K294" s="365" t="s">
        <v>1229</v>
      </c>
      <c r="L294" s="370">
        <v>45703.61136574074</v>
      </c>
    </row>
    <row r="295" spans="1:12">
      <c r="A295" s="370">
        <v>45703.878842592596</v>
      </c>
      <c r="B295" s="365" t="s">
        <v>8652</v>
      </c>
      <c r="C295" s="365" t="s">
        <v>7778</v>
      </c>
      <c r="D295" s="365" t="s">
        <v>1542</v>
      </c>
      <c r="E295" s="365" t="s">
        <v>1543</v>
      </c>
      <c r="F295" s="365" t="s">
        <v>8653</v>
      </c>
      <c r="G295" s="370">
        <v>45681</v>
      </c>
      <c r="H295" s="369">
        <v>11000</v>
      </c>
      <c r="I295" s="365" t="s">
        <v>8654</v>
      </c>
      <c r="J295" s="365" t="s">
        <v>1228</v>
      </c>
      <c r="K295" s="365" t="s">
        <v>1229</v>
      </c>
      <c r="L295" s="370">
        <v>45703.882326388892</v>
      </c>
    </row>
    <row r="296" spans="1:12">
      <c r="A296" s="370">
        <v>45703.745138888888</v>
      </c>
      <c r="B296" s="365" t="s">
        <v>8655</v>
      </c>
      <c r="C296" s="365" t="s">
        <v>7646</v>
      </c>
      <c r="D296" s="365" t="s">
        <v>1297</v>
      </c>
      <c r="E296" s="365" t="s">
        <v>1298</v>
      </c>
      <c r="F296" s="365" t="s">
        <v>8656</v>
      </c>
      <c r="G296" s="370">
        <v>45713</v>
      </c>
      <c r="H296" s="369">
        <v>23400</v>
      </c>
      <c r="I296" s="365" t="s">
        <v>8657</v>
      </c>
      <c r="J296" s="365" t="s">
        <v>1228</v>
      </c>
      <c r="K296" s="365" t="s">
        <v>1229</v>
      </c>
      <c r="L296" s="370">
        <v>45703.74690972222</v>
      </c>
    </row>
    <row r="297" spans="1:12">
      <c r="A297" s="370">
        <v>45704.785729166666</v>
      </c>
      <c r="B297" s="365" t="s">
        <v>8658</v>
      </c>
      <c r="C297" s="365" t="s">
        <v>7692</v>
      </c>
      <c r="D297" s="365" t="s">
        <v>3739</v>
      </c>
      <c r="E297" s="365" t="s">
        <v>3740</v>
      </c>
      <c r="F297" s="365" t="s">
        <v>8659</v>
      </c>
      <c r="G297" s="370">
        <v>45713</v>
      </c>
      <c r="H297" s="369">
        <v>15999</v>
      </c>
      <c r="I297" s="365" t="s">
        <v>8660</v>
      </c>
      <c r="J297" s="365" t="s">
        <v>1228</v>
      </c>
      <c r="K297" s="365" t="s">
        <v>1229</v>
      </c>
      <c r="L297" s="370">
        <v>45704.788668981484</v>
      </c>
    </row>
    <row r="298" spans="1:12">
      <c r="A298" s="370">
        <v>45704.896261574075</v>
      </c>
      <c r="B298" s="365" t="s">
        <v>8661</v>
      </c>
      <c r="C298" s="365" t="s">
        <v>7647</v>
      </c>
      <c r="D298" s="365" t="s">
        <v>3844</v>
      </c>
      <c r="E298" s="365" t="s">
        <v>3845</v>
      </c>
      <c r="F298" s="365" t="s">
        <v>8662</v>
      </c>
      <c r="G298" s="370">
        <v>45713</v>
      </c>
      <c r="H298" s="369">
        <v>48000</v>
      </c>
      <c r="I298" s="365" t="s">
        <v>8663</v>
      </c>
      <c r="J298" s="365" t="s">
        <v>1228</v>
      </c>
      <c r="K298" s="365" t="s">
        <v>1229</v>
      </c>
      <c r="L298" s="370">
        <v>45704.899652777778</v>
      </c>
    </row>
    <row r="299" spans="1:12">
      <c r="A299" s="370">
        <v>45704.729664351849</v>
      </c>
      <c r="B299" s="365" t="s">
        <v>8664</v>
      </c>
      <c r="C299" s="365" t="s">
        <v>7562</v>
      </c>
      <c r="D299" s="365" t="s">
        <v>4185</v>
      </c>
      <c r="E299" s="365" t="s">
        <v>4186</v>
      </c>
      <c r="F299" s="365" t="s">
        <v>8665</v>
      </c>
      <c r="G299" s="370">
        <v>45681</v>
      </c>
      <c r="H299" s="369">
        <v>27000</v>
      </c>
      <c r="I299" s="365" t="s">
        <v>8666</v>
      </c>
      <c r="J299" s="365" t="s">
        <v>1228</v>
      </c>
      <c r="K299" s="365" t="s">
        <v>1229</v>
      </c>
      <c r="L299" s="370">
        <v>45704.732916666668</v>
      </c>
    </row>
    <row r="300" spans="1:12">
      <c r="A300" s="370">
        <v>45704.316458333335</v>
      </c>
      <c r="B300" s="365" t="s">
        <v>8667</v>
      </c>
      <c r="C300" s="365" t="s">
        <v>7544</v>
      </c>
      <c r="D300" s="365" t="s">
        <v>2373</v>
      </c>
      <c r="E300" s="365" t="s">
        <v>2374</v>
      </c>
      <c r="F300" s="365" t="s">
        <v>8668</v>
      </c>
      <c r="G300" s="370">
        <v>45713</v>
      </c>
      <c r="H300" s="369">
        <v>23400</v>
      </c>
      <c r="I300" s="365" t="s">
        <v>8669</v>
      </c>
      <c r="J300" s="365" t="s">
        <v>1228</v>
      </c>
      <c r="K300" s="365" t="s">
        <v>1229</v>
      </c>
      <c r="L300" s="370">
        <v>45704.319756944446</v>
      </c>
    </row>
    <row r="301" spans="1:12">
      <c r="A301" s="370">
        <v>45705.365439814814</v>
      </c>
      <c r="B301" s="365" t="s">
        <v>8670</v>
      </c>
      <c r="C301" s="365" t="s">
        <v>7501</v>
      </c>
      <c r="D301" s="365" t="s">
        <v>4236</v>
      </c>
      <c r="E301" s="365" t="s">
        <v>4237</v>
      </c>
      <c r="F301" s="365" t="s">
        <v>8671</v>
      </c>
      <c r="G301" s="370">
        <v>45681</v>
      </c>
      <c r="H301" s="369">
        <v>27000</v>
      </c>
      <c r="I301" s="365" t="s">
        <v>8672</v>
      </c>
      <c r="J301" s="365" t="s">
        <v>1228</v>
      </c>
      <c r="K301" s="365" t="s">
        <v>1229</v>
      </c>
      <c r="L301" s="370">
        <v>45705.368275462963</v>
      </c>
    </row>
    <row r="302" spans="1:12">
      <c r="A302" s="370">
        <v>45705.399884259263</v>
      </c>
      <c r="B302" s="365" t="s">
        <v>8673</v>
      </c>
      <c r="C302" s="365" t="s">
        <v>8674</v>
      </c>
      <c r="D302" s="365" t="s">
        <v>1856</v>
      </c>
      <c r="E302" s="365" t="s">
        <v>1857</v>
      </c>
      <c r="F302" s="365" t="s">
        <v>8675</v>
      </c>
      <c r="G302" s="370">
        <v>45713</v>
      </c>
      <c r="H302" s="369">
        <v>15999</v>
      </c>
      <c r="I302" s="365" t="s">
        <v>8676</v>
      </c>
      <c r="J302" s="365" t="s">
        <v>1228</v>
      </c>
      <c r="K302" s="365" t="s">
        <v>1229</v>
      </c>
      <c r="L302" s="370">
        <v>45705.403287037036</v>
      </c>
    </row>
    <row r="303" spans="1:12">
      <c r="A303" s="370">
        <v>45705.558877314812</v>
      </c>
      <c r="B303" s="365" t="s">
        <v>8677</v>
      </c>
      <c r="C303" s="365" t="s">
        <v>7581</v>
      </c>
      <c r="D303" s="365" t="s">
        <v>3256</v>
      </c>
      <c r="E303" s="365" t="s">
        <v>3257</v>
      </c>
      <c r="F303" s="365" t="s">
        <v>8678</v>
      </c>
      <c r="G303" s="370">
        <v>45713</v>
      </c>
      <c r="H303" s="369">
        <v>27000</v>
      </c>
      <c r="I303" s="365" t="s">
        <v>8679</v>
      </c>
      <c r="J303" s="365" t="s">
        <v>1228</v>
      </c>
      <c r="K303" s="365" t="s">
        <v>1229</v>
      </c>
      <c r="L303" s="370">
        <v>45705.559363425928</v>
      </c>
    </row>
    <row r="304" spans="1:12">
      <c r="A304" s="370">
        <v>45705.680439814816</v>
      </c>
      <c r="B304" s="365" t="s">
        <v>8680</v>
      </c>
      <c r="C304" s="365" t="s">
        <v>8681</v>
      </c>
      <c r="D304" s="365" t="s">
        <v>8682</v>
      </c>
      <c r="E304" s="365" t="s">
        <v>8683</v>
      </c>
      <c r="F304" s="365" t="s">
        <v>8684</v>
      </c>
      <c r="G304" s="370">
        <v>45713</v>
      </c>
      <c r="H304" s="369">
        <v>23000</v>
      </c>
      <c r="I304" s="365" t="s">
        <v>8685</v>
      </c>
      <c r="J304" s="365" t="s">
        <v>1228</v>
      </c>
      <c r="K304" s="365" t="s">
        <v>1229</v>
      </c>
      <c r="L304" s="370">
        <v>45705.680937500001</v>
      </c>
    </row>
    <row r="305" spans="1:12">
      <c r="A305" s="370">
        <v>45705.740497685183</v>
      </c>
      <c r="B305" s="365" t="s">
        <v>8686</v>
      </c>
      <c r="C305" s="365" t="s">
        <v>7501</v>
      </c>
      <c r="D305" s="365" t="s">
        <v>1642</v>
      </c>
      <c r="E305" s="365" t="s">
        <v>1643</v>
      </c>
      <c r="F305" s="365" t="s">
        <v>8687</v>
      </c>
      <c r="G305" s="370">
        <v>45681</v>
      </c>
      <c r="H305" s="369">
        <v>15999</v>
      </c>
      <c r="I305" s="365" t="s">
        <v>8688</v>
      </c>
      <c r="J305" s="365" t="s">
        <v>1228</v>
      </c>
      <c r="K305" s="365" t="s">
        <v>1229</v>
      </c>
      <c r="L305" s="370">
        <v>45705.743321759262</v>
      </c>
    </row>
    <row r="306" spans="1:12">
      <c r="A306" s="370">
        <v>45705.743252314816</v>
      </c>
      <c r="B306" s="365" t="s">
        <v>8689</v>
      </c>
      <c r="C306" s="365" t="s">
        <v>7537</v>
      </c>
      <c r="D306" s="365" t="s">
        <v>4223</v>
      </c>
      <c r="E306" s="365" t="s">
        <v>4224</v>
      </c>
      <c r="F306" s="365" t="s">
        <v>8690</v>
      </c>
      <c r="G306" s="370">
        <v>45681</v>
      </c>
      <c r="H306" s="369">
        <v>15999</v>
      </c>
      <c r="I306" s="365" t="s">
        <v>8691</v>
      </c>
      <c r="J306" s="365" t="s">
        <v>1228</v>
      </c>
      <c r="K306" s="365" t="s">
        <v>1229</v>
      </c>
      <c r="L306" s="370">
        <v>45705.746898148151</v>
      </c>
    </row>
    <row r="307" spans="1:12">
      <c r="A307" s="370">
        <v>45705.747916666667</v>
      </c>
      <c r="B307" s="365" t="s">
        <v>8692</v>
      </c>
      <c r="C307" s="365" t="s">
        <v>7501</v>
      </c>
      <c r="D307" s="365" t="s">
        <v>3469</v>
      </c>
      <c r="E307" s="365" t="s">
        <v>3470</v>
      </c>
      <c r="F307" s="365" t="s">
        <v>8693</v>
      </c>
      <c r="G307" s="370">
        <v>45681</v>
      </c>
      <c r="H307" s="369">
        <v>15000</v>
      </c>
      <c r="I307" s="365" t="s">
        <v>8694</v>
      </c>
      <c r="J307" s="365" t="s">
        <v>1228</v>
      </c>
      <c r="K307" s="365" t="s">
        <v>1229</v>
      </c>
      <c r="L307" s="370">
        <v>45705.750474537039</v>
      </c>
    </row>
    <row r="308" spans="1:12">
      <c r="A308" s="370">
        <v>45705.854803240742</v>
      </c>
      <c r="B308" s="365" t="s">
        <v>8695</v>
      </c>
      <c r="C308" s="365" t="s">
        <v>7953</v>
      </c>
      <c r="D308" s="365" t="s">
        <v>2777</v>
      </c>
      <c r="E308" s="365" t="s">
        <v>2778</v>
      </c>
      <c r="F308" s="365" t="s">
        <v>8696</v>
      </c>
      <c r="G308" s="370">
        <v>45681</v>
      </c>
      <c r="H308" s="369">
        <v>20999</v>
      </c>
      <c r="I308" s="365" t="s">
        <v>8697</v>
      </c>
      <c r="J308" s="365" t="s">
        <v>1228</v>
      </c>
      <c r="K308" s="365" t="s">
        <v>1229</v>
      </c>
      <c r="L308" s="370">
        <v>45705.858020833337</v>
      </c>
    </row>
    <row r="309" spans="1:12">
      <c r="A309" s="370">
        <v>45705.94835648148</v>
      </c>
      <c r="B309" s="365" t="s">
        <v>8698</v>
      </c>
      <c r="C309" s="365" t="s">
        <v>8699</v>
      </c>
      <c r="D309" s="365" t="s">
        <v>1469</v>
      </c>
      <c r="E309" s="365" t="s">
        <v>1470</v>
      </c>
      <c r="F309" s="365" t="s">
        <v>8700</v>
      </c>
      <c r="G309" s="370">
        <v>45713</v>
      </c>
      <c r="H309" s="369">
        <v>132000</v>
      </c>
      <c r="I309" s="365" t="s">
        <v>8701</v>
      </c>
      <c r="J309" s="365" t="s">
        <v>1228</v>
      </c>
      <c r="K309" s="365" t="s">
        <v>1229</v>
      </c>
      <c r="L309" s="370">
        <v>45705.951747685183</v>
      </c>
    </row>
    <row r="310" spans="1:12">
      <c r="A310" s="370">
        <v>45705.36478009259</v>
      </c>
      <c r="B310" s="365" t="s">
        <v>8702</v>
      </c>
      <c r="C310" s="365" t="s">
        <v>7501</v>
      </c>
      <c r="D310" s="365" t="s">
        <v>1323</v>
      </c>
      <c r="E310" s="365" t="s">
        <v>1324</v>
      </c>
      <c r="F310" s="365" t="s">
        <v>8703</v>
      </c>
      <c r="G310" s="370">
        <v>45681</v>
      </c>
      <c r="H310" s="369">
        <v>15000</v>
      </c>
      <c r="I310" s="365" t="s">
        <v>8704</v>
      </c>
      <c r="J310" s="365" t="s">
        <v>1228</v>
      </c>
      <c r="K310" s="365" t="s">
        <v>1229</v>
      </c>
      <c r="L310" s="370">
        <v>45705.365046296298</v>
      </c>
    </row>
    <row r="311" spans="1:12">
      <c r="A311" s="370">
        <v>45705.413113425922</v>
      </c>
      <c r="B311" s="365" t="s">
        <v>8705</v>
      </c>
      <c r="C311" s="365" t="s">
        <v>7742</v>
      </c>
      <c r="D311" s="365" t="s">
        <v>3771</v>
      </c>
      <c r="E311" s="365" t="s">
        <v>3772</v>
      </c>
      <c r="F311" s="365" t="s">
        <v>8706</v>
      </c>
      <c r="G311" s="370">
        <v>45713</v>
      </c>
      <c r="H311" s="369">
        <v>185499</v>
      </c>
      <c r="I311" s="365" t="s">
        <v>8707</v>
      </c>
      <c r="J311" s="365" t="s">
        <v>1228</v>
      </c>
      <c r="K311" s="365" t="s">
        <v>1229</v>
      </c>
      <c r="L311" s="370">
        <v>45705.413599537038</v>
      </c>
    </row>
    <row r="312" spans="1:12">
      <c r="A312" s="370">
        <v>45705.656956018516</v>
      </c>
      <c r="B312" s="365" t="s">
        <v>8708</v>
      </c>
      <c r="C312" s="365" t="s">
        <v>7446</v>
      </c>
      <c r="D312" s="365" t="s">
        <v>1892</v>
      </c>
      <c r="E312" s="365" t="s">
        <v>1893</v>
      </c>
      <c r="F312" s="365" t="s">
        <v>8709</v>
      </c>
      <c r="G312" s="370">
        <v>45713</v>
      </c>
      <c r="H312" s="369">
        <v>22000</v>
      </c>
      <c r="I312" s="365" t="s">
        <v>8710</v>
      </c>
      <c r="J312" s="365" t="s">
        <v>1228</v>
      </c>
      <c r="K312" s="365" t="s">
        <v>1229</v>
      </c>
      <c r="L312" s="370">
        <v>45705.660150462965</v>
      </c>
    </row>
    <row r="313" spans="1:12">
      <c r="A313" s="370">
        <v>45705.724351851852</v>
      </c>
      <c r="B313" s="365" t="s">
        <v>8711</v>
      </c>
      <c r="C313" s="365" t="s">
        <v>7716</v>
      </c>
      <c r="D313" s="365" t="s">
        <v>3405</v>
      </c>
      <c r="E313" s="365" t="s">
        <v>3406</v>
      </c>
      <c r="F313" s="365" t="s">
        <v>8712</v>
      </c>
      <c r="G313" s="370">
        <v>45713</v>
      </c>
      <c r="H313" s="369">
        <v>15999</v>
      </c>
      <c r="I313" s="365" t="s">
        <v>8713</v>
      </c>
      <c r="J313" s="365" t="s">
        <v>1228</v>
      </c>
      <c r="K313" s="365" t="s">
        <v>1229</v>
      </c>
      <c r="L313" s="370">
        <v>45705.726076388892</v>
      </c>
    </row>
    <row r="314" spans="1:12">
      <c r="A314" s="370">
        <v>45705.747442129628</v>
      </c>
      <c r="B314" s="365" t="s">
        <v>8714</v>
      </c>
      <c r="C314" s="365" t="s">
        <v>7501</v>
      </c>
      <c r="D314" s="365" t="s">
        <v>8715</v>
      </c>
      <c r="E314" s="365" t="s">
        <v>8716</v>
      </c>
      <c r="F314" s="365" t="s">
        <v>8717</v>
      </c>
      <c r="G314" s="370">
        <v>45681</v>
      </c>
      <c r="H314" s="369">
        <v>9000</v>
      </c>
      <c r="I314" s="365" t="s">
        <v>8718</v>
      </c>
      <c r="J314" s="365" t="s">
        <v>1228</v>
      </c>
      <c r="K314" s="365" t="s">
        <v>1229</v>
      </c>
      <c r="L314" s="370">
        <v>45705.750659722224</v>
      </c>
    </row>
    <row r="315" spans="1:12">
      <c r="A315" s="370">
        <v>45705.371412037035</v>
      </c>
      <c r="B315" s="365" t="s">
        <v>8719</v>
      </c>
      <c r="C315" s="365" t="s">
        <v>7700</v>
      </c>
      <c r="D315" s="365" t="s">
        <v>3880</v>
      </c>
      <c r="E315" s="365" t="s">
        <v>3881</v>
      </c>
      <c r="F315" s="365" t="s">
        <v>8720</v>
      </c>
      <c r="G315" s="370">
        <v>45681</v>
      </c>
      <c r="H315" s="369">
        <v>15999</v>
      </c>
      <c r="I315" s="365" t="s">
        <v>8721</v>
      </c>
      <c r="J315" s="365" t="s">
        <v>1228</v>
      </c>
      <c r="K315" s="365" t="s">
        <v>1229</v>
      </c>
      <c r="L315" s="370">
        <v>45705.371851851851</v>
      </c>
    </row>
    <row r="316" spans="1:12">
      <c r="A316" s="370">
        <v>45705.398217592592</v>
      </c>
      <c r="B316" s="365" t="s">
        <v>8722</v>
      </c>
      <c r="C316" s="365" t="s">
        <v>7644</v>
      </c>
      <c r="D316" s="365" t="s">
        <v>3386</v>
      </c>
      <c r="E316" s="365" t="s">
        <v>3387</v>
      </c>
      <c r="F316" s="365" t="s">
        <v>8723</v>
      </c>
      <c r="G316" s="370">
        <v>45713</v>
      </c>
      <c r="H316" s="369">
        <v>15000</v>
      </c>
      <c r="I316" s="365" t="s">
        <v>8724</v>
      </c>
      <c r="J316" s="365" t="s">
        <v>1228</v>
      </c>
      <c r="K316" s="365" t="s">
        <v>1229</v>
      </c>
      <c r="L316" s="370">
        <v>45705.399548611109</v>
      </c>
    </row>
    <row r="317" spans="1:12">
      <c r="A317" s="370">
        <v>45705.597442129627</v>
      </c>
      <c r="B317" s="365" t="s">
        <v>8725</v>
      </c>
      <c r="C317" s="365" t="s">
        <v>8726</v>
      </c>
      <c r="D317" s="365" t="s">
        <v>3027</v>
      </c>
      <c r="E317" s="365" t="s">
        <v>3028</v>
      </c>
      <c r="F317" s="365" t="s">
        <v>8727</v>
      </c>
      <c r="G317" s="370">
        <v>45681</v>
      </c>
      <c r="H317" s="369">
        <v>11500</v>
      </c>
      <c r="I317" s="365" t="s">
        <v>8728</v>
      </c>
      <c r="J317" s="365" t="s">
        <v>1228</v>
      </c>
      <c r="K317" s="365" t="s">
        <v>1229</v>
      </c>
      <c r="L317" s="370">
        <v>45705.60125</v>
      </c>
    </row>
    <row r="318" spans="1:12">
      <c r="A318" s="370">
        <v>45705.671006944445</v>
      </c>
      <c r="B318" s="365" t="s">
        <v>8729</v>
      </c>
      <c r="C318" s="365" t="s">
        <v>8730</v>
      </c>
      <c r="D318" s="365" t="s">
        <v>8731</v>
      </c>
      <c r="E318" s="365" t="s">
        <v>8732</v>
      </c>
      <c r="F318" s="365" t="s">
        <v>8733</v>
      </c>
      <c r="G318" s="370">
        <v>45681</v>
      </c>
      <c r="H318" s="369">
        <v>148000</v>
      </c>
      <c r="I318" s="365" t="s">
        <v>8734</v>
      </c>
      <c r="J318" s="365" t="s">
        <v>1228</v>
      </c>
      <c r="K318" s="365" t="s">
        <v>1229</v>
      </c>
      <c r="L318" s="370">
        <v>45705.673981481479</v>
      </c>
    </row>
    <row r="319" spans="1:12">
      <c r="A319" s="370">
        <v>45705.708321759259</v>
      </c>
      <c r="B319" s="365" t="s">
        <v>8735</v>
      </c>
      <c r="C319" s="365" t="s">
        <v>7642</v>
      </c>
      <c r="D319" s="365" t="s">
        <v>4597</v>
      </c>
      <c r="E319" s="365" t="s">
        <v>7643</v>
      </c>
      <c r="F319" s="365" t="s">
        <v>8736</v>
      </c>
      <c r="G319" s="370">
        <v>45713</v>
      </c>
      <c r="H319" s="369">
        <v>22898</v>
      </c>
      <c r="I319" s="365" t="s">
        <v>8737</v>
      </c>
      <c r="J319" s="365" t="s">
        <v>1228</v>
      </c>
      <c r="K319" s="365" t="s">
        <v>1229</v>
      </c>
      <c r="L319" s="370">
        <v>45705.708553240744</v>
      </c>
    </row>
    <row r="320" spans="1:12">
      <c r="A320" s="370">
        <v>45705.729861111111</v>
      </c>
      <c r="B320" s="365" t="s">
        <v>8738</v>
      </c>
      <c r="C320" s="365" t="s">
        <v>7659</v>
      </c>
      <c r="D320" s="365" t="s">
        <v>1283</v>
      </c>
      <c r="E320" s="365" t="s">
        <v>1284</v>
      </c>
      <c r="F320" s="365" t="s">
        <v>8739</v>
      </c>
      <c r="G320" s="370">
        <v>45713</v>
      </c>
      <c r="H320" s="369">
        <v>23400</v>
      </c>
      <c r="I320" s="365" t="s">
        <v>8740</v>
      </c>
      <c r="J320" s="365" t="s">
        <v>1228</v>
      </c>
      <c r="K320" s="365" t="s">
        <v>1229</v>
      </c>
      <c r="L320" s="370">
        <v>45705.73296296296</v>
      </c>
    </row>
    <row r="321" spans="1:12">
      <c r="A321" s="370">
        <v>45705.735856481479</v>
      </c>
      <c r="B321" s="365" t="s">
        <v>8741</v>
      </c>
      <c r="C321" s="365" t="s">
        <v>7501</v>
      </c>
      <c r="D321" s="365" t="s">
        <v>1368</v>
      </c>
      <c r="E321" s="365" t="s">
        <v>1369</v>
      </c>
      <c r="F321" s="365" t="s">
        <v>8742</v>
      </c>
      <c r="G321" s="370">
        <v>45681</v>
      </c>
      <c r="H321" s="369">
        <v>9000</v>
      </c>
      <c r="I321" s="365" t="s">
        <v>8743</v>
      </c>
      <c r="J321" s="365" t="s">
        <v>1228</v>
      </c>
      <c r="K321" s="365" t="s">
        <v>1229</v>
      </c>
      <c r="L321" s="370">
        <v>45705.736527777779</v>
      </c>
    </row>
    <row r="322" spans="1:12">
      <c r="A322" s="370">
        <v>45705.826053240744</v>
      </c>
      <c r="B322" s="365" t="s">
        <v>8744</v>
      </c>
      <c r="C322" s="365" t="s">
        <v>7585</v>
      </c>
      <c r="D322" s="365" t="s">
        <v>1820</v>
      </c>
      <c r="E322" s="365" t="s">
        <v>1821</v>
      </c>
      <c r="F322" s="365" t="s">
        <v>8745</v>
      </c>
      <c r="G322" s="370">
        <v>45713</v>
      </c>
      <c r="H322" s="369">
        <v>77000</v>
      </c>
      <c r="I322" s="365" t="s">
        <v>8746</v>
      </c>
      <c r="J322" s="365" t="s">
        <v>1228</v>
      </c>
      <c r="K322" s="365" t="s">
        <v>1229</v>
      </c>
      <c r="L322" s="370">
        <v>45705.826620370368</v>
      </c>
    </row>
    <row r="323" spans="1:12">
      <c r="A323" s="370">
        <v>45705.872164351851</v>
      </c>
      <c r="B323" s="365" t="s">
        <v>8747</v>
      </c>
      <c r="C323" s="365" t="s">
        <v>8748</v>
      </c>
      <c r="D323" s="365" t="s">
        <v>1796</v>
      </c>
      <c r="E323" s="365" t="s">
        <v>1797</v>
      </c>
      <c r="F323" s="365" t="s">
        <v>8749</v>
      </c>
      <c r="G323" s="370">
        <v>45713</v>
      </c>
      <c r="H323" s="369">
        <v>27000</v>
      </c>
      <c r="I323" s="365" t="s">
        <v>8750</v>
      </c>
      <c r="J323" s="365" t="s">
        <v>1228</v>
      </c>
      <c r="K323" s="365" t="s">
        <v>1229</v>
      </c>
      <c r="L323" s="370">
        <v>45705.875532407408</v>
      </c>
    </row>
    <row r="324" spans="1:12">
      <c r="A324" s="370">
        <v>45705.992754629631</v>
      </c>
      <c r="B324" s="365" t="s">
        <v>8751</v>
      </c>
      <c r="C324" s="365" t="s">
        <v>8752</v>
      </c>
      <c r="D324" s="365" t="s">
        <v>3429</v>
      </c>
      <c r="E324" s="365" t="s">
        <v>3430</v>
      </c>
      <c r="F324" s="365" t="s">
        <v>8753</v>
      </c>
      <c r="G324" s="370">
        <v>45681</v>
      </c>
      <c r="H324" s="369">
        <v>20999</v>
      </c>
      <c r="I324" s="365" t="s">
        <v>8754</v>
      </c>
      <c r="J324" s="365" t="s">
        <v>1228</v>
      </c>
      <c r="K324" s="365" t="s">
        <v>1229</v>
      </c>
      <c r="L324" s="370">
        <v>45706.125648148147</v>
      </c>
    </row>
    <row r="325" spans="1:12">
      <c r="A325" s="370">
        <v>45706.373043981483</v>
      </c>
      <c r="B325" s="365" t="s">
        <v>8755</v>
      </c>
      <c r="C325" s="365" t="s">
        <v>7756</v>
      </c>
      <c r="D325" s="365" t="s">
        <v>1850</v>
      </c>
      <c r="E325" s="365" t="s">
        <v>1851</v>
      </c>
      <c r="F325" s="365" t="s">
        <v>8756</v>
      </c>
      <c r="G325" s="370">
        <v>45713</v>
      </c>
      <c r="H325" s="369">
        <v>16500</v>
      </c>
      <c r="I325" s="365" t="s">
        <v>8757</v>
      </c>
      <c r="J325" s="365" t="s">
        <v>1228</v>
      </c>
      <c r="K325" s="365" t="s">
        <v>1229</v>
      </c>
      <c r="L325" s="370">
        <v>45706.375798611109</v>
      </c>
    </row>
    <row r="326" spans="1:12">
      <c r="A326" s="370">
        <v>45706.39671296296</v>
      </c>
      <c r="B326" s="365" t="s">
        <v>8758</v>
      </c>
      <c r="C326" s="365" t="s">
        <v>7513</v>
      </c>
      <c r="D326" s="365" t="s">
        <v>1611</v>
      </c>
      <c r="E326" s="365" t="s">
        <v>1612</v>
      </c>
      <c r="F326" s="365" t="s">
        <v>8759</v>
      </c>
      <c r="G326" s="370">
        <v>45681</v>
      </c>
      <c r="H326" s="369">
        <v>20999</v>
      </c>
      <c r="I326" s="365" t="s">
        <v>8760</v>
      </c>
      <c r="J326" s="365" t="s">
        <v>1228</v>
      </c>
      <c r="K326" s="365" t="s">
        <v>1229</v>
      </c>
      <c r="L326" s="370">
        <v>45706.397048611114</v>
      </c>
    </row>
    <row r="327" spans="1:12">
      <c r="A327" s="370">
        <v>45706.398113425923</v>
      </c>
      <c r="B327" s="365" t="s">
        <v>8761</v>
      </c>
      <c r="C327" s="365" t="s">
        <v>7513</v>
      </c>
      <c r="D327" s="365" t="s">
        <v>1318</v>
      </c>
      <c r="E327" s="365" t="s">
        <v>1319</v>
      </c>
      <c r="F327" s="365" t="s">
        <v>8762</v>
      </c>
      <c r="G327" s="370">
        <v>45681</v>
      </c>
      <c r="H327" s="369">
        <v>21000</v>
      </c>
      <c r="I327" s="365" t="s">
        <v>8763</v>
      </c>
      <c r="J327" s="365" t="s">
        <v>1228</v>
      </c>
      <c r="K327" s="365" t="s">
        <v>1229</v>
      </c>
      <c r="L327" s="370">
        <v>45706.400266203702</v>
      </c>
    </row>
    <row r="328" spans="1:12">
      <c r="A328" s="370">
        <v>45706.401967592596</v>
      </c>
      <c r="B328" s="365" t="s">
        <v>8764</v>
      </c>
      <c r="C328" s="365" t="s">
        <v>7613</v>
      </c>
      <c r="D328" s="365" t="s">
        <v>1320</v>
      </c>
      <c r="E328" s="365" t="s">
        <v>1321</v>
      </c>
      <c r="F328" s="365" t="s">
        <v>8765</v>
      </c>
      <c r="G328" s="370">
        <v>45681</v>
      </c>
      <c r="H328" s="369">
        <v>9000</v>
      </c>
      <c r="I328" s="365" t="s">
        <v>8766</v>
      </c>
      <c r="J328" s="365" t="s">
        <v>1228</v>
      </c>
      <c r="K328" s="365" t="s">
        <v>1229</v>
      </c>
      <c r="L328" s="370">
        <v>45706.403657407405</v>
      </c>
    </row>
    <row r="329" spans="1:12">
      <c r="A329" s="370">
        <v>45706.450312499997</v>
      </c>
      <c r="B329" s="365" t="s">
        <v>8767</v>
      </c>
      <c r="C329" s="365" t="s">
        <v>7624</v>
      </c>
      <c r="D329" s="365" t="s">
        <v>3588</v>
      </c>
      <c r="E329" s="365" t="s">
        <v>3589</v>
      </c>
      <c r="F329" s="365" t="s">
        <v>8768</v>
      </c>
      <c r="G329" s="370">
        <v>45713</v>
      </c>
      <c r="H329" s="369">
        <v>9000</v>
      </c>
      <c r="I329" s="365" t="s">
        <v>8769</v>
      </c>
      <c r="J329" s="365" t="s">
        <v>1228</v>
      </c>
      <c r="K329" s="365" t="s">
        <v>1229</v>
      </c>
      <c r="L329" s="370">
        <v>45706.452372685184</v>
      </c>
    </row>
    <row r="330" spans="1:12">
      <c r="A330" s="370">
        <v>45706.451041666667</v>
      </c>
      <c r="B330" s="365" t="s">
        <v>8770</v>
      </c>
      <c r="C330" s="365" t="s">
        <v>7624</v>
      </c>
      <c r="D330" s="365" t="s">
        <v>3456</v>
      </c>
      <c r="E330" s="365" t="s">
        <v>3457</v>
      </c>
      <c r="F330" s="365" t="s">
        <v>8771</v>
      </c>
      <c r="G330" s="370">
        <v>45713</v>
      </c>
      <c r="H330" s="369">
        <v>9000</v>
      </c>
      <c r="I330" s="365" t="s">
        <v>8772</v>
      </c>
      <c r="J330" s="365" t="s">
        <v>1228</v>
      </c>
      <c r="K330" s="365" t="s">
        <v>1229</v>
      </c>
      <c r="L330" s="370">
        <v>45706.452557870369</v>
      </c>
    </row>
    <row r="331" spans="1:12">
      <c r="A331" s="370">
        <v>45706.464502314811</v>
      </c>
      <c r="B331" s="365" t="s">
        <v>8773</v>
      </c>
      <c r="C331" s="365" t="s">
        <v>7540</v>
      </c>
      <c r="D331" s="365" t="s">
        <v>5913</v>
      </c>
      <c r="E331" s="365" t="s">
        <v>5914</v>
      </c>
      <c r="F331" s="365" t="s">
        <v>8774</v>
      </c>
      <c r="G331" s="370">
        <v>45713</v>
      </c>
      <c r="H331" s="369">
        <v>160830</v>
      </c>
      <c r="I331" s="365" t="s">
        <v>8775</v>
      </c>
      <c r="J331" s="365" t="s">
        <v>1228</v>
      </c>
      <c r="K331" s="365" t="s">
        <v>1229</v>
      </c>
      <c r="L331" s="370">
        <v>45706.466458333336</v>
      </c>
    </row>
    <row r="332" spans="1:12">
      <c r="A332" s="370">
        <v>45706.51666666667</v>
      </c>
      <c r="B332" s="365" t="s">
        <v>8776</v>
      </c>
      <c r="C332" s="365" t="s">
        <v>7672</v>
      </c>
      <c r="D332" s="365" t="s">
        <v>3975</v>
      </c>
      <c r="E332" s="365" t="s">
        <v>3976</v>
      </c>
      <c r="F332" s="365" t="s">
        <v>8777</v>
      </c>
      <c r="G332" s="370">
        <v>45713</v>
      </c>
      <c r="H332" s="369">
        <v>10000</v>
      </c>
      <c r="I332" s="365" t="s">
        <v>8778</v>
      </c>
      <c r="J332" s="365" t="s">
        <v>1228</v>
      </c>
      <c r="K332" s="365" t="s">
        <v>1229</v>
      </c>
      <c r="L332" s="370">
        <v>45706.51840277778</v>
      </c>
    </row>
    <row r="333" spans="1:12">
      <c r="A333" s="370">
        <v>45706.534942129627</v>
      </c>
      <c r="B333" s="365" t="s">
        <v>8779</v>
      </c>
      <c r="C333" s="365" t="s">
        <v>8780</v>
      </c>
      <c r="D333" s="365" t="s">
        <v>1411</v>
      </c>
      <c r="E333" s="365" t="s">
        <v>1412</v>
      </c>
      <c r="F333" s="365" t="s">
        <v>8781</v>
      </c>
      <c r="G333" s="370">
        <v>45681</v>
      </c>
      <c r="H333" s="369">
        <v>15999</v>
      </c>
      <c r="I333" s="365" t="s">
        <v>8782</v>
      </c>
      <c r="J333" s="365" t="s">
        <v>1228</v>
      </c>
      <c r="K333" s="365" t="s">
        <v>1229</v>
      </c>
      <c r="L333" s="370">
        <v>45706.535810185182</v>
      </c>
    </row>
    <row r="334" spans="1:12">
      <c r="A334" s="370">
        <v>45706.596145833333</v>
      </c>
      <c r="B334" s="365" t="s">
        <v>8783</v>
      </c>
      <c r="C334" s="365" t="s">
        <v>8748</v>
      </c>
      <c r="D334" s="365" t="s">
        <v>1773</v>
      </c>
      <c r="E334" s="365" t="s">
        <v>1774</v>
      </c>
      <c r="F334" s="365" t="s">
        <v>8784</v>
      </c>
      <c r="G334" s="370">
        <v>45713</v>
      </c>
      <c r="H334" s="369">
        <v>21000</v>
      </c>
      <c r="I334" s="365" t="s">
        <v>8785</v>
      </c>
      <c r="J334" s="365" t="s">
        <v>1228</v>
      </c>
      <c r="K334" s="365" t="s">
        <v>1229</v>
      </c>
      <c r="L334" s="370">
        <v>45706.598425925928</v>
      </c>
    </row>
    <row r="335" spans="1:12">
      <c r="A335" s="370">
        <v>45706.600451388891</v>
      </c>
      <c r="B335" s="365" t="s">
        <v>8786</v>
      </c>
      <c r="C335" s="365" t="s">
        <v>7712</v>
      </c>
      <c r="D335" s="365" t="s">
        <v>3081</v>
      </c>
      <c r="E335" s="365" t="s">
        <v>3082</v>
      </c>
      <c r="F335" s="365" t="s">
        <v>8787</v>
      </c>
      <c r="G335" s="370">
        <v>45681</v>
      </c>
      <c r="H335" s="369">
        <v>15999</v>
      </c>
      <c r="I335" s="365" t="s">
        <v>8788</v>
      </c>
      <c r="J335" s="365" t="s">
        <v>1228</v>
      </c>
      <c r="K335" s="365" t="s">
        <v>1229</v>
      </c>
      <c r="L335" s="370">
        <v>45706.601712962962</v>
      </c>
    </row>
    <row r="336" spans="1:12">
      <c r="A336" s="370">
        <v>45706.642337962963</v>
      </c>
      <c r="B336" s="365" t="s">
        <v>8789</v>
      </c>
      <c r="C336" s="365" t="s">
        <v>7660</v>
      </c>
      <c r="D336" s="365" t="s">
        <v>5614</v>
      </c>
      <c r="E336" s="365" t="s">
        <v>5615</v>
      </c>
      <c r="F336" s="365" t="s">
        <v>8790</v>
      </c>
      <c r="G336" s="370">
        <v>45713</v>
      </c>
      <c r="H336" s="369">
        <v>112000</v>
      </c>
      <c r="I336" s="365" t="s">
        <v>8791</v>
      </c>
      <c r="J336" s="365" t="s">
        <v>1228</v>
      </c>
      <c r="K336" s="365" t="s">
        <v>1229</v>
      </c>
      <c r="L336" s="370">
        <v>45706.643321759257</v>
      </c>
    </row>
    <row r="337" spans="1:12">
      <c r="A337" s="370">
        <v>45706.647106481483</v>
      </c>
      <c r="B337" s="365" t="s">
        <v>8792</v>
      </c>
      <c r="C337" s="365" t="s">
        <v>7507</v>
      </c>
      <c r="D337" s="365" t="s">
        <v>7508</v>
      </c>
      <c r="E337" s="365" t="s">
        <v>7509</v>
      </c>
      <c r="F337" s="365" t="s">
        <v>8793</v>
      </c>
      <c r="G337" s="370">
        <v>45713</v>
      </c>
      <c r="H337" s="369">
        <v>29000</v>
      </c>
      <c r="I337" s="365" t="s">
        <v>8794</v>
      </c>
      <c r="J337" s="365" t="s">
        <v>1228</v>
      </c>
      <c r="K337" s="365" t="s">
        <v>1229</v>
      </c>
      <c r="L337" s="370">
        <v>45706.650324074071</v>
      </c>
    </row>
    <row r="338" spans="1:12">
      <c r="A338" s="370">
        <v>45706.67119212963</v>
      </c>
      <c r="B338" s="365" t="s">
        <v>8795</v>
      </c>
      <c r="C338" s="365" t="s">
        <v>7677</v>
      </c>
      <c r="D338" s="365" t="s">
        <v>2757</v>
      </c>
      <c r="E338" s="365" t="s">
        <v>2758</v>
      </c>
      <c r="F338" s="365" t="s">
        <v>8796</v>
      </c>
      <c r="G338" s="370">
        <v>45713</v>
      </c>
      <c r="H338" s="369">
        <v>14000</v>
      </c>
      <c r="I338" s="365" t="s">
        <v>8797</v>
      </c>
      <c r="J338" s="365" t="s">
        <v>1228</v>
      </c>
      <c r="K338" s="365" t="s">
        <v>1229</v>
      </c>
      <c r="L338" s="370">
        <v>45706.674618055556</v>
      </c>
    </row>
    <row r="339" spans="1:12">
      <c r="A339" s="370">
        <v>45706.690833333334</v>
      </c>
      <c r="B339" s="365" t="s">
        <v>8798</v>
      </c>
      <c r="C339" s="365" t="s">
        <v>7702</v>
      </c>
      <c r="D339" s="365" t="s">
        <v>2328</v>
      </c>
      <c r="E339" s="365" t="s">
        <v>2329</v>
      </c>
      <c r="F339" s="365" t="s">
        <v>8799</v>
      </c>
      <c r="G339" s="370">
        <v>45681</v>
      </c>
      <c r="H339" s="369">
        <v>39000</v>
      </c>
      <c r="I339" s="365" t="s">
        <v>8800</v>
      </c>
      <c r="J339" s="365" t="s">
        <v>1228</v>
      </c>
      <c r="K339" s="365" t="s">
        <v>1229</v>
      </c>
      <c r="L339" s="370">
        <v>45706.692060185182</v>
      </c>
    </row>
    <row r="340" spans="1:12">
      <c r="A340" s="370">
        <v>45706.691365740742</v>
      </c>
      <c r="B340" s="365" t="s">
        <v>8801</v>
      </c>
      <c r="C340" s="365" t="s">
        <v>8674</v>
      </c>
      <c r="D340" s="365" t="s">
        <v>1856</v>
      </c>
      <c r="E340" s="365" t="s">
        <v>1857</v>
      </c>
      <c r="F340" s="365" t="s">
        <v>8802</v>
      </c>
      <c r="G340" s="370">
        <v>45681</v>
      </c>
      <c r="H340" s="369">
        <v>15999</v>
      </c>
      <c r="I340" s="365" t="s">
        <v>8803</v>
      </c>
      <c r="J340" s="365" t="s">
        <v>1228</v>
      </c>
      <c r="K340" s="365" t="s">
        <v>1229</v>
      </c>
      <c r="L340" s="370">
        <v>45706.692245370374</v>
      </c>
    </row>
    <row r="341" spans="1:12">
      <c r="A341" s="370">
        <v>45706.729328703703</v>
      </c>
      <c r="B341" s="365" t="s">
        <v>8804</v>
      </c>
      <c r="C341" s="365" t="s">
        <v>8805</v>
      </c>
      <c r="D341" s="365" t="s">
        <v>8806</v>
      </c>
      <c r="E341" s="365" t="s">
        <v>8807</v>
      </c>
      <c r="F341" s="365" t="s">
        <v>8808</v>
      </c>
      <c r="G341" s="370">
        <v>45681</v>
      </c>
      <c r="H341" s="369">
        <v>39000</v>
      </c>
      <c r="I341" s="365" t="s">
        <v>8809</v>
      </c>
      <c r="J341" s="365" t="s">
        <v>1228</v>
      </c>
      <c r="K341" s="365" t="s">
        <v>1229</v>
      </c>
      <c r="L341" s="370">
        <v>45706.730127314811</v>
      </c>
    </row>
    <row r="342" spans="1:12">
      <c r="A342" s="370">
        <v>45706.7577662037</v>
      </c>
      <c r="B342" s="365" t="s">
        <v>8810</v>
      </c>
      <c r="C342" s="365" t="s">
        <v>7741</v>
      </c>
      <c r="D342" s="365" t="s">
        <v>1257</v>
      </c>
      <c r="E342" s="365" t="s">
        <v>1258</v>
      </c>
      <c r="F342" s="365" t="s">
        <v>8811</v>
      </c>
      <c r="G342" s="370">
        <v>45681</v>
      </c>
      <c r="H342" s="369">
        <v>72000</v>
      </c>
      <c r="I342" s="365" t="s">
        <v>8812</v>
      </c>
      <c r="J342" s="365" t="s">
        <v>1228</v>
      </c>
      <c r="K342" s="365" t="s">
        <v>1229</v>
      </c>
      <c r="L342" s="370">
        <v>45706.7580787037</v>
      </c>
    </row>
    <row r="343" spans="1:12">
      <c r="A343" s="370">
        <v>45705.96434027778</v>
      </c>
      <c r="B343" s="365" t="s">
        <v>8813</v>
      </c>
      <c r="C343" s="365" t="s">
        <v>8814</v>
      </c>
      <c r="D343" s="365" t="s">
        <v>1269</v>
      </c>
      <c r="E343" s="365" t="s">
        <v>1270</v>
      </c>
      <c r="F343" s="365" t="s">
        <v>8815</v>
      </c>
      <c r="G343" s="370">
        <v>45713</v>
      </c>
      <c r="H343" s="369">
        <v>15000</v>
      </c>
      <c r="I343" s="365" t="s">
        <v>8816</v>
      </c>
      <c r="J343" s="365" t="s">
        <v>1228</v>
      </c>
      <c r="K343" s="365" t="s">
        <v>1229</v>
      </c>
      <c r="L343" s="370">
        <v>45706.125868055555</v>
      </c>
    </row>
    <row r="344" spans="1:12">
      <c r="A344" s="370">
        <v>45706.419976851852</v>
      </c>
      <c r="B344" s="365" t="s">
        <v>8817</v>
      </c>
      <c r="C344" s="365" t="s">
        <v>7759</v>
      </c>
      <c r="D344" s="365" t="s">
        <v>7760</v>
      </c>
      <c r="E344" s="365" t="s">
        <v>7761</v>
      </c>
      <c r="F344" s="365" t="s">
        <v>8818</v>
      </c>
      <c r="G344" s="370">
        <v>45713</v>
      </c>
      <c r="H344" s="369">
        <v>25000</v>
      </c>
      <c r="I344" s="365" t="s">
        <v>8819</v>
      </c>
      <c r="J344" s="365" t="s">
        <v>1228</v>
      </c>
      <c r="K344" s="365" t="s">
        <v>1229</v>
      </c>
      <c r="L344" s="370">
        <v>45706.421354166669</v>
      </c>
    </row>
    <row r="345" spans="1:12">
      <c r="A345" s="370">
        <v>45706.458587962959</v>
      </c>
      <c r="B345" s="365" t="s">
        <v>8820</v>
      </c>
      <c r="C345" s="365" t="s">
        <v>7501</v>
      </c>
      <c r="D345" s="365" t="s">
        <v>1231</v>
      </c>
      <c r="E345" s="365" t="s">
        <v>1232</v>
      </c>
      <c r="F345" s="365" t="s">
        <v>8821</v>
      </c>
      <c r="G345" s="370">
        <v>45681</v>
      </c>
      <c r="H345" s="369">
        <v>48000</v>
      </c>
      <c r="I345" s="365" t="s">
        <v>8822</v>
      </c>
      <c r="J345" s="365" t="s">
        <v>1228</v>
      </c>
      <c r="K345" s="365" t="s">
        <v>1229</v>
      </c>
      <c r="L345" s="370">
        <v>45706.459328703706</v>
      </c>
    </row>
    <row r="346" spans="1:12">
      <c r="A346" s="370">
        <v>45706.459247685183</v>
      </c>
      <c r="B346" s="365" t="s">
        <v>8823</v>
      </c>
      <c r="C346" s="365" t="s">
        <v>7501</v>
      </c>
      <c r="D346" s="365" t="s">
        <v>3823</v>
      </c>
      <c r="E346" s="365" t="s">
        <v>3824</v>
      </c>
      <c r="F346" s="365" t="s">
        <v>8824</v>
      </c>
      <c r="G346" s="370">
        <v>45681</v>
      </c>
      <c r="H346" s="369">
        <v>56999</v>
      </c>
      <c r="I346" s="365" t="s">
        <v>8825</v>
      </c>
      <c r="J346" s="365" t="s">
        <v>1228</v>
      </c>
      <c r="K346" s="365" t="s">
        <v>1229</v>
      </c>
      <c r="L346" s="370">
        <v>45706.462905092594</v>
      </c>
    </row>
    <row r="347" spans="1:12">
      <c r="A347" s="370">
        <v>45706.515289351853</v>
      </c>
      <c r="B347" s="365" t="s">
        <v>8826</v>
      </c>
      <c r="C347" s="365" t="s">
        <v>7672</v>
      </c>
      <c r="D347" s="365" t="s">
        <v>4024</v>
      </c>
      <c r="E347" s="365" t="s">
        <v>4025</v>
      </c>
      <c r="F347" s="365" t="s">
        <v>8827</v>
      </c>
      <c r="G347" s="370">
        <v>45713</v>
      </c>
      <c r="H347" s="369">
        <v>10000</v>
      </c>
      <c r="I347" s="365" t="s">
        <v>8828</v>
      </c>
      <c r="J347" s="365" t="s">
        <v>1228</v>
      </c>
      <c r="K347" s="365" t="s">
        <v>1229</v>
      </c>
      <c r="L347" s="370">
        <v>45706.518425925926</v>
      </c>
    </row>
    <row r="348" spans="1:12">
      <c r="A348" s="370">
        <v>45706.541296296295</v>
      </c>
      <c r="B348" s="365" t="s">
        <v>8829</v>
      </c>
      <c r="C348" s="365" t="s">
        <v>7712</v>
      </c>
      <c r="D348" s="365" t="s">
        <v>3057</v>
      </c>
      <c r="E348" s="365" t="s">
        <v>3058</v>
      </c>
      <c r="F348" s="365" t="s">
        <v>8830</v>
      </c>
      <c r="G348" s="370">
        <v>45681</v>
      </c>
      <c r="H348" s="369">
        <v>15999</v>
      </c>
      <c r="I348" s="365" t="s">
        <v>8831</v>
      </c>
      <c r="J348" s="365" t="s">
        <v>1228</v>
      </c>
      <c r="K348" s="365" t="s">
        <v>1229</v>
      </c>
      <c r="L348" s="370">
        <v>45706.542604166665</v>
      </c>
    </row>
    <row r="349" spans="1:12">
      <c r="A349" s="370">
        <v>45706.659837962965</v>
      </c>
      <c r="B349" s="365" t="s">
        <v>8832</v>
      </c>
      <c r="C349" s="365" t="s">
        <v>7753</v>
      </c>
      <c r="D349" s="365" t="s">
        <v>1454</v>
      </c>
      <c r="E349" s="365" t="s">
        <v>1455</v>
      </c>
      <c r="F349" s="365" t="s">
        <v>8833</v>
      </c>
      <c r="G349" s="370">
        <v>45713</v>
      </c>
      <c r="H349" s="369">
        <v>39000</v>
      </c>
      <c r="I349" s="365" t="s">
        <v>8834</v>
      </c>
      <c r="J349" s="365" t="s">
        <v>1228</v>
      </c>
      <c r="K349" s="365" t="s">
        <v>1229</v>
      </c>
      <c r="L349" s="370">
        <v>45706.66065972222</v>
      </c>
    </row>
    <row r="350" spans="1:12">
      <c r="A350" s="370">
        <v>45706.750127314815</v>
      </c>
      <c r="B350" s="365" t="s">
        <v>8835</v>
      </c>
      <c r="C350" s="365" t="s">
        <v>7567</v>
      </c>
      <c r="D350" s="365" t="s">
        <v>2900</v>
      </c>
      <c r="E350" s="365" t="s">
        <v>2901</v>
      </c>
      <c r="F350" s="365" t="s">
        <v>8836</v>
      </c>
      <c r="G350" s="370">
        <v>45681</v>
      </c>
      <c r="H350" s="369">
        <v>27999</v>
      </c>
      <c r="I350" s="365" t="s">
        <v>8837</v>
      </c>
      <c r="J350" s="365" t="s">
        <v>1228</v>
      </c>
      <c r="K350" s="365" t="s">
        <v>1229</v>
      </c>
      <c r="L350" s="370">
        <v>45706.750937500001</v>
      </c>
    </row>
    <row r="351" spans="1:12">
      <c r="A351" s="370">
        <v>45706.767916666664</v>
      </c>
      <c r="B351" s="365" t="s">
        <v>8838</v>
      </c>
      <c r="C351" s="365" t="s">
        <v>8839</v>
      </c>
      <c r="D351" s="365" t="s">
        <v>6719</v>
      </c>
      <c r="E351" s="365" t="s">
        <v>6720</v>
      </c>
      <c r="F351" s="365" t="s">
        <v>8840</v>
      </c>
      <c r="G351" s="370">
        <v>45713</v>
      </c>
      <c r="H351" s="369">
        <v>15999</v>
      </c>
      <c r="I351" s="365" t="s">
        <v>8841</v>
      </c>
      <c r="J351" s="365" t="s">
        <v>1228</v>
      </c>
      <c r="K351" s="365" t="s">
        <v>1229</v>
      </c>
      <c r="L351" s="370">
        <v>45706.76840277778</v>
      </c>
    </row>
    <row r="352" spans="1:12">
      <c r="A352" s="370">
        <v>45706.826655092591</v>
      </c>
      <c r="B352" s="365" t="s">
        <v>8842</v>
      </c>
      <c r="C352" s="365" t="s">
        <v>8843</v>
      </c>
      <c r="D352" s="365" t="s">
        <v>1536</v>
      </c>
      <c r="E352" s="365" t="s">
        <v>1537</v>
      </c>
      <c r="F352" s="365" t="s">
        <v>8844</v>
      </c>
      <c r="G352" s="370">
        <v>45681</v>
      </c>
      <c r="H352" s="369">
        <v>15999</v>
      </c>
      <c r="I352" s="365" t="s">
        <v>8845</v>
      </c>
      <c r="J352" s="365" t="s">
        <v>1228</v>
      </c>
      <c r="K352" s="365" t="s">
        <v>1229</v>
      </c>
      <c r="L352" s="370">
        <v>45706.82744212963</v>
      </c>
    </row>
    <row r="353" spans="1:12">
      <c r="A353" s="370">
        <v>45705.965243055558</v>
      </c>
      <c r="B353" s="365" t="s">
        <v>8846</v>
      </c>
      <c r="C353" s="365" t="s">
        <v>8814</v>
      </c>
      <c r="D353" s="365" t="s">
        <v>1269</v>
      </c>
      <c r="E353" s="365" t="s">
        <v>1270</v>
      </c>
      <c r="F353" s="365" t="s">
        <v>8847</v>
      </c>
      <c r="G353" s="370">
        <v>45681</v>
      </c>
      <c r="H353" s="369">
        <v>15000</v>
      </c>
      <c r="I353" s="365" t="s">
        <v>8848</v>
      </c>
      <c r="J353" s="365" t="s">
        <v>1228</v>
      </c>
      <c r="K353" s="365" t="s">
        <v>1229</v>
      </c>
      <c r="L353" s="370">
        <v>45706.12605324074</v>
      </c>
    </row>
    <row r="354" spans="1:12">
      <c r="A354" s="370">
        <v>45706.457997685182</v>
      </c>
      <c r="B354" s="365" t="s">
        <v>8849</v>
      </c>
      <c r="C354" s="365" t="s">
        <v>7688</v>
      </c>
      <c r="D354" s="365" t="s">
        <v>3519</v>
      </c>
      <c r="E354" s="365" t="s">
        <v>3520</v>
      </c>
      <c r="F354" s="365" t="s">
        <v>8850</v>
      </c>
      <c r="G354" s="370">
        <v>45713</v>
      </c>
      <c r="H354" s="369">
        <v>95999</v>
      </c>
      <c r="I354" s="365" t="s">
        <v>8851</v>
      </c>
      <c r="J354" s="365" t="s">
        <v>1228</v>
      </c>
      <c r="K354" s="365" t="s">
        <v>1229</v>
      </c>
      <c r="L354" s="370">
        <v>45706.459502314814</v>
      </c>
    </row>
    <row r="355" spans="1:12">
      <c r="A355" s="370">
        <v>45706.459780092591</v>
      </c>
      <c r="B355" s="365" t="s">
        <v>8852</v>
      </c>
      <c r="C355" s="365" t="s">
        <v>7501</v>
      </c>
      <c r="D355" s="365" t="s">
        <v>1427</v>
      </c>
      <c r="E355" s="365" t="s">
        <v>1428</v>
      </c>
      <c r="F355" s="365" t="s">
        <v>8853</v>
      </c>
      <c r="G355" s="370">
        <v>45681</v>
      </c>
      <c r="H355" s="369">
        <v>72501</v>
      </c>
      <c r="I355" s="365" t="s">
        <v>8854</v>
      </c>
      <c r="J355" s="365" t="s">
        <v>1228</v>
      </c>
      <c r="K355" s="365" t="s">
        <v>1229</v>
      </c>
      <c r="L355" s="370">
        <v>45706.463090277779</v>
      </c>
    </row>
    <row r="356" spans="1:12">
      <c r="A356" s="370">
        <v>45706.517418981479</v>
      </c>
      <c r="B356" s="365" t="s">
        <v>8855</v>
      </c>
      <c r="C356" s="365" t="s">
        <v>7672</v>
      </c>
      <c r="D356" s="365" t="s">
        <v>4029</v>
      </c>
      <c r="E356" s="365" t="s">
        <v>4030</v>
      </c>
      <c r="F356" s="365" t="s">
        <v>8856</v>
      </c>
      <c r="G356" s="370">
        <v>45713</v>
      </c>
      <c r="H356" s="369">
        <v>8000</v>
      </c>
      <c r="I356" s="365" t="s">
        <v>8857</v>
      </c>
      <c r="J356" s="365" t="s">
        <v>1228</v>
      </c>
      <c r="K356" s="365" t="s">
        <v>1229</v>
      </c>
      <c r="L356" s="370">
        <v>45706.518437500003</v>
      </c>
    </row>
    <row r="357" spans="1:12">
      <c r="A357" s="370">
        <v>45706.567511574074</v>
      </c>
      <c r="B357" s="365" t="s">
        <v>8858</v>
      </c>
      <c r="C357" s="365" t="s">
        <v>8859</v>
      </c>
      <c r="D357" s="365" t="s">
        <v>1587</v>
      </c>
      <c r="E357" s="365" t="s">
        <v>1588</v>
      </c>
      <c r="F357" s="365" t="s">
        <v>8860</v>
      </c>
      <c r="G357" s="370">
        <v>45713</v>
      </c>
      <c r="H357" s="369">
        <v>25000</v>
      </c>
      <c r="I357" s="365" t="s">
        <v>8861</v>
      </c>
      <c r="J357" s="365" t="s">
        <v>1228</v>
      </c>
      <c r="K357" s="365" t="s">
        <v>1229</v>
      </c>
      <c r="L357" s="370">
        <v>45706.570405092592</v>
      </c>
    </row>
    <row r="358" spans="1:12">
      <c r="A358" s="370">
        <v>45706.711527777778</v>
      </c>
      <c r="B358" s="365" t="s">
        <v>8862</v>
      </c>
      <c r="C358" s="365" t="s">
        <v>7573</v>
      </c>
      <c r="D358" s="365" t="s">
        <v>2282</v>
      </c>
      <c r="E358" s="365" t="s">
        <v>2283</v>
      </c>
      <c r="F358" s="365" t="s">
        <v>8863</v>
      </c>
      <c r="G358" s="370">
        <v>45681</v>
      </c>
      <c r="H358" s="369">
        <v>60000</v>
      </c>
      <c r="I358" s="365" t="s">
        <v>8864</v>
      </c>
      <c r="J358" s="365" t="s">
        <v>1228</v>
      </c>
      <c r="K358" s="365" t="s">
        <v>1229</v>
      </c>
      <c r="L358" s="370">
        <v>45706.712951388887</v>
      </c>
    </row>
    <row r="359" spans="1:12">
      <c r="A359" s="370">
        <v>45706.763807870368</v>
      </c>
      <c r="B359" s="365" t="s">
        <v>8865</v>
      </c>
      <c r="C359" s="365" t="s">
        <v>8839</v>
      </c>
      <c r="D359" s="365" t="s">
        <v>6719</v>
      </c>
      <c r="E359" s="365" t="s">
        <v>6720</v>
      </c>
      <c r="F359" s="365" t="s">
        <v>8866</v>
      </c>
      <c r="G359" s="370">
        <v>45681</v>
      </c>
      <c r="H359" s="369">
        <v>15999</v>
      </c>
      <c r="I359" s="365" t="s">
        <v>8867</v>
      </c>
      <c r="J359" s="365" t="s">
        <v>1228</v>
      </c>
      <c r="K359" s="365" t="s">
        <v>1229</v>
      </c>
      <c r="L359" s="370">
        <v>45706.764849537038</v>
      </c>
    </row>
    <row r="360" spans="1:12">
      <c r="A360" s="370">
        <v>45707.305810185186</v>
      </c>
      <c r="B360" s="365" t="s">
        <v>8868</v>
      </c>
      <c r="C360" s="365" t="s">
        <v>7805</v>
      </c>
      <c r="D360" s="365" t="s">
        <v>1315</v>
      </c>
      <c r="E360" s="365" t="s">
        <v>1316</v>
      </c>
      <c r="F360" s="365" t="s">
        <v>8869</v>
      </c>
      <c r="G360" s="370">
        <v>45681</v>
      </c>
      <c r="H360" s="369">
        <v>15999</v>
      </c>
      <c r="I360" s="365" t="s">
        <v>8870</v>
      </c>
      <c r="J360" s="365" t="s">
        <v>1228</v>
      </c>
      <c r="K360" s="365" t="s">
        <v>1229</v>
      </c>
      <c r="L360" s="370">
        <v>45707.309513888889</v>
      </c>
    </row>
    <row r="361" spans="1:12">
      <c r="A361" s="370">
        <v>45707.330590277779</v>
      </c>
      <c r="B361" s="365" t="s">
        <v>8871</v>
      </c>
      <c r="C361" s="365" t="s">
        <v>7609</v>
      </c>
      <c r="D361" s="365" t="s">
        <v>3697</v>
      </c>
      <c r="E361" s="365" t="s">
        <v>3698</v>
      </c>
      <c r="F361" s="365" t="s">
        <v>8872</v>
      </c>
      <c r="G361" s="370">
        <v>45713</v>
      </c>
      <c r="H361" s="369">
        <v>60000</v>
      </c>
      <c r="I361" s="365" t="s">
        <v>8873</v>
      </c>
      <c r="J361" s="365" t="s">
        <v>1228</v>
      </c>
      <c r="K361" s="365" t="s">
        <v>1229</v>
      </c>
      <c r="L361" s="370">
        <v>45707.333819444444</v>
      </c>
    </row>
    <row r="362" spans="1:12">
      <c r="A362" s="370">
        <v>45707.390081018515</v>
      </c>
      <c r="B362" s="365" t="s">
        <v>8874</v>
      </c>
      <c r="C362" s="365" t="s">
        <v>7510</v>
      </c>
      <c r="D362" s="365" t="s">
        <v>7511</v>
      </c>
      <c r="E362" s="365" t="s">
        <v>7512</v>
      </c>
      <c r="F362" s="365" t="s">
        <v>8875</v>
      </c>
      <c r="G362" s="370">
        <v>45681</v>
      </c>
      <c r="H362" s="369">
        <v>54000</v>
      </c>
      <c r="I362" s="365" t="s">
        <v>8876</v>
      </c>
      <c r="J362" s="365" t="s">
        <v>1228</v>
      </c>
      <c r="K362" s="365" t="s">
        <v>1229</v>
      </c>
      <c r="L362" s="370">
        <v>45707.392905092594</v>
      </c>
    </row>
    <row r="363" spans="1:12">
      <c r="A363" s="370">
        <v>45707.438657407409</v>
      </c>
      <c r="B363" s="365" t="s">
        <v>8877</v>
      </c>
      <c r="C363" s="365" t="s">
        <v>7719</v>
      </c>
      <c r="D363" s="365" t="s">
        <v>4658</v>
      </c>
      <c r="E363" s="365" t="s">
        <v>4659</v>
      </c>
      <c r="F363" s="365" t="s">
        <v>8878</v>
      </c>
      <c r="G363" s="370">
        <v>45681</v>
      </c>
      <c r="H363" s="369">
        <v>30000</v>
      </c>
      <c r="I363" s="365" t="s">
        <v>8879</v>
      </c>
      <c r="J363" s="365" t="s">
        <v>1228</v>
      </c>
      <c r="K363" s="365" t="s">
        <v>1229</v>
      </c>
      <c r="L363" s="370">
        <v>45707.441238425927</v>
      </c>
    </row>
    <row r="364" spans="1:12">
      <c r="A364" s="370">
        <v>45707.44568287037</v>
      </c>
      <c r="B364" s="365" t="s">
        <v>8880</v>
      </c>
      <c r="C364" s="365" t="s">
        <v>7614</v>
      </c>
      <c r="D364" s="365" t="s">
        <v>3745</v>
      </c>
      <c r="E364" s="365" t="s">
        <v>3746</v>
      </c>
      <c r="F364" s="365" t="s">
        <v>8881</v>
      </c>
      <c r="G364" s="370">
        <v>45713</v>
      </c>
      <c r="H364" s="369">
        <v>12000</v>
      </c>
      <c r="I364" s="365" t="s">
        <v>8882</v>
      </c>
      <c r="J364" s="365" t="s">
        <v>1228</v>
      </c>
      <c r="K364" s="365" t="s">
        <v>1229</v>
      </c>
      <c r="L364" s="370">
        <v>45707.448368055557</v>
      </c>
    </row>
    <row r="365" spans="1:12">
      <c r="A365" s="370">
        <v>45707.470590277779</v>
      </c>
      <c r="B365" s="365" t="s">
        <v>8883</v>
      </c>
      <c r="C365" s="365" t="s">
        <v>7695</v>
      </c>
      <c r="D365" s="365" t="s">
        <v>7696</v>
      </c>
      <c r="E365" s="365" t="s">
        <v>7697</v>
      </c>
      <c r="F365" s="365" t="s">
        <v>8884</v>
      </c>
      <c r="G365" s="370">
        <v>45681</v>
      </c>
      <c r="H365" s="369">
        <v>15999</v>
      </c>
      <c r="I365" s="365" t="s">
        <v>8885</v>
      </c>
      <c r="J365" s="365" t="s">
        <v>1228</v>
      </c>
      <c r="K365" s="365" t="s">
        <v>1229</v>
      </c>
      <c r="L365" s="370">
        <v>45707.472754629627</v>
      </c>
    </row>
    <row r="366" spans="1:12">
      <c r="A366" s="370">
        <v>45707.489756944444</v>
      </c>
      <c r="B366" s="365" t="s">
        <v>8886</v>
      </c>
      <c r="C366" s="365" t="s">
        <v>8887</v>
      </c>
      <c r="D366" s="365" t="s">
        <v>4392</v>
      </c>
      <c r="E366" s="365" t="s">
        <v>4393</v>
      </c>
      <c r="F366" s="365" t="s">
        <v>8888</v>
      </c>
      <c r="G366" s="370">
        <v>45681</v>
      </c>
      <c r="H366" s="369">
        <v>31999</v>
      </c>
      <c r="I366" s="365" t="s">
        <v>8889</v>
      </c>
      <c r="J366" s="365" t="s">
        <v>1228</v>
      </c>
      <c r="K366" s="365" t="s">
        <v>1229</v>
      </c>
      <c r="L366" s="370">
        <v>45707.493530092594</v>
      </c>
    </row>
    <row r="367" spans="1:12">
      <c r="A367" s="370">
        <v>45707.492268518516</v>
      </c>
      <c r="B367" s="365" t="s">
        <v>8890</v>
      </c>
      <c r="C367" s="365" t="s">
        <v>7501</v>
      </c>
      <c r="D367" s="365" t="s">
        <v>3546</v>
      </c>
      <c r="E367" s="365" t="s">
        <v>3547</v>
      </c>
      <c r="F367" s="365" t="s">
        <v>8891</v>
      </c>
      <c r="G367" s="370">
        <v>45681</v>
      </c>
      <c r="H367" s="369">
        <v>30000</v>
      </c>
      <c r="I367" s="365" t="s">
        <v>8892</v>
      </c>
      <c r="J367" s="365" t="s">
        <v>1228</v>
      </c>
      <c r="K367" s="365" t="s">
        <v>1229</v>
      </c>
      <c r="L367" s="370">
        <v>45707.493726851855</v>
      </c>
    </row>
    <row r="368" spans="1:12">
      <c r="A368" s="370">
        <v>45707.54115740741</v>
      </c>
      <c r="B368" s="365" t="s">
        <v>8893</v>
      </c>
      <c r="C368" s="365" t="s">
        <v>7601</v>
      </c>
      <c r="D368" s="365" t="s">
        <v>3116</v>
      </c>
      <c r="E368" s="365" t="s">
        <v>3117</v>
      </c>
      <c r="F368" s="365" t="s">
        <v>8894</v>
      </c>
      <c r="G368" s="370">
        <v>45713</v>
      </c>
      <c r="H368" s="369">
        <v>15000</v>
      </c>
      <c r="I368" s="365" t="s">
        <v>8895</v>
      </c>
      <c r="J368" s="365" t="s">
        <v>1228</v>
      </c>
      <c r="K368" s="365" t="s">
        <v>1229</v>
      </c>
      <c r="L368" s="370">
        <v>45707.542754629627</v>
      </c>
    </row>
    <row r="369" spans="1:12">
      <c r="A369" s="370">
        <v>45707.587083333332</v>
      </c>
      <c r="B369" s="365" t="s">
        <v>8896</v>
      </c>
      <c r="C369" s="365" t="s">
        <v>7673</v>
      </c>
      <c r="D369" s="365" t="s">
        <v>6489</v>
      </c>
      <c r="E369" s="365" t="s">
        <v>6490</v>
      </c>
      <c r="F369" s="365" t="s">
        <v>8897</v>
      </c>
      <c r="G369" s="370">
        <v>45681</v>
      </c>
      <c r="H369" s="369">
        <v>71000</v>
      </c>
      <c r="I369" s="365" t="s">
        <v>8898</v>
      </c>
      <c r="J369" s="365" t="s">
        <v>1228</v>
      </c>
      <c r="K369" s="365" t="s">
        <v>1229</v>
      </c>
      <c r="L369" s="370">
        <v>45707.587881944448</v>
      </c>
    </row>
    <row r="370" spans="1:12">
      <c r="A370" s="370">
        <v>45707.638935185183</v>
      </c>
      <c r="B370" s="365" t="s">
        <v>8899</v>
      </c>
      <c r="C370" s="365" t="s">
        <v>7801</v>
      </c>
      <c r="D370" s="365" t="s">
        <v>2645</v>
      </c>
      <c r="E370" s="365" t="s">
        <v>2646</v>
      </c>
      <c r="F370" s="365" t="s">
        <v>8900</v>
      </c>
      <c r="G370" s="370">
        <v>45713</v>
      </c>
      <c r="H370" s="369">
        <v>30000</v>
      </c>
      <c r="I370" s="365" t="s">
        <v>8901</v>
      </c>
      <c r="J370" s="365" t="s">
        <v>1228</v>
      </c>
      <c r="K370" s="365" t="s">
        <v>1229</v>
      </c>
      <c r="L370" s="370">
        <v>45707.640127314815</v>
      </c>
    </row>
    <row r="371" spans="1:12">
      <c r="A371" s="370">
        <v>45707.696446759262</v>
      </c>
      <c r="B371" s="365" t="s">
        <v>8902</v>
      </c>
      <c r="C371" s="365" t="s">
        <v>7793</v>
      </c>
      <c r="D371" s="365" t="s">
        <v>1387</v>
      </c>
      <c r="E371" s="365" t="s">
        <v>1388</v>
      </c>
      <c r="F371" s="365" t="s">
        <v>8903</v>
      </c>
      <c r="G371" s="370">
        <v>45621</v>
      </c>
      <c r="H371" s="369">
        <v>25000</v>
      </c>
      <c r="I371" s="365" t="s">
        <v>8904</v>
      </c>
      <c r="J371" s="365" t="s">
        <v>1228</v>
      </c>
      <c r="K371" s="365" t="s">
        <v>1229</v>
      </c>
      <c r="L371" s="370">
        <v>45707.698831018519</v>
      </c>
    </row>
    <row r="372" spans="1:12">
      <c r="A372" s="370">
        <v>45707.722870370373</v>
      </c>
      <c r="B372" s="365" t="s">
        <v>8905</v>
      </c>
      <c r="C372" s="365" t="s">
        <v>7653</v>
      </c>
      <c r="D372" s="365" t="s">
        <v>1654</v>
      </c>
      <c r="E372" s="365" t="s">
        <v>1655</v>
      </c>
      <c r="F372" s="365" t="s">
        <v>8906</v>
      </c>
      <c r="G372" s="370">
        <v>45681</v>
      </c>
      <c r="H372" s="369">
        <v>89000</v>
      </c>
      <c r="I372" s="365" t="s">
        <v>8907</v>
      </c>
      <c r="J372" s="365" t="s">
        <v>1228</v>
      </c>
      <c r="K372" s="365" t="s">
        <v>1229</v>
      </c>
      <c r="L372" s="370">
        <v>45707.72314814815</v>
      </c>
    </row>
    <row r="373" spans="1:12">
      <c r="A373" s="370">
        <v>45707.728587962964</v>
      </c>
      <c r="B373" s="365" t="s">
        <v>8908</v>
      </c>
      <c r="C373" s="365" t="s">
        <v>7736</v>
      </c>
      <c r="D373" s="365" t="s">
        <v>1519</v>
      </c>
      <c r="E373" s="365" t="s">
        <v>6737</v>
      </c>
      <c r="F373" s="365" t="s">
        <v>8909</v>
      </c>
      <c r="G373" s="370">
        <v>45713</v>
      </c>
      <c r="H373" s="369">
        <v>28000</v>
      </c>
      <c r="I373" s="365" t="s">
        <v>8910</v>
      </c>
      <c r="J373" s="365" t="s">
        <v>1228</v>
      </c>
      <c r="K373" s="365" t="s">
        <v>1229</v>
      </c>
      <c r="L373" s="370">
        <v>45707.730127314811</v>
      </c>
    </row>
    <row r="374" spans="1:12">
      <c r="A374" s="370">
        <v>45707.732523148145</v>
      </c>
      <c r="B374" s="365" t="s">
        <v>8911</v>
      </c>
      <c r="C374" s="365" t="s">
        <v>8912</v>
      </c>
      <c r="D374" s="365" t="s">
        <v>1408</v>
      </c>
      <c r="E374" s="365" t="s">
        <v>1409</v>
      </c>
      <c r="F374" s="365" t="s">
        <v>8913</v>
      </c>
      <c r="G374" s="370">
        <v>45681</v>
      </c>
      <c r="H374" s="369">
        <v>26000</v>
      </c>
      <c r="I374" s="365" t="s">
        <v>8914</v>
      </c>
      <c r="J374" s="365" t="s">
        <v>1228</v>
      </c>
      <c r="K374" s="365" t="s">
        <v>1229</v>
      </c>
      <c r="L374" s="370">
        <v>45707.733865740738</v>
      </c>
    </row>
    <row r="375" spans="1:12">
      <c r="A375" s="370">
        <v>45707.7343287037</v>
      </c>
      <c r="B375" s="365" t="s">
        <v>8915</v>
      </c>
      <c r="C375" s="365" t="s">
        <v>7751</v>
      </c>
      <c r="D375" s="365" t="s">
        <v>1289</v>
      </c>
      <c r="E375" s="365" t="s">
        <v>1290</v>
      </c>
      <c r="F375" s="365" t="s">
        <v>8916</v>
      </c>
      <c r="G375" s="370">
        <v>45713</v>
      </c>
      <c r="H375" s="369">
        <v>218000</v>
      </c>
      <c r="I375" s="365" t="s">
        <v>8917</v>
      </c>
      <c r="J375" s="365" t="s">
        <v>1228</v>
      </c>
      <c r="K375" s="365" t="s">
        <v>1229</v>
      </c>
      <c r="L375" s="370">
        <v>45707.737175925926</v>
      </c>
    </row>
    <row r="376" spans="1:12">
      <c r="A376" s="370">
        <v>45707.804050925923</v>
      </c>
      <c r="B376" s="365" t="s">
        <v>8918</v>
      </c>
      <c r="C376" s="365" t="s">
        <v>7788</v>
      </c>
      <c r="D376" s="365" t="s">
        <v>2397</v>
      </c>
      <c r="E376" s="365" t="s">
        <v>2398</v>
      </c>
      <c r="F376" s="365" t="s">
        <v>8919</v>
      </c>
      <c r="G376" s="370">
        <v>45713</v>
      </c>
      <c r="H376" s="369">
        <v>25000</v>
      </c>
      <c r="I376" s="365" t="s">
        <v>8920</v>
      </c>
      <c r="J376" s="365" t="s">
        <v>1228</v>
      </c>
      <c r="K376" s="365" t="s">
        <v>1229</v>
      </c>
      <c r="L376" s="370">
        <v>45707.806458333333</v>
      </c>
    </row>
    <row r="377" spans="1:12">
      <c r="A377" s="370">
        <v>45707.868287037039</v>
      </c>
      <c r="B377" s="365" t="s">
        <v>8921</v>
      </c>
      <c r="C377" s="365" t="s">
        <v>7704</v>
      </c>
      <c r="D377" s="365" t="s">
        <v>7705</v>
      </c>
      <c r="E377" s="365" t="s">
        <v>7706</v>
      </c>
      <c r="F377" s="365" t="s">
        <v>8922</v>
      </c>
      <c r="G377" s="370">
        <v>45681</v>
      </c>
      <c r="H377" s="369">
        <v>51000</v>
      </c>
      <c r="I377" s="365" t="s">
        <v>8923</v>
      </c>
      <c r="J377" s="365" t="s">
        <v>1228</v>
      </c>
      <c r="K377" s="365" t="s">
        <v>1229</v>
      </c>
      <c r="L377" s="370">
        <v>45707.869062500002</v>
      </c>
    </row>
    <row r="378" spans="1:12">
      <c r="A378" s="370">
        <v>45707.919131944444</v>
      </c>
      <c r="B378" s="365" t="s">
        <v>8924</v>
      </c>
      <c r="C378" s="365" t="s">
        <v>7657</v>
      </c>
      <c r="D378" s="365" t="s">
        <v>1493</v>
      </c>
      <c r="E378" s="365" t="s">
        <v>1494</v>
      </c>
      <c r="F378" s="365" t="s">
        <v>8925</v>
      </c>
      <c r="G378" s="370">
        <v>45713</v>
      </c>
      <c r="H378" s="369">
        <v>20499</v>
      </c>
      <c r="I378" s="365" t="s">
        <v>8926</v>
      </c>
      <c r="J378" s="365" t="s">
        <v>1228</v>
      </c>
      <c r="K378" s="365" t="s">
        <v>1229</v>
      </c>
      <c r="L378" s="370">
        <v>45707.921203703707</v>
      </c>
    </row>
    <row r="379" spans="1:12">
      <c r="A379" s="370">
        <v>45707.510162037041</v>
      </c>
      <c r="B379" s="365" t="s">
        <v>8927</v>
      </c>
      <c r="C379" s="365" t="s">
        <v>7603</v>
      </c>
      <c r="D379" s="365" t="s">
        <v>3284</v>
      </c>
      <c r="E379" s="365" t="s">
        <v>3285</v>
      </c>
      <c r="F379" s="365" t="s">
        <v>8928</v>
      </c>
      <c r="G379" s="370">
        <v>45713</v>
      </c>
      <c r="H379" s="369">
        <v>40000</v>
      </c>
      <c r="I379" s="365" t="s">
        <v>8929</v>
      </c>
      <c r="J379" s="365" t="s">
        <v>1228</v>
      </c>
      <c r="K379" s="365" t="s">
        <v>1229</v>
      </c>
      <c r="L379" s="370">
        <v>45707.511342592596</v>
      </c>
    </row>
    <row r="380" spans="1:12">
      <c r="A380" s="370">
        <v>45707.623182870368</v>
      </c>
      <c r="B380" s="365" t="s">
        <v>8930</v>
      </c>
      <c r="C380" s="365" t="s">
        <v>7679</v>
      </c>
      <c r="D380" s="365" t="s">
        <v>1808</v>
      </c>
      <c r="E380" s="365" t="s">
        <v>1809</v>
      </c>
      <c r="F380" s="365" t="s">
        <v>8931</v>
      </c>
      <c r="G380" s="370">
        <v>45713</v>
      </c>
      <c r="H380" s="369">
        <v>39000</v>
      </c>
      <c r="I380" s="365" t="s">
        <v>8932</v>
      </c>
      <c r="J380" s="365" t="s">
        <v>1228</v>
      </c>
      <c r="K380" s="365" t="s">
        <v>1229</v>
      </c>
      <c r="L380" s="370">
        <v>45707.626192129632</v>
      </c>
    </row>
    <row r="381" spans="1:12">
      <c r="A381" s="370">
        <v>45707.665347222224</v>
      </c>
      <c r="B381" s="365" t="s">
        <v>8933</v>
      </c>
      <c r="C381" s="365" t="s">
        <v>7809</v>
      </c>
      <c r="D381" s="365" t="s">
        <v>1562</v>
      </c>
      <c r="E381" s="365" t="s">
        <v>1563</v>
      </c>
      <c r="F381" s="365" t="s">
        <v>8934</v>
      </c>
      <c r="G381" s="370">
        <v>45681</v>
      </c>
      <c r="H381" s="369">
        <v>120000</v>
      </c>
      <c r="I381" s="365" t="s">
        <v>8935</v>
      </c>
      <c r="J381" s="365" t="s">
        <v>1228</v>
      </c>
      <c r="K381" s="365" t="s">
        <v>1229</v>
      </c>
      <c r="L381" s="370">
        <v>45707.667627314811</v>
      </c>
    </row>
    <row r="382" spans="1:12">
      <c r="A382" s="370">
        <v>45707.45412037037</v>
      </c>
      <c r="B382" s="365" t="s">
        <v>8936</v>
      </c>
      <c r="C382" s="365" t="s">
        <v>7664</v>
      </c>
      <c r="D382" s="365" t="s">
        <v>1686</v>
      </c>
      <c r="E382" s="365" t="s">
        <v>1687</v>
      </c>
      <c r="F382" s="365" t="s">
        <v>8937</v>
      </c>
      <c r="G382" s="370">
        <v>45713</v>
      </c>
      <c r="H382" s="369">
        <v>15000</v>
      </c>
      <c r="I382" s="365" t="s">
        <v>8938</v>
      </c>
      <c r="J382" s="365" t="s">
        <v>1228</v>
      </c>
      <c r="K382" s="365" t="s">
        <v>1229</v>
      </c>
      <c r="L382" s="370">
        <v>45707.45516203704</v>
      </c>
    </row>
    <row r="383" spans="1:12">
      <c r="A383" s="370">
        <v>45707.481446759259</v>
      </c>
      <c r="B383" s="365" t="s">
        <v>8939</v>
      </c>
      <c r="C383" s="365" t="s">
        <v>7537</v>
      </c>
      <c r="D383" s="365" t="s">
        <v>7721</v>
      </c>
      <c r="E383" s="365" t="s">
        <v>7722</v>
      </c>
      <c r="F383" s="365" t="s">
        <v>8940</v>
      </c>
      <c r="G383" s="370">
        <v>45681</v>
      </c>
      <c r="H383" s="369">
        <v>79500</v>
      </c>
      <c r="I383" s="365" t="s">
        <v>8941</v>
      </c>
      <c r="J383" s="365" t="s">
        <v>1228</v>
      </c>
      <c r="K383" s="365" t="s">
        <v>1229</v>
      </c>
      <c r="L383" s="370">
        <v>45707.483124999999</v>
      </c>
    </row>
    <row r="384" spans="1:12">
      <c r="A384" s="370">
        <v>45707.491712962961</v>
      </c>
      <c r="B384" s="365" t="s">
        <v>8942</v>
      </c>
      <c r="C384" s="365" t="s">
        <v>7501</v>
      </c>
      <c r="D384" s="365" t="s">
        <v>8943</v>
      </c>
      <c r="E384" s="365" t="s">
        <v>8944</v>
      </c>
      <c r="F384" s="365" t="s">
        <v>8945</v>
      </c>
      <c r="G384" s="370">
        <v>45652</v>
      </c>
      <c r="H384" s="369">
        <v>9000</v>
      </c>
      <c r="I384" s="365" t="s">
        <v>8946</v>
      </c>
      <c r="J384" s="365" t="s">
        <v>1228</v>
      </c>
      <c r="K384" s="365" t="s">
        <v>1229</v>
      </c>
      <c r="L384" s="370">
        <v>45707.49391203704</v>
      </c>
    </row>
    <row r="385" spans="1:12">
      <c r="A385" s="370">
        <v>45707.5934837963</v>
      </c>
      <c r="B385" s="365" t="s">
        <v>8947</v>
      </c>
      <c r="C385" s="365" t="s">
        <v>7712</v>
      </c>
      <c r="D385" s="365" t="s">
        <v>6063</v>
      </c>
      <c r="E385" s="365" t="s">
        <v>6064</v>
      </c>
      <c r="F385" s="365" t="s">
        <v>8948</v>
      </c>
      <c r="G385" s="370">
        <v>45681</v>
      </c>
      <c r="H385" s="369">
        <v>27000</v>
      </c>
      <c r="I385" s="365" t="s">
        <v>8949</v>
      </c>
      <c r="J385" s="365" t="s">
        <v>1228</v>
      </c>
      <c r="K385" s="365" t="s">
        <v>1229</v>
      </c>
      <c r="L385" s="370">
        <v>45707.594664351855</v>
      </c>
    </row>
    <row r="386" spans="1:12">
      <c r="A386" s="370">
        <v>45707.633425925924</v>
      </c>
      <c r="B386" s="365" t="s">
        <v>8950</v>
      </c>
      <c r="C386" s="365" t="s">
        <v>7641</v>
      </c>
      <c r="D386" s="365" t="s">
        <v>1425</v>
      </c>
      <c r="E386" s="365" t="s">
        <v>1426</v>
      </c>
      <c r="F386" s="365" t="s">
        <v>8951</v>
      </c>
      <c r="G386" s="370">
        <v>45713</v>
      </c>
      <c r="H386" s="369">
        <v>168000</v>
      </c>
      <c r="I386" s="365" t="s">
        <v>8952</v>
      </c>
      <c r="J386" s="365" t="s">
        <v>1228</v>
      </c>
      <c r="K386" s="365" t="s">
        <v>1229</v>
      </c>
      <c r="L386" s="370">
        <v>45707.636550925927</v>
      </c>
    </row>
    <row r="387" spans="1:12">
      <c r="A387" s="370">
        <v>45707.652083333334</v>
      </c>
      <c r="B387" s="365" t="s">
        <v>8953</v>
      </c>
      <c r="C387" s="365" t="s">
        <v>7641</v>
      </c>
      <c r="D387" s="365" t="s">
        <v>1425</v>
      </c>
      <c r="E387" s="365" t="s">
        <v>1426</v>
      </c>
      <c r="F387" s="365" t="s">
        <v>8954</v>
      </c>
      <c r="G387" s="370">
        <v>45681</v>
      </c>
      <c r="H387" s="369">
        <v>168000</v>
      </c>
      <c r="I387" s="365" t="s">
        <v>8955</v>
      </c>
      <c r="J387" s="365" t="s">
        <v>1228</v>
      </c>
      <c r="K387" s="365" t="s">
        <v>1229</v>
      </c>
      <c r="L387" s="370">
        <v>45707.653749999998</v>
      </c>
    </row>
    <row r="388" spans="1:12">
      <c r="A388" s="370">
        <v>45707.772083333337</v>
      </c>
      <c r="B388" s="365" t="s">
        <v>8956</v>
      </c>
      <c r="C388" s="365" t="s">
        <v>7621</v>
      </c>
      <c r="D388" s="365" t="s">
        <v>1417</v>
      </c>
      <c r="E388" s="365" t="s">
        <v>1418</v>
      </c>
      <c r="F388" s="365" t="s">
        <v>8957</v>
      </c>
      <c r="G388" s="370">
        <v>45713</v>
      </c>
      <c r="H388" s="369">
        <v>131389</v>
      </c>
      <c r="I388" s="365" t="s">
        <v>8958</v>
      </c>
      <c r="J388" s="365" t="s">
        <v>1228</v>
      </c>
      <c r="K388" s="365" t="s">
        <v>1229</v>
      </c>
      <c r="L388" s="370">
        <v>45707.775312500002</v>
      </c>
    </row>
    <row r="389" spans="1:12">
      <c r="A389" s="370">
        <v>45707.868263888886</v>
      </c>
      <c r="B389" s="365" t="s">
        <v>8959</v>
      </c>
      <c r="C389" s="365" t="s">
        <v>7498</v>
      </c>
      <c r="D389" s="365" t="s">
        <v>1744</v>
      </c>
      <c r="E389" s="365" t="s">
        <v>1745</v>
      </c>
      <c r="F389" s="365" t="s">
        <v>8960</v>
      </c>
      <c r="G389" s="370">
        <v>45681</v>
      </c>
      <c r="H389" s="369">
        <v>27000</v>
      </c>
      <c r="I389" s="365" t="s">
        <v>8961</v>
      </c>
      <c r="J389" s="365" t="s">
        <v>1228</v>
      </c>
      <c r="K389" s="365" t="s">
        <v>1229</v>
      </c>
      <c r="L389" s="370">
        <v>45707.869270833333</v>
      </c>
    </row>
    <row r="390" spans="1:12">
      <c r="A390" s="370">
        <v>45707.871215277781</v>
      </c>
      <c r="B390" s="365" t="s">
        <v>8962</v>
      </c>
      <c r="C390" s="365" t="s">
        <v>7630</v>
      </c>
      <c r="D390" s="365" t="s">
        <v>2572</v>
      </c>
      <c r="E390" s="365" t="s">
        <v>2573</v>
      </c>
      <c r="F390" s="365" t="s">
        <v>8963</v>
      </c>
      <c r="G390" s="370">
        <v>45681</v>
      </c>
      <c r="H390" s="369">
        <v>12000</v>
      </c>
      <c r="I390" s="365" t="s">
        <v>8964</v>
      </c>
      <c r="J390" s="365" t="s">
        <v>1228</v>
      </c>
      <c r="K390" s="365" t="s">
        <v>1229</v>
      </c>
      <c r="L390" s="370">
        <v>45707.872604166667</v>
      </c>
    </row>
    <row r="391" spans="1:12">
      <c r="A391" s="370">
        <v>45708.222245370373</v>
      </c>
      <c r="B391" s="365" t="s">
        <v>8965</v>
      </c>
      <c r="C391" s="365" t="s">
        <v>7513</v>
      </c>
      <c r="D391" s="365" t="s">
        <v>1336</v>
      </c>
      <c r="E391" s="365" t="s">
        <v>1337</v>
      </c>
      <c r="F391" s="365" t="s">
        <v>8966</v>
      </c>
      <c r="G391" s="370">
        <v>45652</v>
      </c>
      <c r="H391" s="369">
        <v>15999</v>
      </c>
      <c r="I391" s="365" t="s">
        <v>8967</v>
      </c>
      <c r="J391" s="365" t="s">
        <v>1228</v>
      </c>
      <c r="K391" s="365" t="s">
        <v>1229</v>
      </c>
      <c r="L391" s="370">
        <v>45708.222673611112</v>
      </c>
    </row>
    <row r="392" spans="1:12">
      <c r="A392" s="370">
        <v>45708.223194444443</v>
      </c>
      <c r="B392" s="365" t="s">
        <v>8968</v>
      </c>
      <c r="C392" s="365" t="s">
        <v>7513</v>
      </c>
      <c r="D392" s="365" t="s">
        <v>1336</v>
      </c>
      <c r="E392" s="365" t="s">
        <v>1337</v>
      </c>
      <c r="F392" s="365" t="s">
        <v>8969</v>
      </c>
      <c r="G392" s="370">
        <v>45681</v>
      </c>
      <c r="H392" s="369">
        <v>15999</v>
      </c>
      <c r="I392" s="365" t="s">
        <v>8970</v>
      </c>
      <c r="J392" s="365" t="s">
        <v>1228</v>
      </c>
      <c r="K392" s="365" t="s">
        <v>1229</v>
      </c>
      <c r="L392" s="370">
        <v>45708.22619212963</v>
      </c>
    </row>
    <row r="393" spans="1:12">
      <c r="A393" s="370">
        <v>45708.330659722225</v>
      </c>
      <c r="B393" s="365" t="s">
        <v>8971</v>
      </c>
      <c r="C393" s="365" t="s">
        <v>8748</v>
      </c>
      <c r="D393" s="365" t="s">
        <v>1773</v>
      </c>
      <c r="E393" s="365" t="s">
        <v>1774</v>
      </c>
      <c r="F393" s="365" t="s">
        <v>8972</v>
      </c>
      <c r="G393" s="370">
        <v>45681</v>
      </c>
      <c r="H393" s="369">
        <v>21000</v>
      </c>
      <c r="I393" s="365" t="s">
        <v>8973</v>
      </c>
      <c r="J393" s="365" t="s">
        <v>1228</v>
      </c>
      <c r="K393" s="365" t="s">
        <v>1229</v>
      </c>
      <c r="L393" s="370">
        <v>45708.333692129629</v>
      </c>
    </row>
    <row r="394" spans="1:12">
      <c r="A394" s="370">
        <v>45708.344467592593</v>
      </c>
      <c r="B394" s="365" t="s">
        <v>8974</v>
      </c>
      <c r="C394" s="365" t="s">
        <v>7513</v>
      </c>
      <c r="D394" s="365" t="s">
        <v>1730</v>
      </c>
      <c r="E394" s="365" t="s">
        <v>1731</v>
      </c>
      <c r="F394" s="365" t="s">
        <v>8975</v>
      </c>
      <c r="G394" s="370">
        <v>45681</v>
      </c>
      <c r="H394" s="369">
        <v>9000</v>
      </c>
      <c r="I394" s="365" t="s">
        <v>8976</v>
      </c>
      <c r="J394" s="365" t="s">
        <v>1228</v>
      </c>
      <c r="K394" s="365" t="s">
        <v>1229</v>
      </c>
      <c r="L394" s="370">
        <v>45708.347685185188</v>
      </c>
    </row>
    <row r="395" spans="1:12">
      <c r="A395" s="370">
        <v>45708.37122685185</v>
      </c>
      <c r="B395" s="365" t="s">
        <v>8977</v>
      </c>
      <c r="C395" s="365" t="s">
        <v>7786</v>
      </c>
      <c r="D395" s="365" t="s">
        <v>4291</v>
      </c>
      <c r="E395" s="365" t="s">
        <v>4292</v>
      </c>
      <c r="F395" s="365" t="s">
        <v>8978</v>
      </c>
      <c r="G395" s="370">
        <v>45713</v>
      </c>
      <c r="H395" s="369">
        <v>21000</v>
      </c>
      <c r="I395" s="365" t="s">
        <v>8979</v>
      </c>
      <c r="J395" s="365" t="s">
        <v>1228</v>
      </c>
      <c r="K395" s="365" t="s">
        <v>1229</v>
      </c>
      <c r="L395" s="370">
        <v>45708.372002314813</v>
      </c>
    </row>
    <row r="396" spans="1:12">
      <c r="A396" s="370">
        <v>45708.420844907407</v>
      </c>
      <c r="B396" s="365" t="s">
        <v>8980</v>
      </c>
      <c r="C396" s="365" t="s">
        <v>7501</v>
      </c>
      <c r="D396" s="365" t="s">
        <v>1578</v>
      </c>
      <c r="E396" s="365" t="s">
        <v>1579</v>
      </c>
      <c r="F396" s="365" t="s">
        <v>8981</v>
      </c>
      <c r="G396" s="370">
        <v>45681</v>
      </c>
      <c r="H396" s="369">
        <v>15000</v>
      </c>
      <c r="I396" s="365" t="s">
        <v>8982</v>
      </c>
      <c r="J396" s="365" t="s">
        <v>1228</v>
      </c>
      <c r="K396" s="365" t="s">
        <v>1229</v>
      </c>
      <c r="L396" s="370">
        <v>45708.42386574074</v>
      </c>
    </row>
    <row r="397" spans="1:12">
      <c r="A397" s="370">
        <v>45708.421261574076</v>
      </c>
      <c r="B397" s="365" t="s">
        <v>8983</v>
      </c>
      <c r="C397" s="365" t="s">
        <v>7501</v>
      </c>
      <c r="D397" s="365" t="s">
        <v>1500</v>
      </c>
      <c r="E397" s="365" t="s">
        <v>1501</v>
      </c>
      <c r="F397" s="365" t="s">
        <v>8984</v>
      </c>
      <c r="G397" s="370">
        <v>45681</v>
      </c>
      <c r="H397" s="369">
        <v>15000</v>
      </c>
      <c r="I397" s="365" t="s">
        <v>8985</v>
      </c>
      <c r="J397" s="365" t="s">
        <v>1228</v>
      </c>
      <c r="K397" s="365" t="s">
        <v>1229</v>
      </c>
      <c r="L397" s="370">
        <v>45708.424050925925</v>
      </c>
    </row>
    <row r="398" spans="1:12">
      <c r="A398" s="370">
        <v>45708.421851851854</v>
      </c>
      <c r="B398" s="365" t="s">
        <v>8986</v>
      </c>
      <c r="C398" s="365" t="s">
        <v>7501</v>
      </c>
      <c r="D398" s="365" t="s">
        <v>1299</v>
      </c>
      <c r="E398" s="365" t="s">
        <v>1300</v>
      </c>
      <c r="F398" s="365" t="s">
        <v>8987</v>
      </c>
      <c r="G398" s="370">
        <v>45681</v>
      </c>
      <c r="H398" s="369">
        <v>27000</v>
      </c>
      <c r="I398" s="365" t="s">
        <v>8988</v>
      </c>
      <c r="J398" s="365" t="s">
        <v>1228</v>
      </c>
      <c r="K398" s="365" t="s">
        <v>1229</v>
      </c>
      <c r="L398" s="370">
        <v>45708.42423611111</v>
      </c>
    </row>
    <row r="399" spans="1:12">
      <c r="A399" s="370">
        <v>45708.431944444441</v>
      </c>
      <c r="B399" s="365" t="s">
        <v>8989</v>
      </c>
      <c r="C399" s="365" t="s">
        <v>7652</v>
      </c>
      <c r="D399" s="365" t="s">
        <v>3718</v>
      </c>
      <c r="E399" s="365" t="s">
        <v>3719</v>
      </c>
      <c r="F399" s="365" t="s">
        <v>8990</v>
      </c>
      <c r="G399" s="370">
        <v>45681</v>
      </c>
      <c r="H399" s="369">
        <v>24000</v>
      </c>
      <c r="I399" s="365" t="s">
        <v>8991</v>
      </c>
      <c r="J399" s="365" t="s">
        <v>1228</v>
      </c>
      <c r="K399" s="365" t="s">
        <v>1229</v>
      </c>
      <c r="L399" s="370">
        <v>45708.434131944443</v>
      </c>
    </row>
    <row r="400" spans="1:12">
      <c r="A400" s="370">
        <v>45708.432708333334</v>
      </c>
      <c r="B400" s="365" t="s">
        <v>8992</v>
      </c>
      <c r="C400" s="365" t="s">
        <v>7652</v>
      </c>
      <c r="D400" s="365" t="s">
        <v>3718</v>
      </c>
      <c r="E400" s="365" t="s">
        <v>3719</v>
      </c>
      <c r="F400" s="365" t="s">
        <v>8993</v>
      </c>
      <c r="G400" s="370">
        <v>45713</v>
      </c>
      <c r="H400" s="369">
        <v>24000</v>
      </c>
      <c r="I400" s="365" t="s">
        <v>8994</v>
      </c>
      <c r="J400" s="365" t="s">
        <v>1228</v>
      </c>
      <c r="K400" s="365" t="s">
        <v>1229</v>
      </c>
      <c r="L400" s="370">
        <v>45708.434155092589</v>
      </c>
    </row>
    <row r="401" spans="1:12">
      <c r="A401" s="370">
        <v>45708.437384259261</v>
      </c>
      <c r="B401" s="365" t="s">
        <v>8995</v>
      </c>
      <c r="C401" s="365" t="s">
        <v>7776</v>
      </c>
      <c r="D401" s="365" t="s">
        <v>4686</v>
      </c>
      <c r="E401" s="365" t="s">
        <v>4687</v>
      </c>
      <c r="F401" s="365" t="s">
        <v>8996</v>
      </c>
      <c r="G401" s="370">
        <v>45713</v>
      </c>
      <c r="H401" s="369">
        <v>27000</v>
      </c>
      <c r="I401" s="365" t="s">
        <v>8997</v>
      </c>
      <c r="J401" s="365" t="s">
        <v>1228</v>
      </c>
      <c r="K401" s="365" t="s">
        <v>1229</v>
      </c>
      <c r="L401" s="370">
        <v>45708.437858796293</v>
      </c>
    </row>
    <row r="402" spans="1:12">
      <c r="A402" s="370">
        <v>45708.463680555556</v>
      </c>
      <c r="B402" s="365" t="s">
        <v>8998</v>
      </c>
      <c r="C402" s="365" t="s">
        <v>7670</v>
      </c>
      <c r="D402" s="365" t="s">
        <v>2923</v>
      </c>
      <c r="E402" s="365" t="s">
        <v>2924</v>
      </c>
      <c r="F402" s="365" t="s">
        <v>8999</v>
      </c>
      <c r="G402" s="370">
        <v>45681</v>
      </c>
      <c r="H402" s="369">
        <v>12000</v>
      </c>
      <c r="I402" s="365" t="s">
        <v>9000</v>
      </c>
      <c r="J402" s="365" t="s">
        <v>1228</v>
      </c>
      <c r="K402" s="365" t="s">
        <v>1229</v>
      </c>
      <c r="L402" s="370">
        <v>45708.465752314813</v>
      </c>
    </row>
    <row r="403" spans="1:12">
      <c r="A403" s="370">
        <v>45708.546979166669</v>
      </c>
      <c r="B403" s="365" t="s">
        <v>9001</v>
      </c>
      <c r="C403" s="365" t="s">
        <v>7615</v>
      </c>
      <c r="D403" s="365" t="s">
        <v>7803</v>
      </c>
      <c r="E403" s="365" t="s">
        <v>9002</v>
      </c>
      <c r="F403" s="365" t="s">
        <v>9003</v>
      </c>
      <c r="G403" s="370">
        <v>45713</v>
      </c>
      <c r="H403" s="369">
        <v>20999</v>
      </c>
      <c r="I403" s="365" t="s">
        <v>9004</v>
      </c>
      <c r="J403" s="365" t="s">
        <v>1228</v>
      </c>
      <c r="K403" s="365" t="s">
        <v>1229</v>
      </c>
      <c r="L403" s="370">
        <v>45708.549108796295</v>
      </c>
    </row>
    <row r="404" spans="1:12">
      <c r="A404" s="370">
        <v>45708.630289351851</v>
      </c>
      <c r="B404" s="365" t="s">
        <v>9005</v>
      </c>
      <c r="C404" s="365" t="s">
        <v>7708</v>
      </c>
      <c r="D404" s="365" t="s">
        <v>4404</v>
      </c>
      <c r="E404" s="365" t="s">
        <v>4405</v>
      </c>
      <c r="F404" s="365" t="s">
        <v>9006</v>
      </c>
      <c r="G404" s="370">
        <v>45681</v>
      </c>
      <c r="H404" s="369">
        <v>29000</v>
      </c>
      <c r="I404" s="365" t="s">
        <v>9007</v>
      </c>
      <c r="J404" s="365" t="s">
        <v>1228</v>
      </c>
      <c r="K404" s="365" t="s">
        <v>1229</v>
      </c>
      <c r="L404" s="370">
        <v>45708.632916666669</v>
      </c>
    </row>
    <row r="405" spans="1:12">
      <c r="A405" s="370">
        <v>45708.680891203701</v>
      </c>
      <c r="B405" s="365" t="s">
        <v>9008</v>
      </c>
      <c r="C405" s="365" t="s">
        <v>7669</v>
      </c>
      <c r="D405" s="365" t="s">
        <v>3809</v>
      </c>
      <c r="E405" s="365" t="s">
        <v>3810</v>
      </c>
      <c r="F405" s="365" t="s">
        <v>9009</v>
      </c>
      <c r="G405" s="370">
        <v>45713</v>
      </c>
      <c r="H405" s="369">
        <v>39000</v>
      </c>
      <c r="I405" s="365" t="s">
        <v>9010</v>
      </c>
      <c r="J405" s="365" t="s">
        <v>1228</v>
      </c>
      <c r="K405" s="365" t="s">
        <v>1229</v>
      </c>
      <c r="L405" s="370">
        <v>45708.681516203702</v>
      </c>
    </row>
    <row r="406" spans="1:12">
      <c r="A406" s="370">
        <v>45708.705740740741</v>
      </c>
      <c r="B406" s="365" t="s">
        <v>9011</v>
      </c>
      <c r="C406" s="365" t="s">
        <v>7713</v>
      </c>
      <c r="D406" s="365" t="s">
        <v>1496</v>
      </c>
      <c r="E406" s="365" t="s">
        <v>1497</v>
      </c>
      <c r="F406" s="365" t="s">
        <v>9012</v>
      </c>
      <c r="G406" s="370">
        <v>45713</v>
      </c>
      <c r="H406" s="369">
        <v>38000</v>
      </c>
      <c r="I406" s="365" t="s">
        <v>9013</v>
      </c>
      <c r="J406" s="365" t="s">
        <v>1228</v>
      </c>
      <c r="K406" s="365" t="s">
        <v>1229</v>
      </c>
      <c r="L406" s="370">
        <v>45708.709502314814</v>
      </c>
    </row>
    <row r="407" spans="1:12">
      <c r="A407" s="370">
        <v>45708.813067129631</v>
      </c>
      <c r="B407" s="365" t="s">
        <v>9014</v>
      </c>
      <c r="C407" s="365" t="s">
        <v>9015</v>
      </c>
      <c r="D407" s="365" t="s">
        <v>4415</v>
      </c>
      <c r="E407" s="365" t="s">
        <v>4416</v>
      </c>
      <c r="F407" s="365" t="s">
        <v>9016</v>
      </c>
      <c r="G407" s="370">
        <v>45681</v>
      </c>
      <c r="H407" s="369">
        <v>7501</v>
      </c>
      <c r="I407" s="365" t="s">
        <v>9017</v>
      </c>
      <c r="J407" s="365" t="s">
        <v>1228</v>
      </c>
      <c r="K407" s="365" t="s">
        <v>1229</v>
      </c>
      <c r="L407" s="370">
        <v>45708.813530092593</v>
      </c>
    </row>
    <row r="408" spans="1:12">
      <c r="A408" s="370">
        <v>45708.837835648148</v>
      </c>
      <c r="B408" s="365" t="s">
        <v>9018</v>
      </c>
      <c r="C408" s="365" t="s">
        <v>7676</v>
      </c>
      <c r="D408" s="365" t="s">
        <v>3628</v>
      </c>
      <c r="E408" s="365" t="s">
        <v>3629</v>
      </c>
      <c r="F408" s="365" t="s">
        <v>9019</v>
      </c>
      <c r="G408" s="370">
        <v>45713</v>
      </c>
      <c r="H408" s="369">
        <v>48000</v>
      </c>
      <c r="I408" s="365" t="s">
        <v>9020</v>
      </c>
      <c r="J408" s="365" t="s">
        <v>1228</v>
      </c>
      <c r="K408" s="365" t="s">
        <v>1229</v>
      </c>
      <c r="L408" s="370">
        <v>45708.841307870367</v>
      </c>
    </row>
    <row r="409" spans="1:12">
      <c r="A409" s="370">
        <v>45708.329895833333</v>
      </c>
      <c r="B409" s="365" t="s">
        <v>9021</v>
      </c>
      <c r="C409" s="365" t="s">
        <v>8748</v>
      </c>
      <c r="D409" s="365" t="s">
        <v>1796</v>
      </c>
      <c r="E409" s="365" t="s">
        <v>1797</v>
      </c>
      <c r="F409" s="365" t="s">
        <v>9022</v>
      </c>
      <c r="G409" s="370">
        <v>45681</v>
      </c>
      <c r="H409" s="369">
        <v>27000</v>
      </c>
      <c r="I409" s="365" t="s">
        <v>9023</v>
      </c>
      <c r="J409" s="365" t="s">
        <v>1228</v>
      </c>
      <c r="K409" s="365" t="s">
        <v>1229</v>
      </c>
      <c r="L409" s="370">
        <v>45708.33390046296</v>
      </c>
    </row>
    <row r="410" spans="1:12">
      <c r="A410" s="370">
        <v>45708.406111111108</v>
      </c>
      <c r="B410" s="365" t="s">
        <v>9024</v>
      </c>
      <c r="C410" s="365" t="s">
        <v>7617</v>
      </c>
      <c r="D410" s="365" t="s">
        <v>3380</v>
      </c>
      <c r="E410" s="365" t="s">
        <v>3381</v>
      </c>
      <c r="F410" s="365" t="s">
        <v>9025</v>
      </c>
      <c r="G410" s="370">
        <v>45713</v>
      </c>
      <c r="H410" s="369">
        <v>15000</v>
      </c>
      <c r="I410" s="365" t="s">
        <v>9026</v>
      </c>
      <c r="J410" s="365" t="s">
        <v>1228</v>
      </c>
      <c r="K410" s="365" t="s">
        <v>1229</v>
      </c>
      <c r="L410" s="370">
        <v>45708.406655092593</v>
      </c>
    </row>
    <row r="411" spans="1:12">
      <c r="A411" s="370">
        <v>45708.546435185184</v>
      </c>
      <c r="B411" s="365" t="s">
        <v>9027</v>
      </c>
      <c r="C411" s="365" t="s">
        <v>7615</v>
      </c>
      <c r="D411" s="365" t="s">
        <v>3435</v>
      </c>
      <c r="E411" s="365" t="s">
        <v>3436</v>
      </c>
      <c r="F411" s="365" t="s">
        <v>9028</v>
      </c>
      <c r="G411" s="370">
        <v>45713</v>
      </c>
      <c r="H411" s="369">
        <v>77000</v>
      </c>
      <c r="I411" s="365" t="s">
        <v>9029</v>
      </c>
      <c r="J411" s="365" t="s">
        <v>1228</v>
      </c>
      <c r="K411" s="365" t="s">
        <v>1229</v>
      </c>
      <c r="L411" s="370">
        <v>45708.549305555556</v>
      </c>
    </row>
    <row r="412" spans="1:12">
      <c r="A412" s="370">
        <v>45708.707997685182</v>
      </c>
      <c r="B412" s="365" t="s">
        <v>9030</v>
      </c>
      <c r="C412" s="365" t="s">
        <v>7713</v>
      </c>
      <c r="D412" s="365" t="s">
        <v>1498</v>
      </c>
      <c r="E412" s="365" t="s">
        <v>1499</v>
      </c>
      <c r="F412" s="365" t="s">
        <v>9031</v>
      </c>
      <c r="G412" s="370">
        <v>45713</v>
      </c>
      <c r="H412" s="369">
        <v>6000</v>
      </c>
      <c r="I412" s="365" t="s">
        <v>9032</v>
      </c>
      <c r="J412" s="365" t="s">
        <v>1228</v>
      </c>
      <c r="K412" s="365" t="s">
        <v>1229</v>
      </c>
      <c r="L412" s="370">
        <v>45708.70952546296</v>
      </c>
    </row>
    <row r="413" spans="1:12">
      <c r="A413" s="370">
        <v>45708.709328703706</v>
      </c>
      <c r="B413" s="365" t="s">
        <v>9033</v>
      </c>
      <c r="C413" s="365" t="s">
        <v>7663</v>
      </c>
      <c r="D413" s="365" t="s">
        <v>1326</v>
      </c>
      <c r="E413" s="365" t="s">
        <v>1327</v>
      </c>
      <c r="F413" s="365" t="s">
        <v>9034</v>
      </c>
      <c r="G413" s="370">
        <v>45681</v>
      </c>
      <c r="H413" s="369">
        <v>48000</v>
      </c>
      <c r="I413" s="365" t="s">
        <v>9035</v>
      </c>
      <c r="J413" s="365" t="s">
        <v>1228</v>
      </c>
      <c r="K413" s="365" t="s">
        <v>1229</v>
      </c>
      <c r="L413" s="370">
        <v>45708.713055555556</v>
      </c>
    </row>
    <row r="414" spans="1:12">
      <c r="A414" s="370">
        <v>45708.715960648151</v>
      </c>
      <c r="B414" s="365" t="s">
        <v>9036</v>
      </c>
      <c r="C414" s="365" t="s">
        <v>7554</v>
      </c>
      <c r="D414" s="365" t="s">
        <v>1439</v>
      </c>
      <c r="E414" s="365" t="s">
        <v>1440</v>
      </c>
      <c r="F414" s="365" t="s">
        <v>9037</v>
      </c>
      <c r="G414" s="370">
        <v>45681</v>
      </c>
      <c r="H414" s="369">
        <v>20336</v>
      </c>
      <c r="I414" s="365" t="s">
        <v>9038</v>
      </c>
      <c r="J414" s="365" t="s">
        <v>1228</v>
      </c>
      <c r="K414" s="365" t="s">
        <v>1229</v>
      </c>
      <c r="L414" s="370">
        <v>45708.716273148151</v>
      </c>
    </row>
    <row r="415" spans="1:12">
      <c r="A415" s="370">
        <v>45708.727395833332</v>
      </c>
      <c r="B415" s="365" t="s">
        <v>9039</v>
      </c>
      <c r="C415" s="365" t="s">
        <v>7703</v>
      </c>
      <c r="D415" s="365" t="s">
        <v>4451</v>
      </c>
      <c r="E415" s="365" t="s">
        <v>4452</v>
      </c>
      <c r="F415" s="365" t="s">
        <v>9040</v>
      </c>
      <c r="G415" s="370">
        <v>45681</v>
      </c>
      <c r="H415" s="369">
        <v>33000</v>
      </c>
      <c r="I415" s="365" t="s">
        <v>9041</v>
      </c>
      <c r="J415" s="365" t="s">
        <v>1228</v>
      </c>
      <c r="K415" s="365" t="s">
        <v>1229</v>
      </c>
      <c r="L415" s="370">
        <v>45708.730219907404</v>
      </c>
    </row>
    <row r="416" spans="1:12">
      <c r="A416" s="370">
        <v>45708.748495370368</v>
      </c>
      <c r="B416" s="365" t="s">
        <v>9042</v>
      </c>
      <c r="C416" s="365" t="s">
        <v>7770</v>
      </c>
      <c r="D416" s="365" t="s">
        <v>3853</v>
      </c>
      <c r="E416" s="365" t="s">
        <v>3854</v>
      </c>
      <c r="F416" s="365" t="s">
        <v>9043</v>
      </c>
      <c r="G416" s="370">
        <v>45713</v>
      </c>
      <c r="H416" s="369">
        <v>48000</v>
      </c>
      <c r="I416" s="365" t="s">
        <v>9044</v>
      </c>
      <c r="J416" s="365" t="s">
        <v>1228</v>
      </c>
      <c r="K416" s="365" t="s">
        <v>1229</v>
      </c>
      <c r="L416" s="370">
        <v>45708.75104166667</v>
      </c>
    </row>
    <row r="417" spans="1:12">
      <c r="A417" s="370">
        <v>45708.274641203701</v>
      </c>
      <c r="B417" s="365" t="s">
        <v>9045</v>
      </c>
      <c r="C417" s="365" t="s">
        <v>7607</v>
      </c>
      <c r="D417" s="365" t="s">
        <v>9046</v>
      </c>
      <c r="E417" s="365" t="s">
        <v>9047</v>
      </c>
      <c r="F417" s="365" t="s">
        <v>9048</v>
      </c>
      <c r="G417" s="370">
        <v>45713</v>
      </c>
      <c r="H417" s="369">
        <v>18312</v>
      </c>
      <c r="I417" s="365" t="s">
        <v>9049</v>
      </c>
      <c r="J417" s="365" t="s">
        <v>1228</v>
      </c>
      <c r="K417" s="365" t="s">
        <v>1229</v>
      </c>
      <c r="L417" s="370">
        <v>45708.278171296297</v>
      </c>
    </row>
    <row r="418" spans="1:12">
      <c r="A418" s="370">
        <v>45708.316782407404</v>
      </c>
      <c r="B418" s="365" t="s">
        <v>9050</v>
      </c>
      <c r="C418" s="365" t="s">
        <v>9051</v>
      </c>
      <c r="D418" s="365" t="s">
        <v>4936</v>
      </c>
      <c r="E418" s="365" t="s">
        <v>4937</v>
      </c>
      <c r="F418" s="365" t="s">
        <v>9052</v>
      </c>
      <c r="G418" s="370">
        <v>45713</v>
      </c>
      <c r="H418" s="369">
        <v>18000</v>
      </c>
      <c r="I418" s="365" t="s">
        <v>9053</v>
      </c>
      <c r="J418" s="365" t="s">
        <v>1228</v>
      </c>
      <c r="K418" s="365" t="s">
        <v>1229</v>
      </c>
      <c r="L418" s="370">
        <v>45708.319733796299</v>
      </c>
    </row>
    <row r="419" spans="1:12">
      <c r="A419" s="370">
        <v>45708.338321759256</v>
      </c>
      <c r="B419" s="365" t="s">
        <v>9054</v>
      </c>
      <c r="C419" s="365" t="s">
        <v>7523</v>
      </c>
      <c r="D419" s="365" t="s">
        <v>1423</v>
      </c>
      <c r="E419" s="365" t="s">
        <v>1424</v>
      </c>
      <c r="F419" s="365" t="s">
        <v>9055</v>
      </c>
      <c r="G419" s="370">
        <v>45681</v>
      </c>
      <c r="H419" s="369">
        <v>36000</v>
      </c>
      <c r="I419" s="365" t="s">
        <v>9056</v>
      </c>
      <c r="J419" s="365" t="s">
        <v>1228</v>
      </c>
      <c r="K419" s="365" t="s">
        <v>1229</v>
      </c>
      <c r="L419" s="370">
        <v>45708.340543981481</v>
      </c>
    </row>
    <row r="420" spans="1:12">
      <c r="A420" s="370">
        <v>45708.354791666665</v>
      </c>
      <c r="B420" s="365" t="s">
        <v>9057</v>
      </c>
      <c r="C420" s="365" t="s">
        <v>7502</v>
      </c>
      <c r="D420" s="365" t="s">
        <v>3577</v>
      </c>
      <c r="E420" s="365" t="s">
        <v>3578</v>
      </c>
      <c r="F420" s="365" t="s">
        <v>9058</v>
      </c>
      <c r="G420" s="370">
        <v>45681</v>
      </c>
      <c r="H420" s="369">
        <v>172500</v>
      </c>
      <c r="I420" s="365" t="s">
        <v>9059</v>
      </c>
      <c r="J420" s="365" t="s">
        <v>1228</v>
      </c>
      <c r="K420" s="365" t="s">
        <v>1229</v>
      </c>
      <c r="L420" s="370">
        <v>45708.358055555553</v>
      </c>
    </row>
    <row r="421" spans="1:12">
      <c r="A421" s="370">
        <v>45708.363159722219</v>
      </c>
      <c r="B421" s="365" t="s">
        <v>9060</v>
      </c>
      <c r="C421" s="365" t="s">
        <v>7533</v>
      </c>
      <c r="D421" s="365" t="s">
        <v>1490</v>
      </c>
      <c r="E421" s="365" t="s">
        <v>1491</v>
      </c>
      <c r="F421" s="365" t="s">
        <v>9061</v>
      </c>
      <c r="G421" s="370">
        <v>45713</v>
      </c>
      <c r="H421" s="369">
        <v>25000</v>
      </c>
      <c r="I421" s="365" t="s">
        <v>9062</v>
      </c>
      <c r="J421" s="365" t="s">
        <v>1228</v>
      </c>
      <c r="K421" s="365" t="s">
        <v>1229</v>
      </c>
      <c r="L421" s="370">
        <v>45708.364687499998</v>
      </c>
    </row>
    <row r="422" spans="1:12">
      <c r="A422" s="370">
        <v>45708.388888888891</v>
      </c>
      <c r="B422" s="365" t="s">
        <v>9063</v>
      </c>
      <c r="C422" s="365" t="s">
        <v>7784</v>
      </c>
      <c r="D422" s="365" t="s">
        <v>1433</v>
      </c>
      <c r="E422" s="365" t="s">
        <v>1434</v>
      </c>
      <c r="F422" s="365" t="s">
        <v>9064</v>
      </c>
      <c r="G422" s="370">
        <v>45681</v>
      </c>
      <c r="H422" s="369">
        <v>8000</v>
      </c>
      <c r="I422" s="365" t="s">
        <v>9065</v>
      </c>
      <c r="J422" s="365" t="s">
        <v>1228</v>
      </c>
      <c r="K422" s="365" t="s">
        <v>1229</v>
      </c>
      <c r="L422" s="370">
        <v>45708.389224537037</v>
      </c>
    </row>
    <row r="423" spans="1:12">
      <c r="A423" s="370">
        <v>45708.467939814815</v>
      </c>
      <c r="B423" s="365" t="s">
        <v>9066</v>
      </c>
      <c r="C423" s="365" t="s">
        <v>7684</v>
      </c>
      <c r="D423" s="365" t="s">
        <v>1292</v>
      </c>
      <c r="E423" s="365" t="s">
        <v>1293</v>
      </c>
      <c r="F423" s="365" t="s">
        <v>9067</v>
      </c>
      <c r="G423" s="370">
        <v>45681</v>
      </c>
      <c r="H423" s="369">
        <v>153000</v>
      </c>
      <c r="I423" s="365" t="s">
        <v>9068</v>
      </c>
      <c r="J423" s="365" t="s">
        <v>1228</v>
      </c>
      <c r="K423" s="365" t="s">
        <v>1229</v>
      </c>
      <c r="L423" s="370">
        <v>45708.469039351854</v>
      </c>
    </row>
    <row r="424" spans="1:12">
      <c r="A424" s="370">
        <v>45708.536249999997</v>
      </c>
      <c r="B424" s="365" t="s">
        <v>9069</v>
      </c>
      <c r="C424" s="365" t="s">
        <v>7693</v>
      </c>
      <c r="D424" s="365" t="s">
        <v>1832</v>
      </c>
      <c r="E424" s="365" t="s">
        <v>1833</v>
      </c>
      <c r="F424" s="365" t="s">
        <v>9070</v>
      </c>
      <c r="G424" s="370">
        <v>45652</v>
      </c>
      <c r="H424" s="369">
        <v>45000</v>
      </c>
      <c r="I424" s="365" t="s">
        <v>9071</v>
      </c>
      <c r="J424" s="365" t="s">
        <v>1228</v>
      </c>
      <c r="K424" s="365" t="s">
        <v>1229</v>
      </c>
      <c r="L424" s="370">
        <v>45708.538773148146</v>
      </c>
    </row>
    <row r="425" spans="1:12">
      <c r="A425" s="370">
        <v>45708.612546296295</v>
      </c>
      <c r="B425" s="365" t="s">
        <v>9072</v>
      </c>
      <c r="C425" s="365" t="s">
        <v>7786</v>
      </c>
      <c r="D425" s="365" t="s">
        <v>4291</v>
      </c>
      <c r="E425" s="365" t="s">
        <v>4292</v>
      </c>
      <c r="F425" s="365" t="s">
        <v>9073</v>
      </c>
      <c r="G425" s="370">
        <v>45652</v>
      </c>
      <c r="H425" s="369">
        <v>20000</v>
      </c>
      <c r="I425" s="365" t="s">
        <v>9074</v>
      </c>
      <c r="J425" s="365" t="s">
        <v>1228</v>
      </c>
      <c r="K425" s="365" t="s">
        <v>1229</v>
      </c>
      <c r="L425" s="370">
        <v>45708.615752314814</v>
      </c>
    </row>
    <row r="426" spans="1:12">
      <c r="A426" s="370">
        <v>45708.679131944446</v>
      </c>
      <c r="B426" s="365" t="s">
        <v>9075</v>
      </c>
      <c r="C426" s="365" t="s">
        <v>7514</v>
      </c>
      <c r="D426" s="365" t="s">
        <v>2340</v>
      </c>
      <c r="E426" s="365" t="s">
        <v>2341</v>
      </c>
      <c r="F426" s="365" t="s">
        <v>9076</v>
      </c>
      <c r="G426" s="370">
        <v>45713</v>
      </c>
      <c r="H426" s="369">
        <v>15999</v>
      </c>
      <c r="I426" s="365" t="s">
        <v>9077</v>
      </c>
      <c r="J426" s="365" t="s">
        <v>1228</v>
      </c>
      <c r="K426" s="365" t="s">
        <v>1229</v>
      </c>
      <c r="L426" s="370">
        <v>45708.681701388887</v>
      </c>
    </row>
    <row r="427" spans="1:12">
      <c r="A427" s="370">
        <v>45708.68037037037</v>
      </c>
      <c r="B427" s="365" t="s">
        <v>9078</v>
      </c>
      <c r="C427" s="365" t="s">
        <v>8181</v>
      </c>
      <c r="D427" s="365" t="s">
        <v>2471</v>
      </c>
      <c r="E427" s="365" t="s">
        <v>2472</v>
      </c>
      <c r="F427" s="365" t="s">
        <v>9079</v>
      </c>
      <c r="G427" s="370">
        <v>45713</v>
      </c>
      <c r="H427" s="369">
        <v>291999</v>
      </c>
      <c r="I427" s="365" t="s">
        <v>9080</v>
      </c>
      <c r="J427" s="365" t="s">
        <v>1228</v>
      </c>
      <c r="K427" s="365" t="s">
        <v>1229</v>
      </c>
      <c r="L427" s="370">
        <v>45708.681921296295</v>
      </c>
    </row>
    <row r="428" spans="1:12">
      <c r="A428" s="370">
        <v>45708.723414351851</v>
      </c>
      <c r="B428" s="365" t="s">
        <v>9081</v>
      </c>
      <c r="C428" s="365" t="s">
        <v>7678</v>
      </c>
      <c r="D428" s="365" t="s">
        <v>1237</v>
      </c>
      <c r="E428" s="365" t="s">
        <v>1238</v>
      </c>
      <c r="F428" s="365" t="s">
        <v>9082</v>
      </c>
      <c r="G428" s="370">
        <v>45713</v>
      </c>
      <c r="H428" s="369">
        <v>24000</v>
      </c>
      <c r="I428" s="365" t="s">
        <v>9083</v>
      </c>
      <c r="J428" s="365" t="s">
        <v>1228</v>
      </c>
      <c r="K428" s="365" t="s">
        <v>1229</v>
      </c>
      <c r="L428" s="370">
        <v>45708.726655092592</v>
      </c>
    </row>
    <row r="429" spans="1:12">
      <c r="A429" s="370">
        <v>45708.811979166669</v>
      </c>
      <c r="B429" s="365" t="s">
        <v>9084</v>
      </c>
      <c r="C429" s="365" t="s">
        <v>7564</v>
      </c>
      <c r="D429" s="365" t="s">
        <v>4254</v>
      </c>
      <c r="E429" s="365" t="s">
        <v>4255</v>
      </c>
      <c r="F429" s="365" t="s">
        <v>9085</v>
      </c>
      <c r="G429" s="370">
        <v>45681</v>
      </c>
      <c r="H429" s="369">
        <v>18000</v>
      </c>
      <c r="I429" s="365" t="s">
        <v>9086</v>
      </c>
      <c r="J429" s="365" t="s">
        <v>1228</v>
      </c>
      <c r="K429" s="365" t="s">
        <v>1229</v>
      </c>
      <c r="L429" s="370">
        <v>45708.81355324074</v>
      </c>
    </row>
    <row r="430" spans="1:12">
      <c r="A430" s="370">
        <v>45709.329375000001</v>
      </c>
      <c r="B430" s="365" t="s">
        <v>9087</v>
      </c>
      <c r="C430" s="365" t="s">
        <v>9088</v>
      </c>
      <c r="D430" s="365" t="s">
        <v>5584</v>
      </c>
      <c r="E430" s="365" t="s">
        <v>5585</v>
      </c>
      <c r="F430" s="365" t="s">
        <v>9089</v>
      </c>
      <c r="G430" s="370">
        <v>45713</v>
      </c>
      <c r="H430" s="369">
        <v>30000</v>
      </c>
      <c r="I430" s="365" t="s">
        <v>9090</v>
      </c>
      <c r="J430" s="365" t="s">
        <v>1228</v>
      </c>
      <c r="K430" s="365" t="s">
        <v>1229</v>
      </c>
      <c r="L430" s="370">
        <v>45709.330034722225</v>
      </c>
    </row>
    <row r="431" spans="1:12">
      <c r="A431" s="370">
        <v>45709.372916666667</v>
      </c>
      <c r="B431" s="365" t="s">
        <v>9091</v>
      </c>
      <c r="C431" s="365" t="s">
        <v>7698</v>
      </c>
      <c r="D431" s="365" t="s">
        <v>1632</v>
      </c>
      <c r="E431" s="365" t="s">
        <v>1633</v>
      </c>
      <c r="F431" s="365" t="s">
        <v>9092</v>
      </c>
      <c r="G431" s="370">
        <v>45713</v>
      </c>
      <c r="H431" s="369">
        <v>34000</v>
      </c>
      <c r="I431" s="365" t="s">
        <v>9093</v>
      </c>
      <c r="J431" s="365" t="s">
        <v>1228</v>
      </c>
      <c r="K431" s="365" t="s">
        <v>1229</v>
      </c>
      <c r="L431" s="370">
        <v>45709.375335648147</v>
      </c>
    </row>
    <row r="432" spans="1:12">
      <c r="A432" s="370">
        <v>45709.387557870374</v>
      </c>
      <c r="B432" s="365" t="s">
        <v>9094</v>
      </c>
      <c r="C432" s="365" t="s">
        <v>7628</v>
      </c>
      <c r="D432" s="365" t="s">
        <v>1251</v>
      </c>
      <c r="E432" s="365" t="s">
        <v>1252</v>
      </c>
      <c r="F432" s="365" t="s">
        <v>9095</v>
      </c>
      <c r="G432" s="370">
        <v>45713</v>
      </c>
      <c r="H432" s="369">
        <v>15000</v>
      </c>
      <c r="I432" s="365" t="s">
        <v>9096</v>
      </c>
      <c r="J432" s="365" t="s">
        <v>1228</v>
      </c>
      <c r="K432" s="365" t="s">
        <v>1229</v>
      </c>
      <c r="L432" s="370">
        <v>45709.389131944445</v>
      </c>
    </row>
    <row r="433" spans="1:12">
      <c r="A433" s="370">
        <v>45709.41207175926</v>
      </c>
      <c r="B433" s="365" t="s">
        <v>9097</v>
      </c>
      <c r="C433" s="365" t="s">
        <v>7560</v>
      </c>
      <c r="D433" s="365" t="s">
        <v>1779</v>
      </c>
      <c r="E433" s="365" t="s">
        <v>1780</v>
      </c>
      <c r="F433" s="365" t="s">
        <v>9098</v>
      </c>
      <c r="G433" s="370">
        <v>45713</v>
      </c>
      <c r="H433" s="369">
        <v>41000</v>
      </c>
      <c r="I433" s="365" t="s">
        <v>9099</v>
      </c>
      <c r="J433" s="365" t="s">
        <v>1228</v>
      </c>
      <c r="K433" s="365" t="s">
        <v>1229</v>
      </c>
      <c r="L433" s="370">
        <v>45709.413506944446</v>
      </c>
    </row>
    <row r="434" spans="1:12">
      <c r="A434" s="370">
        <v>45709.416770833333</v>
      </c>
      <c r="B434" s="365" t="s">
        <v>9100</v>
      </c>
      <c r="C434" s="365" t="s">
        <v>7579</v>
      </c>
      <c r="D434" s="365" t="s">
        <v>2806</v>
      </c>
      <c r="E434" s="365" t="s">
        <v>2807</v>
      </c>
      <c r="F434" s="365" t="s">
        <v>9101</v>
      </c>
      <c r="G434" s="370">
        <v>45713</v>
      </c>
      <c r="H434" s="369">
        <v>12000</v>
      </c>
      <c r="I434" s="365" t="s">
        <v>9102</v>
      </c>
      <c r="J434" s="365" t="s">
        <v>1228</v>
      </c>
      <c r="K434" s="365" t="s">
        <v>1229</v>
      </c>
      <c r="L434" s="370">
        <v>45709.417060185187</v>
      </c>
    </row>
    <row r="435" spans="1:12">
      <c r="A435" s="370">
        <v>45709.41746527778</v>
      </c>
      <c r="B435" s="365" t="s">
        <v>9103</v>
      </c>
      <c r="C435" s="365" t="s">
        <v>7579</v>
      </c>
      <c r="D435" s="365" t="s">
        <v>2871</v>
      </c>
      <c r="E435" s="365" t="s">
        <v>2872</v>
      </c>
      <c r="F435" s="365" t="s">
        <v>9104</v>
      </c>
      <c r="G435" s="370">
        <v>45713</v>
      </c>
      <c r="H435" s="369">
        <v>30000</v>
      </c>
      <c r="I435" s="365" t="s">
        <v>9105</v>
      </c>
      <c r="J435" s="365" t="s">
        <v>1228</v>
      </c>
      <c r="K435" s="365" t="s">
        <v>1229</v>
      </c>
      <c r="L435" s="370">
        <v>45709.420706018522</v>
      </c>
    </row>
    <row r="436" spans="1:12">
      <c r="A436" s="370">
        <v>45709.417951388888</v>
      </c>
      <c r="B436" s="365" t="s">
        <v>9106</v>
      </c>
      <c r="C436" s="365" t="s">
        <v>7579</v>
      </c>
      <c r="D436" s="365" t="s">
        <v>2801</v>
      </c>
      <c r="E436" s="365" t="s">
        <v>2802</v>
      </c>
      <c r="F436" s="365" t="s">
        <v>9107</v>
      </c>
      <c r="G436" s="370">
        <v>45713</v>
      </c>
      <c r="H436" s="369">
        <v>18000</v>
      </c>
      <c r="I436" s="365" t="s">
        <v>9108</v>
      </c>
      <c r="J436" s="365" t="s">
        <v>1228</v>
      </c>
      <c r="K436" s="365" t="s">
        <v>1229</v>
      </c>
      <c r="L436" s="370">
        <v>45709.420891203707</v>
      </c>
    </row>
    <row r="437" spans="1:12">
      <c r="A437" s="370">
        <v>45709.461354166669</v>
      </c>
      <c r="B437" s="365" t="s">
        <v>9109</v>
      </c>
      <c r="C437" s="365" t="s">
        <v>9110</v>
      </c>
      <c r="D437" s="365" t="s">
        <v>1590</v>
      </c>
      <c r="E437" s="365" t="s">
        <v>1591</v>
      </c>
      <c r="F437" s="365" t="s">
        <v>9111</v>
      </c>
      <c r="G437" s="370">
        <v>45713</v>
      </c>
      <c r="H437" s="369">
        <v>30000</v>
      </c>
      <c r="I437" s="365" t="s">
        <v>9112</v>
      </c>
      <c r="J437" s="365" t="s">
        <v>1228</v>
      </c>
      <c r="K437" s="365" t="s">
        <v>1229</v>
      </c>
      <c r="L437" s="370">
        <v>45709.462777777779</v>
      </c>
    </row>
    <row r="438" spans="1:12">
      <c r="A438" s="370">
        <v>45709.496388888889</v>
      </c>
      <c r="B438" s="365" t="s">
        <v>9113</v>
      </c>
      <c r="C438" s="365" t="s">
        <v>7794</v>
      </c>
      <c r="D438" s="365" t="s">
        <v>1548</v>
      </c>
      <c r="E438" s="365" t="s">
        <v>1549</v>
      </c>
      <c r="F438" s="365" t="s">
        <v>9114</v>
      </c>
      <c r="G438" s="370">
        <v>45652</v>
      </c>
      <c r="H438" s="369">
        <v>54000</v>
      </c>
      <c r="I438" s="365" t="s">
        <v>9115</v>
      </c>
      <c r="J438" s="365" t="s">
        <v>1228</v>
      </c>
      <c r="K438" s="365" t="s">
        <v>1229</v>
      </c>
      <c r="L438" s="370">
        <v>45709.497673611113</v>
      </c>
    </row>
    <row r="439" spans="1:12">
      <c r="A439" s="370">
        <v>45709.641238425924</v>
      </c>
      <c r="B439" s="365" t="s">
        <v>9116</v>
      </c>
      <c r="C439" s="365" t="s">
        <v>7606</v>
      </c>
      <c r="D439" s="365" t="s">
        <v>2477</v>
      </c>
      <c r="E439" s="365" t="s">
        <v>2478</v>
      </c>
      <c r="F439" s="365" t="s">
        <v>9117</v>
      </c>
      <c r="G439" s="370">
        <v>45681</v>
      </c>
      <c r="H439" s="369">
        <v>15999</v>
      </c>
      <c r="I439" s="365" t="s">
        <v>9118</v>
      </c>
      <c r="J439" s="365" t="s">
        <v>1228</v>
      </c>
      <c r="K439" s="365" t="s">
        <v>1229</v>
      </c>
      <c r="L439" s="370">
        <v>45709.643611111111</v>
      </c>
    </row>
    <row r="440" spans="1:12">
      <c r="A440" s="370">
        <v>45709.787569444445</v>
      </c>
      <c r="B440" s="365" t="s">
        <v>9119</v>
      </c>
      <c r="C440" s="365" t="s">
        <v>7752</v>
      </c>
      <c r="D440" s="365" t="s">
        <v>4752</v>
      </c>
      <c r="E440" s="365" t="s">
        <v>4753</v>
      </c>
      <c r="F440" s="365" t="s">
        <v>9120</v>
      </c>
      <c r="G440" s="370">
        <v>45713</v>
      </c>
      <c r="H440" s="369">
        <v>25000</v>
      </c>
      <c r="I440" s="365" t="s">
        <v>9121</v>
      </c>
      <c r="J440" s="365" t="s">
        <v>1228</v>
      </c>
      <c r="K440" s="365" t="s">
        <v>1229</v>
      </c>
      <c r="L440" s="370">
        <v>45709.789270833331</v>
      </c>
    </row>
    <row r="441" spans="1:12">
      <c r="A441" s="370">
        <v>45709.812685185185</v>
      </c>
      <c r="B441" s="365" t="s">
        <v>9122</v>
      </c>
      <c r="C441" s="365" t="s">
        <v>7735</v>
      </c>
      <c r="D441" s="365" t="s">
        <v>1522</v>
      </c>
      <c r="E441" s="365" t="s">
        <v>1523</v>
      </c>
      <c r="F441" s="365" t="s">
        <v>9123</v>
      </c>
      <c r="G441" s="370">
        <v>45713</v>
      </c>
      <c r="H441" s="369">
        <v>24999</v>
      </c>
      <c r="I441" s="365" t="s">
        <v>9124</v>
      </c>
      <c r="J441" s="365" t="s">
        <v>1228</v>
      </c>
      <c r="K441" s="365" t="s">
        <v>1229</v>
      </c>
      <c r="L441" s="370">
        <v>45709.813472222224</v>
      </c>
    </row>
    <row r="442" spans="1:12">
      <c r="A442" s="370">
        <v>45709.891608796293</v>
      </c>
      <c r="B442" s="365" t="s">
        <v>9125</v>
      </c>
      <c r="C442" s="365" t="s">
        <v>7807</v>
      </c>
      <c r="D442" s="365" t="s">
        <v>2519</v>
      </c>
      <c r="E442" s="365" t="s">
        <v>2520</v>
      </c>
      <c r="F442" s="365" t="s">
        <v>9126</v>
      </c>
      <c r="G442" s="370">
        <v>45681</v>
      </c>
      <c r="H442" s="369">
        <v>9000</v>
      </c>
      <c r="I442" s="365" t="s">
        <v>9127</v>
      </c>
      <c r="J442" s="365" t="s">
        <v>1228</v>
      </c>
      <c r="K442" s="365" t="s">
        <v>1229</v>
      </c>
      <c r="L442" s="370">
        <v>45709.893101851849</v>
      </c>
    </row>
    <row r="443" spans="1:12">
      <c r="A443" s="370">
        <v>45709.900462962964</v>
      </c>
      <c r="B443" s="365" t="s">
        <v>9128</v>
      </c>
      <c r="C443" s="365" t="s">
        <v>7728</v>
      </c>
      <c r="D443" s="365" t="s">
        <v>3934</v>
      </c>
      <c r="E443" s="365" t="s">
        <v>3935</v>
      </c>
      <c r="F443" s="365" t="s">
        <v>9129</v>
      </c>
      <c r="G443" s="370">
        <v>45713</v>
      </c>
      <c r="H443" s="369">
        <v>20999</v>
      </c>
      <c r="I443" s="365" t="s">
        <v>9130</v>
      </c>
      <c r="J443" s="365" t="s">
        <v>1228</v>
      </c>
      <c r="K443" s="365" t="s">
        <v>1229</v>
      </c>
      <c r="L443" s="370">
        <v>45709.903969907406</v>
      </c>
    </row>
    <row r="444" spans="1:12">
      <c r="A444" s="370">
        <v>45709.347881944443</v>
      </c>
      <c r="B444" s="365" t="s">
        <v>9131</v>
      </c>
      <c r="C444" s="365" t="s">
        <v>7804</v>
      </c>
      <c r="D444" s="365" t="s">
        <v>1640</v>
      </c>
      <c r="E444" s="365" t="s">
        <v>1641</v>
      </c>
      <c r="F444" s="365" t="s">
        <v>9132</v>
      </c>
      <c r="G444" s="370">
        <v>45652</v>
      </c>
      <c r="H444" s="369">
        <v>68000</v>
      </c>
      <c r="I444" s="365" t="s">
        <v>9133</v>
      </c>
      <c r="J444" s="365" t="s">
        <v>1228</v>
      </c>
      <c r="K444" s="365" t="s">
        <v>1229</v>
      </c>
      <c r="L444" s="370">
        <v>45709.351006944446</v>
      </c>
    </row>
    <row r="445" spans="1:12">
      <c r="A445" s="370">
        <v>45709.489247685182</v>
      </c>
      <c r="B445" s="365" t="s">
        <v>9134</v>
      </c>
      <c r="C445" s="365" t="s">
        <v>7762</v>
      </c>
      <c r="D445" s="365" t="s">
        <v>1260</v>
      </c>
      <c r="E445" s="365" t="s">
        <v>1261</v>
      </c>
      <c r="F445" s="365" t="s">
        <v>9135</v>
      </c>
      <c r="G445" s="370">
        <v>45713</v>
      </c>
      <c r="H445" s="369">
        <v>63500</v>
      </c>
      <c r="I445" s="365" t="s">
        <v>9136</v>
      </c>
      <c r="J445" s="365" t="s">
        <v>1228</v>
      </c>
      <c r="K445" s="365" t="s">
        <v>1229</v>
      </c>
      <c r="L445" s="370">
        <v>45709.490532407406</v>
      </c>
    </row>
    <row r="446" spans="1:12">
      <c r="A446" s="370">
        <v>45709.378368055557</v>
      </c>
      <c r="B446" s="365" t="s">
        <v>9137</v>
      </c>
      <c r="C446" s="365" t="s">
        <v>9138</v>
      </c>
      <c r="D446" s="365" t="s">
        <v>1596</v>
      </c>
      <c r="E446" s="365" t="s">
        <v>1597</v>
      </c>
      <c r="F446" s="365" t="s">
        <v>9139</v>
      </c>
      <c r="G446" s="370">
        <v>45713</v>
      </c>
      <c r="H446" s="369">
        <v>39000</v>
      </c>
      <c r="I446" s="365" t="s">
        <v>9140</v>
      </c>
      <c r="J446" s="365" t="s">
        <v>1228</v>
      </c>
      <c r="K446" s="365" t="s">
        <v>1229</v>
      </c>
      <c r="L446" s="370">
        <v>45709.378888888888</v>
      </c>
    </row>
    <row r="447" spans="1:12">
      <c r="A447" s="370">
        <v>45709.460578703707</v>
      </c>
      <c r="B447" s="365" t="s">
        <v>9141</v>
      </c>
      <c r="C447" s="365" t="s">
        <v>9110</v>
      </c>
      <c r="D447" s="365" t="s">
        <v>1590</v>
      </c>
      <c r="E447" s="365" t="s">
        <v>1591</v>
      </c>
      <c r="F447" s="365" t="s">
        <v>9142</v>
      </c>
      <c r="G447" s="370">
        <v>45681</v>
      </c>
      <c r="H447" s="369">
        <v>27000</v>
      </c>
      <c r="I447" s="365" t="s">
        <v>9143</v>
      </c>
      <c r="J447" s="365" t="s">
        <v>1228</v>
      </c>
      <c r="K447" s="365" t="s">
        <v>1229</v>
      </c>
      <c r="L447" s="370">
        <v>45709.462800925925</v>
      </c>
    </row>
    <row r="448" spans="1:12">
      <c r="A448" s="370">
        <v>45709.476365740738</v>
      </c>
      <c r="B448" s="365" t="s">
        <v>9144</v>
      </c>
      <c r="C448" s="365" t="s">
        <v>7783</v>
      </c>
      <c r="D448" s="365" t="s">
        <v>3583</v>
      </c>
      <c r="E448" s="365" t="s">
        <v>3584</v>
      </c>
      <c r="F448" s="365" t="s">
        <v>9145</v>
      </c>
      <c r="G448" s="370">
        <v>45681</v>
      </c>
      <c r="H448" s="369">
        <v>9000</v>
      </c>
      <c r="I448" s="365" t="s">
        <v>9146</v>
      </c>
      <c r="J448" s="365" t="s">
        <v>1228</v>
      </c>
      <c r="K448" s="365" t="s">
        <v>1229</v>
      </c>
      <c r="L448" s="370">
        <v>45709.476597222223</v>
      </c>
    </row>
    <row r="449" spans="1:12">
      <c r="A449" s="370">
        <v>45709.52579861111</v>
      </c>
      <c r="B449" s="365" t="s">
        <v>9147</v>
      </c>
      <c r="C449" s="365" t="s">
        <v>7744</v>
      </c>
      <c r="D449" s="365" t="s">
        <v>4837</v>
      </c>
      <c r="E449" s="365" t="s">
        <v>4838</v>
      </c>
      <c r="F449" s="365" t="s">
        <v>9148</v>
      </c>
      <c r="G449" s="370">
        <v>45713</v>
      </c>
      <c r="H449" s="369">
        <v>15999</v>
      </c>
      <c r="I449" s="365" t="s">
        <v>9149</v>
      </c>
      <c r="J449" s="365" t="s">
        <v>1228</v>
      </c>
      <c r="K449" s="365" t="s">
        <v>1229</v>
      </c>
      <c r="L449" s="370">
        <v>45709.528784722221</v>
      </c>
    </row>
    <row r="450" spans="1:12">
      <c r="A450" s="370">
        <v>45710.463622685187</v>
      </c>
      <c r="B450" s="365" t="s">
        <v>9150</v>
      </c>
      <c r="C450" s="365" t="s">
        <v>7680</v>
      </c>
      <c r="D450" s="365" t="s">
        <v>4786</v>
      </c>
      <c r="E450" s="365" t="s">
        <v>4787</v>
      </c>
      <c r="F450" s="365" t="s">
        <v>9151</v>
      </c>
      <c r="G450" s="370">
        <v>45713</v>
      </c>
      <c r="H450" s="369">
        <v>15999</v>
      </c>
      <c r="I450" s="365" t="s">
        <v>9152</v>
      </c>
      <c r="J450" s="365" t="s">
        <v>1228</v>
      </c>
      <c r="K450" s="365" t="s">
        <v>1229</v>
      </c>
      <c r="L450" s="370">
        <v>45710.465682870374</v>
      </c>
    </row>
    <row r="451" spans="1:12">
      <c r="A451" s="370">
        <v>45710.488981481481</v>
      </c>
      <c r="B451" s="365" t="s">
        <v>9153</v>
      </c>
      <c r="C451" s="365" t="s">
        <v>7785</v>
      </c>
      <c r="D451" s="365" t="s">
        <v>3110</v>
      </c>
      <c r="E451" s="365" t="s">
        <v>3111</v>
      </c>
      <c r="F451" s="365" t="s">
        <v>9154</v>
      </c>
      <c r="G451" s="370">
        <v>45713</v>
      </c>
      <c r="H451" s="369">
        <v>27000</v>
      </c>
      <c r="I451" s="365" t="s">
        <v>9155</v>
      </c>
      <c r="J451" s="365" t="s">
        <v>1228</v>
      </c>
      <c r="K451" s="365" t="s">
        <v>1229</v>
      </c>
      <c r="L451" s="370">
        <v>45710.490069444444</v>
      </c>
    </row>
    <row r="452" spans="1:12">
      <c r="A452" s="370">
        <v>45710.564988425926</v>
      </c>
      <c r="B452" s="365" t="s">
        <v>9156</v>
      </c>
      <c r="C452" s="365" t="s">
        <v>7707</v>
      </c>
      <c r="D452" s="365" t="s">
        <v>2226</v>
      </c>
      <c r="E452" s="365" t="s">
        <v>2227</v>
      </c>
      <c r="F452" s="365" t="s">
        <v>9157</v>
      </c>
      <c r="G452" s="370">
        <v>45681</v>
      </c>
      <c r="H452" s="369">
        <v>15999</v>
      </c>
      <c r="I452" s="365" t="s">
        <v>9158</v>
      </c>
      <c r="J452" s="365" t="s">
        <v>1228</v>
      </c>
      <c r="K452" s="365" t="s">
        <v>1229</v>
      </c>
      <c r="L452" s="370">
        <v>45710.566342592596</v>
      </c>
    </row>
    <row r="453" spans="1:12">
      <c r="A453" s="370">
        <v>45710.659849537034</v>
      </c>
      <c r="B453" s="365" t="s">
        <v>9159</v>
      </c>
      <c r="C453" s="365" t="s">
        <v>7740</v>
      </c>
      <c r="D453" s="365" t="s">
        <v>1487</v>
      </c>
      <c r="E453" s="365" t="s">
        <v>1488</v>
      </c>
      <c r="F453" s="365" t="s">
        <v>9160</v>
      </c>
      <c r="G453" s="370">
        <v>45713</v>
      </c>
      <c r="H453" s="369">
        <v>20000</v>
      </c>
      <c r="I453" s="365" t="s">
        <v>9161</v>
      </c>
      <c r="J453" s="365" t="s">
        <v>1228</v>
      </c>
      <c r="K453" s="365" t="s">
        <v>1229</v>
      </c>
      <c r="L453" s="370">
        <v>45710.660266203704</v>
      </c>
    </row>
    <row r="454" spans="1:12">
      <c r="A454" s="370">
        <v>45710.700960648152</v>
      </c>
      <c r="B454" s="365" t="s">
        <v>9162</v>
      </c>
      <c r="C454" s="365" t="s">
        <v>7470</v>
      </c>
      <c r="D454" s="365" t="s">
        <v>4536</v>
      </c>
      <c r="E454" s="365" t="s">
        <v>4537</v>
      </c>
      <c r="F454" s="365" t="s">
        <v>9163</v>
      </c>
      <c r="G454" s="370">
        <v>45713</v>
      </c>
      <c r="H454" s="369">
        <v>24000</v>
      </c>
      <c r="I454" s="365" t="s">
        <v>9164</v>
      </c>
      <c r="J454" s="365" t="s">
        <v>1228</v>
      </c>
      <c r="K454" s="365" t="s">
        <v>1229</v>
      </c>
      <c r="L454" s="370">
        <v>45710.701736111114</v>
      </c>
    </row>
    <row r="455" spans="1:12">
      <c r="A455" s="370">
        <v>45710.906574074077</v>
      </c>
      <c r="B455" s="365" t="s">
        <v>9165</v>
      </c>
      <c r="C455" s="365" t="s">
        <v>7675</v>
      </c>
      <c r="D455" s="365" t="s">
        <v>1463</v>
      </c>
      <c r="E455" s="365" t="s">
        <v>1464</v>
      </c>
      <c r="F455" s="365" t="s">
        <v>9166</v>
      </c>
      <c r="G455" s="370">
        <v>45713</v>
      </c>
      <c r="H455" s="369">
        <v>63999</v>
      </c>
      <c r="I455" s="365" t="s">
        <v>9167</v>
      </c>
      <c r="J455" s="365" t="s">
        <v>1228</v>
      </c>
      <c r="K455" s="365" t="s">
        <v>1229</v>
      </c>
      <c r="L455" s="370">
        <v>45710.909942129627</v>
      </c>
    </row>
    <row r="456" spans="1:12">
      <c r="A456" s="370">
        <v>45710.513518518521</v>
      </c>
      <c r="B456" s="365" t="s">
        <v>9168</v>
      </c>
      <c r="C456" s="365" t="s">
        <v>7812</v>
      </c>
      <c r="D456" s="365" t="s">
        <v>1553</v>
      </c>
      <c r="E456" s="365" t="s">
        <v>1554</v>
      </c>
      <c r="F456" s="365" t="s">
        <v>9169</v>
      </c>
      <c r="G456" s="370">
        <v>45713</v>
      </c>
      <c r="H456" s="369">
        <v>15999</v>
      </c>
      <c r="I456" s="365" t="s">
        <v>9170</v>
      </c>
      <c r="J456" s="365" t="s">
        <v>1228</v>
      </c>
      <c r="K456" s="365" t="s">
        <v>1229</v>
      </c>
      <c r="L456" s="370">
        <v>45710.514444444445</v>
      </c>
    </row>
    <row r="457" spans="1:12">
      <c r="A457" s="370">
        <v>45710.50136574074</v>
      </c>
      <c r="B457" s="365" t="s">
        <v>9171</v>
      </c>
      <c r="C457" s="365" t="s">
        <v>7658</v>
      </c>
      <c r="D457" s="365" t="s">
        <v>4707</v>
      </c>
      <c r="E457" s="365" t="s">
        <v>4708</v>
      </c>
      <c r="F457" s="365" t="s">
        <v>9172</v>
      </c>
      <c r="G457" s="370">
        <v>45713</v>
      </c>
      <c r="H457" s="369">
        <v>10000</v>
      </c>
      <c r="I457" s="365" t="s">
        <v>9173</v>
      </c>
      <c r="J457" s="365" t="s">
        <v>1228</v>
      </c>
      <c r="K457" s="365" t="s">
        <v>1229</v>
      </c>
      <c r="L457" s="370">
        <v>45710.503541666665</v>
      </c>
    </row>
    <row r="458" spans="1:12">
      <c r="A458" s="370">
        <v>45711.785312499997</v>
      </c>
      <c r="B458" s="365" t="s">
        <v>9174</v>
      </c>
      <c r="C458" s="365" t="s">
        <v>7612</v>
      </c>
      <c r="D458" s="365" t="s">
        <v>3203</v>
      </c>
      <c r="E458" s="365" t="s">
        <v>3204</v>
      </c>
      <c r="F458" s="365" t="s">
        <v>9175</v>
      </c>
      <c r="G458" s="370">
        <v>45713</v>
      </c>
      <c r="H458" s="369">
        <v>38999</v>
      </c>
      <c r="I458" s="365" t="s">
        <v>9176</v>
      </c>
      <c r="J458" s="365" t="s">
        <v>1228</v>
      </c>
      <c r="K458" s="365" t="s">
        <v>1229</v>
      </c>
      <c r="L458" s="370">
        <v>45711.788726851853</v>
      </c>
    </row>
    <row r="459" spans="1:12">
      <c r="A459" s="370">
        <v>45711.562847222223</v>
      </c>
      <c r="B459" s="365" t="s">
        <v>9177</v>
      </c>
      <c r="C459" s="365" t="s">
        <v>7595</v>
      </c>
      <c r="D459" s="365" t="s">
        <v>1271</v>
      </c>
      <c r="E459" s="365" t="s">
        <v>1272</v>
      </c>
      <c r="F459" s="365" t="s">
        <v>9178</v>
      </c>
      <c r="G459" s="370">
        <v>45713</v>
      </c>
      <c r="H459" s="369">
        <v>15999</v>
      </c>
      <c r="I459" s="365" t="s">
        <v>9179</v>
      </c>
      <c r="J459" s="365" t="s">
        <v>1228</v>
      </c>
      <c r="K459" s="365" t="s">
        <v>1229</v>
      </c>
      <c r="L459" s="370">
        <v>45711.566412037035</v>
      </c>
    </row>
    <row r="460" spans="1:12">
      <c r="A460" s="370">
        <v>45711.748854166668</v>
      </c>
      <c r="B460" s="365" t="s">
        <v>9180</v>
      </c>
      <c r="C460" s="365" t="s">
        <v>7668</v>
      </c>
      <c r="D460" s="365" t="s">
        <v>1301</v>
      </c>
      <c r="E460" s="365" t="s">
        <v>1302</v>
      </c>
      <c r="F460" s="365" t="s">
        <v>9181</v>
      </c>
      <c r="G460" s="370">
        <v>45595</v>
      </c>
      <c r="H460" s="369">
        <v>9000</v>
      </c>
      <c r="I460" s="365" t="s">
        <v>9182</v>
      </c>
      <c r="J460" s="365" t="s">
        <v>1228</v>
      </c>
      <c r="K460" s="365" t="s">
        <v>1229</v>
      </c>
      <c r="L460" s="370">
        <v>45711.750520833331</v>
      </c>
    </row>
    <row r="461" spans="1:12">
      <c r="A461" s="370">
        <v>45711.806620370371</v>
      </c>
      <c r="B461" s="365" t="s">
        <v>9183</v>
      </c>
      <c r="C461" s="365" t="s">
        <v>7661</v>
      </c>
      <c r="D461" s="365" t="s">
        <v>6410</v>
      </c>
      <c r="E461" s="365" t="s">
        <v>6411</v>
      </c>
      <c r="F461" s="365" t="s">
        <v>9184</v>
      </c>
      <c r="G461" s="370">
        <v>45713</v>
      </c>
      <c r="H461" s="369">
        <v>34000</v>
      </c>
      <c r="I461" s="365" t="s">
        <v>9185</v>
      </c>
      <c r="J461" s="365" t="s">
        <v>1228</v>
      </c>
      <c r="K461" s="365" t="s">
        <v>1229</v>
      </c>
      <c r="L461" s="370">
        <v>45711.809502314813</v>
      </c>
    </row>
    <row r="462" spans="1:12">
      <c r="A462" s="370">
        <v>45711.807384259257</v>
      </c>
      <c r="B462" s="365" t="s">
        <v>9186</v>
      </c>
      <c r="C462" s="365" t="s">
        <v>9187</v>
      </c>
      <c r="D462" s="365" t="s">
        <v>1596</v>
      </c>
      <c r="E462" s="365" t="s">
        <v>1597</v>
      </c>
      <c r="F462" s="365" t="s">
        <v>9188</v>
      </c>
      <c r="G462" s="370">
        <v>45681</v>
      </c>
      <c r="H462" s="369">
        <v>39000</v>
      </c>
      <c r="I462" s="365" t="s">
        <v>9189</v>
      </c>
      <c r="J462" s="365" t="s">
        <v>1228</v>
      </c>
      <c r="K462" s="365" t="s">
        <v>1229</v>
      </c>
      <c r="L462" s="370">
        <v>45711.809699074074</v>
      </c>
    </row>
    <row r="463" spans="1:12">
      <c r="A463" s="370">
        <v>45712.334039351852</v>
      </c>
      <c r="B463" s="365" t="s">
        <v>9190</v>
      </c>
      <c r="C463" s="365" t="s">
        <v>7666</v>
      </c>
      <c r="D463" s="365" t="s">
        <v>1274</v>
      </c>
      <c r="E463" s="365" t="s">
        <v>1275</v>
      </c>
      <c r="F463" s="365" t="s">
        <v>9191</v>
      </c>
      <c r="G463" s="370">
        <v>45621</v>
      </c>
      <c r="H463" s="369">
        <v>129600</v>
      </c>
      <c r="I463" s="365" t="s">
        <v>9192</v>
      </c>
      <c r="J463" s="365" t="s">
        <v>1228</v>
      </c>
      <c r="K463" s="365" t="s">
        <v>1229</v>
      </c>
      <c r="L463" s="370">
        <v>45712.337256944447</v>
      </c>
    </row>
    <row r="464" spans="1:12">
      <c r="A464" s="370">
        <v>45712.345104166663</v>
      </c>
      <c r="B464" s="365" t="s">
        <v>9193</v>
      </c>
      <c r="C464" s="365" t="s">
        <v>7729</v>
      </c>
      <c r="D464" s="365" t="s">
        <v>1510</v>
      </c>
      <c r="E464" s="365" t="s">
        <v>1511</v>
      </c>
      <c r="F464" s="365" t="s">
        <v>9194</v>
      </c>
      <c r="G464" s="370">
        <v>45713</v>
      </c>
      <c r="H464" s="369">
        <v>20000</v>
      </c>
      <c r="I464" s="365" t="s">
        <v>9195</v>
      </c>
      <c r="J464" s="365" t="s">
        <v>1228</v>
      </c>
      <c r="K464" s="365" t="s">
        <v>1229</v>
      </c>
      <c r="L464" s="370">
        <v>45712.347453703704</v>
      </c>
    </row>
    <row r="465" spans="1:12">
      <c r="A465" s="370">
        <v>45712.359837962962</v>
      </c>
      <c r="B465" s="365" t="s">
        <v>9196</v>
      </c>
      <c r="C465" s="365" t="s">
        <v>9197</v>
      </c>
      <c r="D465" s="365" t="s">
        <v>9198</v>
      </c>
      <c r="E465" s="365" t="s">
        <v>9199</v>
      </c>
      <c r="F465" s="365" t="s">
        <v>9200</v>
      </c>
      <c r="G465" s="370">
        <v>45621</v>
      </c>
      <c r="H465" s="369">
        <v>20001</v>
      </c>
      <c r="I465" s="365" t="s">
        <v>9201</v>
      </c>
      <c r="J465" s="365" t="s">
        <v>1228</v>
      </c>
      <c r="K465" s="365" t="s">
        <v>1229</v>
      </c>
      <c r="L465" s="370">
        <v>45712.361562500002</v>
      </c>
    </row>
    <row r="466" spans="1:12">
      <c r="A466" s="370">
        <v>45712.362939814811</v>
      </c>
      <c r="B466" s="365" t="s">
        <v>9202</v>
      </c>
      <c r="C466" s="365" t="s">
        <v>7555</v>
      </c>
      <c r="D466" s="365" t="s">
        <v>1448</v>
      </c>
      <c r="E466" s="365" t="s">
        <v>1449</v>
      </c>
      <c r="F466" s="365" t="s">
        <v>9203</v>
      </c>
      <c r="G466" s="370">
        <v>45652</v>
      </c>
      <c r="H466" s="369">
        <v>41000</v>
      </c>
      <c r="I466" s="365" t="s">
        <v>9204</v>
      </c>
      <c r="J466" s="365" t="s">
        <v>1228</v>
      </c>
      <c r="K466" s="365" t="s">
        <v>1229</v>
      </c>
      <c r="L466" s="370">
        <v>45712.365127314813</v>
      </c>
    </row>
    <row r="467" spans="1:12">
      <c r="A467" s="370">
        <v>45712.384872685187</v>
      </c>
      <c r="B467" s="365" t="s">
        <v>9205</v>
      </c>
      <c r="C467" s="365" t="s">
        <v>7626</v>
      </c>
      <c r="D467" s="365" t="s">
        <v>3262</v>
      </c>
      <c r="E467" s="365" t="s">
        <v>3263</v>
      </c>
      <c r="F467" s="365" t="s">
        <v>9206</v>
      </c>
      <c r="G467" s="370">
        <v>45713</v>
      </c>
      <c r="H467" s="369">
        <v>34000</v>
      </c>
      <c r="I467" s="365" t="s">
        <v>9207</v>
      </c>
      <c r="J467" s="365" t="s">
        <v>1228</v>
      </c>
      <c r="K467" s="365" t="s">
        <v>1229</v>
      </c>
      <c r="L467" s="370">
        <v>45712.385960648149</v>
      </c>
    </row>
    <row r="468" spans="1:12">
      <c r="A468" s="370">
        <v>45712.491875</v>
      </c>
      <c r="B468" s="365" t="s">
        <v>9208</v>
      </c>
      <c r="C468" s="365" t="s">
        <v>7560</v>
      </c>
      <c r="D468" s="365" t="s">
        <v>1779</v>
      </c>
      <c r="E468" s="365" t="s">
        <v>1780</v>
      </c>
      <c r="F468" s="365" t="s">
        <v>9209</v>
      </c>
      <c r="G468" s="370">
        <v>45681</v>
      </c>
      <c r="H468" s="369">
        <v>41000</v>
      </c>
      <c r="I468" s="365" t="s">
        <v>9210</v>
      </c>
      <c r="J468" s="365" t="s">
        <v>1228</v>
      </c>
      <c r="K468" s="365" t="s">
        <v>1229</v>
      </c>
      <c r="L468" s="370">
        <v>45712.493263888886</v>
      </c>
    </row>
    <row r="469" spans="1:12">
      <c r="A469" s="370">
        <v>45712.50681712963</v>
      </c>
      <c r="B469" s="365" t="s">
        <v>9211</v>
      </c>
      <c r="C469" s="365" t="s">
        <v>7662</v>
      </c>
      <c r="D469" s="365" t="s">
        <v>4933</v>
      </c>
      <c r="E469" s="365" t="s">
        <v>4934</v>
      </c>
      <c r="F469" s="365" t="s">
        <v>9212</v>
      </c>
      <c r="G469" s="370">
        <v>45713</v>
      </c>
      <c r="H469" s="369">
        <v>45000</v>
      </c>
      <c r="I469" s="365" t="s">
        <v>9213</v>
      </c>
      <c r="J469" s="365" t="s">
        <v>1228</v>
      </c>
      <c r="K469" s="365" t="s">
        <v>1229</v>
      </c>
      <c r="L469" s="370">
        <v>45712.507210648146</v>
      </c>
    </row>
    <row r="470" spans="1:12">
      <c r="A470" s="370">
        <v>45712.695474537039</v>
      </c>
      <c r="B470" s="365" t="s">
        <v>9214</v>
      </c>
      <c r="C470" s="365" t="s">
        <v>9215</v>
      </c>
      <c r="D470" s="365" t="s">
        <v>4162</v>
      </c>
      <c r="E470" s="365" t="s">
        <v>4163</v>
      </c>
      <c r="F470" s="365" t="s">
        <v>9216</v>
      </c>
      <c r="G470" s="370">
        <v>45681</v>
      </c>
      <c r="H470" s="369">
        <v>18000</v>
      </c>
      <c r="I470" s="365" t="s">
        <v>9217</v>
      </c>
      <c r="J470" s="365" t="s">
        <v>1228</v>
      </c>
      <c r="K470" s="365" t="s">
        <v>1229</v>
      </c>
      <c r="L470" s="370">
        <v>45712.698298611111</v>
      </c>
    </row>
    <row r="471" spans="1:12">
      <c r="A471" s="370">
        <v>45712.746435185189</v>
      </c>
      <c r="B471" s="365" t="s">
        <v>9218</v>
      </c>
      <c r="C471" s="365" t="s">
        <v>9219</v>
      </c>
      <c r="D471" s="365" t="s">
        <v>1277</v>
      </c>
      <c r="E471" s="365" t="s">
        <v>1278</v>
      </c>
      <c r="F471" s="365" t="s">
        <v>9220</v>
      </c>
      <c r="G471" s="370">
        <v>45713</v>
      </c>
      <c r="H471" s="369">
        <v>12000</v>
      </c>
      <c r="I471" s="365" t="s">
        <v>9221</v>
      </c>
      <c r="J471" s="365" t="s">
        <v>1228</v>
      </c>
      <c r="K471" s="365" t="s">
        <v>1229</v>
      </c>
      <c r="L471" s="370">
        <v>45712.747685185182</v>
      </c>
    </row>
    <row r="472" spans="1:12">
      <c r="A472" s="370">
        <v>45712.802974537037</v>
      </c>
      <c r="B472" s="365" t="s">
        <v>9222</v>
      </c>
      <c r="C472" s="365" t="s">
        <v>7694</v>
      </c>
      <c r="D472" s="365" t="s">
        <v>4731</v>
      </c>
      <c r="E472" s="365" t="s">
        <v>4732</v>
      </c>
      <c r="F472" s="365" t="s">
        <v>9223</v>
      </c>
      <c r="G472" s="370">
        <v>45713</v>
      </c>
      <c r="H472" s="369">
        <v>65000</v>
      </c>
      <c r="I472" s="365" t="s">
        <v>9224</v>
      </c>
      <c r="J472" s="365" t="s">
        <v>1228</v>
      </c>
      <c r="K472" s="365" t="s">
        <v>1229</v>
      </c>
      <c r="L472" s="370">
        <v>45712.806712962964</v>
      </c>
    </row>
    <row r="473" spans="1:12">
      <c r="A473" s="370">
        <v>45712.901817129627</v>
      </c>
      <c r="B473" s="365" t="s">
        <v>9225</v>
      </c>
      <c r="C473" s="365" t="s">
        <v>7739</v>
      </c>
      <c r="D473" s="365" t="s">
        <v>4386</v>
      </c>
      <c r="E473" s="365" t="s">
        <v>4387</v>
      </c>
      <c r="F473" s="365" t="s">
        <v>9226</v>
      </c>
      <c r="G473" s="370">
        <v>45681</v>
      </c>
      <c r="H473" s="369">
        <v>18000</v>
      </c>
      <c r="I473" s="365" t="s">
        <v>9227</v>
      </c>
      <c r="J473" s="365" t="s">
        <v>1228</v>
      </c>
      <c r="K473" s="365" t="s">
        <v>1229</v>
      </c>
      <c r="L473" s="370">
        <v>45712.903912037036</v>
      </c>
    </row>
    <row r="474" spans="1:12">
      <c r="A474" s="370">
        <v>45712.903020833335</v>
      </c>
      <c r="B474" s="365" t="s">
        <v>9228</v>
      </c>
      <c r="C474" s="365" t="s">
        <v>7611</v>
      </c>
      <c r="D474" s="365" t="s">
        <v>4939</v>
      </c>
      <c r="E474" s="365" t="s">
        <v>4940</v>
      </c>
      <c r="F474" s="365" t="s">
        <v>9229</v>
      </c>
      <c r="G474" s="370">
        <v>45713</v>
      </c>
      <c r="H474" s="369">
        <v>23000</v>
      </c>
      <c r="I474" s="365" t="s">
        <v>9230</v>
      </c>
      <c r="J474" s="365" t="s">
        <v>1228</v>
      </c>
      <c r="K474" s="365" t="s">
        <v>1229</v>
      </c>
      <c r="L474" s="370">
        <v>45712.904108796298</v>
      </c>
    </row>
    <row r="475" spans="1:12">
      <c r="A475" s="370">
        <v>45712.332106481481</v>
      </c>
      <c r="B475" s="365" t="s">
        <v>9231</v>
      </c>
      <c r="C475" s="365" t="s">
        <v>7687</v>
      </c>
      <c r="D475" s="365" t="s">
        <v>1263</v>
      </c>
      <c r="E475" s="365" t="s">
        <v>1264</v>
      </c>
      <c r="F475" s="365" t="s">
        <v>9232</v>
      </c>
      <c r="G475" s="370">
        <v>45713</v>
      </c>
      <c r="H475" s="369">
        <v>12000</v>
      </c>
      <c r="I475" s="365" t="s">
        <v>9233</v>
      </c>
      <c r="J475" s="365" t="s">
        <v>1228</v>
      </c>
      <c r="K475" s="365" t="s">
        <v>1229</v>
      </c>
      <c r="L475" s="370">
        <v>45712.333599537036</v>
      </c>
    </row>
    <row r="476" spans="1:12">
      <c r="A476" s="370">
        <v>45712.694791666669</v>
      </c>
      <c r="B476" s="365" t="s">
        <v>9234</v>
      </c>
      <c r="C476" s="365" t="s">
        <v>8141</v>
      </c>
      <c r="D476" s="365" t="s">
        <v>1573</v>
      </c>
      <c r="E476" s="365" t="s">
        <v>1574</v>
      </c>
      <c r="F476" s="365" t="s">
        <v>9235</v>
      </c>
      <c r="G476" s="370">
        <v>45713</v>
      </c>
      <c r="H476" s="369">
        <v>17501</v>
      </c>
      <c r="I476" s="365" t="s">
        <v>9236</v>
      </c>
      <c r="J476" s="365" t="s">
        <v>1228</v>
      </c>
      <c r="K476" s="365" t="s">
        <v>1229</v>
      </c>
      <c r="L476" s="370">
        <v>45712.698483796295</v>
      </c>
    </row>
    <row r="477" spans="1:12">
      <c r="A477" s="370">
        <v>45712.696099537039</v>
      </c>
      <c r="B477" s="365" t="s">
        <v>9237</v>
      </c>
      <c r="C477" s="365" t="s">
        <v>9215</v>
      </c>
      <c r="D477" s="365" t="s">
        <v>4162</v>
      </c>
      <c r="E477" s="365" t="s">
        <v>4163</v>
      </c>
      <c r="F477" s="365" t="s">
        <v>9238</v>
      </c>
      <c r="G477" s="370">
        <v>45713</v>
      </c>
      <c r="H477" s="369">
        <v>18000</v>
      </c>
      <c r="I477" s="365" t="s">
        <v>9239</v>
      </c>
      <c r="J477" s="365" t="s">
        <v>1228</v>
      </c>
      <c r="K477" s="365" t="s">
        <v>1229</v>
      </c>
      <c r="L477" s="370">
        <v>45712.698680555557</v>
      </c>
    </row>
    <row r="478" spans="1:12">
      <c r="A478" s="370">
        <v>45712.79650462963</v>
      </c>
      <c r="B478" s="365" t="s">
        <v>9240</v>
      </c>
      <c r="C478" s="365" t="s">
        <v>7714</v>
      </c>
      <c r="D478" s="365" t="s">
        <v>1400</v>
      </c>
      <c r="E478" s="365" t="s">
        <v>1401</v>
      </c>
      <c r="F478" s="365" t="s">
        <v>9241</v>
      </c>
      <c r="G478" s="370">
        <v>45713</v>
      </c>
      <c r="H478" s="369">
        <v>15999</v>
      </c>
      <c r="I478" s="365" t="s">
        <v>9242</v>
      </c>
      <c r="J478" s="365" t="s">
        <v>1228</v>
      </c>
      <c r="K478" s="365" t="s">
        <v>1229</v>
      </c>
      <c r="L478" s="370">
        <v>45712.799583333333</v>
      </c>
    </row>
    <row r="479" spans="1:12">
      <c r="A479" s="370">
        <v>45712.410393518519</v>
      </c>
      <c r="B479" s="365" t="s">
        <v>9243</v>
      </c>
      <c r="C479" s="365" t="s">
        <v>7810</v>
      </c>
      <c r="D479" s="365" t="s">
        <v>1167</v>
      </c>
      <c r="E479" s="365" t="s">
        <v>1168</v>
      </c>
      <c r="F479" s="365" t="s">
        <v>9244</v>
      </c>
      <c r="G479" s="370">
        <v>45713</v>
      </c>
      <c r="H479" s="369">
        <v>64500</v>
      </c>
      <c r="I479" s="365" t="s">
        <v>9245</v>
      </c>
      <c r="J479" s="365" t="s">
        <v>1228</v>
      </c>
      <c r="K479" s="365" t="s">
        <v>1229</v>
      </c>
      <c r="L479" s="370">
        <v>45712.413738425923</v>
      </c>
    </row>
    <row r="480" spans="1:12">
      <c r="A480" s="370">
        <v>45712.459687499999</v>
      </c>
      <c r="B480" s="365" t="s">
        <v>9246</v>
      </c>
      <c r="C480" s="365" t="s">
        <v>7725</v>
      </c>
      <c r="D480" s="365" t="s">
        <v>1405</v>
      </c>
      <c r="E480" s="365" t="s">
        <v>1406</v>
      </c>
      <c r="F480" s="365" t="s">
        <v>9247</v>
      </c>
      <c r="G480" s="370">
        <v>45713</v>
      </c>
      <c r="H480" s="369">
        <v>15999</v>
      </c>
      <c r="I480" s="365" t="s">
        <v>9248</v>
      </c>
      <c r="J480" s="365" t="s">
        <v>1228</v>
      </c>
      <c r="K480" s="365" t="s">
        <v>1229</v>
      </c>
      <c r="L480" s="370">
        <v>45712.462083333332</v>
      </c>
    </row>
    <row r="481" spans="1:12">
      <c r="A481" s="370">
        <v>45712.642152777778</v>
      </c>
      <c r="B481" s="365" t="s">
        <v>9249</v>
      </c>
      <c r="C481" s="365" t="s">
        <v>7610</v>
      </c>
      <c r="D481" s="365" t="s">
        <v>6769</v>
      </c>
      <c r="E481" s="365" t="s">
        <v>6770</v>
      </c>
      <c r="F481" s="365" t="s">
        <v>9250</v>
      </c>
      <c r="G481" s="370">
        <v>45713</v>
      </c>
      <c r="H481" s="369">
        <v>16896</v>
      </c>
      <c r="I481" s="365" t="s">
        <v>9251</v>
      </c>
      <c r="J481" s="365" t="s">
        <v>1228</v>
      </c>
      <c r="K481" s="365" t="s">
        <v>1229</v>
      </c>
      <c r="L481" s="370">
        <v>45712.642800925925</v>
      </c>
    </row>
    <row r="482" spans="1:12">
      <c r="A482" s="370">
        <v>45712.655081018522</v>
      </c>
      <c r="B482" s="365" t="s">
        <v>9252</v>
      </c>
      <c r="C482" s="365" t="s">
        <v>7580</v>
      </c>
      <c r="D482" s="365" t="s">
        <v>1374</v>
      </c>
      <c r="E482" s="365" t="s">
        <v>1375</v>
      </c>
      <c r="F482" s="365" t="s">
        <v>9253</v>
      </c>
      <c r="G482" s="370">
        <v>45713</v>
      </c>
      <c r="H482" s="369">
        <v>36999</v>
      </c>
      <c r="I482" s="365" t="s">
        <v>9254</v>
      </c>
      <c r="J482" s="365" t="s">
        <v>1228</v>
      </c>
      <c r="K482" s="365" t="s">
        <v>1229</v>
      </c>
      <c r="L482" s="370">
        <v>45712.656481481485</v>
      </c>
    </row>
    <row r="483" spans="1:12">
      <c r="A483" s="370">
        <v>45712.675949074073</v>
      </c>
      <c r="B483" s="365" t="s">
        <v>9255</v>
      </c>
      <c r="C483" s="365" t="s">
        <v>7746</v>
      </c>
      <c r="D483" s="365" t="s">
        <v>1634</v>
      </c>
      <c r="E483" s="365" t="s">
        <v>1635</v>
      </c>
      <c r="F483" s="365" t="s">
        <v>9256</v>
      </c>
      <c r="G483" s="370">
        <v>45713</v>
      </c>
      <c r="H483" s="369">
        <v>15999</v>
      </c>
      <c r="I483" s="365" t="s">
        <v>9257</v>
      </c>
      <c r="J483" s="365" t="s">
        <v>1228</v>
      </c>
      <c r="K483" s="365" t="s">
        <v>1229</v>
      </c>
      <c r="L483" s="370">
        <v>45712.677361111113</v>
      </c>
    </row>
    <row r="484" spans="1:12">
      <c r="A484" s="370">
        <v>45713.328425925924</v>
      </c>
      <c r="B484" s="365" t="s">
        <v>9258</v>
      </c>
      <c r="C484" s="365" t="s">
        <v>7651</v>
      </c>
      <c r="D484" s="365" t="s">
        <v>4059</v>
      </c>
      <c r="E484" s="365" t="s">
        <v>4060</v>
      </c>
      <c r="F484" s="365" t="s">
        <v>9259</v>
      </c>
      <c r="G484" s="370">
        <v>45713</v>
      </c>
      <c r="H484" s="369">
        <v>10001</v>
      </c>
      <c r="I484" s="365" t="s">
        <v>9260</v>
      </c>
      <c r="J484" s="365" t="s">
        <v>1228</v>
      </c>
      <c r="K484" s="365" t="s">
        <v>1229</v>
      </c>
      <c r="L484" s="370">
        <v>45713.330416666664</v>
      </c>
    </row>
    <row r="485" spans="1:12">
      <c r="A485" s="370">
        <v>45713.381620370368</v>
      </c>
      <c r="B485" s="365" t="s">
        <v>9261</v>
      </c>
      <c r="C485" s="365" t="s">
        <v>7594</v>
      </c>
      <c r="D485" s="365" t="s">
        <v>3733</v>
      </c>
      <c r="E485" s="365" t="s">
        <v>3734</v>
      </c>
      <c r="F485" s="365" t="s">
        <v>9262</v>
      </c>
      <c r="G485" s="370">
        <v>45681</v>
      </c>
      <c r="H485" s="369">
        <v>50000</v>
      </c>
      <c r="I485" s="365" t="s">
        <v>9263</v>
      </c>
      <c r="J485" s="365" t="s">
        <v>1228</v>
      </c>
      <c r="K485" s="365" t="s">
        <v>1229</v>
      </c>
      <c r="L485" s="370">
        <v>45713.382418981484</v>
      </c>
    </row>
    <row r="486" spans="1:12">
      <c r="A486" s="370">
        <v>45713.413344907407</v>
      </c>
      <c r="B486" s="365" t="s">
        <v>9264</v>
      </c>
      <c r="C486" s="365" t="s">
        <v>7775</v>
      </c>
      <c r="D486" s="365" t="s">
        <v>1436</v>
      </c>
      <c r="E486" s="365" t="s">
        <v>1437</v>
      </c>
      <c r="F486" s="365" t="s">
        <v>9265</v>
      </c>
      <c r="G486" s="370">
        <v>45713</v>
      </c>
      <c r="H486" s="369">
        <v>17000</v>
      </c>
      <c r="I486" s="365" t="s">
        <v>9266</v>
      </c>
      <c r="J486" s="365" t="s">
        <v>1228</v>
      </c>
      <c r="K486" s="365" t="s">
        <v>1229</v>
      </c>
      <c r="L486" s="370">
        <v>45713.416828703703</v>
      </c>
    </row>
    <row r="487" spans="1:12">
      <c r="A487" s="370">
        <v>45713.465405092589</v>
      </c>
      <c r="B487" s="365" t="s">
        <v>9267</v>
      </c>
      <c r="C487" s="365" t="s">
        <v>7551</v>
      </c>
      <c r="D487" s="365" t="s">
        <v>5781</v>
      </c>
      <c r="E487" s="365" t="s">
        <v>5782</v>
      </c>
      <c r="F487" s="365" t="s">
        <v>9268</v>
      </c>
      <c r="G487" s="370">
        <v>45713</v>
      </c>
      <c r="H487" s="369">
        <v>89000</v>
      </c>
      <c r="I487" s="365" t="s">
        <v>9269</v>
      </c>
      <c r="J487" s="365" t="s">
        <v>1228</v>
      </c>
      <c r="K487" s="365" t="s">
        <v>1229</v>
      </c>
      <c r="L487" s="370">
        <v>45713.465682870374</v>
      </c>
    </row>
    <row r="488" spans="1:12">
      <c r="A488" s="370">
        <v>45713.558240740742</v>
      </c>
      <c r="B488" s="365" t="s">
        <v>9270</v>
      </c>
      <c r="C488" s="365" t="s">
        <v>7749</v>
      </c>
      <c r="D488" s="365" t="s">
        <v>1584</v>
      </c>
      <c r="E488" s="365" t="s">
        <v>1585</v>
      </c>
      <c r="F488" s="365" t="s">
        <v>9271</v>
      </c>
      <c r="G488" s="370">
        <v>45713</v>
      </c>
      <c r="H488" s="369">
        <v>25999</v>
      </c>
      <c r="I488" s="365" t="s">
        <v>9272</v>
      </c>
      <c r="J488" s="365" t="s">
        <v>1228</v>
      </c>
      <c r="K488" s="365" t="s">
        <v>1229</v>
      </c>
      <c r="L488" s="370">
        <v>45713.559467592589</v>
      </c>
    </row>
    <row r="489" spans="1:12">
      <c r="A489" s="370">
        <v>45713.603738425925</v>
      </c>
      <c r="B489" s="365" t="s">
        <v>9273</v>
      </c>
      <c r="C489" s="365" t="s">
        <v>7745</v>
      </c>
      <c r="D489" s="365" t="s">
        <v>1791</v>
      </c>
      <c r="E489" s="365" t="s">
        <v>1792</v>
      </c>
      <c r="F489" s="365" t="s">
        <v>9274</v>
      </c>
      <c r="G489" s="370">
        <v>45713</v>
      </c>
      <c r="H489" s="369">
        <v>20999</v>
      </c>
      <c r="I489" s="365" t="s">
        <v>9275</v>
      </c>
      <c r="J489" s="365" t="s">
        <v>1228</v>
      </c>
      <c r="K489" s="365" t="s">
        <v>1229</v>
      </c>
      <c r="L489" s="370">
        <v>45713.604560185187</v>
      </c>
    </row>
    <row r="490" spans="1:12">
      <c r="A490" s="370">
        <v>45713.606377314813</v>
      </c>
      <c r="B490" s="365" t="s">
        <v>9276</v>
      </c>
      <c r="C490" s="365" t="s">
        <v>7442</v>
      </c>
      <c r="D490" s="365" t="s">
        <v>1737</v>
      </c>
      <c r="E490" s="365" t="s">
        <v>1738</v>
      </c>
      <c r="F490" s="365" t="s">
        <v>9277</v>
      </c>
      <c r="G490" s="370">
        <v>45713</v>
      </c>
      <c r="H490" s="369">
        <v>25000</v>
      </c>
      <c r="I490" s="365" t="s">
        <v>9278</v>
      </c>
      <c r="J490" s="365" t="s">
        <v>1228</v>
      </c>
      <c r="K490" s="365" t="s">
        <v>1229</v>
      </c>
      <c r="L490" s="370">
        <v>45713.608136574076</v>
      </c>
    </row>
    <row r="491" spans="1:12">
      <c r="A491" s="370">
        <v>45713.625393518516</v>
      </c>
      <c r="B491" s="365" t="s">
        <v>9279</v>
      </c>
      <c r="C491" s="365" t="s">
        <v>7434</v>
      </c>
      <c r="D491" s="365" t="s">
        <v>1671</v>
      </c>
      <c r="E491" s="365" t="s">
        <v>1672</v>
      </c>
      <c r="F491" s="365" t="s">
        <v>9280</v>
      </c>
      <c r="G491" s="370">
        <v>45713</v>
      </c>
      <c r="H491" s="369">
        <v>15000</v>
      </c>
      <c r="I491" s="365" t="s">
        <v>9281</v>
      </c>
      <c r="J491" s="365" t="s">
        <v>1228</v>
      </c>
      <c r="K491" s="365" t="s">
        <v>1229</v>
      </c>
      <c r="L491" s="370">
        <v>45713.628865740742</v>
      </c>
    </row>
    <row r="492" spans="1:12">
      <c r="A492" s="370">
        <v>45713.641539351855</v>
      </c>
      <c r="B492" s="365" t="s">
        <v>9282</v>
      </c>
      <c r="C492" s="365" t="s">
        <v>7650</v>
      </c>
      <c r="D492" s="365" t="s">
        <v>1457</v>
      </c>
      <c r="E492" s="365" t="s">
        <v>1458</v>
      </c>
      <c r="F492" s="365" t="s">
        <v>9283</v>
      </c>
      <c r="G492" s="370">
        <v>45713</v>
      </c>
      <c r="H492" s="369">
        <v>66000</v>
      </c>
      <c r="I492" s="365" t="s">
        <v>9284</v>
      </c>
      <c r="J492" s="365" t="s">
        <v>1228</v>
      </c>
      <c r="K492" s="365" t="s">
        <v>1229</v>
      </c>
      <c r="L492" s="370">
        <v>45713.642812500002</v>
      </c>
    </row>
    <row r="493" spans="1:12">
      <c r="A493" s="370">
        <v>45713.654062499998</v>
      </c>
      <c r="B493" s="365" t="s">
        <v>9285</v>
      </c>
      <c r="C493" s="365" t="s">
        <v>7732</v>
      </c>
      <c r="D493" s="365" t="s">
        <v>1838</v>
      </c>
      <c r="E493" s="365" t="s">
        <v>1839</v>
      </c>
      <c r="F493" s="365" t="s">
        <v>9286</v>
      </c>
      <c r="G493" s="370">
        <v>45713</v>
      </c>
      <c r="H493" s="369">
        <v>32000</v>
      </c>
      <c r="I493" s="365" t="s">
        <v>9287</v>
      </c>
      <c r="J493" s="365" t="s">
        <v>1228</v>
      </c>
      <c r="K493" s="365" t="s">
        <v>1229</v>
      </c>
      <c r="L493" s="370">
        <v>45713.656481481485</v>
      </c>
    </row>
    <row r="494" spans="1:12">
      <c r="A494" s="370">
        <v>45713.662592592591</v>
      </c>
      <c r="B494" s="365" t="s">
        <v>9288</v>
      </c>
      <c r="C494" s="365" t="s">
        <v>7689</v>
      </c>
      <c r="D494" s="365" t="s">
        <v>7690</v>
      </c>
      <c r="E494" s="365" t="s">
        <v>7691</v>
      </c>
      <c r="F494" s="365" t="s">
        <v>9289</v>
      </c>
      <c r="G494" s="370">
        <v>45681</v>
      </c>
      <c r="H494" s="369">
        <v>18000</v>
      </c>
      <c r="I494" s="365" t="s">
        <v>9290</v>
      </c>
      <c r="J494" s="365" t="s">
        <v>1228</v>
      </c>
      <c r="K494" s="365" t="s">
        <v>1229</v>
      </c>
      <c r="L494" s="370">
        <v>45713.663599537038</v>
      </c>
    </row>
    <row r="495" spans="1:12">
      <c r="A495" s="370">
        <v>45713.732233796298</v>
      </c>
      <c r="B495" s="365" t="s">
        <v>9291</v>
      </c>
      <c r="C495" s="365" t="s">
        <v>7743</v>
      </c>
      <c r="D495" s="365" t="s">
        <v>1442</v>
      </c>
      <c r="E495" s="365" t="s">
        <v>1443</v>
      </c>
      <c r="F495" s="365" t="s">
        <v>9292</v>
      </c>
      <c r="G495" s="370">
        <v>45713</v>
      </c>
      <c r="H495" s="369">
        <v>62000</v>
      </c>
      <c r="I495" s="365" t="s">
        <v>9293</v>
      </c>
      <c r="J495" s="365" t="s">
        <v>1228</v>
      </c>
      <c r="K495" s="365" t="s">
        <v>1229</v>
      </c>
      <c r="L495" s="370">
        <v>45713.73296296296</v>
      </c>
    </row>
    <row r="496" spans="1:12">
      <c r="A496" s="370">
        <v>45713.801076388889</v>
      </c>
      <c r="B496" s="365" t="s">
        <v>9294</v>
      </c>
      <c r="C496" s="365" t="s">
        <v>7738</v>
      </c>
      <c r="D496" s="365" t="s">
        <v>1606</v>
      </c>
      <c r="E496" s="365" t="s">
        <v>1607</v>
      </c>
      <c r="F496" s="365" t="s">
        <v>9295</v>
      </c>
      <c r="G496" s="370">
        <v>45713</v>
      </c>
      <c r="H496" s="369">
        <v>16500</v>
      </c>
      <c r="I496" s="365" t="s">
        <v>9296</v>
      </c>
      <c r="J496" s="365" t="s">
        <v>1228</v>
      </c>
      <c r="K496" s="365" t="s">
        <v>1229</v>
      </c>
      <c r="L496" s="370">
        <v>45713.802488425928</v>
      </c>
    </row>
    <row r="497" spans="1:12">
      <c r="A497" s="370">
        <v>45713.813414351855</v>
      </c>
      <c r="B497" s="365" t="s">
        <v>9297</v>
      </c>
      <c r="C497" s="365" t="s">
        <v>7734</v>
      </c>
      <c r="D497" s="365" t="s">
        <v>1451</v>
      </c>
      <c r="E497" s="365" t="s">
        <v>1452</v>
      </c>
      <c r="F497" s="365" t="s">
        <v>9298</v>
      </c>
      <c r="G497" s="370">
        <v>45713</v>
      </c>
      <c r="H497" s="369">
        <v>15999</v>
      </c>
      <c r="I497" s="365" t="s">
        <v>9299</v>
      </c>
      <c r="J497" s="365" t="s">
        <v>1228</v>
      </c>
      <c r="K497" s="365" t="s">
        <v>1229</v>
      </c>
      <c r="L497" s="370">
        <v>45713.816365740742</v>
      </c>
    </row>
    <row r="498" spans="1:12">
      <c r="A498" s="370">
        <v>45713.306886574072</v>
      </c>
      <c r="B498" s="365" t="s">
        <v>9300</v>
      </c>
      <c r="C498" s="365" t="s">
        <v>9301</v>
      </c>
      <c r="D498" s="365" t="s">
        <v>9302</v>
      </c>
      <c r="E498" s="365" t="s">
        <v>9303</v>
      </c>
      <c r="F498" s="365" t="s">
        <v>9304</v>
      </c>
      <c r="G498" s="370">
        <v>45713</v>
      </c>
      <c r="H498" s="369">
        <v>54501</v>
      </c>
      <c r="I498" s="365" t="s">
        <v>9305</v>
      </c>
      <c r="J498" s="365" t="s">
        <v>1228</v>
      </c>
      <c r="K498" s="365" t="s">
        <v>1229</v>
      </c>
      <c r="L498" s="370">
        <v>45713.309328703705</v>
      </c>
    </row>
    <row r="499" spans="1:12">
      <c r="A499" s="370">
        <v>45713.340081018519</v>
      </c>
      <c r="B499" s="365" t="s">
        <v>9306</v>
      </c>
      <c r="C499" s="365" t="s">
        <v>7802</v>
      </c>
      <c r="D499" s="365" t="s">
        <v>1311</v>
      </c>
      <c r="E499" s="365" t="s">
        <v>1312</v>
      </c>
      <c r="F499" s="365" t="s">
        <v>9307</v>
      </c>
      <c r="G499" s="370">
        <v>45681</v>
      </c>
      <c r="H499" s="369">
        <v>45000</v>
      </c>
      <c r="I499" s="365" t="s">
        <v>9308</v>
      </c>
      <c r="J499" s="365" t="s">
        <v>1228</v>
      </c>
      <c r="K499" s="365" t="s">
        <v>1229</v>
      </c>
      <c r="L499" s="370">
        <v>45713.34034722222</v>
      </c>
    </row>
    <row r="500" spans="1:12">
      <c r="A500" s="370">
        <v>45713.435879629629</v>
      </c>
      <c r="B500" s="365" t="s">
        <v>9309</v>
      </c>
      <c r="C500" s="365" t="s">
        <v>7747</v>
      </c>
      <c r="D500" s="365" t="s">
        <v>1046</v>
      </c>
      <c r="E500" s="365" t="s">
        <v>1047</v>
      </c>
      <c r="F500" s="365" t="s">
        <v>9310</v>
      </c>
      <c r="G500" s="370">
        <v>45713</v>
      </c>
      <c r="H500" s="369">
        <v>23400</v>
      </c>
      <c r="I500" s="365" t="s">
        <v>9311</v>
      </c>
      <c r="J500" s="365" t="s">
        <v>1228</v>
      </c>
      <c r="K500" s="365" t="s">
        <v>1229</v>
      </c>
      <c r="L500" s="370">
        <v>45713.437824074077</v>
      </c>
    </row>
    <row r="501" spans="1:12">
      <c r="A501" s="370">
        <v>45713.469953703701</v>
      </c>
      <c r="B501" s="365" t="s">
        <v>9312</v>
      </c>
      <c r="C501" s="365" t="s">
        <v>7757</v>
      </c>
      <c r="D501" s="365" t="s">
        <v>3450</v>
      </c>
      <c r="E501" s="365" t="s">
        <v>3451</v>
      </c>
      <c r="F501" s="365" t="s">
        <v>9313</v>
      </c>
      <c r="G501" s="370">
        <v>45713</v>
      </c>
      <c r="H501" s="369">
        <v>9000</v>
      </c>
      <c r="I501" s="365" t="s">
        <v>9314</v>
      </c>
      <c r="J501" s="365" t="s">
        <v>1228</v>
      </c>
      <c r="K501" s="365" t="s">
        <v>1229</v>
      </c>
      <c r="L501" s="370">
        <v>45713.472569444442</v>
      </c>
    </row>
    <row r="502" spans="1:12">
      <c r="A502" s="370">
        <v>45713.634965277779</v>
      </c>
      <c r="B502" s="365" t="s">
        <v>9315</v>
      </c>
      <c r="C502" s="365" t="s">
        <v>7755</v>
      </c>
      <c r="D502" s="365" t="s">
        <v>2276</v>
      </c>
      <c r="E502" s="365" t="s">
        <v>2277</v>
      </c>
      <c r="F502" s="365" t="s">
        <v>9316</v>
      </c>
      <c r="G502" s="370">
        <v>45713</v>
      </c>
      <c r="H502" s="369">
        <v>75400</v>
      </c>
      <c r="I502" s="365" t="s">
        <v>9317</v>
      </c>
      <c r="J502" s="365" t="s">
        <v>1228</v>
      </c>
      <c r="K502" s="365" t="s">
        <v>1229</v>
      </c>
      <c r="L502" s="370">
        <v>45713.635671296295</v>
      </c>
    </row>
    <row r="503" spans="1:12">
      <c r="A503" s="370">
        <v>45713.333854166667</v>
      </c>
      <c r="B503" s="365" t="s">
        <v>9318</v>
      </c>
      <c r="C503" s="365" t="s">
        <v>7724</v>
      </c>
      <c r="D503" s="365" t="s">
        <v>1414</v>
      </c>
      <c r="E503" s="365" t="s">
        <v>1415</v>
      </c>
      <c r="F503" s="365" t="s">
        <v>9319</v>
      </c>
      <c r="G503" s="370">
        <v>45713</v>
      </c>
      <c r="H503" s="369">
        <v>21000</v>
      </c>
      <c r="I503" s="365" t="s">
        <v>9320</v>
      </c>
      <c r="J503" s="365" t="s">
        <v>1228</v>
      </c>
      <c r="K503" s="365" t="s">
        <v>1229</v>
      </c>
      <c r="L503" s="370">
        <v>45713.337280092594</v>
      </c>
    </row>
    <row r="504" spans="1:12">
      <c r="A504" s="370">
        <v>45713.340775462966</v>
      </c>
      <c r="B504" s="365" t="s">
        <v>9321</v>
      </c>
      <c r="C504" s="365" t="s">
        <v>7802</v>
      </c>
      <c r="D504" s="365" t="s">
        <v>1311</v>
      </c>
      <c r="E504" s="365" t="s">
        <v>1312</v>
      </c>
      <c r="F504" s="365" t="s">
        <v>9322</v>
      </c>
      <c r="G504" s="370">
        <v>45713</v>
      </c>
      <c r="H504" s="369">
        <v>45000</v>
      </c>
      <c r="I504" s="365" t="s">
        <v>9323</v>
      </c>
      <c r="J504" s="365" t="s">
        <v>1228</v>
      </c>
      <c r="K504" s="365" t="s">
        <v>1229</v>
      </c>
      <c r="L504" s="370">
        <v>45713.343923611108</v>
      </c>
    </row>
    <row r="505" spans="1:12">
      <c r="A505" s="370">
        <v>45713.358506944445</v>
      </c>
      <c r="B505" s="365" t="s">
        <v>9324</v>
      </c>
      <c r="C505" s="365" t="s">
        <v>7715</v>
      </c>
      <c r="D505" s="365" t="s">
        <v>2316</v>
      </c>
      <c r="E505" s="365" t="s">
        <v>2317</v>
      </c>
      <c r="F505" s="365" t="s">
        <v>9325</v>
      </c>
      <c r="G505" s="370">
        <v>45713</v>
      </c>
      <c r="H505" s="369">
        <v>12000</v>
      </c>
      <c r="I505" s="365" t="s">
        <v>9326</v>
      </c>
      <c r="J505" s="365" t="s">
        <v>1228</v>
      </c>
      <c r="K505" s="365" t="s">
        <v>1229</v>
      </c>
      <c r="L505" s="370">
        <v>45713.361608796295</v>
      </c>
    </row>
    <row r="506" spans="1:12">
      <c r="A506" s="370">
        <v>45713.430937500001</v>
      </c>
      <c r="B506" s="365" t="s">
        <v>9327</v>
      </c>
      <c r="C506" s="365" t="s">
        <v>9328</v>
      </c>
      <c r="D506" s="365" t="s">
        <v>1339</v>
      </c>
      <c r="E506" s="365" t="s">
        <v>1340</v>
      </c>
      <c r="F506" s="365" t="s">
        <v>9329</v>
      </c>
      <c r="G506" s="370">
        <v>45713</v>
      </c>
      <c r="H506" s="369">
        <v>12000</v>
      </c>
      <c r="I506" s="365" t="s">
        <v>9330</v>
      </c>
      <c r="J506" s="365" t="s">
        <v>1228</v>
      </c>
      <c r="K506" s="365" t="s">
        <v>1229</v>
      </c>
      <c r="L506" s="370">
        <v>45713.434247685182</v>
      </c>
    </row>
    <row r="507" spans="1:12">
      <c r="A507" s="370">
        <v>45713.459085648145</v>
      </c>
      <c r="B507" s="365" t="s">
        <v>9331</v>
      </c>
      <c r="C507" s="365" t="s">
        <v>7733</v>
      </c>
      <c r="D507" s="365" t="s">
        <v>1559</v>
      </c>
      <c r="E507" s="365" t="s">
        <v>1560</v>
      </c>
      <c r="F507" s="365" t="s">
        <v>9332</v>
      </c>
      <c r="G507" s="370">
        <v>45713</v>
      </c>
      <c r="H507" s="369">
        <v>23000</v>
      </c>
      <c r="I507" s="365" t="s">
        <v>9333</v>
      </c>
      <c r="J507" s="365" t="s">
        <v>1228</v>
      </c>
      <c r="K507" s="365" t="s">
        <v>1229</v>
      </c>
      <c r="L507" s="370">
        <v>45713.462106481478</v>
      </c>
    </row>
    <row r="508" spans="1:12">
      <c r="A508" s="370">
        <v>45713.48060185185</v>
      </c>
      <c r="B508" s="365" t="s">
        <v>9334</v>
      </c>
      <c r="C508" s="365" t="s">
        <v>7758</v>
      </c>
      <c r="D508" s="365" t="s">
        <v>4303</v>
      </c>
      <c r="E508" s="365" t="s">
        <v>4304</v>
      </c>
      <c r="F508" s="365" t="s">
        <v>9335</v>
      </c>
      <c r="G508" s="370">
        <v>45713</v>
      </c>
      <c r="H508" s="369">
        <v>15999</v>
      </c>
      <c r="I508" s="365" t="s">
        <v>9336</v>
      </c>
      <c r="J508" s="365" t="s">
        <v>1228</v>
      </c>
      <c r="K508" s="365" t="s">
        <v>1229</v>
      </c>
      <c r="L508" s="370">
        <v>45713.482928240737</v>
      </c>
    </row>
    <row r="509" spans="1:12">
      <c r="A509" s="370">
        <v>45713.514918981484</v>
      </c>
      <c r="B509" s="365" t="s">
        <v>9337</v>
      </c>
      <c r="C509" s="365" t="s">
        <v>7649</v>
      </c>
      <c r="D509" s="365" t="s">
        <v>5605</v>
      </c>
      <c r="E509" s="365" t="s">
        <v>5606</v>
      </c>
      <c r="F509" s="365" t="s">
        <v>9338</v>
      </c>
      <c r="G509" s="370">
        <v>45713</v>
      </c>
      <c r="H509" s="369">
        <v>30000</v>
      </c>
      <c r="I509" s="365" t="s">
        <v>9339</v>
      </c>
      <c r="J509" s="365" t="s">
        <v>1228</v>
      </c>
      <c r="K509" s="365" t="s">
        <v>1229</v>
      </c>
      <c r="L509" s="370">
        <v>45713.517488425925</v>
      </c>
    </row>
    <row r="510" spans="1:12">
      <c r="A510" s="370">
        <v>45713.528935185182</v>
      </c>
      <c r="B510" s="365" t="s">
        <v>9340</v>
      </c>
      <c r="C510" s="365" t="s">
        <v>7718</v>
      </c>
      <c r="D510" s="365" t="s">
        <v>1420</v>
      </c>
      <c r="E510" s="365" t="s">
        <v>1421</v>
      </c>
      <c r="F510" s="365" t="s">
        <v>9341</v>
      </c>
      <c r="G510" s="370">
        <v>45713</v>
      </c>
      <c r="H510" s="369">
        <v>258000</v>
      </c>
      <c r="I510" s="365" t="s">
        <v>9342</v>
      </c>
      <c r="J510" s="365" t="s">
        <v>1228</v>
      </c>
      <c r="K510" s="365" t="s">
        <v>1229</v>
      </c>
      <c r="L510" s="370">
        <v>45713.531539351854</v>
      </c>
    </row>
    <row r="511" spans="1:12">
      <c r="A511" s="370">
        <v>45713.636956018519</v>
      </c>
      <c r="B511" s="365" t="s">
        <v>9343</v>
      </c>
      <c r="C511" s="365" t="s">
        <v>7800</v>
      </c>
      <c r="D511" s="365" t="s">
        <v>2294</v>
      </c>
      <c r="E511" s="365" t="s">
        <v>2295</v>
      </c>
      <c r="F511" s="365" t="s">
        <v>9344</v>
      </c>
      <c r="G511" s="370">
        <v>45713</v>
      </c>
      <c r="H511" s="369">
        <v>23400</v>
      </c>
      <c r="I511" s="365" t="s">
        <v>9345</v>
      </c>
      <c r="J511" s="365" t="s">
        <v>1228</v>
      </c>
      <c r="K511" s="365" t="s">
        <v>1229</v>
      </c>
      <c r="L511" s="370">
        <v>45713.639247685183</v>
      </c>
    </row>
    <row r="512" spans="1:12">
      <c r="A512" s="370">
        <v>45713.679074074076</v>
      </c>
      <c r="B512" s="365" t="s">
        <v>9346</v>
      </c>
      <c r="C512" s="365" t="s">
        <v>7730</v>
      </c>
      <c r="D512" s="365" t="s">
        <v>1576</v>
      </c>
      <c r="E512" s="365" t="s">
        <v>1577</v>
      </c>
      <c r="F512" s="365" t="s">
        <v>9347</v>
      </c>
      <c r="G512" s="370">
        <v>45713</v>
      </c>
      <c r="H512" s="369">
        <v>27000</v>
      </c>
      <c r="I512" s="365" t="s">
        <v>9348</v>
      </c>
      <c r="J512" s="365" t="s">
        <v>1228</v>
      </c>
      <c r="K512" s="365" t="s">
        <v>1229</v>
      </c>
      <c r="L512" s="370">
        <v>45713.681041666663</v>
      </c>
    </row>
    <row r="513" spans="1:12">
      <c r="A513" s="370">
        <v>45713.724178240744</v>
      </c>
      <c r="B513" s="365" t="s">
        <v>9349</v>
      </c>
      <c r="C513" s="365" t="s">
        <v>7790</v>
      </c>
      <c r="D513" s="365" t="s">
        <v>1516</v>
      </c>
      <c r="E513" s="365" t="s">
        <v>1517</v>
      </c>
      <c r="F513" s="365" t="s">
        <v>9350</v>
      </c>
      <c r="G513" s="370">
        <v>45713</v>
      </c>
      <c r="H513" s="369">
        <v>46000</v>
      </c>
      <c r="I513" s="365" t="s">
        <v>9351</v>
      </c>
      <c r="J513" s="365" t="s">
        <v>1228</v>
      </c>
      <c r="K513" s="365" t="s">
        <v>1229</v>
      </c>
      <c r="L513" s="370">
        <v>45713.726168981484</v>
      </c>
    </row>
    <row r="514" spans="1:12">
      <c r="A514" s="370">
        <v>45713.750775462962</v>
      </c>
      <c r="B514" s="365" t="s">
        <v>9352</v>
      </c>
      <c r="C514" s="365" t="s">
        <v>7717</v>
      </c>
      <c r="D514" s="365" t="s">
        <v>1565</v>
      </c>
      <c r="E514" s="365" t="s">
        <v>1566</v>
      </c>
      <c r="F514" s="365" t="s">
        <v>9353</v>
      </c>
      <c r="G514" s="370">
        <v>45713</v>
      </c>
      <c r="H514" s="369">
        <v>15999</v>
      </c>
      <c r="I514" s="365" t="s">
        <v>9354</v>
      </c>
      <c r="J514" s="365" t="s">
        <v>1228</v>
      </c>
      <c r="K514" s="365" t="s">
        <v>1229</v>
      </c>
      <c r="L514" s="370">
        <v>45713.753784722219</v>
      </c>
    </row>
    <row r="515" spans="1:12">
      <c r="A515" s="370">
        <v>45714.366203703707</v>
      </c>
      <c r="B515" s="365" t="s">
        <v>9355</v>
      </c>
      <c r="C515" s="365" t="s">
        <v>7686</v>
      </c>
      <c r="D515" s="365" t="s">
        <v>1645</v>
      </c>
      <c r="E515" s="365" t="s">
        <v>1646</v>
      </c>
      <c r="F515" s="365" t="s">
        <v>9356</v>
      </c>
      <c r="G515" s="370">
        <v>45713</v>
      </c>
      <c r="H515" s="369">
        <v>24000</v>
      </c>
      <c r="I515" s="365" t="s">
        <v>9357</v>
      </c>
      <c r="J515" s="365" t="s">
        <v>1228</v>
      </c>
      <c r="K515" s="365" t="s">
        <v>1229</v>
      </c>
      <c r="L515" s="370">
        <v>45714.368402777778</v>
      </c>
    </row>
    <row r="516" spans="1:12">
      <c r="A516" s="370">
        <v>45714.375416666669</v>
      </c>
      <c r="B516" s="365" t="s">
        <v>9358</v>
      </c>
      <c r="C516" s="365" t="s">
        <v>9359</v>
      </c>
      <c r="D516" s="365" t="s">
        <v>9360</v>
      </c>
      <c r="E516" s="365" t="s">
        <v>9361</v>
      </c>
      <c r="F516" s="365" t="s">
        <v>9362</v>
      </c>
      <c r="G516" s="370">
        <v>45681</v>
      </c>
      <c r="H516" s="369">
        <v>12000</v>
      </c>
      <c r="I516" s="365" t="s">
        <v>9363</v>
      </c>
      <c r="J516" s="365" t="s">
        <v>1228</v>
      </c>
      <c r="K516" s="365" t="s">
        <v>1229</v>
      </c>
      <c r="L516" s="370">
        <v>45714.378831018519</v>
      </c>
    </row>
    <row r="517" spans="1:12">
      <c r="A517" s="370">
        <v>45714.377002314817</v>
      </c>
      <c r="B517" s="365" t="s">
        <v>9364</v>
      </c>
      <c r="C517" s="365" t="s">
        <v>9365</v>
      </c>
      <c r="D517" s="365" t="s">
        <v>5922</v>
      </c>
      <c r="E517" s="365" t="s">
        <v>5923</v>
      </c>
      <c r="F517" s="365" t="s">
        <v>9366</v>
      </c>
      <c r="G517" s="370">
        <v>45713</v>
      </c>
      <c r="H517" s="369">
        <v>40000</v>
      </c>
      <c r="I517" s="365" t="s">
        <v>9367</v>
      </c>
      <c r="J517" s="365" t="s">
        <v>1228</v>
      </c>
      <c r="K517" s="365" t="s">
        <v>1229</v>
      </c>
      <c r="L517" s="370">
        <v>45714.379016203704</v>
      </c>
    </row>
    <row r="518" spans="1:12">
      <c r="A518" s="370">
        <v>45714.378530092596</v>
      </c>
      <c r="B518" s="365" t="s">
        <v>9368</v>
      </c>
      <c r="C518" s="365" t="s">
        <v>9359</v>
      </c>
      <c r="D518" s="365" t="s">
        <v>9360</v>
      </c>
      <c r="E518" s="365" t="s">
        <v>9361</v>
      </c>
      <c r="F518" s="365" t="s">
        <v>9369</v>
      </c>
      <c r="G518" s="370">
        <v>45713</v>
      </c>
      <c r="H518" s="369">
        <v>12000</v>
      </c>
      <c r="I518" s="365" t="s">
        <v>9370</v>
      </c>
      <c r="J518" s="365" t="s">
        <v>1228</v>
      </c>
      <c r="K518" s="365" t="s">
        <v>1229</v>
      </c>
      <c r="L518" s="370">
        <v>45714.379201388889</v>
      </c>
    </row>
    <row r="519" spans="1:12">
      <c r="A519" s="370">
        <v>45714.399733796294</v>
      </c>
      <c r="B519" s="365" t="s">
        <v>9371</v>
      </c>
      <c r="C519" s="365" t="s">
        <v>7394</v>
      </c>
      <c r="D519" s="365" t="s">
        <v>2032</v>
      </c>
      <c r="E519" s="365" t="s">
        <v>2033</v>
      </c>
      <c r="F519" s="365" t="s">
        <v>9372</v>
      </c>
      <c r="G519" s="370">
        <v>45713</v>
      </c>
      <c r="H519" s="369">
        <v>15999</v>
      </c>
      <c r="I519" s="365" t="s">
        <v>9373</v>
      </c>
      <c r="J519" s="365" t="s">
        <v>1228</v>
      </c>
      <c r="K519" s="365" t="s">
        <v>1229</v>
      </c>
      <c r="L519" s="370">
        <v>45714.400254629632</v>
      </c>
    </row>
    <row r="520" spans="1:12">
      <c r="A520" s="370">
        <v>45714.451932870368</v>
      </c>
      <c r="B520" s="365" t="s">
        <v>9374</v>
      </c>
      <c r="C520" s="365" t="s">
        <v>7843</v>
      </c>
      <c r="D520" s="365" t="s">
        <v>1665</v>
      </c>
      <c r="E520" s="365" t="s">
        <v>1666</v>
      </c>
      <c r="F520" s="365" t="s">
        <v>9375</v>
      </c>
      <c r="G520" s="370">
        <v>45713</v>
      </c>
      <c r="H520" s="369">
        <v>9000</v>
      </c>
      <c r="I520" s="365" t="s">
        <v>9376</v>
      </c>
      <c r="J520" s="365" t="s">
        <v>1228</v>
      </c>
      <c r="K520" s="365" t="s">
        <v>1229</v>
      </c>
      <c r="L520" s="370">
        <v>45714.452303240738</v>
      </c>
    </row>
    <row r="521" spans="1:12">
      <c r="A521" s="370">
        <v>45714.59642361111</v>
      </c>
      <c r="B521" s="365" t="s">
        <v>9377</v>
      </c>
      <c r="C521" s="365" t="s">
        <v>7811</v>
      </c>
      <c r="D521" s="365" t="s">
        <v>4567</v>
      </c>
      <c r="E521" s="365" t="s">
        <v>4568</v>
      </c>
      <c r="F521" s="365" t="s">
        <v>9378</v>
      </c>
      <c r="G521" s="370">
        <v>45652</v>
      </c>
      <c r="H521" s="369">
        <v>22000</v>
      </c>
      <c r="I521" s="365" t="s">
        <v>9379</v>
      </c>
      <c r="J521" s="365" t="s">
        <v>1228</v>
      </c>
      <c r="K521" s="365" t="s">
        <v>1229</v>
      </c>
      <c r="L521" s="370">
        <v>45714.598402777781</v>
      </c>
    </row>
    <row r="522" spans="1:12">
      <c r="A522" s="370">
        <v>45714.90730324074</v>
      </c>
      <c r="B522" s="365" t="s">
        <v>9380</v>
      </c>
      <c r="C522" s="365" t="s">
        <v>9381</v>
      </c>
      <c r="D522" s="365" t="s">
        <v>2554</v>
      </c>
      <c r="E522" s="365" t="s">
        <v>2555</v>
      </c>
      <c r="F522" s="365" t="s">
        <v>9382</v>
      </c>
      <c r="G522" s="370">
        <v>45713</v>
      </c>
      <c r="H522" s="369">
        <v>18000</v>
      </c>
      <c r="I522" s="365" t="s">
        <v>9383</v>
      </c>
      <c r="J522" s="365" t="s">
        <v>1228</v>
      </c>
      <c r="K522" s="365" t="s">
        <v>1229</v>
      </c>
      <c r="L522" s="370">
        <v>45714.910868055558</v>
      </c>
    </row>
    <row r="523" spans="1:12">
      <c r="A523" s="370">
        <v>45714.916331018518</v>
      </c>
      <c r="B523" s="365" t="s">
        <v>9384</v>
      </c>
      <c r="C523" s="365" t="s">
        <v>7576</v>
      </c>
      <c r="D523" s="365" t="s">
        <v>1909</v>
      </c>
      <c r="E523" s="365" t="s">
        <v>1910</v>
      </c>
      <c r="F523" s="365" t="s">
        <v>9385</v>
      </c>
      <c r="G523" s="370">
        <v>45713</v>
      </c>
      <c r="H523" s="369">
        <v>23400</v>
      </c>
      <c r="I523" s="365" t="s">
        <v>9386</v>
      </c>
      <c r="J523" s="365" t="s">
        <v>1228</v>
      </c>
      <c r="K523" s="365" t="s">
        <v>1229</v>
      </c>
      <c r="L523" s="370">
        <v>45714.917743055557</v>
      </c>
    </row>
    <row r="524" spans="1:12">
      <c r="A524" s="370">
        <v>45714.376712962963</v>
      </c>
      <c r="B524" s="365" t="s">
        <v>9387</v>
      </c>
      <c r="C524" s="365" t="s">
        <v>9359</v>
      </c>
      <c r="D524" s="365" t="s">
        <v>9360</v>
      </c>
      <c r="E524" s="365" t="s">
        <v>9361</v>
      </c>
      <c r="F524" s="365" t="s">
        <v>9388</v>
      </c>
      <c r="G524" s="370">
        <v>45652</v>
      </c>
      <c r="H524" s="369">
        <v>12000</v>
      </c>
      <c r="I524" s="365" t="s">
        <v>9389</v>
      </c>
      <c r="J524" s="365" t="s">
        <v>1228</v>
      </c>
      <c r="K524" s="365" t="s">
        <v>1229</v>
      </c>
      <c r="L524" s="370">
        <v>45714.379386574074</v>
      </c>
    </row>
    <row r="525" spans="1:12">
      <c r="A525" s="370">
        <v>45714.377627314818</v>
      </c>
      <c r="B525" s="365" t="s">
        <v>9390</v>
      </c>
      <c r="C525" s="365" t="s">
        <v>9391</v>
      </c>
      <c r="D525" s="365" t="s">
        <v>1651</v>
      </c>
      <c r="E525" s="365" t="s">
        <v>1652</v>
      </c>
      <c r="F525" s="365" t="s">
        <v>9392</v>
      </c>
      <c r="G525" s="370">
        <v>45713</v>
      </c>
      <c r="H525" s="369">
        <v>10000</v>
      </c>
      <c r="I525" s="365" t="s">
        <v>9393</v>
      </c>
      <c r="J525" s="365" t="s">
        <v>1228</v>
      </c>
      <c r="K525" s="365" t="s">
        <v>1229</v>
      </c>
      <c r="L525" s="370">
        <v>45714.37939814815</v>
      </c>
    </row>
    <row r="526" spans="1:12">
      <c r="A526" s="370">
        <v>45714.522280092591</v>
      </c>
      <c r="B526" s="365" t="s">
        <v>9394</v>
      </c>
      <c r="C526" s="365" t="s">
        <v>7709</v>
      </c>
      <c r="D526" s="365" t="s">
        <v>1683</v>
      </c>
      <c r="E526" s="365" t="s">
        <v>1684</v>
      </c>
      <c r="F526" s="365" t="s">
        <v>9395</v>
      </c>
      <c r="G526" s="370">
        <v>45713</v>
      </c>
      <c r="H526" s="369">
        <v>21000</v>
      </c>
      <c r="I526" s="365" t="s">
        <v>9396</v>
      </c>
      <c r="J526" s="365" t="s">
        <v>1228</v>
      </c>
      <c r="K526" s="365" t="s">
        <v>1229</v>
      </c>
      <c r="L526" s="370">
        <v>45714.525381944448</v>
      </c>
    </row>
    <row r="527" spans="1:12">
      <c r="A527" s="370">
        <v>45714.662523148145</v>
      </c>
      <c r="B527" s="365" t="s">
        <v>9397</v>
      </c>
      <c r="C527" s="365" t="s">
        <v>7723</v>
      </c>
      <c r="D527" s="365" t="s">
        <v>1802</v>
      </c>
      <c r="E527" s="365" t="s">
        <v>1803</v>
      </c>
      <c r="F527" s="365" t="s">
        <v>9398</v>
      </c>
      <c r="G527" s="370">
        <v>45713</v>
      </c>
      <c r="H527" s="369">
        <v>19000</v>
      </c>
      <c r="I527" s="365" t="s">
        <v>9399</v>
      </c>
      <c r="J527" s="365" t="s">
        <v>1228</v>
      </c>
      <c r="K527" s="365" t="s">
        <v>1229</v>
      </c>
      <c r="L527" s="370">
        <v>45714.664293981485</v>
      </c>
    </row>
    <row r="528" spans="1:12">
      <c r="A528" s="370">
        <v>45714.70480324074</v>
      </c>
      <c r="B528" s="365" t="s">
        <v>9400</v>
      </c>
      <c r="C528" s="365" t="s">
        <v>9401</v>
      </c>
      <c r="D528" s="365" t="s">
        <v>7632</v>
      </c>
      <c r="E528" s="365" t="s">
        <v>7633</v>
      </c>
      <c r="F528" s="365" t="s">
        <v>9402</v>
      </c>
      <c r="G528" s="370">
        <v>45713</v>
      </c>
      <c r="H528" s="369">
        <v>21000</v>
      </c>
      <c r="I528" s="365" t="s">
        <v>9403</v>
      </c>
      <c r="J528" s="365" t="s">
        <v>1228</v>
      </c>
      <c r="K528" s="365" t="s">
        <v>1229</v>
      </c>
      <c r="L528" s="370">
        <v>45714.70590277778</v>
      </c>
    </row>
    <row r="529" spans="1:12">
      <c r="A529" s="370">
        <v>45714.3903125</v>
      </c>
      <c r="B529" s="365" t="s">
        <v>9404</v>
      </c>
      <c r="C529" s="365" t="s">
        <v>7458</v>
      </c>
      <c r="D529" s="365" t="s">
        <v>1880</v>
      </c>
      <c r="E529" s="365" t="s">
        <v>1881</v>
      </c>
      <c r="F529" s="365" t="s">
        <v>9405</v>
      </c>
      <c r="G529" s="370">
        <v>45713</v>
      </c>
      <c r="H529" s="369">
        <v>25000</v>
      </c>
      <c r="I529" s="365" t="s">
        <v>9406</v>
      </c>
      <c r="J529" s="365" t="s">
        <v>1228</v>
      </c>
      <c r="K529" s="365" t="s">
        <v>1229</v>
      </c>
      <c r="L529" s="370">
        <v>45714.393483796295</v>
      </c>
    </row>
    <row r="530" spans="1:12">
      <c r="A530" s="370">
        <v>45714.587789351855</v>
      </c>
      <c r="B530" s="365" t="s">
        <v>9407</v>
      </c>
      <c r="C530" s="365" t="s">
        <v>7811</v>
      </c>
      <c r="D530" s="365" t="s">
        <v>4567</v>
      </c>
      <c r="E530" s="365" t="s">
        <v>4568</v>
      </c>
      <c r="F530" s="365" t="s">
        <v>9408</v>
      </c>
      <c r="G530" s="370">
        <v>45713</v>
      </c>
      <c r="H530" s="369">
        <v>22000</v>
      </c>
      <c r="I530" s="365" t="s">
        <v>9409</v>
      </c>
      <c r="J530" s="365" t="s">
        <v>1228</v>
      </c>
      <c r="K530" s="365" t="s">
        <v>1229</v>
      </c>
      <c r="L530" s="370">
        <v>45714.588043981479</v>
      </c>
    </row>
    <row r="531" spans="1:12">
      <c r="A531" s="370">
        <v>45714.77076388889</v>
      </c>
      <c r="B531" s="365" t="s">
        <v>9410</v>
      </c>
      <c r="C531" s="365" t="s">
        <v>7982</v>
      </c>
      <c r="D531" s="365" t="s">
        <v>6597</v>
      </c>
      <c r="E531" s="365" t="s">
        <v>6598</v>
      </c>
      <c r="F531" s="365" t="s">
        <v>9411</v>
      </c>
      <c r="G531" s="370">
        <v>45713</v>
      </c>
      <c r="H531" s="369">
        <v>27000</v>
      </c>
      <c r="I531" s="365" t="s">
        <v>9412</v>
      </c>
      <c r="J531" s="365" t="s">
        <v>1228</v>
      </c>
      <c r="K531" s="365" t="s">
        <v>1229</v>
      </c>
      <c r="L531" s="370">
        <v>45714.771898148145</v>
      </c>
    </row>
    <row r="532" spans="1:12">
      <c r="A532" s="370">
        <v>45714.805856481478</v>
      </c>
      <c r="B532" s="365" t="s">
        <v>9413</v>
      </c>
      <c r="C532" s="365" t="s">
        <v>7791</v>
      </c>
      <c r="D532" s="365" t="s">
        <v>5572</v>
      </c>
      <c r="E532" s="365" t="s">
        <v>5573</v>
      </c>
      <c r="F532" s="365" t="s">
        <v>9414</v>
      </c>
      <c r="G532" s="370">
        <v>45713</v>
      </c>
      <c r="H532" s="369">
        <v>4500</v>
      </c>
      <c r="I532" s="365" t="s">
        <v>9415</v>
      </c>
      <c r="J532" s="365" t="s">
        <v>1228</v>
      </c>
      <c r="K532" s="365" t="s">
        <v>1229</v>
      </c>
      <c r="L532" s="370">
        <v>45714.806423611109</v>
      </c>
    </row>
    <row r="533" spans="1:12">
      <c r="A533" s="370">
        <v>45714.819872685184</v>
      </c>
      <c r="B533" s="365" t="s">
        <v>9416</v>
      </c>
      <c r="C533" s="365" t="s">
        <v>7663</v>
      </c>
      <c r="D533" s="365" t="s">
        <v>1326</v>
      </c>
      <c r="E533" s="365" t="s">
        <v>1327</v>
      </c>
      <c r="F533" s="365" t="s">
        <v>9417</v>
      </c>
      <c r="G533" s="370">
        <v>45713</v>
      </c>
      <c r="H533" s="369">
        <v>48000</v>
      </c>
      <c r="I533" s="365" t="s">
        <v>9418</v>
      </c>
      <c r="J533" s="365" t="s">
        <v>1228</v>
      </c>
      <c r="K533" s="365" t="s">
        <v>1229</v>
      </c>
      <c r="L533" s="370">
        <v>45714.820509259262</v>
      </c>
    </row>
    <row r="534" spans="1:12">
      <c r="A534" s="370">
        <v>45714.825706018521</v>
      </c>
      <c r="B534" s="365" t="s">
        <v>9419</v>
      </c>
      <c r="C534" s="365" t="s">
        <v>7478</v>
      </c>
      <c r="D534" s="365" t="s">
        <v>1694</v>
      </c>
      <c r="E534" s="365" t="s">
        <v>1695</v>
      </c>
      <c r="F534" s="365" t="s">
        <v>9420</v>
      </c>
      <c r="G534" s="370">
        <v>45713</v>
      </c>
      <c r="H534" s="369">
        <v>21000</v>
      </c>
      <c r="I534" s="365" t="s">
        <v>9421</v>
      </c>
      <c r="J534" s="365" t="s">
        <v>1228</v>
      </c>
      <c r="K534" s="365" t="s">
        <v>1229</v>
      </c>
      <c r="L534" s="370">
        <v>45714.827361111114</v>
      </c>
    </row>
    <row r="535" spans="1:12">
      <c r="A535" s="370">
        <v>45715.429375</v>
      </c>
      <c r="B535" s="365" t="s">
        <v>9422</v>
      </c>
      <c r="C535" s="365" t="s">
        <v>9423</v>
      </c>
      <c r="D535" s="365" t="s">
        <v>1962</v>
      </c>
      <c r="E535" s="365" t="s">
        <v>1963</v>
      </c>
      <c r="F535" s="365" t="s">
        <v>9424</v>
      </c>
      <c r="G535" s="370">
        <v>45713</v>
      </c>
      <c r="H535" s="369">
        <v>22500</v>
      </c>
      <c r="I535" s="365" t="s">
        <v>9425</v>
      </c>
      <c r="J535" s="365" t="s">
        <v>1228</v>
      </c>
      <c r="K535" s="365" t="s">
        <v>1229</v>
      </c>
      <c r="L535" s="370">
        <v>45715.430868055555</v>
      </c>
    </row>
    <row r="536" spans="1:12">
      <c r="A536" s="370">
        <v>45715.51221064815</v>
      </c>
      <c r="B536" s="365" t="s">
        <v>9426</v>
      </c>
      <c r="C536" s="365" t="s">
        <v>7406</v>
      </c>
      <c r="D536" s="365" t="s">
        <v>1248</v>
      </c>
      <c r="E536" s="365" t="s">
        <v>1249</v>
      </c>
      <c r="F536" s="365" t="s">
        <v>9427</v>
      </c>
      <c r="G536" s="370">
        <v>45713</v>
      </c>
      <c r="H536" s="369">
        <v>35001</v>
      </c>
      <c r="I536" s="365" t="s">
        <v>9428</v>
      </c>
      <c r="J536" s="365" t="s">
        <v>1228</v>
      </c>
      <c r="K536" s="365" t="s">
        <v>1229</v>
      </c>
      <c r="L536" s="370">
        <v>45715.514328703706</v>
      </c>
    </row>
    <row r="537" spans="1:12">
      <c r="A537" s="370">
        <v>45715.761134259257</v>
      </c>
      <c r="B537" s="365" t="s">
        <v>9429</v>
      </c>
      <c r="C537" s="365" t="s">
        <v>7682</v>
      </c>
      <c r="D537" s="365" t="s">
        <v>1052</v>
      </c>
      <c r="E537" s="365" t="s">
        <v>1053</v>
      </c>
      <c r="F537" s="365" t="s">
        <v>9430</v>
      </c>
      <c r="G537" s="370">
        <v>45713</v>
      </c>
      <c r="H537" s="369">
        <v>57000</v>
      </c>
      <c r="I537" s="365" t="s">
        <v>9431</v>
      </c>
      <c r="J537" s="365" t="s">
        <v>1228</v>
      </c>
      <c r="K537" s="365" t="s">
        <v>1229</v>
      </c>
      <c r="L537" s="370">
        <v>45715.764328703706</v>
      </c>
    </row>
    <row r="538" spans="1:12">
      <c r="A538" s="370">
        <v>45715.83488425926</v>
      </c>
      <c r="B538" s="365" t="s">
        <v>9432</v>
      </c>
      <c r="C538" s="365" t="s">
        <v>9433</v>
      </c>
      <c r="D538" s="365" t="s">
        <v>1380</v>
      </c>
      <c r="E538" s="365" t="s">
        <v>1381</v>
      </c>
      <c r="F538" s="365" t="s">
        <v>9434</v>
      </c>
      <c r="G538" s="370">
        <v>45713</v>
      </c>
      <c r="H538" s="369">
        <v>32000</v>
      </c>
      <c r="I538" s="365" t="s">
        <v>9435</v>
      </c>
      <c r="J538" s="365" t="s">
        <v>1228</v>
      </c>
      <c r="K538" s="365" t="s">
        <v>1229</v>
      </c>
      <c r="L538" s="370">
        <v>45715.837222222224</v>
      </c>
    </row>
    <row r="539" spans="1:12">
      <c r="A539" s="370">
        <v>45715.198831018519</v>
      </c>
      <c r="B539" s="365" t="s">
        <v>9436</v>
      </c>
      <c r="C539" s="365" t="s">
        <v>7555</v>
      </c>
      <c r="D539" s="365" t="s">
        <v>1448</v>
      </c>
      <c r="E539" s="365" t="s">
        <v>1449</v>
      </c>
      <c r="F539" s="365" t="s">
        <v>9437</v>
      </c>
      <c r="G539" s="370">
        <v>45713</v>
      </c>
      <c r="H539" s="369">
        <v>41000</v>
      </c>
      <c r="I539" s="365" t="s">
        <v>9438</v>
      </c>
      <c r="J539" s="365" t="s">
        <v>1228</v>
      </c>
      <c r="K539" s="365" t="s">
        <v>1229</v>
      </c>
      <c r="L539" s="370">
        <v>45715.201898148145</v>
      </c>
    </row>
    <row r="540" spans="1:12">
      <c r="A540" s="370">
        <v>45715.437222222223</v>
      </c>
      <c r="B540" s="365" t="s">
        <v>9439</v>
      </c>
      <c r="C540" s="365" t="s">
        <v>7750</v>
      </c>
      <c r="D540" s="365" t="s">
        <v>3838</v>
      </c>
      <c r="E540" s="365" t="s">
        <v>3839</v>
      </c>
      <c r="F540" s="365" t="s">
        <v>9440</v>
      </c>
      <c r="G540" s="370">
        <v>45713</v>
      </c>
      <c r="H540" s="369">
        <v>43000</v>
      </c>
      <c r="I540" s="365" t="s">
        <v>9441</v>
      </c>
      <c r="J540" s="365" t="s">
        <v>1228</v>
      </c>
      <c r="K540" s="365" t="s">
        <v>1229</v>
      </c>
      <c r="L540" s="370">
        <v>45715.438055555554</v>
      </c>
    </row>
    <row r="541" spans="1:12">
      <c r="A541" s="370">
        <v>45715.5705787037</v>
      </c>
      <c r="B541" s="365" t="s">
        <v>9442</v>
      </c>
      <c r="C541" s="365" t="s">
        <v>9443</v>
      </c>
      <c r="D541" s="365" t="s">
        <v>1280</v>
      </c>
      <c r="E541" s="365" t="s">
        <v>1281</v>
      </c>
      <c r="F541" s="365" t="s">
        <v>9444</v>
      </c>
      <c r="G541" s="370">
        <v>45713</v>
      </c>
      <c r="H541" s="369">
        <v>20000</v>
      </c>
      <c r="I541" s="365" t="s">
        <v>9445</v>
      </c>
      <c r="J541" s="365" t="s">
        <v>1228</v>
      </c>
      <c r="K541" s="365" t="s">
        <v>1229</v>
      </c>
      <c r="L541" s="370">
        <v>45715.573067129626</v>
      </c>
    </row>
    <row r="542" spans="1:12">
      <c r="A542" s="370">
        <v>45715.425717592596</v>
      </c>
      <c r="B542" s="365" t="s">
        <v>9446</v>
      </c>
      <c r="C542" s="365" t="s">
        <v>8086</v>
      </c>
      <c r="D542" s="365" t="s">
        <v>1648</v>
      </c>
      <c r="E542" s="365" t="s">
        <v>1649</v>
      </c>
      <c r="F542" s="365" t="s">
        <v>9447</v>
      </c>
      <c r="G542" s="370">
        <v>45713</v>
      </c>
      <c r="H542" s="369">
        <v>9000</v>
      </c>
      <c r="I542" s="365" t="s">
        <v>9448</v>
      </c>
      <c r="J542" s="365" t="s">
        <v>1228</v>
      </c>
      <c r="K542" s="365" t="s">
        <v>1229</v>
      </c>
      <c r="L542" s="370">
        <v>45715.427303240744</v>
      </c>
    </row>
    <row r="543" spans="1:12">
      <c r="A543" s="370">
        <v>45715.461493055554</v>
      </c>
      <c r="B543" s="365" t="s">
        <v>9449</v>
      </c>
      <c r="C543" s="365" t="s">
        <v>7727</v>
      </c>
      <c r="D543" s="365" t="s">
        <v>1513</v>
      </c>
      <c r="E543" s="365" t="s">
        <v>1514</v>
      </c>
      <c r="F543" s="365" t="s">
        <v>9450</v>
      </c>
      <c r="G543" s="370">
        <v>45713</v>
      </c>
      <c r="H543" s="369">
        <v>24000</v>
      </c>
      <c r="I543" s="365" t="s">
        <v>9451</v>
      </c>
      <c r="J543" s="365" t="s">
        <v>1228</v>
      </c>
      <c r="K543" s="365" t="s">
        <v>1229</v>
      </c>
      <c r="L543" s="370">
        <v>45715.462361111109</v>
      </c>
    </row>
    <row r="544" spans="1:12">
      <c r="A544" s="370">
        <v>45715.486793981479</v>
      </c>
      <c r="B544" s="365" t="s">
        <v>9452</v>
      </c>
      <c r="C544" s="365" t="s">
        <v>7639</v>
      </c>
      <c r="D544" s="365" t="s">
        <v>4761</v>
      </c>
      <c r="E544" s="365" t="s">
        <v>4762</v>
      </c>
      <c r="F544" s="365" t="s">
        <v>9453</v>
      </c>
      <c r="G544" s="370">
        <v>45713</v>
      </c>
      <c r="H544" s="369">
        <v>42000</v>
      </c>
      <c r="I544" s="365" t="s">
        <v>9454</v>
      </c>
      <c r="J544" s="365" t="s">
        <v>1228</v>
      </c>
      <c r="K544" s="365" t="s">
        <v>1229</v>
      </c>
      <c r="L544" s="370">
        <v>45715.489942129629</v>
      </c>
    </row>
    <row r="545" spans="1:12">
      <c r="A545" s="370">
        <v>45715.541331018518</v>
      </c>
      <c r="B545" s="365" t="s">
        <v>9455</v>
      </c>
      <c r="C545" s="365" t="s">
        <v>7667</v>
      </c>
      <c r="D545" s="365" t="s">
        <v>3565</v>
      </c>
      <c r="E545" s="365" t="s">
        <v>3566</v>
      </c>
      <c r="F545" s="365" t="s">
        <v>9456</v>
      </c>
      <c r="G545" s="370">
        <v>45713</v>
      </c>
      <c r="H545" s="369">
        <v>30000</v>
      </c>
      <c r="I545" s="365" t="s">
        <v>9457</v>
      </c>
      <c r="J545" s="365" t="s">
        <v>1228</v>
      </c>
      <c r="K545" s="365" t="s">
        <v>1229</v>
      </c>
      <c r="L545" s="370">
        <v>45715.542210648149</v>
      </c>
    </row>
    <row r="546" spans="1:12">
      <c r="A546" s="370">
        <v>45716.29105324074</v>
      </c>
      <c r="B546" s="365" t="s">
        <v>9458</v>
      </c>
      <c r="C546" s="365" t="s">
        <v>7726</v>
      </c>
      <c r="D546" s="365" t="s">
        <v>1726</v>
      </c>
      <c r="E546" s="365" t="s">
        <v>1727</v>
      </c>
      <c r="F546" s="365" t="s">
        <v>9459</v>
      </c>
      <c r="G546" s="370">
        <v>45713</v>
      </c>
      <c r="H546" s="369">
        <v>15000</v>
      </c>
      <c r="I546" s="365" t="s">
        <v>9460</v>
      </c>
      <c r="J546" s="365" t="s">
        <v>1228</v>
      </c>
      <c r="K546" s="365" t="s">
        <v>1229</v>
      </c>
      <c r="L546" s="370">
        <v>45716.291909722226</v>
      </c>
    </row>
    <row r="547" spans="1:12">
      <c r="A547" s="370">
        <v>45716.351597222223</v>
      </c>
      <c r="B547" s="365" t="s">
        <v>9461</v>
      </c>
      <c r="C547" s="365" t="s">
        <v>7808</v>
      </c>
      <c r="D547" s="365" t="s">
        <v>2155</v>
      </c>
      <c r="E547" s="365" t="s">
        <v>2156</v>
      </c>
      <c r="F547" s="365" t="s">
        <v>9462</v>
      </c>
      <c r="G547" s="370">
        <v>45713</v>
      </c>
      <c r="H547" s="369">
        <v>15000</v>
      </c>
      <c r="I547" s="365" t="s">
        <v>9463</v>
      </c>
      <c r="J547" s="365" t="s">
        <v>1228</v>
      </c>
      <c r="K547" s="365" t="s">
        <v>1229</v>
      </c>
      <c r="L547" s="370">
        <v>45716.354641203703</v>
      </c>
    </row>
    <row r="548" spans="1:12">
      <c r="A548" s="370">
        <v>45716.459317129629</v>
      </c>
      <c r="B548" s="365" t="s">
        <v>9464</v>
      </c>
      <c r="C548" s="365" t="s">
        <v>7711</v>
      </c>
      <c r="D548" s="365" t="s">
        <v>1528</v>
      </c>
      <c r="E548" s="365" t="s">
        <v>1529</v>
      </c>
      <c r="F548" s="365" t="s">
        <v>9465</v>
      </c>
      <c r="G548" s="370">
        <v>45713</v>
      </c>
      <c r="H548" s="369">
        <v>23400</v>
      </c>
      <c r="I548" s="365" t="s">
        <v>9466</v>
      </c>
      <c r="J548" s="365" t="s">
        <v>1228</v>
      </c>
      <c r="K548" s="365" t="s">
        <v>1229</v>
      </c>
      <c r="L548" s="370">
        <v>45716.462245370371</v>
      </c>
    </row>
    <row r="549" spans="1:12">
      <c r="A549" s="370">
        <v>45716.473703703705</v>
      </c>
      <c r="B549" s="365" t="s">
        <v>9467</v>
      </c>
      <c r="C549" s="365" t="s">
        <v>9468</v>
      </c>
      <c r="D549" s="365" t="s">
        <v>1593</v>
      </c>
      <c r="E549" s="365" t="s">
        <v>1594</v>
      </c>
      <c r="F549" s="365" t="s">
        <v>9469</v>
      </c>
      <c r="G549" s="370">
        <v>45713</v>
      </c>
      <c r="H549" s="369">
        <v>75000</v>
      </c>
      <c r="I549" s="365" t="s">
        <v>9470</v>
      </c>
      <c r="J549" s="365" t="s">
        <v>1228</v>
      </c>
      <c r="K549" s="365" t="s">
        <v>1229</v>
      </c>
      <c r="L549" s="370">
        <v>45716.47625</v>
      </c>
    </row>
    <row r="550" spans="1:12">
      <c r="A550" s="370">
        <v>45716.642199074071</v>
      </c>
      <c r="B550" s="365" t="s">
        <v>9471</v>
      </c>
      <c r="C550" s="365" t="s">
        <v>8019</v>
      </c>
      <c r="D550" s="365" t="s">
        <v>1350</v>
      </c>
      <c r="E550" s="365" t="s">
        <v>1351</v>
      </c>
      <c r="F550" s="365" t="s">
        <v>9472</v>
      </c>
      <c r="G550" s="370">
        <v>45713</v>
      </c>
      <c r="H550" s="369">
        <v>15999</v>
      </c>
      <c r="I550" s="365" t="s">
        <v>9473</v>
      </c>
      <c r="J550" s="365" t="s">
        <v>1228</v>
      </c>
      <c r="K550" s="365" t="s">
        <v>1229</v>
      </c>
      <c r="L550" s="370">
        <v>45716.64271990741</v>
      </c>
    </row>
    <row r="551" spans="1:12">
      <c r="A551" s="370">
        <v>45716.670787037037</v>
      </c>
      <c r="B551" s="365" t="s">
        <v>9474</v>
      </c>
      <c r="C551" s="365" t="s">
        <v>7779</v>
      </c>
      <c r="D551" s="365" t="s">
        <v>7780</v>
      </c>
      <c r="E551" s="365" t="s">
        <v>7781</v>
      </c>
      <c r="F551" s="365" t="s">
        <v>9475</v>
      </c>
      <c r="G551" s="370">
        <v>45713</v>
      </c>
      <c r="H551" s="369">
        <v>27000</v>
      </c>
      <c r="I551" s="365" t="s">
        <v>9476</v>
      </c>
      <c r="J551" s="365" t="s">
        <v>1228</v>
      </c>
      <c r="K551" s="365" t="s">
        <v>1229</v>
      </c>
      <c r="L551" s="370">
        <v>45716.674062500002</v>
      </c>
    </row>
    <row r="552" spans="1:12">
      <c r="A552" s="370">
        <v>45716.803796296299</v>
      </c>
      <c r="B552" s="365" t="s">
        <v>9477</v>
      </c>
      <c r="C552" s="365" t="s">
        <v>8056</v>
      </c>
      <c r="D552" s="365" t="s">
        <v>3531</v>
      </c>
      <c r="E552" s="365" t="s">
        <v>3532</v>
      </c>
      <c r="F552" s="365" t="s">
        <v>9478</v>
      </c>
      <c r="G552" s="370">
        <v>45713</v>
      </c>
      <c r="H552" s="369">
        <v>15000</v>
      </c>
      <c r="I552" s="365" t="s">
        <v>9479</v>
      </c>
      <c r="J552" s="365" t="s">
        <v>1228</v>
      </c>
      <c r="K552" s="365" t="s">
        <v>1229</v>
      </c>
      <c r="L552" s="370">
        <v>45716.80605324074</v>
      </c>
    </row>
    <row r="553" spans="1:12">
      <c r="A553" s="370">
        <v>45716.80400462963</v>
      </c>
      <c r="B553" s="365" t="s">
        <v>9480</v>
      </c>
      <c r="C553" s="365" t="s">
        <v>7859</v>
      </c>
      <c r="D553" s="365" t="s">
        <v>1430</v>
      </c>
      <c r="E553" s="365" t="s">
        <v>1431</v>
      </c>
      <c r="F553" s="365" t="s">
        <v>9481</v>
      </c>
      <c r="G553" s="370">
        <v>45713</v>
      </c>
      <c r="H553" s="369">
        <v>96999</v>
      </c>
      <c r="I553" s="365" t="s">
        <v>9482</v>
      </c>
      <c r="J553" s="365" t="s">
        <v>1228</v>
      </c>
      <c r="K553" s="365" t="s">
        <v>1229</v>
      </c>
      <c r="L553" s="370">
        <v>45716.806238425925</v>
      </c>
    </row>
    <row r="554" spans="1:12">
      <c r="A554" s="370">
        <v>45716.838576388887</v>
      </c>
      <c r="B554" s="365" t="s">
        <v>9483</v>
      </c>
      <c r="C554" s="365" t="s">
        <v>7418</v>
      </c>
      <c r="D554" s="365" t="s">
        <v>1968</v>
      </c>
      <c r="E554" s="365" t="s">
        <v>1969</v>
      </c>
      <c r="F554" s="365" t="s">
        <v>9484</v>
      </c>
      <c r="G554" s="370">
        <v>45713</v>
      </c>
      <c r="H554" s="369">
        <v>15999</v>
      </c>
      <c r="I554" s="365" t="s">
        <v>9485</v>
      </c>
      <c r="J554" s="365" t="s">
        <v>1228</v>
      </c>
      <c r="K554" s="365" t="s">
        <v>1229</v>
      </c>
      <c r="L554" s="370">
        <v>45716.841412037036</v>
      </c>
    </row>
    <row r="555" spans="1:12">
      <c r="A555" s="370">
        <v>45716.911192129628</v>
      </c>
      <c r="B555" s="365" t="s">
        <v>9486</v>
      </c>
      <c r="C555" s="365" t="s">
        <v>7748</v>
      </c>
      <c r="D555" s="365" t="s">
        <v>1715</v>
      </c>
      <c r="E555" s="365" t="s">
        <v>1716</v>
      </c>
      <c r="F555" s="365" t="s">
        <v>9487</v>
      </c>
      <c r="G555" s="370">
        <v>45713</v>
      </c>
      <c r="H555" s="369">
        <v>23400</v>
      </c>
      <c r="I555" s="365" t="s">
        <v>9488</v>
      </c>
      <c r="J555" s="365" t="s">
        <v>1228</v>
      </c>
      <c r="K555" s="365" t="s">
        <v>1229</v>
      </c>
      <c r="L555" s="370">
        <v>45716.914224537039</v>
      </c>
    </row>
    <row r="556" spans="1:12">
      <c r="A556" s="370">
        <v>45716.636331018519</v>
      </c>
      <c r="B556" s="365" t="s">
        <v>9489</v>
      </c>
      <c r="C556" s="365" t="s">
        <v>7422</v>
      </c>
      <c r="D556" s="365" t="s">
        <v>1898</v>
      </c>
      <c r="E556" s="365" t="s">
        <v>1899</v>
      </c>
      <c r="F556" s="365" t="s">
        <v>9490</v>
      </c>
      <c r="G556" s="370">
        <v>45713</v>
      </c>
      <c r="H556" s="369">
        <v>54124</v>
      </c>
      <c r="I556" s="365" t="s">
        <v>9491</v>
      </c>
      <c r="J556" s="365" t="s">
        <v>1228</v>
      </c>
      <c r="K556" s="365" t="s">
        <v>1229</v>
      </c>
      <c r="L556" s="370">
        <v>45716.639317129629</v>
      </c>
    </row>
    <row r="557" spans="1:12">
      <c r="A557" s="370">
        <v>45716.806030092594</v>
      </c>
      <c r="B557" s="365" t="s">
        <v>9492</v>
      </c>
      <c r="C557" s="365" t="s">
        <v>8106</v>
      </c>
      <c r="D557" s="365" t="s">
        <v>1868</v>
      </c>
      <c r="E557" s="365" t="s">
        <v>1869</v>
      </c>
      <c r="F557" s="365" t="s">
        <v>9493</v>
      </c>
      <c r="G557" s="370">
        <v>45713</v>
      </c>
      <c r="H557" s="369">
        <v>30000</v>
      </c>
      <c r="I557" s="365" t="s">
        <v>9494</v>
      </c>
      <c r="J557" s="365" t="s">
        <v>1228</v>
      </c>
      <c r="K557" s="365" t="s">
        <v>1229</v>
      </c>
      <c r="L557" s="370">
        <v>45716.809953703705</v>
      </c>
    </row>
    <row r="558" spans="1:12">
      <c r="A558" s="370">
        <v>45716.839791666665</v>
      </c>
      <c r="B558" s="365" t="s">
        <v>9495</v>
      </c>
      <c r="C558" s="365" t="s">
        <v>7418</v>
      </c>
      <c r="D558" s="365" t="s">
        <v>1968</v>
      </c>
      <c r="E558" s="365" t="s">
        <v>1969</v>
      </c>
      <c r="F558" s="365" t="s">
        <v>9496</v>
      </c>
      <c r="G558" s="370">
        <v>45681</v>
      </c>
      <c r="H558" s="369">
        <v>15999</v>
      </c>
      <c r="I558" s="365" t="s">
        <v>9497</v>
      </c>
      <c r="J558" s="365" t="s">
        <v>1228</v>
      </c>
      <c r="K558" s="365" t="s">
        <v>1229</v>
      </c>
      <c r="L558" s="370">
        <v>45716.841597222221</v>
      </c>
    </row>
    <row r="559" spans="1:12">
      <c r="A559" s="370">
        <v>45716.509363425925</v>
      </c>
      <c r="B559" s="365" t="s">
        <v>9498</v>
      </c>
      <c r="C559" s="365" t="s">
        <v>7515</v>
      </c>
      <c r="D559" s="365" t="s">
        <v>2076</v>
      </c>
      <c r="E559" s="365" t="s">
        <v>2077</v>
      </c>
      <c r="F559" s="365" t="s">
        <v>9499</v>
      </c>
      <c r="G559" s="370">
        <v>45713</v>
      </c>
      <c r="H559" s="369">
        <v>21000</v>
      </c>
      <c r="I559" s="365" t="s">
        <v>9500</v>
      </c>
      <c r="J559" s="365" t="s">
        <v>1228</v>
      </c>
      <c r="K559" s="365" t="s">
        <v>1229</v>
      </c>
      <c r="L559" s="370">
        <v>45716.510914351849</v>
      </c>
    </row>
    <row r="560" spans="1:12">
      <c r="A560" s="370">
        <v>45716.726273148146</v>
      </c>
      <c r="B560" s="365" t="s">
        <v>9501</v>
      </c>
      <c r="C560" s="365" t="s">
        <v>7645</v>
      </c>
      <c r="D560" s="365" t="s">
        <v>5763</v>
      </c>
      <c r="E560" s="365" t="s">
        <v>5764</v>
      </c>
      <c r="F560" s="365" t="s">
        <v>9502</v>
      </c>
      <c r="G560" s="370">
        <v>45713</v>
      </c>
      <c r="H560" s="369">
        <v>21000</v>
      </c>
      <c r="I560" s="365" t="s">
        <v>9503</v>
      </c>
      <c r="J560" s="365" t="s">
        <v>1228</v>
      </c>
      <c r="K560" s="365" t="s">
        <v>1229</v>
      </c>
      <c r="L560" s="370">
        <v>45716.729432870372</v>
      </c>
    </row>
    <row r="561" spans="1:12">
      <c r="A561" s="370">
        <v>45716.887395833335</v>
      </c>
      <c r="B561" s="365" t="s">
        <v>9504</v>
      </c>
      <c r="C561" s="365" t="s">
        <v>9505</v>
      </c>
      <c r="D561" s="365" t="s">
        <v>4106</v>
      </c>
      <c r="E561" s="365" t="s">
        <v>4107</v>
      </c>
      <c r="F561" s="365" t="s">
        <v>9506</v>
      </c>
      <c r="G561" s="370">
        <v>45713</v>
      </c>
      <c r="H561" s="369">
        <v>20999</v>
      </c>
      <c r="I561" s="365" t="s">
        <v>9507</v>
      </c>
      <c r="J561" s="365" t="s">
        <v>1228</v>
      </c>
      <c r="K561" s="365" t="s">
        <v>1229</v>
      </c>
      <c r="L561" s="370">
        <v>45716.889976851853</v>
      </c>
    </row>
    <row r="562" spans="1:12">
      <c r="A562" s="365" t="s">
        <v>4941</v>
      </c>
      <c r="B562" s="365" t="s">
        <v>4942</v>
      </c>
      <c r="C562" s="371">
        <v>45720</v>
      </c>
      <c r="D562" s="365" t="s">
        <v>4943</v>
      </c>
      <c r="E562" s="365" t="s">
        <v>4944</v>
      </c>
      <c r="F562" s="366">
        <v>1</v>
      </c>
      <c r="G562" s="365" t="s">
        <v>4945</v>
      </c>
      <c r="H562" s="543">
        <f>SUM(H57:H561)</f>
        <v>17308965</v>
      </c>
      <c r="I562" s="365"/>
      <c r="J562" s="365"/>
      <c r="K562" s="365"/>
      <c r="L562" s="365"/>
    </row>
    <row r="563" spans="1:12">
      <c r="A563" s="365"/>
      <c r="B563" s="365"/>
      <c r="C563" s="365"/>
      <c r="D563" s="365"/>
      <c r="E563" s="365"/>
      <c r="F563" s="365"/>
      <c r="G563" s="365"/>
      <c r="H563" s="365"/>
      <c r="I563" s="365"/>
      <c r="J563" s="365"/>
      <c r="K563" s="365"/>
      <c r="L563" s="365"/>
    </row>
    <row r="564" spans="1:12">
      <c r="A564" s="365"/>
      <c r="B564" s="365"/>
      <c r="C564" s="365"/>
      <c r="D564" s="365"/>
      <c r="E564" s="365"/>
      <c r="F564" s="365"/>
      <c r="G564" s="365"/>
      <c r="H564" s="365"/>
      <c r="I564" s="365"/>
      <c r="J564" s="365"/>
      <c r="K564" s="365"/>
      <c r="L564" s="365"/>
    </row>
    <row r="565" spans="1:12">
      <c r="A565" s="365"/>
      <c r="B565" s="365"/>
      <c r="C565" s="365"/>
      <c r="D565" s="365"/>
      <c r="E565" s="365"/>
      <c r="F565" s="365"/>
      <c r="G565" s="365"/>
      <c r="H565" s="365"/>
      <c r="I565" s="365"/>
      <c r="J565" s="365"/>
      <c r="K565" s="365"/>
      <c r="L565" s="365"/>
    </row>
    <row r="566" spans="1:12" ht="21">
      <c r="A566" s="365"/>
      <c r="B566" s="365"/>
      <c r="C566" s="365"/>
      <c r="D566" s="365"/>
      <c r="E566" s="365"/>
      <c r="F566" s="365"/>
      <c r="G566" s="510" t="s">
        <v>7496</v>
      </c>
      <c r="H566" s="511">
        <f>+B28+B35+H562</f>
        <v>933033150</v>
      </c>
      <c r="I566" s="365"/>
      <c r="J566" s="365"/>
      <c r="K566" s="365"/>
      <c r="L566" s="365"/>
    </row>
    <row r="567" spans="1:12">
      <c r="A567" s="365"/>
      <c r="B567" s="365"/>
      <c r="C567" s="365"/>
      <c r="D567" s="365"/>
      <c r="E567" s="365"/>
      <c r="F567" s="365"/>
      <c r="G567" s="365"/>
      <c r="H567" s="365"/>
      <c r="I567" s="365"/>
      <c r="J567" s="365"/>
      <c r="K567" s="365"/>
      <c r="L567" s="365"/>
    </row>
    <row r="568" spans="1:12">
      <c r="A568" s="365"/>
      <c r="B568" s="365"/>
      <c r="C568" s="365"/>
      <c r="D568" s="365"/>
      <c r="E568" s="365"/>
      <c r="F568" s="365"/>
      <c r="G568" s="365"/>
      <c r="H568" s="365"/>
      <c r="I568" s="365"/>
      <c r="J568" s="365"/>
      <c r="K568" s="365"/>
      <c r="L568" s="365"/>
    </row>
    <row r="569" spans="1:12">
      <c r="A569" s="365"/>
      <c r="B569" s="365"/>
      <c r="C569" s="365"/>
      <c r="D569" s="365"/>
      <c r="E569" s="365"/>
      <c r="F569" s="365"/>
      <c r="G569" s="365"/>
      <c r="H569" s="365"/>
      <c r="I569" s="365"/>
      <c r="J569" s="365"/>
      <c r="K569" s="365"/>
      <c r="L569" s="36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L1792"/>
  <sheetViews>
    <sheetView topLeftCell="A1776" workbookViewId="0">
      <selection activeCell="D1792" sqref="D1792:E1792"/>
    </sheetView>
  </sheetViews>
  <sheetFormatPr baseColWidth="10" defaultRowHeight="14.5"/>
  <cols>
    <col min="1" max="1" width="45.54296875" bestFit="1" customWidth="1"/>
    <col min="2" max="2" width="25.90625" bestFit="1" customWidth="1"/>
    <col min="3" max="3" width="12.453125" bestFit="1" customWidth="1"/>
    <col min="4" max="4" width="29.90625" bestFit="1" customWidth="1"/>
    <col min="5" max="5" width="36.08984375" bestFit="1" customWidth="1"/>
    <col min="6" max="6" width="14.6328125" bestFit="1" customWidth="1"/>
    <col min="7" max="8" width="19.08984375" bestFit="1" customWidth="1"/>
  </cols>
  <sheetData>
    <row r="3" spans="1:8">
      <c r="A3" s="365" t="s">
        <v>5037</v>
      </c>
      <c r="B3" s="365"/>
      <c r="C3" s="365"/>
      <c r="D3" s="365"/>
      <c r="E3" s="365"/>
      <c r="F3" s="365"/>
      <c r="G3" s="365"/>
      <c r="H3" s="365"/>
    </row>
    <row r="4" spans="1:8">
      <c r="A4" s="365"/>
      <c r="B4" s="365"/>
      <c r="C4" s="365"/>
      <c r="D4" s="365"/>
      <c r="E4" s="365"/>
      <c r="F4" s="365"/>
      <c r="G4" s="365"/>
      <c r="H4" s="365"/>
    </row>
    <row r="5" spans="1:8">
      <c r="A5" s="365"/>
      <c r="B5" s="365" t="s">
        <v>997</v>
      </c>
      <c r="C5" s="365" t="s">
        <v>5038</v>
      </c>
      <c r="D5" s="365" t="s">
        <v>5039</v>
      </c>
      <c r="E5" s="365" t="s">
        <v>5040</v>
      </c>
      <c r="F5" s="365" t="s">
        <v>5041</v>
      </c>
      <c r="G5" s="365" t="s">
        <v>5042</v>
      </c>
      <c r="H5" s="365"/>
    </row>
    <row r="6" spans="1:8">
      <c r="A6" s="365" t="s">
        <v>997</v>
      </c>
      <c r="B6" s="367">
        <v>213354317</v>
      </c>
      <c r="C6" s="366">
        <v>32244966</v>
      </c>
      <c r="D6" s="366">
        <v>27924900</v>
      </c>
      <c r="E6" s="366">
        <v>152027358</v>
      </c>
      <c r="F6" s="366">
        <v>315508</v>
      </c>
      <c r="G6" s="366">
        <v>841585</v>
      </c>
      <c r="H6" s="365"/>
    </row>
    <row r="7" spans="1:8">
      <c r="A7" s="365" t="s">
        <v>971</v>
      </c>
      <c r="B7" s="366">
        <v>12174200</v>
      </c>
      <c r="C7" s="366">
        <v>195000</v>
      </c>
      <c r="D7" s="366">
        <v>8972400</v>
      </c>
      <c r="E7" s="366">
        <v>3006800</v>
      </c>
      <c r="F7" s="366">
        <v>0</v>
      </c>
      <c r="G7" s="366">
        <v>0</v>
      </c>
      <c r="H7" s="365"/>
    </row>
    <row r="8" spans="1:8">
      <c r="A8" s="365" t="s">
        <v>972</v>
      </c>
      <c r="B8" s="366">
        <v>9799800</v>
      </c>
      <c r="C8" s="366">
        <v>0</v>
      </c>
      <c r="D8" s="366">
        <v>0</v>
      </c>
      <c r="E8" s="366">
        <v>9799800</v>
      </c>
      <c r="F8" s="366">
        <v>0</v>
      </c>
      <c r="G8" s="366">
        <v>0</v>
      </c>
      <c r="H8" s="365"/>
    </row>
    <row r="9" spans="1:8">
      <c r="A9" s="365" t="s">
        <v>973</v>
      </c>
      <c r="B9" s="366">
        <v>22005500</v>
      </c>
      <c r="C9" s="366">
        <v>6402900</v>
      </c>
      <c r="D9" s="366">
        <v>9493850</v>
      </c>
      <c r="E9" s="366">
        <v>6108750</v>
      </c>
      <c r="F9" s="366">
        <v>0</v>
      </c>
      <c r="G9" s="366">
        <v>0</v>
      </c>
      <c r="H9" s="365"/>
    </row>
    <row r="10" spans="1:8">
      <c r="A10" s="365" t="s">
        <v>975</v>
      </c>
      <c r="B10" s="366">
        <v>3921950</v>
      </c>
      <c r="C10" s="366">
        <v>0</v>
      </c>
      <c r="D10" s="366">
        <v>0</v>
      </c>
      <c r="E10" s="366">
        <v>3921950</v>
      </c>
      <c r="F10" s="366">
        <v>0</v>
      </c>
      <c r="G10" s="366">
        <v>0</v>
      </c>
      <c r="H10" s="365"/>
    </row>
    <row r="11" spans="1:8">
      <c r="A11" s="365" t="s">
        <v>976</v>
      </c>
      <c r="B11" s="366">
        <v>9762500</v>
      </c>
      <c r="C11" s="366">
        <v>466000</v>
      </c>
      <c r="D11" s="366">
        <v>0</v>
      </c>
      <c r="E11" s="366">
        <v>9296500</v>
      </c>
      <c r="F11" s="366">
        <v>0</v>
      </c>
      <c r="G11" s="366">
        <v>0</v>
      </c>
      <c r="H11" s="365"/>
    </row>
    <row r="12" spans="1:8">
      <c r="A12" s="365" t="s">
        <v>978</v>
      </c>
      <c r="B12" s="366">
        <v>11368501</v>
      </c>
      <c r="C12" s="366">
        <v>1250000</v>
      </c>
      <c r="D12" s="366">
        <v>0</v>
      </c>
      <c r="E12" s="366">
        <v>10118501</v>
      </c>
      <c r="F12" s="366">
        <v>0</v>
      </c>
      <c r="G12" s="366">
        <v>0</v>
      </c>
      <c r="H12" s="365"/>
    </row>
    <row r="13" spans="1:8">
      <c r="A13" s="365" t="s">
        <v>979</v>
      </c>
      <c r="B13" s="366">
        <v>12737100</v>
      </c>
      <c r="C13" s="366">
        <v>0</v>
      </c>
      <c r="D13" s="366">
        <v>0</v>
      </c>
      <c r="E13" s="366">
        <v>12737100</v>
      </c>
      <c r="F13" s="366">
        <v>0</v>
      </c>
      <c r="G13" s="366">
        <v>0</v>
      </c>
      <c r="H13" s="365"/>
    </row>
    <row r="14" spans="1:8">
      <c r="A14" s="365" t="s">
        <v>980</v>
      </c>
      <c r="B14" s="366">
        <v>4291600</v>
      </c>
      <c r="C14" s="366">
        <v>3489407</v>
      </c>
      <c r="D14" s="366">
        <v>0</v>
      </c>
      <c r="E14" s="366">
        <v>541600</v>
      </c>
      <c r="F14" s="366">
        <v>260593</v>
      </c>
      <c r="G14" s="366">
        <v>0</v>
      </c>
      <c r="H14" s="365"/>
    </row>
    <row r="15" spans="1:8">
      <c r="A15" s="365" t="s">
        <v>981</v>
      </c>
      <c r="B15" s="366">
        <v>5942901</v>
      </c>
      <c r="C15" s="366">
        <v>198000</v>
      </c>
      <c r="D15" s="366">
        <v>15500</v>
      </c>
      <c r="E15" s="366">
        <v>5729401</v>
      </c>
      <c r="F15" s="366">
        <v>0</v>
      </c>
      <c r="G15" s="366">
        <v>0</v>
      </c>
      <c r="H15" s="365"/>
    </row>
    <row r="16" spans="1:8">
      <c r="A16" s="365" t="s">
        <v>982</v>
      </c>
      <c r="B16" s="366">
        <v>14923025</v>
      </c>
      <c r="C16" s="366">
        <v>1100000</v>
      </c>
      <c r="D16" s="366">
        <v>9100</v>
      </c>
      <c r="E16" s="366">
        <v>13813925</v>
      </c>
      <c r="F16" s="366">
        <v>0</v>
      </c>
      <c r="G16" s="366">
        <v>0</v>
      </c>
      <c r="H16" s="365"/>
    </row>
    <row r="17" spans="1:8">
      <c r="A17" s="365" t="s">
        <v>983</v>
      </c>
      <c r="B17" s="366">
        <v>4363150</v>
      </c>
      <c r="C17" s="366">
        <v>470000</v>
      </c>
      <c r="D17" s="366">
        <v>7700</v>
      </c>
      <c r="E17" s="366">
        <v>3885450</v>
      </c>
      <c r="F17" s="366">
        <v>0</v>
      </c>
      <c r="G17" s="366">
        <v>0</v>
      </c>
      <c r="H17" s="365"/>
    </row>
    <row r="18" spans="1:8">
      <c r="A18" s="365" t="s">
        <v>969</v>
      </c>
      <c r="B18" s="366">
        <v>2972000</v>
      </c>
      <c r="C18" s="366">
        <v>0</v>
      </c>
      <c r="D18" s="366">
        <v>259100</v>
      </c>
      <c r="E18" s="366">
        <v>2712900</v>
      </c>
      <c r="F18" s="366">
        <v>0</v>
      </c>
      <c r="G18" s="366">
        <v>0</v>
      </c>
      <c r="H18" s="365"/>
    </row>
    <row r="19" spans="1:8">
      <c r="A19" s="365" t="s">
        <v>984</v>
      </c>
      <c r="B19" s="366">
        <v>18019377</v>
      </c>
      <c r="C19" s="366">
        <v>11805746</v>
      </c>
      <c r="D19" s="366">
        <v>55500</v>
      </c>
      <c r="E19" s="366">
        <v>5863631</v>
      </c>
      <c r="F19" s="366">
        <v>0</v>
      </c>
      <c r="G19" s="366">
        <v>294500</v>
      </c>
      <c r="H19" s="365"/>
    </row>
    <row r="20" spans="1:8">
      <c r="A20" s="365" t="s">
        <v>986</v>
      </c>
      <c r="B20" s="366">
        <v>4538050</v>
      </c>
      <c r="C20" s="366">
        <v>240000</v>
      </c>
      <c r="D20" s="366">
        <v>347000</v>
      </c>
      <c r="E20" s="366">
        <v>3951050</v>
      </c>
      <c r="F20" s="366">
        <v>0</v>
      </c>
      <c r="G20" s="366">
        <v>0</v>
      </c>
      <c r="H20" s="365"/>
    </row>
    <row r="21" spans="1:8">
      <c r="A21" s="365" t="s">
        <v>987</v>
      </c>
      <c r="B21" s="366">
        <v>6663750</v>
      </c>
      <c r="C21" s="366">
        <v>10000</v>
      </c>
      <c r="D21" s="366">
        <v>0</v>
      </c>
      <c r="E21" s="366">
        <v>6553750</v>
      </c>
      <c r="F21" s="366">
        <v>0</v>
      </c>
      <c r="G21" s="366">
        <v>100000</v>
      </c>
      <c r="H21" s="365"/>
    </row>
    <row r="22" spans="1:8">
      <c r="A22" s="365" t="s">
        <v>988</v>
      </c>
      <c r="B22" s="366">
        <v>8690950</v>
      </c>
      <c r="C22" s="366">
        <v>2364500</v>
      </c>
      <c r="D22" s="366">
        <v>0</v>
      </c>
      <c r="E22" s="366">
        <v>6326450</v>
      </c>
      <c r="F22" s="366">
        <v>0</v>
      </c>
      <c r="G22" s="366">
        <v>0</v>
      </c>
      <c r="H22" s="365"/>
    </row>
    <row r="23" spans="1:8">
      <c r="A23" s="365" t="s">
        <v>989</v>
      </c>
      <c r="B23" s="366">
        <v>13809950</v>
      </c>
      <c r="C23" s="366">
        <v>1602100</v>
      </c>
      <c r="D23" s="366">
        <v>451500</v>
      </c>
      <c r="E23" s="366">
        <v>11614350</v>
      </c>
      <c r="F23" s="366">
        <v>0</v>
      </c>
      <c r="G23" s="366">
        <v>142000</v>
      </c>
      <c r="H23" s="365"/>
    </row>
    <row r="24" spans="1:8">
      <c r="A24" s="365" t="s">
        <v>991</v>
      </c>
      <c r="B24" s="366">
        <v>4162063</v>
      </c>
      <c r="C24" s="366">
        <v>138813</v>
      </c>
      <c r="D24" s="366">
        <v>800</v>
      </c>
      <c r="E24" s="366">
        <v>3662450</v>
      </c>
      <c r="F24" s="366">
        <v>54915</v>
      </c>
      <c r="G24" s="366">
        <v>305085</v>
      </c>
      <c r="H24" s="365"/>
    </row>
    <row r="25" spans="1:8">
      <c r="A25" s="365" t="s">
        <v>993</v>
      </c>
      <c r="B25" s="366">
        <v>13160300</v>
      </c>
      <c r="C25" s="366">
        <v>200500</v>
      </c>
      <c r="D25" s="366">
        <v>8197350</v>
      </c>
      <c r="E25" s="366">
        <v>4762450</v>
      </c>
      <c r="F25" s="366">
        <v>0</v>
      </c>
      <c r="G25" s="366">
        <v>0</v>
      </c>
      <c r="H25" s="365"/>
    </row>
    <row r="26" spans="1:8">
      <c r="A26" s="365" t="s">
        <v>994</v>
      </c>
      <c r="B26" s="366">
        <v>6779350</v>
      </c>
      <c r="C26" s="366">
        <v>1145000</v>
      </c>
      <c r="D26" s="366">
        <v>0</v>
      </c>
      <c r="E26" s="366">
        <v>5634350</v>
      </c>
      <c r="F26" s="366">
        <v>0</v>
      </c>
      <c r="G26" s="366">
        <v>0</v>
      </c>
      <c r="H26" s="365"/>
    </row>
    <row r="27" spans="1:8">
      <c r="A27" s="365" t="s">
        <v>970</v>
      </c>
      <c r="B27" s="366">
        <v>14072900</v>
      </c>
      <c r="C27" s="366">
        <v>1022000</v>
      </c>
      <c r="D27" s="366">
        <v>115100</v>
      </c>
      <c r="E27" s="366">
        <v>12935800</v>
      </c>
      <c r="F27" s="366">
        <v>0</v>
      </c>
      <c r="G27" s="366">
        <v>0</v>
      </c>
      <c r="H27" s="365"/>
    </row>
    <row r="28" spans="1:8">
      <c r="A28" s="365" t="s">
        <v>995</v>
      </c>
      <c r="B28" s="366">
        <v>5812400</v>
      </c>
      <c r="C28" s="366">
        <v>120000</v>
      </c>
      <c r="D28" s="366">
        <v>0</v>
      </c>
      <c r="E28" s="366">
        <v>5692400</v>
      </c>
      <c r="F28" s="366">
        <v>0</v>
      </c>
      <c r="G28" s="366">
        <v>0</v>
      </c>
      <c r="H28" s="365"/>
    </row>
    <row r="29" spans="1:8">
      <c r="A29" s="365" t="s">
        <v>996</v>
      </c>
      <c r="B29" s="366">
        <v>3383000</v>
      </c>
      <c r="C29" s="366">
        <v>25000</v>
      </c>
      <c r="D29" s="366">
        <v>0</v>
      </c>
      <c r="E29" s="366">
        <v>3358000</v>
      </c>
      <c r="F29" s="366">
        <v>0</v>
      </c>
      <c r="G29" s="366">
        <v>0</v>
      </c>
      <c r="H29" s="365"/>
    </row>
    <row r="30" spans="1:8">
      <c r="A30" s="365"/>
      <c r="B30" s="365"/>
      <c r="C30" s="365"/>
      <c r="D30" s="365"/>
      <c r="E30" s="365"/>
      <c r="F30" s="365"/>
      <c r="G30" s="365"/>
      <c r="H30" s="365"/>
    </row>
    <row r="31" spans="1:8">
      <c r="A31" s="365"/>
      <c r="B31" s="365"/>
      <c r="C31" s="365"/>
      <c r="D31" s="365"/>
      <c r="E31" s="365"/>
      <c r="F31" s="365"/>
      <c r="G31" s="365"/>
      <c r="H31" s="365"/>
    </row>
    <row r="32" spans="1:8">
      <c r="A32" s="365" t="s">
        <v>5043</v>
      </c>
      <c r="B32" s="365" t="s">
        <v>5044</v>
      </c>
      <c r="C32" s="365" t="s">
        <v>998</v>
      </c>
      <c r="D32" s="365" t="s">
        <v>960</v>
      </c>
      <c r="E32" s="365" t="s">
        <v>1163</v>
      </c>
      <c r="F32" s="365" t="s">
        <v>1164</v>
      </c>
      <c r="G32" s="365" t="s">
        <v>1165</v>
      </c>
      <c r="H32" s="365"/>
    </row>
    <row r="33" spans="1:7">
      <c r="A33" s="365" t="s">
        <v>971</v>
      </c>
      <c r="B33" s="365"/>
      <c r="C33" s="365"/>
      <c r="D33" s="365"/>
      <c r="E33" s="365"/>
      <c r="F33" s="365"/>
      <c r="G33" s="365"/>
    </row>
    <row r="34" spans="1:7">
      <c r="A34" s="365"/>
      <c r="B34" s="365"/>
      <c r="C34" s="366"/>
      <c r="D34" s="366"/>
    </row>
    <row r="35" spans="1:7" s="365" customFormat="1">
      <c r="A35" s="365" t="s">
        <v>1181</v>
      </c>
      <c r="B35" s="367">
        <v>409763176</v>
      </c>
      <c r="C35" s="366">
        <v>409763176</v>
      </c>
    </row>
    <row r="36" spans="1:7">
      <c r="A36" s="366">
        <v>1</v>
      </c>
      <c r="B36" s="365"/>
      <c r="C36" s="365"/>
      <c r="D36" s="365"/>
    </row>
    <row r="39" spans="1:7">
      <c r="A39" s="365" t="s">
        <v>5045</v>
      </c>
      <c r="B39" s="365"/>
      <c r="C39" s="365"/>
      <c r="D39" s="365"/>
      <c r="E39" s="365"/>
      <c r="F39" s="365"/>
      <c r="G39" s="365"/>
    </row>
    <row r="40" spans="1:7">
      <c r="A40" s="365"/>
      <c r="B40" s="365"/>
      <c r="C40" s="365"/>
      <c r="D40" s="365"/>
      <c r="E40" s="365"/>
      <c r="F40" s="365"/>
      <c r="G40" s="365"/>
    </row>
    <row r="41" spans="1:7">
      <c r="A41" s="365"/>
      <c r="B41" s="365" t="s">
        <v>997</v>
      </c>
      <c r="C41" s="365" t="s">
        <v>989</v>
      </c>
      <c r="D41" s="365" t="s">
        <v>963</v>
      </c>
      <c r="E41" s="365"/>
      <c r="F41" s="365"/>
      <c r="G41" s="365"/>
    </row>
    <row r="42" spans="1:7">
      <c r="A42" s="365" t="s">
        <v>997</v>
      </c>
      <c r="B42" s="367">
        <v>503000</v>
      </c>
      <c r="C42" s="366">
        <v>25000</v>
      </c>
      <c r="D42" s="366">
        <v>478000</v>
      </c>
      <c r="E42" s="365"/>
      <c r="F42" s="365"/>
      <c r="G42" s="365"/>
    </row>
    <row r="43" spans="1:7">
      <c r="A43" s="365" t="s">
        <v>5046</v>
      </c>
      <c r="B43" s="366">
        <v>150000</v>
      </c>
      <c r="C43" s="366">
        <v>0</v>
      </c>
      <c r="D43" s="366">
        <v>150000</v>
      </c>
      <c r="E43" s="365"/>
      <c r="F43" s="365"/>
      <c r="G43" s="365"/>
    </row>
    <row r="44" spans="1:7">
      <c r="A44" s="365" t="s">
        <v>5047</v>
      </c>
      <c r="B44" s="366">
        <v>60000</v>
      </c>
      <c r="C44" s="366">
        <v>0</v>
      </c>
      <c r="D44" s="366">
        <v>60000</v>
      </c>
      <c r="E44" s="365"/>
      <c r="F44" s="365"/>
      <c r="G44" s="365"/>
    </row>
    <row r="45" spans="1:7">
      <c r="A45" s="365" t="s">
        <v>5048</v>
      </c>
      <c r="B45" s="366">
        <v>150000</v>
      </c>
      <c r="C45" s="366">
        <v>0</v>
      </c>
      <c r="D45" s="366">
        <v>150000</v>
      </c>
      <c r="E45" s="365"/>
      <c r="F45" s="365"/>
      <c r="G45" s="365"/>
    </row>
    <row r="46" spans="1:7">
      <c r="A46" s="365" t="s">
        <v>5049</v>
      </c>
      <c r="B46" s="366">
        <v>18000</v>
      </c>
      <c r="C46" s="366">
        <v>0</v>
      </c>
      <c r="D46" s="366">
        <v>18000</v>
      </c>
      <c r="E46" s="365"/>
      <c r="F46" s="365"/>
      <c r="G46" s="365"/>
    </row>
    <row r="47" spans="1:7">
      <c r="A47" s="365" t="s">
        <v>5050</v>
      </c>
      <c r="B47" s="366">
        <v>25000</v>
      </c>
      <c r="C47" s="366">
        <v>25000</v>
      </c>
      <c r="D47" s="366">
        <v>0</v>
      </c>
      <c r="E47" s="365"/>
      <c r="F47" s="365"/>
      <c r="G47" s="365"/>
    </row>
    <row r="48" spans="1:7">
      <c r="A48" s="365" t="s">
        <v>5051</v>
      </c>
      <c r="B48" s="366">
        <v>100000</v>
      </c>
      <c r="C48" s="366">
        <v>0</v>
      </c>
      <c r="D48" s="366">
        <v>100000</v>
      </c>
      <c r="E48" s="365"/>
      <c r="F48" s="365"/>
      <c r="G48" s="365"/>
    </row>
    <row r="49" spans="1:9">
      <c r="A49" s="365"/>
      <c r="B49" s="365"/>
      <c r="C49" s="365"/>
      <c r="D49" s="365"/>
      <c r="E49" s="365"/>
      <c r="F49" s="365"/>
      <c r="G49" s="365"/>
    </row>
    <row r="52" spans="1:9" s="365" customFormat="1">
      <c r="A52" s="365" t="s">
        <v>5052</v>
      </c>
    </row>
    <row r="53" spans="1:9" s="365" customFormat="1" ht="13.25" customHeight="1">
      <c r="A53" s="365" t="s">
        <v>959</v>
      </c>
      <c r="B53" s="365" t="s">
        <v>998</v>
      </c>
      <c r="C53" s="365" t="s">
        <v>1009</v>
      </c>
      <c r="D53" s="365" t="s">
        <v>1008</v>
      </c>
      <c r="E53" s="365" t="s">
        <v>1007</v>
      </c>
      <c r="F53" s="365" t="s">
        <v>961</v>
      </c>
      <c r="G53" s="365" t="s">
        <v>1006</v>
      </c>
      <c r="H53" s="365" t="s">
        <v>1005</v>
      </c>
      <c r="I53" s="365" t="s">
        <v>1004</v>
      </c>
    </row>
    <row r="54" spans="1:9" s="365" customFormat="1" hidden="1">
      <c r="A54" s="365" t="s">
        <v>1182</v>
      </c>
      <c r="B54" s="365" t="s">
        <v>5053</v>
      </c>
      <c r="C54" s="365" t="s">
        <v>1194</v>
      </c>
      <c r="D54" s="365" t="s">
        <v>1195</v>
      </c>
      <c r="E54" s="368">
        <v>45597</v>
      </c>
      <c r="F54" s="369">
        <v>0</v>
      </c>
      <c r="G54" s="368">
        <v>45597</v>
      </c>
      <c r="H54" s="370">
        <v>45597.580543981479</v>
      </c>
      <c r="I54" s="365" t="s">
        <v>1198</v>
      </c>
    </row>
    <row r="55" spans="1:9" s="365" customFormat="1" hidden="1">
      <c r="A55" s="365" t="s">
        <v>1182</v>
      </c>
      <c r="B55" s="365" t="s">
        <v>5054</v>
      </c>
      <c r="C55" s="365" t="s">
        <v>1194</v>
      </c>
      <c r="D55" s="365" t="s">
        <v>1195</v>
      </c>
      <c r="E55" s="368">
        <v>45600</v>
      </c>
      <c r="F55" s="369">
        <v>0</v>
      </c>
      <c r="G55" s="368">
        <v>45600</v>
      </c>
      <c r="H55" s="370">
        <v>45600.523229166669</v>
      </c>
      <c r="I55" s="365" t="s">
        <v>1067</v>
      </c>
    </row>
    <row r="56" spans="1:9" s="365" customFormat="1" hidden="1">
      <c r="A56" s="365" t="s">
        <v>1182</v>
      </c>
      <c r="B56" s="365" t="s">
        <v>5055</v>
      </c>
      <c r="C56" s="365" t="s">
        <v>1194</v>
      </c>
      <c r="D56" s="365" t="s">
        <v>1195</v>
      </c>
      <c r="E56" s="368">
        <v>45598</v>
      </c>
      <c r="F56" s="369">
        <v>0</v>
      </c>
      <c r="G56" s="368">
        <v>45598</v>
      </c>
      <c r="H56" s="370">
        <v>45598.585358796299</v>
      </c>
      <c r="I56" s="365" t="s">
        <v>1023</v>
      </c>
    </row>
    <row r="57" spans="1:9" s="365" customFormat="1" hidden="1">
      <c r="A57" s="365" t="s">
        <v>1182</v>
      </c>
      <c r="B57" s="365" t="s">
        <v>5056</v>
      </c>
      <c r="C57" s="365" t="s">
        <v>1194</v>
      </c>
      <c r="D57" s="365" t="s">
        <v>1195</v>
      </c>
      <c r="E57" s="368">
        <v>45603</v>
      </c>
      <c r="F57" s="369">
        <v>0</v>
      </c>
      <c r="G57" s="368">
        <v>45603</v>
      </c>
      <c r="H57" s="370">
        <v>45603.647835648146</v>
      </c>
      <c r="I57" s="365" t="s">
        <v>5057</v>
      </c>
    </row>
    <row r="58" spans="1:9" s="365" customFormat="1" hidden="1">
      <c r="A58" s="365" t="s">
        <v>1182</v>
      </c>
      <c r="B58" s="365" t="s">
        <v>5058</v>
      </c>
      <c r="C58" s="365" t="s">
        <v>1194</v>
      </c>
      <c r="D58" s="365" t="s">
        <v>1195</v>
      </c>
      <c r="E58" s="368">
        <v>45600</v>
      </c>
      <c r="F58" s="369">
        <v>0</v>
      </c>
      <c r="G58" s="368">
        <v>45600</v>
      </c>
      <c r="H58" s="370">
        <v>45600.556655092594</v>
      </c>
      <c r="I58" s="365" t="s">
        <v>1057</v>
      </c>
    </row>
    <row r="59" spans="1:9" s="365" customFormat="1" hidden="1">
      <c r="A59" s="365" t="s">
        <v>1182</v>
      </c>
      <c r="B59" s="365" t="s">
        <v>5059</v>
      </c>
      <c r="C59" s="365" t="s">
        <v>1194</v>
      </c>
      <c r="D59" s="365" t="s">
        <v>1195</v>
      </c>
      <c r="E59" s="368">
        <v>45601</v>
      </c>
      <c r="F59" s="369">
        <v>0</v>
      </c>
      <c r="G59" s="368">
        <v>45601</v>
      </c>
      <c r="H59" s="370">
        <v>45601.648946759262</v>
      </c>
      <c r="I59" s="365" t="s">
        <v>1027</v>
      </c>
    </row>
    <row r="60" spans="1:9" s="365" customFormat="1" hidden="1">
      <c r="A60" s="365" t="s">
        <v>1182</v>
      </c>
      <c r="B60" s="365" t="s">
        <v>5060</v>
      </c>
      <c r="C60" s="365" t="s">
        <v>1194</v>
      </c>
      <c r="D60" s="365" t="s">
        <v>1195</v>
      </c>
      <c r="E60" s="368">
        <v>45602</v>
      </c>
      <c r="F60" s="369">
        <v>0</v>
      </c>
      <c r="G60" s="368">
        <v>45602</v>
      </c>
      <c r="H60" s="370">
        <v>45602.357187499998</v>
      </c>
      <c r="I60" s="365" t="s">
        <v>1199</v>
      </c>
    </row>
    <row r="61" spans="1:9" s="365" customFormat="1" hidden="1">
      <c r="A61" s="365" t="s">
        <v>1182</v>
      </c>
      <c r="B61" s="365" t="s">
        <v>5061</v>
      </c>
      <c r="C61" s="365" t="s">
        <v>1194</v>
      </c>
      <c r="D61" s="365" t="s">
        <v>1195</v>
      </c>
      <c r="E61" s="368">
        <v>45603</v>
      </c>
      <c r="F61" s="369">
        <v>0</v>
      </c>
      <c r="G61" s="368">
        <v>45603</v>
      </c>
      <c r="H61" s="370">
        <v>45603.340787037036</v>
      </c>
      <c r="I61" s="365" t="s">
        <v>1063</v>
      </c>
    </row>
    <row r="62" spans="1:9" s="365" customFormat="1" hidden="1">
      <c r="A62" s="365" t="s">
        <v>1182</v>
      </c>
      <c r="B62" s="365" t="s">
        <v>5062</v>
      </c>
      <c r="C62" s="365" t="s">
        <v>1194</v>
      </c>
      <c r="D62" s="365" t="s">
        <v>1195</v>
      </c>
      <c r="E62" s="368">
        <v>45603</v>
      </c>
      <c r="F62" s="369">
        <v>0</v>
      </c>
      <c r="G62" s="368">
        <v>45603</v>
      </c>
      <c r="H62" s="370">
        <v>45603.353136574071</v>
      </c>
      <c r="I62" s="365" t="s">
        <v>1065</v>
      </c>
    </row>
    <row r="63" spans="1:9" s="365" customFormat="1" hidden="1">
      <c r="A63" s="365" t="s">
        <v>1182</v>
      </c>
      <c r="B63" s="365" t="s">
        <v>5063</v>
      </c>
      <c r="C63" s="365" t="s">
        <v>1194</v>
      </c>
      <c r="D63" s="365" t="s">
        <v>1195</v>
      </c>
      <c r="E63" s="368">
        <v>45601</v>
      </c>
      <c r="F63" s="369">
        <v>0</v>
      </c>
      <c r="G63" s="368">
        <v>45601</v>
      </c>
      <c r="H63" s="370">
        <v>45601.532986111109</v>
      </c>
      <c r="I63" s="365" t="s">
        <v>1030</v>
      </c>
    </row>
    <row r="64" spans="1:9" s="365" customFormat="1">
      <c r="A64" s="365" t="s">
        <v>1000</v>
      </c>
      <c r="B64" s="365" t="s">
        <v>5064</v>
      </c>
      <c r="C64" s="365" t="s">
        <v>968</v>
      </c>
      <c r="D64" s="365" t="s">
        <v>173</v>
      </c>
      <c r="E64" s="368">
        <v>45603</v>
      </c>
      <c r="F64" s="369">
        <v>0</v>
      </c>
      <c r="G64" s="368">
        <v>45603</v>
      </c>
      <c r="H64" s="370">
        <v>45603.608796296299</v>
      </c>
      <c r="I64" s="365" t="s">
        <v>1187</v>
      </c>
    </row>
    <row r="65" spans="1:9" s="365" customFormat="1">
      <c r="A65" s="365" t="s">
        <v>1000</v>
      </c>
      <c r="B65" s="365" t="s">
        <v>5065</v>
      </c>
      <c r="C65" s="365" t="s">
        <v>968</v>
      </c>
      <c r="D65" s="365" t="s">
        <v>173</v>
      </c>
      <c r="E65" s="368">
        <v>45603</v>
      </c>
      <c r="F65" s="369">
        <v>1500000</v>
      </c>
      <c r="G65" s="368">
        <v>45603</v>
      </c>
      <c r="H65" s="370">
        <v>45603.609942129631</v>
      </c>
      <c r="I65" s="365" t="s">
        <v>1187</v>
      </c>
    </row>
    <row r="66" spans="1:9" s="365" customFormat="1">
      <c r="A66" s="365" t="s">
        <v>1000</v>
      </c>
      <c r="B66" s="365" t="s">
        <v>5066</v>
      </c>
      <c r="C66" s="365" t="s">
        <v>965</v>
      </c>
      <c r="D66" s="365" t="s">
        <v>966</v>
      </c>
      <c r="E66" s="368">
        <v>45604</v>
      </c>
      <c r="F66" s="369">
        <v>3700000</v>
      </c>
      <c r="G66" s="368">
        <v>45604</v>
      </c>
      <c r="H66" s="370">
        <v>45604.616828703707</v>
      </c>
      <c r="I66" s="365" t="s">
        <v>999</v>
      </c>
    </row>
    <row r="67" spans="1:9" s="365" customFormat="1" hidden="1">
      <c r="A67" s="365" t="s">
        <v>1182</v>
      </c>
      <c r="B67" s="365" t="s">
        <v>5067</v>
      </c>
      <c r="C67" s="365" t="s">
        <v>1194</v>
      </c>
      <c r="D67" s="365" t="s">
        <v>1195</v>
      </c>
      <c r="E67" s="368">
        <v>45602</v>
      </c>
      <c r="F67" s="369">
        <v>0</v>
      </c>
      <c r="G67" s="368">
        <v>45602</v>
      </c>
      <c r="H67" s="370">
        <v>45602.704074074078</v>
      </c>
      <c r="I67" s="365" t="s">
        <v>1051</v>
      </c>
    </row>
    <row r="68" spans="1:9" s="365" customFormat="1" hidden="1">
      <c r="A68" s="365" t="s">
        <v>1182</v>
      </c>
      <c r="B68" s="365" t="s">
        <v>5068</v>
      </c>
      <c r="C68" s="365" t="s">
        <v>1194</v>
      </c>
      <c r="D68" s="365" t="s">
        <v>1195</v>
      </c>
      <c r="E68" s="368">
        <v>45602</v>
      </c>
      <c r="F68" s="369">
        <v>0</v>
      </c>
      <c r="G68" s="368">
        <v>45602</v>
      </c>
      <c r="H68" s="370">
        <v>45602.662372685183</v>
      </c>
      <c r="I68" s="365" t="s">
        <v>1173</v>
      </c>
    </row>
    <row r="69" spans="1:9" s="365" customFormat="1">
      <c r="A69" s="365" t="s">
        <v>1000</v>
      </c>
      <c r="B69" s="365" t="s">
        <v>5069</v>
      </c>
      <c r="C69" s="365" t="s">
        <v>964</v>
      </c>
      <c r="D69" s="365" t="s">
        <v>97</v>
      </c>
      <c r="E69" s="368">
        <v>45600</v>
      </c>
      <c r="F69" s="369">
        <v>3000000</v>
      </c>
      <c r="G69" s="368">
        <v>45600</v>
      </c>
      <c r="H69" s="370">
        <v>45600.64565972222</v>
      </c>
      <c r="I69" s="365" t="s">
        <v>999</v>
      </c>
    </row>
    <row r="70" spans="1:9" s="365" customFormat="1">
      <c r="A70" s="365" t="s">
        <v>1000</v>
      </c>
      <c r="B70" s="365" t="s">
        <v>5070</v>
      </c>
      <c r="C70" s="365" t="s">
        <v>964</v>
      </c>
      <c r="D70" s="365" t="s">
        <v>97</v>
      </c>
      <c r="E70" s="368">
        <v>45600</v>
      </c>
      <c r="F70" s="369">
        <v>100000</v>
      </c>
      <c r="G70" s="368">
        <v>45600</v>
      </c>
      <c r="H70" s="370">
        <v>45600.81894675926</v>
      </c>
      <c r="I70" s="365" t="s">
        <v>1057</v>
      </c>
    </row>
    <row r="71" spans="1:9" s="365" customFormat="1" hidden="1">
      <c r="A71" s="365" t="s">
        <v>1182</v>
      </c>
      <c r="B71" s="365" t="s">
        <v>5071</v>
      </c>
      <c r="C71" s="365" t="s">
        <v>1194</v>
      </c>
      <c r="D71" s="365" t="s">
        <v>1195</v>
      </c>
      <c r="E71" s="368">
        <v>45602</v>
      </c>
      <c r="F71" s="369">
        <v>0</v>
      </c>
      <c r="G71" s="368">
        <v>45602</v>
      </c>
      <c r="H71" s="370">
        <v>45602.548796296294</v>
      </c>
      <c r="I71" s="365" t="s">
        <v>1051</v>
      </c>
    </row>
    <row r="72" spans="1:9" s="365" customFormat="1" hidden="1">
      <c r="A72" s="365" t="s">
        <v>1182</v>
      </c>
      <c r="B72" s="365" t="s">
        <v>5072</v>
      </c>
      <c r="C72" s="365" t="s">
        <v>1194</v>
      </c>
      <c r="D72" s="365" t="s">
        <v>1195</v>
      </c>
      <c r="E72" s="368">
        <v>45600</v>
      </c>
      <c r="F72" s="369">
        <v>0</v>
      </c>
      <c r="G72" s="368">
        <v>45600</v>
      </c>
      <c r="H72" s="370">
        <v>45600.681122685186</v>
      </c>
      <c r="I72" s="365" t="s">
        <v>5073</v>
      </c>
    </row>
    <row r="73" spans="1:9" s="365" customFormat="1" hidden="1">
      <c r="A73" s="365" t="s">
        <v>1182</v>
      </c>
      <c r="B73" s="365" t="s">
        <v>5074</v>
      </c>
      <c r="C73" s="365" t="s">
        <v>1194</v>
      </c>
      <c r="D73" s="365" t="s">
        <v>1195</v>
      </c>
      <c r="E73" s="368">
        <v>45600</v>
      </c>
      <c r="F73" s="369">
        <v>0</v>
      </c>
      <c r="G73" s="368">
        <v>45600</v>
      </c>
      <c r="H73" s="370">
        <v>45600.694386574076</v>
      </c>
      <c r="I73" s="365" t="s">
        <v>1036</v>
      </c>
    </row>
    <row r="74" spans="1:9" s="365" customFormat="1" hidden="1">
      <c r="A74" s="365" t="s">
        <v>1182</v>
      </c>
      <c r="B74" s="365" t="s">
        <v>5075</v>
      </c>
      <c r="C74" s="365" t="s">
        <v>1194</v>
      </c>
      <c r="D74" s="365" t="s">
        <v>1195</v>
      </c>
      <c r="E74" s="368">
        <v>45600</v>
      </c>
      <c r="F74" s="369">
        <v>0</v>
      </c>
      <c r="G74" s="368">
        <v>45600</v>
      </c>
      <c r="H74" s="370">
        <v>45600.699444444443</v>
      </c>
      <c r="I74" s="365" t="s">
        <v>1203</v>
      </c>
    </row>
    <row r="75" spans="1:9" s="365" customFormat="1" hidden="1">
      <c r="A75" s="365" t="s">
        <v>1182</v>
      </c>
      <c r="B75" s="365" t="s">
        <v>5076</v>
      </c>
      <c r="C75" s="365" t="s">
        <v>1194</v>
      </c>
      <c r="D75" s="365" t="s">
        <v>1195</v>
      </c>
      <c r="E75" s="368">
        <v>45604</v>
      </c>
      <c r="F75" s="369">
        <v>0</v>
      </c>
      <c r="G75" s="368">
        <v>45604</v>
      </c>
      <c r="H75" s="370">
        <v>45604.534537037034</v>
      </c>
      <c r="I75" s="365" t="s">
        <v>1068</v>
      </c>
    </row>
    <row r="76" spans="1:9" s="365" customFormat="1">
      <c r="A76" s="365" t="s">
        <v>1000</v>
      </c>
      <c r="B76" s="365" t="s">
        <v>5077</v>
      </c>
      <c r="C76" s="365" t="s">
        <v>962</v>
      </c>
      <c r="D76" s="365" t="s">
        <v>307</v>
      </c>
      <c r="E76" s="368">
        <v>45600</v>
      </c>
      <c r="F76" s="369">
        <v>25000000</v>
      </c>
      <c r="G76" s="368">
        <v>45600</v>
      </c>
      <c r="H76" s="370">
        <v>45600.714155092595</v>
      </c>
      <c r="I76" s="365" t="s">
        <v>999</v>
      </c>
    </row>
    <row r="77" spans="1:9" s="365" customFormat="1">
      <c r="A77" s="365" t="s">
        <v>1000</v>
      </c>
      <c r="B77" s="365" t="s">
        <v>5078</v>
      </c>
      <c r="C77" s="365" t="s">
        <v>964</v>
      </c>
      <c r="D77" s="365" t="s">
        <v>97</v>
      </c>
      <c r="E77" s="368">
        <v>45604</v>
      </c>
      <c r="F77" s="369">
        <v>4000000</v>
      </c>
      <c r="G77" s="368">
        <v>45604</v>
      </c>
      <c r="H77" s="370">
        <v>45604.703541666669</v>
      </c>
      <c r="I77" s="365" t="s">
        <v>999</v>
      </c>
    </row>
    <row r="78" spans="1:9" s="365" customFormat="1" hidden="1">
      <c r="A78" s="365" t="s">
        <v>1182</v>
      </c>
      <c r="B78" s="365" t="s">
        <v>5079</v>
      </c>
      <c r="C78" s="365" t="s">
        <v>1194</v>
      </c>
      <c r="D78" s="365" t="s">
        <v>1195</v>
      </c>
      <c r="E78" s="368">
        <v>45600</v>
      </c>
      <c r="F78" s="369">
        <v>0</v>
      </c>
      <c r="G78" s="368">
        <v>45600</v>
      </c>
      <c r="H78" s="370">
        <v>45600.726527777777</v>
      </c>
      <c r="I78" s="365" t="s">
        <v>1037</v>
      </c>
    </row>
    <row r="79" spans="1:9" s="365" customFormat="1" hidden="1">
      <c r="A79" s="365" t="s">
        <v>1182</v>
      </c>
      <c r="B79" s="365" t="s">
        <v>5080</v>
      </c>
      <c r="C79" s="365" t="s">
        <v>1194</v>
      </c>
      <c r="D79" s="365" t="s">
        <v>1195</v>
      </c>
      <c r="E79" s="368">
        <v>45604</v>
      </c>
      <c r="F79" s="369">
        <v>0</v>
      </c>
      <c r="G79" s="368">
        <v>45604</v>
      </c>
      <c r="H79" s="370">
        <v>45604.399351851855</v>
      </c>
      <c r="I79" s="365" t="s">
        <v>1030</v>
      </c>
    </row>
    <row r="80" spans="1:9" s="365" customFormat="1">
      <c r="A80" s="365" t="s">
        <v>1000</v>
      </c>
      <c r="B80" s="365" t="s">
        <v>5081</v>
      </c>
      <c r="C80" s="365" t="s">
        <v>968</v>
      </c>
      <c r="D80" s="365" t="s">
        <v>173</v>
      </c>
      <c r="E80" s="368">
        <v>45601</v>
      </c>
      <c r="F80" s="369">
        <v>0</v>
      </c>
      <c r="G80" s="368">
        <v>45601</v>
      </c>
      <c r="H80" s="370">
        <v>45601.605127314811</v>
      </c>
      <c r="I80" s="365" t="s">
        <v>999</v>
      </c>
    </row>
    <row r="81" spans="1:9" s="365" customFormat="1" hidden="1">
      <c r="A81" s="365" t="s">
        <v>1182</v>
      </c>
      <c r="B81" s="365" t="s">
        <v>5082</v>
      </c>
      <c r="C81" s="365" t="s">
        <v>1194</v>
      </c>
      <c r="D81" s="365" t="s">
        <v>1195</v>
      </c>
      <c r="E81" s="368">
        <v>45604</v>
      </c>
      <c r="F81" s="369">
        <v>0</v>
      </c>
      <c r="G81" s="368">
        <v>45604</v>
      </c>
      <c r="H81" s="370">
        <v>45604.562638888892</v>
      </c>
      <c r="I81" s="365" t="s">
        <v>1057</v>
      </c>
    </row>
    <row r="82" spans="1:9" s="365" customFormat="1" hidden="1">
      <c r="A82" s="365" t="s">
        <v>1182</v>
      </c>
      <c r="B82" s="365" t="s">
        <v>5083</v>
      </c>
      <c r="C82" s="365" t="s">
        <v>1194</v>
      </c>
      <c r="D82" s="365" t="s">
        <v>1195</v>
      </c>
      <c r="E82" s="368">
        <v>45602</v>
      </c>
      <c r="F82" s="369">
        <v>0</v>
      </c>
      <c r="G82" s="368">
        <v>45602</v>
      </c>
      <c r="H82" s="370">
        <v>45602.498217592591</v>
      </c>
      <c r="I82" s="365" t="s">
        <v>1063</v>
      </c>
    </row>
    <row r="83" spans="1:9" s="365" customFormat="1" hidden="1">
      <c r="A83" s="365" t="s">
        <v>1182</v>
      </c>
      <c r="B83" s="365" t="s">
        <v>5084</v>
      </c>
      <c r="C83" s="365" t="s">
        <v>1194</v>
      </c>
      <c r="D83" s="365" t="s">
        <v>1195</v>
      </c>
      <c r="E83" s="368">
        <v>45604</v>
      </c>
      <c r="F83" s="369">
        <v>0</v>
      </c>
      <c r="G83" s="368">
        <v>45604</v>
      </c>
      <c r="H83" s="370">
        <v>45604.432581018518</v>
      </c>
      <c r="I83" s="365" t="s">
        <v>1196</v>
      </c>
    </row>
    <row r="84" spans="1:9" s="365" customFormat="1">
      <c r="A84" s="365" t="s">
        <v>1000</v>
      </c>
      <c r="B84" s="365" t="s">
        <v>5085</v>
      </c>
      <c r="C84" s="365" t="s">
        <v>967</v>
      </c>
      <c r="D84" s="365" t="s">
        <v>65</v>
      </c>
      <c r="E84" s="368">
        <v>45604</v>
      </c>
      <c r="F84" s="369">
        <v>2000000</v>
      </c>
      <c r="G84" s="368">
        <v>45604</v>
      </c>
      <c r="H84" s="370">
        <v>45604.646064814813</v>
      </c>
      <c r="I84" s="365" t="s">
        <v>999</v>
      </c>
    </row>
    <row r="85" spans="1:9" s="365" customFormat="1" hidden="1">
      <c r="A85" s="365" t="s">
        <v>1182</v>
      </c>
      <c r="B85" s="365" t="s">
        <v>5086</v>
      </c>
      <c r="C85" s="365" t="s">
        <v>1194</v>
      </c>
      <c r="D85" s="365" t="s">
        <v>1195</v>
      </c>
      <c r="E85" s="368">
        <v>45601</v>
      </c>
      <c r="F85" s="369">
        <v>0</v>
      </c>
      <c r="G85" s="368">
        <v>45601</v>
      </c>
      <c r="H85" s="370">
        <v>45601.343935185185</v>
      </c>
      <c r="I85" s="365" t="s">
        <v>1068</v>
      </c>
    </row>
    <row r="86" spans="1:9" s="365" customFormat="1" hidden="1">
      <c r="A86" s="365" t="s">
        <v>1182</v>
      </c>
      <c r="B86" s="365" t="s">
        <v>5087</v>
      </c>
      <c r="C86" s="365" t="s">
        <v>1194</v>
      </c>
      <c r="D86" s="365" t="s">
        <v>1195</v>
      </c>
      <c r="E86" s="368">
        <v>45602</v>
      </c>
      <c r="F86" s="369">
        <v>0</v>
      </c>
      <c r="G86" s="368">
        <v>45602</v>
      </c>
      <c r="H86" s="370">
        <v>45602.560578703706</v>
      </c>
      <c r="I86" s="365" t="s">
        <v>1056</v>
      </c>
    </row>
    <row r="87" spans="1:9" s="365" customFormat="1" hidden="1">
      <c r="A87" s="365" t="s">
        <v>1182</v>
      </c>
      <c r="B87" s="365" t="s">
        <v>5088</v>
      </c>
      <c r="C87" s="365" t="s">
        <v>1194</v>
      </c>
      <c r="D87" s="365" t="s">
        <v>1195</v>
      </c>
      <c r="E87" s="368">
        <v>45598</v>
      </c>
      <c r="F87" s="369">
        <v>0</v>
      </c>
      <c r="G87" s="368">
        <v>45598</v>
      </c>
      <c r="H87" s="370">
        <v>45598.590532407405</v>
      </c>
      <c r="I87" s="365" t="s">
        <v>1056</v>
      </c>
    </row>
    <row r="88" spans="1:9" s="365" customFormat="1" hidden="1">
      <c r="A88" s="365" t="s">
        <v>1182</v>
      </c>
      <c r="B88" s="365" t="s">
        <v>5089</v>
      </c>
      <c r="C88" s="365" t="s">
        <v>1194</v>
      </c>
      <c r="D88" s="365" t="s">
        <v>1195</v>
      </c>
      <c r="E88" s="368">
        <v>45604</v>
      </c>
      <c r="F88" s="369">
        <v>0</v>
      </c>
      <c r="G88" s="368">
        <v>45604</v>
      </c>
      <c r="H88" s="370">
        <v>45604.600381944445</v>
      </c>
      <c r="I88" s="365" t="s">
        <v>5090</v>
      </c>
    </row>
    <row r="89" spans="1:9" s="365" customFormat="1" hidden="1">
      <c r="A89" s="365" t="s">
        <v>1182</v>
      </c>
      <c r="B89" s="365" t="s">
        <v>5091</v>
      </c>
      <c r="C89" s="365" t="s">
        <v>1194</v>
      </c>
      <c r="D89" s="365" t="s">
        <v>1195</v>
      </c>
      <c r="E89" s="368">
        <v>45601</v>
      </c>
      <c r="F89" s="369">
        <v>0</v>
      </c>
      <c r="G89" s="368">
        <v>45601</v>
      </c>
      <c r="H89" s="370">
        <v>45601.418668981481</v>
      </c>
      <c r="I89" s="365" t="s">
        <v>1042</v>
      </c>
    </row>
    <row r="90" spans="1:9" s="365" customFormat="1" hidden="1">
      <c r="A90" s="365" t="s">
        <v>1182</v>
      </c>
      <c r="B90" s="365" t="s">
        <v>5092</v>
      </c>
      <c r="C90" s="365" t="s">
        <v>1194</v>
      </c>
      <c r="D90" s="365" t="s">
        <v>1195</v>
      </c>
      <c r="E90" s="368">
        <v>45600</v>
      </c>
      <c r="F90" s="369">
        <v>0</v>
      </c>
      <c r="G90" s="368">
        <v>45600</v>
      </c>
      <c r="H90" s="370">
        <v>45600.361990740741</v>
      </c>
      <c r="I90" s="365" t="s">
        <v>1200</v>
      </c>
    </row>
    <row r="91" spans="1:9" s="365" customFormat="1" hidden="1">
      <c r="A91" s="365" t="s">
        <v>1182</v>
      </c>
      <c r="B91" s="365" t="s">
        <v>5093</v>
      </c>
      <c r="C91" s="365" t="s">
        <v>1194</v>
      </c>
      <c r="D91" s="365" t="s">
        <v>1195</v>
      </c>
      <c r="E91" s="368">
        <v>45600</v>
      </c>
      <c r="F91" s="369">
        <v>0</v>
      </c>
      <c r="G91" s="368">
        <v>45600</v>
      </c>
      <c r="H91" s="370">
        <v>45600.313946759263</v>
      </c>
      <c r="I91" s="365" t="s">
        <v>5090</v>
      </c>
    </row>
    <row r="92" spans="1:9" s="365" customFormat="1" hidden="1">
      <c r="A92" s="365" t="s">
        <v>1182</v>
      </c>
      <c r="B92" s="365" t="s">
        <v>5094</v>
      </c>
      <c r="C92" s="365" t="s">
        <v>1194</v>
      </c>
      <c r="D92" s="365" t="s">
        <v>1195</v>
      </c>
      <c r="E92" s="368">
        <v>45602</v>
      </c>
      <c r="F92" s="369">
        <v>0</v>
      </c>
      <c r="G92" s="368">
        <v>45602</v>
      </c>
      <c r="H92" s="370">
        <v>45602.690150462964</v>
      </c>
      <c r="I92" s="365" t="s">
        <v>5057</v>
      </c>
    </row>
    <row r="93" spans="1:9" s="365" customFormat="1" hidden="1">
      <c r="A93" s="365" t="s">
        <v>1182</v>
      </c>
      <c r="B93" s="365" t="s">
        <v>5095</v>
      </c>
      <c r="C93" s="365" t="s">
        <v>1194</v>
      </c>
      <c r="D93" s="365" t="s">
        <v>1195</v>
      </c>
      <c r="E93" s="368">
        <v>45601</v>
      </c>
      <c r="F93" s="369">
        <v>0</v>
      </c>
      <c r="G93" s="368">
        <v>45601</v>
      </c>
      <c r="H93" s="370">
        <v>45601.755023148151</v>
      </c>
      <c r="I93" s="365" t="s">
        <v>1197</v>
      </c>
    </row>
    <row r="94" spans="1:9" s="365" customFormat="1" hidden="1">
      <c r="A94" s="365" t="s">
        <v>1182</v>
      </c>
      <c r="B94" s="365" t="s">
        <v>5096</v>
      </c>
      <c r="C94" s="365" t="s">
        <v>1194</v>
      </c>
      <c r="D94" s="365" t="s">
        <v>1195</v>
      </c>
      <c r="E94" s="368">
        <v>45604</v>
      </c>
      <c r="F94" s="369">
        <v>0</v>
      </c>
      <c r="G94" s="368">
        <v>45604</v>
      </c>
      <c r="H94" s="370">
        <v>45604.443819444445</v>
      </c>
      <c r="I94" s="365" t="s">
        <v>1068</v>
      </c>
    </row>
    <row r="95" spans="1:9" s="365" customFormat="1" hidden="1">
      <c r="A95" s="365" t="s">
        <v>1182</v>
      </c>
      <c r="B95" s="365" t="s">
        <v>5097</v>
      </c>
      <c r="C95" s="365" t="s">
        <v>1194</v>
      </c>
      <c r="D95" s="365" t="s">
        <v>1195</v>
      </c>
      <c r="E95" s="368">
        <v>45600</v>
      </c>
      <c r="F95" s="369">
        <v>0</v>
      </c>
      <c r="G95" s="368">
        <v>45600</v>
      </c>
      <c r="H95" s="370">
        <v>45600.422569444447</v>
      </c>
      <c r="I95" s="365" t="s">
        <v>1035</v>
      </c>
    </row>
    <row r="96" spans="1:9" s="365" customFormat="1" hidden="1">
      <c r="A96" s="365" t="s">
        <v>1182</v>
      </c>
      <c r="B96" s="365" t="s">
        <v>5098</v>
      </c>
      <c r="C96" s="365" t="s">
        <v>1194</v>
      </c>
      <c r="D96" s="365" t="s">
        <v>1195</v>
      </c>
      <c r="E96" s="368">
        <v>45601</v>
      </c>
      <c r="F96" s="369">
        <v>0</v>
      </c>
      <c r="G96" s="368">
        <v>45601</v>
      </c>
      <c r="H96" s="370">
        <v>45601.481782407405</v>
      </c>
      <c r="I96" s="365" t="s">
        <v>1048</v>
      </c>
    </row>
    <row r="97" spans="1:9" s="365" customFormat="1" hidden="1">
      <c r="A97" s="365" t="s">
        <v>1182</v>
      </c>
      <c r="B97" s="365" t="s">
        <v>5099</v>
      </c>
      <c r="C97" s="365" t="s">
        <v>1194</v>
      </c>
      <c r="D97" s="365" t="s">
        <v>1195</v>
      </c>
      <c r="E97" s="368">
        <v>45600</v>
      </c>
      <c r="F97" s="369">
        <v>0</v>
      </c>
      <c r="G97" s="368">
        <v>45600</v>
      </c>
      <c r="H97" s="370">
        <v>45600.458356481482</v>
      </c>
      <c r="I97" s="365" t="s">
        <v>5100</v>
      </c>
    </row>
    <row r="98" spans="1:9" s="365" customFormat="1" hidden="1">
      <c r="A98" s="365" t="s">
        <v>1182</v>
      </c>
      <c r="B98" s="365" t="s">
        <v>5101</v>
      </c>
      <c r="C98" s="365" t="s">
        <v>1194</v>
      </c>
      <c r="D98" s="365" t="s">
        <v>1195</v>
      </c>
      <c r="E98" s="368">
        <v>45600</v>
      </c>
      <c r="F98" s="369">
        <v>0</v>
      </c>
      <c r="G98" s="368">
        <v>45600</v>
      </c>
      <c r="H98" s="370">
        <v>45600.664212962962</v>
      </c>
      <c r="I98" s="365" t="s">
        <v>1035</v>
      </c>
    </row>
    <row r="99" spans="1:9" s="365" customFormat="1" hidden="1">
      <c r="A99" s="365" t="s">
        <v>1182</v>
      </c>
      <c r="B99" s="365" t="s">
        <v>5102</v>
      </c>
      <c r="C99" s="365" t="s">
        <v>1194</v>
      </c>
      <c r="D99" s="365" t="s">
        <v>1195</v>
      </c>
      <c r="E99" s="368">
        <v>45601</v>
      </c>
      <c r="F99" s="369">
        <v>0</v>
      </c>
      <c r="G99" s="368">
        <v>45601</v>
      </c>
      <c r="H99" s="370">
        <v>45601.591192129628</v>
      </c>
      <c r="I99" s="365" t="s">
        <v>990</v>
      </c>
    </row>
    <row r="100" spans="1:9" s="365" customFormat="1" hidden="1">
      <c r="A100" s="365" t="s">
        <v>1182</v>
      </c>
      <c r="B100" s="365" t="s">
        <v>5103</v>
      </c>
      <c r="C100" s="365" t="s">
        <v>1194</v>
      </c>
      <c r="D100" s="365" t="s">
        <v>1195</v>
      </c>
      <c r="E100" s="368">
        <v>45603</v>
      </c>
      <c r="F100" s="369">
        <v>0</v>
      </c>
      <c r="G100" s="368">
        <v>45603</v>
      </c>
      <c r="H100" s="370">
        <v>45603.605150462965</v>
      </c>
      <c r="I100" s="365" t="s">
        <v>1209</v>
      </c>
    </row>
    <row r="101" spans="1:9" s="365" customFormat="1">
      <c r="A101" s="365" t="s">
        <v>1000</v>
      </c>
      <c r="B101" s="365" t="s">
        <v>5104</v>
      </c>
      <c r="C101" s="365" t="s">
        <v>965</v>
      </c>
      <c r="D101" s="365" t="s">
        <v>966</v>
      </c>
      <c r="E101" s="368">
        <v>45602</v>
      </c>
      <c r="F101" s="369">
        <v>3000000</v>
      </c>
      <c r="G101" s="368">
        <v>45602</v>
      </c>
      <c r="H101" s="370">
        <v>45602.705636574072</v>
      </c>
      <c r="I101" s="365" t="s">
        <v>999</v>
      </c>
    </row>
    <row r="102" spans="1:9" s="365" customFormat="1" hidden="1">
      <c r="A102" s="365" t="s">
        <v>1182</v>
      </c>
      <c r="B102" s="365" t="s">
        <v>5105</v>
      </c>
      <c r="C102" s="365" t="s">
        <v>1194</v>
      </c>
      <c r="D102" s="365" t="s">
        <v>1195</v>
      </c>
      <c r="E102" s="368">
        <v>45602</v>
      </c>
      <c r="F102" s="369">
        <v>0</v>
      </c>
      <c r="G102" s="368">
        <v>45602</v>
      </c>
      <c r="H102" s="370">
        <v>45602.725752314815</v>
      </c>
      <c r="I102" s="365" t="s">
        <v>1207</v>
      </c>
    </row>
    <row r="103" spans="1:9" s="365" customFormat="1" hidden="1">
      <c r="A103" s="365" t="s">
        <v>1182</v>
      </c>
      <c r="B103" s="365" t="s">
        <v>5106</v>
      </c>
      <c r="C103" s="365" t="s">
        <v>1194</v>
      </c>
      <c r="D103" s="365" t="s">
        <v>1195</v>
      </c>
      <c r="E103" s="368">
        <v>45602</v>
      </c>
      <c r="F103" s="369">
        <v>0</v>
      </c>
      <c r="G103" s="368">
        <v>45602</v>
      </c>
      <c r="H103" s="370">
        <v>45602.67931712963</v>
      </c>
      <c r="I103" s="365" t="s">
        <v>990</v>
      </c>
    </row>
    <row r="104" spans="1:9" s="365" customFormat="1" hidden="1">
      <c r="A104" s="365" t="s">
        <v>1182</v>
      </c>
      <c r="B104" s="365" t="s">
        <v>5107</v>
      </c>
      <c r="C104" s="365" t="s">
        <v>1194</v>
      </c>
      <c r="D104" s="365" t="s">
        <v>1195</v>
      </c>
      <c r="E104" s="368">
        <v>45602</v>
      </c>
      <c r="F104" s="369">
        <v>0</v>
      </c>
      <c r="G104" s="368">
        <v>45602</v>
      </c>
      <c r="H104" s="370">
        <v>45602.713553240741</v>
      </c>
      <c r="I104" s="365" t="s">
        <v>990</v>
      </c>
    </row>
    <row r="105" spans="1:9" s="365" customFormat="1" hidden="1">
      <c r="A105" s="365" t="s">
        <v>1182</v>
      </c>
      <c r="B105" s="365" t="s">
        <v>5108</v>
      </c>
      <c r="C105" s="365" t="s">
        <v>1194</v>
      </c>
      <c r="D105" s="365" t="s">
        <v>1195</v>
      </c>
      <c r="E105" s="368">
        <v>45602</v>
      </c>
      <c r="F105" s="369">
        <v>0</v>
      </c>
      <c r="G105" s="368">
        <v>45602</v>
      </c>
      <c r="H105" s="370">
        <v>45602.658773148149</v>
      </c>
      <c r="I105" s="365" t="s">
        <v>1055</v>
      </c>
    </row>
    <row r="106" spans="1:9" s="365" customFormat="1" hidden="1">
      <c r="A106" s="365" t="s">
        <v>1182</v>
      </c>
      <c r="B106" s="365" t="s">
        <v>5109</v>
      </c>
      <c r="C106" s="365" t="s">
        <v>1194</v>
      </c>
      <c r="D106" s="365" t="s">
        <v>1195</v>
      </c>
      <c r="E106" s="368">
        <v>45604</v>
      </c>
      <c r="F106" s="369">
        <v>0</v>
      </c>
      <c r="G106" s="368">
        <v>45604</v>
      </c>
      <c r="H106" s="370">
        <v>45604.649236111109</v>
      </c>
      <c r="I106" s="365" t="s">
        <v>1042</v>
      </c>
    </row>
    <row r="107" spans="1:9" s="365" customFormat="1" hidden="1">
      <c r="A107" s="365" t="s">
        <v>1182</v>
      </c>
      <c r="B107" s="365" t="s">
        <v>5110</v>
      </c>
      <c r="C107" s="365" t="s">
        <v>1194</v>
      </c>
      <c r="D107" s="365" t="s">
        <v>1195</v>
      </c>
      <c r="E107" s="368">
        <v>45604</v>
      </c>
      <c r="F107" s="369">
        <v>0</v>
      </c>
      <c r="G107" s="368">
        <v>45604</v>
      </c>
      <c r="H107" s="370">
        <v>45604.607245370367</v>
      </c>
      <c r="I107" s="365" t="s">
        <v>1036</v>
      </c>
    </row>
    <row r="108" spans="1:9" s="365" customFormat="1" hidden="1">
      <c r="A108" s="365" t="s">
        <v>1182</v>
      </c>
      <c r="B108" s="365" t="s">
        <v>5111</v>
      </c>
      <c r="C108" s="365" t="s">
        <v>1194</v>
      </c>
      <c r="D108" s="365" t="s">
        <v>1195</v>
      </c>
      <c r="E108" s="368">
        <v>45604</v>
      </c>
      <c r="F108" s="369">
        <v>0</v>
      </c>
      <c r="G108" s="368">
        <v>45604</v>
      </c>
      <c r="H108" s="370">
        <v>45604.610960648148</v>
      </c>
      <c r="I108" s="365" t="s">
        <v>1029</v>
      </c>
    </row>
    <row r="109" spans="1:9" s="365" customFormat="1" hidden="1">
      <c r="A109" s="365" t="s">
        <v>1182</v>
      </c>
      <c r="B109" s="365" t="s">
        <v>5112</v>
      </c>
      <c r="C109" s="365" t="s">
        <v>1194</v>
      </c>
      <c r="D109" s="365" t="s">
        <v>1195</v>
      </c>
      <c r="E109" s="368">
        <v>45602</v>
      </c>
      <c r="F109" s="369">
        <v>0</v>
      </c>
      <c r="G109" s="368">
        <v>45602</v>
      </c>
      <c r="H109" s="370">
        <v>45602.477349537039</v>
      </c>
      <c r="I109" s="365" t="s">
        <v>1174</v>
      </c>
    </row>
    <row r="110" spans="1:9" s="365" customFormat="1" hidden="1">
      <c r="A110" s="365" t="s">
        <v>1182</v>
      </c>
      <c r="B110" s="365" t="s">
        <v>5113</v>
      </c>
      <c r="C110" s="365" t="s">
        <v>1194</v>
      </c>
      <c r="D110" s="365" t="s">
        <v>1195</v>
      </c>
      <c r="E110" s="368">
        <v>45601</v>
      </c>
      <c r="F110" s="369">
        <v>0</v>
      </c>
      <c r="G110" s="368">
        <v>45601</v>
      </c>
      <c r="H110" s="370">
        <v>45601.649953703702</v>
      </c>
      <c r="I110" s="365" t="s">
        <v>1028</v>
      </c>
    </row>
    <row r="111" spans="1:9" s="365" customFormat="1" hidden="1">
      <c r="A111" s="365" t="s">
        <v>1182</v>
      </c>
      <c r="B111" s="365" t="s">
        <v>5114</v>
      </c>
      <c r="C111" s="365" t="s">
        <v>1194</v>
      </c>
      <c r="D111" s="365" t="s">
        <v>1195</v>
      </c>
      <c r="E111" s="368">
        <v>45600</v>
      </c>
      <c r="F111" s="369">
        <v>0</v>
      </c>
      <c r="G111" s="368">
        <v>45600</v>
      </c>
      <c r="H111" s="370">
        <v>45600.703773148147</v>
      </c>
      <c r="I111" s="365" t="s">
        <v>1180</v>
      </c>
    </row>
    <row r="112" spans="1:9" s="365" customFormat="1">
      <c r="A112" s="365" t="s">
        <v>1188</v>
      </c>
      <c r="B112" s="365" t="s">
        <v>5115</v>
      </c>
      <c r="C112" s="365" t="s">
        <v>968</v>
      </c>
      <c r="D112" s="365" t="s">
        <v>173</v>
      </c>
      <c r="E112" s="368">
        <v>45601</v>
      </c>
      <c r="F112" s="369">
        <v>0</v>
      </c>
      <c r="G112" s="368">
        <v>45601</v>
      </c>
      <c r="H112" s="370">
        <v>45603.375567129631</v>
      </c>
      <c r="I112" s="365" t="s">
        <v>999</v>
      </c>
    </row>
    <row r="113" spans="1:9" s="365" customFormat="1">
      <c r="A113" s="365" t="s">
        <v>1000</v>
      </c>
      <c r="B113" s="365" t="s">
        <v>5116</v>
      </c>
      <c r="C113" s="365" t="s">
        <v>968</v>
      </c>
      <c r="D113" s="365" t="s">
        <v>173</v>
      </c>
      <c r="E113" s="368">
        <v>45603</v>
      </c>
      <c r="F113" s="369">
        <v>0</v>
      </c>
      <c r="G113" s="368">
        <v>45603</v>
      </c>
      <c r="H113" s="370">
        <v>45603.377152777779</v>
      </c>
      <c r="I113" s="365" t="s">
        <v>999</v>
      </c>
    </row>
    <row r="114" spans="1:9" s="365" customFormat="1" hidden="1">
      <c r="A114" s="365" t="s">
        <v>1182</v>
      </c>
      <c r="B114" s="365" t="s">
        <v>5117</v>
      </c>
      <c r="C114" s="365" t="s">
        <v>1194</v>
      </c>
      <c r="D114" s="365" t="s">
        <v>1195</v>
      </c>
      <c r="E114" s="368">
        <v>45598</v>
      </c>
      <c r="F114" s="369">
        <v>0</v>
      </c>
      <c r="G114" s="368">
        <v>45598</v>
      </c>
      <c r="H114" s="370">
        <v>45598.484444444446</v>
      </c>
      <c r="I114" s="365" t="s">
        <v>1056</v>
      </c>
    </row>
    <row r="115" spans="1:9" s="365" customFormat="1" hidden="1">
      <c r="A115" s="365" t="s">
        <v>1182</v>
      </c>
      <c r="B115" s="365" t="s">
        <v>5118</v>
      </c>
      <c r="C115" s="365" t="s">
        <v>1194</v>
      </c>
      <c r="D115" s="365" t="s">
        <v>1195</v>
      </c>
      <c r="E115" s="368">
        <v>45603</v>
      </c>
      <c r="F115" s="369">
        <v>0</v>
      </c>
      <c r="G115" s="368">
        <v>45603</v>
      </c>
      <c r="H115" s="370">
        <v>45603.44017361111</v>
      </c>
      <c r="I115" s="365" t="s">
        <v>1024</v>
      </c>
    </row>
    <row r="116" spans="1:9" s="365" customFormat="1" hidden="1">
      <c r="A116" s="365" t="s">
        <v>1182</v>
      </c>
      <c r="B116" s="365" t="s">
        <v>5119</v>
      </c>
      <c r="C116" s="365" t="s">
        <v>1194</v>
      </c>
      <c r="D116" s="365" t="s">
        <v>1195</v>
      </c>
      <c r="E116" s="368">
        <v>45604</v>
      </c>
      <c r="F116" s="369">
        <v>0</v>
      </c>
      <c r="G116" s="368">
        <v>45604</v>
      </c>
      <c r="H116" s="370">
        <v>45604.559930555559</v>
      </c>
      <c r="I116" s="365" t="s">
        <v>990</v>
      </c>
    </row>
    <row r="117" spans="1:9" s="365" customFormat="1" hidden="1">
      <c r="A117" s="365" t="s">
        <v>1182</v>
      </c>
      <c r="B117" s="365" t="s">
        <v>5120</v>
      </c>
      <c r="C117" s="365" t="s">
        <v>1194</v>
      </c>
      <c r="D117" s="365" t="s">
        <v>1195</v>
      </c>
      <c r="E117" s="368">
        <v>45600</v>
      </c>
      <c r="F117" s="369">
        <v>0</v>
      </c>
      <c r="G117" s="368">
        <v>45600</v>
      </c>
      <c r="H117" s="370">
        <v>45600.554895833331</v>
      </c>
      <c r="I117" s="365" t="s">
        <v>5073</v>
      </c>
    </row>
    <row r="118" spans="1:9" s="365" customFormat="1" hidden="1">
      <c r="A118" s="365" t="s">
        <v>1182</v>
      </c>
      <c r="B118" s="365" t="s">
        <v>5121</v>
      </c>
      <c r="C118" s="365" t="s">
        <v>1194</v>
      </c>
      <c r="D118" s="365" t="s">
        <v>1195</v>
      </c>
      <c r="E118" s="368">
        <v>45598</v>
      </c>
      <c r="F118" s="369">
        <v>0</v>
      </c>
      <c r="G118" s="368">
        <v>45598</v>
      </c>
      <c r="H118" s="370">
        <v>45598.502604166664</v>
      </c>
      <c r="I118" s="365" t="s">
        <v>1205</v>
      </c>
    </row>
    <row r="119" spans="1:9" s="365" customFormat="1" hidden="1">
      <c r="A119" s="365" t="s">
        <v>1182</v>
      </c>
      <c r="B119" s="365" t="s">
        <v>5122</v>
      </c>
      <c r="C119" s="365" t="s">
        <v>1194</v>
      </c>
      <c r="D119" s="365" t="s">
        <v>1195</v>
      </c>
      <c r="E119" s="368">
        <v>45601</v>
      </c>
      <c r="F119" s="369">
        <v>0</v>
      </c>
      <c r="G119" s="368">
        <v>45601</v>
      </c>
      <c r="H119" s="370">
        <v>45601.659050925926</v>
      </c>
      <c r="I119" s="365" t="s">
        <v>1029</v>
      </c>
    </row>
    <row r="120" spans="1:9" s="365" customFormat="1" hidden="1">
      <c r="A120" s="365" t="s">
        <v>1182</v>
      </c>
      <c r="B120" s="365" t="s">
        <v>5123</v>
      </c>
      <c r="C120" s="365" t="s">
        <v>1194</v>
      </c>
      <c r="D120" s="365" t="s">
        <v>1195</v>
      </c>
      <c r="E120" s="368">
        <v>45602</v>
      </c>
      <c r="F120" s="369">
        <v>0</v>
      </c>
      <c r="G120" s="368">
        <v>45602</v>
      </c>
      <c r="H120" s="370">
        <v>45602.483819444446</v>
      </c>
      <c r="I120" s="365" t="s">
        <v>1023</v>
      </c>
    </row>
    <row r="121" spans="1:9" s="365" customFormat="1" hidden="1">
      <c r="A121" s="365" t="s">
        <v>1182</v>
      </c>
      <c r="B121" s="365" t="s">
        <v>5124</v>
      </c>
      <c r="C121" s="365" t="s">
        <v>1194</v>
      </c>
      <c r="D121" s="365" t="s">
        <v>1195</v>
      </c>
      <c r="E121" s="368">
        <v>45601</v>
      </c>
      <c r="F121" s="369">
        <v>0</v>
      </c>
      <c r="G121" s="368">
        <v>45601</v>
      </c>
      <c r="H121" s="370">
        <v>45601.749432870369</v>
      </c>
      <c r="I121" s="365" t="s">
        <v>5125</v>
      </c>
    </row>
    <row r="122" spans="1:9" s="365" customFormat="1" hidden="1">
      <c r="A122" s="365" t="s">
        <v>1182</v>
      </c>
      <c r="B122" s="365" t="s">
        <v>5126</v>
      </c>
      <c r="C122" s="365" t="s">
        <v>1194</v>
      </c>
      <c r="D122" s="365" t="s">
        <v>1195</v>
      </c>
      <c r="E122" s="368">
        <v>45603</v>
      </c>
      <c r="F122" s="369">
        <v>0</v>
      </c>
      <c r="G122" s="368">
        <v>45603</v>
      </c>
      <c r="H122" s="370">
        <v>45603.533993055556</v>
      </c>
      <c r="I122" s="365" t="s">
        <v>1028</v>
      </c>
    </row>
    <row r="123" spans="1:9" s="365" customFormat="1" hidden="1">
      <c r="A123" s="365" t="s">
        <v>1182</v>
      </c>
      <c r="B123" s="365" t="s">
        <v>5127</v>
      </c>
      <c r="C123" s="365" t="s">
        <v>1194</v>
      </c>
      <c r="D123" s="365" t="s">
        <v>1195</v>
      </c>
      <c r="E123" s="368">
        <v>45602</v>
      </c>
      <c r="F123" s="369">
        <v>0</v>
      </c>
      <c r="G123" s="368">
        <v>45602</v>
      </c>
      <c r="H123" s="370">
        <v>45602.321180555555</v>
      </c>
      <c r="I123" s="365" t="s">
        <v>1209</v>
      </c>
    </row>
    <row r="124" spans="1:9" s="365" customFormat="1">
      <c r="A124" s="365" t="s">
        <v>1000</v>
      </c>
      <c r="B124" s="365" t="s">
        <v>5128</v>
      </c>
      <c r="C124" s="365" t="s">
        <v>964</v>
      </c>
      <c r="D124" s="365" t="s">
        <v>97</v>
      </c>
      <c r="E124" s="368">
        <v>45603</v>
      </c>
      <c r="F124" s="369">
        <v>0</v>
      </c>
      <c r="G124" s="368">
        <v>45603</v>
      </c>
      <c r="H124" s="370">
        <v>45603.682523148149</v>
      </c>
      <c r="I124" s="365" t="s">
        <v>1003</v>
      </c>
    </row>
    <row r="125" spans="1:9" s="365" customFormat="1" hidden="1">
      <c r="A125" s="365" t="s">
        <v>1182</v>
      </c>
      <c r="B125" s="365" t="s">
        <v>5129</v>
      </c>
      <c r="C125" s="365" t="s">
        <v>1194</v>
      </c>
      <c r="D125" s="365" t="s">
        <v>1195</v>
      </c>
      <c r="E125" s="368">
        <v>45603</v>
      </c>
      <c r="F125" s="369">
        <v>0</v>
      </c>
      <c r="G125" s="368">
        <v>45603</v>
      </c>
      <c r="H125" s="370">
        <v>45603.683483796296</v>
      </c>
      <c r="I125" s="365" t="s">
        <v>1203</v>
      </c>
    </row>
    <row r="126" spans="1:9" s="365" customFormat="1" hidden="1">
      <c r="A126" s="365" t="s">
        <v>1182</v>
      </c>
      <c r="B126" s="365" t="s">
        <v>5130</v>
      </c>
      <c r="C126" s="365" t="s">
        <v>1194</v>
      </c>
      <c r="D126" s="365" t="s">
        <v>1195</v>
      </c>
      <c r="E126" s="368">
        <v>45603</v>
      </c>
      <c r="F126" s="369">
        <v>0</v>
      </c>
      <c r="G126" s="368">
        <v>45603</v>
      </c>
      <c r="H126" s="370">
        <v>45603.557488425926</v>
      </c>
      <c r="I126" s="365" t="s">
        <v>5131</v>
      </c>
    </row>
    <row r="127" spans="1:9" s="365" customFormat="1" hidden="1">
      <c r="A127" s="365" t="s">
        <v>1182</v>
      </c>
      <c r="B127" s="365" t="s">
        <v>5132</v>
      </c>
      <c r="C127" s="365" t="s">
        <v>1194</v>
      </c>
      <c r="D127" s="365" t="s">
        <v>1195</v>
      </c>
      <c r="E127" s="368">
        <v>45602</v>
      </c>
      <c r="F127" s="369">
        <v>0</v>
      </c>
      <c r="G127" s="368">
        <v>45602</v>
      </c>
      <c r="H127" s="370">
        <v>45602.531678240739</v>
      </c>
      <c r="I127" s="365" t="s">
        <v>1042</v>
      </c>
    </row>
    <row r="128" spans="1:9" s="365" customFormat="1" hidden="1">
      <c r="A128" s="365" t="s">
        <v>1182</v>
      </c>
      <c r="B128" s="365" t="s">
        <v>5133</v>
      </c>
      <c r="C128" s="365" t="s">
        <v>1194</v>
      </c>
      <c r="D128" s="365" t="s">
        <v>1195</v>
      </c>
      <c r="E128" s="368">
        <v>45601</v>
      </c>
      <c r="F128" s="369">
        <v>0</v>
      </c>
      <c r="G128" s="368">
        <v>45601</v>
      </c>
      <c r="H128" s="370">
        <v>45601.662094907406</v>
      </c>
      <c r="I128" s="365" t="s">
        <v>990</v>
      </c>
    </row>
    <row r="129" spans="1:9" s="365" customFormat="1" hidden="1">
      <c r="A129" s="365" t="s">
        <v>1182</v>
      </c>
      <c r="B129" s="365" t="s">
        <v>5134</v>
      </c>
      <c r="C129" s="365" t="s">
        <v>1194</v>
      </c>
      <c r="D129" s="365" t="s">
        <v>1195</v>
      </c>
      <c r="E129" s="368">
        <v>45602</v>
      </c>
      <c r="F129" s="369">
        <v>0</v>
      </c>
      <c r="G129" s="368">
        <v>45602</v>
      </c>
      <c r="H129" s="370">
        <v>45602.639016203706</v>
      </c>
      <c r="I129" s="365" t="s">
        <v>992</v>
      </c>
    </row>
    <row r="130" spans="1:9" s="365" customFormat="1" hidden="1">
      <c r="A130" s="365" t="s">
        <v>1182</v>
      </c>
      <c r="B130" s="365" t="s">
        <v>5135</v>
      </c>
      <c r="C130" s="365" t="s">
        <v>1194</v>
      </c>
      <c r="D130" s="365" t="s">
        <v>1195</v>
      </c>
      <c r="E130" s="368">
        <v>45603</v>
      </c>
      <c r="F130" s="369">
        <v>0</v>
      </c>
      <c r="G130" s="368">
        <v>45603</v>
      </c>
      <c r="H130" s="370">
        <v>45603.423460648148</v>
      </c>
      <c r="I130" s="365" t="s">
        <v>990</v>
      </c>
    </row>
    <row r="131" spans="1:9" s="365" customFormat="1" hidden="1">
      <c r="A131" s="365" t="s">
        <v>1182</v>
      </c>
      <c r="B131" s="365" t="s">
        <v>5136</v>
      </c>
      <c r="C131" s="365" t="s">
        <v>1194</v>
      </c>
      <c r="D131" s="365" t="s">
        <v>1195</v>
      </c>
      <c r="E131" s="368">
        <v>45603</v>
      </c>
      <c r="F131" s="369">
        <v>0</v>
      </c>
      <c r="G131" s="368">
        <v>45603</v>
      </c>
      <c r="H131" s="370">
        <v>45603.424120370371</v>
      </c>
      <c r="I131" s="365" t="s">
        <v>1203</v>
      </c>
    </row>
    <row r="132" spans="1:9" s="365" customFormat="1" hidden="1">
      <c r="A132" s="365" t="s">
        <v>1182</v>
      </c>
      <c r="B132" s="365" t="s">
        <v>5137</v>
      </c>
      <c r="C132" s="365" t="s">
        <v>1194</v>
      </c>
      <c r="D132" s="365" t="s">
        <v>1195</v>
      </c>
      <c r="E132" s="368">
        <v>45602</v>
      </c>
      <c r="F132" s="369">
        <v>0</v>
      </c>
      <c r="G132" s="368">
        <v>45602</v>
      </c>
      <c r="H132" s="370">
        <v>45602.421724537038</v>
      </c>
      <c r="I132" s="365" t="s">
        <v>5138</v>
      </c>
    </row>
    <row r="133" spans="1:9" s="365" customFormat="1" hidden="1">
      <c r="A133" s="365" t="s">
        <v>1182</v>
      </c>
      <c r="B133" s="365" t="s">
        <v>5139</v>
      </c>
      <c r="C133" s="365" t="s">
        <v>1194</v>
      </c>
      <c r="D133" s="365" t="s">
        <v>1195</v>
      </c>
      <c r="E133" s="368">
        <v>45601</v>
      </c>
      <c r="F133" s="369">
        <v>0</v>
      </c>
      <c r="G133" s="368">
        <v>45601</v>
      </c>
      <c r="H133" s="370">
        <v>45601.684131944443</v>
      </c>
      <c r="I133" s="365" t="s">
        <v>990</v>
      </c>
    </row>
    <row r="134" spans="1:9" s="365" customFormat="1">
      <c r="A134" s="365" t="s">
        <v>1000</v>
      </c>
      <c r="B134" s="365" t="s">
        <v>5140</v>
      </c>
      <c r="C134" s="365" t="s">
        <v>965</v>
      </c>
      <c r="D134" s="365" t="s">
        <v>966</v>
      </c>
      <c r="E134" s="368">
        <v>45600</v>
      </c>
      <c r="F134" s="369">
        <v>3000000</v>
      </c>
      <c r="G134" s="368">
        <v>45600</v>
      </c>
      <c r="H134" s="370">
        <v>45600.73814814815</v>
      </c>
      <c r="I134" s="365" t="s">
        <v>999</v>
      </c>
    </row>
    <row r="135" spans="1:9" s="365" customFormat="1" hidden="1">
      <c r="A135" s="365" t="s">
        <v>1182</v>
      </c>
      <c r="B135" s="365" t="s">
        <v>5141</v>
      </c>
      <c r="C135" s="365" t="s">
        <v>1194</v>
      </c>
      <c r="D135" s="365" t="s">
        <v>1195</v>
      </c>
      <c r="E135" s="368">
        <v>45603</v>
      </c>
      <c r="F135" s="369">
        <v>0</v>
      </c>
      <c r="G135" s="368">
        <v>45603</v>
      </c>
      <c r="H135" s="370">
        <v>45603.444212962961</v>
      </c>
      <c r="I135" s="365" t="s">
        <v>5142</v>
      </c>
    </row>
    <row r="136" spans="1:9" s="365" customFormat="1" hidden="1">
      <c r="A136" s="365" t="s">
        <v>1182</v>
      </c>
      <c r="B136" s="365" t="s">
        <v>5143</v>
      </c>
      <c r="C136" s="365" t="s">
        <v>1194</v>
      </c>
      <c r="D136" s="365" t="s">
        <v>1195</v>
      </c>
      <c r="E136" s="368">
        <v>45603</v>
      </c>
      <c r="F136" s="369">
        <v>0</v>
      </c>
      <c r="G136" s="368">
        <v>45603</v>
      </c>
      <c r="H136" s="370">
        <v>45603.61377314815</v>
      </c>
      <c r="I136" s="365" t="s">
        <v>5131</v>
      </c>
    </row>
    <row r="137" spans="1:9" s="365" customFormat="1" hidden="1">
      <c r="A137" s="365" t="s">
        <v>1182</v>
      </c>
      <c r="B137" s="365" t="s">
        <v>5144</v>
      </c>
      <c r="C137" s="365" t="s">
        <v>1194</v>
      </c>
      <c r="D137" s="365" t="s">
        <v>1195</v>
      </c>
      <c r="E137" s="368">
        <v>45601</v>
      </c>
      <c r="F137" s="369">
        <v>0</v>
      </c>
      <c r="G137" s="368">
        <v>45601</v>
      </c>
      <c r="H137" s="370">
        <v>45601.447777777779</v>
      </c>
      <c r="I137" s="365" t="s">
        <v>1205</v>
      </c>
    </row>
    <row r="138" spans="1:9" s="365" customFormat="1" hidden="1">
      <c r="A138" s="365" t="s">
        <v>1182</v>
      </c>
      <c r="B138" s="365" t="s">
        <v>5145</v>
      </c>
      <c r="C138" s="365" t="s">
        <v>1194</v>
      </c>
      <c r="D138" s="365" t="s">
        <v>1195</v>
      </c>
      <c r="E138" s="368">
        <v>45601</v>
      </c>
      <c r="F138" s="369">
        <v>0</v>
      </c>
      <c r="G138" s="368">
        <v>45601</v>
      </c>
      <c r="H138" s="370">
        <v>45601.48474537037</v>
      </c>
      <c r="I138" s="365" t="s">
        <v>1034</v>
      </c>
    </row>
    <row r="139" spans="1:9" s="365" customFormat="1" hidden="1">
      <c r="A139" s="365" t="s">
        <v>1182</v>
      </c>
      <c r="B139" s="365" t="s">
        <v>5146</v>
      </c>
      <c r="C139" s="365" t="s">
        <v>1194</v>
      </c>
      <c r="D139" s="365" t="s">
        <v>1195</v>
      </c>
      <c r="E139" s="368">
        <v>45601</v>
      </c>
      <c r="F139" s="369">
        <v>0</v>
      </c>
      <c r="G139" s="368">
        <v>45601</v>
      </c>
      <c r="H139" s="370">
        <v>45601.51599537037</v>
      </c>
      <c r="I139" s="365" t="s">
        <v>1034</v>
      </c>
    </row>
    <row r="140" spans="1:9" s="365" customFormat="1" hidden="1">
      <c r="A140" s="365" t="s">
        <v>1182</v>
      </c>
      <c r="B140" s="365" t="s">
        <v>5147</v>
      </c>
      <c r="C140" s="365" t="s">
        <v>1194</v>
      </c>
      <c r="D140" s="365" t="s">
        <v>1195</v>
      </c>
      <c r="E140" s="368">
        <v>45601</v>
      </c>
      <c r="F140" s="369">
        <v>0</v>
      </c>
      <c r="G140" s="368">
        <v>45601</v>
      </c>
      <c r="H140" s="370">
        <v>45601.458298611113</v>
      </c>
      <c r="I140" s="365" t="s">
        <v>5148</v>
      </c>
    </row>
    <row r="141" spans="1:9" s="365" customFormat="1" hidden="1">
      <c r="A141" s="365" t="s">
        <v>1182</v>
      </c>
      <c r="B141" s="365" t="s">
        <v>5149</v>
      </c>
      <c r="C141" s="365" t="s">
        <v>1194</v>
      </c>
      <c r="D141" s="365" t="s">
        <v>1195</v>
      </c>
      <c r="E141" s="368">
        <v>45601</v>
      </c>
      <c r="F141" s="369">
        <v>0</v>
      </c>
      <c r="G141" s="368">
        <v>45601</v>
      </c>
      <c r="H141" s="370">
        <v>45601.718969907408</v>
      </c>
      <c r="I141" s="365" t="s">
        <v>1034</v>
      </c>
    </row>
    <row r="142" spans="1:9" s="365" customFormat="1" hidden="1">
      <c r="A142" s="365" t="s">
        <v>1182</v>
      </c>
      <c r="B142" s="365" t="s">
        <v>5150</v>
      </c>
      <c r="C142" s="365" t="s">
        <v>1194</v>
      </c>
      <c r="D142" s="365" t="s">
        <v>1195</v>
      </c>
      <c r="E142" s="368">
        <v>45602</v>
      </c>
      <c r="F142" s="369">
        <v>0</v>
      </c>
      <c r="G142" s="368">
        <v>45602</v>
      </c>
      <c r="H142" s="370">
        <v>45602.515416666669</v>
      </c>
      <c r="I142" s="365" t="s">
        <v>1034</v>
      </c>
    </row>
    <row r="143" spans="1:9" s="365" customFormat="1" hidden="1">
      <c r="A143" s="365" t="s">
        <v>1183</v>
      </c>
      <c r="B143" s="365" t="s">
        <v>5151</v>
      </c>
      <c r="C143" s="365" t="s">
        <v>1184</v>
      </c>
      <c r="D143" s="365" t="s">
        <v>1185</v>
      </c>
      <c r="E143" s="368">
        <v>45603</v>
      </c>
      <c r="F143" s="369">
        <v>1129910</v>
      </c>
      <c r="G143" s="368">
        <v>45603</v>
      </c>
      <c r="H143" s="370">
        <v>45603.337812500002</v>
      </c>
      <c r="I143" s="365" t="s">
        <v>1186</v>
      </c>
    </row>
    <row r="144" spans="1:9" s="365" customFormat="1" hidden="1">
      <c r="A144" s="365" t="s">
        <v>1182</v>
      </c>
      <c r="B144" s="365" t="s">
        <v>5152</v>
      </c>
      <c r="C144" s="365" t="s">
        <v>1194</v>
      </c>
      <c r="D144" s="365" t="s">
        <v>1195</v>
      </c>
      <c r="E144" s="368">
        <v>45601</v>
      </c>
      <c r="F144" s="369">
        <v>0</v>
      </c>
      <c r="G144" s="368">
        <v>45601</v>
      </c>
      <c r="H144" s="370">
        <v>45601.587824074071</v>
      </c>
      <c r="I144" s="365" t="s">
        <v>1066</v>
      </c>
    </row>
    <row r="145" spans="1:9" s="365" customFormat="1" hidden="1">
      <c r="A145" s="365" t="s">
        <v>1182</v>
      </c>
      <c r="B145" s="365" t="s">
        <v>5153</v>
      </c>
      <c r="C145" s="365" t="s">
        <v>1194</v>
      </c>
      <c r="D145" s="365" t="s">
        <v>1195</v>
      </c>
      <c r="E145" s="368">
        <v>45598</v>
      </c>
      <c r="F145" s="369">
        <v>0</v>
      </c>
      <c r="G145" s="368">
        <v>45598</v>
      </c>
      <c r="H145" s="370">
        <v>45598.568981481483</v>
      </c>
      <c r="I145" s="365" t="s">
        <v>1056</v>
      </c>
    </row>
    <row r="146" spans="1:9" s="365" customFormat="1" hidden="1">
      <c r="A146" s="365" t="s">
        <v>1182</v>
      </c>
      <c r="B146" s="365" t="s">
        <v>5154</v>
      </c>
      <c r="C146" s="365" t="s">
        <v>1194</v>
      </c>
      <c r="D146" s="365" t="s">
        <v>1195</v>
      </c>
      <c r="E146" s="368">
        <v>45600</v>
      </c>
      <c r="F146" s="369">
        <v>0</v>
      </c>
      <c r="G146" s="368">
        <v>45600</v>
      </c>
      <c r="H146" s="370">
        <v>45600.423078703701</v>
      </c>
      <c r="I146" s="365" t="s">
        <v>1034</v>
      </c>
    </row>
    <row r="147" spans="1:9" s="365" customFormat="1" hidden="1">
      <c r="A147" s="365" t="s">
        <v>1182</v>
      </c>
      <c r="B147" s="365" t="s">
        <v>5155</v>
      </c>
      <c r="C147" s="365" t="s">
        <v>1194</v>
      </c>
      <c r="D147" s="365" t="s">
        <v>1195</v>
      </c>
      <c r="E147" s="368">
        <v>45600</v>
      </c>
      <c r="F147" s="369">
        <v>0</v>
      </c>
      <c r="G147" s="368">
        <v>45600</v>
      </c>
      <c r="H147" s="370">
        <v>45600.556469907409</v>
      </c>
      <c r="I147" s="365" t="s">
        <v>1028</v>
      </c>
    </row>
    <row r="148" spans="1:9" s="365" customFormat="1" hidden="1">
      <c r="A148" s="365" t="s">
        <v>1182</v>
      </c>
      <c r="B148" s="365" t="s">
        <v>5156</v>
      </c>
      <c r="C148" s="365" t="s">
        <v>1194</v>
      </c>
      <c r="D148" s="365" t="s">
        <v>1195</v>
      </c>
      <c r="E148" s="368">
        <v>45598</v>
      </c>
      <c r="F148" s="369">
        <v>0</v>
      </c>
      <c r="G148" s="368">
        <v>45598</v>
      </c>
      <c r="H148" s="370">
        <v>45598.700381944444</v>
      </c>
      <c r="I148" s="365" t="s">
        <v>1034</v>
      </c>
    </row>
    <row r="149" spans="1:9" s="365" customFormat="1" hidden="1">
      <c r="A149" s="365" t="s">
        <v>1182</v>
      </c>
      <c r="B149" s="365" t="s">
        <v>5157</v>
      </c>
      <c r="C149" s="365" t="s">
        <v>1194</v>
      </c>
      <c r="D149" s="365" t="s">
        <v>1195</v>
      </c>
      <c r="E149" s="368">
        <v>45600</v>
      </c>
      <c r="F149" s="369">
        <v>0</v>
      </c>
      <c r="G149" s="368">
        <v>45600</v>
      </c>
      <c r="H149" s="370">
        <v>45600.649270833332</v>
      </c>
      <c r="I149" s="365" t="s">
        <v>1200</v>
      </c>
    </row>
    <row r="150" spans="1:9" s="365" customFormat="1" hidden="1">
      <c r="A150" s="365" t="s">
        <v>1182</v>
      </c>
      <c r="B150" s="365" t="s">
        <v>5158</v>
      </c>
      <c r="C150" s="365" t="s">
        <v>1194</v>
      </c>
      <c r="D150" s="365" t="s">
        <v>1195</v>
      </c>
      <c r="E150" s="368">
        <v>45600</v>
      </c>
      <c r="F150" s="369">
        <v>0</v>
      </c>
      <c r="G150" s="368">
        <v>45600</v>
      </c>
      <c r="H150" s="370">
        <v>45600.704618055555</v>
      </c>
      <c r="I150" s="365" t="s">
        <v>1034</v>
      </c>
    </row>
    <row r="151" spans="1:9" s="365" customFormat="1" hidden="1">
      <c r="A151" s="365" t="s">
        <v>1182</v>
      </c>
      <c r="B151" s="365" t="s">
        <v>5159</v>
      </c>
      <c r="C151" s="365" t="s">
        <v>1194</v>
      </c>
      <c r="D151" s="365" t="s">
        <v>1195</v>
      </c>
      <c r="E151" s="368">
        <v>45600</v>
      </c>
      <c r="F151" s="369">
        <v>0</v>
      </c>
      <c r="G151" s="368">
        <v>45600</v>
      </c>
      <c r="H151" s="370">
        <v>45600.587268518517</v>
      </c>
      <c r="I151" s="365" t="s">
        <v>977</v>
      </c>
    </row>
    <row r="152" spans="1:9" s="365" customFormat="1" hidden="1">
      <c r="A152" s="365" t="s">
        <v>1182</v>
      </c>
      <c r="B152" s="365" t="s">
        <v>5160</v>
      </c>
      <c r="C152" s="365" t="s">
        <v>1194</v>
      </c>
      <c r="D152" s="365" t="s">
        <v>1195</v>
      </c>
      <c r="E152" s="368">
        <v>45598</v>
      </c>
      <c r="F152" s="369">
        <v>0</v>
      </c>
      <c r="G152" s="368">
        <v>45598</v>
      </c>
      <c r="H152" s="370">
        <v>45598.457731481481</v>
      </c>
      <c r="I152" s="365" t="s">
        <v>1173</v>
      </c>
    </row>
    <row r="153" spans="1:9" s="365" customFormat="1" hidden="1">
      <c r="A153" s="365" t="s">
        <v>1182</v>
      </c>
      <c r="B153" s="365" t="s">
        <v>5161</v>
      </c>
      <c r="C153" s="365" t="s">
        <v>1194</v>
      </c>
      <c r="D153" s="365" t="s">
        <v>1195</v>
      </c>
      <c r="E153" s="368">
        <v>45608</v>
      </c>
      <c r="F153" s="369">
        <v>0</v>
      </c>
      <c r="G153" s="368">
        <v>45608</v>
      </c>
      <c r="H153" s="370">
        <v>45608.569699074076</v>
      </c>
      <c r="I153" s="365" t="s">
        <v>1054</v>
      </c>
    </row>
    <row r="154" spans="1:9" s="365" customFormat="1" hidden="1">
      <c r="A154" s="365" t="s">
        <v>1182</v>
      </c>
      <c r="B154" s="365" t="s">
        <v>5162</v>
      </c>
      <c r="C154" s="365" t="s">
        <v>1194</v>
      </c>
      <c r="D154" s="365" t="s">
        <v>1195</v>
      </c>
      <c r="E154" s="368">
        <v>45608</v>
      </c>
      <c r="F154" s="369">
        <v>0</v>
      </c>
      <c r="G154" s="368">
        <v>45608</v>
      </c>
      <c r="H154" s="370">
        <v>45608.570254629631</v>
      </c>
      <c r="I154" s="365" t="s">
        <v>1208</v>
      </c>
    </row>
    <row r="155" spans="1:9" s="365" customFormat="1" hidden="1">
      <c r="A155" s="365" t="s">
        <v>1182</v>
      </c>
      <c r="B155" s="365" t="s">
        <v>5163</v>
      </c>
      <c r="C155" s="365" t="s">
        <v>1194</v>
      </c>
      <c r="D155" s="365" t="s">
        <v>1195</v>
      </c>
      <c r="E155" s="368">
        <v>45608</v>
      </c>
      <c r="F155" s="369">
        <v>0</v>
      </c>
      <c r="G155" s="368">
        <v>45608</v>
      </c>
      <c r="H155" s="370">
        <v>45608.57371527778</v>
      </c>
      <c r="I155" s="365" t="s">
        <v>1208</v>
      </c>
    </row>
    <row r="156" spans="1:9" s="365" customFormat="1" hidden="1">
      <c r="A156" s="365" t="s">
        <v>1182</v>
      </c>
      <c r="B156" s="365" t="s">
        <v>5164</v>
      </c>
      <c r="C156" s="365" t="s">
        <v>1194</v>
      </c>
      <c r="D156" s="365" t="s">
        <v>1195</v>
      </c>
      <c r="E156" s="368">
        <v>45605</v>
      </c>
      <c r="F156" s="369">
        <v>0</v>
      </c>
      <c r="G156" s="368">
        <v>45605</v>
      </c>
      <c r="H156" s="370">
        <v>45605.40048611111</v>
      </c>
      <c r="I156" s="365" t="s">
        <v>1051</v>
      </c>
    </row>
    <row r="157" spans="1:9" s="365" customFormat="1" hidden="1">
      <c r="A157" s="365" t="s">
        <v>1182</v>
      </c>
      <c r="B157" s="365" t="s">
        <v>5165</v>
      </c>
      <c r="C157" s="365" t="s">
        <v>1194</v>
      </c>
      <c r="D157" s="365" t="s">
        <v>1195</v>
      </c>
      <c r="E157" s="368">
        <v>45608</v>
      </c>
      <c r="F157" s="369">
        <v>0</v>
      </c>
      <c r="G157" s="368">
        <v>45608</v>
      </c>
      <c r="H157" s="370">
        <v>45608.580949074072</v>
      </c>
      <c r="I157" s="365" t="s">
        <v>1208</v>
      </c>
    </row>
    <row r="158" spans="1:9" s="365" customFormat="1" hidden="1">
      <c r="A158" s="365" t="s">
        <v>1182</v>
      </c>
      <c r="B158" s="365" t="s">
        <v>5166</v>
      </c>
      <c r="C158" s="365" t="s">
        <v>1194</v>
      </c>
      <c r="D158" s="365" t="s">
        <v>1195</v>
      </c>
      <c r="E158" s="368">
        <v>45615</v>
      </c>
      <c r="F158" s="369">
        <v>0</v>
      </c>
      <c r="G158" s="368">
        <v>45615</v>
      </c>
      <c r="H158" s="370">
        <v>45615.594861111109</v>
      </c>
      <c r="I158" s="365" t="s">
        <v>5131</v>
      </c>
    </row>
    <row r="159" spans="1:9" s="365" customFormat="1">
      <c r="A159" s="365" t="s">
        <v>1000</v>
      </c>
      <c r="B159" s="365" t="s">
        <v>5167</v>
      </c>
      <c r="C159" s="365" t="s">
        <v>964</v>
      </c>
      <c r="D159" s="365" t="s">
        <v>97</v>
      </c>
      <c r="E159" s="368">
        <v>45615</v>
      </c>
      <c r="F159" s="369">
        <v>800000</v>
      </c>
      <c r="G159" s="368">
        <v>45615</v>
      </c>
      <c r="H159" s="370">
        <v>45615.688136574077</v>
      </c>
      <c r="I159" s="365" t="s">
        <v>1003</v>
      </c>
    </row>
    <row r="160" spans="1:9" s="365" customFormat="1" hidden="1">
      <c r="A160" s="365" t="s">
        <v>1182</v>
      </c>
      <c r="B160" s="365" t="s">
        <v>5168</v>
      </c>
      <c r="C160" s="365" t="s">
        <v>1194</v>
      </c>
      <c r="D160" s="365" t="s">
        <v>1195</v>
      </c>
      <c r="E160" s="368">
        <v>45608</v>
      </c>
      <c r="F160" s="369">
        <v>0</v>
      </c>
      <c r="G160" s="368">
        <v>45608</v>
      </c>
      <c r="H160" s="370">
        <v>45608.640497685185</v>
      </c>
      <c r="I160" s="365" t="s">
        <v>1030</v>
      </c>
    </row>
    <row r="161" spans="1:9" s="365" customFormat="1" hidden="1">
      <c r="A161" s="365" t="s">
        <v>1182</v>
      </c>
      <c r="B161" s="365" t="s">
        <v>5169</v>
      </c>
      <c r="C161" s="365" t="s">
        <v>1194</v>
      </c>
      <c r="D161" s="365" t="s">
        <v>1195</v>
      </c>
      <c r="E161" s="368">
        <v>45605</v>
      </c>
      <c r="F161" s="369">
        <v>0</v>
      </c>
      <c r="G161" s="368">
        <v>45605</v>
      </c>
      <c r="H161" s="370">
        <v>45605.448692129627</v>
      </c>
      <c r="I161" s="365" t="s">
        <v>1056</v>
      </c>
    </row>
    <row r="162" spans="1:9" s="365" customFormat="1" hidden="1">
      <c r="A162" s="365" t="s">
        <v>1182</v>
      </c>
      <c r="B162" s="365" t="s">
        <v>5170</v>
      </c>
      <c r="C162" s="365" t="s">
        <v>1194</v>
      </c>
      <c r="D162" s="365" t="s">
        <v>1195</v>
      </c>
      <c r="E162" s="368">
        <v>45610</v>
      </c>
      <c r="F162" s="369">
        <v>0</v>
      </c>
      <c r="G162" s="368">
        <v>45610</v>
      </c>
      <c r="H162" s="370">
        <v>45610.556504629632</v>
      </c>
      <c r="I162" s="365" t="s">
        <v>1051</v>
      </c>
    </row>
    <row r="163" spans="1:9" s="365" customFormat="1" hidden="1">
      <c r="A163" s="365" t="s">
        <v>1182</v>
      </c>
      <c r="B163" s="365" t="s">
        <v>5171</v>
      </c>
      <c r="C163" s="365" t="s">
        <v>1194</v>
      </c>
      <c r="D163" s="365" t="s">
        <v>1195</v>
      </c>
      <c r="E163" s="368">
        <v>45607</v>
      </c>
      <c r="F163" s="369">
        <v>0</v>
      </c>
      <c r="G163" s="368">
        <v>45607</v>
      </c>
      <c r="H163" s="370">
        <v>45607.455868055556</v>
      </c>
      <c r="I163" s="365" t="s">
        <v>1051</v>
      </c>
    </row>
    <row r="164" spans="1:9" s="365" customFormat="1" hidden="1">
      <c r="A164" s="365" t="s">
        <v>1182</v>
      </c>
      <c r="B164" s="365" t="s">
        <v>5172</v>
      </c>
      <c r="C164" s="365" t="s">
        <v>1194</v>
      </c>
      <c r="D164" s="365" t="s">
        <v>1195</v>
      </c>
      <c r="E164" s="368">
        <v>45609</v>
      </c>
      <c r="F164" s="369">
        <v>0</v>
      </c>
      <c r="G164" s="368">
        <v>45609</v>
      </c>
      <c r="H164" s="370">
        <v>45609.566331018519</v>
      </c>
      <c r="I164" s="365" t="s">
        <v>5173</v>
      </c>
    </row>
    <row r="165" spans="1:9" s="365" customFormat="1" hidden="1">
      <c r="A165" s="365" t="s">
        <v>1182</v>
      </c>
      <c r="B165" s="365" t="s">
        <v>5174</v>
      </c>
      <c r="C165" s="365" t="s">
        <v>1194</v>
      </c>
      <c r="D165" s="365" t="s">
        <v>1195</v>
      </c>
      <c r="E165" s="368">
        <v>45611</v>
      </c>
      <c r="F165" s="369">
        <v>0</v>
      </c>
      <c r="G165" s="368">
        <v>45611</v>
      </c>
      <c r="H165" s="370">
        <v>45611.580497685187</v>
      </c>
      <c r="I165" s="365" t="s">
        <v>1054</v>
      </c>
    </row>
    <row r="166" spans="1:9" s="365" customFormat="1" hidden="1">
      <c r="A166" s="365" t="s">
        <v>1182</v>
      </c>
      <c r="B166" s="365" t="s">
        <v>5175</v>
      </c>
      <c r="C166" s="365" t="s">
        <v>1194</v>
      </c>
      <c r="D166" s="365" t="s">
        <v>1195</v>
      </c>
      <c r="E166" s="368">
        <v>45615</v>
      </c>
      <c r="F166" s="369">
        <v>0</v>
      </c>
      <c r="G166" s="368">
        <v>45615</v>
      </c>
      <c r="H166" s="370">
        <v>45615.437615740739</v>
      </c>
      <c r="I166" s="365" t="s">
        <v>1174</v>
      </c>
    </row>
    <row r="167" spans="1:9" s="365" customFormat="1" hidden="1">
      <c r="A167" s="365" t="s">
        <v>1182</v>
      </c>
      <c r="B167" s="365" t="s">
        <v>5176</v>
      </c>
      <c r="C167" s="365" t="s">
        <v>1194</v>
      </c>
      <c r="D167" s="365" t="s">
        <v>1195</v>
      </c>
      <c r="E167" s="368">
        <v>45609</v>
      </c>
      <c r="F167" s="369">
        <v>0</v>
      </c>
      <c r="G167" s="368">
        <v>45609</v>
      </c>
      <c r="H167" s="370">
        <v>45609.673506944448</v>
      </c>
      <c r="I167" s="365" t="s">
        <v>5073</v>
      </c>
    </row>
    <row r="168" spans="1:9" s="365" customFormat="1" hidden="1">
      <c r="A168" s="365" t="s">
        <v>1182</v>
      </c>
      <c r="B168" s="365" t="s">
        <v>5177</v>
      </c>
      <c r="C168" s="365" t="s">
        <v>1194</v>
      </c>
      <c r="D168" s="365" t="s">
        <v>1195</v>
      </c>
      <c r="E168" s="368">
        <v>45611</v>
      </c>
      <c r="F168" s="369">
        <v>0</v>
      </c>
      <c r="G168" s="368">
        <v>45611</v>
      </c>
      <c r="H168" s="370">
        <v>45611.321574074071</v>
      </c>
      <c r="I168" s="365" t="s">
        <v>1035</v>
      </c>
    </row>
    <row r="169" spans="1:9" s="365" customFormat="1" hidden="1">
      <c r="A169" s="365" t="s">
        <v>1182</v>
      </c>
      <c r="B169" s="365" t="s">
        <v>5178</v>
      </c>
      <c r="C169" s="365" t="s">
        <v>1194</v>
      </c>
      <c r="D169" s="365" t="s">
        <v>1195</v>
      </c>
      <c r="E169" s="368">
        <v>45607</v>
      </c>
      <c r="F169" s="369">
        <v>0</v>
      </c>
      <c r="G169" s="368">
        <v>45607</v>
      </c>
      <c r="H169" s="370">
        <v>45607.475254629629</v>
      </c>
      <c r="I169" s="365" t="s">
        <v>1051</v>
      </c>
    </row>
    <row r="170" spans="1:9" s="365" customFormat="1" hidden="1">
      <c r="A170" s="365" t="s">
        <v>1182</v>
      </c>
      <c r="B170" s="365" t="s">
        <v>5179</v>
      </c>
      <c r="C170" s="365" t="s">
        <v>1194</v>
      </c>
      <c r="D170" s="365" t="s">
        <v>1195</v>
      </c>
      <c r="E170" s="368">
        <v>45607</v>
      </c>
      <c r="F170" s="369">
        <v>0</v>
      </c>
      <c r="G170" s="368">
        <v>45607</v>
      </c>
      <c r="H170" s="370">
        <v>45607.487893518519</v>
      </c>
      <c r="I170" s="365" t="s">
        <v>1051</v>
      </c>
    </row>
    <row r="171" spans="1:9" s="365" customFormat="1" hidden="1">
      <c r="A171" s="365" t="s">
        <v>1182</v>
      </c>
      <c r="B171" s="365" t="s">
        <v>5180</v>
      </c>
      <c r="C171" s="365" t="s">
        <v>1194</v>
      </c>
      <c r="D171" s="365" t="s">
        <v>1195</v>
      </c>
      <c r="E171" s="368">
        <v>45607</v>
      </c>
      <c r="F171" s="369">
        <v>0</v>
      </c>
      <c r="G171" s="368">
        <v>45607</v>
      </c>
      <c r="H171" s="370">
        <v>45607.500717592593</v>
      </c>
      <c r="I171" s="365" t="s">
        <v>5125</v>
      </c>
    </row>
    <row r="172" spans="1:9" s="365" customFormat="1" hidden="1">
      <c r="A172" s="365" t="s">
        <v>1182</v>
      </c>
      <c r="B172" s="365" t="s">
        <v>5181</v>
      </c>
      <c r="C172" s="365" t="s">
        <v>1194</v>
      </c>
      <c r="D172" s="365" t="s">
        <v>1195</v>
      </c>
      <c r="E172" s="368">
        <v>45610</v>
      </c>
      <c r="F172" s="369">
        <v>0</v>
      </c>
      <c r="G172" s="368">
        <v>45610</v>
      </c>
      <c r="H172" s="370">
        <v>45610.344930555555</v>
      </c>
      <c r="I172" s="365" t="s">
        <v>1065</v>
      </c>
    </row>
    <row r="173" spans="1:9" s="365" customFormat="1" hidden="1">
      <c r="A173" s="365" t="s">
        <v>1182</v>
      </c>
      <c r="B173" s="365" t="s">
        <v>5182</v>
      </c>
      <c r="C173" s="365" t="s">
        <v>1194</v>
      </c>
      <c r="D173" s="365" t="s">
        <v>1195</v>
      </c>
      <c r="E173" s="368">
        <v>45615</v>
      </c>
      <c r="F173" s="369">
        <v>0</v>
      </c>
      <c r="G173" s="368">
        <v>45615</v>
      </c>
      <c r="H173" s="370">
        <v>45615.389432870368</v>
      </c>
      <c r="I173" s="365" t="s">
        <v>990</v>
      </c>
    </row>
    <row r="174" spans="1:9" s="365" customFormat="1" hidden="1">
      <c r="A174" s="365" t="s">
        <v>1182</v>
      </c>
      <c r="B174" s="365" t="s">
        <v>5183</v>
      </c>
      <c r="C174" s="365" t="s">
        <v>1194</v>
      </c>
      <c r="D174" s="365" t="s">
        <v>1195</v>
      </c>
      <c r="E174" s="368">
        <v>45615</v>
      </c>
      <c r="F174" s="369">
        <v>0</v>
      </c>
      <c r="G174" s="368">
        <v>45615</v>
      </c>
      <c r="H174" s="370">
        <v>45615.572002314817</v>
      </c>
      <c r="I174" s="365" t="s">
        <v>5184</v>
      </c>
    </row>
    <row r="175" spans="1:9" s="365" customFormat="1" hidden="1">
      <c r="A175" s="365" t="s">
        <v>1182</v>
      </c>
      <c r="B175" s="365" t="s">
        <v>5185</v>
      </c>
      <c r="C175" s="365" t="s">
        <v>1194</v>
      </c>
      <c r="D175" s="365" t="s">
        <v>1195</v>
      </c>
      <c r="E175" s="368">
        <v>45610</v>
      </c>
      <c r="F175" s="369">
        <v>0</v>
      </c>
      <c r="G175" s="368">
        <v>45610</v>
      </c>
      <c r="H175" s="370">
        <v>45610.645196759258</v>
      </c>
      <c r="I175" s="365" t="s">
        <v>5142</v>
      </c>
    </row>
    <row r="176" spans="1:9" s="365" customFormat="1" hidden="1">
      <c r="A176" s="365" t="s">
        <v>1182</v>
      </c>
      <c r="B176" s="365" t="s">
        <v>5186</v>
      </c>
      <c r="C176" s="365" t="s">
        <v>1194</v>
      </c>
      <c r="D176" s="365" t="s">
        <v>1195</v>
      </c>
      <c r="E176" s="368">
        <v>45607</v>
      </c>
      <c r="F176" s="369">
        <v>0</v>
      </c>
      <c r="G176" s="368">
        <v>45607</v>
      </c>
      <c r="H176" s="370">
        <v>45607.691944444443</v>
      </c>
      <c r="I176" s="365" t="s">
        <v>1036</v>
      </c>
    </row>
    <row r="177" spans="1:9" s="365" customFormat="1" hidden="1">
      <c r="A177" s="365" t="s">
        <v>1182</v>
      </c>
      <c r="B177" s="365" t="s">
        <v>5187</v>
      </c>
      <c r="C177" s="365" t="s">
        <v>1194</v>
      </c>
      <c r="D177" s="365" t="s">
        <v>1195</v>
      </c>
      <c r="E177" s="368">
        <v>45609</v>
      </c>
      <c r="F177" s="369">
        <v>0</v>
      </c>
      <c r="G177" s="368">
        <v>45609</v>
      </c>
      <c r="H177" s="370">
        <v>45609.388599537036</v>
      </c>
      <c r="I177" s="365" t="s">
        <v>1030</v>
      </c>
    </row>
    <row r="178" spans="1:9" s="365" customFormat="1" hidden="1">
      <c r="A178" s="365" t="s">
        <v>1182</v>
      </c>
      <c r="B178" s="365" t="s">
        <v>5188</v>
      </c>
      <c r="C178" s="365" t="s">
        <v>1194</v>
      </c>
      <c r="D178" s="365" t="s">
        <v>1195</v>
      </c>
      <c r="E178" s="368">
        <v>45614</v>
      </c>
      <c r="F178" s="369">
        <v>0</v>
      </c>
      <c r="G178" s="368">
        <v>45614</v>
      </c>
      <c r="H178" s="370">
        <v>45614.581932870373</v>
      </c>
      <c r="I178" s="365" t="s">
        <v>1056</v>
      </c>
    </row>
    <row r="179" spans="1:9" s="365" customFormat="1" hidden="1">
      <c r="A179" s="365" t="s">
        <v>1182</v>
      </c>
      <c r="B179" s="365" t="s">
        <v>5189</v>
      </c>
      <c r="C179" s="365" t="s">
        <v>1194</v>
      </c>
      <c r="D179" s="365" t="s">
        <v>1195</v>
      </c>
      <c r="E179" s="368">
        <v>45615</v>
      </c>
      <c r="F179" s="369">
        <v>0</v>
      </c>
      <c r="G179" s="368">
        <v>45615</v>
      </c>
      <c r="H179" s="370">
        <v>45615.646157407406</v>
      </c>
      <c r="I179" s="365" t="s">
        <v>1034</v>
      </c>
    </row>
    <row r="180" spans="1:9" s="365" customFormat="1" hidden="1">
      <c r="A180" s="365" t="s">
        <v>1182</v>
      </c>
      <c r="B180" s="365" t="s">
        <v>5190</v>
      </c>
      <c r="C180" s="365" t="s">
        <v>1194</v>
      </c>
      <c r="D180" s="365" t="s">
        <v>1195</v>
      </c>
      <c r="E180" s="368">
        <v>45612</v>
      </c>
      <c r="F180" s="369">
        <v>0</v>
      </c>
      <c r="G180" s="368">
        <v>45612</v>
      </c>
      <c r="H180" s="370">
        <v>45612.554988425924</v>
      </c>
      <c r="I180" s="365" t="s">
        <v>5131</v>
      </c>
    </row>
    <row r="181" spans="1:9" s="365" customFormat="1" hidden="1">
      <c r="A181" s="365" t="s">
        <v>1182</v>
      </c>
      <c r="B181" s="365" t="s">
        <v>5191</v>
      </c>
      <c r="C181" s="365" t="s">
        <v>1194</v>
      </c>
      <c r="D181" s="365" t="s">
        <v>1195</v>
      </c>
      <c r="E181" s="368">
        <v>45612</v>
      </c>
      <c r="F181" s="369">
        <v>0</v>
      </c>
      <c r="G181" s="368">
        <v>45612</v>
      </c>
      <c r="H181" s="370">
        <v>45612.568761574075</v>
      </c>
      <c r="I181" s="365" t="s">
        <v>5131</v>
      </c>
    </row>
    <row r="182" spans="1:9" s="365" customFormat="1" hidden="1">
      <c r="A182" s="365" t="s">
        <v>1182</v>
      </c>
      <c r="B182" s="365" t="s">
        <v>5192</v>
      </c>
      <c r="C182" s="365" t="s">
        <v>1194</v>
      </c>
      <c r="D182" s="365" t="s">
        <v>1195</v>
      </c>
      <c r="E182" s="368">
        <v>45614</v>
      </c>
      <c r="F182" s="369">
        <v>0</v>
      </c>
      <c r="G182" s="368">
        <v>45614</v>
      </c>
      <c r="H182" s="370">
        <v>45614.586701388886</v>
      </c>
      <c r="I182" s="365" t="s">
        <v>1056</v>
      </c>
    </row>
    <row r="183" spans="1:9" s="365" customFormat="1" hidden="1">
      <c r="A183" s="365" t="s">
        <v>1182</v>
      </c>
      <c r="B183" s="365" t="s">
        <v>5193</v>
      </c>
      <c r="C183" s="365" t="s">
        <v>1194</v>
      </c>
      <c r="D183" s="365" t="s">
        <v>1195</v>
      </c>
      <c r="E183" s="368">
        <v>45608</v>
      </c>
      <c r="F183" s="369">
        <v>0</v>
      </c>
      <c r="G183" s="368">
        <v>45608</v>
      </c>
      <c r="H183" s="370">
        <v>45608.355092592596</v>
      </c>
      <c r="I183" s="365" t="s">
        <v>1054</v>
      </c>
    </row>
    <row r="184" spans="1:9" s="365" customFormat="1" hidden="1">
      <c r="A184" s="365" t="s">
        <v>1182</v>
      </c>
      <c r="B184" s="365" t="s">
        <v>5194</v>
      </c>
      <c r="C184" s="365" t="s">
        <v>1194</v>
      </c>
      <c r="D184" s="365" t="s">
        <v>1195</v>
      </c>
      <c r="E184" s="368">
        <v>45615</v>
      </c>
      <c r="F184" s="369">
        <v>0</v>
      </c>
      <c r="G184" s="368">
        <v>45615</v>
      </c>
      <c r="H184" s="370">
        <v>45615.506215277775</v>
      </c>
      <c r="I184" s="365" t="s">
        <v>1057</v>
      </c>
    </row>
    <row r="185" spans="1:9" s="365" customFormat="1" hidden="1">
      <c r="A185" s="365" t="s">
        <v>1182</v>
      </c>
      <c r="B185" s="365" t="s">
        <v>5195</v>
      </c>
      <c r="C185" s="365" t="s">
        <v>1194</v>
      </c>
      <c r="D185" s="365" t="s">
        <v>1195</v>
      </c>
      <c r="E185" s="368">
        <v>45607</v>
      </c>
      <c r="F185" s="369">
        <v>0</v>
      </c>
      <c r="G185" s="368">
        <v>45607</v>
      </c>
      <c r="H185" s="370">
        <v>45607.624988425923</v>
      </c>
      <c r="I185" s="365" t="s">
        <v>1207</v>
      </c>
    </row>
    <row r="186" spans="1:9" s="365" customFormat="1" hidden="1">
      <c r="A186" s="365" t="s">
        <v>1182</v>
      </c>
      <c r="B186" s="365" t="s">
        <v>5196</v>
      </c>
      <c r="C186" s="365" t="s">
        <v>1194</v>
      </c>
      <c r="D186" s="365" t="s">
        <v>1195</v>
      </c>
      <c r="E186" s="368">
        <v>45614</v>
      </c>
      <c r="F186" s="369">
        <v>0</v>
      </c>
      <c r="G186" s="368">
        <v>45614</v>
      </c>
      <c r="H186" s="370">
        <v>45614.328287037039</v>
      </c>
      <c r="I186" s="365" t="s">
        <v>1207</v>
      </c>
    </row>
    <row r="187" spans="1:9" s="365" customFormat="1" hidden="1">
      <c r="A187" s="365" t="s">
        <v>1182</v>
      </c>
      <c r="B187" s="365" t="s">
        <v>5197</v>
      </c>
      <c r="C187" s="365" t="s">
        <v>1194</v>
      </c>
      <c r="D187" s="365" t="s">
        <v>1195</v>
      </c>
      <c r="E187" s="368">
        <v>45615</v>
      </c>
      <c r="F187" s="369">
        <v>0</v>
      </c>
      <c r="G187" s="368">
        <v>45615</v>
      </c>
      <c r="H187" s="370">
        <v>45615.408182870371</v>
      </c>
      <c r="I187" s="365" t="s">
        <v>1207</v>
      </c>
    </row>
    <row r="188" spans="1:9" s="365" customFormat="1" hidden="1">
      <c r="A188" s="365" t="s">
        <v>1182</v>
      </c>
      <c r="B188" s="365" t="s">
        <v>5198</v>
      </c>
      <c r="C188" s="365" t="s">
        <v>1194</v>
      </c>
      <c r="D188" s="365" t="s">
        <v>1195</v>
      </c>
      <c r="E188" s="368">
        <v>45607</v>
      </c>
      <c r="F188" s="369">
        <v>0</v>
      </c>
      <c r="G188" s="368">
        <v>45607</v>
      </c>
      <c r="H188" s="370">
        <v>45607.638935185183</v>
      </c>
      <c r="I188" s="365" t="s">
        <v>1207</v>
      </c>
    </row>
    <row r="189" spans="1:9" s="365" customFormat="1" hidden="1">
      <c r="A189" s="365" t="s">
        <v>1182</v>
      </c>
      <c r="B189" s="365" t="s">
        <v>5199</v>
      </c>
      <c r="C189" s="365" t="s">
        <v>1194</v>
      </c>
      <c r="D189" s="365" t="s">
        <v>1195</v>
      </c>
      <c r="E189" s="368">
        <v>45608</v>
      </c>
      <c r="F189" s="369">
        <v>0</v>
      </c>
      <c r="G189" s="368">
        <v>45608</v>
      </c>
      <c r="H189" s="370">
        <v>45608.326226851852</v>
      </c>
      <c r="I189" s="365" t="s">
        <v>1206</v>
      </c>
    </row>
    <row r="190" spans="1:9" s="365" customFormat="1" hidden="1">
      <c r="A190" s="365" t="s">
        <v>1182</v>
      </c>
      <c r="B190" s="365" t="s">
        <v>5200</v>
      </c>
      <c r="C190" s="365" t="s">
        <v>1194</v>
      </c>
      <c r="D190" s="365" t="s">
        <v>1195</v>
      </c>
      <c r="E190" s="368">
        <v>45611</v>
      </c>
      <c r="F190" s="369">
        <v>0</v>
      </c>
      <c r="G190" s="368">
        <v>45611</v>
      </c>
      <c r="H190" s="370">
        <v>45611.675729166665</v>
      </c>
      <c r="I190" s="365" t="s">
        <v>5073</v>
      </c>
    </row>
    <row r="191" spans="1:9" s="365" customFormat="1" hidden="1">
      <c r="A191" s="365" t="s">
        <v>1182</v>
      </c>
      <c r="B191" s="365" t="s">
        <v>5201</v>
      </c>
      <c r="C191" s="365" t="s">
        <v>1194</v>
      </c>
      <c r="D191" s="365" t="s">
        <v>1195</v>
      </c>
      <c r="E191" s="368">
        <v>45611</v>
      </c>
      <c r="F191" s="369">
        <v>0</v>
      </c>
      <c r="G191" s="368">
        <v>45611</v>
      </c>
      <c r="H191" s="370">
        <v>45611.680462962962</v>
      </c>
      <c r="I191" s="365" t="s">
        <v>1203</v>
      </c>
    </row>
    <row r="192" spans="1:9" s="365" customFormat="1" hidden="1">
      <c r="A192" s="365" t="s">
        <v>1182</v>
      </c>
      <c r="B192" s="365" t="s">
        <v>5202</v>
      </c>
      <c r="C192" s="365" t="s">
        <v>1194</v>
      </c>
      <c r="D192" s="365" t="s">
        <v>1195</v>
      </c>
      <c r="E192" s="368">
        <v>45611</v>
      </c>
      <c r="F192" s="369">
        <v>0</v>
      </c>
      <c r="G192" s="368">
        <v>45611</v>
      </c>
      <c r="H192" s="370">
        <v>45611.707546296297</v>
      </c>
      <c r="I192" s="365" t="s">
        <v>5073</v>
      </c>
    </row>
    <row r="193" spans="1:9" s="365" customFormat="1">
      <c r="A193" s="365" t="s">
        <v>1000</v>
      </c>
      <c r="B193" s="365" t="s">
        <v>5203</v>
      </c>
      <c r="C193" s="365" t="s">
        <v>965</v>
      </c>
      <c r="D193" s="365" t="s">
        <v>966</v>
      </c>
      <c r="E193" s="368">
        <v>45610</v>
      </c>
      <c r="F193" s="369">
        <v>2600000</v>
      </c>
      <c r="G193" s="368">
        <v>45610</v>
      </c>
      <c r="H193" s="370">
        <v>45610.601527777777</v>
      </c>
      <c r="I193" s="365" t="s">
        <v>999</v>
      </c>
    </row>
    <row r="194" spans="1:9" s="365" customFormat="1" hidden="1">
      <c r="A194" s="365" t="s">
        <v>1182</v>
      </c>
      <c r="B194" s="365" t="s">
        <v>5204</v>
      </c>
      <c r="C194" s="365" t="s">
        <v>1194</v>
      </c>
      <c r="D194" s="365" t="s">
        <v>1195</v>
      </c>
      <c r="E194" s="368">
        <v>45614</v>
      </c>
      <c r="F194" s="369">
        <v>0</v>
      </c>
      <c r="G194" s="368">
        <v>45614</v>
      </c>
      <c r="H194" s="370">
        <v>45614.414884259262</v>
      </c>
      <c r="I194" s="365" t="s">
        <v>1030</v>
      </c>
    </row>
    <row r="195" spans="1:9" s="365" customFormat="1" hidden="1">
      <c r="A195" s="365" t="s">
        <v>1182</v>
      </c>
      <c r="B195" s="365" t="s">
        <v>5205</v>
      </c>
      <c r="C195" s="365" t="s">
        <v>1194</v>
      </c>
      <c r="D195" s="365" t="s">
        <v>1195</v>
      </c>
      <c r="E195" s="368">
        <v>45608</v>
      </c>
      <c r="F195" s="369">
        <v>0</v>
      </c>
      <c r="G195" s="368">
        <v>45608</v>
      </c>
      <c r="H195" s="370">
        <v>45608.361932870372</v>
      </c>
      <c r="I195" s="365" t="s">
        <v>5125</v>
      </c>
    </row>
    <row r="196" spans="1:9" s="365" customFormat="1" hidden="1">
      <c r="A196" s="365" t="s">
        <v>1182</v>
      </c>
      <c r="B196" s="365" t="s">
        <v>5206</v>
      </c>
      <c r="C196" s="365" t="s">
        <v>1194</v>
      </c>
      <c r="D196" s="365" t="s">
        <v>1195</v>
      </c>
      <c r="E196" s="368">
        <v>45610</v>
      </c>
      <c r="F196" s="369">
        <v>0</v>
      </c>
      <c r="G196" s="368">
        <v>45610</v>
      </c>
      <c r="H196" s="370">
        <v>45610.674872685187</v>
      </c>
      <c r="I196" s="365" t="s">
        <v>1051</v>
      </c>
    </row>
    <row r="197" spans="1:9" s="365" customFormat="1" hidden="1">
      <c r="A197" s="365" t="s">
        <v>1182</v>
      </c>
      <c r="B197" s="365" t="s">
        <v>5207</v>
      </c>
      <c r="C197" s="365" t="s">
        <v>1194</v>
      </c>
      <c r="D197" s="365" t="s">
        <v>1195</v>
      </c>
      <c r="E197" s="368">
        <v>45614</v>
      </c>
      <c r="F197" s="369">
        <v>0</v>
      </c>
      <c r="G197" s="368">
        <v>45614</v>
      </c>
      <c r="H197" s="370">
        <v>45614.557916666665</v>
      </c>
      <c r="I197" s="365" t="s">
        <v>5208</v>
      </c>
    </row>
    <row r="198" spans="1:9" s="365" customFormat="1" hidden="1">
      <c r="A198" s="365" t="s">
        <v>1182</v>
      </c>
      <c r="B198" s="365" t="s">
        <v>5209</v>
      </c>
      <c r="C198" s="365" t="s">
        <v>1194</v>
      </c>
      <c r="D198" s="365" t="s">
        <v>1195</v>
      </c>
      <c r="E198" s="368">
        <v>45614</v>
      </c>
      <c r="F198" s="369">
        <v>0</v>
      </c>
      <c r="G198" s="368">
        <v>45614</v>
      </c>
      <c r="H198" s="370">
        <v>45614.598136574074</v>
      </c>
      <c r="I198" s="365" t="s">
        <v>1063</v>
      </c>
    </row>
    <row r="199" spans="1:9" s="365" customFormat="1" hidden="1">
      <c r="A199" s="365" t="s">
        <v>1182</v>
      </c>
      <c r="B199" s="365" t="s">
        <v>5210</v>
      </c>
      <c r="C199" s="365" t="s">
        <v>1194</v>
      </c>
      <c r="D199" s="365" t="s">
        <v>1195</v>
      </c>
      <c r="E199" s="368">
        <v>45615</v>
      </c>
      <c r="F199" s="369">
        <v>0</v>
      </c>
      <c r="G199" s="368">
        <v>45615</v>
      </c>
      <c r="H199" s="370">
        <v>45615.435543981483</v>
      </c>
      <c r="I199" s="365" t="s">
        <v>1173</v>
      </c>
    </row>
    <row r="200" spans="1:9" s="365" customFormat="1" hidden="1">
      <c r="A200" s="365" t="s">
        <v>1182</v>
      </c>
      <c r="B200" s="365" t="s">
        <v>5211</v>
      </c>
      <c r="C200" s="365" t="s">
        <v>1194</v>
      </c>
      <c r="D200" s="365" t="s">
        <v>1195</v>
      </c>
      <c r="E200" s="368">
        <v>45608</v>
      </c>
      <c r="F200" s="369">
        <v>0</v>
      </c>
      <c r="G200" s="368">
        <v>45608</v>
      </c>
      <c r="H200" s="370">
        <v>45608.412349537037</v>
      </c>
      <c r="I200" s="365" t="s">
        <v>1030</v>
      </c>
    </row>
    <row r="201" spans="1:9" s="365" customFormat="1" hidden="1">
      <c r="A201" s="365" t="s">
        <v>1182</v>
      </c>
      <c r="B201" s="365" t="s">
        <v>5212</v>
      </c>
      <c r="C201" s="365" t="s">
        <v>1194</v>
      </c>
      <c r="D201" s="365" t="s">
        <v>1195</v>
      </c>
      <c r="E201" s="368">
        <v>45609</v>
      </c>
      <c r="F201" s="369">
        <v>0</v>
      </c>
      <c r="G201" s="368">
        <v>45609</v>
      </c>
      <c r="H201" s="370">
        <v>45609.568645833337</v>
      </c>
      <c r="I201" s="365" t="s">
        <v>974</v>
      </c>
    </row>
    <row r="202" spans="1:9" s="365" customFormat="1" hidden="1">
      <c r="A202" s="365" t="s">
        <v>1182</v>
      </c>
      <c r="B202" s="365" t="s">
        <v>5213</v>
      </c>
      <c r="C202" s="365" t="s">
        <v>1194</v>
      </c>
      <c r="D202" s="365" t="s">
        <v>1195</v>
      </c>
      <c r="E202" s="368">
        <v>45608</v>
      </c>
      <c r="F202" s="369">
        <v>0</v>
      </c>
      <c r="G202" s="368">
        <v>45608</v>
      </c>
      <c r="H202" s="370">
        <v>45608.440046296295</v>
      </c>
      <c r="I202" s="365" t="s">
        <v>1030</v>
      </c>
    </row>
    <row r="203" spans="1:9" s="365" customFormat="1" hidden="1">
      <c r="A203" s="365" t="s">
        <v>1182</v>
      </c>
      <c r="B203" s="365" t="s">
        <v>5214</v>
      </c>
      <c r="C203" s="365" t="s">
        <v>1194</v>
      </c>
      <c r="D203" s="365" t="s">
        <v>1195</v>
      </c>
      <c r="E203" s="368">
        <v>45614</v>
      </c>
      <c r="F203" s="369">
        <v>0</v>
      </c>
      <c r="G203" s="368">
        <v>45614</v>
      </c>
      <c r="H203" s="370">
        <v>45614.432222222225</v>
      </c>
      <c r="I203" s="365" t="s">
        <v>5073</v>
      </c>
    </row>
    <row r="204" spans="1:9" s="365" customFormat="1">
      <c r="A204" s="365" t="s">
        <v>1000</v>
      </c>
      <c r="B204" s="365" t="s">
        <v>5215</v>
      </c>
      <c r="C204" s="365" t="s">
        <v>967</v>
      </c>
      <c r="D204" s="365" t="s">
        <v>65</v>
      </c>
      <c r="E204" s="368">
        <v>45608</v>
      </c>
      <c r="F204" s="369">
        <v>800000</v>
      </c>
      <c r="G204" s="368">
        <v>45608</v>
      </c>
      <c r="H204" s="370">
        <v>45608.49386574074</v>
      </c>
      <c r="I204" s="365" t="s">
        <v>1187</v>
      </c>
    </row>
    <row r="205" spans="1:9" s="365" customFormat="1" hidden="1">
      <c r="A205" s="365" t="s">
        <v>1182</v>
      </c>
      <c r="B205" s="365" t="s">
        <v>5216</v>
      </c>
      <c r="C205" s="365" t="s">
        <v>1194</v>
      </c>
      <c r="D205" s="365" t="s">
        <v>1195</v>
      </c>
      <c r="E205" s="368">
        <v>45615</v>
      </c>
      <c r="F205" s="369">
        <v>0</v>
      </c>
      <c r="G205" s="368">
        <v>45615</v>
      </c>
      <c r="H205" s="370">
        <v>45615.406180555554</v>
      </c>
      <c r="I205" s="365" t="s">
        <v>1202</v>
      </c>
    </row>
    <row r="206" spans="1:9" s="365" customFormat="1" hidden="1">
      <c r="A206" s="365" t="s">
        <v>1182</v>
      </c>
      <c r="B206" s="365" t="s">
        <v>5217</v>
      </c>
      <c r="C206" s="365" t="s">
        <v>1194</v>
      </c>
      <c r="D206" s="365" t="s">
        <v>1195</v>
      </c>
      <c r="E206" s="368">
        <v>45605</v>
      </c>
      <c r="F206" s="369">
        <v>0</v>
      </c>
      <c r="G206" s="368">
        <v>45605</v>
      </c>
      <c r="H206" s="370">
        <v>45605.694953703707</v>
      </c>
      <c r="I206" s="365" t="s">
        <v>1033</v>
      </c>
    </row>
    <row r="207" spans="1:9" s="365" customFormat="1" hidden="1">
      <c r="A207" s="365" t="s">
        <v>1182</v>
      </c>
      <c r="B207" s="365" t="s">
        <v>5218</v>
      </c>
      <c r="C207" s="365" t="s">
        <v>1194</v>
      </c>
      <c r="D207" s="365" t="s">
        <v>1195</v>
      </c>
      <c r="E207" s="368">
        <v>45611</v>
      </c>
      <c r="F207" s="369">
        <v>0</v>
      </c>
      <c r="G207" s="368">
        <v>45611</v>
      </c>
      <c r="H207" s="370">
        <v>45611.688252314816</v>
      </c>
      <c r="I207" s="365" t="s">
        <v>5131</v>
      </c>
    </row>
    <row r="208" spans="1:9" s="365" customFormat="1" hidden="1">
      <c r="A208" s="365" t="s">
        <v>1182</v>
      </c>
      <c r="B208" s="365" t="s">
        <v>5219</v>
      </c>
      <c r="C208" s="365" t="s">
        <v>1194</v>
      </c>
      <c r="D208" s="365" t="s">
        <v>1195</v>
      </c>
      <c r="E208" s="368">
        <v>45615</v>
      </c>
      <c r="F208" s="369">
        <v>0</v>
      </c>
      <c r="G208" s="368">
        <v>45615</v>
      </c>
      <c r="H208" s="370">
        <v>45615.372870370367</v>
      </c>
      <c r="I208" s="365" t="s">
        <v>1066</v>
      </c>
    </row>
    <row r="209" spans="1:9" s="365" customFormat="1" hidden="1">
      <c r="A209" s="365" t="s">
        <v>1182</v>
      </c>
      <c r="B209" s="365" t="s">
        <v>5220</v>
      </c>
      <c r="C209" s="365" t="s">
        <v>1194</v>
      </c>
      <c r="D209" s="365" t="s">
        <v>1195</v>
      </c>
      <c r="E209" s="368">
        <v>45616</v>
      </c>
      <c r="F209" s="369">
        <v>0</v>
      </c>
      <c r="G209" s="368">
        <v>45616</v>
      </c>
      <c r="H209" s="370">
        <v>45616.653275462966</v>
      </c>
      <c r="I209" s="365" t="s">
        <v>1200</v>
      </c>
    </row>
    <row r="210" spans="1:9" s="365" customFormat="1" hidden="1">
      <c r="A210" s="365" t="s">
        <v>1182</v>
      </c>
      <c r="B210" s="365" t="s">
        <v>5221</v>
      </c>
      <c r="C210" s="365" t="s">
        <v>1194</v>
      </c>
      <c r="D210" s="365" t="s">
        <v>1195</v>
      </c>
      <c r="E210" s="368">
        <v>45610</v>
      </c>
      <c r="F210" s="369">
        <v>0</v>
      </c>
      <c r="G210" s="368">
        <v>45610</v>
      </c>
      <c r="H210" s="370">
        <v>45610.388715277775</v>
      </c>
      <c r="I210" s="365" t="s">
        <v>5148</v>
      </c>
    </row>
    <row r="211" spans="1:9" s="365" customFormat="1" hidden="1">
      <c r="A211" s="365" t="s">
        <v>1182</v>
      </c>
      <c r="B211" s="365" t="s">
        <v>5222</v>
      </c>
      <c r="C211" s="365" t="s">
        <v>1194</v>
      </c>
      <c r="D211" s="365" t="s">
        <v>1195</v>
      </c>
      <c r="E211" s="368">
        <v>45615</v>
      </c>
      <c r="F211" s="369">
        <v>0</v>
      </c>
      <c r="G211" s="368">
        <v>45615</v>
      </c>
      <c r="H211" s="370">
        <v>45615.51902777778</v>
      </c>
      <c r="I211" s="365" t="s">
        <v>5223</v>
      </c>
    </row>
    <row r="212" spans="1:9" s="365" customFormat="1" hidden="1">
      <c r="A212" s="365" t="s">
        <v>1182</v>
      </c>
      <c r="B212" s="365" t="s">
        <v>5224</v>
      </c>
      <c r="C212" s="365" t="s">
        <v>1194</v>
      </c>
      <c r="D212" s="365" t="s">
        <v>1195</v>
      </c>
      <c r="E212" s="368">
        <v>45615</v>
      </c>
      <c r="F212" s="369">
        <v>0</v>
      </c>
      <c r="G212" s="368">
        <v>45615</v>
      </c>
      <c r="H212" s="370">
        <v>45615.673726851855</v>
      </c>
      <c r="I212" s="365" t="s">
        <v>1208</v>
      </c>
    </row>
    <row r="213" spans="1:9" s="365" customFormat="1" hidden="1">
      <c r="A213" s="365" t="s">
        <v>1182</v>
      </c>
      <c r="B213" s="365" t="s">
        <v>5225</v>
      </c>
      <c r="C213" s="365" t="s">
        <v>1194</v>
      </c>
      <c r="D213" s="365" t="s">
        <v>1195</v>
      </c>
      <c r="E213" s="368">
        <v>45605</v>
      </c>
      <c r="F213" s="369">
        <v>0</v>
      </c>
      <c r="G213" s="368">
        <v>45605</v>
      </c>
      <c r="H213" s="370">
        <v>45605.514965277776</v>
      </c>
      <c r="I213" s="365" t="s">
        <v>1063</v>
      </c>
    </row>
    <row r="214" spans="1:9" s="365" customFormat="1" hidden="1">
      <c r="A214" s="365" t="s">
        <v>1182</v>
      </c>
      <c r="B214" s="365" t="s">
        <v>5226</v>
      </c>
      <c r="C214" s="365" t="s">
        <v>1194</v>
      </c>
      <c r="D214" s="365" t="s">
        <v>1195</v>
      </c>
      <c r="E214" s="368">
        <v>45607</v>
      </c>
      <c r="F214" s="369">
        <v>0</v>
      </c>
      <c r="G214" s="368">
        <v>45607</v>
      </c>
      <c r="H214" s="370">
        <v>45607.585833333331</v>
      </c>
      <c r="I214" s="365" t="s">
        <v>990</v>
      </c>
    </row>
    <row r="215" spans="1:9" s="365" customFormat="1" hidden="1">
      <c r="A215" s="365" t="s">
        <v>1182</v>
      </c>
      <c r="B215" s="365" t="s">
        <v>5227</v>
      </c>
      <c r="C215" s="365" t="s">
        <v>1194</v>
      </c>
      <c r="D215" s="365" t="s">
        <v>1195</v>
      </c>
      <c r="E215" s="368">
        <v>45610</v>
      </c>
      <c r="F215" s="369">
        <v>0</v>
      </c>
      <c r="G215" s="368">
        <v>45610</v>
      </c>
      <c r="H215" s="370">
        <v>45610.421423611115</v>
      </c>
      <c r="I215" s="365" t="s">
        <v>5142</v>
      </c>
    </row>
    <row r="216" spans="1:9" s="365" customFormat="1" hidden="1">
      <c r="A216" s="365" t="s">
        <v>1182</v>
      </c>
      <c r="B216" s="365" t="s">
        <v>5228</v>
      </c>
      <c r="C216" s="365" t="s">
        <v>1194</v>
      </c>
      <c r="D216" s="365" t="s">
        <v>1195</v>
      </c>
      <c r="E216" s="368">
        <v>45609</v>
      </c>
      <c r="F216" s="369">
        <v>0</v>
      </c>
      <c r="G216" s="368">
        <v>45609</v>
      </c>
      <c r="H216" s="370">
        <v>45609.656643518516</v>
      </c>
      <c r="I216" s="365" t="s">
        <v>1051</v>
      </c>
    </row>
    <row r="217" spans="1:9" s="365" customFormat="1" hidden="1">
      <c r="A217" s="365" t="s">
        <v>1182</v>
      </c>
      <c r="B217" s="365" t="s">
        <v>5229</v>
      </c>
      <c r="C217" s="365" t="s">
        <v>1194</v>
      </c>
      <c r="D217" s="365" t="s">
        <v>1195</v>
      </c>
      <c r="E217" s="368">
        <v>45616</v>
      </c>
      <c r="F217" s="369">
        <v>0</v>
      </c>
      <c r="G217" s="368">
        <v>45616</v>
      </c>
      <c r="H217" s="370">
        <v>45616.449247685188</v>
      </c>
      <c r="I217" s="365" t="s">
        <v>1025</v>
      </c>
    </row>
    <row r="218" spans="1:9" s="365" customFormat="1" hidden="1">
      <c r="A218" s="365" t="s">
        <v>1182</v>
      </c>
      <c r="B218" s="365" t="s">
        <v>5230</v>
      </c>
      <c r="C218" s="365" t="s">
        <v>1194</v>
      </c>
      <c r="D218" s="365" t="s">
        <v>1195</v>
      </c>
      <c r="E218" s="368">
        <v>45609</v>
      </c>
      <c r="F218" s="369">
        <v>0</v>
      </c>
      <c r="G218" s="368">
        <v>45609</v>
      </c>
      <c r="H218" s="370">
        <v>45609.418414351851</v>
      </c>
      <c r="I218" s="365" t="s">
        <v>5231</v>
      </c>
    </row>
    <row r="219" spans="1:9" s="365" customFormat="1" hidden="1">
      <c r="A219" s="365" t="s">
        <v>1182</v>
      </c>
      <c r="B219" s="365" t="s">
        <v>5232</v>
      </c>
      <c r="C219" s="365" t="s">
        <v>1194</v>
      </c>
      <c r="D219" s="365" t="s">
        <v>1195</v>
      </c>
      <c r="E219" s="368">
        <v>45610</v>
      </c>
      <c r="F219" s="369">
        <v>0</v>
      </c>
      <c r="G219" s="368">
        <v>45610</v>
      </c>
      <c r="H219" s="370">
        <v>45610.453229166669</v>
      </c>
      <c r="I219" s="365" t="s">
        <v>1028</v>
      </c>
    </row>
    <row r="220" spans="1:9" s="365" customFormat="1" hidden="1">
      <c r="A220" s="365" t="s">
        <v>1182</v>
      </c>
      <c r="B220" s="365" t="s">
        <v>5233</v>
      </c>
      <c r="C220" s="365" t="s">
        <v>1194</v>
      </c>
      <c r="D220" s="365" t="s">
        <v>1195</v>
      </c>
      <c r="E220" s="368">
        <v>45607</v>
      </c>
      <c r="F220" s="369">
        <v>0</v>
      </c>
      <c r="G220" s="368">
        <v>45607</v>
      </c>
      <c r="H220" s="370">
        <v>45607.370578703703</v>
      </c>
      <c r="I220" s="365" t="s">
        <v>1036</v>
      </c>
    </row>
    <row r="221" spans="1:9" s="365" customFormat="1" hidden="1">
      <c r="A221" s="365" t="s">
        <v>1182</v>
      </c>
      <c r="B221" s="365" t="s">
        <v>5234</v>
      </c>
      <c r="C221" s="365" t="s">
        <v>1194</v>
      </c>
      <c r="D221" s="365" t="s">
        <v>1195</v>
      </c>
      <c r="E221" s="368">
        <v>45610</v>
      </c>
      <c r="F221" s="369">
        <v>0</v>
      </c>
      <c r="G221" s="368">
        <v>45610</v>
      </c>
      <c r="H221" s="370">
        <v>45610.528865740744</v>
      </c>
      <c r="I221" s="365" t="s">
        <v>990</v>
      </c>
    </row>
    <row r="222" spans="1:9" s="365" customFormat="1">
      <c r="A222" s="365" t="s">
        <v>1000</v>
      </c>
      <c r="B222" s="365" t="s">
        <v>5235</v>
      </c>
      <c r="C222" s="365" t="s">
        <v>964</v>
      </c>
      <c r="D222" s="365" t="s">
        <v>97</v>
      </c>
      <c r="E222" s="368">
        <v>45609</v>
      </c>
      <c r="F222" s="369">
        <v>1000000</v>
      </c>
      <c r="G222" s="368">
        <v>45609</v>
      </c>
      <c r="H222" s="370">
        <v>45609.702893518515</v>
      </c>
      <c r="I222" s="365" t="s">
        <v>999</v>
      </c>
    </row>
    <row r="223" spans="1:9" s="365" customFormat="1" hidden="1">
      <c r="A223" s="365" t="s">
        <v>1182</v>
      </c>
      <c r="B223" s="365" t="s">
        <v>5236</v>
      </c>
      <c r="C223" s="365" t="s">
        <v>1194</v>
      </c>
      <c r="D223" s="365" t="s">
        <v>1195</v>
      </c>
      <c r="E223" s="368">
        <v>45609</v>
      </c>
      <c r="F223" s="369">
        <v>0</v>
      </c>
      <c r="G223" s="368">
        <v>45609</v>
      </c>
      <c r="H223" s="370">
        <v>45609.332824074074</v>
      </c>
      <c r="I223" s="365" t="s">
        <v>1027</v>
      </c>
    </row>
    <row r="224" spans="1:9" s="365" customFormat="1">
      <c r="A224" s="365" t="s">
        <v>1000</v>
      </c>
      <c r="B224" s="365" t="s">
        <v>5237</v>
      </c>
      <c r="C224" s="365" t="s">
        <v>964</v>
      </c>
      <c r="D224" s="365" t="s">
        <v>97</v>
      </c>
      <c r="E224" s="368">
        <v>45610</v>
      </c>
      <c r="F224" s="369">
        <v>0</v>
      </c>
      <c r="G224" s="368">
        <v>45610</v>
      </c>
      <c r="H224" s="370">
        <v>45610.640740740739</v>
      </c>
      <c r="I224" s="365" t="s">
        <v>1003</v>
      </c>
    </row>
    <row r="225" spans="1:9" s="365" customFormat="1" hidden="1">
      <c r="A225" s="365" t="s">
        <v>1182</v>
      </c>
      <c r="B225" s="365" t="s">
        <v>5238</v>
      </c>
      <c r="C225" s="365" t="s">
        <v>1194</v>
      </c>
      <c r="D225" s="365" t="s">
        <v>1195</v>
      </c>
      <c r="E225" s="368">
        <v>45610</v>
      </c>
      <c r="F225" s="369">
        <v>0</v>
      </c>
      <c r="G225" s="368">
        <v>45610</v>
      </c>
      <c r="H225" s="370">
        <v>45610.362939814811</v>
      </c>
      <c r="I225" s="365" t="s">
        <v>5131</v>
      </c>
    </row>
    <row r="226" spans="1:9" s="365" customFormat="1">
      <c r="A226" s="365" t="s">
        <v>1000</v>
      </c>
      <c r="B226" s="365" t="s">
        <v>5239</v>
      </c>
      <c r="C226" s="365" t="s">
        <v>962</v>
      </c>
      <c r="D226" s="365" t="s">
        <v>307</v>
      </c>
      <c r="E226" s="368">
        <v>45607</v>
      </c>
      <c r="F226" s="369">
        <v>2800000</v>
      </c>
      <c r="G226" s="368">
        <v>45607</v>
      </c>
      <c r="H226" s="370">
        <v>45607.361990740741</v>
      </c>
      <c r="I226" s="365" t="s">
        <v>1001</v>
      </c>
    </row>
    <row r="227" spans="1:9" s="365" customFormat="1" hidden="1">
      <c r="A227" s="365" t="s">
        <v>1182</v>
      </c>
      <c r="B227" s="365" t="s">
        <v>5240</v>
      </c>
      <c r="C227" s="365" t="s">
        <v>1194</v>
      </c>
      <c r="D227" s="365" t="s">
        <v>1195</v>
      </c>
      <c r="E227" s="368">
        <v>45609</v>
      </c>
      <c r="F227" s="369">
        <v>0</v>
      </c>
      <c r="G227" s="368">
        <v>45609</v>
      </c>
      <c r="H227" s="370">
        <v>45609.631828703707</v>
      </c>
      <c r="I227" s="365" t="s">
        <v>1056</v>
      </c>
    </row>
    <row r="228" spans="1:9" s="365" customFormat="1" hidden="1">
      <c r="A228" s="365" t="s">
        <v>1182</v>
      </c>
      <c r="B228" s="365" t="s">
        <v>5241</v>
      </c>
      <c r="C228" s="365" t="s">
        <v>1194</v>
      </c>
      <c r="D228" s="365" t="s">
        <v>1195</v>
      </c>
      <c r="E228" s="368">
        <v>45609</v>
      </c>
      <c r="F228" s="369">
        <v>0</v>
      </c>
      <c r="G228" s="368">
        <v>45609</v>
      </c>
      <c r="H228" s="370">
        <v>45609.652858796297</v>
      </c>
      <c r="I228" s="365" t="s">
        <v>1200</v>
      </c>
    </row>
    <row r="229" spans="1:9" s="365" customFormat="1" hidden="1">
      <c r="A229" s="365" t="s">
        <v>1182</v>
      </c>
      <c r="B229" s="365" t="s">
        <v>5242</v>
      </c>
      <c r="C229" s="365" t="s">
        <v>1194</v>
      </c>
      <c r="D229" s="365" t="s">
        <v>1195</v>
      </c>
      <c r="E229" s="368">
        <v>45615</v>
      </c>
      <c r="F229" s="369">
        <v>0</v>
      </c>
      <c r="G229" s="368">
        <v>45615</v>
      </c>
      <c r="H229" s="370">
        <v>45615.536458333336</v>
      </c>
      <c r="I229" s="365" t="s">
        <v>990</v>
      </c>
    </row>
    <row r="230" spans="1:9" s="365" customFormat="1">
      <c r="A230" s="365" t="s">
        <v>1000</v>
      </c>
      <c r="B230" s="365" t="s">
        <v>5243</v>
      </c>
      <c r="C230" s="365" t="s">
        <v>967</v>
      </c>
      <c r="D230" s="365" t="s">
        <v>65</v>
      </c>
      <c r="E230" s="368">
        <v>45607</v>
      </c>
      <c r="F230" s="369">
        <v>5000000</v>
      </c>
      <c r="G230" s="368">
        <v>45607</v>
      </c>
      <c r="H230" s="370">
        <v>45607.708298611113</v>
      </c>
      <c r="I230" s="365" t="s">
        <v>999</v>
      </c>
    </row>
    <row r="231" spans="1:9" s="365" customFormat="1" hidden="1">
      <c r="A231" s="365" t="s">
        <v>1182</v>
      </c>
      <c r="B231" s="365" t="s">
        <v>5244</v>
      </c>
      <c r="C231" s="365" t="s">
        <v>1194</v>
      </c>
      <c r="D231" s="365" t="s">
        <v>1195</v>
      </c>
      <c r="E231" s="368">
        <v>45608</v>
      </c>
      <c r="F231" s="369">
        <v>0</v>
      </c>
      <c r="G231" s="368">
        <v>45608</v>
      </c>
      <c r="H231" s="370">
        <v>45608.33666666667</v>
      </c>
      <c r="I231" s="365" t="s">
        <v>1198</v>
      </c>
    </row>
    <row r="232" spans="1:9" s="365" customFormat="1" hidden="1">
      <c r="A232" s="365" t="s">
        <v>1182</v>
      </c>
      <c r="B232" s="365" t="s">
        <v>5245</v>
      </c>
      <c r="C232" s="365" t="s">
        <v>1194</v>
      </c>
      <c r="D232" s="365" t="s">
        <v>1195</v>
      </c>
      <c r="E232" s="368">
        <v>45610</v>
      </c>
      <c r="F232" s="369">
        <v>0</v>
      </c>
      <c r="G232" s="368">
        <v>45610</v>
      </c>
      <c r="H232" s="370">
        <v>45610.644594907404</v>
      </c>
      <c r="I232" s="365" t="s">
        <v>1044</v>
      </c>
    </row>
    <row r="233" spans="1:9" s="365" customFormat="1" hidden="1">
      <c r="A233" s="365" t="s">
        <v>1182</v>
      </c>
      <c r="B233" s="365" t="s">
        <v>5246</v>
      </c>
      <c r="C233" s="365" t="s">
        <v>1194</v>
      </c>
      <c r="D233" s="365" t="s">
        <v>1195</v>
      </c>
      <c r="E233" s="368">
        <v>45615</v>
      </c>
      <c r="F233" s="369">
        <v>0</v>
      </c>
      <c r="G233" s="368">
        <v>45615</v>
      </c>
      <c r="H233" s="370">
        <v>45615.642245370371</v>
      </c>
      <c r="I233" s="365" t="s">
        <v>1197</v>
      </c>
    </row>
    <row r="234" spans="1:9" s="365" customFormat="1" hidden="1">
      <c r="A234" s="365" t="s">
        <v>1182</v>
      </c>
      <c r="B234" s="365" t="s">
        <v>5247</v>
      </c>
      <c r="C234" s="365" t="s">
        <v>1194</v>
      </c>
      <c r="D234" s="365" t="s">
        <v>1195</v>
      </c>
      <c r="E234" s="368">
        <v>45615</v>
      </c>
      <c r="F234" s="369">
        <v>0</v>
      </c>
      <c r="G234" s="368">
        <v>45615</v>
      </c>
      <c r="H234" s="370">
        <v>45615.644409722219</v>
      </c>
      <c r="I234" s="365" t="s">
        <v>5131</v>
      </c>
    </row>
    <row r="235" spans="1:9" s="365" customFormat="1" hidden="1">
      <c r="A235" s="365" t="s">
        <v>1182</v>
      </c>
      <c r="B235" s="365" t="s">
        <v>5248</v>
      </c>
      <c r="C235" s="365" t="s">
        <v>1194</v>
      </c>
      <c r="D235" s="365" t="s">
        <v>1195</v>
      </c>
      <c r="E235" s="368">
        <v>45609</v>
      </c>
      <c r="F235" s="369">
        <v>0</v>
      </c>
      <c r="G235" s="368">
        <v>45609</v>
      </c>
      <c r="H235" s="370">
        <v>45609.464571759258</v>
      </c>
      <c r="I235" s="365" t="s">
        <v>1054</v>
      </c>
    </row>
    <row r="236" spans="1:9" s="365" customFormat="1" hidden="1">
      <c r="A236" s="365" t="s">
        <v>1182</v>
      </c>
      <c r="B236" s="365" t="s">
        <v>5249</v>
      </c>
      <c r="C236" s="365" t="s">
        <v>1194</v>
      </c>
      <c r="D236" s="365" t="s">
        <v>1195</v>
      </c>
      <c r="E236" s="368">
        <v>45614</v>
      </c>
      <c r="F236" s="369">
        <v>0</v>
      </c>
      <c r="G236" s="368">
        <v>45614</v>
      </c>
      <c r="H236" s="370">
        <v>45614.634641203702</v>
      </c>
      <c r="I236" s="365" t="s">
        <v>1051</v>
      </c>
    </row>
    <row r="237" spans="1:9" s="365" customFormat="1">
      <c r="A237" s="365" t="s">
        <v>1000</v>
      </c>
      <c r="B237" s="365" t="s">
        <v>5250</v>
      </c>
      <c r="C237" s="365" t="s">
        <v>962</v>
      </c>
      <c r="D237" s="365" t="s">
        <v>307</v>
      </c>
      <c r="E237" s="368">
        <v>45611</v>
      </c>
      <c r="F237" s="369">
        <v>0</v>
      </c>
      <c r="G237" s="368">
        <v>45611</v>
      </c>
      <c r="H237" s="370">
        <v>45611.640821759262</v>
      </c>
      <c r="I237" s="365" t="s">
        <v>1001</v>
      </c>
    </row>
    <row r="238" spans="1:9" s="365" customFormat="1" hidden="1">
      <c r="A238" s="365" t="s">
        <v>1182</v>
      </c>
      <c r="B238" s="365" t="s">
        <v>5251</v>
      </c>
      <c r="C238" s="365" t="s">
        <v>1194</v>
      </c>
      <c r="D238" s="365" t="s">
        <v>1195</v>
      </c>
      <c r="E238" s="368">
        <v>45611</v>
      </c>
      <c r="F238" s="369">
        <v>0</v>
      </c>
      <c r="G238" s="368">
        <v>45611</v>
      </c>
      <c r="H238" s="370">
        <v>45611.659097222226</v>
      </c>
      <c r="I238" s="365" t="s">
        <v>1066</v>
      </c>
    </row>
    <row r="239" spans="1:9" s="365" customFormat="1" hidden="1">
      <c r="A239" s="365" t="s">
        <v>1182</v>
      </c>
      <c r="B239" s="365" t="s">
        <v>5252</v>
      </c>
      <c r="C239" s="365" t="s">
        <v>1194</v>
      </c>
      <c r="D239" s="365" t="s">
        <v>1195</v>
      </c>
      <c r="E239" s="368">
        <v>45616</v>
      </c>
      <c r="F239" s="369">
        <v>0</v>
      </c>
      <c r="G239" s="368">
        <v>45616</v>
      </c>
      <c r="H239" s="370">
        <v>45616.384236111109</v>
      </c>
      <c r="I239" s="365" t="s">
        <v>5073</v>
      </c>
    </row>
    <row r="240" spans="1:9" s="365" customFormat="1" hidden="1">
      <c r="A240" s="365" t="s">
        <v>1182</v>
      </c>
      <c r="B240" s="365" t="s">
        <v>5253</v>
      </c>
      <c r="C240" s="365" t="s">
        <v>1194</v>
      </c>
      <c r="D240" s="365" t="s">
        <v>1195</v>
      </c>
      <c r="E240" s="368">
        <v>45608</v>
      </c>
      <c r="F240" s="369">
        <v>0</v>
      </c>
      <c r="G240" s="368">
        <v>45608</v>
      </c>
      <c r="H240" s="370">
        <v>45608.503506944442</v>
      </c>
      <c r="I240" s="365" t="s">
        <v>5131</v>
      </c>
    </row>
    <row r="241" spans="1:9" s="365" customFormat="1">
      <c r="A241" s="365" t="s">
        <v>1000</v>
      </c>
      <c r="B241" s="365" t="s">
        <v>5254</v>
      </c>
      <c r="C241" s="365" t="s">
        <v>5255</v>
      </c>
      <c r="D241" s="365" t="s">
        <v>5256</v>
      </c>
      <c r="E241" s="368">
        <v>45607</v>
      </c>
      <c r="F241" s="369">
        <v>0</v>
      </c>
      <c r="G241" s="368">
        <v>45607</v>
      </c>
      <c r="H241" s="370">
        <v>45607.4924537037</v>
      </c>
      <c r="I241" s="365" t="s">
        <v>1057</v>
      </c>
    </row>
    <row r="242" spans="1:9" s="365" customFormat="1" hidden="1">
      <c r="A242" s="365" t="s">
        <v>1182</v>
      </c>
      <c r="B242" s="365" t="s">
        <v>5257</v>
      </c>
      <c r="C242" s="365" t="s">
        <v>1194</v>
      </c>
      <c r="D242" s="365" t="s">
        <v>1195</v>
      </c>
      <c r="E242" s="368">
        <v>45615</v>
      </c>
      <c r="F242" s="369">
        <v>0</v>
      </c>
      <c r="G242" s="368">
        <v>45615</v>
      </c>
      <c r="H242" s="370">
        <v>45615.595578703702</v>
      </c>
      <c r="I242" s="365" t="s">
        <v>5090</v>
      </c>
    </row>
    <row r="243" spans="1:9" s="365" customFormat="1" hidden="1">
      <c r="A243" s="365" t="s">
        <v>1182</v>
      </c>
      <c r="B243" s="365" t="s">
        <v>5258</v>
      </c>
      <c r="C243" s="365" t="s">
        <v>1194</v>
      </c>
      <c r="D243" s="365" t="s">
        <v>1195</v>
      </c>
      <c r="E243" s="368">
        <v>45616</v>
      </c>
      <c r="F243" s="369">
        <v>0</v>
      </c>
      <c r="G243" s="368">
        <v>45616</v>
      </c>
      <c r="H243" s="370">
        <v>45616.409317129626</v>
      </c>
      <c r="I243" s="365" t="s">
        <v>1063</v>
      </c>
    </row>
    <row r="244" spans="1:9" s="365" customFormat="1" hidden="1">
      <c r="A244" s="365" t="s">
        <v>1182</v>
      </c>
      <c r="B244" s="365" t="s">
        <v>5259</v>
      </c>
      <c r="C244" s="365" t="s">
        <v>1194</v>
      </c>
      <c r="D244" s="365" t="s">
        <v>1195</v>
      </c>
      <c r="E244" s="368">
        <v>45609</v>
      </c>
      <c r="F244" s="369">
        <v>0</v>
      </c>
      <c r="G244" s="368">
        <v>45609</v>
      </c>
      <c r="H244" s="370">
        <v>45609.645381944443</v>
      </c>
      <c r="I244" s="365" t="s">
        <v>5231</v>
      </c>
    </row>
    <row r="245" spans="1:9" s="365" customFormat="1" hidden="1">
      <c r="A245" s="365" t="s">
        <v>1182</v>
      </c>
      <c r="B245" s="365" t="s">
        <v>5260</v>
      </c>
      <c r="C245" s="365" t="s">
        <v>1194</v>
      </c>
      <c r="D245" s="365" t="s">
        <v>1195</v>
      </c>
      <c r="E245" s="368">
        <v>45611</v>
      </c>
      <c r="F245" s="369">
        <v>0</v>
      </c>
      <c r="G245" s="368">
        <v>45611</v>
      </c>
      <c r="H245" s="370">
        <v>45611.52270833333</v>
      </c>
      <c r="I245" s="365" t="s">
        <v>5131</v>
      </c>
    </row>
    <row r="246" spans="1:9" s="365" customFormat="1" hidden="1">
      <c r="A246" s="365" t="s">
        <v>1182</v>
      </c>
      <c r="B246" s="365" t="s">
        <v>5261</v>
      </c>
      <c r="C246" s="365" t="s">
        <v>1194</v>
      </c>
      <c r="D246" s="365" t="s">
        <v>1195</v>
      </c>
      <c r="E246" s="368">
        <v>45614</v>
      </c>
      <c r="F246" s="369">
        <v>0</v>
      </c>
      <c r="G246" s="368">
        <v>45614</v>
      </c>
      <c r="H246" s="370">
        <v>45614.398831018516</v>
      </c>
      <c r="I246" s="365" t="s">
        <v>5262</v>
      </c>
    </row>
    <row r="247" spans="1:9" s="365" customFormat="1" hidden="1">
      <c r="A247" s="365" t="s">
        <v>1182</v>
      </c>
      <c r="B247" s="365" t="s">
        <v>5263</v>
      </c>
      <c r="C247" s="365" t="s">
        <v>1194</v>
      </c>
      <c r="D247" s="365" t="s">
        <v>1195</v>
      </c>
      <c r="E247" s="368">
        <v>45608</v>
      </c>
      <c r="F247" s="369">
        <v>0</v>
      </c>
      <c r="G247" s="368">
        <v>45608</v>
      </c>
      <c r="H247" s="370">
        <v>45608.393240740741</v>
      </c>
      <c r="I247" s="365" t="s">
        <v>5142</v>
      </c>
    </row>
    <row r="248" spans="1:9" s="365" customFormat="1" hidden="1">
      <c r="A248" s="365" t="s">
        <v>1182</v>
      </c>
      <c r="B248" s="365" t="s">
        <v>5264</v>
      </c>
      <c r="C248" s="365" t="s">
        <v>1194</v>
      </c>
      <c r="D248" s="365" t="s">
        <v>1195</v>
      </c>
      <c r="E248" s="368">
        <v>45615</v>
      </c>
      <c r="F248" s="369">
        <v>0</v>
      </c>
      <c r="G248" s="368">
        <v>45615</v>
      </c>
      <c r="H248" s="370">
        <v>45615.328229166669</v>
      </c>
      <c r="I248" s="365" t="s">
        <v>1207</v>
      </c>
    </row>
    <row r="249" spans="1:9" s="365" customFormat="1" hidden="1">
      <c r="A249" s="365" t="s">
        <v>1182</v>
      </c>
      <c r="B249" s="365" t="s">
        <v>5265</v>
      </c>
      <c r="C249" s="365" t="s">
        <v>1194</v>
      </c>
      <c r="D249" s="365" t="s">
        <v>1195</v>
      </c>
      <c r="E249" s="368">
        <v>45615</v>
      </c>
      <c r="F249" s="369">
        <v>0</v>
      </c>
      <c r="G249" s="368">
        <v>45615</v>
      </c>
      <c r="H249" s="370">
        <v>45615.34952546296</v>
      </c>
      <c r="I249" s="365" t="s">
        <v>5208</v>
      </c>
    </row>
    <row r="250" spans="1:9" s="365" customFormat="1" hidden="1">
      <c r="A250" s="365" t="s">
        <v>1182</v>
      </c>
      <c r="B250" s="365" t="s">
        <v>5266</v>
      </c>
      <c r="C250" s="365" t="s">
        <v>1194</v>
      </c>
      <c r="D250" s="365" t="s">
        <v>1195</v>
      </c>
      <c r="E250" s="368">
        <v>45615</v>
      </c>
      <c r="F250" s="369">
        <v>0</v>
      </c>
      <c r="G250" s="368">
        <v>45615</v>
      </c>
      <c r="H250" s="370">
        <v>45615.45685185185</v>
      </c>
      <c r="I250" s="365" t="s">
        <v>5267</v>
      </c>
    </row>
    <row r="251" spans="1:9" s="365" customFormat="1" hidden="1">
      <c r="A251" s="365" t="s">
        <v>1182</v>
      </c>
      <c r="B251" s="365" t="s">
        <v>5268</v>
      </c>
      <c r="C251" s="365" t="s">
        <v>1194</v>
      </c>
      <c r="D251" s="365" t="s">
        <v>1195</v>
      </c>
      <c r="E251" s="368">
        <v>45607</v>
      </c>
      <c r="F251" s="369">
        <v>0</v>
      </c>
      <c r="G251" s="368">
        <v>45607</v>
      </c>
      <c r="H251" s="370">
        <v>45607.544803240744</v>
      </c>
      <c r="I251" s="365" t="s">
        <v>5148</v>
      </c>
    </row>
    <row r="252" spans="1:9" s="365" customFormat="1" hidden="1">
      <c r="A252" s="365" t="s">
        <v>1182</v>
      </c>
      <c r="B252" s="365" t="s">
        <v>5269</v>
      </c>
      <c r="C252" s="365" t="s">
        <v>1194</v>
      </c>
      <c r="D252" s="365" t="s">
        <v>1195</v>
      </c>
      <c r="E252" s="368">
        <v>45616</v>
      </c>
      <c r="F252" s="369">
        <v>0</v>
      </c>
      <c r="G252" s="368">
        <v>45616</v>
      </c>
      <c r="H252" s="370">
        <v>45616.628321759257</v>
      </c>
      <c r="I252" s="365" t="s">
        <v>1200</v>
      </c>
    </row>
    <row r="253" spans="1:9" s="365" customFormat="1" hidden="1">
      <c r="A253" s="365" t="s">
        <v>1182</v>
      </c>
      <c r="B253" s="365" t="s">
        <v>5270</v>
      </c>
      <c r="C253" s="365" t="s">
        <v>1194</v>
      </c>
      <c r="D253" s="365" t="s">
        <v>1195</v>
      </c>
      <c r="E253" s="368">
        <v>45607</v>
      </c>
      <c r="F253" s="369">
        <v>0</v>
      </c>
      <c r="G253" s="368">
        <v>45607</v>
      </c>
      <c r="H253" s="370">
        <v>45607.723229166666</v>
      </c>
      <c r="I253" s="365" t="s">
        <v>5271</v>
      </c>
    </row>
    <row r="254" spans="1:9" s="365" customFormat="1" hidden="1">
      <c r="A254" s="365" t="s">
        <v>1182</v>
      </c>
      <c r="B254" s="365" t="s">
        <v>5272</v>
      </c>
      <c r="C254" s="365" t="s">
        <v>1194</v>
      </c>
      <c r="D254" s="365" t="s">
        <v>1195</v>
      </c>
      <c r="E254" s="368">
        <v>45609</v>
      </c>
      <c r="F254" s="369">
        <v>0</v>
      </c>
      <c r="G254" s="368">
        <v>45609</v>
      </c>
      <c r="H254" s="370">
        <v>45609.721736111111</v>
      </c>
      <c r="I254" s="365" t="s">
        <v>5231</v>
      </c>
    </row>
    <row r="255" spans="1:9" s="365" customFormat="1" hidden="1">
      <c r="A255" s="365" t="s">
        <v>1182</v>
      </c>
      <c r="B255" s="365" t="s">
        <v>5273</v>
      </c>
      <c r="C255" s="365" t="s">
        <v>1194</v>
      </c>
      <c r="D255" s="365" t="s">
        <v>1195</v>
      </c>
      <c r="E255" s="368">
        <v>45610</v>
      </c>
      <c r="F255" s="369">
        <v>0</v>
      </c>
      <c r="G255" s="368">
        <v>45610</v>
      </c>
      <c r="H255" s="370">
        <v>45610.52447916667</v>
      </c>
      <c r="I255" s="365" t="s">
        <v>1209</v>
      </c>
    </row>
    <row r="256" spans="1:9" s="365" customFormat="1">
      <c r="A256" s="365" t="s">
        <v>1000</v>
      </c>
      <c r="B256" s="365" t="s">
        <v>5274</v>
      </c>
      <c r="C256" s="365" t="s">
        <v>5255</v>
      </c>
      <c r="D256" s="365" t="s">
        <v>5256</v>
      </c>
      <c r="E256" s="368">
        <v>45608</v>
      </c>
      <c r="F256" s="369">
        <v>2000000</v>
      </c>
      <c r="G256" s="368">
        <v>45608</v>
      </c>
      <c r="H256" s="370">
        <v>45608.682997685188</v>
      </c>
      <c r="I256" s="365" t="s">
        <v>999</v>
      </c>
    </row>
    <row r="257" spans="1:9" s="365" customFormat="1">
      <c r="A257" s="365" t="s">
        <v>1000</v>
      </c>
      <c r="B257" s="365" t="s">
        <v>5275</v>
      </c>
      <c r="C257" s="365" t="s">
        <v>967</v>
      </c>
      <c r="D257" s="365" t="s">
        <v>65</v>
      </c>
      <c r="E257" s="368">
        <v>45608</v>
      </c>
      <c r="F257" s="369">
        <v>0</v>
      </c>
      <c r="G257" s="368">
        <v>45608</v>
      </c>
      <c r="H257" s="370">
        <v>45608.693935185183</v>
      </c>
      <c r="I257" s="365" t="s">
        <v>999</v>
      </c>
    </row>
    <row r="258" spans="1:9" s="365" customFormat="1" hidden="1">
      <c r="A258" s="365" t="s">
        <v>1182</v>
      </c>
      <c r="B258" s="365" t="s">
        <v>5276</v>
      </c>
      <c r="C258" s="365" t="s">
        <v>1194</v>
      </c>
      <c r="D258" s="365" t="s">
        <v>1195</v>
      </c>
      <c r="E258" s="368">
        <v>45608</v>
      </c>
      <c r="F258" s="369">
        <v>0</v>
      </c>
      <c r="G258" s="368">
        <v>45608</v>
      </c>
      <c r="H258" s="370">
        <v>45608.734861111108</v>
      </c>
      <c r="I258" s="365" t="s">
        <v>1023</v>
      </c>
    </row>
    <row r="259" spans="1:9" s="365" customFormat="1" hidden="1">
      <c r="A259" s="365" t="s">
        <v>1182</v>
      </c>
      <c r="B259" s="365" t="s">
        <v>5277</v>
      </c>
      <c r="C259" s="365" t="s">
        <v>1194</v>
      </c>
      <c r="D259" s="365" t="s">
        <v>1195</v>
      </c>
      <c r="E259" s="368">
        <v>45611</v>
      </c>
      <c r="F259" s="369">
        <v>0</v>
      </c>
      <c r="G259" s="368">
        <v>45611</v>
      </c>
      <c r="H259" s="370">
        <v>45611.461736111109</v>
      </c>
      <c r="I259" s="365" t="s">
        <v>1051</v>
      </c>
    </row>
    <row r="260" spans="1:9" s="365" customFormat="1" hidden="1">
      <c r="A260" s="365" t="s">
        <v>1182</v>
      </c>
      <c r="B260" s="365" t="s">
        <v>5278</v>
      </c>
      <c r="C260" s="365" t="s">
        <v>1194</v>
      </c>
      <c r="D260" s="365" t="s">
        <v>1195</v>
      </c>
      <c r="E260" s="368">
        <v>45616</v>
      </c>
      <c r="F260" s="369">
        <v>0</v>
      </c>
      <c r="G260" s="368">
        <v>45616</v>
      </c>
      <c r="H260" s="370">
        <v>45616.585023148145</v>
      </c>
      <c r="I260" s="365" t="s">
        <v>5148</v>
      </c>
    </row>
    <row r="261" spans="1:9" s="365" customFormat="1">
      <c r="A261" s="365" t="s">
        <v>1000</v>
      </c>
      <c r="B261" s="365" t="s">
        <v>5279</v>
      </c>
      <c r="C261" s="365" t="s">
        <v>965</v>
      </c>
      <c r="D261" s="365" t="s">
        <v>966</v>
      </c>
      <c r="E261" s="368">
        <v>45611</v>
      </c>
      <c r="F261" s="369">
        <v>2500000</v>
      </c>
      <c r="G261" s="368">
        <v>45611</v>
      </c>
      <c r="H261" s="370">
        <v>45611.705960648149</v>
      </c>
      <c r="I261" s="365" t="s">
        <v>999</v>
      </c>
    </row>
    <row r="262" spans="1:9" s="365" customFormat="1" hidden="1">
      <c r="A262" s="365" t="s">
        <v>1182</v>
      </c>
      <c r="B262" s="365" t="s">
        <v>5280</v>
      </c>
      <c r="C262" s="365" t="s">
        <v>1194</v>
      </c>
      <c r="D262" s="365" t="s">
        <v>1195</v>
      </c>
      <c r="E262" s="368">
        <v>45616</v>
      </c>
      <c r="F262" s="369">
        <v>0</v>
      </c>
      <c r="G262" s="368">
        <v>45616</v>
      </c>
      <c r="H262" s="370">
        <v>45616.498784722222</v>
      </c>
      <c r="I262" s="365" t="s">
        <v>990</v>
      </c>
    </row>
    <row r="263" spans="1:9" s="365" customFormat="1" hidden="1">
      <c r="A263" s="365" t="s">
        <v>1182</v>
      </c>
      <c r="B263" s="365" t="s">
        <v>5281</v>
      </c>
      <c r="C263" s="365" t="s">
        <v>1194</v>
      </c>
      <c r="D263" s="365" t="s">
        <v>1195</v>
      </c>
      <c r="E263" s="368">
        <v>45616</v>
      </c>
      <c r="F263" s="369">
        <v>0</v>
      </c>
      <c r="G263" s="368">
        <v>45616</v>
      </c>
      <c r="H263" s="370">
        <v>45616.650219907409</v>
      </c>
      <c r="I263" s="365" t="s">
        <v>992</v>
      </c>
    </row>
    <row r="264" spans="1:9" s="365" customFormat="1" hidden="1">
      <c r="A264" s="365" t="s">
        <v>1182</v>
      </c>
      <c r="B264" s="365" t="s">
        <v>5282</v>
      </c>
      <c r="C264" s="365" t="s">
        <v>1194</v>
      </c>
      <c r="D264" s="365" t="s">
        <v>1195</v>
      </c>
      <c r="E264" s="368">
        <v>45609</v>
      </c>
      <c r="F264" s="369">
        <v>0</v>
      </c>
      <c r="G264" s="368">
        <v>45609</v>
      </c>
      <c r="H264" s="370">
        <v>45609.473391203705</v>
      </c>
      <c r="I264" s="365" t="s">
        <v>1207</v>
      </c>
    </row>
    <row r="265" spans="1:9" s="365" customFormat="1" hidden="1">
      <c r="A265" s="365" t="s">
        <v>1182</v>
      </c>
      <c r="B265" s="365" t="s">
        <v>5283</v>
      </c>
      <c r="C265" s="365" t="s">
        <v>1194</v>
      </c>
      <c r="D265" s="365" t="s">
        <v>1195</v>
      </c>
      <c r="E265" s="368">
        <v>45612</v>
      </c>
      <c r="F265" s="369">
        <v>0</v>
      </c>
      <c r="G265" s="368">
        <v>45612</v>
      </c>
      <c r="H265" s="370">
        <v>45612.606493055559</v>
      </c>
      <c r="I265" s="365" t="s">
        <v>1030</v>
      </c>
    </row>
    <row r="266" spans="1:9" s="365" customFormat="1" hidden="1">
      <c r="A266" s="365" t="s">
        <v>1182</v>
      </c>
      <c r="B266" s="365" t="s">
        <v>5284</v>
      </c>
      <c r="C266" s="365" t="s">
        <v>1194</v>
      </c>
      <c r="D266" s="365" t="s">
        <v>1195</v>
      </c>
      <c r="E266" s="368">
        <v>45612</v>
      </c>
      <c r="F266" s="369">
        <v>0</v>
      </c>
      <c r="G266" s="368">
        <v>45612</v>
      </c>
      <c r="H266" s="370">
        <v>45612.655960648146</v>
      </c>
      <c r="I266" s="365" t="s">
        <v>1030</v>
      </c>
    </row>
    <row r="267" spans="1:9" s="365" customFormat="1">
      <c r="A267" s="365" t="s">
        <v>1000</v>
      </c>
      <c r="B267" s="365" t="s">
        <v>5285</v>
      </c>
      <c r="C267" s="365" t="s">
        <v>964</v>
      </c>
      <c r="D267" s="365" t="s">
        <v>97</v>
      </c>
      <c r="E267" s="368">
        <v>45612</v>
      </c>
      <c r="F267" s="369">
        <v>300000</v>
      </c>
      <c r="G267" s="368">
        <v>45612</v>
      </c>
      <c r="H267" s="370">
        <v>45612.540196759262</v>
      </c>
      <c r="I267" s="365" t="s">
        <v>1057</v>
      </c>
    </row>
    <row r="268" spans="1:9" s="365" customFormat="1" hidden="1">
      <c r="A268" s="365" t="s">
        <v>1182</v>
      </c>
      <c r="B268" s="365" t="s">
        <v>5286</v>
      </c>
      <c r="C268" s="365" t="s">
        <v>1194</v>
      </c>
      <c r="D268" s="365" t="s">
        <v>1195</v>
      </c>
      <c r="E268" s="368">
        <v>45605</v>
      </c>
      <c r="F268" s="369">
        <v>0</v>
      </c>
      <c r="G268" s="368">
        <v>45605</v>
      </c>
      <c r="H268" s="370">
        <v>45605.379594907405</v>
      </c>
      <c r="I268" s="365" t="s">
        <v>5073</v>
      </c>
    </row>
    <row r="269" spans="1:9" s="365" customFormat="1">
      <c r="A269" s="365" t="s">
        <v>1000</v>
      </c>
      <c r="B269" s="365" t="s">
        <v>5287</v>
      </c>
      <c r="C269" s="365" t="s">
        <v>968</v>
      </c>
      <c r="D269" s="365" t="s">
        <v>173</v>
      </c>
      <c r="E269" s="368">
        <v>45604</v>
      </c>
      <c r="F269" s="369">
        <v>10000000</v>
      </c>
      <c r="G269" s="368">
        <v>45604</v>
      </c>
      <c r="H269" s="370">
        <v>45604.723703703705</v>
      </c>
      <c r="I269" s="365" t="s">
        <v>999</v>
      </c>
    </row>
    <row r="270" spans="1:9" s="365" customFormat="1" hidden="1">
      <c r="A270" s="365" t="s">
        <v>1182</v>
      </c>
      <c r="B270" s="365" t="s">
        <v>5288</v>
      </c>
      <c r="C270" s="365" t="s">
        <v>1194</v>
      </c>
      <c r="D270" s="365" t="s">
        <v>1195</v>
      </c>
      <c r="E270" s="368">
        <v>45609</v>
      </c>
      <c r="F270" s="369">
        <v>0</v>
      </c>
      <c r="G270" s="368">
        <v>45609</v>
      </c>
      <c r="H270" s="370">
        <v>45609.391041666669</v>
      </c>
      <c r="I270" s="365" t="s">
        <v>1068</v>
      </c>
    </row>
    <row r="271" spans="1:9" s="365" customFormat="1" hidden="1">
      <c r="A271" s="365" t="s">
        <v>1182</v>
      </c>
      <c r="B271" s="365" t="s">
        <v>5289</v>
      </c>
      <c r="C271" s="365" t="s">
        <v>1194</v>
      </c>
      <c r="D271" s="365" t="s">
        <v>1195</v>
      </c>
      <c r="E271" s="368">
        <v>45608</v>
      </c>
      <c r="F271" s="369">
        <v>0</v>
      </c>
      <c r="G271" s="368">
        <v>45608</v>
      </c>
      <c r="H271" s="370">
        <v>45608.709618055553</v>
      </c>
      <c r="I271" s="365" t="s">
        <v>1045</v>
      </c>
    </row>
    <row r="272" spans="1:9" s="365" customFormat="1" hidden="1">
      <c r="A272" s="365" t="s">
        <v>1182</v>
      </c>
      <c r="B272" s="365" t="s">
        <v>5290</v>
      </c>
      <c r="C272" s="365" t="s">
        <v>1194</v>
      </c>
      <c r="D272" s="365" t="s">
        <v>1195</v>
      </c>
      <c r="E272" s="368">
        <v>45614</v>
      </c>
      <c r="F272" s="369">
        <v>0</v>
      </c>
      <c r="G272" s="368">
        <v>45614</v>
      </c>
      <c r="H272" s="370">
        <v>45614.365925925929</v>
      </c>
      <c r="I272" s="365" t="s">
        <v>5223</v>
      </c>
    </row>
    <row r="273" spans="1:9" s="365" customFormat="1" hidden="1">
      <c r="A273" s="365" t="s">
        <v>1182</v>
      </c>
      <c r="B273" s="365" t="s">
        <v>5291</v>
      </c>
      <c r="C273" s="365" t="s">
        <v>1194</v>
      </c>
      <c r="D273" s="365" t="s">
        <v>1195</v>
      </c>
      <c r="E273" s="368">
        <v>45611</v>
      </c>
      <c r="F273" s="369">
        <v>0</v>
      </c>
      <c r="G273" s="368">
        <v>45611</v>
      </c>
      <c r="H273" s="370">
        <v>45611.391759259262</v>
      </c>
      <c r="I273" s="365" t="s">
        <v>1027</v>
      </c>
    </row>
    <row r="274" spans="1:9" s="365" customFormat="1" hidden="1">
      <c r="A274" s="365" t="s">
        <v>1182</v>
      </c>
      <c r="B274" s="365" t="s">
        <v>5292</v>
      </c>
      <c r="C274" s="365" t="s">
        <v>1194</v>
      </c>
      <c r="D274" s="365" t="s">
        <v>1195</v>
      </c>
      <c r="E274" s="368">
        <v>45615</v>
      </c>
      <c r="F274" s="369">
        <v>0</v>
      </c>
      <c r="G274" s="368">
        <v>45615</v>
      </c>
      <c r="H274" s="370">
        <v>45615.397870370369</v>
      </c>
      <c r="I274" s="365" t="s">
        <v>5131</v>
      </c>
    </row>
    <row r="275" spans="1:9" s="365" customFormat="1" hidden="1">
      <c r="A275" s="365" t="s">
        <v>1182</v>
      </c>
      <c r="B275" s="365" t="s">
        <v>5293</v>
      </c>
      <c r="C275" s="365" t="s">
        <v>1194</v>
      </c>
      <c r="D275" s="365" t="s">
        <v>1195</v>
      </c>
      <c r="E275" s="368">
        <v>45605</v>
      </c>
      <c r="F275" s="369">
        <v>0</v>
      </c>
      <c r="G275" s="368">
        <v>45605</v>
      </c>
      <c r="H275" s="370">
        <v>45605.669490740744</v>
      </c>
      <c r="I275" s="365" t="s">
        <v>1063</v>
      </c>
    </row>
    <row r="276" spans="1:9" s="365" customFormat="1" hidden="1">
      <c r="A276" s="365" t="s">
        <v>1182</v>
      </c>
      <c r="B276" s="365" t="s">
        <v>5294</v>
      </c>
      <c r="C276" s="365" t="s">
        <v>1194</v>
      </c>
      <c r="D276" s="365" t="s">
        <v>1195</v>
      </c>
      <c r="E276" s="368">
        <v>45611</v>
      </c>
      <c r="F276" s="369">
        <v>0</v>
      </c>
      <c r="G276" s="368">
        <v>45611</v>
      </c>
      <c r="H276" s="370">
        <v>45611.422048611108</v>
      </c>
      <c r="I276" s="365" t="s">
        <v>977</v>
      </c>
    </row>
    <row r="277" spans="1:9" s="365" customFormat="1" hidden="1">
      <c r="A277" s="365" t="s">
        <v>1182</v>
      </c>
      <c r="B277" s="365" t="s">
        <v>5295</v>
      </c>
      <c r="C277" s="365" t="s">
        <v>1194</v>
      </c>
      <c r="D277" s="365" t="s">
        <v>1195</v>
      </c>
      <c r="E277" s="368">
        <v>45615</v>
      </c>
      <c r="F277" s="369">
        <v>0</v>
      </c>
      <c r="G277" s="368">
        <v>45615</v>
      </c>
      <c r="H277" s="370">
        <v>45615.356828703705</v>
      </c>
      <c r="I277" s="365" t="s">
        <v>1043</v>
      </c>
    </row>
    <row r="278" spans="1:9" s="365" customFormat="1" hidden="1">
      <c r="A278" s="365" t="s">
        <v>1182</v>
      </c>
      <c r="B278" s="365" t="s">
        <v>5296</v>
      </c>
      <c r="C278" s="365" t="s">
        <v>1194</v>
      </c>
      <c r="D278" s="365" t="s">
        <v>1195</v>
      </c>
      <c r="E278" s="368">
        <v>45615</v>
      </c>
      <c r="F278" s="369">
        <v>0</v>
      </c>
      <c r="G278" s="368">
        <v>45615</v>
      </c>
      <c r="H278" s="370">
        <v>45615.370196759257</v>
      </c>
      <c r="I278" s="365" t="s">
        <v>5131</v>
      </c>
    </row>
    <row r="279" spans="1:9" s="365" customFormat="1" hidden="1">
      <c r="A279" s="365" t="s">
        <v>1182</v>
      </c>
      <c r="B279" s="365" t="s">
        <v>5297</v>
      </c>
      <c r="C279" s="365" t="s">
        <v>1194</v>
      </c>
      <c r="D279" s="365" t="s">
        <v>1195</v>
      </c>
      <c r="E279" s="368">
        <v>45609</v>
      </c>
      <c r="F279" s="369">
        <v>0</v>
      </c>
      <c r="G279" s="368">
        <v>45609</v>
      </c>
      <c r="H279" s="370">
        <v>45609.602465277778</v>
      </c>
      <c r="I279" s="365" t="s">
        <v>1030</v>
      </c>
    </row>
    <row r="280" spans="1:9" s="365" customFormat="1" hidden="1">
      <c r="A280" s="365" t="s">
        <v>1182</v>
      </c>
      <c r="B280" s="365" t="s">
        <v>5298</v>
      </c>
      <c r="C280" s="365" t="s">
        <v>1194</v>
      </c>
      <c r="D280" s="365" t="s">
        <v>1195</v>
      </c>
      <c r="E280" s="368">
        <v>45615</v>
      </c>
      <c r="F280" s="369">
        <v>0</v>
      </c>
      <c r="G280" s="368">
        <v>45615</v>
      </c>
      <c r="H280" s="370">
        <v>45615.533877314818</v>
      </c>
      <c r="I280" s="365" t="s">
        <v>1035</v>
      </c>
    </row>
    <row r="281" spans="1:9" s="365" customFormat="1" hidden="1">
      <c r="A281" s="365" t="s">
        <v>1182</v>
      </c>
      <c r="B281" s="365" t="s">
        <v>5299</v>
      </c>
      <c r="C281" s="365" t="s">
        <v>1194</v>
      </c>
      <c r="D281" s="365" t="s">
        <v>1195</v>
      </c>
      <c r="E281" s="368">
        <v>45616</v>
      </c>
      <c r="F281" s="369">
        <v>0</v>
      </c>
      <c r="G281" s="368">
        <v>45616</v>
      </c>
      <c r="H281" s="370">
        <v>45616.484178240738</v>
      </c>
      <c r="I281" s="365" t="s">
        <v>5231</v>
      </c>
    </row>
    <row r="282" spans="1:9" s="365" customFormat="1" hidden="1">
      <c r="A282" s="365" t="s">
        <v>1182</v>
      </c>
      <c r="B282" s="365" t="s">
        <v>5300</v>
      </c>
      <c r="C282" s="365" t="s">
        <v>1194</v>
      </c>
      <c r="D282" s="365" t="s">
        <v>1195</v>
      </c>
      <c r="E282" s="368">
        <v>45616</v>
      </c>
      <c r="F282" s="369">
        <v>0</v>
      </c>
      <c r="G282" s="368">
        <v>45616</v>
      </c>
      <c r="H282" s="370">
        <v>45616.504282407404</v>
      </c>
      <c r="I282" s="365" t="s">
        <v>5231</v>
      </c>
    </row>
    <row r="283" spans="1:9" s="365" customFormat="1" hidden="1">
      <c r="A283" s="365" t="s">
        <v>1182</v>
      </c>
      <c r="B283" s="365" t="s">
        <v>5301</v>
      </c>
      <c r="C283" s="365" t="s">
        <v>1194</v>
      </c>
      <c r="D283" s="365" t="s">
        <v>1195</v>
      </c>
      <c r="E283" s="368">
        <v>45611</v>
      </c>
      <c r="F283" s="369">
        <v>0</v>
      </c>
      <c r="G283" s="368">
        <v>45611</v>
      </c>
      <c r="H283" s="370">
        <v>45611.37228009259</v>
      </c>
      <c r="I283" s="365" t="s">
        <v>1035</v>
      </c>
    </row>
    <row r="284" spans="1:9" s="365" customFormat="1" hidden="1">
      <c r="A284" s="365" t="s">
        <v>1182</v>
      </c>
      <c r="B284" s="365" t="s">
        <v>5302</v>
      </c>
      <c r="C284" s="365" t="s">
        <v>1194</v>
      </c>
      <c r="D284" s="365" t="s">
        <v>1195</v>
      </c>
      <c r="E284" s="368">
        <v>45611</v>
      </c>
      <c r="F284" s="369">
        <v>0</v>
      </c>
      <c r="G284" s="368">
        <v>45611</v>
      </c>
      <c r="H284" s="370">
        <v>45611.391377314816</v>
      </c>
      <c r="I284" s="365" t="s">
        <v>5125</v>
      </c>
    </row>
    <row r="285" spans="1:9" s="365" customFormat="1" hidden="1">
      <c r="A285" s="365" t="s">
        <v>1182</v>
      </c>
      <c r="B285" s="365" t="s">
        <v>5303</v>
      </c>
      <c r="C285" s="365" t="s">
        <v>1194</v>
      </c>
      <c r="D285" s="365" t="s">
        <v>1195</v>
      </c>
      <c r="E285" s="368">
        <v>45615</v>
      </c>
      <c r="F285" s="369">
        <v>0</v>
      </c>
      <c r="G285" s="368">
        <v>45615</v>
      </c>
      <c r="H285" s="370">
        <v>45615.41097222222</v>
      </c>
      <c r="I285" s="365" t="s">
        <v>1067</v>
      </c>
    </row>
    <row r="286" spans="1:9" s="365" customFormat="1" hidden="1">
      <c r="A286" s="365" t="s">
        <v>1182</v>
      </c>
      <c r="B286" s="365" t="s">
        <v>5304</v>
      </c>
      <c r="C286" s="365" t="s">
        <v>1194</v>
      </c>
      <c r="D286" s="365" t="s">
        <v>1195</v>
      </c>
      <c r="E286" s="368">
        <v>45616</v>
      </c>
      <c r="F286" s="369">
        <v>0</v>
      </c>
      <c r="G286" s="368">
        <v>45616</v>
      </c>
      <c r="H286" s="370">
        <v>45616.308506944442</v>
      </c>
      <c r="I286" s="365" t="s">
        <v>5090</v>
      </c>
    </row>
    <row r="287" spans="1:9" s="365" customFormat="1" hidden="1">
      <c r="A287" s="365" t="s">
        <v>1182</v>
      </c>
      <c r="B287" s="365" t="s">
        <v>5305</v>
      </c>
      <c r="C287" s="365" t="s">
        <v>1194</v>
      </c>
      <c r="D287" s="365" t="s">
        <v>1195</v>
      </c>
      <c r="E287" s="368">
        <v>45609</v>
      </c>
      <c r="F287" s="369">
        <v>0</v>
      </c>
      <c r="G287" s="368">
        <v>45609</v>
      </c>
      <c r="H287" s="370">
        <v>45609.363842592589</v>
      </c>
      <c r="I287" s="365" t="s">
        <v>1030</v>
      </c>
    </row>
    <row r="288" spans="1:9" s="365" customFormat="1">
      <c r="A288" s="365" t="s">
        <v>1000</v>
      </c>
      <c r="B288" s="365" t="s">
        <v>5306</v>
      </c>
      <c r="C288" s="365" t="s">
        <v>968</v>
      </c>
      <c r="D288" s="365" t="s">
        <v>173</v>
      </c>
      <c r="E288" s="368">
        <v>45611</v>
      </c>
      <c r="F288" s="369">
        <v>500000</v>
      </c>
      <c r="G288" s="368">
        <v>45611</v>
      </c>
      <c r="H288" s="370">
        <v>45611.472268518519</v>
      </c>
      <c r="I288" s="365" t="s">
        <v>999</v>
      </c>
    </row>
    <row r="289" spans="1:9" s="365" customFormat="1" hidden="1">
      <c r="A289" s="365" t="s">
        <v>1182</v>
      </c>
      <c r="B289" s="365" t="s">
        <v>5307</v>
      </c>
      <c r="C289" s="365" t="s">
        <v>1194</v>
      </c>
      <c r="D289" s="365" t="s">
        <v>1195</v>
      </c>
      <c r="E289" s="368">
        <v>45614</v>
      </c>
      <c r="F289" s="369">
        <v>0</v>
      </c>
      <c r="G289" s="368">
        <v>45614</v>
      </c>
      <c r="H289" s="370">
        <v>45614.400289351855</v>
      </c>
      <c r="I289" s="365" t="s">
        <v>1204</v>
      </c>
    </row>
    <row r="290" spans="1:9" s="365" customFormat="1" hidden="1">
      <c r="A290" s="365" t="s">
        <v>1182</v>
      </c>
      <c r="B290" s="365" t="s">
        <v>5308</v>
      </c>
      <c r="C290" s="365" t="s">
        <v>1194</v>
      </c>
      <c r="D290" s="365" t="s">
        <v>1195</v>
      </c>
      <c r="E290" s="368">
        <v>45607</v>
      </c>
      <c r="F290" s="369">
        <v>0</v>
      </c>
      <c r="G290" s="368">
        <v>45607</v>
      </c>
      <c r="H290" s="370">
        <v>45607.610937500001</v>
      </c>
      <c r="I290" s="365" t="s">
        <v>990</v>
      </c>
    </row>
    <row r="291" spans="1:9" s="365" customFormat="1" hidden="1">
      <c r="A291" s="365" t="s">
        <v>1182</v>
      </c>
      <c r="B291" s="365" t="s">
        <v>5309</v>
      </c>
      <c r="C291" s="365" t="s">
        <v>1194</v>
      </c>
      <c r="D291" s="365" t="s">
        <v>1195</v>
      </c>
      <c r="E291" s="368">
        <v>45615</v>
      </c>
      <c r="F291" s="369">
        <v>0</v>
      </c>
      <c r="G291" s="368">
        <v>45615</v>
      </c>
      <c r="H291" s="370">
        <v>45615.441921296297</v>
      </c>
      <c r="I291" s="365" t="s">
        <v>1198</v>
      </c>
    </row>
    <row r="292" spans="1:9" s="365" customFormat="1" hidden="1">
      <c r="A292" s="365" t="s">
        <v>1182</v>
      </c>
      <c r="B292" s="365" t="s">
        <v>5310</v>
      </c>
      <c r="C292" s="365" t="s">
        <v>1194</v>
      </c>
      <c r="D292" s="365" t="s">
        <v>1195</v>
      </c>
      <c r="E292" s="368">
        <v>45615</v>
      </c>
      <c r="F292" s="369">
        <v>0</v>
      </c>
      <c r="G292" s="368">
        <v>45615</v>
      </c>
      <c r="H292" s="370">
        <v>45615.476539351854</v>
      </c>
      <c r="I292" s="365" t="s">
        <v>5231</v>
      </c>
    </row>
    <row r="293" spans="1:9" s="365" customFormat="1">
      <c r="A293" s="365" t="s">
        <v>1000</v>
      </c>
      <c r="B293" s="365" t="s">
        <v>5311</v>
      </c>
      <c r="C293" s="365" t="s">
        <v>968</v>
      </c>
      <c r="D293" s="365" t="s">
        <v>173</v>
      </c>
      <c r="E293" s="368">
        <v>45614</v>
      </c>
      <c r="F293" s="369">
        <v>0</v>
      </c>
      <c r="G293" s="368">
        <v>45614</v>
      </c>
      <c r="H293" s="370">
        <v>45614.357731481483</v>
      </c>
      <c r="I293" s="365" t="s">
        <v>999</v>
      </c>
    </row>
    <row r="294" spans="1:9" s="365" customFormat="1" hidden="1">
      <c r="A294" s="365" t="s">
        <v>1182</v>
      </c>
      <c r="B294" s="365" t="s">
        <v>5312</v>
      </c>
      <c r="C294" s="365" t="s">
        <v>1194</v>
      </c>
      <c r="D294" s="365" t="s">
        <v>1195</v>
      </c>
      <c r="E294" s="368">
        <v>45607</v>
      </c>
      <c r="F294" s="369">
        <v>0</v>
      </c>
      <c r="G294" s="368">
        <v>45607</v>
      </c>
      <c r="H294" s="370">
        <v>45607.408506944441</v>
      </c>
      <c r="I294" s="365" t="s">
        <v>1034</v>
      </c>
    </row>
    <row r="295" spans="1:9" s="365" customFormat="1" hidden="1">
      <c r="A295" s="365" t="s">
        <v>1182</v>
      </c>
      <c r="B295" s="365" t="s">
        <v>5313</v>
      </c>
      <c r="C295" s="365" t="s">
        <v>1194</v>
      </c>
      <c r="D295" s="365" t="s">
        <v>1195</v>
      </c>
      <c r="E295" s="368">
        <v>45615</v>
      </c>
      <c r="F295" s="369">
        <v>0</v>
      </c>
      <c r="G295" s="368">
        <v>45615</v>
      </c>
      <c r="H295" s="370">
        <v>45615.53266203704</v>
      </c>
      <c r="I295" s="365" t="s">
        <v>5314</v>
      </c>
    </row>
    <row r="296" spans="1:9" s="365" customFormat="1" hidden="1">
      <c r="A296" s="365" t="s">
        <v>1182</v>
      </c>
      <c r="B296" s="365" t="s">
        <v>5315</v>
      </c>
      <c r="C296" s="365" t="s">
        <v>1194</v>
      </c>
      <c r="D296" s="365" t="s">
        <v>1195</v>
      </c>
      <c r="E296" s="368">
        <v>45607</v>
      </c>
      <c r="F296" s="369">
        <v>0</v>
      </c>
      <c r="G296" s="368">
        <v>45607</v>
      </c>
      <c r="H296" s="370">
        <v>45607.699537037035</v>
      </c>
      <c r="I296" s="365" t="s">
        <v>990</v>
      </c>
    </row>
    <row r="297" spans="1:9" s="365" customFormat="1" hidden="1">
      <c r="A297" s="365" t="s">
        <v>1182</v>
      </c>
      <c r="B297" s="365" t="s">
        <v>5316</v>
      </c>
      <c r="C297" s="365" t="s">
        <v>1194</v>
      </c>
      <c r="D297" s="365" t="s">
        <v>1195</v>
      </c>
      <c r="E297" s="368">
        <v>45614</v>
      </c>
      <c r="F297" s="369">
        <v>0</v>
      </c>
      <c r="G297" s="368">
        <v>45614</v>
      </c>
      <c r="H297" s="370">
        <v>45614.684074074074</v>
      </c>
      <c r="I297" s="365" t="s">
        <v>1037</v>
      </c>
    </row>
    <row r="298" spans="1:9" s="365" customFormat="1" hidden="1">
      <c r="A298" s="365" t="s">
        <v>1182</v>
      </c>
      <c r="B298" s="365" t="s">
        <v>5317</v>
      </c>
      <c r="C298" s="365" t="s">
        <v>1194</v>
      </c>
      <c r="D298" s="365" t="s">
        <v>1195</v>
      </c>
      <c r="E298" s="368">
        <v>45615</v>
      </c>
      <c r="F298" s="369">
        <v>0</v>
      </c>
      <c r="G298" s="368">
        <v>45615</v>
      </c>
      <c r="H298" s="370">
        <v>45615.628263888888</v>
      </c>
      <c r="I298" s="365" t="s">
        <v>5090</v>
      </c>
    </row>
    <row r="299" spans="1:9" s="365" customFormat="1" hidden="1">
      <c r="A299" s="365" t="s">
        <v>1182</v>
      </c>
      <c r="B299" s="365" t="s">
        <v>5318</v>
      </c>
      <c r="C299" s="365" t="s">
        <v>1194</v>
      </c>
      <c r="D299" s="365" t="s">
        <v>1195</v>
      </c>
      <c r="E299" s="368">
        <v>45610</v>
      </c>
      <c r="F299" s="369">
        <v>0</v>
      </c>
      <c r="G299" s="368">
        <v>45610</v>
      </c>
      <c r="H299" s="370">
        <v>45610.526736111111</v>
      </c>
      <c r="I299" s="365" t="s">
        <v>5319</v>
      </c>
    </row>
    <row r="300" spans="1:9" s="365" customFormat="1" hidden="1">
      <c r="A300" s="365" t="s">
        <v>1182</v>
      </c>
      <c r="B300" s="365" t="s">
        <v>5320</v>
      </c>
      <c r="C300" s="365" t="s">
        <v>1194</v>
      </c>
      <c r="D300" s="365" t="s">
        <v>1195</v>
      </c>
      <c r="E300" s="368">
        <v>45615</v>
      </c>
      <c r="F300" s="369">
        <v>0</v>
      </c>
      <c r="G300" s="368">
        <v>45615</v>
      </c>
      <c r="H300" s="370">
        <v>45615.659513888888</v>
      </c>
      <c r="I300" s="365" t="s">
        <v>5321</v>
      </c>
    </row>
    <row r="301" spans="1:9" s="365" customFormat="1" hidden="1">
      <c r="A301" s="365" t="s">
        <v>1182</v>
      </c>
      <c r="B301" s="365" t="s">
        <v>5322</v>
      </c>
      <c r="C301" s="365" t="s">
        <v>1194</v>
      </c>
      <c r="D301" s="365" t="s">
        <v>1195</v>
      </c>
      <c r="E301" s="368">
        <v>45611</v>
      </c>
      <c r="F301" s="369">
        <v>0</v>
      </c>
      <c r="G301" s="368">
        <v>45611</v>
      </c>
      <c r="H301" s="370">
        <v>45611.654224537036</v>
      </c>
      <c r="I301" s="365" t="s">
        <v>1205</v>
      </c>
    </row>
    <row r="302" spans="1:9" s="365" customFormat="1" hidden="1">
      <c r="A302" s="365" t="s">
        <v>1182</v>
      </c>
      <c r="B302" s="365" t="s">
        <v>5323</v>
      </c>
      <c r="C302" s="365" t="s">
        <v>1194</v>
      </c>
      <c r="D302" s="365" t="s">
        <v>1195</v>
      </c>
      <c r="E302" s="368">
        <v>45607</v>
      </c>
      <c r="F302" s="369">
        <v>0</v>
      </c>
      <c r="G302" s="368">
        <v>45607</v>
      </c>
      <c r="H302" s="370">
        <v>45607.722777777781</v>
      </c>
      <c r="I302" s="365" t="s">
        <v>990</v>
      </c>
    </row>
    <row r="303" spans="1:9" s="365" customFormat="1">
      <c r="A303" s="365" t="s">
        <v>1000</v>
      </c>
      <c r="B303" s="365" t="s">
        <v>5324</v>
      </c>
      <c r="C303" s="365" t="s">
        <v>968</v>
      </c>
      <c r="D303" s="365" t="s">
        <v>173</v>
      </c>
      <c r="E303" s="368">
        <v>45614</v>
      </c>
      <c r="F303" s="369">
        <v>10000000</v>
      </c>
      <c r="G303" s="368">
        <v>45614</v>
      </c>
      <c r="H303" s="370">
        <v>45614.703414351854</v>
      </c>
      <c r="I303" s="365" t="s">
        <v>999</v>
      </c>
    </row>
    <row r="304" spans="1:9" s="365" customFormat="1" hidden="1">
      <c r="A304" s="365" t="s">
        <v>1182</v>
      </c>
      <c r="B304" s="365" t="s">
        <v>5325</v>
      </c>
      <c r="C304" s="365" t="s">
        <v>1194</v>
      </c>
      <c r="D304" s="365" t="s">
        <v>1195</v>
      </c>
      <c r="E304" s="368">
        <v>45614</v>
      </c>
      <c r="F304" s="369">
        <v>0</v>
      </c>
      <c r="G304" s="368">
        <v>45614</v>
      </c>
      <c r="H304" s="370">
        <v>45614.707384259258</v>
      </c>
      <c r="I304" s="365" t="s">
        <v>1198</v>
      </c>
    </row>
    <row r="305" spans="1:9" s="365" customFormat="1" hidden="1">
      <c r="A305" s="365" t="s">
        <v>1182</v>
      </c>
      <c r="B305" s="365" t="s">
        <v>5326</v>
      </c>
      <c r="C305" s="365" t="s">
        <v>1194</v>
      </c>
      <c r="D305" s="365" t="s">
        <v>1195</v>
      </c>
      <c r="E305" s="368">
        <v>45608</v>
      </c>
      <c r="F305" s="369">
        <v>0</v>
      </c>
      <c r="G305" s="368">
        <v>45608</v>
      </c>
      <c r="H305" s="370">
        <v>45608.408483796295</v>
      </c>
      <c r="I305" s="365" t="s">
        <v>5131</v>
      </c>
    </row>
    <row r="306" spans="1:9" s="365" customFormat="1" hidden="1">
      <c r="A306" s="365" t="s">
        <v>1182</v>
      </c>
      <c r="B306" s="365" t="s">
        <v>5327</v>
      </c>
      <c r="C306" s="365" t="s">
        <v>1194</v>
      </c>
      <c r="D306" s="365" t="s">
        <v>1195</v>
      </c>
      <c r="E306" s="368">
        <v>45608</v>
      </c>
      <c r="F306" s="369">
        <v>0</v>
      </c>
      <c r="G306" s="368">
        <v>45608</v>
      </c>
      <c r="H306" s="370">
        <v>45608.438263888886</v>
      </c>
      <c r="I306" s="365" t="s">
        <v>5073</v>
      </c>
    </row>
    <row r="307" spans="1:9" s="365" customFormat="1">
      <c r="A307" s="365" t="s">
        <v>1000</v>
      </c>
      <c r="B307" s="365" t="s">
        <v>5328</v>
      </c>
      <c r="C307" s="365" t="s">
        <v>962</v>
      </c>
      <c r="D307" s="365" t="s">
        <v>307</v>
      </c>
      <c r="E307" s="368">
        <v>45610</v>
      </c>
      <c r="F307" s="369">
        <v>30000000</v>
      </c>
      <c r="G307" s="368">
        <v>45610</v>
      </c>
      <c r="H307" s="370">
        <v>45610.68414351852</v>
      </c>
      <c r="I307" s="365" t="s">
        <v>999</v>
      </c>
    </row>
    <row r="308" spans="1:9" s="365" customFormat="1" hidden="1">
      <c r="A308" s="365" t="s">
        <v>1182</v>
      </c>
      <c r="B308" s="365" t="s">
        <v>5329</v>
      </c>
      <c r="C308" s="365" t="s">
        <v>1194</v>
      </c>
      <c r="D308" s="365" t="s">
        <v>1195</v>
      </c>
      <c r="E308" s="368">
        <v>45612</v>
      </c>
      <c r="F308" s="369">
        <v>0</v>
      </c>
      <c r="G308" s="368">
        <v>45612</v>
      </c>
      <c r="H308" s="370">
        <v>45612.438634259262</v>
      </c>
      <c r="I308" s="365" t="s">
        <v>1208</v>
      </c>
    </row>
    <row r="309" spans="1:9" s="365" customFormat="1" hidden="1">
      <c r="A309" s="365" t="s">
        <v>1182</v>
      </c>
      <c r="B309" s="365" t="s">
        <v>5330</v>
      </c>
      <c r="C309" s="365" t="s">
        <v>1194</v>
      </c>
      <c r="D309" s="365" t="s">
        <v>1195</v>
      </c>
      <c r="E309" s="368">
        <v>45612</v>
      </c>
      <c r="F309" s="369">
        <v>0</v>
      </c>
      <c r="G309" s="368">
        <v>45612</v>
      </c>
      <c r="H309" s="370">
        <v>45612.441851851851</v>
      </c>
      <c r="I309" s="365" t="s">
        <v>1208</v>
      </c>
    </row>
    <row r="310" spans="1:9" s="365" customFormat="1" hidden="1">
      <c r="A310" s="365" t="s">
        <v>1182</v>
      </c>
      <c r="B310" s="365" t="s">
        <v>5331</v>
      </c>
      <c r="C310" s="365" t="s">
        <v>1194</v>
      </c>
      <c r="D310" s="365" t="s">
        <v>1195</v>
      </c>
      <c r="E310" s="368">
        <v>45608</v>
      </c>
      <c r="F310" s="369">
        <v>0</v>
      </c>
      <c r="G310" s="368">
        <v>45608</v>
      </c>
      <c r="H310" s="370">
        <v>45608.6565162037</v>
      </c>
      <c r="I310" s="365" t="s">
        <v>1048</v>
      </c>
    </row>
    <row r="311" spans="1:9" s="365" customFormat="1" hidden="1">
      <c r="A311" s="365" t="s">
        <v>1182</v>
      </c>
      <c r="B311" s="365" t="s">
        <v>5332</v>
      </c>
      <c r="C311" s="365" t="s">
        <v>1194</v>
      </c>
      <c r="D311" s="365" t="s">
        <v>1195</v>
      </c>
      <c r="E311" s="368">
        <v>45616</v>
      </c>
      <c r="F311" s="369">
        <v>0</v>
      </c>
      <c r="G311" s="368">
        <v>45616</v>
      </c>
      <c r="H311" s="370">
        <v>45616.454479166663</v>
      </c>
      <c r="I311" s="365" t="s">
        <v>1200</v>
      </c>
    </row>
    <row r="312" spans="1:9" s="365" customFormat="1" hidden="1">
      <c r="A312" s="365" t="s">
        <v>1182</v>
      </c>
      <c r="B312" s="365" t="s">
        <v>5333</v>
      </c>
      <c r="C312" s="365" t="s">
        <v>1194</v>
      </c>
      <c r="D312" s="365" t="s">
        <v>1195</v>
      </c>
      <c r="E312" s="368">
        <v>45616</v>
      </c>
      <c r="F312" s="369">
        <v>0</v>
      </c>
      <c r="G312" s="368">
        <v>45616</v>
      </c>
      <c r="H312" s="370">
        <v>45616.589988425927</v>
      </c>
      <c r="I312" s="365" t="s">
        <v>1029</v>
      </c>
    </row>
    <row r="313" spans="1:9" s="365" customFormat="1" hidden="1">
      <c r="A313" s="365" t="s">
        <v>1182</v>
      </c>
      <c r="B313" s="365" t="s">
        <v>5334</v>
      </c>
      <c r="C313" s="365" t="s">
        <v>1194</v>
      </c>
      <c r="D313" s="365" t="s">
        <v>1195</v>
      </c>
      <c r="E313" s="368">
        <v>45612</v>
      </c>
      <c r="F313" s="369">
        <v>0</v>
      </c>
      <c r="G313" s="368">
        <v>45612</v>
      </c>
      <c r="H313" s="370">
        <v>45612.423217592594</v>
      </c>
      <c r="I313" s="365" t="s">
        <v>1205</v>
      </c>
    </row>
    <row r="314" spans="1:9" s="365" customFormat="1">
      <c r="A314" s="365" t="s">
        <v>1000</v>
      </c>
      <c r="B314" s="365" t="s">
        <v>5335</v>
      </c>
      <c r="C314" s="365" t="s">
        <v>5336</v>
      </c>
      <c r="D314" s="365" t="s">
        <v>5337</v>
      </c>
      <c r="E314" s="368">
        <v>45608</v>
      </c>
      <c r="F314" s="369">
        <v>100000</v>
      </c>
      <c r="G314" s="368">
        <v>45608</v>
      </c>
      <c r="H314" s="370">
        <v>45608.484039351853</v>
      </c>
      <c r="I314" s="365" t="s">
        <v>999</v>
      </c>
    </row>
    <row r="315" spans="1:9" s="365" customFormat="1">
      <c r="A315" s="365" t="s">
        <v>1000</v>
      </c>
      <c r="B315" s="365" t="s">
        <v>5338</v>
      </c>
      <c r="C315" s="365" t="s">
        <v>964</v>
      </c>
      <c r="D315" s="365" t="s">
        <v>97</v>
      </c>
      <c r="E315" s="368">
        <v>45608</v>
      </c>
      <c r="F315" s="369">
        <v>880000</v>
      </c>
      <c r="G315" s="368">
        <v>45608</v>
      </c>
      <c r="H315" s="370">
        <v>45608.485543981478</v>
      </c>
      <c r="I315" s="365" t="s">
        <v>999</v>
      </c>
    </row>
    <row r="316" spans="1:9" s="365" customFormat="1" hidden="1">
      <c r="A316" s="365" t="s">
        <v>1182</v>
      </c>
      <c r="B316" s="365" t="s">
        <v>5339</v>
      </c>
      <c r="C316" s="365" t="s">
        <v>1194</v>
      </c>
      <c r="D316" s="365" t="s">
        <v>1195</v>
      </c>
      <c r="E316" s="368">
        <v>45614</v>
      </c>
      <c r="F316" s="369">
        <v>0</v>
      </c>
      <c r="G316" s="368">
        <v>45614</v>
      </c>
      <c r="H316" s="370">
        <v>45614.322245370371</v>
      </c>
      <c r="I316" s="365" t="s">
        <v>1066</v>
      </c>
    </row>
    <row r="317" spans="1:9" s="365" customFormat="1" hidden="1">
      <c r="A317" s="365" t="s">
        <v>1182</v>
      </c>
      <c r="B317" s="365" t="s">
        <v>5340</v>
      </c>
      <c r="C317" s="365" t="s">
        <v>1194</v>
      </c>
      <c r="D317" s="365" t="s">
        <v>1195</v>
      </c>
      <c r="E317" s="368">
        <v>45608</v>
      </c>
      <c r="F317" s="369">
        <v>0</v>
      </c>
      <c r="G317" s="368">
        <v>45608</v>
      </c>
      <c r="H317" s="370">
        <v>45608.617349537039</v>
      </c>
      <c r="I317" s="365" t="s">
        <v>1205</v>
      </c>
    </row>
    <row r="318" spans="1:9" s="365" customFormat="1" hidden="1">
      <c r="A318" s="365" t="s">
        <v>1182</v>
      </c>
      <c r="B318" s="365" t="s">
        <v>5341</v>
      </c>
      <c r="C318" s="365" t="s">
        <v>1194</v>
      </c>
      <c r="D318" s="365" t="s">
        <v>1195</v>
      </c>
      <c r="E318" s="368">
        <v>45608</v>
      </c>
      <c r="F318" s="369">
        <v>0</v>
      </c>
      <c r="G318" s="368">
        <v>45608</v>
      </c>
      <c r="H318" s="370">
        <v>45608.369606481479</v>
      </c>
      <c r="I318" s="365" t="s">
        <v>977</v>
      </c>
    </row>
    <row r="319" spans="1:9" s="365" customFormat="1" hidden="1">
      <c r="A319" s="365" t="s">
        <v>1182</v>
      </c>
      <c r="B319" s="365" t="s">
        <v>5342</v>
      </c>
      <c r="C319" s="365" t="s">
        <v>1194</v>
      </c>
      <c r="D319" s="365" t="s">
        <v>1195</v>
      </c>
      <c r="E319" s="368">
        <v>45608</v>
      </c>
      <c r="F319" s="369">
        <v>0</v>
      </c>
      <c r="G319" s="368">
        <v>45608</v>
      </c>
      <c r="H319" s="370">
        <v>45608.375833333332</v>
      </c>
      <c r="I319" s="365" t="s">
        <v>977</v>
      </c>
    </row>
    <row r="320" spans="1:9" s="365" customFormat="1" hidden="1">
      <c r="A320" s="365" t="s">
        <v>1182</v>
      </c>
      <c r="B320" s="365" t="s">
        <v>5343</v>
      </c>
      <c r="C320" s="365" t="s">
        <v>1194</v>
      </c>
      <c r="D320" s="365" t="s">
        <v>1195</v>
      </c>
      <c r="E320" s="368">
        <v>45611</v>
      </c>
      <c r="F320" s="369">
        <v>0</v>
      </c>
      <c r="G320" s="368">
        <v>45611</v>
      </c>
      <c r="H320" s="370">
        <v>45611.325798611113</v>
      </c>
      <c r="I320" s="365" t="s">
        <v>1030</v>
      </c>
    </row>
    <row r="321" spans="1:9" s="365" customFormat="1" hidden="1">
      <c r="A321" s="365" t="s">
        <v>1182</v>
      </c>
      <c r="B321" s="365" t="s">
        <v>5344</v>
      </c>
      <c r="C321" s="365" t="s">
        <v>1194</v>
      </c>
      <c r="D321" s="365" t="s">
        <v>1195</v>
      </c>
      <c r="E321" s="368">
        <v>45605</v>
      </c>
      <c r="F321" s="369">
        <v>0</v>
      </c>
      <c r="G321" s="368">
        <v>45605</v>
      </c>
      <c r="H321" s="370">
        <v>45605.616956018515</v>
      </c>
      <c r="I321" s="365" t="s">
        <v>977</v>
      </c>
    </row>
    <row r="322" spans="1:9" s="365" customFormat="1" hidden="1">
      <c r="A322" s="365" t="s">
        <v>1182</v>
      </c>
      <c r="B322" s="365" t="s">
        <v>5345</v>
      </c>
      <c r="C322" s="365" t="s">
        <v>1194</v>
      </c>
      <c r="D322" s="365" t="s">
        <v>1195</v>
      </c>
      <c r="E322" s="368">
        <v>45605</v>
      </c>
      <c r="F322" s="369">
        <v>0</v>
      </c>
      <c r="G322" s="368">
        <v>45605</v>
      </c>
      <c r="H322" s="370">
        <v>45605.419664351852</v>
      </c>
      <c r="I322" s="365" t="s">
        <v>1196</v>
      </c>
    </row>
    <row r="323" spans="1:9" s="365" customFormat="1" hidden="1">
      <c r="A323" s="365" t="s">
        <v>1182</v>
      </c>
      <c r="B323" s="365" t="s">
        <v>5346</v>
      </c>
      <c r="C323" s="365" t="s">
        <v>1194</v>
      </c>
      <c r="D323" s="365" t="s">
        <v>1195</v>
      </c>
      <c r="E323" s="368">
        <v>45605</v>
      </c>
      <c r="F323" s="369">
        <v>0</v>
      </c>
      <c r="G323" s="368">
        <v>45605</v>
      </c>
      <c r="H323" s="370">
        <v>45605.651018518518</v>
      </c>
      <c r="I323" s="365" t="s">
        <v>977</v>
      </c>
    </row>
    <row r="324" spans="1:9" s="365" customFormat="1" hidden="1">
      <c r="A324" s="365" t="s">
        <v>1182</v>
      </c>
      <c r="B324" s="365" t="s">
        <v>5347</v>
      </c>
      <c r="C324" s="365" t="s">
        <v>1194</v>
      </c>
      <c r="D324" s="365" t="s">
        <v>1195</v>
      </c>
      <c r="E324" s="368">
        <v>45609</v>
      </c>
      <c r="F324" s="369">
        <v>0</v>
      </c>
      <c r="G324" s="368">
        <v>45609</v>
      </c>
      <c r="H324" s="370">
        <v>45609.404224537036</v>
      </c>
      <c r="I324" s="365" t="s">
        <v>990</v>
      </c>
    </row>
    <row r="325" spans="1:9" s="365" customFormat="1" hidden="1">
      <c r="A325" s="365" t="s">
        <v>1182</v>
      </c>
      <c r="B325" s="365" t="s">
        <v>5348</v>
      </c>
      <c r="C325" s="365" t="s">
        <v>1194</v>
      </c>
      <c r="D325" s="365" t="s">
        <v>1195</v>
      </c>
      <c r="E325" s="368">
        <v>45608</v>
      </c>
      <c r="F325" s="369">
        <v>0</v>
      </c>
      <c r="G325" s="368">
        <v>45608</v>
      </c>
      <c r="H325" s="370">
        <v>45608.667997685188</v>
      </c>
      <c r="I325" s="365" t="s">
        <v>977</v>
      </c>
    </row>
    <row r="326" spans="1:9" s="365" customFormat="1" hidden="1">
      <c r="A326" s="365" t="s">
        <v>1182</v>
      </c>
      <c r="B326" s="365" t="s">
        <v>5349</v>
      </c>
      <c r="C326" s="365" t="s">
        <v>1194</v>
      </c>
      <c r="D326" s="365" t="s">
        <v>1195</v>
      </c>
      <c r="E326" s="368">
        <v>45608</v>
      </c>
      <c r="F326" s="369">
        <v>0</v>
      </c>
      <c r="G326" s="368">
        <v>45608</v>
      </c>
      <c r="H326" s="370">
        <v>45608.671469907407</v>
      </c>
      <c r="I326" s="365" t="s">
        <v>977</v>
      </c>
    </row>
    <row r="327" spans="1:9" s="365" customFormat="1">
      <c r="A327" s="365" t="s">
        <v>1000</v>
      </c>
      <c r="B327" s="365" t="s">
        <v>5350</v>
      </c>
      <c r="C327" s="365" t="s">
        <v>964</v>
      </c>
      <c r="D327" s="365" t="s">
        <v>97</v>
      </c>
      <c r="E327" s="368">
        <v>45608</v>
      </c>
      <c r="F327" s="369">
        <v>4000000</v>
      </c>
      <c r="G327" s="368">
        <v>45608</v>
      </c>
      <c r="H327" s="370">
        <v>45608.748819444445</v>
      </c>
      <c r="I327" s="365" t="s">
        <v>999</v>
      </c>
    </row>
    <row r="328" spans="1:9" s="365" customFormat="1" hidden="1">
      <c r="A328" s="365" t="s">
        <v>1182</v>
      </c>
      <c r="B328" s="365" t="s">
        <v>5351</v>
      </c>
      <c r="C328" s="365" t="s">
        <v>1194</v>
      </c>
      <c r="D328" s="365" t="s">
        <v>1195</v>
      </c>
      <c r="E328" s="368">
        <v>45610</v>
      </c>
      <c r="F328" s="369">
        <v>0</v>
      </c>
      <c r="G328" s="368">
        <v>45610</v>
      </c>
      <c r="H328" s="370">
        <v>45610.39340277778</v>
      </c>
      <c r="I328" s="365" t="s">
        <v>1201</v>
      </c>
    </row>
    <row r="329" spans="1:9" s="365" customFormat="1" hidden="1">
      <c r="A329" s="365" t="s">
        <v>1182</v>
      </c>
      <c r="B329" s="365" t="s">
        <v>5352</v>
      </c>
      <c r="C329" s="365" t="s">
        <v>1194</v>
      </c>
      <c r="D329" s="365" t="s">
        <v>1195</v>
      </c>
      <c r="E329" s="368">
        <v>45614</v>
      </c>
      <c r="F329" s="369">
        <v>0</v>
      </c>
      <c r="G329" s="368">
        <v>45614</v>
      </c>
      <c r="H329" s="370">
        <v>45614.315162037034</v>
      </c>
      <c r="I329" s="365" t="s">
        <v>5223</v>
      </c>
    </row>
    <row r="330" spans="1:9" s="365" customFormat="1" hidden="1">
      <c r="A330" s="365" t="s">
        <v>1182</v>
      </c>
      <c r="B330" s="365" t="s">
        <v>5353</v>
      </c>
      <c r="C330" s="365" t="s">
        <v>1194</v>
      </c>
      <c r="D330" s="365" t="s">
        <v>1195</v>
      </c>
      <c r="E330" s="368">
        <v>45607</v>
      </c>
      <c r="F330" s="369">
        <v>0</v>
      </c>
      <c r="G330" s="368">
        <v>45607</v>
      </c>
      <c r="H330" s="370">
        <v>45607.37877314815</v>
      </c>
      <c r="I330" s="365" t="s">
        <v>1030</v>
      </c>
    </row>
    <row r="331" spans="1:9" s="365" customFormat="1" hidden="1">
      <c r="A331" s="365" t="s">
        <v>1182</v>
      </c>
      <c r="B331" s="365" t="s">
        <v>5354</v>
      </c>
      <c r="C331" s="365" t="s">
        <v>1194</v>
      </c>
      <c r="D331" s="365" t="s">
        <v>1195</v>
      </c>
      <c r="E331" s="368">
        <v>45615</v>
      </c>
      <c r="F331" s="369">
        <v>0</v>
      </c>
      <c r="G331" s="368">
        <v>45615</v>
      </c>
      <c r="H331" s="370">
        <v>45615.447638888887</v>
      </c>
      <c r="I331" s="365" t="s">
        <v>5223</v>
      </c>
    </row>
    <row r="332" spans="1:9" s="365" customFormat="1" hidden="1">
      <c r="A332" s="365" t="s">
        <v>1182</v>
      </c>
      <c r="B332" s="365" t="s">
        <v>5355</v>
      </c>
      <c r="C332" s="365" t="s">
        <v>1194</v>
      </c>
      <c r="D332" s="365" t="s">
        <v>1195</v>
      </c>
      <c r="E332" s="368">
        <v>45610</v>
      </c>
      <c r="F332" s="369">
        <v>0</v>
      </c>
      <c r="G332" s="368">
        <v>45610</v>
      </c>
      <c r="H332" s="370">
        <v>45610.446909722225</v>
      </c>
      <c r="I332" s="365" t="s">
        <v>1051</v>
      </c>
    </row>
    <row r="333" spans="1:9" s="365" customFormat="1" hidden="1">
      <c r="A333" s="365" t="s">
        <v>1182</v>
      </c>
      <c r="B333" s="365" t="s">
        <v>5356</v>
      </c>
      <c r="C333" s="365" t="s">
        <v>1194</v>
      </c>
      <c r="D333" s="365" t="s">
        <v>1195</v>
      </c>
      <c r="E333" s="368">
        <v>45611</v>
      </c>
      <c r="F333" s="369">
        <v>0</v>
      </c>
      <c r="G333" s="368">
        <v>45611</v>
      </c>
      <c r="H333" s="370">
        <v>45611.608032407406</v>
      </c>
      <c r="I333" s="365" t="s">
        <v>1043</v>
      </c>
    </row>
    <row r="334" spans="1:9" s="365" customFormat="1" hidden="1">
      <c r="A334" s="365" t="s">
        <v>1182</v>
      </c>
      <c r="B334" s="365" t="s">
        <v>5357</v>
      </c>
      <c r="C334" s="365" t="s">
        <v>1194</v>
      </c>
      <c r="D334" s="365" t="s">
        <v>1195</v>
      </c>
      <c r="E334" s="368">
        <v>45614</v>
      </c>
      <c r="F334" s="369">
        <v>0</v>
      </c>
      <c r="G334" s="368">
        <v>45614</v>
      </c>
      <c r="H334" s="370">
        <v>45614.395069444443</v>
      </c>
      <c r="I334" s="365" t="s">
        <v>5142</v>
      </c>
    </row>
    <row r="335" spans="1:9" s="365" customFormat="1" hidden="1">
      <c r="A335" s="365" t="s">
        <v>1182</v>
      </c>
      <c r="B335" s="365" t="s">
        <v>5358</v>
      </c>
      <c r="C335" s="365" t="s">
        <v>1194</v>
      </c>
      <c r="D335" s="365" t="s">
        <v>1195</v>
      </c>
      <c r="E335" s="368">
        <v>45608</v>
      </c>
      <c r="F335" s="369">
        <v>0</v>
      </c>
      <c r="G335" s="368">
        <v>45608</v>
      </c>
      <c r="H335" s="370">
        <v>45608.446076388886</v>
      </c>
      <c r="I335" s="365" t="s">
        <v>1205</v>
      </c>
    </row>
    <row r="336" spans="1:9" s="365" customFormat="1" hidden="1">
      <c r="A336" s="365" t="s">
        <v>1182</v>
      </c>
      <c r="B336" s="365" t="s">
        <v>5359</v>
      </c>
      <c r="C336" s="365" t="s">
        <v>1194</v>
      </c>
      <c r="D336" s="365" t="s">
        <v>1195</v>
      </c>
      <c r="E336" s="368">
        <v>45609</v>
      </c>
      <c r="F336" s="369">
        <v>0</v>
      </c>
      <c r="G336" s="368">
        <v>45609</v>
      </c>
      <c r="H336" s="370">
        <v>45609.664768518516</v>
      </c>
      <c r="I336" s="365" t="s">
        <v>5148</v>
      </c>
    </row>
    <row r="337" spans="1:9" s="365" customFormat="1" hidden="1">
      <c r="A337" s="365" t="s">
        <v>1182</v>
      </c>
      <c r="B337" s="365" t="s">
        <v>5360</v>
      </c>
      <c r="C337" s="365" t="s">
        <v>1194</v>
      </c>
      <c r="D337" s="365" t="s">
        <v>1195</v>
      </c>
      <c r="E337" s="368">
        <v>45615</v>
      </c>
      <c r="F337" s="369">
        <v>0</v>
      </c>
      <c r="G337" s="368">
        <v>45615</v>
      </c>
      <c r="H337" s="370">
        <v>45615.596435185187</v>
      </c>
      <c r="I337" s="365" t="s">
        <v>5125</v>
      </c>
    </row>
    <row r="338" spans="1:9" s="365" customFormat="1" hidden="1">
      <c r="A338" s="365" t="s">
        <v>1182</v>
      </c>
      <c r="B338" s="365" t="s">
        <v>5361</v>
      </c>
      <c r="C338" s="365" t="s">
        <v>1194</v>
      </c>
      <c r="D338" s="365" t="s">
        <v>1195</v>
      </c>
      <c r="E338" s="368">
        <v>45609</v>
      </c>
      <c r="F338" s="369">
        <v>0</v>
      </c>
      <c r="G338" s="368">
        <v>45609</v>
      </c>
      <c r="H338" s="370">
        <v>45609.601446759261</v>
      </c>
      <c r="I338" s="365" t="s">
        <v>5142</v>
      </c>
    </row>
    <row r="339" spans="1:9" s="365" customFormat="1" hidden="1">
      <c r="A339" s="365" t="s">
        <v>1182</v>
      </c>
      <c r="B339" s="365" t="s">
        <v>5362</v>
      </c>
      <c r="C339" s="365" t="s">
        <v>1194</v>
      </c>
      <c r="D339" s="365" t="s">
        <v>1195</v>
      </c>
      <c r="E339" s="368">
        <v>45615</v>
      </c>
      <c r="F339" s="369">
        <v>0</v>
      </c>
      <c r="G339" s="368">
        <v>45615</v>
      </c>
      <c r="H339" s="370">
        <v>45615.370925925927</v>
      </c>
      <c r="I339" s="365" t="s">
        <v>5125</v>
      </c>
    </row>
    <row r="340" spans="1:9" s="365" customFormat="1" hidden="1">
      <c r="A340" s="365" t="s">
        <v>1182</v>
      </c>
      <c r="B340" s="365" t="s">
        <v>5363</v>
      </c>
      <c r="C340" s="365" t="s">
        <v>1194</v>
      </c>
      <c r="D340" s="365" t="s">
        <v>1195</v>
      </c>
      <c r="E340" s="368">
        <v>45607</v>
      </c>
      <c r="F340" s="369">
        <v>0</v>
      </c>
      <c r="G340" s="368">
        <v>45607</v>
      </c>
      <c r="H340" s="370">
        <v>45607.579930555556</v>
      </c>
      <c r="I340" s="365" t="s">
        <v>1034</v>
      </c>
    </row>
    <row r="341" spans="1:9" s="365" customFormat="1" hidden="1">
      <c r="A341" s="365" t="s">
        <v>1182</v>
      </c>
      <c r="B341" s="365" t="s">
        <v>5364</v>
      </c>
      <c r="C341" s="365" t="s">
        <v>1194</v>
      </c>
      <c r="D341" s="365" t="s">
        <v>1195</v>
      </c>
      <c r="E341" s="368">
        <v>45611</v>
      </c>
      <c r="F341" s="369">
        <v>0</v>
      </c>
      <c r="G341" s="368">
        <v>45611</v>
      </c>
      <c r="H341" s="370">
        <v>45611.666412037041</v>
      </c>
      <c r="I341" s="365" t="s">
        <v>990</v>
      </c>
    </row>
    <row r="342" spans="1:9" s="365" customFormat="1" hidden="1">
      <c r="A342" s="365" t="s">
        <v>1182</v>
      </c>
      <c r="B342" s="365" t="s">
        <v>5365</v>
      </c>
      <c r="C342" s="365" t="s">
        <v>1194</v>
      </c>
      <c r="D342" s="365" t="s">
        <v>1195</v>
      </c>
      <c r="E342" s="368">
        <v>45608</v>
      </c>
      <c r="F342" s="369">
        <v>0</v>
      </c>
      <c r="G342" s="368">
        <v>45608</v>
      </c>
      <c r="H342" s="370">
        <v>45608.373831018522</v>
      </c>
      <c r="I342" s="365" t="s">
        <v>1027</v>
      </c>
    </row>
    <row r="343" spans="1:9" s="365" customFormat="1" hidden="1">
      <c r="A343" s="365" t="s">
        <v>1182</v>
      </c>
      <c r="B343" s="365" t="s">
        <v>5366</v>
      </c>
      <c r="C343" s="365" t="s">
        <v>1194</v>
      </c>
      <c r="D343" s="365" t="s">
        <v>1195</v>
      </c>
      <c r="E343" s="368">
        <v>45609</v>
      </c>
      <c r="F343" s="369">
        <v>0</v>
      </c>
      <c r="G343" s="368">
        <v>45609</v>
      </c>
      <c r="H343" s="370">
        <v>45609.53019675926</v>
      </c>
      <c r="I343" s="365" t="s">
        <v>1198</v>
      </c>
    </row>
    <row r="344" spans="1:9" s="365" customFormat="1" hidden="1">
      <c r="A344" s="365" t="s">
        <v>1182</v>
      </c>
      <c r="B344" s="365" t="s">
        <v>5367</v>
      </c>
      <c r="C344" s="365" t="s">
        <v>1194</v>
      </c>
      <c r="D344" s="365" t="s">
        <v>1195</v>
      </c>
      <c r="E344" s="368">
        <v>45612</v>
      </c>
      <c r="F344" s="369">
        <v>0</v>
      </c>
      <c r="G344" s="368">
        <v>45612</v>
      </c>
      <c r="H344" s="370">
        <v>45612.590914351851</v>
      </c>
      <c r="I344" s="365" t="s">
        <v>1048</v>
      </c>
    </row>
    <row r="345" spans="1:9" s="365" customFormat="1">
      <c r="A345" s="365" t="s">
        <v>1000</v>
      </c>
      <c r="B345" s="365" t="s">
        <v>5368</v>
      </c>
      <c r="C345" s="365" t="s">
        <v>965</v>
      </c>
      <c r="D345" s="365" t="s">
        <v>966</v>
      </c>
      <c r="E345" s="368">
        <v>45604</v>
      </c>
      <c r="F345" s="369">
        <v>225000</v>
      </c>
      <c r="G345" s="368">
        <v>45604</v>
      </c>
      <c r="H345" s="370">
        <v>45604.725439814814</v>
      </c>
      <c r="I345" s="365" t="s">
        <v>985</v>
      </c>
    </row>
    <row r="346" spans="1:9" s="365" customFormat="1">
      <c r="A346" s="365" t="s">
        <v>1000</v>
      </c>
      <c r="B346" s="365" t="s">
        <v>5369</v>
      </c>
      <c r="C346" s="365" t="s">
        <v>964</v>
      </c>
      <c r="D346" s="365" t="s">
        <v>97</v>
      </c>
      <c r="E346" s="368">
        <v>45611</v>
      </c>
      <c r="F346" s="369">
        <v>4000000</v>
      </c>
      <c r="G346" s="368">
        <v>45611</v>
      </c>
      <c r="H346" s="370">
        <v>45611.665925925925</v>
      </c>
      <c r="I346" s="365" t="s">
        <v>999</v>
      </c>
    </row>
    <row r="347" spans="1:9" s="365" customFormat="1" hidden="1">
      <c r="A347" s="365" t="s">
        <v>1182</v>
      </c>
      <c r="B347" s="365" t="s">
        <v>5370</v>
      </c>
      <c r="C347" s="365" t="s">
        <v>1194</v>
      </c>
      <c r="D347" s="365" t="s">
        <v>1195</v>
      </c>
      <c r="E347" s="368">
        <v>45615</v>
      </c>
      <c r="F347" s="369">
        <v>0</v>
      </c>
      <c r="G347" s="368">
        <v>45615</v>
      </c>
      <c r="H347" s="370">
        <v>45615.490590277775</v>
      </c>
      <c r="I347" s="365" t="s">
        <v>1023</v>
      </c>
    </row>
    <row r="348" spans="1:9" s="365" customFormat="1" hidden="1">
      <c r="A348" s="365" t="s">
        <v>1182</v>
      </c>
      <c r="B348" s="365" t="s">
        <v>5371</v>
      </c>
      <c r="C348" s="365" t="s">
        <v>1194</v>
      </c>
      <c r="D348" s="365" t="s">
        <v>1195</v>
      </c>
      <c r="E348" s="368">
        <v>45615</v>
      </c>
      <c r="F348" s="369">
        <v>0</v>
      </c>
      <c r="G348" s="368">
        <v>45615</v>
      </c>
      <c r="H348" s="370">
        <v>45615.360509259262</v>
      </c>
      <c r="I348" s="365" t="s">
        <v>1065</v>
      </c>
    </row>
    <row r="349" spans="1:9" s="365" customFormat="1" hidden="1">
      <c r="A349" s="365" t="s">
        <v>1182</v>
      </c>
      <c r="B349" s="365" t="s">
        <v>5372</v>
      </c>
      <c r="C349" s="365" t="s">
        <v>1194</v>
      </c>
      <c r="D349" s="365" t="s">
        <v>1195</v>
      </c>
      <c r="E349" s="368">
        <v>45615</v>
      </c>
      <c r="F349" s="369">
        <v>0</v>
      </c>
      <c r="G349" s="368">
        <v>45615</v>
      </c>
      <c r="H349" s="370">
        <v>45615.52306712963</v>
      </c>
      <c r="I349" s="365" t="s">
        <v>1175</v>
      </c>
    </row>
    <row r="350" spans="1:9" s="365" customFormat="1" hidden="1">
      <c r="A350" s="365" t="s">
        <v>1182</v>
      </c>
      <c r="B350" s="365" t="s">
        <v>5373</v>
      </c>
      <c r="C350" s="365" t="s">
        <v>1194</v>
      </c>
      <c r="D350" s="365" t="s">
        <v>1195</v>
      </c>
      <c r="E350" s="368">
        <v>45608</v>
      </c>
      <c r="F350" s="369">
        <v>0</v>
      </c>
      <c r="G350" s="368">
        <v>45608</v>
      </c>
      <c r="H350" s="370">
        <v>45608.391597222224</v>
      </c>
      <c r="I350" s="365" t="s">
        <v>1027</v>
      </c>
    </row>
    <row r="351" spans="1:9" s="365" customFormat="1" hidden="1">
      <c r="A351" s="365" t="s">
        <v>1182</v>
      </c>
      <c r="B351" s="365" t="s">
        <v>5374</v>
      </c>
      <c r="C351" s="365" t="s">
        <v>1194</v>
      </c>
      <c r="D351" s="365" t="s">
        <v>1195</v>
      </c>
      <c r="E351" s="368">
        <v>45609</v>
      </c>
      <c r="F351" s="369">
        <v>0</v>
      </c>
      <c r="G351" s="368">
        <v>45609</v>
      </c>
      <c r="H351" s="370">
        <v>45609.637002314812</v>
      </c>
      <c r="I351" s="365" t="s">
        <v>5090</v>
      </c>
    </row>
    <row r="352" spans="1:9" s="365" customFormat="1">
      <c r="A352" s="365" t="s">
        <v>1000</v>
      </c>
      <c r="B352" s="365" t="s">
        <v>5375</v>
      </c>
      <c r="C352" s="365" t="s">
        <v>968</v>
      </c>
      <c r="D352" s="365" t="s">
        <v>173</v>
      </c>
      <c r="E352" s="368">
        <v>45607</v>
      </c>
      <c r="F352" s="369">
        <v>760000</v>
      </c>
      <c r="G352" s="368">
        <v>45607</v>
      </c>
      <c r="H352" s="370">
        <v>45607.764039351852</v>
      </c>
      <c r="I352" s="365" t="s">
        <v>1002</v>
      </c>
    </row>
    <row r="353" spans="1:9" s="365" customFormat="1" hidden="1">
      <c r="A353" s="365" t="s">
        <v>1182</v>
      </c>
      <c r="B353" s="365" t="s">
        <v>5376</v>
      </c>
      <c r="C353" s="365" t="s">
        <v>1194</v>
      </c>
      <c r="D353" s="365" t="s">
        <v>1195</v>
      </c>
      <c r="E353" s="368">
        <v>45611</v>
      </c>
      <c r="F353" s="369">
        <v>0</v>
      </c>
      <c r="G353" s="368">
        <v>45611</v>
      </c>
      <c r="H353" s="370">
        <v>45611.608958333331</v>
      </c>
      <c r="I353" s="365" t="s">
        <v>1036</v>
      </c>
    </row>
    <row r="354" spans="1:9" s="365" customFormat="1" hidden="1">
      <c r="A354" s="365" t="s">
        <v>1182</v>
      </c>
      <c r="B354" s="365" t="s">
        <v>5377</v>
      </c>
      <c r="C354" s="365" t="s">
        <v>1194</v>
      </c>
      <c r="D354" s="365" t="s">
        <v>1195</v>
      </c>
      <c r="E354" s="368">
        <v>45611</v>
      </c>
      <c r="F354" s="369">
        <v>0</v>
      </c>
      <c r="G354" s="368">
        <v>45611</v>
      </c>
      <c r="H354" s="370">
        <v>45611.609699074077</v>
      </c>
      <c r="I354" s="365" t="s">
        <v>5231</v>
      </c>
    </row>
    <row r="355" spans="1:9" s="365" customFormat="1" hidden="1">
      <c r="A355" s="365" t="s">
        <v>1182</v>
      </c>
      <c r="B355" s="365" t="s">
        <v>5378</v>
      </c>
      <c r="C355" s="365" t="s">
        <v>1194</v>
      </c>
      <c r="D355" s="365" t="s">
        <v>1195</v>
      </c>
      <c r="E355" s="368">
        <v>45615</v>
      </c>
      <c r="F355" s="369">
        <v>0</v>
      </c>
      <c r="G355" s="368">
        <v>45615</v>
      </c>
      <c r="H355" s="370">
        <v>45615.493541666663</v>
      </c>
      <c r="I355" s="365" t="s">
        <v>1051</v>
      </c>
    </row>
    <row r="356" spans="1:9" s="365" customFormat="1" hidden="1">
      <c r="A356" s="365" t="s">
        <v>1182</v>
      </c>
      <c r="B356" s="365" t="s">
        <v>5379</v>
      </c>
      <c r="C356" s="365" t="s">
        <v>1194</v>
      </c>
      <c r="D356" s="365" t="s">
        <v>1195</v>
      </c>
      <c r="E356" s="368">
        <v>45615</v>
      </c>
      <c r="F356" s="369">
        <v>0</v>
      </c>
      <c r="G356" s="368">
        <v>45615</v>
      </c>
      <c r="H356" s="370">
        <v>45615.497928240744</v>
      </c>
      <c r="I356" s="365" t="s">
        <v>1051</v>
      </c>
    </row>
    <row r="357" spans="1:9" s="365" customFormat="1" hidden="1">
      <c r="A357" s="365" t="s">
        <v>1182</v>
      </c>
      <c r="B357" s="365" t="s">
        <v>5380</v>
      </c>
      <c r="C357" s="365" t="s">
        <v>1194</v>
      </c>
      <c r="D357" s="365" t="s">
        <v>1195</v>
      </c>
      <c r="E357" s="368">
        <v>45614</v>
      </c>
      <c r="F357" s="369">
        <v>0</v>
      </c>
      <c r="G357" s="368">
        <v>45614</v>
      </c>
      <c r="H357" s="370">
        <v>45614.331597222219</v>
      </c>
      <c r="I357" s="365" t="s">
        <v>5314</v>
      </c>
    </row>
    <row r="358" spans="1:9" s="365" customFormat="1" hidden="1">
      <c r="A358" s="365" t="s">
        <v>1182</v>
      </c>
      <c r="B358" s="365" t="s">
        <v>5381</v>
      </c>
      <c r="C358" s="365" t="s">
        <v>1194</v>
      </c>
      <c r="D358" s="365" t="s">
        <v>1195</v>
      </c>
      <c r="E358" s="368">
        <v>45614</v>
      </c>
      <c r="F358" s="369">
        <v>0</v>
      </c>
      <c r="G358" s="368">
        <v>45614</v>
      </c>
      <c r="H358" s="370">
        <v>45614.331909722219</v>
      </c>
      <c r="I358" s="365" t="s">
        <v>5319</v>
      </c>
    </row>
    <row r="359" spans="1:9" s="365" customFormat="1" hidden="1">
      <c r="A359" s="365" t="s">
        <v>1182</v>
      </c>
      <c r="B359" s="365" t="s">
        <v>5382</v>
      </c>
      <c r="C359" s="365" t="s">
        <v>1194</v>
      </c>
      <c r="D359" s="365" t="s">
        <v>1195</v>
      </c>
      <c r="E359" s="368">
        <v>45608</v>
      </c>
      <c r="F359" s="369">
        <v>0</v>
      </c>
      <c r="G359" s="368">
        <v>45608</v>
      </c>
      <c r="H359" s="370">
        <v>45608.43241898148</v>
      </c>
      <c r="I359" s="365" t="s">
        <v>1166</v>
      </c>
    </row>
    <row r="360" spans="1:9" s="365" customFormat="1" hidden="1">
      <c r="A360" s="365" t="s">
        <v>1182</v>
      </c>
      <c r="B360" s="365" t="s">
        <v>5383</v>
      </c>
      <c r="C360" s="365" t="s">
        <v>1194</v>
      </c>
      <c r="D360" s="365" t="s">
        <v>1195</v>
      </c>
      <c r="E360" s="368">
        <v>45611</v>
      </c>
      <c r="F360" s="369">
        <v>0</v>
      </c>
      <c r="G360" s="368">
        <v>45611</v>
      </c>
      <c r="H360" s="370">
        <v>45611.422037037039</v>
      </c>
      <c r="I360" s="365" t="s">
        <v>1042</v>
      </c>
    </row>
    <row r="361" spans="1:9" s="365" customFormat="1" hidden="1">
      <c r="A361" s="365" t="s">
        <v>1182</v>
      </c>
      <c r="B361" s="365" t="s">
        <v>5384</v>
      </c>
      <c r="C361" s="365" t="s">
        <v>1194</v>
      </c>
      <c r="D361" s="365" t="s">
        <v>1195</v>
      </c>
      <c r="E361" s="368">
        <v>45611</v>
      </c>
      <c r="F361" s="369">
        <v>0</v>
      </c>
      <c r="G361" s="368">
        <v>45611</v>
      </c>
      <c r="H361" s="370">
        <v>45611.445277777777</v>
      </c>
      <c r="I361" s="365" t="s">
        <v>1048</v>
      </c>
    </row>
    <row r="362" spans="1:9" s="365" customFormat="1" hidden="1">
      <c r="A362" s="365" t="s">
        <v>1182</v>
      </c>
      <c r="B362" s="365" t="s">
        <v>5385</v>
      </c>
      <c r="C362" s="365" t="s">
        <v>1194</v>
      </c>
      <c r="D362" s="365" t="s">
        <v>1195</v>
      </c>
      <c r="E362" s="368">
        <v>45611</v>
      </c>
      <c r="F362" s="369">
        <v>0</v>
      </c>
      <c r="G362" s="368">
        <v>45611</v>
      </c>
      <c r="H362" s="370">
        <v>45611.625613425924</v>
      </c>
      <c r="I362" s="365" t="s">
        <v>5231</v>
      </c>
    </row>
    <row r="363" spans="1:9" s="365" customFormat="1" hidden="1">
      <c r="A363" s="365" t="s">
        <v>1182</v>
      </c>
      <c r="B363" s="365" t="s">
        <v>5386</v>
      </c>
      <c r="C363" s="365" t="s">
        <v>1194</v>
      </c>
      <c r="D363" s="365" t="s">
        <v>1195</v>
      </c>
      <c r="E363" s="368">
        <v>45614</v>
      </c>
      <c r="F363" s="369">
        <v>0</v>
      </c>
      <c r="G363" s="368">
        <v>45614</v>
      </c>
      <c r="H363" s="370">
        <v>45614.606898148151</v>
      </c>
      <c r="I363" s="365" t="s">
        <v>1023</v>
      </c>
    </row>
    <row r="364" spans="1:9" s="365" customFormat="1" hidden="1">
      <c r="A364" s="365" t="s">
        <v>1182</v>
      </c>
      <c r="B364" s="365" t="s">
        <v>5387</v>
      </c>
      <c r="C364" s="365" t="s">
        <v>1194</v>
      </c>
      <c r="D364" s="365" t="s">
        <v>1195</v>
      </c>
      <c r="E364" s="368">
        <v>45614</v>
      </c>
      <c r="F364" s="369">
        <v>0</v>
      </c>
      <c r="G364" s="368">
        <v>45614</v>
      </c>
      <c r="H364" s="370">
        <v>45614.394907407404</v>
      </c>
      <c r="I364" s="365" t="s">
        <v>1035</v>
      </c>
    </row>
    <row r="365" spans="1:9" s="365" customFormat="1" hidden="1">
      <c r="A365" s="365" t="s">
        <v>1182</v>
      </c>
      <c r="B365" s="365" t="s">
        <v>5388</v>
      </c>
      <c r="C365" s="365" t="s">
        <v>1194</v>
      </c>
      <c r="D365" s="365" t="s">
        <v>1195</v>
      </c>
      <c r="E365" s="368">
        <v>45614</v>
      </c>
      <c r="F365" s="369">
        <v>0</v>
      </c>
      <c r="G365" s="368">
        <v>45614</v>
      </c>
      <c r="H365" s="370">
        <v>45614.65425925926</v>
      </c>
      <c r="I365" s="365" t="s">
        <v>1027</v>
      </c>
    </row>
    <row r="366" spans="1:9" s="365" customFormat="1">
      <c r="A366" s="365" t="s">
        <v>1000</v>
      </c>
      <c r="B366" s="365" t="s">
        <v>5389</v>
      </c>
      <c r="C366" s="365" t="s">
        <v>965</v>
      </c>
      <c r="D366" s="365" t="s">
        <v>966</v>
      </c>
      <c r="E366" s="368">
        <v>45614</v>
      </c>
      <c r="F366" s="369">
        <v>50000</v>
      </c>
      <c r="G366" s="368">
        <v>45614</v>
      </c>
      <c r="H366" s="370">
        <v>45614.707627314812</v>
      </c>
      <c r="I366" s="365" t="s">
        <v>985</v>
      </c>
    </row>
    <row r="367" spans="1:9" s="365" customFormat="1" hidden="1">
      <c r="A367" s="365" t="s">
        <v>1182</v>
      </c>
      <c r="B367" s="365" t="s">
        <v>5390</v>
      </c>
      <c r="C367" s="365" t="s">
        <v>1194</v>
      </c>
      <c r="D367" s="365" t="s">
        <v>1195</v>
      </c>
      <c r="E367" s="368">
        <v>45607</v>
      </c>
      <c r="F367" s="369">
        <v>0</v>
      </c>
      <c r="G367" s="368">
        <v>45607</v>
      </c>
      <c r="H367" s="370">
        <v>45607.505601851852</v>
      </c>
      <c r="I367" s="365" t="s">
        <v>5131</v>
      </c>
    </row>
    <row r="368" spans="1:9" s="365" customFormat="1" hidden="1">
      <c r="A368" s="365" t="s">
        <v>1182</v>
      </c>
      <c r="B368" s="365" t="s">
        <v>5391</v>
      </c>
      <c r="C368" s="365" t="s">
        <v>1194</v>
      </c>
      <c r="D368" s="365" t="s">
        <v>1195</v>
      </c>
      <c r="E368" s="368">
        <v>45607</v>
      </c>
      <c r="F368" s="369">
        <v>0</v>
      </c>
      <c r="G368" s="368">
        <v>45607</v>
      </c>
      <c r="H368" s="370">
        <v>45607.500914351855</v>
      </c>
      <c r="I368" s="365" t="s">
        <v>1048</v>
      </c>
    </row>
    <row r="369" spans="1:9" s="365" customFormat="1" hidden="1">
      <c r="A369" s="365" t="s">
        <v>1182</v>
      </c>
      <c r="B369" s="365" t="s">
        <v>5392</v>
      </c>
      <c r="C369" s="365" t="s">
        <v>1194</v>
      </c>
      <c r="D369" s="365" t="s">
        <v>1195</v>
      </c>
      <c r="E369" s="368">
        <v>45612</v>
      </c>
      <c r="F369" s="369">
        <v>0</v>
      </c>
      <c r="G369" s="368">
        <v>45612</v>
      </c>
      <c r="H369" s="370">
        <v>45612.526400462964</v>
      </c>
      <c r="I369" s="365" t="s">
        <v>990</v>
      </c>
    </row>
    <row r="370" spans="1:9" s="365" customFormat="1" hidden="1">
      <c r="A370" s="365" t="s">
        <v>1182</v>
      </c>
      <c r="B370" s="365" t="s">
        <v>5393</v>
      </c>
      <c r="C370" s="365" t="s">
        <v>1194</v>
      </c>
      <c r="D370" s="365" t="s">
        <v>1195</v>
      </c>
      <c r="E370" s="368">
        <v>45611</v>
      </c>
      <c r="F370" s="369">
        <v>0</v>
      </c>
      <c r="G370" s="368">
        <v>45611</v>
      </c>
      <c r="H370" s="370">
        <v>45611.483287037037</v>
      </c>
      <c r="I370" s="365" t="s">
        <v>1205</v>
      </c>
    </row>
    <row r="371" spans="1:9" s="365" customFormat="1" hidden="1">
      <c r="A371" s="365" t="s">
        <v>1182</v>
      </c>
      <c r="B371" s="365" t="s">
        <v>5394</v>
      </c>
      <c r="C371" s="365" t="s">
        <v>1194</v>
      </c>
      <c r="D371" s="365" t="s">
        <v>1195</v>
      </c>
      <c r="E371" s="368">
        <v>45615</v>
      </c>
      <c r="F371" s="369">
        <v>0</v>
      </c>
      <c r="G371" s="368">
        <v>45615</v>
      </c>
      <c r="H371" s="370">
        <v>45615.354386574072</v>
      </c>
      <c r="I371" s="365" t="s">
        <v>1051</v>
      </c>
    </row>
    <row r="372" spans="1:9" s="365" customFormat="1" hidden="1">
      <c r="A372" s="365" t="s">
        <v>1182</v>
      </c>
      <c r="B372" s="365" t="s">
        <v>5395</v>
      </c>
      <c r="C372" s="365" t="s">
        <v>1194</v>
      </c>
      <c r="D372" s="365" t="s">
        <v>1195</v>
      </c>
      <c r="E372" s="368">
        <v>45615</v>
      </c>
      <c r="F372" s="369">
        <v>0</v>
      </c>
      <c r="G372" s="368">
        <v>45615</v>
      </c>
      <c r="H372" s="370">
        <v>45615.365648148145</v>
      </c>
      <c r="I372" s="365" t="s">
        <v>1051</v>
      </c>
    </row>
    <row r="373" spans="1:9" s="365" customFormat="1" hidden="1">
      <c r="A373" s="365" t="s">
        <v>1182</v>
      </c>
      <c r="B373" s="365" t="s">
        <v>5396</v>
      </c>
      <c r="C373" s="365" t="s">
        <v>1194</v>
      </c>
      <c r="D373" s="365" t="s">
        <v>1195</v>
      </c>
      <c r="E373" s="368">
        <v>45615</v>
      </c>
      <c r="F373" s="369">
        <v>0</v>
      </c>
      <c r="G373" s="368">
        <v>45615</v>
      </c>
      <c r="H373" s="370">
        <v>45615.381296296298</v>
      </c>
      <c r="I373" s="365" t="s">
        <v>1051</v>
      </c>
    </row>
    <row r="374" spans="1:9" s="365" customFormat="1" hidden="1">
      <c r="A374" s="365" t="s">
        <v>1182</v>
      </c>
      <c r="B374" s="365" t="s">
        <v>5397</v>
      </c>
      <c r="C374" s="365" t="s">
        <v>1194</v>
      </c>
      <c r="D374" s="365" t="s">
        <v>1195</v>
      </c>
      <c r="E374" s="368">
        <v>45610</v>
      </c>
      <c r="F374" s="369">
        <v>0</v>
      </c>
      <c r="G374" s="368">
        <v>45610</v>
      </c>
      <c r="H374" s="370">
        <v>45610.430960648147</v>
      </c>
      <c r="I374" s="365" t="s">
        <v>5073</v>
      </c>
    </row>
    <row r="375" spans="1:9" s="365" customFormat="1">
      <c r="A375" s="365" t="s">
        <v>1000</v>
      </c>
      <c r="B375" s="365" t="s">
        <v>5398</v>
      </c>
      <c r="C375" s="365" t="s">
        <v>965</v>
      </c>
      <c r="D375" s="365" t="s">
        <v>966</v>
      </c>
      <c r="E375" s="368">
        <v>45617</v>
      </c>
      <c r="F375" s="369">
        <v>1500000</v>
      </c>
      <c r="G375" s="368">
        <v>45617</v>
      </c>
      <c r="H375" s="370">
        <v>45617.486990740741</v>
      </c>
      <c r="I375" s="365" t="s">
        <v>999</v>
      </c>
    </row>
    <row r="376" spans="1:9" s="365" customFormat="1" hidden="1">
      <c r="A376" s="365" t="s">
        <v>1182</v>
      </c>
      <c r="B376" s="365" t="s">
        <v>5399</v>
      </c>
      <c r="C376" s="365" t="s">
        <v>1194</v>
      </c>
      <c r="D376" s="365" t="s">
        <v>1195</v>
      </c>
      <c r="E376" s="368">
        <v>45621</v>
      </c>
      <c r="F376" s="369">
        <v>0</v>
      </c>
      <c r="G376" s="368">
        <v>45621</v>
      </c>
      <c r="H376" s="370">
        <v>45621.592268518521</v>
      </c>
      <c r="I376" s="365" t="s">
        <v>1027</v>
      </c>
    </row>
    <row r="377" spans="1:9" s="365" customFormat="1" hidden="1">
      <c r="A377" s="365" t="s">
        <v>1182</v>
      </c>
      <c r="B377" s="365" t="s">
        <v>5400</v>
      </c>
      <c r="C377" s="365" t="s">
        <v>1194</v>
      </c>
      <c r="D377" s="365" t="s">
        <v>1195</v>
      </c>
      <c r="E377" s="368">
        <v>45621</v>
      </c>
      <c r="F377" s="369">
        <v>0</v>
      </c>
      <c r="G377" s="368">
        <v>45621</v>
      </c>
      <c r="H377" s="370">
        <v>45621.603472222225</v>
      </c>
      <c r="I377" s="365" t="s">
        <v>1023</v>
      </c>
    </row>
    <row r="378" spans="1:9" s="365" customFormat="1" hidden="1">
      <c r="A378" s="365" t="s">
        <v>1182</v>
      </c>
      <c r="B378" s="365" t="s">
        <v>5401</v>
      </c>
      <c r="C378" s="365" t="s">
        <v>1194</v>
      </c>
      <c r="D378" s="365" t="s">
        <v>1195</v>
      </c>
      <c r="E378" s="368">
        <v>45618</v>
      </c>
      <c r="F378" s="369">
        <v>0</v>
      </c>
      <c r="G378" s="368">
        <v>45618</v>
      </c>
      <c r="H378" s="370">
        <v>45618.578414351854</v>
      </c>
      <c r="I378" s="365" t="s">
        <v>5073</v>
      </c>
    </row>
    <row r="379" spans="1:9" s="365" customFormat="1" hidden="1">
      <c r="A379" s="365" t="s">
        <v>1182</v>
      </c>
      <c r="B379" s="365" t="s">
        <v>5402</v>
      </c>
      <c r="C379" s="365" t="s">
        <v>1194</v>
      </c>
      <c r="D379" s="365" t="s">
        <v>1195</v>
      </c>
      <c r="E379" s="368">
        <v>45621</v>
      </c>
      <c r="F379" s="369">
        <v>0</v>
      </c>
      <c r="G379" s="368">
        <v>45621</v>
      </c>
      <c r="H379" s="370">
        <v>45621.629513888889</v>
      </c>
      <c r="I379" s="365" t="s">
        <v>1027</v>
      </c>
    </row>
    <row r="380" spans="1:9" s="365" customFormat="1" hidden="1">
      <c r="A380" s="365" t="s">
        <v>1182</v>
      </c>
      <c r="B380" s="365" t="s">
        <v>5403</v>
      </c>
      <c r="C380" s="365" t="s">
        <v>1194</v>
      </c>
      <c r="D380" s="365" t="s">
        <v>1195</v>
      </c>
      <c r="E380" s="368">
        <v>45617</v>
      </c>
      <c r="F380" s="369">
        <v>0</v>
      </c>
      <c r="G380" s="368">
        <v>45617</v>
      </c>
      <c r="H380" s="370">
        <v>45617.381168981483</v>
      </c>
      <c r="I380" s="365" t="s">
        <v>1056</v>
      </c>
    </row>
    <row r="381" spans="1:9" s="365" customFormat="1">
      <c r="A381" s="365" t="s">
        <v>1000</v>
      </c>
      <c r="B381" s="365" t="s">
        <v>5404</v>
      </c>
      <c r="C381" s="365" t="s">
        <v>968</v>
      </c>
      <c r="D381" s="365" t="s">
        <v>173</v>
      </c>
      <c r="E381" s="368">
        <v>45625</v>
      </c>
      <c r="F381" s="369">
        <v>0</v>
      </c>
      <c r="G381" s="368">
        <v>45625</v>
      </c>
      <c r="H381" s="370">
        <v>45625.359513888892</v>
      </c>
      <c r="I381" s="365" t="s">
        <v>1002</v>
      </c>
    </row>
    <row r="382" spans="1:9" s="365" customFormat="1" hidden="1">
      <c r="A382" s="365" t="s">
        <v>1182</v>
      </c>
      <c r="B382" s="365" t="s">
        <v>5405</v>
      </c>
      <c r="C382" s="365" t="s">
        <v>1194</v>
      </c>
      <c r="D382" s="365" t="s">
        <v>1195</v>
      </c>
      <c r="E382" s="368">
        <v>45616</v>
      </c>
      <c r="F382" s="369">
        <v>0</v>
      </c>
      <c r="G382" s="368">
        <v>45616</v>
      </c>
      <c r="H382" s="370">
        <v>45616.732002314813</v>
      </c>
      <c r="I382" s="365" t="s">
        <v>1203</v>
      </c>
    </row>
    <row r="383" spans="1:9" s="365" customFormat="1" hidden="1">
      <c r="A383" s="365" t="s">
        <v>1182</v>
      </c>
      <c r="B383" s="365" t="s">
        <v>5406</v>
      </c>
      <c r="C383" s="365" t="s">
        <v>1194</v>
      </c>
      <c r="D383" s="365" t="s">
        <v>1195</v>
      </c>
      <c r="E383" s="368">
        <v>45618</v>
      </c>
      <c r="F383" s="369">
        <v>0</v>
      </c>
      <c r="G383" s="368">
        <v>45618</v>
      </c>
      <c r="H383" s="370">
        <v>45618.46570601852</v>
      </c>
      <c r="I383" s="365" t="s">
        <v>990</v>
      </c>
    </row>
    <row r="384" spans="1:9" s="365" customFormat="1" hidden="1">
      <c r="A384" s="365" t="s">
        <v>1182</v>
      </c>
      <c r="B384" s="365" t="s">
        <v>5407</v>
      </c>
      <c r="C384" s="365" t="s">
        <v>1194</v>
      </c>
      <c r="D384" s="365" t="s">
        <v>1195</v>
      </c>
      <c r="E384" s="368">
        <v>45622</v>
      </c>
      <c r="F384" s="369">
        <v>0</v>
      </c>
      <c r="G384" s="368">
        <v>45622</v>
      </c>
      <c r="H384" s="370">
        <v>45622.422175925924</v>
      </c>
      <c r="I384" s="365" t="s">
        <v>1206</v>
      </c>
    </row>
    <row r="385" spans="1:9" s="365" customFormat="1" hidden="1">
      <c r="A385" s="365" t="s">
        <v>1182</v>
      </c>
      <c r="B385" s="365" t="s">
        <v>5408</v>
      </c>
      <c r="C385" s="365" t="s">
        <v>1194</v>
      </c>
      <c r="D385" s="365" t="s">
        <v>1195</v>
      </c>
      <c r="E385" s="368">
        <v>45617</v>
      </c>
      <c r="F385" s="369">
        <v>0</v>
      </c>
      <c r="G385" s="368">
        <v>45617</v>
      </c>
      <c r="H385" s="370">
        <v>45617.3359375</v>
      </c>
      <c r="I385" s="365" t="s">
        <v>1058</v>
      </c>
    </row>
    <row r="386" spans="1:9" s="365" customFormat="1" hidden="1">
      <c r="A386" s="365" t="s">
        <v>1182</v>
      </c>
      <c r="B386" s="365" t="s">
        <v>5409</v>
      </c>
      <c r="C386" s="365" t="s">
        <v>1194</v>
      </c>
      <c r="D386" s="365" t="s">
        <v>1195</v>
      </c>
      <c r="E386" s="368">
        <v>45623</v>
      </c>
      <c r="F386" s="369">
        <v>0</v>
      </c>
      <c r="G386" s="368">
        <v>45623</v>
      </c>
      <c r="H386" s="370">
        <v>45623.360439814816</v>
      </c>
      <c r="I386" s="365" t="s">
        <v>5231</v>
      </c>
    </row>
    <row r="387" spans="1:9" s="365" customFormat="1" hidden="1">
      <c r="A387" s="365" t="s">
        <v>1182</v>
      </c>
      <c r="B387" s="365" t="s">
        <v>5410</v>
      </c>
      <c r="C387" s="365" t="s">
        <v>1194</v>
      </c>
      <c r="D387" s="365" t="s">
        <v>1195</v>
      </c>
      <c r="E387" s="368">
        <v>45617</v>
      </c>
      <c r="F387" s="369">
        <v>0</v>
      </c>
      <c r="G387" s="368">
        <v>45617</v>
      </c>
      <c r="H387" s="370">
        <v>45617.38108796296</v>
      </c>
      <c r="I387" s="365" t="s">
        <v>5411</v>
      </c>
    </row>
    <row r="388" spans="1:9" s="365" customFormat="1" hidden="1">
      <c r="A388" s="365" t="s">
        <v>1182</v>
      </c>
      <c r="B388" s="365" t="s">
        <v>5412</v>
      </c>
      <c r="C388" s="365" t="s">
        <v>1194</v>
      </c>
      <c r="D388" s="365" t="s">
        <v>1195</v>
      </c>
      <c r="E388" s="368">
        <v>45625</v>
      </c>
      <c r="F388" s="369">
        <v>0</v>
      </c>
      <c r="G388" s="368">
        <v>45625</v>
      </c>
      <c r="H388" s="370">
        <v>45625.467812499999</v>
      </c>
      <c r="I388" s="365" t="s">
        <v>1048</v>
      </c>
    </row>
    <row r="389" spans="1:9" s="365" customFormat="1" hidden="1">
      <c r="A389" s="365" t="s">
        <v>1182</v>
      </c>
      <c r="B389" s="365" t="s">
        <v>5413</v>
      </c>
      <c r="C389" s="365" t="s">
        <v>1194</v>
      </c>
      <c r="D389" s="365" t="s">
        <v>1195</v>
      </c>
      <c r="E389" s="368">
        <v>45621</v>
      </c>
      <c r="F389" s="369">
        <v>0</v>
      </c>
      <c r="G389" s="368">
        <v>45621</v>
      </c>
      <c r="H389" s="370">
        <v>45621.406782407408</v>
      </c>
      <c r="I389" s="365" t="s">
        <v>1068</v>
      </c>
    </row>
    <row r="390" spans="1:9" s="365" customFormat="1" hidden="1">
      <c r="A390" s="365" t="s">
        <v>1182</v>
      </c>
      <c r="B390" s="365" t="s">
        <v>5414</v>
      </c>
      <c r="C390" s="365" t="s">
        <v>1194</v>
      </c>
      <c r="D390" s="365" t="s">
        <v>1195</v>
      </c>
      <c r="E390" s="368">
        <v>45621</v>
      </c>
      <c r="F390" s="369">
        <v>0</v>
      </c>
      <c r="G390" s="368">
        <v>45621</v>
      </c>
      <c r="H390" s="370">
        <v>45621.419259259259</v>
      </c>
      <c r="I390" s="365" t="s">
        <v>1048</v>
      </c>
    </row>
    <row r="391" spans="1:9" s="365" customFormat="1" hidden="1">
      <c r="A391" s="365" t="s">
        <v>1182</v>
      </c>
      <c r="B391" s="365" t="s">
        <v>5415</v>
      </c>
      <c r="C391" s="365" t="s">
        <v>1194</v>
      </c>
      <c r="D391" s="365" t="s">
        <v>1195</v>
      </c>
      <c r="E391" s="368">
        <v>45617</v>
      </c>
      <c r="F391" s="369">
        <v>0</v>
      </c>
      <c r="G391" s="368">
        <v>45617</v>
      </c>
      <c r="H391" s="370">
        <v>45617.484097222223</v>
      </c>
      <c r="I391" s="365" t="s">
        <v>1202</v>
      </c>
    </row>
    <row r="392" spans="1:9" s="365" customFormat="1" hidden="1">
      <c r="A392" s="365" t="s">
        <v>1182</v>
      </c>
      <c r="B392" s="365" t="s">
        <v>5416</v>
      </c>
      <c r="C392" s="365" t="s">
        <v>1194</v>
      </c>
      <c r="D392" s="365" t="s">
        <v>1195</v>
      </c>
      <c r="E392" s="368">
        <v>45622</v>
      </c>
      <c r="F392" s="369">
        <v>0</v>
      </c>
      <c r="G392" s="368">
        <v>45622</v>
      </c>
      <c r="H392" s="370">
        <v>45622.522847222222</v>
      </c>
      <c r="I392" s="365" t="s">
        <v>990</v>
      </c>
    </row>
    <row r="393" spans="1:9" s="365" customFormat="1" hidden="1">
      <c r="A393" s="365" t="s">
        <v>1182</v>
      </c>
      <c r="B393" s="365" t="s">
        <v>5417</v>
      </c>
      <c r="C393" s="365" t="s">
        <v>1194</v>
      </c>
      <c r="D393" s="365" t="s">
        <v>1195</v>
      </c>
      <c r="E393" s="368">
        <v>45621</v>
      </c>
      <c r="F393" s="369">
        <v>0</v>
      </c>
      <c r="G393" s="368">
        <v>45621</v>
      </c>
      <c r="H393" s="370">
        <v>45621.446412037039</v>
      </c>
      <c r="I393" s="365" t="s">
        <v>1048</v>
      </c>
    </row>
    <row r="394" spans="1:9" s="365" customFormat="1" hidden="1">
      <c r="A394" s="365" t="s">
        <v>1182</v>
      </c>
      <c r="B394" s="365" t="s">
        <v>5418</v>
      </c>
      <c r="C394" s="365" t="s">
        <v>1194</v>
      </c>
      <c r="D394" s="365" t="s">
        <v>1195</v>
      </c>
      <c r="E394" s="368">
        <v>45617</v>
      </c>
      <c r="F394" s="369">
        <v>0</v>
      </c>
      <c r="G394" s="368">
        <v>45617</v>
      </c>
      <c r="H394" s="370">
        <v>45617.342615740738</v>
      </c>
      <c r="I394" s="365" t="s">
        <v>1065</v>
      </c>
    </row>
    <row r="395" spans="1:9" s="365" customFormat="1" hidden="1">
      <c r="A395" s="365" t="s">
        <v>1182</v>
      </c>
      <c r="B395" s="365" t="s">
        <v>5419</v>
      </c>
      <c r="C395" s="365" t="s">
        <v>1194</v>
      </c>
      <c r="D395" s="365" t="s">
        <v>1195</v>
      </c>
      <c r="E395" s="368">
        <v>45617</v>
      </c>
      <c r="F395" s="369">
        <v>0</v>
      </c>
      <c r="G395" s="368">
        <v>45617</v>
      </c>
      <c r="H395" s="370">
        <v>45617.462534722225</v>
      </c>
      <c r="I395" s="365" t="s">
        <v>1175</v>
      </c>
    </row>
    <row r="396" spans="1:9" s="365" customFormat="1">
      <c r="A396" s="365" t="s">
        <v>1000</v>
      </c>
      <c r="B396" s="365" t="s">
        <v>5420</v>
      </c>
      <c r="C396" s="365" t="s">
        <v>967</v>
      </c>
      <c r="D396" s="365" t="s">
        <v>65</v>
      </c>
      <c r="E396" s="368">
        <v>45617</v>
      </c>
      <c r="F396" s="369">
        <v>6000000</v>
      </c>
      <c r="G396" s="368">
        <v>45617</v>
      </c>
      <c r="H396" s="370">
        <v>45617.624791666669</v>
      </c>
      <c r="I396" s="365" t="s">
        <v>999</v>
      </c>
    </row>
    <row r="397" spans="1:9" s="365" customFormat="1" hidden="1">
      <c r="A397" s="365" t="s">
        <v>1182</v>
      </c>
      <c r="B397" s="365" t="s">
        <v>5421</v>
      </c>
      <c r="C397" s="365" t="s">
        <v>1194</v>
      </c>
      <c r="D397" s="365" t="s">
        <v>1195</v>
      </c>
      <c r="E397" s="368">
        <v>45625</v>
      </c>
      <c r="F397" s="369">
        <v>0</v>
      </c>
      <c r="G397" s="368">
        <v>45625</v>
      </c>
      <c r="H397" s="370">
        <v>45625.545856481483</v>
      </c>
      <c r="I397" s="365" t="s">
        <v>992</v>
      </c>
    </row>
    <row r="398" spans="1:9" s="365" customFormat="1">
      <c r="A398" s="365" t="s">
        <v>1000</v>
      </c>
      <c r="B398" s="365" t="s">
        <v>5422</v>
      </c>
      <c r="C398" s="365" t="s">
        <v>962</v>
      </c>
      <c r="D398" s="365" t="s">
        <v>307</v>
      </c>
      <c r="E398" s="368">
        <v>45617</v>
      </c>
      <c r="F398" s="369">
        <v>50000000</v>
      </c>
      <c r="G398" s="368">
        <v>45617</v>
      </c>
      <c r="H398" s="370">
        <v>45617.644097222219</v>
      </c>
      <c r="I398" s="365" t="s">
        <v>999</v>
      </c>
    </row>
    <row r="399" spans="1:9" s="365" customFormat="1" hidden="1">
      <c r="A399" s="365" t="s">
        <v>1182</v>
      </c>
      <c r="B399" s="365" t="s">
        <v>5423</v>
      </c>
      <c r="C399" s="365" t="s">
        <v>1194</v>
      </c>
      <c r="D399" s="365" t="s">
        <v>1195</v>
      </c>
      <c r="E399" s="368">
        <v>45618</v>
      </c>
      <c r="F399" s="369">
        <v>0</v>
      </c>
      <c r="G399" s="368">
        <v>45618</v>
      </c>
      <c r="H399" s="370">
        <v>45618.350648148145</v>
      </c>
      <c r="I399" s="365" t="s">
        <v>5131</v>
      </c>
    </row>
    <row r="400" spans="1:9" s="365" customFormat="1" hidden="1">
      <c r="A400" s="365" t="s">
        <v>1182</v>
      </c>
      <c r="B400" s="365" t="s">
        <v>5424</v>
      </c>
      <c r="C400" s="365" t="s">
        <v>1194</v>
      </c>
      <c r="D400" s="365" t="s">
        <v>1195</v>
      </c>
      <c r="E400" s="368">
        <v>45623</v>
      </c>
      <c r="F400" s="369">
        <v>0</v>
      </c>
      <c r="G400" s="368">
        <v>45623</v>
      </c>
      <c r="H400" s="370">
        <v>45623.703321759262</v>
      </c>
      <c r="I400" s="365" t="s">
        <v>5073</v>
      </c>
    </row>
    <row r="401" spans="1:9" s="365" customFormat="1" hidden="1">
      <c r="A401" s="365" t="s">
        <v>1182</v>
      </c>
      <c r="B401" s="365" t="s">
        <v>5425</v>
      </c>
      <c r="C401" s="365" t="s">
        <v>1194</v>
      </c>
      <c r="D401" s="365" t="s">
        <v>1195</v>
      </c>
      <c r="E401" s="368">
        <v>45616</v>
      </c>
      <c r="F401" s="369">
        <v>0</v>
      </c>
      <c r="G401" s="368">
        <v>45616</v>
      </c>
      <c r="H401" s="370">
        <v>45616.679745370369</v>
      </c>
      <c r="I401" s="365" t="s">
        <v>1055</v>
      </c>
    </row>
    <row r="402" spans="1:9" s="365" customFormat="1" hidden="1">
      <c r="A402" s="365" t="s">
        <v>1182</v>
      </c>
      <c r="B402" s="365" t="s">
        <v>5426</v>
      </c>
      <c r="C402" s="365" t="s">
        <v>1194</v>
      </c>
      <c r="D402" s="365" t="s">
        <v>1195</v>
      </c>
      <c r="E402" s="368">
        <v>45618</v>
      </c>
      <c r="F402" s="369">
        <v>0</v>
      </c>
      <c r="G402" s="368">
        <v>45618</v>
      </c>
      <c r="H402" s="370">
        <v>45618.648796296293</v>
      </c>
      <c r="I402" s="365" t="s">
        <v>5231</v>
      </c>
    </row>
    <row r="403" spans="1:9" s="365" customFormat="1" hidden="1">
      <c r="A403" s="365" t="s">
        <v>1182</v>
      </c>
      <c r="B403" s="365" t="s">
        <v>5427</v>
      </c>
      <c r="C403" s="365" t="s">
        <v>1194</v>
      </c>
      <c r="D403" s="365" t="s">
        <v>1195</v>
      </c>
      <c r="E403" s="368">
        <v>45617</v>
      </c>
      <c r="F403" s="369">
        <v>0</v>
      </c>
      <c r="G403" s="368">
        <v>45617</v>
      </c>
      <c r="H403" s="370">
        <v>45617.323680555557</v>
      </c>
      <c r="I403" s="365" t="s">
        <v>1023</v>
      </c>
    </row>
    <row r="404" spans="1:9" s="365" customFormat="1" hidden="1">
      <c r="A404" s="365" t="s">
        <v>1182</v>
      </c>
      <c r="B404" s="365" t="s">
        <v>5428</v>
      </c>
      <c r="C404" s="365" t="s">
        <v>1194</v>
      </c>
      <c r="D404" s="365" t="s">
        <v>1195</v>
      </c>
      <c r="E404" s="368">
        <v>45617</v>
      </c>
      <c r="F404" s="369">
        <v>0</v>
      </c>
      <c r="G404" s="368">
        <v>45617</v>
      </c>
      <c r="H404" s="370">
        <v>45617.46638888889</v>
      </c>
      <c r="I404" s="365" t="s">
        <v>1056</v>
      </c>
    </row>
    <row r="405" spans="1:9" s="365" customFormat="1" hidden="1">
      <c r="A405" s="365" t="s">
        <v>1182</v>
      </c>
      <c r="B405" s="365" t="s">
        <v>5429</v>
      </c>
      <c r="C405" s="365" t="s">
        <v>1194</v>
      </c>
      <c r="D405" s="365" t="s">
        <v>1195</v>
      </c>
      <c r="E405" s="368">
        <v>45616</v>
      </c>
      <c r="F405" s="369">
        <v>0</v>
      </c>
      <c r="G405" s="368">
        <v>45616</v>
      </c>
      <c r="H405" s="370">
        <v>45616.724664351852</v>
      </c>
      <c r="I405" s="365" t="s">
        <v>1180</v>
      </c>
    </row>
    <row r="406" spans="1:9" s="365" customFormat="1" hidden="1">
      <c r="A406" s="365" t="s">
        <v>1182</v>
      </c>
      <c r="B406" s="365" t="s">
        <v>5430</v>
      </c>
      <c r="C406" s="365" t="s">
        <v>1194</v>
      </c>
      <c r="D406" s="365" t="s">
        <v>1195</v>
      </c>
      <c r="E406" s="368">
        <v>45625</v>
      </c>
      <c r="F406" s="369">
        <v>0</v>
      </c>
      <c r="G406" s="368">
        <v>45625</v>
      </c>
      <c r="H406" s="370">
        <v>45625.667349537034</v>
      </c>
      <c r="I406" s="365" t="s">
        <v>1042</v>
      </c>
    </row>
    <row r="407" spans="1:9" s="365" customFormat="1" hidden="1">
      <c r="A407" s="365" t="s">
        <v>1182</v>
      </c>
      <c r="B407" s="365" t="s">
        <v>5431</v>
      </c>
      <c r="C407" s="365" t="s">
        <v>1194</v>
      </c>
      <c r="D407" s="365" t="s">
        <v>1195</v>
      </c>
      <c r="E407" s="368">
        <v>45621</v>
      </c>
      <c r="F407" s="369">
        <v>0</v>
      </c>
      <c r="G407" s="368">
        <v>45621</v>
      </c>
      <c r="H407" s="370">
        <v>45621.320729166669</v>
      </c>
      <c r="I407" s="365" t="s">
        <v>1023</v>
      </c>
    </row>
    <row r="408" spans="1:9" s="365" customFormat="1" hidden="1">
      <c r="A408" s="365" t="s">
        <v>1182</v>
      </c>
      <c r="B408" s="365" t="s">
        <v>5432</v>
      </c>
      <c r="C408" s="365" t="s">
        <v>1194</v>
      </c>
      <c r="D408" s="365" t="s">
        <v>1195</v>
      </c>
      <c r="E408" s="368">
        <v>45624</v>
      </c>
      <c r="F408" s="369">
        <v>0</v>
      </c>
      <c r="G408" s="368">
        <v>45624</v>
      </c>
      <c r="H408" s="370">
        <v>45624.343182870369</v>
      </c>
      <c r="I408" s="365" t="s">
        <v>1042</v>
      </c>
    </row>
    <row r="409" spans="1:9" s="365" customFormat="1" hidden="1">
      <c r="A409" s="365" t="s">
        <v>1182</v>
      </c>
      <c r="B409" s="365" t="s">
        <v>5433</v>
      </c>
      <c r="C409" s="365" t="s">
        <v>1194</v>
      </c>
      <c r="D409" s="365" t="s">
        <v>1195</v>
      </c>
      <c r="E409" s="368">
        <v>45624</v>
      </c>
      <c r="F409" s="369">
        <v>0</v>
      </c>
      <c r="G409" s="368">
        <v>45624</v>
      </c>
      <c r="H409" s="370">
        <v>45624.384247685186</v>
      </c>
      <c r="I409" s="365" t="s">
        <v>5262</v>
      </c>
    </row>
    <row r="410" spans="1:9" s="365" customFormat="1" hidden="1">
      <c r="A410" s="365" t="s">
        <v>1182</v>
      </c>
      <c r="B410" s="365" t="s">
        <v>5434</v>
      </c>
      <c r="C410" s="365" t="s">
        <v>1194</v>
      </c>
      <c r="D410" s="365" t="s">
        <v>1195</v>
      </c>
      <c r="E410" s="368">
        <v>45623</v>
      </c>
      <c r="F410" s="369">
        <v>0</v>
      </c>
      <c r="G410" s="368">
        <v>45623</v>
      </c>
      <c r="H410" s="370">
        <v>45623.426527777781</v>
      </c>
      <c r="I410" s="365" t="s">
        <v>1063</v>
      </c>
    </row>
    <row r="411" spans="1:9" s="365" customFormat="1" hidden="1">
      <c r="A411" s="365" t="s">
        <v>1182</v>
      </c>
      <c r="B411" s="365" t="s">
        <v>5435</v>
      </c>
      <c r="C411" s="365" t="s">
        <v>1194</v>
      </c>
      <c r="D411" s="365" t="s">
        <v>1195</v>
      </c>
      <c r="E411" s="368">
        <v>45621</v>
      </c>
      <c r="F411" s="369">
        <v>0</v>
      </c>
      <c r="G411" s="368">
        <v>45621</v>
      </c>
      <c r="H411" s="370">
        <v>45621.51326388889</v>
      </c>
      <c r="I411" s="365" t="s">
        <v>1030</v>
      </c>
    </row>
    <row r="412" spans="1:9" s="365" customFormat="1" hidden="1">
      <c r="A412" s="365" t="s">
        <v>1182</v>
      </c>
      <c r="B412" s="365" t="s">
        <v>5436</v>
      </c>
      <c r="C412" s="365" t="s">
        <v>1194</v>
      </c>
      <c r="D412" s="365" t="s">
        <v>1195</v>
      </c>
      <c r="E412" s="368">
        <v>45624</v>
      </c>
      <c r="F412" s="369">
        <v>0</v>
      </c>
      <c r="G412" s="368">
        <v>45624</v>
      </c>
      <c r="H412" s="370">
        <v>45624.456875000003</v>
      </c>
      <c r="I412" s="365" t="s">
        <v>5231</v>
      </c>
    </row>
    <row r="413" spans="1:9" s="365" customFormat="1" hidden="1">
      <c r="A413" s="365" t="s">
        <v>1182</v>
      </c>
      <c r="B413" s="365" t="s">
        <v>5437</v>
      </c>
      <c r="C413" s="365" t="s">
        <v>1194</v>
      </c>
      <c r="D413" s="365" t="s">
        <v>1195</v>
      </c>
      <c r="E413" s="368">
        <v>45621</v>
      </c>
      <c r="F413" s="369">
        <v>0</v>
      </c>
      <c r="G413" s="368">
        <v>45621</v>
      </c>
      <c r="H413" s="370">
        <v>45621.450775462959</v>
      </c>
      <c r="I413" s="365" t="s">
        <v>990</v>
      </c>
    </row>
    <row r="414" spans="1:9" s="365" customFormat="1" hidden="1">
      <c r="A414" s="365" t="s">
        <v>1182</v>
      </c>
      <c r="B414" s="365" t="s">
        <v>5438</v>
      </c>
      <c r="C414" s="365" t="s">
        <v>1194</v>
      </c>
      <c r="D414" s="365" t="s">
        <v>1195</v>
      </c>
      <c r="E414" s="368">
        <v>45621</v>
      </c>
      <c r="F414" s="369">
        <v>0</v>
      </c>
      <c r="G414" s="368">
        <v>45621</v>
      </c>
      <c r="H414" s="370">
        <v>45621.474212962959</v>
      </c>
      <c r="I414" s="365" t="s">
        <v>5131</v>
      </c>
    </row>
    <row r="415" spans="1:9" s="365" customFormat="1" hidden="1">
      <c r="A415" s="365" t="s">
        <v>1182</v>
      </c>
      <c r="B415" s="365" t="s">
        <v>5439</v>
      </c>
      <c r="C415" s="365" t="s">
        <v>1194</v>
      </c>
      <c r="D415" s="365" t="s">
        <v>1195</v>
      </c>
      <c r="E415" s="368">
        <v>45624</v>
      </c>
      <c r="F415" s="369">
        <v>0</v>
      </c>
      <c r="G415" s="368">
        <v>45624</v>
      </c>
      <c r="H415" s="370">
        <v>45624.482222222221</v>
      </c>
      <c r="I415" s="365" t="s">
        <v>5142</v>
      </c>
    </row>
    <row r="416" spans="1:9" s="365" customFormat="1" hidden="1">
      <c r="A416" s="365" t="s">
        <v>1182</v>
      </c>
      <c r="B416" s="365" t="s">
        <v>5440</v>
      </c>
      <c r="C416" s="365" t="s">
        <v>1194</v>
      </c>
      <c r="D416" s="365" t="s">
        <v>1195</v>
      </c>
      <c r="E416" s="368">
        <v>45622</v>
      </c>
      <c r="F416" s="369">
        <v>0</v>
      </c>
      <c r="G416" s="368">
        <v>45622</v>
      </c>
      <c r="H416" s="370">
        <v>45622.55201388889</v>
      </c>
      <c r="I416" s="365" t="s">
        <v>5131</v>
      </c>
    </row>
    <row r="417" spans="1:9" s="365" customFormat="1" hidden="1">
      <c r="A417" s="365" t="s">
        <v>1182</v>
      </c>
      <c r="B417" s="365" t="s">
        <v>5441</v>
      </c>
      <c r="C417" s="365" t="s">
        <v>1194</v>
      </c>
      <c r="D417" s="365" t="s">
        <v>1195</v>
      </c>
      <c r="E417" s="368">
        <v>45624</v>
      </c>
      <c r="F417" s="369">
        <v>0</v>
      </c>
      <c r="G417" s="368">
        <v>45624</v>
      </c>
      <c r="H417" s="370">
        <v>45624.509155092594</v>
      </c>
      <c r="I417" s="365" t="s">
        <v>1066</v>
      </c>
    </row>
    <row r="418" spans="1:9" s="365" customFormat="1" hidden="1">
      <c r="A418" s="365" t="s">
        <v>1182</v>
      </c>
      <c r="B418" s="365" t="s">
        <v>5442</v>
      </c>
      <c r="C418" s="365" t="s">
        <v>1194</v>
      </c>
      <c r="D418" s="365" t="s">
        <v>1195</v>
      </c>
      <c r="E418" s="368">
        <v>45619</v>
      </c>
      <c r="F418" s="369">
        <v>0</v>
      </c>
      <c r="G418" s="368">
        <v>45619</v>
      </c>
      <c r="H418" s="370">
        <v>45619.384814814817</v>
      </c>
      <c r="I418" s="365" t="s">
        <v>990</v>
      </c>
    </row>
    <row r="419" spans="1:9" s="365" customFormat="1">
      <c r="A419" s="365" t="s">
        <v>1000</v>
      </c>
      <c r="B419" s="365" t="s">
        <v>5443</v>
      </c>
      <c r="C419" s="365" t="s">
        <v>968</v>
      </c>
      <c r="D419" s="365" t="s">
        <v>173</v>
      </c>
      <c r="E419" s="368">
        <v>45622</v>
      </c>
      <c r="F419" s="369">
        <v>500000</v>
      </c>
      <c r="G419" s="368">
        <v>45622</v>
      </c>
      <c r="H419" s="370">
        <v>45622.68445601852</v>
      </c>
      <c r="I419" s="365" t="s">
        <v>999</v>
      </c>
    </row>
    <row r="420" spans="1:9" s="365" customFormat="1" hidden="1">
      <c r="A420" s="365" t="s">
        <v>1182</v>
      </c>
      <c r="B420" s="365" t="s">
        <v>5444</v>
      </c>
      <c r="C420" s="365" t="s">
        <v>1194</v>
      </c>
      <c r="D420" s="365" t="s">
        <v>1195</v>
      </c>
      <c r="E420" s="368">
        <v>45624</v>
      </c>
      <c r="F420" s="369">
        <v>0</v>
      </c>
      <c r="G420" s="368">
        <v>45624</v>
      </c>
      <c r="H420" s="370">
        <v>45624.478171296294</v>
      </c>
      <c r="I420" s="365" t="s">
        <v>5223</v>
      </c>
    </row>
    <row r="421" spans="1:9" s="365" customFormat="1" hidden="1">
      <c r="A421" s="365" t="s">
        <v>1182</v>
      </c>
      <c r="B421" s="365" t="s">
        <v>5445</v>
      </c>
      <c r="C421" s="365" t="s">
        <v>1194</v>
      </c>
      <c r="D421" s="365" t="s">
        <v>1195</v>
      </c>
      <c r="E421" s="368">
        <v>45621</v>
      </c>
      <c r="F421" s="369">
        <v>0</v>
      </c>
      <c r="G421" s="368">
        <v>45621</v>
      </c>
      <c r="H421" s="370">
        <v>45621.596689814818</v>
      </c>
      <c r="I421" s="365" t="s">
        <v>1206</v>
      </c>
    </row>
    <row r="422" spans="1:9" s="365" customFormat="1" hidden="1">
      <c r="A422" s="365" t="s">
        <v>1182</v>
      </c>
      <c r="B422" s="365" t="s">
        <v>5446</v>
      </c>
      <c r="C422" s="365" t="s">
        <v>1194</v>
      </c>
      <c r="D422" s="365" t="s">
        <v>1195</v>
      </c>
      <c r="E422" s="368">
        <v>45623</v>
      </c>
      <c r="F422" s="369">
        <v>0</v>
      </c>
      <c r="G422" s="368">
        <v>45623</v>
      </c>
      <c r="H422" s="370">
        <v>45623.496527777781</v>
      </c>
      <c r="I422" s="365" t="s">
        <v>5447</v>
      </c>
    </row>
    <row r="423" spans="1:9" s="365" customFormat="1" hidden="1">
      <c r="A423" s="365" t="s">
        <v>1182</v>
      </c>
      <c r="B423" s="365" t="s">
        <v>5448</v>
      </c>
      <c r="C423" s="365" t="s">
        <v>1194</v>
      </c>
      <c r="D423" s="365" t="s">
        <v>1195</v>
      </c>
      <c r="E423" s="368">
        <v>45624</v>
      </c>
      <c r="F423" s="369">
        <v>0</v>
      </c>
      <c r="G423" s="368">
        <v>45624</v>
      </c>
      <c r="H423" s="370">
        <v>45624.540462962963</v>
      </c>
      <c r="I423" s="365" t="s">
        <v>5231</v>
      </c>
    </row>
    <row r="424" spans="1:9" s="365" customFormat="1" hidden="1">
      <c r="A424" s="365" t="s">
        <v>1182</v>
      </c>
      <c r="B424" s="365" t="s">
        <v>5449</v>
      </c>
      <c r="C424" s="365" t="s">
        <v>1194</v>
      </c>
      <c r="D424" s="365" t="s">
        <v>1195</v>
      </c>
      <c r="E424" s="368">
        <v>45619</v>
      </c>
      <c r="F424" s="369">
        <v>0</v>
      </c>
      <c r="G424" s="368">
        <v>45619</v>
      </c>
      <c r="H424" s="370">
        <v>45619.530162037037</v>
      </c>
      <c r="I424" s="365" t="s">
        <v>1207</v>
      </c>
    </row>
    <row r="425" spans="1:9" s="365" customFormat="1" hidden="1">
      <c r="A425" s="365" t="s">
        <v>1182</v>
      </c>
      <c r="B425" s="365" t="s">
        <v>5450</v>
      </c>
      <c r="C425" s="365" t="s">
        <v>1194</v>
      </c>
      <c r="D425" s="365" t="s">
        <v>1195</v>
      </c>
      <c r="E425" s="368">
        <v>45621</v>
      </c>
      <c r="F425" s="369">
        <v>0</v>
      </c>
      <c r="G425" s="368">
        <v>45621</v>
      </c>
      <c r="H425" s="370">
        <v>45621.627581018518</v>
      </c>
      <c r="I425" s="365" t="s">
        <v>5314</v>
      </c>
    </row>
    <row r="426" spans="1:9" s="365" customFormat="1" hidden="1">
      <c r="A426" s="365" t="s">
        <v>1182</v>
      </c>
      <c r="B426" s="365" t="s">
        <v>5451</v>
      </c>
      <c r="C426" s="365" t="s">
        <v>1194</v>
      </c>
      <c r="D426" s="365" t="s">
        <v>1195</v>
      </c>
      <c r="E426" s="368">
        <v>45618</v>
      </c>
      <c r="F426" s="369">
        <v>0</v>
      </c>
      <c r="G426" s="368">
        <v>45618</v>
      </c>
      <c r="H426" s="370">
        <v>45618.662314814814</v>
      </c>
      <c r="I426" s="365" t="s">
        <v>5148</v>
      </c>
    </row>
    <row r="427" spans="1:9" s="365" customFormat="1">
      <c r="A427" s="365" t="s">
        <v>1000</v>
      </c>
      <c r="B427" s="365" t="s">
        <v>5452</v>
      </c>
      <c r="C427" s="365" t="s">
        <v>967</v>
      </c>
      <c r="D427" s="365" t="s">
        <v>65</v>
      </c>
      <c r="E427" s="368">
        <v>45616</v>
      </c>
      <c r="F427" s="369">
        <v>3000000</v>
      </c>
      <c r="G427" s="368">
        <v>45616</v>
      </c>
      <c r="H427" s="370">
        <v>45616.698564814818</v>
      </c>
      <c r="I427" s="365" t="s">
        <v>999</v>
      </c>
    </row>
    <row r="428" spans="1:9" s="365" customFormat="1" hidden="1">
      <c r="A428" s="365" t="s">
        <v>1182</v>
      </c>
      <c r="B428" s="365" t="s">
        <v>5453</v>
      </c>
      <c r="C428" s="365" t="s">
        <v>1194</v>
      </c>
      <c r="D428" s="365" t="s">
        <v>1195</v>
      </c>
      <c r="E428" s="368">
        <v>45621</v>
      </c>
      <c r="F428" s="369">
        <v>0</v>
      </c>
      <c r="G428" s="368">
        <v>45621</v>
      </c>
      <c r="H428" s="370">
        <v>45621.422048611108</v>
      </c>
      <c r="I428" s="365" t="s">
        <v>5454</v>
      </c>
    </row>
    <row r="429" spans="1:9" s="365" customFormat="1" hidden="1">
      <c r="A429" s="365" t="s">
        <v>1182</v>
      </c>
      <c r="B429" s="365" t="s">
        <v>5455</v>
      </c>
      <c r="C429" s="365" t="s">
        <v>1194</v>
      </c>
      <c r="D429" s="365" t="s">
        <v>1195</v>
      </c>
      <c r="E429" s="368">
        <v>45616</v>
      </c>
      <c r="F429" s="369">
        <v>0</v>
      </c>
      <c r="G429" s="368">
        <v>45616</v>
      </c>
      <c r="H429" s="370">
        <v>45616.664560185185</v>
      </c>
      <c r="I429" s="365" t="s">
        <v>5454</v>
      </c>
    </row>
    <row r="430" spans="1:9" s="365" customFormat="1" hidden="1">
      <c r="A430" s="365" t="s">
        <v>1182</v>
      </c>
      <c r="B430" s="365" t="s">
        <v>5456</v>
      </c>
      <c r="C430" s="365" t="s">
        <v>1194</v>
      </c>
      <c r="D430" s="365" t="s">
        <v>1195</v>
      </c>
      <c r="E430" s="368">
        <v>45623</v>
      </c>
      <c r="F430" s="369">
        <v>0</v>
      </c>
      <c r="G430" s="368">
        <v>45623</v>
      </c>
      <c r="H430" s="370">
        <v>45623.544039351851</v>
      </c>
      <c r="I430" s="365" t="s">
        <v>1051</v>
      </c>
    </row>
    <row r="431" spans="1:9" s="365" customFormat="1" hidden="1">
      <c r="A431" s="365" t="s">
        <v>1182</v>
      </c>
      <c r="B431" s="365" t="s">
        <v>5457</v>
      </c>
      <c r="C431" s="365" t="s">
        <v>1194</v>
      </c>
      <c r="D431" s="365" t="s">
        <v>1195</v>
      </c>
      <c r="E431" s="368">
        <v>45623</v>
      </c>
      <c r="F431" s="369">
        <v>0</v>
      </c>
      <c r="G431" s="368">
        <v>45623</v>
      </c>
      <c r="H431" s="370">
        <v>45623.711342592593</v>
      </c>
      <c r="I431" s="365" t="s">
        <v>5271</v>
      </c>
    </row>
    <row r="432" spans="1:9" s="365" customFormat="1" hidden="1">
      <c r="A432" s="365" t="s">
        <v>1182</v>
      </c>
      <c r="B432" s="365" t="s">
        <v>5458</v>
      </c>
      <c r="C432" s="365" t="s">
        <v>1194</v>
      </c>
      <c r="D432" s="365" t="s">
        <v>1195</v>
      </c>
      <c r="E432" s="368">
        <v>45617</v>
      </c>
      <c r="F432" s="369">
        <v>0</v>
      </c>
      <c r="G432" s="368">
        <v>45617</v>
      </c>
      <c r="H432" s="370">
        <v>45617.529004629629</v>
      </c>
      <c r="I432" s="365" t="s">
        <v>1175</v>
      </c>
    </row>
    <row r="433" spans="1:9" s="365" customFormat="1" hidden="1">
      <c r="A433" s="365" t="s">
        <v>1182</v>
      </c>
      <c r="B433" s="365" t="s">
        <v>5459</v>
      </c>
      <c r="C433" s="365" t="s">
        <v>1194</v>
      </c>
      <c r="D433" s="365" t="s">
        <v>1195</v>
      </c>
      <c r="E433" s="368">
        <v>45623</v>
      </c>
      <c r="F433" s="369">
        <v>0</v>
      </c>
      <c r="G433" s="368">
        <v>45623</v>
      </c>
      <c r="H433" s="370">
        <v>45623.72625</v>
      </c>
      <c r="I433" s="365" t="s">
        <v>5460</v>
      </c>
    </row>
    <row r="434" spans="1:9" s="365" customFormat="1" hidden="1">
      <c r="A434" s="365" t="s">
        <v>1182</v>
      </c>
      <c r="B434" s="365" t="s">
        <v>5461</v>
      </c>
      <c r="C434" s="365" t="s">
        <v>1194</v>
      </c>
      <c r="D434" s="365" t="s">
        <v>1195</v>
      </c>
      <c r="E434" s="368">
        <v>45623</v>
      </c>
      <c r="F434" s="369">
        <v>0</v>
      </c>
      <c r="G434" s="368">
        <v>45623</v>
      </c>
      <c r="H434" s="370">
        <v>45623.387962962966</v>
      </c>
      <c r="I434" s="365" t="s">
        <v>1202</v>
      </c>
    </row>
    <row r="435" spans="1:9" s="365" customFormat="1" hidden="1">
      <c r="A435" s="365" t="s">
        <v>1182</v>
      </c>
      <c r="B435" s="365" t="s">
        <v>5462</v>
      </c>
      <c r="C435" s="365" t="s">
        <v>1194</v>
      </c>
      <c r="D435" s="365" t="s">
        <v>1195</v>
      </c>
      <c r="E435" s="368">
        <v>45618</v>
      </c>
      <c r="F435" s="369">
        <v>0</v>
      </c>
      <c r="G435" s="368">
        <v>45618</v>
      </c>
      <c r="H435" s="370">
        <v>45618.463935185187</v>
      </c>
      <c r="I435" s="365" t="s">
        <v>5142</v>
      </c>
    </row>
    <row r="436" spans="1:9" s="365" customFormat="1" hidden="1">
      <c r="A436" s="365" t="s">
        <v>1182</v>
      </c>
      <c r="B436" s="365" t="s">
        <v>5463</v>
      </c>
      <c r="C436" s="365" t="s">
        <v>1194</v>
      </c>
      <c r="D436" s="365" t="s">
        <v>1195</v>
      </c>
      <c r="E436" s="368">
        <v>45621</v>
      </c>
      <c r="F436" s="369">
        <v>0</v>
      </c>
      <c r="G436" s="368">
        <v>45621</v>
      </c>
      <c r="H436" s="370">
        <v>45621.573518518519</v>
      </c>
      <c r="I436" s="365" t="s">
        <v>5271</v>
      </c>
    </row>
    <row r="437" spans="1:9" s="365" customFormat="1" hidden="1">
      <c r="A437" s="365" t="s">
        <v>1182</v>
      </c>
      <c r="B437" s="365" t="s">
        <v>5464</v>
      </c>
      <c r="C437" s="365" t="s">
        <v>1194</v>
      </c>
      <c r="D437" s="365" t="s">
        <v>1195</v>
      </c>
      <c r="E437" s="368">
        <v>45621</v>
      </c>
      <c r="F437" s="369">
        <v>0</v>
      </c>
      <c r="G437" s="368">
        <v>45621</v>
      </c>
      <c r="H437" s="370">
        <v>45621.582175925927</v>
      </c>
      <c r="I437" s="365" t="s">
        <v>5073</v>
      </c>
    </row>
    <row r="438" spans="1:9" s="365" customFormat="1" hidden="1">
      <c r="A438" s="365" t="s">
        <v>1182</v>
      </c>
      <c r="B438" s="365" t="s">
        <v>5465</v>
      </c>
      <c r="C438" s="365" t="s">
        <v>1194</v>
      </c>
      <c r="D438" s="365" t="s">
        <v>1195</v>
      </c>
      <c r="E438" s="368">
        <v>45618</v>
      </c>
      <c r="F438" s="369">
        <v>0</v>
      </c>
      <c r="G438" s="368">
        <v>45618</v>
      </c>
      <c r="H438" s="370">
        <v>45618.375671296293</v>
      </c>
      <c r="I438" s="365" t="s">
        <v>1048</v>
      </c>
    </row>
    <row r="439" spans="1:9" s="365" customFormat="1">
      <c r="A439" s="365" t="s">
        <v>1000</v>
      </c>
      <c r="B439" s="365" t="s">
        <v>5466</v>
      </c>
      <c r="C439" s="365" t="s">
        <v>965</v>
      </c>
      <c r="D439" s="365" t="s">
        <v>966</v>
      </c>
      <c r="E439" s="368">
        <v>45623</v>
      </c>
      <c r="F439" s="369">
        <v>2000000</v>
      </c>
      <c r="G439" s="368">
        <v>45623</v>
      </c>
      <c r="H439" s="370">
        <v>45623.720208333332</v>
      </c>
      <c r="I439" s="365" t="s">
        <v>999</v>
      </c>
    </row>
    <row r="440" spans="1:9" s="365" customFormat="1" hidden="1">
      <c r="A440" s="365" t="s">
        <v>1182</v>
      </c>
      <c r="B440" s="365" t="s">
        <v>5467</v>
      </c>
      <c r="C440" s="365" t="s">
        <v>1194</v>
      </c>
      <c r="D440" s="365" t="s">
        <v>1195</v>
      </c>
      <c r="E440" s="368">
        <v>45617</v>
      </c>
      <c r="F440" s="369">
        <v>0</v>
      </c>
      <c r="G440" s="368">
        <v>45617</v>
      </c>
      <c r="H440" s="370">
        <v>45617.699780092589</v>
      </c>
      <c r="I440" s="365" t="s">
        <v>5073</v>
      </c>
    </row>
    <row r="441" spans="1:9" s="365" customFormat="1" hidden="1">
      <c r="A441" s="365" t="s">
        <v>1182</v>
      </c>
      <c r="B441" s="365" t="s">
        <v>5468</v>
      </c>
      <c r="C441" s="365" t="s">
        <v>1194</v>
      </c>
      <c r="D441" s="365" t="s">
        <v>1195</v>
      </c>
      <c r="E441" s="368">
        <v>45624</v>
      </c>
      <c r="F441" s="369">
        <v>0</v>
      </c>
      <c r="G441" s="368">
        <v>45624</v>
      </c>
      <c r="H441" s="370">
        <v>45624.414004629631</v>
      </c>
      <c r="I441" s="365" t="s">
        <v>974</v>
      </c>
    </row>
    <row r="442" spans="1:9" s="365" customFormat="1" hidden="1">
      <c r="A442" s="365" t="s">
        <v>1182</v>
      </c>
      <c r="B442" s="365" t="s">
        <v>5469</v>
      </c>
      <c r="C442" s="365" t="s">
        <v>1194</v>
      </c>
      <c r="D442" s="365" t="s">
        <v>1195</v>
      </c>
      <c r="E442" s="368">
        <v>45626</v>
      </c>
      <c r="F442" s="369">
        <v>0</v>
      </c>
      <c r="G442" s="368">
        <v>45626</v>
      </c>
      <c r="H442" s="370">
        <v>45626.594166666669</v>
      </c>
      <c r="I442" s="365" t="s">
        <v>1065</v>
      </c>
    </row>
    <row r="443" spans="1:9" s="365" customFormat="1" hidden="1">
      <c r="A443" s="365" t="s">
        <v>1182</v>
      </c>
      <c r="B443" s="365" t="s">
        <v>5470</v>
      </c>
      <c r="C443" s="365" t="s">
        <v>1194</v>
      </c>
      <c r="D443" s="365" t="s">
        <v>1195</v>
      </c>
      <c r="E443" s="368">
        <v>45621</v>
      </c>
      <c r="F443" s="369">
        <v>0</v>
      </c>
      <c r="G443" s="368">
        <v>45621</v>
      </c>
      <c r="H443" s="370">
        <v>45621.504317129627</v>
      </c>
      <c r="I443" s="365" t="s">
        <v>1036</v>
      </c>
    </row>
    <row r="444" spans="1:9" s="365" customFormat="1" hidden="1">
      <c r="A444" s="365" t="s">
        <v>1182</v>
      </c>
      <c r="B444" s="365" t="s">
        <v>5471</v>
      </c>
      <c r="C444" s="365" t="s">
        <v>1194</v>
      </c>
      <c r="D444" s="365" t="s">
        <v>1195</v>
      </c>
      <c r="E444" s="368">
        <v>45618</v>
      </c>
      <c r="F444" s="369">
        <v>0</v>
      </c>
      <c r="G444" s="368">
        <v>45618</v>
      </c>
      <c r="H444" s="370">
        <v>45618.382511574076</v>
      </c>
      <c r="I444" s="365" t="s">
        <v>990</v>
      </c>
    </row>
    <row r="445" spans="1:9" s="365" customFormat="1">
      <c r="A445" s="365" t="s">
        <v>1000</v>
      </c>
      <c r="B445" s="365" t="s">
        <v>5472</v>
      </c>
      <c r="C445" s="365" t="s">
        <v>965</v>
      </c>
      <c r="D445" s="365" t="s">
        <v>966</v>
      </c>
      <c r="E445" s="368">
        <v>45618</v>
      </c>
      <c r="F445" s="369">
        <v>160000</v>
      </c>
      <c r="G445" s="368">
        <v>45618</v>
      </c>
      <c r="H445" s="370">
        <v>45618.655717592592</v>
      </c>
      <c r="I445" s="365" t="s">
        <v>985</v>
      </c>
    </row>
    <row r="446" spans="1:9" s="365" customFormat="1" hidden="1">
      <c r="A446" s="365" t="s">
        <v>1182</v>
      </c>
      <c r="B446" s="365" t="s">
        <v>5473</v>
      </c>
      <c r="C446" s="365" t="s">
        <v>1194</v>
      </c>
      <c r="D446" s="365" t="s">
        <v>1195</v>
      </c>
      <c r="E446" s="368">
        <v>45618</v>
      </c>
      <c r="F446" s="369">
        <v>0</v>
      </c>
      <c r="G446" s="368">
        <v>45618</v>
      </c>
      <c r="H446" s="370">
        <v>45618.710150462961</v>
      </c>
      <c r="I446" s="365" t="s">
        <v>1203</v>
      </c>
    </row>
    <row r="447" spans="1:9" s="365" customFormat="1" hidden="1">
      <c r="A447" s="365" t="s">
        <v>1182</v>
      </c>
      <c r="B447" s="365" t="s">
        <v>5474</v>
      </c>
      <c r="C447" s="365" t="s">
        <v>1194</v>
      </c>
      <c r="D447" s="365" t="s">
        <v>1195</v>
      </c>
      <c r="E447" s="368">
        <v>45618</v>
      </c>
      <c r="F447" s="369">
        <v>0</v>
      </c>
      <c r="G447" s="368">
        <v>45618</v>
      </c>
      <c r="H447" s="370">
        <v>45618.723738425928</v>
      </c>
      <c r="I447" s="365" t="s">
        <v>1203</v>
      </c>
    </row>
    <row r="448" spans="1:9" s="365" customFormat="1">
      <c r="A448" s="365" t="s">
        <v>1000</v>
      </c>
      <c r="B448" s="365" t="s">
        <v>5475</v>
      </c>
      <c r="C448" s="365" t="s">
        <v>962</v>
      </c>
      <c r="D448" s="365" t="s">
        <v>307</v>
      </c>
      <c r="E448" s="368">
        <v>45625</v>
      </c>
      <c r="F448" s="369">
        <v>0</v>
      </c>
      <c r="G448" s="368">
        <v>45625</v>
      </c>
      <c r="H448" s="370">
        <v>45625.499166666668</v>
      </c>
      <c r="I448" s="365" t="s">
        <v>1001</v>
      </c>
    </row>
    <row r="449" spans="1:9" s="365" customFormat="1" hidden="1">
      <c r="A449" s="365" t="s">
        <v>1182</v>
      </c>
      <c r="B449" s="365" t="s">
        <v>5476</v>
      </c>
      <c r="C449" s="365" t="s">
        <v>1194</v>
      </c>
      <c r="D449" s="365" t="s">
        <v>1195</v>
      </c>
      <c r="E449" s="368">
        <v>45624</v>
      </c>
      <c r="F449" s="369">
        <v>0</v>
      </c>
      <c r="G449" s="368">
        <v>45624</v>
      </c>
      <c r="H449" s="370">
        <v>45624.308645833335</v>
      </c>
      <c r="I449" s="365" t="s">
        <v>1198</v>
      </c>
    </row>
    <row r="450" spans="1:9" s="365" customFormat="1" hidden="1">
      <c r="A450" s="365" t="s">
        <v>1182</v>
      </c>
      <c r="B450" s="365" t="s">
        <v>5477</v>
      </c>
      <c r="C450" s="365" t="s">
        <v>1194</v>
      </c>
      <c r="D450" s="365" t="s">
        <v>1195</v>
      </c>
      <c r="E450" s="368">
        <v>45623</v>
      </c>
      <c r="F450" s="369">
        <v>0</v>
      </c>
      <c r="G450" s="368">
        <v>45623</v>
      </c>
      <c r="H450" s="370">
        <v>45623.702337962961</v>
      </c>
      <c r="I450" s="365" t="s">
        <v>1042</v>
      </c>
    </row>
    <row r="451" spans="1:9" s="365" customFormat="1">
      <c r="A451" s="365" t="s">
        <v>1000</v>
      </c>
      <c r="B451" s="365" t="s">
        <v>5478</v>
      </c>
      <c r="C451" s="365" t="s">
        <v>968</v>
      </c>
      <c r="D451" s="365" t="s">
        <v>173</v>
      </c>
      <c r="E451" s="368">
        <v>45618</v>
      </c>
      <c r="F451" s="369">
        <v>10000000</v>
      </c>
      <c r="G451" s="368">
        <v>45618</v>
      </c>
      <c r="H451" s="370">
        <v>45618.706064814818</v>
      </c>
      <c r="I451" s="365" t="s">
        <v>999</v>
      </c>
    </row>
    <row r="452" spans="1:9" s="365" customFormat="1" hidden="1">
      <c r="A452" s="365" t="s">
        <v>1182</v>
      </c>
      <c r="B452" s="365" t="s">
        <v>5479</v>
      </c>
      <c r="C452" s="365" t="s">
        <v>1194</v>
      </c>
      <c r="D452" s="365" t="s">
        <v>1195</v>
      </c>
      <c r="E452" s="368">
        <v>45625</v>
      </c>
      <c r="F452" s="369">
        <v>0</v>
      </c>
      <c r="G452" s="368">
        <v>45625</v>
      </c>
      <c r="H452" s="370">
        <v>45625.558483796296</v>
      </c>
      <c r="I452" s="365" t="s">
        <v>1045</v>
      </c>
    </row>
    <row r="453" spans="1:9" s="365" customFormat="1" hidden="1">
      <c r="A453" s="365" t="s">
        <v>1182</v>
      </c>
      <c r="B453" s="365" t="s">
        <v>5480</v>
      </c>
      <c r="C453" s="365" t="s">
        <v>1194</v>
      </c>
      <c r="D453" s="365" t="s">
        <v>1195</v>
      </c>
      <c r="E453" s="368">
        <v>45619</v>
      </c>
      <c r="F453" s="369">
        <v>0</v>
      </c>
      <c r="G453" s="368">
        <v>45619</v>
      </c>
      <c r="H453" s="370">
        <v>45619.528344907405</v>
      </c>
      <c r="I453" s="365" t="s">
        <v>5125</v>
      </c>
    </row>
    <row r="454" spans="1:9" s="365" customFormat="1" hidden="1">
      <c r="A454" s="365" t="s">
        <v>1182</v>
      </c>
      <c r="B454" s="365" t="s">
        <v>5481</v>
      </c>
      <c r="C454" s="365" t="s">
        <v>1194</v>
      </c>
      <c r="D454" s="365" t="s">
        <v>1195</v>
      </c>
      <c r="E454" s="368">
        <v>45622</v>
      </c>
      <c r="F454" s="369">
        <v>0</v>
      </c>
      <c r="G454" s="368">
        <v>45622</v>
      </c>
      <c r="H454" s="370">
        <v>45622.662083333336</v>
      </c>
      <c r="I454" s="365" t="s">
        <v>5142</v>
      </c>
    </row>
    <row r="455" spans="1:9" s="365" customFormat="1" hidden="1">
      <c r="A455" s="365" t="s">
        <v>1182</v>
      </c>
      <c r="B455" s="365" t="s">
        <v>5482</v>
      </c>
      <c r="C455" s="365" t="s">
        <v>1194</v>
      </c>
      <c r="D455" s="365" t="s">
        <v>1195</v>
      </c>
      <c r="E455" s="368">
        <v>45625</v>
      </c>
      <c r="F455" s="369">
        <v>0</v>
      </c>
      <c r="G455" s="368">
        <v>45625</v>
      </c>
      <c r="H455" s="370">
        <v>45625.728009259263</v>
      </c>
      <c r="I455" s="365" t="s">
        <v>5271</v>
      </c>
    </row>
    <row r="456" spans="1:9" s="365" customFormat="1" hidden="1">
      <c r="A456" s="365" t="s">
        <v>1182</v>
      </c>
      <c r="B456" s="365" t="s">
        <v>5483</v>
      </c>
      <c r="C456" s="365" t="s">
        <v>1194</v>
      </c>
      <c r="D456" s="365" t="s">
        <v>1195</v>
      </c>
      <c r="E456" s="368">
        <v>45618</v>
      </c>
      <c r="F456" s="369">
        <v>0</v>
      </c>
      <c r="G456" s="368">
        <v>45618</v>
      </c>
      <c r="H456" s="370">
        <v>45618.477662037039</v>
      </c>
      <c r="I456" s="365" t="s">
        <v>1207</v>
      </c>
    </row>
    <row r="457" spans="1:9" s="365" customFormat="1" hidden="1">
      <c r="A457" s="365" t="s">
        <v>1182</v>
      </c>
      <c r="B457" s="365" t="s">
        <v>5484</v>
      </c>
      <c r="C457" s="365" t="s">
        <v>1194</v>
      </c>
      <c r="D457" s="365" t="s">
        <v>1195</v>
      </c>
      <c r="E457" s="368">
        <v>45622</v>
      </c>
      <c r="F457" s="369">
        <v>0</v>
      </c>
      <c r="G457" s="368">
        <v>45622</v>
      </c>
      <c r="H457" s="370">
        <v>45622.698761574073</v>
      </c>
      <c r="I457" s="365" t="s">
        <v>5173</v>
      </c>
    </row>
    <row r="458" spans="1:9" s="365" customFormat="1" hidden="1">
      <c r="A458" s="365" t="s">
        <v>1182</v>
      </c>
      <c r="B458" s="365" t="s">
        <v>5485</v>
      </c>
      <c r="C458" s="365" t="s">
        <v>1194</v>
      </c>
      <c r="D458" s="365" t="s">
        <v>1195</v>
      </c>
      <c r="E458" s="368">
        <v>45622</v>
      </c>
      <c r="F458" s="369">
        <v>0</v>
      </c>
      <c r="G458" s="368">
        <v>45622</v>
      </c>
      <c r="H458" s="370">
        <v>45622.528321759259</v>
      </c>
      <c r="I458" s="365" t="s">
        <v>1042</v>
      </c>
    </row>
    <row r="459" spans="1:9" s="365" customFormat="1" hidden="1">
      <c r="A459" s="365" t="s">
        <v>1182</v>
      </c>
      <c r="B459" s="365" t="s">
        <v>5486</v>
      </c>
      <c r="C459" s="365" t="s">
        <v>1194</v>
      </c>
      <c r="D459" s="365" t="s">
        <v>1195</v>
      </c>
      <c r="E459" s="368">
        <v>45616</v>
      </c>
      <c r="F459" s="369">
        <v>0</v>
      </c>
      <c r="G459" s="368">
        <v>45616</v>
      </c>
      <c r="H459" s="370">
        <v>45616.694224537037</v>
      </c>
      <c r="I459" s="365" t="s">
        <v>5073</v>
      </c>
    </row>
    <row r="460" spans="1:9" s="365" customFormat="1" hidden="1">
      <c r="A460" s="365" t="s">
        <v>1182</v>
      </c>
      <c r="B460" s="365" t="s">
        <v>5487</v>
      </c>
      <c r="C460" s="365" t="s">
        <v>1194</v>
      </c>
      <c r="D460" s="365" t="s">
        <v>1195</v>
      </c>
      <c r="E460" s="368">
        <v>45621</v>
      </c>
      <c r="F460" s="369">
        <v>0</v>
      </c>
      <c r="G460" s="368">
        <v>45621</v>
      </c>
      <c r="H460" s="370">
        <v>45621.333344907405</v>
      </c>
      <c r="I460" s="365" t="s">
        <v>1025</v>
      </c>
    </row>
    <row r="461" spans="1:9" s="365" customFormat="1" hidden="1">
      <c r="A461" s="365" t="s">
        <v>1182</v>
      </c>
      <c r="B461" s="365" t="s">
        <v>5488</v>
      </c>
      <c r="C461" s="365" t="s">
        <v>1194</v>
      </c>
      <c r="D461" s="365" t="s">
        <v>1195</v>
      </c>
      <c r="E461" s="368">
        <v>45617</v>
      </c>
      <c r="F461" s="369">
        <v>0</v>
      </c>
      <c r="G461" s="368">
        <v>45617</v>
      </c>
      <c r="H461" s="370">
        <v>45617.406469907408</v>
      </c>
      <c r="I461" s="365" t="s">
        <v>1056</v>
      </c>
    </row>
    <row r="462" spans="1:9" s="365" customFormat="1" hidden="1">
      <c r="A462" s="365" t="s">
        <v>1182</v>
      </c>
      <c r="B462" s="365" t="s">
        <v>5489</v>
      </c>
      <c r="C462" s="365" t="s">
        <v>1194</v>
      </c>
      <c r="D462" s="365" t="s">
        <v>1195</v>
      </c>
      <c r="E462" s="368">
        <v>45618</v>
      </c>
      <c r="F462" s="369">
        <v>0</v>
      </c>
      <c r="G462" s="368">
        <v>45618</v>
      </c>
      <c r="H462" s="370">
        <v>45618.446620370371</v>
      </c>
      <c r="I462" s="365" t="s">
        <v>992</v>
      </c>
    </row>
    <row r="463" spans="1:9" s="365" customFormat="1" hidden="1">
      <c r="A463" s="365" t="s">
        <v>1182</v>
      </c>
      <c r="B463" s="365" t="s">
        <v>5490</v>
      </c>
      <c r="C463" s="365" t="s">
        <v>1194</v>
      </c>
      <c r="D463" s="365" t="s">
        <v>1195</v>
      </c>
      <c r="E463" s="368">
        <v>45623</v>
      </c>
      <c r="F463" s="369">
        <v>0</v>
      </c>
      <c r="G463" s="368">
        <v>45623</v>
      </c>
      <c r="H463" s="370">
        <v>45623.611643518518</v>
      </c>
      <c r="I463" s="365" t="s">
        <v>5057</v>
      </c>
    </row>
    <row r="464" spans="1:9" s="365" customFormat="1" hidden="1">
      <c r="A464" s="365" t="s">
        <v>1182</v>
      </c>
      <c r="B464" s="365" t="s">
        <v>5491</v>
      </c>
      <c r="C464" s="365" t="s">
        <v>1194</v>
      </c>
      <c r="D464" s="365" t="s">
        <v>1195</v>
      </c>
      <c r="E464" s="368">
        <v>45622</v>
      </c>
      <c r="F464" s="369">
        <v>0</v>
      </c>
      <c r="G464" s="368">
        <v>45622</v>
      </c>
      <c r="H464" s="370">
        <v>45622.397453703707</v>
      </c>
      <c r="I464" s="365" t="s">
        <v>5262</v>
      </c>
    </row>
    <row r="465" spans="1:9" s="365" customFormat="1" hidden="1">
      <c r="A465" s="365" t="s">
        <v>1182</v>
      </c>
      <c r="B465" s="365" t="s">
        <v>5492</v>
      </c>
      <c r="C465" s="365" t="s">
        <v>1194</v>
      </c>
      <c r="D465" s="365" t="s">
        <v>1195</v>
      </c>
      <c r="E465" s="368">
        <v>45617</v>
      </c>
      <c r="F465" s="369">
        <v>0</v>
      </c>
      <c r="G465" s="368">
        <v>45617</v>
      </c>
      <c r="H465" s="370">
        <v>45617.380891203706</v>
      </c>
      <c r="I465" s="365" t="s">
        <v>1029</v>
      </c>
    </row>
    <row r="466" spans="1:9" s="365" customFormat="1" hidden="1">
      <c r="A466" s="365" t="s">
        <v>1182</v>
      </c>
      <c r="B466" s="365" t="s">
        <v>5493</v>
      </c>
      <c r="C466" s="365" t="s">
        <v>1194</v>
      </c>
      <c r="D466" s="365" t="s">
        <v>1195</v>
      </c>
      <c r="E466" s="368">
        <v>45622</v>
      </c>
      <c r="F466" s="369">
        <v>0</v>
      </c>
      <c r="G466" s="368">
        <v>45622</v>
      </c>
      <c r="H466" s="370">
        <v>45622.602719907409</v>
      </c>
      <c r="I466" s="365" t="s">
        <v>5319</v>
      </c>
    </row>
    <row r="467" spans="1:9" s="365" customFormat="1" hidden="1">
      <c r="A467" s="365" t="s">
        <v>1182</v>
      </c>
      <c r="B467" s="365" t="s">
        <v>5494</v>
      </c>
      <c r="C467" s="365" t="s">
        <v>1194</v>
      </c>
      <c r="D467" s="365" t="s">
        <v>1195</v>
      </c>
      <c r="E467" s="368">
        <v>45625</v>
      </c>
      <c r="F467" s="369">
        <v>0</v>
      </c>
      <c r="G467" s="368">
        <v>45625</v>
      </c>
      <c r="H467" s="370">
        <v>45625.678391203706</v>
      </c>
      <c r="I467" s="365" t="s">
        <v>1048</v>
      </c>
    </row>
    <row r="468" spans="1:9" s="365" customFormat="1" hidden="1">
      <c r="A468" s="365" t="s">
        <v>1182</v>
      </c>
      <c r="B468" s="365" t="s">
        <v>5495</v>
      </c>
      <c r="C468" s="365" t="s">
        <v>1194</v>
      </c>
      <c r="D468" s="365" t="s">
        <v>1195</v>
      </c>
      <c r="E468" s="368">
        <v>45625</v>
      </c>
      <c r="F468" s="369">
        <v>0</v>
      </c>
      <c r="G468" s="368">
        <v>45625</v>
      </c>
      <c r="H468" s="370">
        <v>45625.460428240738</v>
      </c>
      <c r="I468" s="365" t="s">
        <v>1034</v>
      </c>
    </row>
    <row r="469" spans="1:9" s="365" customFormat="1" hidden="1">
      <c r="A469" s="365" t="s">
        <v>1182</v>
      </c>
      <c r="B469" s="365" t="s">
        <v>5496</v>
      </c>
      <c r="C469" s="365" t="s">
        <v>1194</v>
      </c>
      <c r="D469" s="365" t="s">
        <v>1195</v>
      </c>
      <c r="E469" s="368">
        <v>45625</v>
      </c>
      <c r="F469" s="369">
        <v>0</v>
      </c>
      <c r="G469" s="368">
        <v>45625</v>
      </c>
      <c r="H469" s="370">
        <v>45625.48028935185</v>
      </c>
      <c r="I469" s="365" t="s">
        <v>1034</v>
      </c>
    </row>
    <row r="470" spans="1:9" s="365" customFormat="1" hidden="1">
      <c r="A470" s="365" t="s">
        <v>1182</v>
      </c>
      <c r="B470" s="365" t="s">
        <v>5497</v>
      </c>
      <c r="C470" s="365" t="s">
        <v>1194</v>
      </c>
      <c r="D470" s="365" t="s">
        <v>1195</v>
      </c>
      <c r="E470" s="368">
        <v>45617</v>
      </c>
      <c r="F470" s="369">
        <v>0</v>
      </c>
      <c r="G470" s="368">
        <v>45617</v>
      </c>
      <c r="H470" s="370">
        <v>45617.304293981484</v>
      </c>
      <c r="I470" s="365" t="s">
        <v>5231</v>
      </c>
    </row>
    <row r="471" spans="1:9" s="365" customFormat="1" hidden="1">
      <c r="A471" s="365" t="s">
        <v>1182</v>
      </c>
      <c r="B471" s="365" t="s">
        <v>5498</v>
      </c>
      <c r="C471" s="365" t="s">
        <v>1194</v>
      </c>
      <c r="D471" s="365" t="s">
        <v>1195</v>
      </c>
      <c r="E471" s="368">
        <v>45621</v>
      </c>
      <c r="F471" s="369">
        <v>0</v>
      </c>
      <c r="G471" s="368">
        <v>45621</v>
      </c>
      <c r="H471" s="370">
        <v>45621.352789351855</v>
      </c>
      <c r="I471" s="365" t="s">
        <v>1051</v>
      </c>
    </row>
    <row r="472" spans="1:9" s="365" customFormat="1" hidden="1">
      <c r="A472" s="365" t="s">
        <v>1182</v>
      </c>
      <c r="B472" s="365" t="s">
        <v>5499</v>
      </c>
      <c r="C472" s="365" t="s">
        <v>1194</v>
      </c>
      <c r="D472" s="365" t="s">
        <v>1195</v>
      </c>
      <c r="E472" s="368">
        <v>45621</v>
      </c>
      <c r="F472" s="369">
        <v>0</v>
      </c>
      <c r="G472" s="368">
        <v>45621</v>
      </c>
      <c r="H472" s="370">
        <v>45621.373865740738</v>
      </c>
      <c r="I472" s="365" t="s">
        <v>5454</v>
      </c>
    </row>
    <row r="473" spans="1:9" s="365" customFormat="1" hidden="1">
      <c r="A473" s="365" t="s">
        <v>1182</v>
      </c>
      <c r="B473" s="365" t="s">
        <v>5500</v>
      </c>
      <c r="C473" s="365" t="s">
        <v>1194</v>
      </c>
      <c r="D473" s="365" t="s">
        <v>1195</v>
      </c>
      <c r="E473" s="368">
        <v>45622</v>
      </c>
      <c r="F473" s="369">
        <v>0</v>
      </c>
      <c r="G473" s="368">
        <v>45622</v>
      </c>
      <c r="H473" s="370">
        <v>45622.46707175926</v>
      </c>
      <c r="I473" s="365" t="s">
        <v>1027</v>
      </c>
    </row>
    <row r="474" spans="1:9" s="365" customFormat="1" hidden="1">
      <c r="A474" s="365" t="s">
        <v>1182</v>
      </c>
      <c r="B474" s="365" t="s">
        <v>5501</v>
      </c>
      <c r="C474" s="365" t="s">
        <v>1194</v>
      </c>
      <c r="D474" s="365" t="s">
        <v>1195</v>
      </c>
      <c r="E474" s="368">
        <v>45625</v>
      </c>
      <c r="F474" s="369">
        <v>0</v>
      </c>
      <c r="G474" s="368">
        <v>45625</v>
      </c>
      <c r="H474" s="370">
        <v>45625.649375000001</v>
      </c>
      <c r="I474" s="365" t="s">
        <v>1067</v>
      </c>
    </row>
    <row r="475" spans="1:9" s="365" customFormat="1" hidden="1">
      <c r="A475" s="365" t="s">
        <v>1182</v>
      </c>
      <c r="B475" s="365" t="s">
        <v>5502</v>
      </c>
      <c r="C475" s="365" t="s">
        <v>1194</v>
      </c>
      <c r="D475" s="365" t="s">
        <v>1195</v>
      </c>
      <c r="E475" s="368">
        <v>45625</v>
      </c>
      <c r="F475" s="369">
        <v>0</v>
      </c>
      <c r="G475" s="368">
        <v>45625</v>
      </c>
      <c r="H475" s="370">
        <v>45625.653726851851</v>
      </c>
      <c r="I475" s="365" t="s">
        <v>1067</v>
      </c>
    </row>
    <row r="476" spans="1:9" s="365" customFormat="1" hidden="1">
      <c r="A476" s="365" t="s">
        <v>1182</v>
      </c>
      <c r="B476" s="365" t="s">
        <v>5503</v>
      </c>
      <c r="C476" s="365" t="s">
        <v>1194</v>
      </c>
      <c r="D476" s="365" t="s">
        <v>1195</v>
      </c>
      <c r="E476" s="368">
        <v>45624</v>
      </c>
      <c r="F476" s="369">
        <v>0</v>
      </c>
      <c r="G476" s="368">
        <v>45624</v>
      </c>
      <c r="H476" s="370">
        <v>45624.548506944448</v>
      </c>
      <c r="I476" s="365" t="s">
        <v>1058</v>
      </c>
    </row>
    <row r="477" spans="1:9" s="365" customFormat="1" hidden="1">
      <c r="A477" s="365" t="s">
        <v>1182</v>
      </c>
      <c r="B477" s="365" t="s">
        <v>5504</v>
      </c>
      <c r="C477" s="365" t="s">
        <v>1194</v>
      </c>
      <c r="D477" s="365" t="s">
        <v>1195</v>
      </c>
      <c r="E477" s="368">
        <v>45618</v>
      </c>
      <c r="F477" s="369">
        <v>0</v>
      </c>
      <c r="G477" s="368">
        <v>45618</v>
      </c>
      <c r="H477" s="370">
        <v>45618.511006944442</v>
      </c>
      <c r="I477" s="365" t="s">
        <v>1204</v>
      </c>
    </row>
    <row r="478" spans="1:9" s="365" customFormat="1" hidden="1">
      <c r="A478" s="365" t="s">
        <v>1182</v>
      </c>
      <c r="B478" s="365" t="s">
        <v>5505</v>
      </c>
      <c r="C478" s="365" t="s">
        <v>1194</v>
      </c>
      <c r="D478" s="365" t="s">
        <v>1195</v>
      </c>
      <c r="E478" s="368">
        <v>45617</v>
      </c>
      <c r="F478" s="369">
        <v>0</v>
      </c>
      <c r="G478" s="368">
        <v>45617</v>
      </c>
      <c r="H478" s="370">
        <v>45617.397731481484</v>
      </c>
      <c r="I478" s="365" t="s">
        <v>1034</v>
      </c>
    </row>
    <row r="479" spans="1:9" s="365" customFormat="1">
      <c r="A479" s="365" t="s">
        <v>1000</v>
      </c>
      <c r="B479" s="365" t="s">
        <v>5506</v>
      </c>
      <c r="C479" s="365" t="s">
        <v>964</v>
      </c>
      <c r="D479" s="365" t="s">
        <v>97</v>
      </c>
      <c r="E479" s="368">
        <v>45624</v>
      </c>
      <c r="F479" s="369">
        <v>3000000</v>
      </c>
      <c r="G479" s="368">
        <v>45624</v>
      </c>
      <c r="H479" s="370">
        <v>45624.676631944443</v>
      </c>
      <c r="I479" s="365" t="s">
        <v>999</v>
      </c>
    </row>
    <row r="480" spans="1:9" s="365" customFormat="1">
      <c r="A480" s="365" t="s">
        <v>1000</v>
      </c>
      <c r="B480" s="365" t="s">
        <v>5507</v>
      </c>
      <c r="C480" s="365" t="s">
        <v>967</v>
      </c>
      <c r="D480" s="365" t="s">
        <v>65</v>
      </c>
      <c r="E480" s="368">
        <v>45621</v>
      </c>
      <c r="F480" s="369">
        <v>1000000</v>
      </c>
      <c r="G480" s="368">
        <v>45621</v>
      </c>
      <c r="H480" s="370">
        <v>45621.660682870373</v>
      </c>
      <c r="I480" s="365" t="s">
        <v>999</v>
      </c>
    </row>
    <row r="481" spans="1:9" s="365" customFormat="1" hidden="1">
      <c r="A481" s="365" t="s">
        <v>1182</v>
      </c>
      <c r="B481" s="365" t="s">
        <v>5508</v>
      </c>
      <c r="C481" s="365" t="s">
        <v>1194</v>
      </c>
      <c r="D481" s="365" t="s">
        <v>1195</v>
      </c>
      <c r="E481" s="368">
        <v>45621</v>
      </c>
      <c r="F481" s="369">
        <v>0</v>
      </c>
      <c r="G481" s="368">
        <v>45621</v>
      </c>
      <c r="H481" s="370">
        <v>45621.678622685184</v>
      </c>
      <c r="I481" s="365" t="s">
        <v>5142</v>
      </c>
    </row>
    <row r="482" spans="1:9" s="365" customFormat="1" hidden="1">
      <c r="A482" s="365" t="s">
        <v>1182</v>
      </c>
      <c r="B482" s="365" t="s">
        <v>5509</v>
      </c>
      <c r="C482" s="365" t="s">
        <v>1194</v>
      </c>
      <c r="D482" s="365" t="s">
        <v>1195</v>
      </c>
      <c r="E482" s="368">
        <v>45618</v>
      </c>
      <c r="F482" s="369">
        <v>0</v>
      </c>
      <c r="G482" s="368">
        <v>45618</v>
      </c>
      <c r="H482" s="370">
        <v>45618.572928240741</v>
      </c>
      <c r="I482" s="365" t="s">
        <v>1174</v>
      </c>
    </row>
    <row r="483" spans="1:9" s="365" customFormat="1" hidden="1">
      <c r="A483" s="365" t="s">
        <v>1182</v>
      </c>
      <c r="B483" s="365" t="s">
        <v>5510</v>
      </c>
      <c r="C483" s="365" t="s">
        <v>1194</v>
      </c>
      <c r="D483" s="365" t="s">
        <v>1195</v>
      </c>
      <c r="E483" s="368">
        <v>45622</v>
      </c>
      <c r="F483" s="369">
        <v>0</v>
      </c>
      <c r="G483" s="368">
        <v>45622</v>
      </c>
      <c r="H483" s="370">
        <v>45622.49</v>
      </c>
      <c r="I483" s="365" t="s">
        <v>1024</v>
      </c>
    </row>
    <row r="484" spans="1:9" s="365" customFormat="1" hidden="1">
      <c r="A484" s="365" t="s">
        <v>1182</v>
      </c>
      <c r="B484" s="365" t="s">
        <v>5511</v>
      </c>
      <c r="C484" s="365" t="s">
        <v>1194</v>
      </c>
      <c r="D484" s="365" t="s">
        <v>1195</v>
      </c>
      <c r="E484" s="368">
        <v>45623</v>
      </c>
      <c r="F484" s="369">
        <v>0</v>
      </c>
      <c r="G484" s="368">
        <v>45623</v>
      </c>
      <c r="H484" s="370">
        <v>45623.332187499997</v>
      </c>
      <c r="I484" s="365" t="s">
        <v>1196</v>
      </c>
    </row>
    <row r="485" spans="1:9" s="365" customFormat="1" hidden="1">
      <c r="A485" s="365" t="s">
        <v>1182</v>
      </c>
      <c r="B485" s="365" t="s">
        <v>5512</v>
      </c>
      <c r="C485" s="365" t="s">
        <v>1194</v>
      </c>
      <c r="D485" s="365" t="s">
        <v>1195</v>
      </c>
      <c r="E485" s="368">
        <v>45621</v>
      </c>
      <c r="F485" s="369">
        <v>0</v>
      </c>
      <c r="G485" s="368">
        <v>45621</v>
      </c>
      <c r="H485" s="370">
        <v>45621.474930555552</v>
      </c>
      <c r="I485" s="365" t="s">
        <v>5231</v>
      </c>
    </row>
    <row r="486" spans="1:9" s="365" customFormat="1" hidden="1">
      <c r="A486" s="365" t="s">
        <v>1182</v>
      </c>
      <c r="B486" s="365" t="s">
        <v>5513</v>
      </c>
      <c r="C486" s="365" t="s">
        <v>1194</v>
      </c>
      <c r="D486" s="365" t="s">
        <v>1195</v>
      </c>
      <c r="E486" s="368">
        <v>45625</v>
      </c>
      <c r="F486" s="369">
        <v>0</v>
      </c>
      <c r="G486" s="368">
        <v>45625</v>
      </c>
      <c r="H486" s="370">
        <v>45625.474259259259</v>
      </c>
      <c r="I486" s="365" t="s">
        <v>5262</v>
      </c>
    </row>
    <row r="487" spans="1:9" s="365" customFormat="1">
      <c r="A487" s="365" t="s">
        <v>1000</v>
      </c>
      <c r="B487" s="365" t="s">
        <v>5514</v>
      </c>
      <c r="C487" s="365" t="s">
        <v>964</v>
      </c>
      <c r="D487" s="365" t="s">
        <v>97</v>
      </c>
      <c r="E487" s="368">
        <v>45617</v>
      </c>
      <c r="F487" s="369">
        <v>1500000</v>
      </c>
      <c r="G487" s="368">
        <v>45617</v>
      </c>
      <c r="H487" s="370">
        <v>45617.685879629629</v>
      </c>
      <c r="I487" s="365" t="s">
        <v>999</v>
      </c>
    </row>
    <row r="488" spans="1:9" s="365" customFormat="1">
      <c r="A488" s="365" t="s">
        <v>1000</v>
      </c>
      <c r="B488" s="365" t="s">
        <v>5515</v>
      </c>
      <c r="C488" s="365" t="s">
        <v>968</v>
      </c>
      <c r="D488" s="365" t="s">
        <v>173</v>
      </c>
      <c r="E488" s="368">
        <v>45617</v>
      </c>
      <c r="F488" s="369">
        <v>500000</v>
      </c>
      <c r="G488" s="368">
        <v>45617</v>
      </c>
      <c r="H488" s="370">
        <v>45617.695810185185</v>
      </c>
      <c r="I488" s="365" t="s">
        <v>999</v>
      </c>
    </row>
    <row r="489" spans="1:9" s="365" customFormat="1" hidden="1">
      <c r="A489" s="365" t="s">
        <v>1182</v>
      </c>
      <c r="B489" s="365" t="s">
        <v>5516</v>
      </c>
      <c r="C489" s="365" t="s">
        <v>1194</v>
      </c>
      <c r="D489" s="365" t="s">
        <v>1195</v>
      </c>
      <c r="E489" s="368">
        <v>45618</v>
      </c>
      <c r="F489" s="369">
        <v>0</v>
      </c>
      <c r="G489" s="368">
        <v>45618</v>
      </c>
      <c r="H489" s="370">
        <v>45618.438726851855</v>
      </c>
      <c r="I489" s="365" t="s">
        <v>1065</v>
      </c>
    </row>
    <row r="490" spans="1:9" s="365" customFormat="1">
      <c r="A490" s="365" t="s">
        <v>1000</v>
      </c>
      <c r="B490" s="365" t="s">
        <v>5517</v>
      </c>
      <c r="C490" s="365" t="s">
        <v>968</v>
      </c>
      <c r="D490" s="365" t="s">
        <v>173</v>
      </c>
      <c r="E490" s="368">
        <v>45623</v>
      </c>
      <c r="F490" s="369">
        <v>0</v>
      </c>
      <c r="G490" s="368">
        <v>45623</v>
      </c>
      <c r="H490" s="370">
        <v>45623.346736111111</v>
      </c>
      <c r="I490" s="365" t="s">
        <v>999</v>
      </c>
    </row>
    <row r="491" spans="1:9" s="365" customFormat="1" hidden="1">
      <c r="A491" s="365" t="s">
        <v>1182</v>
      </c>
      <c r="B491" s="365" t="s">
        <v>5518</v>
      </c>
      <c r="C491" s="365" t="s">
        <v>1194</v>
      </c>
      <c r="D491" s="365" t="s">
        <v>1195</v>
      </c>
      <c r="E491" s="368">
        <v>45618</v>
      </c>
      <c r="F491" s="369">
        <v>0</v>
      </c>
      <c r="G491" s="368">
        <v>45618</v>
      </c>
      <c r="H491" s="370">
        <v>45618.665034722224</v>
      </c>
      <c r="I491" s="365" t="s">
        <v>5131</v>
      </c>
    </row>
    <row r="492" spans="1:9" s="365" customFormat="1" hidden="1">
      <c r="A492" s="365" t="s">
        <v>1182</v>
      </c>
      <c r="B492" s="365" t="s">
        <v>5519</v>
      </c>
      <c r="C492" s="365" t="s">
        <v>1194</v>
      </c>
      <c r="D492" s="365" t="s">
        <v>1195</v>
      </c>
      <c r="E492" s="368">
        <v>45623</v>
      </c>
      <c r="F492" s="369">
        <v>0</v>
      </c>
      <c r="G492" s="368">
        <v>45623</v>
      </c>
      <c r="H492" s="370">
        <v>45623.437268518515</v>
      </c>
      <c r="I492" s="365" t="s">
        <v>5454</v>
      </c>
    </row>
    <row r="493" spans="1:9" s="365" customFormat="1" hidden="1">
      <c r="A493" s="365" t="s">
        <v>1182</v>
      </c>
      <c r="B493" s="365" t="s">
        <v>5520</v>
      </c>
      <c r="C493" s="365" t="s">
        <v>1194</v>
      </c>
      <c r="D493" s="365" t="s">
        <v>1195</v>
      </c>
      <c r="E493" s="368">
        <v>45624</v>
      </c>
      <c r="F493" s="369">
        <v>0</v>
      </c>
      <c r="G493" s="368">
        <v>45624</v>
      </c>
      <c r="H493" s="370">
        <v>45624.451388888891</v>
      </c>
      <c r="I493" s="365" t="s">
        <v>1023</v>
      </c>
    </row>
    <row r="494" spans="1:9" s="365" customFormat="1" hidden="1">
      <c r="A494" s="365" t="s">
        <v>1182</v>
      </c>
      <c r="B494" s="365" t="s">
        <v>5521</v>
      </c>
      <c r="C494" s="365" t="s">
        <v>1194</v>
      </c>
      <c r="D494" s="365" t="s">
        <v>1195</v>
      </c>
      <c r="E494" s="368">
        <v>45624</v>
      </c>
      <c r="F494" s="369">
        <v>0</v>
      </c>
      <c r="G494" s="368">
        <v>45624</v>
      </c>
      <c r="H494" s="370">
        <v>45624.488888888889</v>
      </c>
      <c r="I494" s="365" t="s">
        <v>1023</v>
      </c>
    </row>
    <row r="495" spans="1:9" s="365" customFormat="1" hidden="1">
      <c r="A495" s="365" t="s">
        <v>1182</v>
      </c>
      <c r="B495" s="365" t="s">
        <v>5522</v>
      </c>
      <c r="C495" s="365" t="s">
        <v>1194</v>
      </c>
      <c r="D495" s="365" t="s">
        <v>1195</v>
      </c>
      <c r="E495" s="368">
        <v>45621</v>
      </c>
      <c r="F495" s="369">
        <v>0</v>
      </c>
      <c r="G495" s="368">
        <v>45621</v>
      </c>
      <c r="H495" s="370">
        <v>45621.512314814812</v>
      </c>
      <c r="I495" s="365" t="s">
        <v>5454</v>
      </c>
    </row>
    <row r="496" spans="1:9" s="365" customFormat="1" hidden="1">
      <c r="A496" s="365" t="s">
        <v>1182</v>
      </c>
      <c r="B496" s="365" t="s">
        <v>5523</v>
      </c>
      <c r="C496" s="365" t="s">
        <v>1194</v>
      </c>
      <c r="D496" s="365" t="s">
        <v>1195</v>
      </c>
      <c r="E496" s="368">
        <v>45621</v>
      </c>
      <c r="F496" s="369">
        <v>0</v>
      </c>
      <c r="G496" s="368">
        <v>45621</v>
      </c>
      <c r="H496" s="370">
        <v>45621.520358796297</v>
      </c>
      <c r="I496" s="365" t="s">
        <v>1205</v>
      </c>
    </row>
    <row r="497" spans="1:9" s="365" customFormat="1" hidden="1">
      <c r="A497" s="365" t="s">
        <v>1182</v>
      </c>
      <c r="B497" s="365" t="s">
        <v>5524</v>
      </c>
      <c r="C497" s="365" t="s">
        <v>1194</v>
      </c>
      <c r="D497" s="365" t="s">
        <v>1195</v>
      </c>
      <c r="E497" s="368">
        <v>45622</v>
      </c>
      <c r="F497" s="369">
        <v>0</v>
      </c>
      <c r="G497" s="368">
        <v>45622</v>
      </c>
      <c r="H497" s="370">
        <v>45622.725601851853</v>
      </c>
      <c r="I497" s="365" t="s">
        <v>5142</v>
      </c>
    </row>
    <row r="498" spans="1:9" s="365" customFormat="1" hidden="1">
      <c r="A498" s="365" t="s">
        <v>1182</v>
      </c>
      <c r="B498" s="365" t="s">
        <v>5525</v>
      </c>
      <c r="C498" s="365" t="s">
        <v>1194</v>
      </c>
      <c r="D498" s="365" t="s">
        <v>1195</v>
      </c>
      <c r="E498" s="368">
        <v>45618</v>
      </c>
      <c r="F498" s="369">
        <v>0</v>
      </c>
      <c r="G498" s="368">
        <v>45618</v>
      </c>
      <c r="H498" s="370">
        <v>45618.726909722223</v>
      </c>
      <c r="I498" s="365" t="s">
        <v>1036</v>
      </c>
    </row>
    <row r="499" spans="1:9" s="365" customFormat="1" hidden="1">
      <c r="A499" s="365" t="s">
        <v>1182</v>
      </c>
      <c r="B499" s="365" t="s">
        <v>5526</v>
      </c>
      <c r="C499" s="365" t="s">
        <v>1194</v>
      </c>
      <c r="D499" s="365" t="s">
        <v>1195</v>
      </c>
      <c r="E499" s="368">
        <v>45623</v>
      </c>
      <c r="F499" s="369">
        <v>0</v>
      </c>
      <c r="G499" s="368">
        <v>45623</v>
      </c>
      <c r="H499" s="370">
        <v>45623.46671296296</v>
      </c>
      <c r="I499" s="365" t="s">
        <v>1028</v>
      </c>
    </row>
    <row r="500" spans="1:9" s="365" customFormat="1" hidden="1">
      <c r="A500" s="365" t="s">
        <v>1182</v>
      </c>
      <c r="B500" s="365" t="s">
        <v>5527</v>
      </c>
      <c r="C500" s="365" t="s">
        <v>1194</v>
      </c>
      <c r="D500" s="365" t="s">
        <v>1195</v>
      </c>
      <c r="E500" s="368">
        <v>45623</v>
      </c>
      <c r="F500" s="369">
        <v>0</v>
      </c>
      <c r="G500" s="368">
        <v>45623</v>
      </c>
      <c r="H500" s="370">
        <v>45623.577615740738</v>
      </c>
      <c r="I500" s="365" t="s">
        <v>5319</v>
      </c>
    </row>
    <row r="501" spans="1:9" s="365" customFormat="1" hidden="1">
      <c r="A501" s="365" t="s">
        <v>1182</v>
      </c>
      <c r="B501" s="365" t="s">
        <v>5528</v>
      </c>
      <c r="C501" s="365" t="s">
        <v>1194</v>
      </c>
      <c r="D501" s="365" t="s">
        <v>1195</v>
      </c>
      <c r="E501" s="368">
        <v>45624</v>
      </c>
      <c r="F501" s="369">
        <v>0</v>
      </c>
      <c r="G501" s="368">
        <v>45624</v>
      </c>
      <c r="H501" s="370">
        <v>45624.600451388891</v>
      </c>
      <c r="I501" s="365" t="s">
        <v>1207</v>
      </c>
    </row>
    <row r="502" spans="1:9" s="365" customFormat="1" hidden="1">
      <c r="A502" s="365" t="s">
        <v>1182</v>
      </c>
      <c r="B502" s="365" t="s">
        <v>5529</v>
      </c>
      <c r="C502" s="365" t="s">
        <v>1194</v>
      </c>
      <c r="D502" s="365" t="s">
        <v>1195</v>
      </c>
      <c r="E502" s="368">
        <v>45623</v>
      </c>
      <c r="F502" s="369">
        <v>0</v>
      </c>
      <c r="G502" s="368">
        <v>45623</v>
      </c>
      <c r="H502" s="370">
        <v>45623.616087962961</v>
      </c>
      <c r="I502" s="365" t="s">
        <v>1036</v>
      </c>
    </row>
    <row r="503" spans="1:9" s="365" customFormat="1" hidden="1">
      <c r="A503" s="365" t="s">
        <v>1182</v>
      </c>
      <c r="B503" s="365" t="s">
        <v>5530</v>
      </c>
      <c r="C503" s="365" t="s">
        <v>1194</v>
      </c>
      <c r="D503" s="365" t="s">
        <v>1195</v>
      </c>
      <c r="E503" s="368">
        <v>45617</v>
      </c>
      <c r="F503" s="369">
        <v>0</v>
      </c>
      <c r="G503" s="368">
        <v>45617</v>
      </c>
      <c r="H503" s="370">
        <v>45617.594328703701</v>
      </c>
      <c r="I503" s="365" t="s">
        <v>1029</v>
      </c>
    </row>
    <row r="504" spans="1:9" s="365" customFormat="1">
      <c r="A504" s="365" t="s">
        <v>1000</v>
      </c>
      <c r="B504" s="365" t="s">
        <v>5531</v>
      </c>
      <c r="C504" s="365" t="s">
        <v>965</v>
      </c>
      <c r="D504" s="365" t="s">
        <v>966</v>
      </c>
      <c r="E504" s="368">
        <v>45621</v>
      </c>
      <c r="F504" s="369">
        <v>1500000</v>
      </c>
      <c r="G504" s="368">
        <v>45621</v>
      </c>
      <c r="H504" s="370">
        <v>45621.761041666665</v>
      </c>
      <c r="I504" s="365" t="s">
        <v>999</v>
      </c>
    </row>
    <row r="505" spans="1:9" s="365" customFormat="1" hidden="1">
      <c r="A505" s="365" t="s">
        <v>1182</v>
      </c>
      <c r="B505" s="365" t="s">
        <v>5532</v>
      </c>
      <c r="C505" s="365" t="s">
        <v>1194</v>
      </c>
      <c r="D505" s="365" t="s">
        <v>1195</v>
      </c>
      <c r="E505" s="368">
        <v>45623</v>
      </c>
      <c r="F505" s="369">
        <v>0</v>
      </c>
      <c r="G505" s="368">
        <v>45623</v>
      </c>
      <c r="H505" s="370">
        <v>45623.395648148151</v>
      </c>
      <c r="I505" s="365" t="s">
        <v>1207</v>
      </c>
    </row>
    <row r="506" spans="1:9" s="365" customFormat="1">
      <c r="A506" s="365" t="s">
        <v>1000</v>
      </c>
      <c r="B506" s="365" t="s">
        <v>5533</v>
      </c>
      <c r="C506" s="365" t="s">
        <v>964</v>
      </c>
      <c r="D506" s="365" t="s">
        <v>97</v>
      </c>
      <c r="E506" s="368">
        <v>45618</v>
      </c>
      <c r="F506" s="369">
        <v>1500000</v>
      </c>
      <c r="G506" s="368">
        <v>45618</v>
      </c>
      <c r="H506" s="370">
        <v>45618.607743055552</v>
      </c>
      <c r="I506" s="365" t="s">
        <v>999</v>
      </c>
    </row>
    <row r="507" spans="1:9" s="365" customFormat="1" hidden="1">
      <c r="A507" s="365" t="s">
        <v>1182</v>
      </c>
      <c r="B507" s="365" t="s">
        <v>5534</v>
      </c>
      <c r="C507" s="365" t="s">
        <v>1194</v>
      </c>
      <c r="D507" s="365" t="s">
        <v>1195</v>
      </c>
      <c r="E507" s="368">
        <v>45621</v>
      </c>
      <c r="F507" s="369">
        <v>0</v>
      </c>
      <c r="G507" s="368">
        <v>45621</v>
      </c>
      <c r="H507" s="370">
        <v>45621.416180555556</v>
      </c>
      <c r="I507" s="365" t="s">
        <v>1066</v>
      </c>
    </row>
    <row r="508" spans="1:9" s="365" customFormat="1" hidden="1">
      <c r="A508" s="365" t="s">
        <v>1182</v>
      </c>
      <c r="B508" s="365" t="s">
        <v>5535</v>
      </c>
      <c r="C508" s="365" t="s">
        <v>1194</v>
      </c>
      <c r="D508" s="365" t="s">
        <v>1195</v>
      </c>
      <c r="E508" s="368">
        <v>45621</v>
      </c>
      <c r="F508" s="369">
        <v>0</v>
      </c>
      <c r="G508" s="368">
        <v>45621</v>
      </c>
      <c r="H508" s="370">
        <v>45621.475543981483</v>
      </c>
      <c r="I508" s="365" t="s">
        <v>1065</v>
      </c>
    </row>
    <row r="509" spans="1:9" s="365" customFormat="1" hidden="1">
      <c r="A509" s="365" t="s">
        <v>1182</v>
      </c>
      <c r="B509" s="365" t="s">
        <v>5536</v>
      </c>
      <c r="C509" s="365" t="s">
        <v>1194</v>
      </c>
      <c r="D509" s="365" t="s">
        <v>1195</v>
      </c>
      <c r="E509" s="368">
        <v>45623</v>
      </c>
      <c r="F509" s="369">
        <v>0</v>
      </c>
      <c r="G509" s="368">
        <v>45623</v>
      </c>
      <c r="H509" s="370">
        <v>45623.505254629628</v>
      </c>
      <c r="I509" s="365" t="s">
        <v>1197</v>
      </c>
    </row>
    <row r="510" spans="1:9" s="365" customFormat="1">
      <c r="A510" s="365" t="s">
        <v>1000</v>
      </c>
      <c r="B510" s="365" t="s">
        <v>5537</v>
      </c>
      <c r="C510" s="365" t="s">
        <v>965</v>
      </c>
      <c r="D510" s="365" t="s">
        <v>966</v>
      </c>
      <c r="E510" s="368">
        <v>45617</v>
      </c>
      <c r="F510" s="369">
        <v>2000000</v>
      </c>
      <c r="G510" s="368">
        <v>45617</v>
      </c>
      <c r="H510" s="370">
        <v>45617.436631944445</v>
      </c>
      <c r="I510" s="365" t="s">
        <v>999</v>
      </c>
    </row>
    <row r="511" spans="1:9" s="365" customFormat="1" hidden="1">
      <c r="A511" s="365" t="s">
        <v>1182</v>
      </c>
      <c r="B511" s="365" t="s">
        <v>5538</v>
      </c>
      <c r="C511" s="365" t="s">
        <v>1194</v>
      </c>
      <c r="D511" s="365" t="s">
        <v>1195</v>
      </c>
      <c r="E511" s="368">
        <v>45623</v>
      </c>
      <c r="F511" s="369">
        <v>0</v>
      </c>
      <c r="G511" s="368">
        <v>45623</v>
      </c>
      <c r="H511" s="370">
        <v>45623.546319444446</v>
      </c>
      <c r="I511" s="365" t="s">
        <v>1028</v>
      </c>
    </row>
    <row r="512" spans="1:9" s="365" customFormat="1" hidden="1">
      <c r="A512" s="365" t="s">
        <v>1182</v>
      </c>
      <c r="B512" s="365" t="s">
        <v>5539</v>
      </c>
      <c r="C512" s="365" t="s">
        <v>1194</v>
      </c>
      <c r="D512" s="365" t="s">
        <v>1195</v>
      </c>
      <c r="E512" s="368">
        <v>45619</v>
      </c>
      <c r="F512" s="369">
        <v>0</v>
      </c>
      <c r="G512" s="368">
        <v>45619</v>
      </c>
      <c r="H512" s="370">
        <v>45619.469247685185</v>
      </c>
      <c r="I512" s="365" t="s">
        <v>1200</v>
      </c>
    </row>
    <row r="513" spans="1:9" s="365" customFormat="1">
      <c r="A513" s="365" t="s">
        <v>1000</v>
      </c>
      <c r="B513" s="365" t="s">
        <v>5540</v>
      </c>
      <c r="C513" s="365" t="s">
        <v>964</v>
      </c>
      <c r="D513" s="365" t="s">
        <v>97</v>
      </c>
      <c r="E513" s="368">
        <v>45623</v>
      </c>
      <c r="F513" s="369">
        <v>1000000</v>
      </c>
      <c r="G513" s="368">
        <v>45623</v>
      </c>
      <c r="H513" s="370">
        <v>45623.682835648149</v>
      </c>
      <c r="I513" s="365" t="s">
        <v>999</v>
      </c>
    </row>
    <row r="514" spans="1:9" s="365" customFormat="1" hidden="1">
      <c r="A514" s="365" t="s">
        <v>1182</v>
      </c>
      <c r="B514" s="365" t="s">
        <v>5541</v>
      </c>
      <c r="C514" s="365" t="s">
        <v>1194</v>
      </c>
      <c r="D514" s="365" t="s">
        <v>1195</v>
      </c>
      <c r="E514" s="368">
        <v>45626</v>
      </c>
      <c r="F514" s="369">
        <v>0</v>
      </c>
      <c r="G514" s="368">
        <v>45626</v>
      </c>
      <c r="H514" s="370">
        <v>45626.408495370371</v>
      </c>
      <c r="I514" s="365" t="s">
        <v>1034</v>
      </c>
    </row>
    <row r="515" spans="1:9" s="365" customFormat="1" hidden="1">
      <c r="A515" s="365" t="s">
        <v>1182</v>
      </c>
      <c r="B515" s="365" t="s">
        <v>5542</v>
      </c>
      <c r="C515" s="365" t="s">
        <v>1194</v>
      </c>
      <c r="D515" s="365" t="s">
        <v>1195</v>
      </c>
      <c r="E515" s="368">
        <v>45617</v>
      </c>
      <c r="F515" s="369">
        <v>0</v>
      </c>
      <c r="G515" s="368">
        <v>45617</v>
      </c>
      <c r="H515" s="370">
        <v>45617.750509259262</v>
      </c>
      <c r="I515" s="365" t="s">
        <v>1037</v>
      </c>
    </row>
    <row r="516" spans="1:9" s="365" customFormat="1" hidden="1">
      <c r="A516" s="365" t="s">
        <v>1182</v>
      </c>
      <c r="B516" s="365" t="s">
        <v>5543</v>
      </c>
      <c r="C516" s="365" t="s">
        <v>1194</v>
      </c>
      <c r="D516" s="365" t="s">
        <v>1195</v>
      </c>
      <c r="E516" s="368">
        <v>45621</v>
      </c>
      <c r="F516" s="369">
        <v>0</v>
      </c>
      <c r="G516" s="368">
        <v>45621</v>
      </c>
      <c r="H516" s="370">
        <v>45621.672233796293</v>
      </c>
      <c r="I516" s="365" t="s">
        <v>1200</v>
      </c>
    </row>
    <row r="517" spans="1:9" s="365" customFormat="1" hidden="1">
      <c r="A517" s="365" t="s">
        <v>1182</v>
      </c>
      <c r="B517" s="365" t="s">
        <v>5544</v>
      </c>
      <c r="C517" s="365" t="s">
        <v>1194</v>
      </c>
      <c r="D517" s="365" t="s">
        <v>1195</v>
      </c>
      <c r="E517" s="368">
        <v>45617</v>
      </c>
      <c r="F517" s="369">
        <v>0</v>
      </c>
      <c r="G517" s="368">
        <v>45617</v>
      </c>
      <c r="H517" s="370">
        <v>45617.552615740744</v>
      </c>
      <c r="I517" s="365" t="s">
        <v>1026</v>
      </c>
    </row>
    <row r="518" spans="1:9" s="365" customFormat="1" hidden="1">
      <c r="A518" s="365" t="s">
        <v>1182</v>
      </c>
      <c r="B518" s="365" t="s">
        <v>5545</v>
      </c>
      <c r="C518" s="365" t="s">
        <v>1194</v>
      </c>
      <c r="D518" s="365" t="s">
        <v>1195</v>
      </c>
      <c r="E518" s="368">
        <v>45617</v>
      </c>
      <c r="F518" s="369">
        <v>0</v>
      </c>
      <c r="G518" s="368">
        <v>45617</v>
      </c>
      <c r="H518" s="370">
        <v>45617.688217592593</v>
      </c>
      <c r="I518" s="365" t="s">
        <v>1027</v>
      </c>
    </row>
    <row r="519" spans="1:9" s="365" customFormat="1" hidden="1">
      <c r="A519" s="365" t="s">
        <v>1182</v>
      </c>
      <c r="B519" s="365" t="s">
        <v>5546</v>
      </c>
      <c r="C519" s="365" t="s">
        <v>1194</v>
      </c>
      <c r="D519" s="365" t="s">
        <v>1195</v>
      </c>
      <c r="E519" s="368">
        <v>45618</v>
      </c>
      <c r="F519" s="369">
        <v>0</v>
      </c>
      <c r="G519" s="368">
        <v>45618</v>
      </c>
      <c r="H519" s="370">
        <v>45618.572997685187</v>
      </c>
      <c r="I519" s="365" t="s">
        <v>5173</v>
      </c>
    </row>
    <row r="520" spans="1:9" s="365" customFormat="1">
      <c r="A520" s="365" t="s">
        <v>1000</v>
      </c>
      <c r="B520" s="365" t="s">
        <v>5547</v>
      </c>
      <c r="C520" s="365" t="s">
        <v>964</v>
      </c>
      <c r="D520" s="365" t="s">
        <v>97</v>
      </c>
      <c r="E520" s="368">
        <v>45621</v>
      </c>
      <c r="F520" s="369">
        <v>600000</v>
      </c>
      <c r="G520" s="368">
        <v>45621</v>
      </c>
      <c r="H520" s="370">
        <v>45621.691979166666</v>
      </c>
      <c r="I520" s="365" t="s">
        <v>1057</v>
      </c>
    </row>
    <row r="521" spans="1:9" s="365" customFormat="1" hidden="1">
      <c r="A521" s="365" t="s">
        <v>1182</v>
      </c>
      <c r="B521" s="365" t="s">
        <v>5548</v>
      </c>
      <c r="C521" s="365" t="s">
        <v>1194</v>
      </c>
      <c r="D521" s="365" t="s">
        <v>1195</v>
      </c>
      <c r="E521" s="368">
        <v>45623</v>
      </c>
      <c r="F521" s="369">
        <v>0</v>
      </c>
      <c r="G521" s="368">
        <v>45623</v>
      </c>
      <c r="H521" s="370">
        <v>45623.610543981478</v>
      </c>
      <c r="I521" s="365" t="s">
        <v>1051</v>
      </c>
    </row>
    <row r="522" spans="1:9" s="365" customFormat="1" hidden="1">
      <c r="A522" s="365" t="s">
        <v>1182</v>
      </c>
      <c r="B522" s="365" t="s">
        <v>5549</v>
      </c>
      <c r="C522" s="365" t="s">
        <v>1194</v>
      </c>
      <c r="D522" s="365" t="s">
        <v>1195</v>
      </c>
      <c r="E522" s="368">
        <v>45624</v>
      </c>
      <c r="F522" s="369">
        <v>0</v>
      </c>
      <c r="G522" s="368">
        <v>45624</v>
      </c>
      <c r="H522" s="370">
        <v>45624.552349537036</v>
      </c>
      <c r="I522" s="365" t="s">
        <v>1064</v>
      </c>
    </row>
    <row r="523" spans="1:9" s="365" customFormat="1" hidden="1">
      <c r="A523" s="365" t="s">
        <v>1182</v>
      </c>
      <c r="B523" s="365" t="s">
        <v>5550</v>
      </c>
      <c r="C523" s="365" t="s">
        <v>1194</v>
      </c>
      <c r="D523" s="365" t="s">
        <v>1195</v>
      </c>
      <c r="E523" s="368">
        <v>45618</v>
      </c>
      <c r="F523" s="369">
        <v>0</v>
      </c>
      <c r="G523" s="368">
        <v>45618</v>
      </c>
      <c r="H523" s="370">
        <v>45618.707743055558</v>
      </c>
      <c r="I523" s="365" t="s">
        <v>1058</v>
      </c>
    </row>
    <row r="524" spans="1:9" s="365" customFormat="1" hidden="1">
      <c r="A524" s="365" t="s">
        <v>1182</v>
      </c>
      <c r="B524" s="365" t="s">
        <v>5551</v>
      </c>
      <c r="C524" s="365" t="s">
        <v>1194</v>
      </c>
      <c r="D524" s="365" t="s">
        <v>1195</v>
      </c>
      <c r="E524" s="368">
        <v>45622</v>
      </c>
      <c r="F524" s="369">
        <v>0</v>
      </c>
      <c r="G524" s="368">
        <v>45622</v>
      </c>
      <c r="H524" s="370">
        <v>45622.580347222225</v>
      </c>
      <c r="I524" s="365" t="s">
        <v>5314</v>
      </c>
    </row>
    <row r="525" spans="1:9" s="365" customFormat="1" hidden="1">
      <c r="A525" s="365" t="s">
        <v>1182</v>
      </c>
      <c r="B525" s="365" t="s">
        <v>5552</v>
      </c>
      <c r="C525" s="365" t="s">
        <v>1194</v>
      </c>
      <c r="D525" s="365" t="s">
        <v>1195</v>
      </c>
      <c r="E525" s="368">
        <v>45618</v>
      </c>
      <c r="F525" s="369">
        <v>0</v>
      </c>
      <c r="G525" s="368">
        <v>45618</v>
      </c>
      <c r="H525" s="370">
        <v>45618.699837962966</v>
      </c>
      <c r="I525" s="365" t="s">
        <v>1200</v>
      </c>
    </row>
    <row r="526" spans="1:9" s="365" customFormat="1" hidden="1">
      <c r="A526" s="365" t="s">
        <v>1182</v>
      </c>
      <c r="B526" s="365" t="s">
        <v>5553</v>
      </c>
      <c r="C526" s="365" t="s">
        <v>1194</v>
      </c>
      <c r="D526" s="365" t="s">
        <v>1195</v>
      </c>
      <c r="E526" s="368">
        <v>45623</v>
      </c>
      <c r="F526" s="369">
        <v>0</v>
      </c>
      <c r="G526" s="368">
        <v>45623</v>
      </c>
      <c r="H526" s="370">
        <v>45623.696736111109</v>
      </c>
      <c r="I526" s="365" t="s">
        <v>5314</v>
      </c>
    </row>
    <row r="527" spans="1:9" s="365" customFormat="1" hidden="1">
      <c r="A527" s="365" t="s">
        <v>1182</v>
      </c>
      <c r="B527" s="365" t="s">
        <v>5554</v>
      </c>
      <c r="C527" s="365" t="s">
        <v>1194</v>
      </c>
      <c r="D527" s="365" t="s">
        <v>1195</v>
      </c>
      <c r="E527" s="368">
        <v>45622</v>
      </c>
      <c r="F527" s="369">
        <v>0</v>
      </c>
      <c r="G527" s="368">
        <v>45622</v>
      </c>
      <c r="H527" s="370">
        <v>45622.458472222221</v>
      </c>
      <c r="I527" s="365" t="s">
        <v>1065</v>
      </c>
    </row>
    <row r="528" spans="1:9" s="365" customFormat="1" hidden="1">
      <c r="A528" s="365" t="s">
        <v>1182</v>
      </c>
      <c r="B528" s="365" t="s">
        <v>5555</v>
      </c>
      <c r="C528" s="365" t="s">
        <v>1194</v>
      </c>
      <c r="D528" s="365" t="s">
        <v>1195</v>
      </c>
      <c r="E528" s="368">
        <v>45625</v>
      </c>
      <c r="F528" s="369">
        <v>0</v>
      </c>
      <c r="G528" s="368">
        <v>45625</v>
      </c>
      <c r="H528" s="370">
        <v>45625.679988425924</v>
      </c>
      <c r="I528" s="365" t="s">
        <v>1024</v>
      </c>
    </row>
    <row r="529" spans="1:9" s="365" customFormat="1" hidden="1">
      <c r="A529" s="365" t="s">
        <v>1182</v>
      </c>
      <c r="B529" s="365" t="s">
        <v>5556</v>
      </c>
      <c r="C529" s="365" t="s">
        <v>1194</v>
      </c>
      <c r="D529" s="365" t="s">
        <v>1195</v>
      </c>
      <c r="E529" s="368">
        <v>45618</v>
      </c>
      <c r="F529" s="369">
        <v>0</v>
      </c>
      <c r="G529" s="368">
        <v>45618</v>
      </c>
      <c r="H529" s="370">
        <v>45618.405601851853</v>
      </c>
      <c r="I529" s="365" t="s">
        <v>5057</v>
      </c>
    </row>
    <row r="530" spans="1:9" s="365" customFormat="1" hidden="1">
      <c r="A530" s="365" t="s">
        <v>1182</v>
      </c>
      <c r="B530" s="365" t="s">
        <v>5557</v>
      </c>
      <c r="C530" s="365" t="s">
        <v>1194</v>
      </c>
      <c r="D530" s="365" t="s">
        <v>1195</v>
      </c>
      <c r="E530" s="368">
        <v>45618</v>
      </c>
      <c r="F530" s="369">
        <v>0</v>
      </c>
      <c r="G530" s="368">
        <v>45618</v>
      </c>
      <c r="H530" s="370">
        <v>45618.457349537035</v>
      </c>
      <c r="I530" s="365" t="s">
        <v>5073</v>
      </c>
    </row>
    <row r="531" spans="1:9" s="365" customFormat="1" hidden="1">
      <c r="A531" s="365" t="s">
        <v>1182</v>
      </c>
      <c r="B531" s="365" t="s">
        <v>5558</v>
      </c>
      <c r="C531" s="365" t="s">
        <v>1194</v>
      </c>
      <c r="D531" s="365" t="s">
        <v>1195</v>
      </c>
      <c r="E531" s="368">
        <v>45623</v>
      </c>
      <c r="F531" s="369">
        <v>0</v>
      </c>
      <c r="G531" s="368">
        <v>45623</v>
      </c>
      <c r="H531" s="370">
        <v>45623.714074074072</v>
      </c>
      <c r="I531" s="365" t="s">
        <v>1058</v>
      </c>
    </row>
    <row r="532" spans="1:9" s="365" customFormat="1" hidden="1">
      <c r="A532" s="365" t="s">
        <v>1182</v>
      </c>
      <c r="B532" s="365" t="s">
        <v>5559</v>
      </c>
      <c r="C532" s="365" t="s">
        <v>1194</v>
      </c>
      <c r="D532" s="365" t="s">
        <v>1195</v>
      </c>
      <c r="E532" s="368">
        <v>45625</v>
      </c>
      <c r="F532" s="369">
        <v>0</v>
      </c>
      <c r="G532" s="368">
        <v>45625</v>
      </c>
      <c r="H532" s="370">
        <v>45625.425069444442</v>
      </c>
      <c r="I532" s="365" t="s">
        <v>992</v>
      </c>
    </row>
    <row r="533" spans="1:9" s="365" customFormat="1">
      <c r="A533" s="365" t="s">
        <v>1000</v>
      </c>
      <c r="B533" s="365" t="s">
        <v>5560</v>
      </c>
      <c r="C533" s="365" t="s">
        <v>965</v>
      </c>
      <c r="D533" s="365" t="s">
        <v>966</v>
      </c>
      <c r="E533" s="368">
        <v>45618</v>
      </c>
      <c r="F533" s="369">
        <v>2000000</v>
      </c>
      <c r="G533" s="368">
        <v>45618</v>
      </c>
      <c r="H533" s="370">
        <v>45618.742152777777</v>
      </c>
      <c r="I533" s="365" t="s">
        <v>999</v>
      </c>
    </row>
    <row r="534" spans="1:9" s="365" customFormat="1" hidden="1">
      <c r="A534" s="365" t="s">
        <v>1182</v>
      </c>
      <c r="B534" s="365" t="s">
        <v>5561</v>
      </c>
      <c r="C534" s="365" t="s">
        <v>1194</v>
      </c>
      <c r="D534" s="365" t="s">
        <v>1195</v>
      </c>
      <c r="E534" s="368">
        <v>45622</v>
      </c>
      <c r="F534" s="369">
        <v>0</v>
      </c>
      <c r="G534" s="368">
        <v>45622</v>
      </c>
      <c r="H534" s="370">
        <v>45622.487488425926</v>
      </c>
      <c r="I534" s="365" t="s">
        <v>1056</v>
      </c>
    </row>
    <row r="535" spans="1:9" s="365" customFormat="1">
      <c r="A535" s="365" t="s">
        <v>1000</v>
      </c>
      <c r="B535" s="365" t="s">
        <v>5562</v>
      </c>
      <c r="C535" s="365" t="s">
        <v>968</v>
      </c>
      <c r="D535" s="365" t="s">
        <v>173</v>
      </c>
      <c r="E535" s="368">
        <v>45625</v>
      </c>
      <c r="F535" s="369">
        <v>1000000</v>
      </c>
      <c r="G535" s="368">
        <v>45625</v>
      </c>
      <c r="H535" s="370">
        <v>45625.660844907405</v>
      </c>
      <c r="I535" s="365" t="s">
        <v>999</v>
      </c>
    </row>
    <row r="536" spans="1:9" s="365" customFormat="1">
      <c r="A536" s="365" t="s">
        <v>1000</v>
      </c>
      <c r="B536" s="365" t="s">
        <v>5563</v>
      </c>
      <c r="C536" s="365" t="s">
        <v>967</v>
      </c>
      <c r="D536" s="365" t="s">
        <v>65</v>
      </c>
      <c r="E536" s="368">
        <v>45625</v>
      </c>
      <c r="F536" s="369">
        <v>3000000</v>
      </c>
      <c r="G536" s="368">
        <v>45625</v>
      </c>
      <c r="H536" s="370">
        <v>45625.6799537037</v>
      </c>
      <c r="I536" s="365" t="s">
        <v>999</v>
      </c>
    </row>
    <row r="537" spans="1:9" s="365" customFormat="1">
      <c r="A537" s="365" t="s">
        <v>1000</v>
      </c>
      <c r="B537" s="365" t="s">
        <v>5564</v>
      </c>
      <c r="C537" s="365" t="s">
        <v>965</v>
      </c>
      <c r="D537" s="365" t="s">
        <v>966</v>
      </c>
      <c r="E537" s="368">
        <v>45625</v>
      </c>
      <c r="F537" s="369">
        <v>1400000</v>
      </c>
      <c r="G537" s="368">
        <v>45625</v>
      </c>
      <c r="H537" s="370">
        <v>45625.731192129628</v>
      </c>
      <c r="I537" s="365" t="s">
        <v>999</v>
      </c>
    </row>
    <row r="538" spans="1:9" s="365" customFormat="1" hidden="1">
      <c r="A538" s="365" t="s">
        <v>1182</v>
      </c>
      <c r="B538" s="365" t="s">
        <v>5565</v>
      </c>
      <c r="C538" s="365" t="s">
        <v>1194</v>
      </c>
      <c r="D538" s="365" t="s">
        <v>1195</v>
      </c>
      <c r="E538" s="368">
        <v>45617</v>
      </c>
      <c r="F538" s="369">
        <v>0</v>
      </c>
      <c r="G538" s="368">
        <v>45617</v>
      </c>
      <c r="H538" s="370">
        <v>45617.561909722222</v>
      </c>
      <c r="I538" s="365" t="s">
        <v>1023</v>
      </c>
    </row>
    <row r="539" spans="1:9" s="365" customFormat="1">
      <c r="A539" s="365" t="s">
        <v>1000</v>
      </c>
      <c r="B539" s="365" t="s">
        <v>5566</v>
      </c>
      <c r="C539" s="365" t="s">
        <v>967</v>
      </c>
      <c r="D539" s="365" t="s">
        <v>65</v>
      </c>
      <c r="E539" s="368">
        <v>45618</v>
      </c>
      <c r="F539" s="369">
        <v>0</v>
      </c>
      <c r="G539" s="368">
        <v>45618</v>
      </c>
      <c r="H539" s="370">
        <v>45618.528252314813</v>
      </c>
      <c r="I539" s="365" t="s">
        <v>1187</v>
      </c>
    </row>
    <row r="540" spans="1:9" s="365" customFormat="1">
      <c r="A540" s="365" t="s">
        <v>1000</v>
      </c>
      <c r="B540" s="365" t="s">
        <v>5567</v>
      </c>
      <c r="C540" s="365" t="s">
        <v>967</v>
      </c>
      <c r="D540" s="365" t="s">
        <v>65</v>
      </c>
      <c r="E540" s="368">
        <v>45618</v>
      </c>
      <c r="F540" s="369">
        <v>300000</v>
      </c>
      <c r="G540" s="368">
        <v>45618</v>
      </c>
      <c r="H540" s="370">
        <v>45618.529618055552</v>
      </c>
      <c r="I540" s="365" t="s">
        <v>1187</v>
      </c>
    </row>
    <row r="541" spans="1:9" s="365" customFormat="1" hidden="1">
      <c r="A541" s="365" t="s">
        <v>1182</v>
      </c>
      <c r="B541" s="365" t="s">
        <v>5568</v>
      </c>
      <c r="C541" s="365" t="s">
        <v>1194</v>
      </c>
      <c r="D541" s="365" t="s">
        <v>1195</v>
      </c>
      <c r="E541" s="368">
        <v>45619</v>
      </c>
      <c r="F541" s="369">
        <v>0</v>
      </c>
      <c r="G541" s="368">
        <v>45619</v>
      </c>
      <c r="H541" s="370">
        <v>45619.449421296296</v>
      </c>
      <c r="I541" s="365" t="s">
        <v>5569</v>
      </c>
    </row>
    <row r="542" spans="1:9" s="365" customFormat="1" hidden="1">
      <c r="A542" s="366">
        <v>1</v>
      </c>
    </row>
    <row r="543" spans="1:9" s="365" customFormat="1">
      <c r="A543" s="366"/>
    </row>
    <row r="544" spans="1:9" s="365" customFormat="1">
      <c r="F544" s="367">
        <f>SUBTOTAL(9,F54:F543)</f>
        <v>217075000</v>
      </c>
    </row>
    <row r="545" spans="1:12" s="365" customFormat="1" hidden="1">
      <c r="A545" s="370">
        <v>45562.815335648149</v>
      </c>
      <c r="B545" s="365" t="s">
        <v>1742</v>
      </c>
      <c r="C545" s="365" t="s">
        <v>1743</v>
      </c>
      <c r="D545" s="365" t="s">
        <v>1744</v>
      </c>
      <c r="E545" s="365" t="s">
        <v>1745</v>
      </c>
      <c r="F545" s="365" t="s">
        <v>1746</v>
      </c>
      <c r="G545" s="370">
        <v>45530</v>
      </c>
      <c r="H545" s="369">
        <v>27000</v>
      </c>
      <c r="I545" s="365" t="s">
        <v>1747</v>
      </c>
      <c r="J545" s="365" t="s">
        <v>1228</v>
      </c>
      <c r="K545" s="365" t="s">
        <v>1229</v>
      </c>
      <c r="L545" s="370">
        <v>45562.816944444443</v>
      </c>
    </row>
    <row r="546" spans="1:12" s="365" customFormat="1" hidden="1">
      <c r="A546" s="370">
        <v>45562.824803240743</v>
      </c>
      <c r="B546" s="365" t="s">
        <v>1707</v>
      </c>
      <c r="C546" s="365" t="s">
        <v>1708</v>
      </c>
      <c r="D546" s="365" t="s">
        <v>1709</v>
      </c>
      <c r="E546" s="365" t="s">
        <v>1710</v>
      </c>
      <c r="F546" s="365" t="s">
        <v>1711</v>
      </c>
      <c r="G546" s="370">
        <v>45560</v>
      </c>
      <c r="H546" s="369">
        <v>20999</v>
      </c>
      <c r="I546" s="365" t="s">
        <v>1712</v>
      </c>
      <c r="J546" s="365" t="s">
        <v>1228</v>
      </c>
      <c r="K546" s="365" t="s">
        <v>1229</v>
      </c>
      <c r="L546" s="370">
        <v>45562.827430555553</v>
      </c>
    </row>
    <row r="547" spans="1:12" s="365" customFormat="1" hidden="1">
      <c r="A547" s="370">
        <v>45562.85019675926</v>
      </c>
      <c r="B547" s="365" t="s">
        <v>1713</v>
      </c>
      <c r="C547" s="365" t="s">
        <v>1714</v>
      </c>
      <c r="D547" s="365" t="s">
        <v>1715</v>
      </c>
      <c r="E547" s="365" t="s">
        <v>1716</v>
      </c>
      <c r="F547" s="365" t="s">
        <v>1717</v>
      </c>
      <c r="G547" s="370">
        <v>45560</v>
      </c>
      <c r="H547" s="369">
        <v>23400</v>
      </c>
      <c r="I547" s="365" t="s">
        <v>1718</v>
      </c>
      <c r="J547" s="365" t="s">
        <v>1228</v>
      </c>
      <c r="K547" s="365" t="s">
        <v>1229</v>
      </c>
      <c r="L547" s="370">
        <v>45562.851620370369</v>
      </c>
    </row>
    <row r="548" spans="1:12" s="365" customFormat="1" hidden="1">
      <c r="A548" s="370">
        <v>45562.888229166667</v>
      </c>
      <c r="B548" s="365" t="s">
        <v>1719</v>
      </c>
      <c r="C548" s="365" t="s">
        <v>1720</v>
      </c>
      <c r="D548" s="365" t="s">
        <v>1721</v>
      </c>
      <c r="E548" s="365" t="s">
        <v>1722</v>
      </c>
      <c r="F548" s="365" t="s">
        <v>1723</v>
      </c>
      <c r="G548" s="370">
        <v>45560</v>
      </c>
      <c r="H548" s="369">
        <v>20999</v>
      </c>
      <c r="I548" s="365" t="s">
        <v>1724</v>
      </c>
      <c r="J548" s="365" t="s">
        <v>1228</v>
      </c>
      <c r="K548" s="365" t="s">
        <v>1229</v>
      </c>
      <c r="L548" s="370">
        <v>45562.890034722222</v>
      </c>
    </row>
    <row r="549" spans="1:12" s="365" customFormat="1" hidden="1">
      <c r="A549" s="370">
        <v>45563.297569444447</v>
      </c>
      <c r="B549" s="365" t="s">
        <v>1748</v>
      </c>
      <c r="C549" s="365" t="s">
        <v>1749</v>
      </c>
      <c r="D549" s="365" t="s">
        <v>1750</v>
      </c>
      <c r="E549" s="365" t="s">
        <v>1751</v>
      </c>
      <c r="F549" s="365" t="s">
        <v>1752</v>
      </c>
      <c r="G549" s="370">
        <v>45530</v>
      </c>
      <c r="H549" s="369">
        <v>18000</v>
      </c>
      <c r="I549" s="365" t="s">
        <v>1753</v>
      </c>
      <c r="J549" s="365" t="s">
        <v>1228</v>
      </c>
      <c r="K549" s="365" t="s">
        <v>1229</v>
      </c>
      <c r="L549" s="370">
        <v>45563.29891203704</v>
      </c>
    </row>
    <row r="550" spans="1:12" s="365" customFormat="1" hidden="1">
      <c r="A550" s="370">
        <v>45563.314039351855</v>
      </c>
      <c r="B550" s="365" t="s">
        <v>1783</v>
      </c>
      <c r="C550" s="365" t="s">
        <v>1784</v>
      </c>
      <c r="D550" s="365" t="s">
        <v>1785</v>
      </c>
      <c r="E550" s="365" t="s">
        <v>1786</v>
      </c>
      <c r="F550" s="365" t="s">
        <v>1787</v>
      </c>
      <c r="G550" s="370">
        <v>45560</v>
      </c>
      <c r="H550" s="369">
        <v>30000</v>
      </c>
      <c r="I550" s="365" t="s">
        <v>1788</v>
      </c>
      <c r="J550" s="365" t="s">
        <v>1228</v>
      </c>
      <c r="K550" s="365" t="s">
        <v>1229</v>
      </c>
      <c r="L550" s="370">
        <v>45563.316180555557</v>
      </c>
    </row>
    <row r="551" spans="1:12" s="365" customFormat="1" hidden="1">
      <c r="A551" s="370">
        <v>45563.475208333337</v>
      </c>
      <c r="B551" s="365" t="s">
        <v>1789</v>
      </c>
      <c r="C551" s="365" t="s">
        <v>1790</v>
      </c>
      <c r="D551" s="365" t="s">
        <v>1791</v>
      </c>
      <c r="E551" s="365" t="s">
        <v>1792</v>
      </c>
      <c r="F551" s="365" t="s">
        <v>1793</v>
      </c>
      <c r="G551" s="370">
        <v>45560</v>
      </c>
      <c r="H551" s="369">
        <v>25000</v>
      </c>
      <c r="I551" s="365" t="s">
        <v>1794</v>
      </c>
      <c r="J551" s="365" t="s">
        <v>1228</v>
      </c>
      <c r="K551" s="365" t="s">
        <v>1229</v>
      </c>
      <c r="L551" s="370">
        <v>45563.476122685184</v>
      </c>
    </row>
    <row r="552" spans="1:12" s="365" customFormat="1" hidden="1">
      <c r="A552" s="370">
        <v>45563.486527777779</v>
      </c>
      <c r="B552" s="365" t="s">
        <v>1795</v>
      </c>
      <c r="C552" s="365" t="s">
        <v>1772</v>
      </c>
      <c r="D552" s="365" t="s">
        <v>1796</v>
      </c>
      <c r="E552" s="365" t="s">
        <v>1797</v>
      </c>
      <c r="F552" s="365" t="s">
        <v>1798</v>
      </c>
      <c r="G552" s="370">
        <v>45560</v>
      </c>
      <c r="H552" s="369">
        <v>27000</v>
      </c>
      <c r="I552" s="365" t="s">
        <v>1799</v>
      </c>
      <c r="J552" s="365" t="s">
        <v>1228</v>
      </c>
      <c r="K552" s="365" t="s">
        <v>1229</v>
      </c>
      <c r="L552" s="370">
        <v>45563.490219907406</v>
      </c>
    </row>
    <row r="553" spans="1:12" s="365" customFormat="1" hidden="1">
      <c r="A553" s="370">
        <v>45563.487187500003</v>
      </c>
      <c r="B553" s="365" t="s">
        <v>1771</v>
      </c>
      <c r="C553" s="365" t="s">
        <v>1772</v>
      </c>
      <c r="D553" s="365" t="s">
        <v>1773</v>
      </c>
      <c r="E553" s="365" t="s">
        <v>1774</v>
      </c>
      <c r="F553" s="365" t="s">
        <v>1775</v>
      </c>
      <c r="G553" s="370">
        <v>45560</v>
      </c>
      <c r="H553" s="369">
        <v>21000</v>
      </c>
      <c r="I553" s="365" t="s">
        <v>1776</v>
      </c>
      <c r="J553" s="365" t="s">
        <v>1228</v>
      </c>
      <c r="K553" s="365" t="s">
        <v>1229</v>
      </c>
      <c r="L553" s="370">
        <v>45563.490023148152</v>
      </c>
    </row>
    <row r="554" spans="1:12" s="365" customFormat="1" hidden="1">
      <c r="A554" s="370">
        <v>45563.574999999997</v>
      </c>
      <c r="B554" s="365" t="s">
        <v>1754</v>
      </c>
      <c r="C554" s="365" t="s">
        <v>1755</v>
      </c>
      <c r="D554" s="365" t="s">
        <v>1756</v>
      </c>
      <c r="E554" s="365" t="s">
        <v>1757</v>
      </c>
      <c r="F554" s="365" t="s">
        <v>1758</v>
      </c>
      <c r="G554" s="370">
        <v>45560</v>
      </c>
      <c r="H554" s="369">
        <v>14500</v>
      </c>
      <c r="I554" s="365" t="s">
        <v>1759</v>
      </c>
      <c r="J554" s="365" t="s">
        <v>1228</v>
      </c>
      <c r="K554" s="365" t="s">
        <v>1229</v>
      </c>
      <c r="L554" s="370">
        <v>45563.576840277776</v>
      </c>
    </row>
    <row r="555" spans="1:12" s="365" customFormat="1" hidden="1">
      <c r="A555" s="370">
        <v>45563.744756944441</v>
      </c>
      <c r="B555" s="365" t="s">
        <v>1760</v>
      </c>
      <c r="C555" s="365" t="s">
        <v>1239</v>
      </c>
      <c r="D555" s="365" t="s">
        <v>1761</v>
      </c>
      <c r="E555" s="365" t="s">
        <v>1762</v>
      </c>
      <c r="F555" s="365" t="s">
        <v>1763</v>
      </c>
      <c r="G555" s="370">
        <v>45560</v>
      </c>
      <c r="H555" s="369">
        <v>15999</v>
      </c>
      <c r="I555" s="365" t="s">
        <v>1764</v>
      </c>
      <c r="J555" s="365" t="s">
        <v>1228</v>
      </c>
      <c r="K555" s="365" t="s">
        <v>1229</v>
      </c>
      <c r="L555" s="370">
        <v>45563.746921296297</v>
      </c>
    </row>
    <row r="556" spans="1:12" s="365" customFormat="1" hidden="1">
      <c r="A556" s="370">
        <v>45563.813483796293</v>
      </c>
      <c r="B556" s="365" t="s">
        <v>1777</v>
      </c>
      <c r="C556" s="365" t="s">
        <v>1778</v>
      </c>
      <c r="D556" s="365" t="s">
        <v>1779</v>
      </c>
      <c r="E556" s="365" t="s">
        <v>1780</v>
      </c>
      <c r="F556" s="365" t="s">
        <v>1781</v>
      </c>
      <c r="G556" s="370">
        <v>45560</v>
      </c>
      <c r="H556" s="369">
        <v>41000</v>
      </c>
      <c r="I556" s="365" t="s">
        <v>1782</v>
      </c>
      <c r="J556" s="365" t="s">
        <v>1228</v>
      </c>
      <c r="K556" s="365" t="s">
        <v>1229</v>
      </c>
      <c r="L556" s="370">
        <v>45563.816296296296</v>
      </c>
    </row>
    <row r="557" spans="1:12" s="365" customFormat="1" hidden="1">
      <c r="A557" s="370">
        <v>45563.822800925926</v>
      </c>
      <c r="B557" s="365" t="s">
        <v>1765</v>
      </c>
      <c r="C557" s="365" t="s">
        <v>1766</v>
      </c>
      <c r="D557" s="365" t="s">
        <v>1767</v>
      </c>
      <c r="E557" s="365" t="s">
        <v>1768</v>
      </c>
      <c r="F557" s="365" t="s">
        <v>1769</v>
      </c>
      <c r="G557" s="370">
        <v>45560</v>
      </c>
      <c r="H557" s="369">
        <v>23400</v>
      </c>
      <c r="I557" s="365" t="s">
        <v>1770</v>
      </c>
      <c r="J557" s="365" t="s">
        <v>1228</v>
      </c>
      <c r="K557" s="365" t="s">
        <v>1229</v>
      </c>
      <c r="L557" s="370">
        <v>45563.82340277778</v>
      </c>
    </row>
    <row r="558" spans="1:12" s="365" customFormat="1" hidden="1">
      <c r="A558" s="370">
        <v>45564.347731481481</v>
      </c>
      <c r="B558" s="365" t="s">
        <v>1800</v>
      </c>
      <c r="C558" s="365" t="s">
        <v>1801</v>
      </c>
      <c r="D558" s="365" t="s">
        <v>1802</v>
      </c>
      <c r="E558" s="365" t="s">
        <v>1803</v>
      </c>
      <c r="F558" s="365" t="s">
        <v>1804</v>
      </c>
      <c r="G558" s="370">
        <v>45560</v>
      </c>
      <c r="H558" s="369">
        <v>19000</v>
      </c>
      <c r="I558" s="365" t="s">
        <v>1805</v>
      </c>
      <c r="J558" s="365" t="s">
        <v>1228</v>
      </c>
      <c r="K558" s="365" t="s">
        <v>1229</v>
      </c>
      <c r="L558" s="370">
        <v>45564.351030092592</v>
      </c>
    </row>
    <row r="559" spans="1:12" s="365" customFormat="1" hidden="1">
      <c r="A559" s="370">
        <v>45564.478206018517</v>
      </c>
      <c r="B559" s="365" t="s">
        <v>1830</v>
      </c>
      <c r="C559" s="365" t="s">
        <v>1831</v>
      </c>
      <c r="D559" s="365" t="s">
        <v>1832</v>
      </c>
      <c r="E559" s="365" t="s">
        <v>1833</v>
      </c>
      <c r="F559" s="365" t="s">
        <v>1834</v>
      </c>
      <c r="G559" s="370">
        <v>45560</v>
      </c>
      <c r="H559" s="369">
        <v>48000</v>
      </c>
      <c r="I559" s="365" t="s">
        <v>1835</v>
      </c>
      <c r="J559" s="365" t="s">
        <v>1228</v>
      </c>
      <c r="K559" s="365" t="s">
        <v>1229</v>
      </c>
      <c r="L559" s="370">
        <v>45564.479456018518</v>
      </c>
    </row>
    <row r="560" spans="1:12" s="365" customFormat="1" hidden="1">
      <c r="A560" s="370">
        <v>45564.57980324074</v>
      </c>
      <c r="B560" s="365" t="s">
        <v>1806</v>
      </c>
      <c r="C560" s="365" t="s">
        <v>1807</v>
      </c>
      <c r="D560" s="365" t="s">
        <v>1808</v>
      </c>
      <c r="E560" s="365" t="s">
        <v>1809</v>
      </c>
      <c r="F560" s="365" t="s">
        <v>1810</v>
      </c>
      <c r="G560" s="370">
        <v>45560</v>
      </c>
      <c r="H560" s="369">
        <v>39000</v>
      </c>
      <c r="I560" s="365" t="s">
        <v>1811</v>
      </c>
      <c r="J560" s="365" t="s">
        <v>1228</v>
      </c>
      <c r="K560" s="365" t="s">
        <v>1229</v>
      </c>
      <c r="L560" s="370">
        <v>45564.580138888887</v>
      </c>
    </row>
    <row r="561" spans="1:12" s="365" customFormat="1" hidden="1">
      <c r="A561" s="370">
        <v>45564.77747685185</v>
      </c>
      <c r="B561" s="365" t="s">
        <v>1812</v>
      </c>
      <c r="C561" s="365" t="s">
        <v>1813</v>
      </c>
      <c r="D561" s="365" t="s">
        <v>1814</v>
      </c>
      <c r="E561" s="365" t="s">
        <v>1815</v>
      </c>
      <c r="F561" s="365" t="s">
        <v>1816</v>
      </c>
      <c r="G561" s="370">
        <v>45560</v>
      </c>
      <c r="H561" s="369">
        <v>22500</v>
      </c>
      <c r="I561" s="365" t="s">
        <v>1817</v>
      </c>
      <c r="J561" s="365" t="s">
        <v>1228</v>
      </c>
      <c r="K561" s="365" t="s">
        <v>1229</v>
      </c>
      <c r="L561" s="370">
        <v>45564.778275462966</v>
      </c>
    </row>
    <row r="562" spans="1:12" s="365" customFormat="1" hidden="1">
      <c r="A562" s="370">
        <v>45564.907418981478</v>
      </c>
      <c r="B562" s="365" t="s">
        <v>1818</v>
      </c>
      <c r="C562" s="365" t="s">
        <v>1819</v>
      </c>
      <c r="D562" s="365" t="s">
        <v>1820</v>
      </c>
      <c r="E562" s="365" t="s">
        <v>1821</v>
      </c>
      <c r="F562" s="365" t="s">
        <v>1822</v>
      </c>
      <c r="G562" s="370">
        <v>45560</v>
      </c>
      <c r="H562" s="369">
        <v>85000</v>
      </c>
      <c r="I562" s="365" t="s">
        <v>1823</v>
      </c>
      <c r="J562" s="365" t="s">
        <v>1228</v>
      </c>
      <c r="K562" s="365" t="s">
        <v>1229</v>
      </c>
      <c r="L562" s="370">
        <v>45564.910243055558</v>
      </c>
    </row>
    <row r="563" spans="1:12" s="365" customFormat="1" hidden="1">
      <c r="A563" s="370">
        <v>45564.958148148151</v>
      </c>
      <c r="B563" s="365" t="s">
        <v>1824</v>
      </c>
      <c r="C563" s="365" t="s">
        <v>1825</v>
      </c>
      <c r="D563" s="365" t="s">
        <v>1826</v>
      </c>
      <c r="E563" s="365" t="s">
        <v>1827</v>
      </c>
      <c r="F563" s="365" t="s">
        <v>1828</v>
      </c>
      <c r="G563" s="370">
        <v>45560</v>
      </c>
      <c r="H563" s="369">
        <v>15999</v>
      </c>
      <c r="I563" s="365" t="s">
        <v>1829</v>
      </c>
      <c r="J563" s="365" t="s">
        <v>1228</v>
      </c>
      <c r="K563" s="365" t="s">
        <v>1229</v>
      </c>
      <c r="L563" s="370">
        <v>45565.125520833331</v>
      </c>
    </row>
    <row r="564" spans="1:12" s="365" customFormat="1" hidden="1">
      <c r="A564" s="370">
        <v>45565.363229166665</v>
      </c>
      <c r="B564" s="365" t="s">
        <v>1836</v>
      </c>
      <c r="C564" s="365" t="s">
        <v>1837</v>
      </c>
      <c r="D564" s="365" t="s">
        <v>1838</v>
      </c>
      <c r="E564" s="365" t="s">
        <v>1839</v>
      </c>
      <c r="F564" s="365" t="s">
        <v>1840</v>
      </c>
      <c r="G564" s="370">
        <v>45560</v>
      </c>
      <c r="H564" s="369">
        <v>26000</v>
      </c>
      <c r="I564" s="365" t="s">
        <v>1841</v>
      </c>
      <c r="J564" s="365" t="s">
        <v>1228</v>
      </c>
      <c r="K564" s="365" t="s">
        <v>1229</v>
      </c>
      <c r="L564" s="370">
        <v>45565.364999999998</v>
      </c>
    </row>
    <row r="565" spans="1:12" s="365" customFormat="1" hidden="1">
      <c r="A565" s="370">
        <v>45565.412488425929</v>
      </c>
      <c r="B565" s="365" t="s">
        <v>1842</v>
      </c>
      <c r="C565" s="365" t="s">
        <v>1843</v>
      </c>
      <c r="D565" s="365" t="s">
        <v>1844</v>
      </c>
      <c r="E565" s="365" t="s">
        <v>1845</v>
      </c>
      <c r="F565" s="365" t="s">
        <v>1846</v>
      </c>
      <c r="G565" s="370">
        <v>45498</v>
      </c>
      <c r="H565" s="369">
        <v>15000</v>
      </c>
      <c r="I565" s="365" t="s">
        <v>1847</v>
      </c>
      <c r="J565" s="365" t="s">
        <v>1228</v>
      </c>
      <c r="K565" s="365" t="s">
        <v>1229</v>
      </c>
      <c r="L565" s="370">
        <v>45565.413414351853</v>
      </c>
    </row>
    <row r="566" spans="1:12" s="365" customFormat="1" hidden="1">
      <c r="A566" s="370">
        <v>45565.424768518518</v>
      </c>
      <c r="B566" s="365" t="s">
        <v>1960</v>
      </c>
      <c r="C566" s="365" t="s">
        <v>1961</v>
      </c>
      <c r="D566" s="365" t="s">
        <v>1962</v>
      </c>
      <c r="E566" s="365" t="s">
        <v>1963</v>
      </c>
      <c r="F566" s="365" t="s">
        <v>1964</v>
      </c>
      <c r="G566" s="370">
        <v>45560</v>
      </c>
      <c r="H566" s="369">
        <v>22500</v>
      </c>
      <c r="I566" s="365" t="s">
        <v>1965</v>
      </c>
      <c r="J566" s="365" t="s">
        <v>1228</v>
      </c>
      <c r="K566" s="365" t="s">
        <v>1229</v>
      </c>
      <c r="L566" s="370">
        <v>45565.427291666667</v>
      </c>
    </row>
    <row r="567" spans="1:12" s="365" customFormat="1" hidden="1">
      <c r="A567" s="370">
        <v>45565.43172453704</v>
      </c>
      <c r="B567" s="365" t="s">
        <v>1925</v>
      </c>
      <c r="C567" s="365" t="s">
        <v>1926</v>
      </c>
      <c r="D567" s="365" t="s">
        <v>1927</v>
      </c>
      <c r="E567" s="365" t="s">
        <v>1928</v>
      </c>
      <c r="F567" s="365" t="s">
        <v>1929</v>
      </c>
      <c r="G567" s="370">
        <v>45560</v>
      </c>
      <c r="H567" s="369">
        <v>15999</v>
      </c>
      <c r="I567" s="365" t="s">
        <v>1930</v>
      </c>
      <c r="J567" s="365" t="s">
        <v>1228</v>
      </c>
      <c r="K567" s="365" t="s">
        <v>1229</v>
      </c>
      <c r="L567" s="370">
        <v>45565.434421296297</v>
      </c>
    </row>
    <row r="568" spans="1:12" s="365" customFormat="1" hidden="1">
      <c r="A568" s="370">
        <v>45565.431979166664</v>
      </c>
      <c r="B568" s="365" t="s">
        <v>1931</v>
      </c>
      <c r="C568" s="365" t="s">
        <v>1932</v>
      </c>
      <c r="D568" s="365" t="s">
        <v>1933</v>
      </c>
      <c r="E568" s="365" t="s">
        <v>1934</v>
      </c>
      <c r="F568" s="365" t="s">
        <v>1935</v>
      </c>
      <c r="G568" s="370">
        <v>45560</v>
      </c>
      <c r="H568" s="369">
        <v>15999</v>
      </c>
      <c r="I568" s="365" t="s">
        <v>1936</v>
      </c>
      <c r="J568" s="365" t="s">
        <v>1228</v>
      </c>
      <c r="K568" s="365" t="s">
        <v>1229</v>
      </c>
      <c r="L568" s="370">
        <v>45565.434606481482</v>
      </c>
    </row>
    <row r="569" spans="1:12" s="365" customFormat="1" hidden="1">
      <c r="A569" s="370">
        <v>45565.4612037037</v>
      </c>
      <c r="B569" s="365" t="s">
        <v>1848</v>
      </c>
      <c r="C569" s="365" t="s">
        <v>1849</v>
      </c>
      <c r="D569" s="365" t="s">
        <v>1850</v>
      </c>
      <c r="E569" s="365" t="s">
        <v>1851</v>
      </c>
      <c r="F569" s="365" t="s">
        <v>1852</v>
      </c>
      <c r="G569" s="370">
        <v>45560</v>
      </c>
      <c r="H569" s="369">
        <v>15000</v>
      </c>
      <c r="I569" s="365" t="s">
        <v>1853</v>
      </c>
      <c r="J569" s="365" t="s">
        <v>1228</v>
      </c>
      <c r="K569" s="365" t="s">
        <v>1229</v>
      </c>
      <c r="L569" s="370">
        <v>45565.462094907409</v>
      </c>
    </row>
    <row r="570" spans="1:12" s="365" customFormat="1" hidden="1">
      <c r="A570" s="370">
        <v>45565.475590277776</v>
      </c>
      <c r="B570" s="365" t="s">
        <v>1966</v>
      </c>
      <c r="C570" s="365" t="s">
        <v>1967</v>
      </c>
      <c r="D570" s="365" t="s">
        <v>1968</v>
      </c>
      <c r="E570" s="365" t="s">
        <v>1969</v>
      </c>
      <c r="F570" s="365" t="s">
        <v>1970</v>
      </c>
      <c r="G570" s="370">
        <v>45560</v>
      </c>
      <c r="H570" s="369">
        <v>15999</v>
      </c>
      <c r="I570" s="365" t="s">
        <v>1971</v>
      </c>
      <c r="J570" s="365" t="s">
        <v>1228</v>
      </c>
      <c r="K570" s="365" t="s">
        <v>1229</v>
      </c>
      <c r="L570" s="370">
        <v>45565.476053240738</v>
      </c>
    </row>
    <row r="571" spans="1:12" s="365" customFormat="1" hidden="1">
      <c r="A571" s="370">
        <v>45565.482812499999</v>
      </c>
      <c r="B571" s="365" t="s">
        <v>1937</v>
      </c>
      <c r="C571" s="365" t="s">
        <v>1938</v>
      </c>
      <c r="D571" s="365" t="s">
        <v>1939</v>
      </c>
      <c r="E571" s="365" t="s">
        <v>1940</v>
      </c>
      <c r="F571" s="365" t="s">
        <v>1941</v>
      </c>
      <c r="G571" s="370">
        <v>45560</v>
      </c>
      <c r="H571" s="369">
        <v>9000</v>
      </c>
      <c r="I571" s="365" t="s">
        <v>1942</v>
      </c>
      <c r="J571" s="365" t="s">
        <v>1228</v>
      </c>
      <c r="K571" s="365" t="s">
        <v>1229</v>
      </c>
      <c r="L571" s="370">
        <v>45565.48300925926</v>
      </c>
    </row>
    <row r="572" spans="1:12" s="365" customFormat="1" hidden="1">
      <c r="A572" s="370">
        <v>45565.500243055554</v>
      </c>
      <c r="B572" s="365" t="s">
        <v>1972</v>
      </c>
      <c r="C572" s="365" t="s">
        <v>1973</v>
      </c>
      <c r="D572" s="365" t="s">
        <v>1974</v>
      </c>
      <c r="E572" s="365" t="s">
        <v>1975</v>
      </c>
      <c r="F572" s="365" t="s">
        <v>1976</v>
      </c>
      <c r="G572" s="370">
        <v>45560</v>
      </c>
      <c r="H572" s="369">
        <v>9000</v>
      </c>
      <c r="I572" s="365" t="s">
        <v>1977</v>
      </c>
      <c r="J572" s="365" t="s">
        <v>1228</v>
      </c>
      <c r="K572" s="365" t="s">
        <v>1229</v>
      </c>
      <c r="L572" s="370">
        <v>45565.504050925927</v>
      </c>
    </row>
    <row r="573" spans="1:12" s="365" customFormat="1" hidden="1">
      <c r="A573" s="370">
        <v>45565.501307870371</v>
      </c>
      <c r="B573" s="365" t="s">
        <v>1978</v>
      </c>
      <c r="C573" s="365" t="s">
        <v>1979</v>
      </c>
      <c r="D573" s="365" t="s">
        <v>1980</v>
      </c>
      <c r="E573" s="365" t="s">
        <v>1981</v>
      </c>
      <c r="F573" s="365" t="s">
        <v>1982</v>
      </c>
      <c r="G573" s="370">
        <v>45560</v>
      </c>
      <c r="H573" s="369">
        <v>12000</v>
      </c>
      <c r="I573" s="365" t="s">
        <v>1983</v>
      </c>
      <c r="J573" s="365" t="s">
        <v>1228</v>
      </c>
      <c r="K573" s="365" t="s">
        <v>1229</v>
      </c>
      <c r="L573" s="370">
        <v>45565.504074074073</v>
      </c>
    </row>
    <row r="574" spans="1:12" s="365" customFormat="1" hidden="1">
      <c r="A574" s="370">
        <v>45565.501898148148</v>
      </c>
      <c r="B574" s="365" t="s">
        <v>1854</v>
      </c>
      <c r="C574" s="365" t="s">
        <v>1855</v>
      </c>
      <c r="D574" s="365" t="s">
        <v>1856</v>
      </c>
      <c r="E574" s="365" t="s">
        <v>1857</v>
      </c>
      <c r="F574" s="365" t="s">
        <v>1858</v>
      </c>
      <c r="G574" s="370">
        <v>45560</v>
      </c>
      <c r="H574" s="369">
        <v>15999</v>
      </c>
      <c r="I574" s="365" t="s">
        <v>1859</v>
      </c>
      <c r="J574" s="365" t="s">
        <v>1228</v>
      </c>
      <c r="K574" s="365" t="s">
        <v>1229</v>
      </c>
      <c r="L574" s="370">
        <v>45565.503865740742</v>
      </c>
    </row>
    <row r="575" spans="1:12" s="365" customFormat="1" hidden="1">
      <c r="A575" s="370">
        <v>45565.502476851849</v>
      </c>
      <c r="B575" s="365" t="s">
        <v>1984</v>
      </c>
      <c r="C575" s="365" t="s">
        <v>1855</v>
      </c>
      <c r="D575" s="365" t="s">
        <v>1985</v>
      </c>
      <c r="E575" s="365" t="s">
        <v>1986</v>
      </c>
      <c r="F575" s="365" t="s">
        <v>1987</v>
      </c>
      <c r="G575" s="370">
        <v>45560</v>
      </c>
      <c r="H575" s="369">
        <v>15999</v>
      </c>
      <c r="I575" s="365" t="s">
        <v>1988</v>
      </c>
      <c r="J575" s="365" t="s">
        <v>1228</v>
      </c>
      <c r="K575" s="365" t="s">
        <v>1229</v>
      </c>
      <c r="L575" s="370">
        <v>45565.504247685189</v>
      </c>
    </row>
    <row r="576" spans="1:12" s="365" customFormat="1" hidden="1">
      <c r="A576" s="370">
        <v>45565.518865740742</v>
      </c>
      <c r="B576" s="365" t="s">
        <v>1860</v>
      </c>
      <c r="C576" s="365" t="s">
        <v>1861</v>
      </c>
      <c r="D576" s="365" t="s">
        <v>1862</v>
      </c>
      <c r="E576" s="365" t="s">
        <v>1863</v>
      </c>
      <c r="F576" s="365" t="s">
        <v>1864</v>
      </c>
      <c r="G576" s="370">
        <v>45560</v>
      </c>
      <c r="H576" s="369">
        <v>9000</v>
      </c>
      <c r="I576" s="365" t="s">
        <v>1865</v>
      </c>
      <c r="J576" s="365" t="s">
        <v>1228</v>
      </c>
      <c r="K576" s="365" t="s">
        <v>1229</v>
      </c>
      <c r="L576" s="370">
        <v>45565.521967592591</v>
      </c>
    </row>
    <row r="577" spans="1:12" s="365" customFormat="1" hidden="1">
      <c r="A577" s="370">
        <v>45565.54074074074</v>
      </c>
      <c r="B577" s="365" t="s">
        <v>1866</v>
      </c>
      <c r="C577" s="365" t="s">
        <v>1867</v>
      </c>
      <c r="D577" s="365" t="s">
        <v>1868</v>
      </c>
      <c r="E577" s="365" t="s">
        <v>1869</v>
      </c>
      <c r="F577" s="365" t="s">
        <v>1870</v>
      </c>
      <c r="G577" s="370">
        <v>45560</v>
      </c>
      <c r="H577" s="369">
        <v>39000</v>
      </c>
      <c r="I577" s="365" t="s">
        <v>1871</v>
      </c>
      <c r="J577" s="365" t="s">
        <v>1228</v>
      </c>
      <c r="K577" s="365" t="s">
        <v>1229</v>
      </c>
      <c r="L577" s="370">
        <v>45565.542615740742</v>
      </c>
    </row>
    <row r="578" spans="1:12" s="365" customFormat="1" hidden="1">
      <c r="A578" s="370">
        <v>45565.542986111112</v>
      </c>
      <c r="B578" s="365" t="s">
        <v>1872</v>
      </c>
      <c r="C578" s="365" t="s">
        <v>1873</v>
      </c>
      <c r="D578" s="365" t="s">
        <v>1874</v>
      </c>
      <c r="E578" s="365" t="s">
        <v>1875</v>
      </c>
      <c r="F578" s="365" t="s">
        <v>1876</v>
      </c>
      <c r="G578" s="370">
        <v>45560</v>
      </c>
      <c r="H578" s="369">
        <v>48400</v>
      </c>
      <c r="I578" s="365" t="s">
        <v>1877</v>
      </c>
      <c r="J578" s="365" t="s">
        <v>1228</v>
      </c>
      <c r="K578" s="365" t="s">
        <v>1229</v>
      </c>
      <c r="L578" s="370">
        <v>45565.546168981484</v>
      </c>
    </row>
    <row r="579" spans="1:12" s="365" customFormat="1" hidden="1">
      <c r="A579" s="370">
        <v>45565.547361111108</v>
      </c>
      <c r="B579" s="365" t="s">
        <v>1878</v>
      </c>
      <c r="C579" s="365" t="s">
        <v>1879</v>
      </c>
      <c r="D579" s="365" t="s">
        <v>1880</v>
      </c>
      <c r="E579" s="365" t="s">
        <v>1881</v>
      </c>
      <c r="F579" s="365" t="s">
        <v>1882</v>
      </c>
      <c r="G579" s="370">
        <v>45560</v>
      </c>
      <c r="H579" s="369">
        <v>25000</v>
      </c>
      <c r="I579" s="365" t="s">
        <v>1883</v>
      </c>
      <c r="J579" s="365" t="s">
        <v>1228</v>
      </c>
      <c r="K579" s="365" t="s">
        <v>1229</v>
      </c>
      <c r="L579" s="370">
        <v>45565.549722222226</v>
      </c>
    </row>
    <row r="580" spans="1:12" s="365" customFormat="1" hidden="1">
      <c r="A580" s="370">
        <v>45565.632696759261</v>
      </c>
      <c r="B580" s="365" t="s">
        <v>1884</v>
      </c>
      <c r="C580" s="365" t="s">
        <v>1885</v>
      </c>
      <c r="D580" s="365" t="s">
        <v>1886</v>
      </c>
      <c r="E580" s="365" t="s">
        <v>1887</v>
      </c>
      <c r="F580" s="365" t="s">
        <v>1888</v>
      </c>
      <c r="G580" s="370">
        <v>45530</v>
      </c>
      <c r="H580" s="369">
        <v>15999</v>
      </c>
      <c r="I580" s="365" t="s">
        <v>1889</v>
      </c>
      <c r="J580" s="365" t="s">
        <v>1228</v>
      </c>
      <c r="K580" s="365" t="s">
        <v>1229</v>
      </c>
      <c r="L580" s="370">
        <v>45565.632997685185</v>
      </c>
    </row>
    <row r="581" spans="1:12" s="365" customFormat="1" hidden="1">
      <c r="A581" s="370">
        <v>45565.643773148149</v>
      </c>
      <c r="B581" s="365" t="s">
        <v>1989</v>
      </c>
      <c r="C581" s="365" t="s">
        <v>1990</v>
      </c>
      <c r="D581" s="365" t="s">
        <v>1991</v>
      </c>
      <c r="E581" s="365" t="s">
        <v>1992</v>
      </c>
      <c r="F581" s="365" t="s">
        <v>1993</v>
      </c>
      <c r="G581" s="370">
        <v>45530</v>
      </c>
      <c r="H581" s="369">
        <v>20999</v>
      </c>
      <c r="I581" s="365" t="s">
        <v>1994</v>
      </c>
      <c r="J581" s="365" t="s">
        <v>1228</v>
      </c>
      <c r="K581" s="365" t="s">
        <v>1229</v>
      </c>
      <c r="L581" s="370">
        <v>45565.646874999999</v>
      </c>
    </row>
    <row r="582" spans="1:12" s="365" customFormat="1" hidden="1">
      <c r="A582" s="370">
        <v>45565.661192129628</v>
      </c>
      <c r="B582" s="365" t="s">
        <v>1995</v>
      </c>
      <c r="C582" s="365" t="s">
        <v>1990</v>
      </c>
      <c r="D582" s="365" t="s">
        <v>1991</v>
      </c>
      <c r="E582" s="365" t="s">
        <v>1992</v>
      </c>
      <c r="F582" s="365" t="s">
        <v>1996</v>
      </c>
      <c r="G582" s="370">
        <v>45560</v>
      </c>
      <c r="H582" s="369">
        <v>41999</v>
      </c>
      <c r="I582" s="365" t="s">
        <v>1997</v>
      </c>
      <c r="J582" s="365" t="s">
        <v>1228</v>
      </c>
      <c r="K582" s="365" t="s">
        <v>1229</v>
      </c>
      <c r="L582" s="370">
        <v>45565.664317129631</v>
      </c>
    </row>
    <row r="583" spans="1:12" s="365" customFormat="1" hidden="1">
      <c r="A583" s="370">
        <v>45565.675706018519</v>
      </c>
      <c r="B583" s="365" t="s">
        <v>1890</v>
      </c>
      <c r="C583" s="365" t="s">
        <v>1891</v>
      </c>
      <c r="D583" s="365" t="s">
        <v>1892</v>
      </c>
      <c r="E583" s="365" t="s">
        <v>1893</v>
      </c>
      <c r="F583" s="365" t="s">
        <v>1894</v>
      </c>
      <c r="G583" s="370">
        <v>45560</v>
      </c>
      <c r="H583" s="369">
        <v>24000</v>
      </c>
      <c r="I583" s="365" t="s">
        <v>1895</v>
      </c>
      <c r="J583" s="365" t="s">
        <v>1228</v>
      </c>
      <c r="K583" s="365" t="s">
        <v>1229</v>
      </c>
      <c r="L583" s="370">
        <v>45565.678194444445</v>
      </c>
    </row>
    <row r="584" spans="1:12" s="365" customFormat="1" hidden="1">
      <c r="A584" s="370">
        <v>45565.694976851853</v>
      </c>
      <c r="B584" s="365" t="s">
        <v>1896</v>
      </c>
      <c r="C584" s="365" t="s">
        <v>1897</v>
      </c>
      <c r="D584" s="365" t="s">
        <v>1898</v>
      </c>
      <c r="E584" s="365" t="s">
        <v>1899</v>
      </c>
      <c r="F584" s="365" t="s">
        <v>1900</v>
      </c>
      <c r="G584" s="370">
        <v>45560</v>
      </c>
      <c r="H584" s="369">
        <v>58777</v>
      </c>
      <c r="I584" s="365" t="s">
        <v>1901</v>
      </c>
      <c r="J584" s="365" t="s">
        <v>1228</v>
      </c>
      <c r="K584" s="365" t="s">
        <v>1229</v>
      </c>
      <c r="L584" s="370">
        <v>45565.695636574077</v>
      </c>
    </row>
    <row r="585" spans="1:12" s="365" customFormat="1" hidden="1">
      <c r="A585" s="370">
        <v>45565.70685185185</v>
      </c>
      <c r="B585" s="365" t="s">
        <v>1902</v>
      </c>
      <c r="C585" s="365" t="s">
        <v>1265</v>
      </c>
      <c r="D585" s="365" t="s">
        <v>1903</v>
      </c>
      <c r="E585" s="365" t="s">
        <v>1904</v>
      </c>
      <c r="F585" s="365" t="s">
        <v>1905</v>
      </c>
      <c r="G585" s="370">
        <v>45560</v>
      </c>
      <c r="H585" s="369">
        <v>15999</v>
      </c>
      <c r="I585" s="365" t="s">
        <v>1906</v>
      </c>
      <c r="J585" s="365" t="s">
        <v>1228</v>
      </c>
      <c r="K585" s="365" t="s">
        <v>1229</v>
      </c>
      <c r="L585" s="370">
        <v>45565.70952546296</v>
      </c>
    </row>
    <row r="586" spans="1:12" s="365" customFormat="1" hidden="1">
      <c r="A586" s="370">
        <v>45565.718831018516</v>
      </c>
      <c r="B586" s="365" t="s">
        <v>1998</v>
      </c>
      <c r="C586" s="365" t="s">
        <v>1999</v>
      </c>
      <c r="D586" s="365" t="s">
        <v>2000</v>
      </c>
      <c r="E586" s="365" t="s">
        <v>2001</v>
      </c>
      <c r="F586" s="365" t="s">
        <v>2002</v>
      </c>
      <c r="G586" s="370">
        <v>45560</v>
      </c>
      <c r="H586" s="369">
        <v>15999</v>
      </c>
      <c r="I586" s="365" t="s">
        <v>2003</v>
      </c>
      <c r="J586" s="365" t="s">
        <v>1228</v>
      </c>
      <c r="K586" s="365" t="s">
        <v>1229</v>
      </c>
      <c r="L586" s="370">
        <v>45565.719884259262</v>
      </c>
    </row>
    <row r="587" spans="1:12" s="365" customFormat="1" hidden="1">
      <c r="A587" s="370">
        <v>45565.757303240738</v>
      </c>
      <c r="B587" s="365" t="s">
        <v>1907</v>
      </c>
      <c r="C587" s="365" t="s">
        <v>1908</v>
      </c>
      <c r="D587" s="365" t="s">
        <v>1909</v>
      </c>
      <c r="E587" s="365" t="s">
        <v>1910</v>
      </c>
      <c r="F587" s="365" t="s">
        <v>1911</v>
      </c>
      <c r="G587" s="370">
        <v>45560</v>
      </c>
      <c r="H587" s="369">
        <v>23400</v>
      </c>
      <c r="I587" s="365" t="s">
        <v>1912</v>
      </c>
      <c r="J587" s="365" t="s">
        <v>1228</v>
      </c>
      <c r="K587" s="365" t="s">
        <v>1229</v>
      </c>
      <c r="L587" s="370">
        <v>45565.757939814815</v>
      </c>
    </row>
    <row r="588" spans="1:12" s="365" customFormat="1" hidden="1">
      <c r="A588" s="370">
        <v>45565.785925925928</v>
      </c>
      <c r="B588" s="365" t="s">
        <v>1943</v>
      </c>
      <c r="C588" s="365" t="s">
        <v>1944</v>
      </c>
      <c r="D588" s="365" t="s">
        <v>1945</v>
      </c>
      <c r="E588" s="365" t="s">
        <v>1946</v>
      </c>
      <c r="F588" s="365" t="s">
        <v>1947</v>
      </c>
      <c r="G588" s="370">
        <v>45560</v>
      </c>
      <c r="H588" s="369">
        <v>20000</v>
      </c>
      <c r="I588" s="365" t="s">
        <v>1948</v>
      </c>
      <c r="J588" s="365" t="s">
        <v>1228</v>
      </c>
      <c r="K588" s="365" t="s">
        <v>1229</v>
      </c>
      <c r="L588" s="370">
        <v>45565.789085648146</v>
      </c>
    </row>
    <row r="589" spans="1:12" s="365" customFormat="1" hidden="1">
      <c r="A589" s="370">
        <v>45565.815659722219</v>
      </c>
      <c r="B589" s="365" t="s">
        <v>2004</v>
      </c>
      <c r="C589" s="365" t="s">
        <v>2005</v>
      </c>
      <c r="D589" s="365" t="s">
        <v>2006</v>
      </c>
      <c r="E589" s="365" t="s">
        <v>2007</v>
      </c>
      <c r="F589" s="365" t="s">
        <v>2008</v>
      </c>
      <c r="G589" s="370">
        <v>45560</v>
      </c>
      <c r="H589" s="369">
        <v>18000</v>
      </c>
      <c r="I589" s="365" t="s">
        <v>2009</v>
      </c>
      <c r="J589" s="365" t="s">
        <v>1228</v>
      </c>
      <c r="K589" s="365" t="s">
        <v>1229</v>
      </c>
      <c r="L589" s="370">
        <v>45565.817013888889</v>
      </c>
    </row>
    <row r="590" spans="1:12" s="365" customFormat="1" hidden="1">
      <c r="A590" s="370">
        <v>45565.820127314815</v>
      </c>
      <c r="B590" s="365" t="s">
        <v>2010</v>
      </c>
      <c r="C590" s="365" t="s">
        <v>1313</v>
      </c>
      <c r="D590" s="365" t="s">
        <v>2011</v>
      </c>
      <c r="E590" s="365" t="s">
        <v>2012</v>
      </c>
      <c r="F590" s="365" t="s">
        <v>2013</v>
      </c>
      <c r="G590" s="370">
        <v>45560</v>
      </c>
      <c r="H590" s="369">
        <v>99000</v>
      </c>
      <c r="I590" s="365" t="s">
        <v>2014</v>
      </c>
      <c r="J590" s="365" t="s">
        <v>1228</v>
      </c>
      <c r="K590" s="365" t="s">
        <v>1229</v>
      </c>
      <c r="L590" s="370">
        <v>45565.820567129631</v>
      </c>
    </row>
    <row r="591" spans="1:12" s="365" customFormat="1" hidden="1">
      <c r="A591" s="370">
        <v>45565.82335648148</v>
      </c>
      <c r="B591" s="365" t="s">
        <v>1949</v>
      </c>
      <c r="C591" s="365" t="s">
        <v>1313</v>
      </c>
      <c r="D591" s="365" t="s">
        <v>1950</v>
      </c>
      <c r="E591" s="365" t="s">
        <v>1951</v>
      </c>
      <c r="F591" s="365" t="s">
        <v>1952</v>
      </c>
      <c r="G591" s="370">
        <v>45560</v>
      </c>
      <c r="H591" s="369">
        <v>9000</v>
      </c>
      <c r="I591" s="365" t="s">
        <v>1953</v>
      </c>
      <c r="J591" s="365" t="s">
        <v>1228</v>
      </c>
      <c r="K591" s="365" t="s">
        <v>1229</v>
      </c>
      <c r="L591" s="370">
        <v>45565.824143518519</v>
      </c>
    </row>
    <row r="592" spans="1:12" s="365" customFormat="1" hidden="1">
      <c r="A592" s="370">
        <v>45565.823761574073</v>
      </c>
      <c r="B592" s="365" t="s">
        <v>2015</v>
      </c>
      <c r="C592" s="365" t="s">
        <v>1313</v>
      </c>
      <c r="D592" s="365" t="s">
        <v>1950</v>
      </c>
      <c r="E592" s="365" t="s">
        <v>1951</v>
      </c>
      <c r="F592" s="365" t="s">
        <v>2016</v>
      </c>
      <c r="G592" s="370">
        <v>45530</v>
      </c>
      <c r="H592" s="369">
        <v>9000</v>
      </c>
      <c r="I592" s="365" t="s">
        <v>2017</v>
      </c>
      <c r="J592" s="365" t="s">
        <v>1228</v>
      </c>
      <c r="K592" s="365" t="s">
        <v>1229</v>
      </c>
      <c r="L592" s="370">
        <v>45565.824317129627</v>
      </c>
    </row>
    <row r="593" spans="1:12" s="365" customFormat="1" hidden="1">
      <c r="A593" s="370">
        <v>45565.835451388892</v>
      </c>
      <c r="B593" s="365" t="s">
        <v>1954</v>
      </c>
      <c r="C593" s="365" t="s">
        <v>1314</v>
      </c>
      <c r="D593" s="365" t="s">
        <v>1536</v>
      </c>
      <c r="E593" s="365" t="s">
        <v>1537</v>
      </c>
      <c r="F593" s="365" t="s">
        <v>1955</v>
      </c>
      <c r="G593" s="370">
        <v>45530</v>
      </c>
      <c r="H593" s="369">
        <v>15999</v>
      </c>
      <c r="I593" s="365" t="s">
        <v>1956</v>
      </c>
      <c r="J593" s="365" t="s">
        <v>1228</v>
      </c>
      <c r="K593" s="365" t="s">
        <v>1229</v>
      </c>
      <c r="L593" s="370">
        <v>45565.838692129626</v>
      </c>
    </row>
    <row r="594" spans="1:12" s="365" customFormat="1" hidden="1">
      <c r="A594" s="370">
        <v>45565.844583333332</v>
      </c>
      <c r="B594" s="365" t="s">
        <v>1957</v>
      </c>
      <c r="C594" s="365" t="s">
        <v>1429</v>
      </c>
      <c r="D594" s="365" t="s">
        <v>1430</v>
      </c>
      <c r="E594" s="365" t="s">
        <v>1431</v>
      </c>
      <c r="F594" s="365" t="s">
        <v>1958</v>
      </c>
      <c r="G594" s="370">
        <v>45560</v>
      </c>
      <c r="H594" s="369">
        <v>46999</v>
      </c>
      <c r="I594" s="365" t="s">
        <v>1959</v>
      </c>
      <c r="J594" s="365" t="s">
        <v>1228</v>
      </c>
      <c r="K594" s="365" t="s">
        <v>1229</v>
      </c>
      <c r="L594" s="370">
        <v>45565.845462962963</v>
      </c>
    </row>
    <row r="595" spans="1:12" s="365" customFormat="1" hidden="1">
      <c r="A595" s="370">
        <v>45565.855717592596</v>
      </c>
      <c r="B595" s="365" t="s">
        <v>1913</v>
      </c>
      <c r="C595" s="365" t="s">
        <v>1914</v>
      </c>
      <c r="D595" s="365" t="s">
        <v>1915</v>
      </c>
      <c r="E595" s="365" t="s">
        <v>1916</v>
      </c>
      <c r="F595" s="365" t="s">
        <v>1917</v>
      </c>
      <c r="G595" s="370">
        <v>45560</v>
      </c>
      <c r="H595" s="369">
        <v>15000</v>
      </c>
      <c r="I595" s="365" t="s">
        <v>1918</v>
      </c>
      <c r="J595" s="365" t="s">
        <v>1228</v>
      </c>
      <c r="K595" s="365" t="s">
        <v>1229</v>
      </c>
      <c r="L595" s="370">
        <v>45565.859166666669</v>
      </c>
    </row>
    <row r="596" spans="1:12" s="365" customFormat="1" hidden="1">
      <c r="A596" s="370">
        <v>45565.91207175926</v>
      </c>
      <c r="B596" s="365" t="s">
        <v>1919</v>
      </c>
      <c r="C596" s="365" t="s">
        <v>1920</v>
      </c>
      <c r="D596" s="365" t="s">
        <v>1921</v>
      </c>
      <c r="E596" s="365" t="s">
        <v>1922</v>
      </c>
      <c r="F596" s="365" t="s">
        <v>1923</v>
      </c>
      <c r="G596" s="370">
        <v>45560</v>
      </c>
      <c r="H596" s="369">
        <v>12000</v>
      </c>
      <c r="I596" s="365" t="s">
        <v>1924</v>
      </c>
      <c r="J596" s="365" t="s">
        <v>1228</v>
      </c>
      <c r="K596" s="365" t="s">
        <v>1229</v>
      </c>
      <c r="L596" s="370">
        <v>45565.914837962962</v>
      </c>
    </row>
    <row r="597" spans="1:12" s="365" customFormat="1" hidden="1">
      <c r="A597" s="370">
        <v>45565.929270833331</v>
      </c>
      <c r="B597" s="365" t="s">
        <v>2018</v>
      </c>
      <c r="C597" s="365" t="s">
        <v>2019</v>
      </c>
      <c r="D597" s="365" t="s">
        <v>2020</v>
      </c>
      <c r="E597" s="365" t="s">
        <v>2021</v>
      </c>
      <c r="F597" s="365" t="s">
        <v>2022</v>
      </c>
      <c r="G597" s="370">
        <v>45560</v>
      </c>
      <c r="H597" s="369">
        <v>15000</v>
      </c>
      <c r="I597" s="365" t="s">
        <v>2023</v>
      </c>
      <c r="J597" s="365" t="s">
        <v>1228</v>
      </c>
      <c r="K597" s="365" t="s">
        <v>1229</v>
      </c>
      <c r="L597" s="370">
        <v>45565.932256944441</v>
      </c>
    </row>
    <row r="598" spans="1:12" s="365" customFormat="1" hidden="1">
      <c r="A598" s="370">
        <v>45566.34002314815</v>
      </c>
      <c r="B598" s="365" t="s">
        <v>2086</v>
      </c>
      <c r="C598" s="365" t="s">
        <v>2087</v>
      </c>
      <c r="D598" s="365" t="s">
        <v>2088</v>
      </c>
      <c r="E598" s="365" t="s">
        <v>2089</v>
      </c>
      <c r="F598" s="365" t="s">
        <v>2090</v>
      </c>
      <c r="G598" s="370">
        <v>45560</v>
      </c>
      <c r="H598" s="369">
        <v>47999</v>
      </c>
      <c r="I598" s="365" t="s">
        <v>2091</v>
      </c>
      <c r="J598" s="365" t="s">
        <v>1228</v>
      </c>
      <c r="K598" s="365" t="s">
        <v>1229</v>
      </c>
      <c r="L598" s="370">
        <v>45566.340787037036</v>
      </c>
    </row>
    <row r="599" spans="1:12" s="365" customFormat="1" hidden="1">
      <c r="A599" s="370">
        <v>45566.350856481484</v>
      </c>
      <c r="B599" s="365" t="s">
        <v>2112</v>
      </c>
      <c r="C599" s="365" t="s">
        <v>1678</v>
      </c>
      <c r="D599" s="365" t="s">
        <v>2113</v>
      </c>
      <c r="E599" s="365" t="s">
        <v>2114</v>
      </c>
      <c r="F599" s="365" t="s">
        <v>2115</v>
      </c>
      <c r="G599" s="370">
        <v>45560</v>
      </c>
      <c r="H599" s="369">
        <v>15999</v>
      </c>
      <c r="I599" s="365" t="s">
        <v>2116</v>
      </c>
      <c r="J599" s="365" t="s">
        <v>1228</v>
      </c>
      <c r="K599" s="365" t="s">
        <v>1229</v>
      </c>
      <c r="L599" s="370">
        <v>45566.351122685184</v>
      </c>
    </row>
    <row r="600" spans="1:12" s="365" customFormat="1" hidden="1">
      <c r="A600" s="370">
        <v>45566.350949074076</v>
      </c>
      <c r="B600" s="365" t="s">
        <v>2024</v>
      </c>
      <c r="C600" s="365" t="s">
        <v>2025</v>
      </c>
      <c r="D600" s="365" t="s">
        <v>2026</v>
      </c>
      <c r="E600" s="365" t="s">
        <v>2027</v>
      </c>
      <c r="F600" s="365" t="s">
        <v>2028</v>
      </c>
      <c r="G600" s="370">
        <v>45560</v>
      </c>
      <c r="H600" s="369">
        <v>4000</v>
      </c>
      <c r="I600" s="365" t="s">
        <v>2029</v>
      </c>
      <c r="J600" s="365" t="s">
        <v>1228</v>
      </c>
      <c r="K600" s="365" t="s">
        <v>1229</v>
      </c>
      <c r="L600" s="370">
        <v>45566.354675925926</v>
      </c>
    </row>
    <row r="601" spans="1:12" s="365" customFormat="1" hidden="1">
      <c r="A601" s="370">
        <v>45566.36142361111</v>
      </c>
      <c r="B601" s="365" t="s">
        <v>2117</v>
      </c>
      <c r="C601" s="365" t="s">
        <v>2118</v>
      </c>
      <c r="D601" s="365" t="s">
        <v>2119</v>
      </c>
      <c r="E601" s="365" t="s">
        <v>2120</v>
      </c>
      <c r="F601" s="365" t="s">
        <v>2121</v>
      </c>
      <c r="G601" s="370">
        <v>45560</v>
      </c>
      <c r="H601" s="369">
        <v>9000</v>
      </c>
      <c r="I601" s="365" t="s">
        <v>2122</v>
      </c>
      <c r="J601" s="365" t="s">
        <v>1228</v>
      </c>
      <c r="K601" s="365" t="s">
        <v>1229</v>
      </c>
      <c r="L601" s="370">
        <v>45566.365011574075</v>
      </c>
    </row>
    <row r="602" spans="1:12" s="365" customFormat="1" hidden="1">
      <c r="A602" s="370">
        <v>45566.361851851849</v>
      </c>
      <c r="B602" s="365" t="s">
        <v>2123</v>
      </c>
      <c r="C602" s="365" t="s">
        <v>2124</v>
      </c>
      <c r="D602" s="365" t="s">
        <v>2125</v>
      </c>
      <c r="E602" s="365" t="s">
        <v>2126</v>
      </c>
      <c r="F602" s="365" t="s">
        <v>2127</v>
      </c>
      <c r="G602" s="370">
        <v>45560</v>
      </c>
      <c r="H602" s="369">
        <v>15999</v>
      </c>
      <c r="I602" s="365" t="s">
        <v>2128</v>
      </c>
      <c r="J602" s="365" t="s">
        <v>1228</v>
      </c>
      <c r="K602" s="365" t="s">
        <v>1229</v>
      </c>
      <c r="L602" s="370">
        <v>45566.36519675926</v>
      </c>
    </row>
    <row r="603" spans="1:12" s="365" customFormat="1" hidden="1">
      <c r="A603" s="370">
        <v>45566.36650462963</v>
      </c>
      <c r="B603" s="365" t="s">
        <v>2129</v>
      </c>
      <c r="C603" s="365" t="s">
        <v>2130</v>
      </c>
      <c r="D603" s="365" t="s">
        <v>2131</v>
      </c>
      <c r="E603" s="365" t="s">
        <v>2132</v>
      </c>
      <c r="F603" s="365" t="s">
        <v>2133</v>
      </c>
      <c r="G603" s="370">
        <v>45560</v>
      </c>
      <c r="H603" s="369">
        <v>15000</v>
      </c>
      <c r="I603" s="365" t="s">
        <v>2134</v>
      </c>
      <c r="J603" s="365" t="s">
        <v>1228</v>
      </c>
      <c r="K603" s="365" t="s">
        <v>1229</v>
      </c>
      <c r="L603" s="370">
        <v>45566.368460648147</v>
      </c>
    </row>
    <row r="604" spans="1:12" s="365" customFormat="1" hidden="1">
      <c r="A604" s="370">
        <v>45566.366585648146</v>
      </c>
      <c r="B604" s="365" t="s">
        <v>2030</v>
      </c>
      <c r="C604" s="365" t="s">
        <v>2031</v>
      </c>
      <c r="D604" s="365" t="s">
        <v>2032</v>
      </c>
      <c r="E604" s="365" t="s">
        <v>2033</v>
      </c>
      <c r="F604" s="365" t="s">
        <v>2034</v>
      </c>
      <c r="G604" s="370">
        <v>45560</v>
      </c>
      <c r="H604" s="369">
        <v>15999</v>
      </c>
      <c r="I604" s="365" t="s">
        <v>2035</v>
      </c>
      <c r="J604" s="365" t="s">
        <v>1228</v>
      </c>
      <c r="K604" s="365" t="s">
        <v>1229</v>
      </c>
      <c r="L604" s="370">
        <v>45566.368275462963</v>
      </c>
    </row>
    <row r="605" spans="1:12" s="365" customFormat="1" hidden="1">
      <c r="A605" s="370">
        <v>45566.373888888891</v>
      </c>
      <c r="B605" s="365" t="s">
        <v>2036</v>
      </c>
      <c r="C605" s="365" t="s">
        <v>2037</v>
      </c>
      <c r="D605" s="365" t="s">
        <v>2038</v>
      </c>
      <c r="E605" s="365" t="s">
        <v>2039</v>
      </c>
      <c r="F605" s="365" t="s">
        <v>2040</v>
      </c>
      <c r="G605" s="370">
        <v>45498</v>
      </c>
      <c r="H605" s="369">
        <v>15000</v>
      </c>
      <c r="I605" s="365" t="s">
        <v>2041</v>
      </c>
      <c r="J605" s="365" t="s">
        <v>1228</v>
      </c>
      <c r="K605" s="365" t="s">
        <v>1229</v>
      </c>
      <c r="L605" s="370">
        <v>45566.375381944446</v>
      </c>
    </row>
    <row r="606" spans="1:12" s="365" customFormat="1" hidden="1">
      <c r="A606" s="370">
        <v>45566.375185185185</v>
      </c>
      <c r="B606" s="365" t="s">
        <v>2135</v>
      </c>
      <c r="C606" s="365" t="s">
        <v>2037</v>
      </c>
      <c r="D606" s="365" t="s">
        <v>2038</v>
      </c>
      <c r="E606" s="365" t="s">
        <v>2039</v>
      </c>
      <c r="F606" s="365" t="s">
        <v>2136</v>
      </c>
      <c r="G606" s="370">
        <v>45530</v>
      </c>
      <c r="H606" s="369">
        <v>15000</v>
      </c>
      <c r="I606" s="365" t="s">
        <v>2137</v>
      </c>
      <c r="J606" s="365" t="s">
        <v>1228</v>
      </c>
      <c r="K606" s="365" t="s">
        <v>1229</v>
      </c>
      <c r="L606" s="370">
        <v>45566.379131944443</v>
      </c>
    </row>
    <row r="607" spans="1:12" s="365" customFormat="1" hidden="1">
      <c r="A607" s="370">
        <v>45566.376238425924</v>
      </c>
      <c r="B607" s="365" t="s">
        <v>2042</v>
      </c>
      <c r="C607" s="365" t="s">
        <v>2037</v>
      </c>
      <c r="D607" s="365" t="s">
        <v>2038</v>
      </c>
      <c r="E607" s="365" t="s">
        <v>2039</v>
      </c>
      <c r="F607" s="365" t="s">
        <v>2043</v>
      </c>
      <c r="G607" s="370">
        <v>45560</v>
      </c>
      <c r="H607" s="369">
        <v>15000</v>
      </c>
      <c r="I607" s="365" t="s">
        <v>2044</v>
      </c>
      <c r="J607" s="365" t="s">
        <v>1228</v>
      </c>
      <c r="K607" s="365" t="s">
        <v>1229</v>
      </c>
      <c r="L607" s="370">
        <v>45566.378958333335</v>
      </c>
    </row>
    <row r="608" spans="1:12" s="365" customFormat="1" hidden="1">
      <c r="A608" s="370">
        <v>45566.397118055553</v>
      </c>
      <c r="B608" s="365" t="s">
        <v>2045</v>
      </c>
      <c r="C608" s="365" t="s">
        <v>2046</v>
      </c>
      <c r="D608" s="365" t="s">
        <v>2047</v>
      </c>
      <c r="E608" s="365" t="s">
        <v>2048</v>
      </c>
      <c r="F608" s="365" t="s">
        <v>2049</v>
      </c>
      <c r="G608" s="370">
        <v>45560</v>
      </c>
      <c r="H608" s="369">
        <v>57500</v>
      </c>
      <c r="I608" s="365" t="s">
        <v>2050</v>
      </c>
      <c r="J608" s="365" t="s">
        <v>1228</v>
      </c>
      <c r="K608" s="365" t="s">
        <v>1229</v>
      </c>
      <c r="L608" s="370">
        <v>45566.399594907409</v>
      </c>
    </row>
    <row r="609" spans="1:12" s="365" customFormat="1" hidden="1">
      <c r="A609" s="370">
        <v>45566.400729166664</v>
      </c>
      <c r="B609" s="365" t="s">
        <v>2092</v>
      </c>
      <c r="C609" s="365" t="s">
        <v>1230</v>
      </c>
      <c r="D609" s="365" t="s">
        <v>2093</v>
      </c>
      <c r="E609" s="365" t="s">
        <v>2094</v>
      </c>
      <c r="F609" s="365" t="s">
        <v>2095</v>
      </c>
      <c r="G609" s="370">
        <v>45530</v>
      </c>
      <c r="H609" s="369">
        <v>12000</v>
      </c>
      <c r="I609" s="365" t="s">
        <v>2096</v>
      </c>
      <c r="J609" s="365" t="s">
        <v>1228</v>
      </c>
      <c r="K609" s="365" t="s">
        <v>1229</v>
      </c>
      <c r="L609" s="370">
        <v>45566.403368055559</v>
      </c>
    </row>
    <row r="610" spans="1:12" s="365" customFormat="1" hidden="1">
      <c r="A610" s="370">
        <v>45566.400960648149</v>
      </c>
      <c r="B610" s="365" t="s">
        <v>2138</v>
      </c>
      <c r="C610" s="365" t="s">
        <v>1230</v>
      </c>
      <c r="D610" s="365" t="s">
        <v>2093</v>
      </c>
      <c r="E610" s="365" t="s">
        <v>2094</v>
      </c>
      <c r="F610" s="365" t="s">
        <v>2139</v>
      </c>
      <c r="G610" s="370">
        <v>45560</v>
      </c>
      <c r="H610" s="369">
        <v>12000</v>
      </c>
      <c r="I610" s="365" t="s">
        <v>2140</v>
      </c>
      <c r="J610" s="365" t="s">
        <v>1228</v>
      </c>
      <c r="K610" s="365" t="s">
        <v>1229</v>
      </c>
      <c r="L610" s="370">
        <v>45566.403553240743</v>
      </c>
    </row>
    <row r="611" spans="1:12" s="365" customFormat="1" hidden="1">
      <c r="A611" s="370">
        <v>45566.401990740742</v>
      </c>
      <c r="B611" s="365" t="s">
        <v>2051</v>
      </c>
      <c r="C611" s="365" t="s">
        <v>1230</v>
      </c>
      <c r="D611" s="365" t="s">
        <v>2052</v>
      </c>
      <c r="E611" s="365" t="s">
        <v>2053</v>
      </c>
      <c r="F611" s="365" t="s">
        <v>2054</v>
      </c>
      <c r="G611" s="370">
        <v>45560</v>
      </c>
      <c r="H611" s="369">
        <v>34999</v>
      </c>
      <c r="I611" s="365" t="s">
        <v>2055</v>
      </c>
      <c r="J611" s="365" t="s">
        <v>1228</v>
      </c>
      <c r="K611" s="365" t="s">
        <v>1229</v>
      </c>
      <c r="L611" s="370">
        <v>45566.403182870374</v>
      </c>
    </row>
    <row r="612" spans="1:12" s="365" customFormat="1" hidden="1">
      <c r="A612" s="370">
        <v>45566.422442129631</v>
      </c>
      <c r="B612" s="365" t="s">
        <v>2141</v>
      </c>
      <c r="C612" s="365" t="s">
        <v>2142</v>
      </c>
      <c r="D612" s="365" t="s">
        <v>2143</v>
      </c>
      <c r="E612" s="365" t="s">
        <v>2144</v>
      </c>
      <c r="F612" s="365" t="s">
        <v>2145</v>
      </c>
      <c r="G612" s="370">
        <v>45560</v>
      </c>
      <c r="H612" s="369">
        <v>17500</v>
      </c>
      <c r="I612" s="365" t="s">
        <v>2146</v>
      </c>
      <c r="J612" s="365" t="s">
        <v>1228</v>
      </c>
      <c r="K612" s="365" t="s">
        <v>1229</v>
      </c>
      <c r="L612" s="370">
        <v>45566.424837962964</v>
      </c>
    </row>
    <row r="613" spans="1:12" s="365" customFormat="1" hidden="1">
      <c r="A613" s="370">
        <v>45566.449317129627</v>
      </c>
      <c r="B613" s="365" t="s">
        <v>2147</v>
      </c>
      <c r="C613" s="365" t="s">
        <v>2148</v>
      </c>
      <c r="D613" s="365" t="s">
        <v>2149</v>
      </c>
      <c r="E613" s="365" t="s">
        <v>2150</v>
      </c>
      <c r="F613" s="365" t="s">
        <v>2151</v>
      </c>
      <c r="G613" s="370">
        <v>45560</v>
      </c>
      <c r="H613" s="369">
        <v>14000</v>
      </c>
      <c r="I613" s="365" t="s">
        <v>2152</v>
      </c>
      <c r="J613" s="365" t="s">
        <v>1228</v>
      </c>
      <c r="K613" s="365" t="s">
        <v>1229</v>
      </c>
      <c r="L613" s="370">
        <v>45566.452615740738</v>
      </c>
    </row>
    <row r="614" spans="1:12" s="365" customFormat="1" hidden="1">
      <c r="A614" s="370">
        <v>45566.4608912037</v>
      </c>
      <c r="B614" s="365" t="s">
        <v>2153</v>
      </c>
      <c r="C614" s="365" t="s">
        <v>2154</v>
      </c>
      <c r="D614" s="365" t="s">
        <v>2155</v>
      </c>
      <c r="E614" s="365" t="s">
        <v>2156</v>
      </c>
      <c r="F614" s="365" t="s">
        <v>2157</v>
      </c>
      <c r="G614" s="370">
        <v>45560</v>
      </c>
      <c r="H614" s="369">
        <v>15000</v>
      </c>
      <c r="I614" s="365" t="s">
        <v>2158</v>
      </c>
      <c r="J614" s="365" t="s">
        <v>1228</v>
      </c>
      <c r="K614" s="365" t="s">
        <v>1229</v>
      </c>
      <c r="L614" s="370">
        <v>45566.462939814817</v>
      </c>
    </row>
    <row r="615" spans="1:12" s="365" customFormat="1" hidden="1">
      <c r="A615" s="370">
        <v>45566.462858796294</v>
      </c>
      <c r="B615" s="365" t="s">
        <v>2056</v>
      </c>
      <c r="C615" s="365" t="s">
        <v>2057</v>
      </c>
      <c r="D615" s="365" t="s">
        <v>2058</v>
      </c>
      <c r="E615" s="365" t="s">
        <v>2059</v>
      </c>
      <c r="F615" s="365" t="s">
        <v>2060</v>
      </c>
      <c r="G615" s="370">
        <v>45560</v>
      </c>
      <c r="H615" s="369">
        <v>15000</v>
      </c>
      <c r="I615" s="365" t="s">
        <v>2061</v>
      </c>
      <c r="J615" s="365" t="s">
        <v>1228</v>
      </c>
      <c r="K615" s="365" t="s">
        <v>1229</v>
      </c>
      <c r="L615" s="370">
        <v>45566.466516203705</v>
      </c>
    </row>
    <row r="616" spans="1:12" s="365" customFormat="1" hidden="1">
      <c r="A616" s="370">
        <v>45566.463356481479</v>
      </c>
      <c r="B616" s="365" t="s">
        <v>2062</v>
      </c>
      <c r="C616" s="365" t="s">
        <v>2063</v>
      </c>
      <c r="D616" s="365" t="s">
        <v>2064</v>
      </c>
      <c r="E616" s="365" t="s">
        <v>2065</v>
      </c>
      <c r="F616" s="365" t="s">
        <v>2066</v>
      </c>
      <c r="G616" s="370">
        <v>45560</v>
      </c>
      <c r="H616" s="369">
        <v>15999</v>
      </c>
      <c r="I616" s="365" t="s">
        <v>2067</v>
      </c>
      <c r="J616" s="365" t="s">
        <v>1228</v>
      </c>
      <c r="K616" s="365" t="s">
        <v>1229</v>
      </c>
      <c r="L616" s="370">
        <v>45566.466689814813</v>
      </c>
    </row>
    <row r="617" spans="1:12" s="365" customFormat="1" hidden="1">
      <c r="A617" s="370">
        <v>45566.472939814812</v>
      </c>
      <c r="B617" s="365" t="s">
        <v>2159</v>
      </c>
      <c r="C617" s="365" t="s">
        <v>2160</v>
      </c>
      <c r="D617" s="365" t="s">
        <v>2161</v>
      </c>
      <c r="E617" s="365" t="s">
        <v>2162</v>
      </c>
      <c r="F617" s="365" t="s">
        <v>2163</v>
      </c>
      <c r="G617" s="370">
        <v>45560</v>
      </c>
      <c r="H617" s="369">
        <v>15000</v>
      </c>
      <c r="I617" s="365" t="s">
        <v>2164</v>
      </c>
      <c r="J617" s="365" t="s">
        <v>1228</v>
      </c>
      <c r="K617" s="365" t="s">
        <v>1229</v>
      </c>
      <c r="L617" s="370">
        <v>45566.473958333336</v>
      </c>
    </row>
    <row r="618" spans="1:12" s="365" customFormat="1" hidden="1">
      <c r="A618" s="370">
        <v>45566.612083333333</v>
      </c>
      <c r="B618" s="365" t="s">
        <v>2165</v>
      </c>
      <c r="C618" s="365" t="s">
        <v>2166</v>
      </c>
      <c r="D618" s="365" t="s">
        <v>2167</v>
      </c>
      <c r="E618" s="365" t="s">
        <v>2168</v>
      </c>
      <c r="F618" s="365" t="s">
        <v>2169</v>
      </c>
      <c r="G618" s="370">
        <v>45560</v>
      </c>
      <c r="H618" s="369">
        <v>37000</v>
      </c>
      <c r="I618" s="365" t="s">
        <v>2170</v>
      </c>
      <c r="J618" s="365" t="s">
        <v>1228</v>
      </c>
      <c r="K618" s="365" t="s">
        <v>1229</v>
      </c>
      <c r="L618" s="370">
        <v>45566.61277777778</v>
      </c>
    </row>
    <row r="619" spans="1:12" s="365" customFormat="1" hidden="1">
      <c r="A619" s="370">
        <v>45566.638194444444</v>
      </c>
      <c r="B619" s="365" t="s">
        <v>2068</v>
      </c>
      <c r="C619" s="365" t="s">
        <v>2069</v>
      </c>
      <c r="D619" s="365" t="s">
        <v>2070</v>
      </c>
      <c r="E619" s="365" t="s">
        <v>2071</v>
      </c>
      <c r="F619" s="365" t="s">
        <v>2072</v>
      </c>
      <c r="G619" s="370">
        <v>45560</v>
      </c>
      <c r="H619" s="369">
        <v>12000</v>
      </c>
      <c r="I619" s="365" t="s">
        <v>2073</v>
      </c>
      <c r="J619" s="365" t="s">
        <v>1228</v>
      </c>
      <c r="K619" s="365" t="s">
        <v>1229</v>
      </c>
      <c r="L619" s="370">
        <v>45566.640370370369</v>
      </c>
    </row>
    <row r="620" spans="1:12" s="365" customFormat="1" hidden="1">
      <c r="A620" s="370">
        <v>45566.712546296294</v>
      </c>
      <c r="B620" s="365" t="s">
        <v>2097</v>
      </c>
      <c r="C620" s="365" t="s">
        <v>2098</v>
      </c>
      <c r="D620" s="365" t="s">
        <v>2099</v>
      </c>
      <c r="E620" s="365" t="s">
        <v>2100</v>
      </c>
      <c r="F620" s="365" t="s">
        <v>2101</v>
      </c>
      <c r="G620" s="370">
        <v>45560</v>
      </c>
      <c r="H620" s="369">
        <v>21000</v>
      </c>
      <c r="I620" s="365" t="s">
        <v>2102</v>
      </c>
      <c r="J620" s="365" t="s">
        <v>1228</v>
      </c>
      <c r="K620" s="365" t="s">
        <v>1229</v>
      </c>
      <c r="L620" s="370">
        <v>45566.713506944441</v>
      </c>
    </row>
    <row r="621" spans="1:12" s="365" customFormat="1" hidden="1">
      <c r="A621" s="370">
        <v>45566.726770833331</v>
      </c>
      <c r="B621" s="365" t="s">
        <v>2171</v>
      </c>
      <c r="C621" s="365" t="s">
        <v>2172</v>
      </c>
      <c r="D621" s="365" t="s">
        <v>2173</v>
      </c>
      <c r="E621" s="365" t="s">
        <v>2174</v>
      </c>
      <c r="F621" s="365" t="s">
        <v>2175</v>
      </c>
      <c r="G621" s="370">
        <v>45560</v>
      </c>
      <c r="H621" s="369">
        <v>15999</v>
      </c>
      <c r="I621" s="365" t="s">
        <v>2176</v>
      </c>
      <c r="J621" s="365" t="s">
        <v>1228</v>
      </c>
      <c r="K621" s="365" t="s">
        <v>1229</v>
      </c>
      <c r="L621" s="370">
        <v>45566.727384259262</v>
      </c>
    </row>
    <row r="622" spans="1:12" s="365" customFormat="1" hidden="1">
      <c r="A622" s="370">
        <v>45566.800312500003</v>
      </c>
      <c r="B622" s="365" t="s">
        <v>2074</v>
      </c>
      <c r="C622" s="365" t="s">
        <v>2075</v>
      </c>
      <c r="D622" s="365" t="s">
        <v>2076</v>
      </c>
      <c r="E622" s="365" t="s">
        <v>2077</v>
      </c>
      <c r="F622" s="365" t="s">
        <v>2078</v>
      </c>
      <c r="G622" s="370">
        <v>45560</v>
      </c>
      <c r="H622" s="369">
        <v>36000</v>
      </c>
      <c r="I622" s="365" t="s">
        <v>2079</v>
      </c>
      <c r="J622" s="365" t="s">
        <v>1228</v>
      </c>
      <c r="K622" s="365" t="s">
        <v>1229</v>
      </c>
      <c r="L622" s="370">
        <v>45566.803900462961</v>
      </c>
    </row>
    <row r="623" spans="1:12" s="365" customFormat="1" hidden="1">
      <c r="A623" s="370">
        <v>45566.818611111114</v>
      </c>
      <c r="B623" s="365" t="s">
        <v>2103</v>
      </c>
      <c r="C623" s="365" t="s">
        <v>2104</v>
      </c>
      <c r="D623" s="365" t="s">
        <v>2105</v>
      </c>
      <c r="E623" s="365" t="s">
        <v>2106</v>
      </c>
      <c r="F623" s="365" t="s">
        <v>2107</v>
      </c>
      <c r="G623" s="370">
        <v>45560</v>
      </c>
      <c r="H623" s="369">
        <v>23400</v>
      </c>
      <c r="I623" s="365" t="s">
        <v>2108</v>
      </c>
      <c r="J623" s="365" t="s">
        <v>1228</v>
      </c>
      <c r="K623" s="365" t="s">
        <v>1229</v>
      </c>
      <c r="L623" s="370">
        <v>45566.821331018517</v>
      </c>
    </row>
    <row r="624" spans="1:12" s="365" customFormat="1" hidden="1">
      <c r="A624" s="370">
        <v>45566.848171296297</v>
      </c>
      <c r="B624" s="365" t="s">
        <v>2080</v>
      </c>
      <c r="C624" s="365" t="s">
        <v>2081</v>
      </c>
      <c r="D624" s="365" t="s">
        <v>2082</v>
      </c>
      <c r="E624" s="365" t="s">
        <v>2083</v>
      </c>
      <c r="F624" s="365" t="s">
        <v>2084</v>
      </c>
      <c r="G624" s="370">
        <v>45560</v>
      </c>
      <c r="H624" s="369">
        <v>25000</v>
      </c>
      <c r="I624" s="365" t="s">
        <v>2085</v>
      </c>
      <c r="J624" s="365" t="s">
        <v>1228</v>
      </c>
      <c r="K624" s="365" t="s">
        <v>1229</v>
      </c>
      <c r="L624" s="370">
        <v>45566.849074074074</v>
      </c>
    </row>
    <row r="625" spans="1:12" s="365" customFormat="1" hidden="1">
      <c r="A625" s="370">
        <v>45566.888981481483</v>
      </c>
      <c r="B625" s="365" t="s">
        <v>2109</v>
      </c>
      <c r="C625" s="365" t="s">
        <v>1598</v>
      </c>
      <c r="D625" s="365" t="s">
        <v>1599</v>
      </c>
      <c r="E625" s="365" t="s">
        <v>1600</v>
      </c>
      <c r="F625" s="365" t="s">
        <v>2110</v>
      </c>
      <c r="G625" s="370">
        <v>45560</v>
      </c>
      <c r="H625" s="369">
        <v>15999</v>
      </c>
      <c r="I625" s="365" t="s">
        <v>2111</v>
      </c>
      <c r="J625" s="365" t="s">
        <v>1228</v>
      </c>
      <c r="K625" s="365" t="s">
        <v>1229</v>
      </c>
      <c r="L625" s="370">
        <v>45566.890706018516</v>
      </c>
    </row>
    <row r="626" spans="1:12" s="365" customFormat="1" hidden="1">
      <c r="A626" s="370">
        <v>45567.260752314818</v>
      </c>
      <c r="B626" s="365" t="s">
        <v>2242</v>
      </c>
      <c r="C626" s="365" t="s">
        <v>1313</v>
      </c>
      <c r="D626" s="365" t="s">
        <v>2243</v>
      </c>
      <c r="E626" s="365" t="s">
        <v>2244</v>
      </c>
      <c r="F626" s="365" t="s">
        <v>2245</v>
      </c>
      <c r="G626" s="370">
        <v>45560</v>
      </c>
      <c r="H626" s="369">
        <v>20999</v>
      </c>
      <c r="I626" s="365" t="s">
        <v>2246</v>
      </c>
      <c r="J626" s="365" t="s">
        <v>1228</v>
      </c>
      <c r="K626" s="365" t="s">
        <v>1229</v>
      </c>
      <c r="L626" s="370">
        <v>45567.264293981483</v>
      </c>
    </row>
    <row r="627" spans="1:12" s="365" customFormat="1" hidden="1">
      <c r="A627" s="370">
        <v>45567.280289351853</v>
      </c>
      <c r="B627" s="365" t="s">
        <v>2280</v>
      </c>
      <c r="C627" s="365" t="s">
        <v>2281</v>
      </c>
      <c r="D627" s="365" t="s">
        <v>2282</v>
      </c>
      <c r="E627" s="365" t="s">
        <v>2283</v>
      </c>
      <c r="F627" s="365" t="s">
        <v>2284</v>
      </c>
      <c r="G627" s="370">
        <v>45560</v>
      </c>
      <c r="H627" s="369">
        <v>72000</v>
      </c>
      <c r="I627" s="365" t="s">
        <v>2285</v>
      </c>
      <c r="J627" s="365" t="s">
        <v>1228</v>
      </c>
      <c r="K627" s="365" t="s">
        <v>1229</v>
      </c>
      <c r="L627" s="370">
        <v>45567.281724537039</v>
      </c>
    </row>
    <row r="628" spans="1:12" s="365" customFormat="1" hidden="1">
      <c r="A628" s="370">
        <v>45567.309074074074</v>
      </c>
      <c r="B628" s="365" t="s">
        <v>2247</v>
      </c>
      <c r="C628" s="365" t="s">
        <v>1322</v>
      </c>
      <c r="D628" s="365" t="s">
        <v>1167</v>
      </c>
      <c r="E628" s="365" t="s">
        <v>1168</v>
      </c>
      <c r="F628" s="365" t="s">
        <v>2248</v>
      </c>
      <c r="G628" s="370">
        <v>45560</v>
      </c>
      <c r="H628" s="369">
        <v>61500</v>
      </c>
      <c r="I628" s="365" t="s">
        <v>2249</v>
      </c>
      <c r="J628" s="365" t="s">
        <v>1228</v>
      </c>
      <c r="K628" s="365" t="s">
        <v>1229</v>
      </c>
      <c r="L628" s="370">
        <v>45567.309317129628</v>
      </c>
    </row>
    <row r="629" spans="1:12" s="365" customFormat="1" hidden="1">
      <c r="A629" s="370">
        <v>45567.324849537035</v>
      </c>
      <c r="B629" s="365" t="s">
        <v>2177</v>
      </c>
      <c r="C629" s="365" t="s">
        <v>1547</v>
      </c>
      <c r="D629" s="365" t="s">
        <v>1548</v>
      </c>
      <c r="E629" s="365" t="s">
        <v>1549</v>
      </c>
      <c r="F629" s="365" t="s">
        <v>2178</v>
      </c>
      <c r="G629" s="370">
        <v>45560</v>
      </c>
      <c r="H629" s="369">
        <v>54000</v>
      </c>
      <c r="I629" s="365" t="s">
        <v>2179</v>
      </c>
      <c r="J629" s="365" t="s">
        <v>1228</v>
      </c>
      <c r="K629" s="365" t="s">
        <v>1229</v>
      </c>
      <c r="L629" s="370">
        <v>45567.326932870368</v>
      </c>
    </row>
    <row r="630" spans="1:12" s="365" customFormat="1" hidden="1">
      <c r="A630" s="370">
        <v>45567.337951388887</v>
      </c>
      <c r="B630" s="365" t="s">
        <v>2180</v>
      </c>
      <c r="C630" s="365" t="s">
        <v>1429</v>
      </c>
      <c r="D630" s="365" t="s">
        <v>2181</v>
      </c>
      <c r="E630" s="365" t="s">
        <v>2182</v>
      </c>
      <c r="F630" s="365" t="s">
        <v>2183</v>
      </c>
      <c r="G630" s="370">
        <v>45560</v>
      </c>
      <c r="H630" s="369">
        <v>320000</v>
      </c>
      <c r="I630" s="365" t="s">
        <v>2184</v>
      </c>
      <c r="J630" s="365" t="s">
        <v>1228</v>
      </c>
      <c r="K630" s="365" t="s">
        <v>1229</v>
      </c>
      <c r="L630" s="370">
        <v>45567.340636574074</v>
      </c>
    </row>
    <row r="631" spans="1:12" s="365" customFormat="1" hidden="1">
      <c r="A631" s="370">
        <v>45567.387407407405</v>
      </c>
      <c r="B631" s="365" t="s">
        <v>2286</v>
      </c>
      <c r="C631" s="365" t="s">
        <v>2287</v>
      </c>
      <c r="D631" s="365" t="s">
        <v>2288</v>
      </c>
      <c r="E631" s="365" t="s">
        <v>2289</v>
      </c>
      <c r="F631" s="365" t="s">
        <v>2290</v>
      </c>
      <c r="G631" s="370">
        <v>45560</v>
      </c>
      <c r="H631" s="369">
        <v>33999</v>
      </c>
      <c r="I631" s="365" t="s">
        <v>2291</v>
      </c>
      <c r="J631" s="365" t="s">
        <v>1228</v>
      </c>
      <c r="K631" s="365" t="s">
        <v>1229</v>
      </c>
      <c r="L631" s="370">
        <v>45567.389224537037</v>
      </c>
    </row>
    <row r="632" spans="1:12" s="365" customFormat="1" hidden="1">
      <c r="A632" s="370">
        <v>45567.41951388889</v>
      </c>
      <c r="B632" s="365" t="s">
        <v>2185</v>
      </c>
      <c r="C632" s="365" t="s">
        <v>2186</v>
      </c>
      <c r="D632" s="365" t="s">
        <v>2187</v>
      </c>
      <c r="E632" s="365" t="s">
        <v>2188</v>
      </c>
      <c r="F632" s="365" t="s">
        <v>2189</v>
      </c>
      <c r="G632" s="370">
        <v>45560</v>
      </c>
      <c r="H632" s="369">
        <v>15000</v>
      </c>
      <c r="I632" s="365" t="s">
        <v>2190</v>
      </c>
      <c r="J632" s="365" t="s">
        <v>1228</v>
      </c>
      <c r="K632" s="365" t="s">
        <v>1229</v>
      </c>
      <c r="L632" s="370">
        <v>45567.420555555553</v>
      </c>
    </row>
    <row r="633" spans="1:12" s="365" customFormat="1" hidden="1">
      <c r="A633" s="370">
        <v>45567.423935185187</v>
      </c>
      <c r="B633" s="365" t="s">
        <v>2292</v>
      </c>
      <c r="C633" s="365" t="s">
        <v>2293</v>
      </c>
      <c r="D633" s="365" t="s">
        <v>2294</v>
      </c>
      <c r="E633" s="365" t="s">
        <v>2295</v>
      </c>
      <c r="F633" s="365" t="s">
        <v>2296</v>
      </c>
      <c r="G633" s="370">
        <v>45560</v>
      </c>
      <c r="H633" s="369">
        <v>23400</v>
      </c>
      <c r="I633" s="365" t="s">
        <v>2297</v>
      </c>
      <c r="J633" s="365" t="s">
        <v>1228</v>
      </c>
      <c r="K633" s="365" t="s">
        <v>1229</v>
      </c>
      <c r="L633" s="370">
        <v>45567.427314814813</v>
      </c>
    </row>
    <row r="634" spans="1:12" s="365" customFormat="1" hidden="1">
      <c r="A634" s="370">
        <v>45567.427662037036</v>
      </c>
      <c r="B634" s="365" t="s">
        <v>2298</v>
      </c>
      <c r="C634" s="365" t="s">
        <v>1239</v>
      </c>
      <c r="D634" s="365" t="s">
        <v>2299</v>
      </c>
      <c r="E634" s="365" t="s">
        <v>2300</v>
      </c>
      <c r="F634" s="365" t="s">
        <v>2301</v>
      </c>
      <c r="G634" s="370">
        <v>45560</v>
      </c>
      <c r="H634" s="369">
        <v>15999</v>
      </c>
      <c r="I634" s="365" t="s">
        <v>2302</v>
      </c>
      <c r="J634" s="365" t="s">
        <v>1228</v>
      </c>
      <c r="K634" s="365" t="s">
        <v>1229</v>
      </c>
      <c r="L634" s="370">
        <v>45567.430868055555</v>
      </c>
    </row>
    <row r="635" spans="1:12" s="365" customFormat="1" hidden="1">
      <c r="A635" s="370">
        <v>45567.446006944447</v>
      </c>
      <c r="B635" s="365" t="s">
        <v>2303</v>
      </c>
      <c r="C635" s="365" t="s">
        <v>2304</v>
      </c>
      <c r="D635" s="365" t="s">
        <v>2305</v>
      </c>
      <c r="E635" s="365" t="s">
        <v>2306</v>
      </c>
      <c r="F635" s="365" t="s">
        <v>2307</v>
      </c>
      <c r="G635" s="370">
        <v>45560</v>
      </c>
      <c r="H635" s="369">
        <v>15999</v>
      </c>
      <c r="I635" s="365" t="s">
        <v>2308</v>
      </c>
      <c r="J635" s="365" t="s">
        <v>1228</v>
      </c>
      <c r="K635" s="365" t="s">
        <v>1229</v>
      </c>
      <c r="L635" s="370">
        <v>45567.448310185187</v>
      </c>
    </row>
    <row r="636" spans="1:12" s="365" customFormat="1" hidden="1">
      <c r="A636" s="370">
        <v>45567.450428240743</v>
      </c>
      <c r="B636" s="365" t="s">
        <v>2191</v>
      </c>
      <c r="C636" s="365" t="s">
        <v>2192</v>
      </c>
      <c r="D636" s="365" t="s">
        <v>2193</v>
      </c>
      <c r="E636" s="365" t="s">
        <v>2194</v>
      </c>
      <c r="F636" s="365" t="s">
        <v>2195</v>
      </c>
      <c r="G636" s="370">
        <v>45530</v>
      </c>
      <c r="H636" s="369">
        <v>44500</v>
      </c>
      <c r="I636" s="365" t="s">
        <v>2196</v>
      </c>
      <c r="J636" s="365" t="s">
        <v>1228</v>
      </c>
      <c r="K636" s="365" t="s">
        <v>1229</v>
      </c>
      <c r="L636" s="370">
        <v>45567.451874999999</v>
      </c>
    </row>
    <row r="637" spans="1:12" s="365" customFormat="1" hidden="1">
      <c r="A637" s="370">
        <v>45567.467407407406</v>
      </c>
      <c r="B637" s="365" t="s">
        <v>2250</v>
      </c>
      <c r="C637" s="365" t="s">
        <v>2251</v>
      </c>
      <c r="D637" s="365" t="s">
        <v>2252</v>
      </c>
      <c r="E637" s="365" t="s">
        <v>2253</v>
      </c>
      <c r="F637" s="365" t="s">
        <v>2254</v>
      </c>
      <c r="G637" s="370">
        <v>45560</v>
      </c>
      <c r="H637" s="369">
        <v>30000</v>
      </c>
      <c r="I637" s="365" t="s">
        <v>2255</v>
      </c>
      <c r="J637" s="365" t="s">
        <v>1228</v>
      </c>
      <c r="K637" s="365" t="s">
        <v>1229</v>
      </c>
      <c r="L637" s="370">
        <v>45567.468969907408</v>
      </c>
    </row>
    <row r="638" spans="1:12" s="365" customFormat="1" hidden="1">
      <c r="A638" s="370">
        <v>45567.488020833334</v>
      </c>
      <c r="B638" s="365" t="s">
        <v>2256</v>
      </c>
      <c r="C638" s="365" t="s">
        <v>2257</v>
      </c>
      <c r="D638" s="365" t="s">
        <v>2258</v>
      </c>
      <c r="E638" s="365" t="s">
        <v>2259</v>
      </c>
      <c r="F638" s="365" t="s">
        <v>2260</v>
      </c>
      <c r="G638" s="370">
        <v>45560</v>
      </c>
      <c r="H638" s="369">
        <v>28499</v>
      </c>
      <c r="I638" s="365" t="s">
        <v>2261</v>
      </c>
      <c r="J638" s="365" t="s">
        <v>1228</v>
      </c>
      <c r="K638" s="365" t="s">
        <v>1229</v>
      </c>
      <c r="L638" s="370">
        <v>45567.489791666667</v>
      </c>
    </row>
    <row r="639" spans="1:12" s="365" customFormat="1" hidden="1">
      <c r="A639" s="370">
        <v>45567.506631944445</v>
      </c>
      <c r="B639" s="365" t="s">
        <v>2262</v>
      </c>
      <c r="C639" s="365" t="s">
        <v>2263</v>
      </c>
      <c r="D639" s="365" t="s">
        <v>2264</v>
      </c>
      <c r="E639" s="365" t="s">
        <v>2265</v>
      </c>
      <c r="F639" s="365" t="s">
        <v>2266</v>
      </c>
      <c r="G639" s="370">
        <v>45560</v>
      </c>
      <c r="H639" s="369">
        <v>15999</v>
      </c>
      <c r="I639" s="365" t="s">
        <v>2267</v>
      </c>
      <c r="J639" s="365" t="s">
        <v>1228</v>
      </c>
      <c r="K639" s="365" t="s">
        <v>1229</v>
      </c>
      <c r="L639" s="370">
        <v>45567.507395833331</v>
      </c>
    </row>
    <row r="640" spans="1:12" s="365" customFormat="1" hidden="1">
      <c r="A640" s="370">
        <v>45567.510717592595</v>
      </c>
      <c r="B640" s="365" t="s">
        <v>2309</v>
      </c>
      <c r="C640" s="365" t="s">
        <v>1230</v>
      </c>
      <c r="D640" s="365" t="s">
        <v>2310</v>
      </c>
      <c r="E640" s="365" t="s">
        <v>2311</v>
      </c>
      <c r="F640" s="365" t="s">
        <v>2312</v>
      </c>
      <c r="G640" s="370">
        <v>45530</v>
      </c>
      <c r="H640" s="369">
        <v>230000</v>
      </c>
      <c r="I640" s="365" t="s">
        <v>2313</v>
      </c>
      <c r="J640" s="365" t="s">
        <v>1228</v>
      </c>
      <c r="K640" s="365" t="s">
        <v>1229</v>
      </c>
      <c r="L640" s="370">
        <v>45567.510960648149</v>
      </c>
    </row>
    <row r="641" spans="1:12" s="365" customFormat="1" hidden="1">
      <c r="A641" s="370">
        <v>45567.52238425926</v>
      </c>
      <c r="B641" s="365" t="s">
        <v>2314</v>
      </c>
      <c r="C641" s="365" t="s">
        <v>2315</v>
      </c>
      <c r="D641" s="365" t="s">
        <v>2316</v>
      </c>
      <c r="E641" s="365" t="s">
        <v>2317</v>
      </c>
      <c r="F641" s="365" t="s">
        <v>2318</v>
      </c>
      <c r="G641" s="370">
        <v>45560</v>
      </c>
      <c r="H641" s="369">
        <v>12000</v>
      </c>
      <c r="I641" s="365" t="s">
        <v>2319</v>
      </c>
      <c r="J641" s="365" t="s">
        <v>1228</v>
      </c>
      <c r="K641" s="365" t="s">
        <v>1229</v>
      </c>
      <c r="L641" s="370">
        <v>45567.524837962963</v>
      </c>
    </row>
    <row r="642" spans="1:12" s="365" customFormat="1" hidden="1">
      <c r="A642" s="370">
        <v>45567.586539351854</v>
      </c>
      <c r="B642" s="365" t="s">
        <v>2268</v>
      </c>
      <c r="C642" s="365" t="s">
        <v>2269</v>
      </c>
      <c r="D642" s="365" t="s">
        <v>2270</v>
      </c>
      <c r="E642" s="365" t="s">
        <v>2271</v>
      </c>
      <c r="F642" s="365" t="s">
        <v>2272</v>
      </c>
      <c r="G642" s="370">
        <v>45560</v>
      </c>
      <c r="H642" s="369">
        <v>7500</v>
      </c>
      <c r="I642" s="365" t="s">
        <v>2273</v>
      </c>
      <c r="J642" s="365" t="s">
        <v>1228</v>
      </c>
      <c r="K642" s="365" t="s">
        <v>1229</v>
      </c>
      <c r="L642" s="370">
        <v>45567.587118055555</v>
      </c>
    </row>
    <row r="643" spans="1:12" s="365" customFormat="1" hidden="1">
      <c r="A643" s="370">
        <v>45567.627199074072</v>
      </c>
      <c r="B643" s="365" t="s">
        <v>2197</v>
      </c>
      <c r="C643" s="365" t="s">
        <v>2198</v>
      </c>
      <c r="D643" s="365" t="s">
        <v>2199</v>
      </c>
      <c r="E643" s="365" t="s">
        <v>2200</v>
      </c>
      <c r="F643" s="365" t="s">
        <v>2201</v>
      </c>
      <c r="G643" s="370">
        <v>45560</v>
      </c>
      <c r="H643" s="369">
        <v>12000</v>
      </c>
      <c r="I643" s="365" t="s">
        <v>2202</v>
      </c>
      <c r="J643" s="365" t="s">
        <v>1228</v>
      </c>
      <c r="K643" s="365" t="s">
        <v>1229</v>
      </c>
      <c r="L643" s="370">
        <v>45567.628761574073</v>
      </c>
    </row>
    <row r="644" spans="1:12" s="365" customFormat="1" hidden="1">
      <c r="A644" s="370">
        <v>45567.633275462962</v>
      </c>
      <c r="B644" s="365" t="s">
        <v>2274</v>
      </c>
      <c r="C644" s="365" t="s">
        <v>2275</v>
      </c>
      <c r="D644" s="365" t="s">
        <v>2276</v>
      </c>
      <c r="E644" s="365" t="s">
        <v>2277</v>
      </c>
      <c r="F644" s="365" t="s">
        <v>2278</v>
      </c>
      <c r="G644" s="370">
        <v>45560</v>
      </c>
      <c r="H644" s="369">
        <v>37999</v>
      </c>
      <c r="I644" s="365" t="s">
        <v>2279</v>
      </c>
      <c r="J644" s="365" t="s">
        <v>1228</v>
      </c>
      <c r="K644" s="365" t="s">
        <v>1229</v>
      </c>
      <c r="L644" s="370">
        <v>45567.635879629626</v>
      </c>
    </row>
    <row r="645" spans="1:12" s="365" customFormat="1" hidden="1">
      <c r="A645" s="370">
        <v>45567.636238425926</v>
      </c>
      <c r="B645" s="365" t="s">
        <v>2203</v>
      </c>
      <c r="C645" s="365" t="s">
        <v>2198</v>
      </c>
      <c r="D645" s="365" t="s">
        <v>2199</v>
      </c>
      <c r="E645" s="365" t="s">
        <v>2200</v>
      </c>
      <c r="F645" s="365" t="s">
        <v>2204</v>
      </c>
      <c r="G645" s="370">
        <v>45530</v>
      </c>
      <c r="H645" s="369">
        <v>12000</v>
      </c>
      <c r="I645" s="365" t="s">
        <v>2205</v>
      </c>
      <c r="J645" s="365" t="s">
        <v>1228</v>
      </c>
      <c r="K645" s="365" t="s">
        <v>1229</v>
      </c>
      <c r="L645" s="370">
        <v>45567.639444444445</v>
      </c>
    </row>
    <row r="646" spans="1:12" s="365" customFormat="1" hidden="1">
      <c r="A646" s="370">
        <v>45567.661006944443</v>
      </c>
      <c r="B646" s="365" t="s">
        <v>2206</v>
      </c>
      <c r="C646" s="365" t="s">
        <v>2207</v>
      </c>
      <c r="D646" s="365" t="s">
        <v>2208</v>
      </c>
      <c r="E646" s="365" t="s">
        <v>2209</v>
      </c>
      <c r="F646" s="365" t="s">
        <v>2210</v>
      </c>
      <c r="G646" s="370">
        <v>45560</v>
      </c>
      <c r="H646" s="369">
        <v>40000</v>
      </c>
      <c r="I646" s="365" t="s">
        <v>2211</v>
      </c>
      <c r="J646" s="365" t="s">
        <v>1228</v>
      </c>
      <c r="K646" s="365" t="s">
        <v>1229</v>
      </c>
      <c r="L646" s="370">
        <v>45567.663634259261</v>
      </c>
    </row>
    <row r="647" spans="1:12" s="365" customFormat="1" hidden="1">
      <c r="A647" s="370">
        <v>45567.71534722222</v>
      </c>
      <c r="B647" s="365" t="s">
        <v>2212</v>
      </c>
      <c r="C647" s="365" t="s">
        <v>2213</v>
      </c>
      <c r="D647" s="365" t="s">
        <v>2214</v>
      </c>
      <c r="E647" s="365" t="s">
        <v>2215</v>
      </c>
      <c r="F647" s="365" t="s">
        <v>2216</v>
      </c>
      <c r="G647" s="370">
        <v>45560</v>
      </c>
      <c r="H647" s="369">
        <v>18000</v>
      </c>
      <c r="I647" s="365" t="s">
        <v>2217</v>
      </c>
      <c r="J647" s="365" t="s">
        <v>1228</v>
      </c>
      <c r="K647" s="365" t="s">
        <v>1229</v>
      </c>
      <c r="L647" s="370">
        <v>45567.715613425928</v>
      </c>
    </row>
    <row r="648" spans="1:12" s="365" customFormat="1" hidden="1">
      <c r="A648" s="370">
        <v>45567.731296296297</v>
      </c>
      <c r="B648" s="365" t="s">
        <v>2218</v>
      </c>
      <c r="C648" s="365" t="s">
        <v>2219</v>
      </c>
      <c r="D648" s="365" t="s">
        <v>2220</v>
      </c>
      <c r="E648" s="365" t="s">
        <v>2221</v>
      </c>
      <c r="F648" s="365" t="s">
        <v>2222</v>
      </c>
      <c r="G648" s="370">
        <v>45560</v>
      </c>
      <c r="H648" s="369">
        <v>51000</v>
      </c>
      <c r="I648" s="365" t="s">
        <v>2223</v>
      </c>
      <c r="J648" s="365" t="s">
        <v>1228</v>
      </c>
      <c r="K648" s="365" t="s">
        <v>1229</v>
      </c>
      <c r="L648" s="370">
        <v>45567.733055555553</v>
      </c>
    </row>
    <row r="649" spans="1:12" s="365" customFormat="1" hidden="1">
      <c r="A649" s="370">
        <v>45567.754606481481</v>
      </c>
      <c r="B649" s="365" t="s">
        <v>2320</v>
      </c>
      <c r="C649" s="365" t="s">
        <v>2321</v>
      </c>
      <c r="D649" s="365" t="s">
        <v>2322</v>
      </c>
      <c r="E649" s="365" t="s">
        <v>2323</v>
      </c>
      <c r="F649" s="365" t="s">
        <v>2324</v>
      </c>
      <c r="G649" s="370">
        <v>45560</v>
      </c>
      <c r="H649" s="369">
        <v>15999</v>
      </c>
      <c r="I649" s="365" t="s">
        <v>2325</v>
      </c>
      <c r="J649" s="365" t="s">
        <v>1228</v>
      </c>
      <c r="K649" s="365" t="s">
        <v>1229</v>
      </c>
      <c r="L649" s="370">
        <v>45567.757256944446</v>
      </c>
    </row>
    <row r="650" spans="1:12" s="365" customFormat="1" hidden="1">
      <c r="A650" s="370">
        <v>45567.773634259262</v>
      </c>
      <c r="B650" s="365" t="s">
        <v>2224</v>
      </c>
      <c r="C650" s="365" t="s">
        <v>2225</v>
      </c>
      <c r="D650" s="365" t="s">
        <v>2226</v>
      </c>
      <c r="E650" s="365" t="s">
        <v>2227</v>
      </c>
      <c r="F650" s="365" t="s">
        <v>2228</v>
      </c>
      <c r="G650" s="370">
        <v>45560</v>
      </c>
      <c r="H650" s="369">
        <v>15999</v>
      </c>
      <c r="I650" s="365" t="s">
        <v>2229</v>
      </c>
      <c r="J650" s="365" t="s">
        <v>1228</v>
      </c>
      <c r="K650" s="365" t="s">
        <v>1229</v>
      </c>
      <c r="L650" s="370">
        <v>45567.774733796294</v>
      </c>
    </row>
    <row r="651" spans="1:12" s="365" customFormat="1" hidden="1">
      <c r="A651" s="370">
        <v>45567.776435185187</v>
      </c>
      <c r="B651" s="365" t="s">
        <v>2230</v>
      </c>
      <c r="C651" s="365" t="s">
        <v>2231</v>
      </c>
      <c r="D651" s="365" t="s">
        <v>2232</v>
      </c>
      <c r="E651" s="365" t="s">
        <v>2233</v>
      </c>
      <c r="F651" s="365" t="s">
        <v>2234</v>
      </c>
      <c r="G651" s="370">
        <v>45560</v>
      </c>
      <c r="H651" s="369">
        <v>43000</v>
      </c>
      <c r="I651" s="365" t="s">
        <v>2235</v>
      </c>
      <c r="J651" s="365" t="s">
        <v>1228</v>
      </c>
      <c r="K651" s="365" t="s">
        <v>1229</v>
      </c>
      <c r="L651" s="370">
        <v>45567.778252314813</v>
      </c>
    </row>
    <row r="652" spans="1:12" s="365" customFormat="1" hidden="1">
      <c r="A652" s="370">
        <v>45567.838437500002</v>
      </c>
      <c r="B652" s="365" t="s">
        <v>2236</v>
      </c>
      <c r="C652" s="365" t="s">
        <v>2237</v>
      </c>
      <c r="D652" s="365" t="s">
        <v>2238</v>
      </c>
      <c r="E652" s="365" t="s">
        <v>2239</v>
      </c>
      <c r="F652" s="365" t="s">
        <v>2240</v>
      </c>
      <c r="G652" s="370">
        <v>45560</v>
      </c>
      <c r="H652" s="369">
        <v>15999</v>
      </c>
      <c r="I652" s="365" t="s">
        <v>2241</v>
      </c>
      <c r="J652" s="365" t="s">
        <v>1228</v>
      </c>
      <c r="K652" s="365" t="s">
        <v>1229</v>
      </c>
      <c r="L652" s="370">
        <v>45567.840543981481</v>
      </c>
    </row>
    <row r="653" spans="1:12" s="365" customFormat="1" hidden="1">
      <c r="A653" s="370">
        <v>45568.250208333331</v>
      </c>
      <c r="B653" s="365" t="s">
        <v>2326</v>
      </c>
      <c r="C653" s="365" t="s">
        <v>2327</v>
      </c>
      <c r="D653" s="365" t="s">
        <v>2328</v>
      </c>
      <c r="E653" s="365" t="s">
        <v>2329</v>
      </c>
      <c r="F653" s="365" t="s">
        <v>2330</v>
      </c>
      <c r="G653" s="370">
        <v>45560</v>
      </c>
      <c r="H653" s="369">
        <v>39000</v>
      </c>
      <c r="I653" s="365" t="s">
        <v>2331</v>
      </c>
      <c r="J653" s="365" t="s">
        <v>1228</v>
      </c>
      <c r="K653" s="365" t="s">
        <v>1229</v>
      </c>
      <c r="L653" s="370">
        <v>45568.253761574073</v>
      </c>
    </row>
    <row r="654" spans="1:12" s="365" customFormat="1" hidden="1">
      <c r="A654" s="370">
        <v>45568.284074074072</v>
      </c>
      <c r="B654" s="365" t="s">
        <v>2332</v>
      </c>
      <c r="C654" s="365" t="s">
        <v>2333</v>
      </c>
      <c r="D654" s="365" t="s">
        <v>2334</v>
      </c>
      <c r="E654" s="365" t="s">
        <v>2335</v>
      </c>
      <c r="F654" s="365" t="s">
        <v>2336</v>
      </c>
      <c r="G654" s="370">
        <v>45560</v>
      </c>
      <c r="H654" s="369">
        <v>20000</v>
      </c>
      <c r="I654" s="365" t="s">
        <v>2337</v>
      </c>
      <c r="J654" s="365" t="s">
        <v>1228</v>
      </c>
      <c r="K654" s="365" t="s">
        <v>1229</v>
      </c>
      <c r="L654" s="370">
        <v>45568.285057870373</v>
      </c>
    </row>
    <row r="655" spans="1:12" s="365" customFormat="1" hidden="1">
      <c r="A655" s="370">
        <v>45568.322685185187</v>
      </c>
      <c r="B655" s="365" t="s">
        <v>2425</v>
      </c>
      <c r="C655" s="365" t="s">
        <v>2426</v>
      </c>
      <c r="D655" s="365" t="s">
        <v>2427</v>
      </c>
      <c r="E655" s="365" t="s">
        <v>2428</v>
      </c>
      <c r="F655" s="365" t="s">
        <v>2429</v>
      </c>
      <c r="G655" s="370">
        <v>45560</v>
      </c>
      <c r="H655" s="369">
        <v>26000</v>
      </c>
      <c r="I655" s="365" t="s">
        <v>2430</v>
      </c>
      <c r="J655" s="365" t="s">
        <v>1228</v>
      </c>
      <c r="K655" s="365" t="s">
        <v>1229</v>
      </c>
      <c r="L655" s="370">
        <v>45568.323321759257</v>
      </c>
    </row>
    <row r="656" spans="1:12" s="365" customFormat="1" hidden="1">
      <c r="A656" s="370">
        <v>45568.352418981478</v>
      </c>
      <c r="B656" s="365" t="s">
        <v>2431</v>
      </c>
      <c r="C656" s="365" t="s">
        <v>2432</v>
      </c>
      <c r="D656" s="365" t="s">
        <v>2433</v>
      </c>
      <c r="E656" s="365" t="s">
        <v>2434</v>
      </c>
      <c r="F656" s="365" t="s">
        <v>2435</v>
      </c>
      <c r="G656" s="370">
        <v>45560</v>
      </c>
      <c r="H656" s="369">
        <v>75000</v>
      </c>
      <c r="I656" s="365" t="s">
        <v>2436</v>
      </c>
      <c r="J656" s="365" t="s">
        <v>1228</v>
      </c>
      <c r="K656" s="365" t="s">
        <v>1229</v>
      </c>
      <c r="L656" s="370">
        <v>45568.354467592595</v>
      </c>
    </row>
    <row r="657" spans="1:12" s="365" customFormat="1" hidden="1">
      <c r="A657" s="370">
        <v>45568.371562499997</v>
      </c>
      <c r="B657" s="365" t="s">
        <v>2437</v>
      </c>
      <c r="C657" s="365" t="s">
        <v>1678</v>
      </c>
      <c r="D657" s="365" t="s">
        <v>2438</v>
      </c>
      <c r="E657" s="365" t="s">
        <v>2439</v>
      </c>
      <c r="F657" s="365" t="s">
        <v>2440</v>
      </c>
      <c r="G657" s="370">
        <v>45530</v>
      </c>
      <c r="H657" s="369">
        <v>27000</v>
      </c>
      <c r="I657" s="365" t="s">
        <v>2441</v>
      </c>
      <c r="J657" s="365" t="s">
        <v>1228</v>
      </c>
      <c r="K657" s="365" t="s">
        <v>1229</v>
      </c>
      <c r="L657" s="370">
        <v>45568.372071759259</v>
      </c>
    </row>
    <row r="658" spans="1:12" s="365" customFormat="1" hidden="1">
      <c r="A658" s="370">
        <v>45568.373437499999</v>
      </c>
      <c r="B658" s="365" t="s">
        <v>2442</v>
      </c>
      <c r="C658" s="365" t="s">
        <v>1679</v>
      </c>
      <c r="D658" s="365" t="s">
        <v>1680</v>
      </c>
      <c r="E658" s="365" t="s">
        <v>1681</v>
      </c>
      <c r="F658" s="365" t="s">
        <v>2443</v>
      </c>
      <c r="G658" s="370">
        <v>45560</v>
      </c>
      <c r="H658" s="369">
        <v>32000</v>
      </c>
      <c r="I658" s="365" t="s">
        <v>2444</v>
      </c>
      <c r="J658" s="365" t="s">
        <v>1228</v>
      </c>
      <c r="K658" s="365" t="s">
        <v>1229</v>
      </c>
      <c r="L658" s="370">
        <v>45568.375104166669</v>
      </c>
    </row>
    <row r="659" spans="1:12" s="365" customFormat="1" hidden="1">
      <c r="A659" s="370">
        <v>45568.397303240738</v>
      </c>
      <c r="B659" s="365" t="s">
        <v>2338</v>
      </c>
      <c r="C659" s="365" t="s">
        <v>2339</v>
      </c>
      <c r="D659" s="365" t="s">
        <v>2340</v>
      </c>
      <c r="E659" s="365" t="s">
        <v>2341</v>
      </c>
      <c r="F659" s="365" t="s">
        <v>2342</v>
      </c>
      <c r="G659" s="370">
        <v>45560</v>
      </c>
      <c r="H659" s="369">
        <v>15999</v>
      </c>
      <c r="I659" s="365" t="s">
        <v>2343</v>
      </c>
      <c r="J659" s="365" t="s">
        <v>1228</v>
      </c>
      <c r="K659" s="365" t="s">
        <v>1229</v>
      </c>
      <c r="L659" s="370">
        <v>45568.399826388886</v>
      </c>
    </row>
    <row r="660" spans="1:12" s="365" customFormat="1" hidden="1">
      <c r="A660" s="370">
        <v>45568.423402777778</v>
      </c>
      <c r="B660" s="365" t="s">
        <v>2395</v>
      </c>
      <c r="C660" s="365" t="s">
        <v>2396</v>
      </c>
      <c r="D660" s="365" t="s">
        <v>2397</v>
      </c>
      <c r="E660" s="365" t="s">
        <v>2398</v>
      </c>
      <c r="F660" s="365" t="s">
        <v>2399</v>
      </c>
      <c r="G660" s="370">
        <v>45560</v>
      </c>
      <c r="H660" s="369">
        <v>25000</v>
      </c>
      <c r="I660" s="365" t="s">
        <v>2400</v>
      </c>
      <c r="J660" s="365" t="s">
        <v>1228</v>
      </c>
      <c r="K660" s="365" t="s">
        <v>1229</v>
      </c>
      <c r="L660" s="370">
        <v>45568.424039351848</v>
      </c>
    </row>
    <row r="661" spans="1:12" s="365" customFormat="1" hidden="1">
      <c r="A661" s="370">
        <v>45568.429386574076</v>
      </c>
      <c r="B661" s="365" t="s">
        <v>2401</v>
      </c>
      <c r="C661" s="365" t="s">
        <v>2402</v>
      </c>
      <c r="D661" s="365" t="s">
        <v>2403</v>
      </c>
      <c r="E661" s="365" t="s">
        <v>2404</v>
      </c>
      <c r="F661" s="365" t="s">
        <v>2405</v>
      </c>
      <c r="G661" s="370">
        <v>45560</v>
      </c>
      <c r="H661" s="369">
        <v>23001</v>
      </c>
      <c r="I661" s="365" t="s">
        <v>2406</v>
      </c>
      <c r="J661" s="365" t="s">
        <v>1228</v>
      </c>
      <c r="K661" s="365" t="s">
        <v>1229</v>
      </c>
      <c r="L661" s="370">
        <v>45568.430821759262</v>
      </c>
    </row>
    <row r="662" spans="1:12" s="365" customFormat="1" hidden="1">
      <c r="A662" s="370">
        <v>45568.430266203701</v>
      </c>
      <c r="B662" s="365" t="s">
        <v>2445</v>
      </c>
      <c r="C662" s="365" t="s">
        <v>2402</v>
      </c>
      <c r="D662" s="365" t="s">
        <v>2403</v>
      </c>
      <c r="E662" s="365" t="s">
        <v>2404</v>
      </c>
      <c r="F662" s="365" t="s">
        <v>2446</v>
      </c>
      <c r="G662" s="370">
        <v>45530</v>
      </c>
      <c r="H662" s="369">
        <v>23001</v>
      </c>
      <c r="I662" s="365" t="s">
        <v>2447</v>
      </c>
      <c r="J662" s="365" t="s">
        <v>1228</v>
      </c>
      <c r="K662" s="365" t="s">
        <v>1229</v>
      </c>
      <c r="L662" s="370">
        <v>45568.431018518517</v>
      </c>
    </row>
    <row r="663" spans="1:12" s="365" customFormat="1" hidden="1">
      <c r="A663" s="370">
        <v>45568.439664351848</v>
      </c>
      <c r="B663" s="365" t="s">
        <v>2448</v>
      </c>
      <c r="C663" s="365" t="s">
        <v>2449</v>
      </c>
      <c r="D663" s="365" t="s">
        <v>2450</v>
      </c>
      <c r="E663" s="365" t="s">
        <v>2451</v>
      </c>
      <c r="F663" s="365" t="s">
        <v>2452</v>
      </c>
      <c r="G663" s="370">
        <v>45560</v>
      </c>
      <c r="H663" s="369">
        <v>15999</v>
      </c>
      <c r="I663" s="365" t="s">
        <v>2453</v>
      </c>
      <c r="J663" s="365" t="s">
        <v>1228</v>
      </c>
      <c r="K663" s="365" t="s">
        <v>1229</v>
      </c>
      <c r="L663" s="370">
        <v>45568.441192129627</v>
      </c>
    </row>
    <row r="664" spans="1:12" s="365" customFormat="1" hidden="1">
      <c r="A664" s="370">
        <v>45568.470821759256</v>
      </c>
      <c r="B664" s="365" t="s">
        <v>2344</v>
      </c>
      <c r="C664" s="365" t="s">
        <v>2345</v>
      </c>
      <c r="D664" s="365" t="s">
        <v>2346</v>
      </c>
      <c r="E664" s="365" t="s">
        <v>2347</v>
      </c>
      <c r="F664" s="365" t="s">
        <v>2348</v>
      </c>
      <c r="G664" s="370">
        <v>45560</v>
      </c>
      <c r="H664" s="369">
        <v>6000</v>
      </c>
      <c r="I664" s="365" t="s">
        <v>2349</v>
      </c>
      <c r="J664" s="365" t="s">
        <v>1228</v>
      </c>
      <c r="K664" s="365" t="s">
        <v>1229</v>
      </c>
      <c r="L664" s="370">
        <v>45568.472511574073</v>
      </c>
    </row>
    <row r="665" spans="1:12" s="365" customFormat="1" hidden="1">
      <c r="A665" s="370">
        <v>45568.484409722223</v>
      </c>
      <c r="B665" s="365" t="s">
        <v>2350</v>
      </c>
      <c r="C665" s="365" t="s">
        <v>2351</v>
      </c>
      <c r="D665" s="365" t="s">
        <v>2352</v>
      </c>
      <c r="E665" s="365" t="s">
        <v>2353</v>
      </c>
      <c r="F665" s="365" t="s">
        <v>2354</v>
      </c>
      <c r="G665" s="370">
        <v>45560</v>
      </c>
      <c r="H665" s="369">
        <v>32000</v>
      </c>
      <c r="I665" s="365" t="s">
        <v>2355</v>
      </c>
      <c r="J665" s="365" t="s">
        <v>1228</v>
      </c>
      <c r="K665" s="365" t="s">
        <v>1229</v>
      </c>
      <c r="L665" s="370">
        <v>45568.48641203704</v>
      </c>
    </row>
    <row r="666" spans="1:12" s="365" customFormat="1" hidden="1">
      <c r="A666" s="370">
        <v>45568.50408564815</v>
      </c>
      <c r="B666" s="365" t="s">
        <v>2356</v>
      </c>
      <c r="C666" s="365" t="s">
        <v>1843</v>
      </c>
      <c r="D666" s="365" t="s">
        <v>1844</v>
      </c>
      <c r="E666" s="365" t="s">
        <v>1845</v>
      </c>
      <c r="F666" s="365" t="s">
        <v>2357</v>
      </c>
      <c r="G666" s="370">
        <v>45530</v>
      </c>
      <c r="H666" s="369">
        <v>15000</v>
      </c>
      <c r="I666" s="365" t="s">
        <v>2358</v>
      </c>
      <c r="J666" s="365" t="s">
        <v>1228</v>
      </c>
      <c r="K666" s="365" t="s">
        <v>1229</v>
      </c>
      <c r="L666" s="370">
        <v>45568.507395833331</v>
      </c>
    </row>
    <row r="667" spans="1:12" s="365" customFormat="1" hidden="1">
      <c r="A667" s="370">
        <v>45568.508831018517</v>
      </c>
      <c r="B667" s="365" t="s">
        <v>2359</v>
      </c>
      <c r="C667" s="365" t="s">
        <v>2360</v>
      </c>
      <c r="D667" s="365" t="s">
        <v>2361</v>
      </c>
      <c r="E667" s="365" t="s">
        <v>2362</v>
      </c>
      <c r="F667" s="365" t="s">
        <v>2363</v>
      </c>
      <c r="G667" s="370">
        <v>45560</v>
      </c>
      <c r="H667" s="369">
        <v>60000</v>
      </c>
      <c r="I667" s="365" t="s">
        <v>2364</v>
      </c>
      <c r="J667" s="365" t="s">
        <v>1228</v>
      </c>
      <c r="K667" s="365" t="s">
        <v>1229</v>
      </c>
      <c r="L667" s="370">
        <v>45568.510983796295</v>
      </c>
    </row>
    <row r="668" spans="1:12" s="365" customFormat="1" hidden="1">
      <c r="A668" s="370">
        <v>45568.519560185188</v>
      </c>
      <c r="B668" s="365" t="s">
        <v>2407</v>
      </c>
      <c r="C668" s="365" t="s">
        <v>2408</v>
      </c>
      <c r="D668" s="365" t="s">
        <v>2409</v>
      </c>
      <c r="E668" s="365" t="s">
        <v>2410</v>
      </c>
      <c r="F668" s="365" t="s">
        <v>2411</v>
      </c>
      <c r="G668" s="370">
        <v>45560</v>
      </c>
      <c r="H668" s="369">
        <v>47999</v>
      </c>
      <c r="I668" s="365" t="s">
        <v>2412</v>
      </c>
      <c r="J668" s="365" t="s">
        <v>1228</v>
      </c>
      <c r="K668" s="365" t="s">
        <v>1229</v>
      </c>
      <c r="L668" s="370">
        <v>45568.521296296298</v>
      </c>
    </row>
    <row r="669" spans="1:12" s="365" customFormat="1" hidden="1">
      <c r="A669" s="370">
        <v>45568.534212962964</v>
      </c>
      <c r="B669" s="365" t="s">
        <v>2365</v>
      </c>
      <c r="C669" s="365" t="s">
        <v>2366</v>
      </c>
      <c r="D669" s="365" t="s">
        <v>2367</v>
      </c>
      <c r="E669" s="365" t="s">
        <v>2368</v>
      </c>
      <c r="F669" s="365" t="s">
        <v>2369</v>
      </c>
      <c r="G669" s="370">
        <v>45560</v>
      </c>
      <c r="H669" s="369">
        <v>27000</v>
      </c>
      <c r="I669" s="365" t="s">
        <v>2370</v>
      </c>
      <c r="J669" s="365" t="s">
        <v>1228</v>
      </c>
      <c r="K669" s="365" t="s">
        <v>1229</v>
      </c>
      <c r="L669" s="370">
        <v>45568.535173611112</v>
      </c>
    </row>
    <row r="670" spans="1:12" s="365" customFormat="1" hidden="1">
      <c r="A670" s="370">
        <v>45568.539270833331</v>
      </c>
      <c r="B670" s="365" t="s">
        <v>2454</v>
      </c>
      <c r="C670" s="365" t="s">
        <v>1322</v>
      </c>
      <c r="D670" s="365" t="s">
        <v>1169</v>
      </c>
      <c r="E670" s="365" t="s">
        <v>1170</v>
      </c>
      <c r="F670" s="365" t="s">
        <v>2455</v>
      </c>
      <c r="G670" s="370">
        <v>45560</v>
      </c>
      <c r="H670" s="369">
        <v>45999</v>
      </c>
      <c r="I670" s="365" t="s">
        <v>2456</v>
      </c>
      <c r="J670" s="365" t="s">
        <v>1228</v>
      </c>
      <c r="K670" s="365" t="s">
        <v>1229</v>
      </c>
      <c r="L670" s="370">
        <v>45568.541932870372</v>
      </c>
    </row>
    <row r="671" spans="1:12" s="365" customFormat="1" hidden="1">
      <c r="A671" s="370">
        <v>45568.625254629631</v>
      </c>
      <c r="B671" s="365" t="s">
        <v>2371</v>
      </c>
      <c r="C671" s="365" t="s">
        <v>2372</v>
      </c>
      <c r="D671" s="365" t="s">
        <v>2373</v>
      </c>
      <c r="E671" s="365" t="s">
        <v>2374</v>
      </c>
      <c r="F671" s="365" t="s">
        <v>2375</v>
      </c>
      <c r="G671" s="370">
        <v>45560</v>
      </c>
      <c r="H671" s="369">
        <v>23400</v>
      </c>
      <c r="I671" s="365" t="s">
        <v>2376</v>
      </c>
      <c r="J671" s="365" t="s">
        <v>1228</v>
      </c>
      <c r="K671" s="365" t="s">
        <v>1229</v>
      </c>
      <c r="L671" s="370">
        <v>45568.62877314815</v>
      </c>
    </row>
    <row r="672" spans="1:12" s="365" customFormat="1" hidden="1">
      <c r="A672" s="370">
        <v>45568.634583333333</v>
      </c>
      <c r="B672" s="365" t="s">
        <v>2457</v>
      </c>
      <c r="C672" s="365" t="s">
        <v>2458</v>
      </c>
      <c r="D672" s="365" t="s">
        <v>2459</v>
      </c>
      <c r="E672" s="365" t="s">
        <v>2460</v>
      </c>
      <c r="F672" s="365" t="s">
        <v>2461</v>
      </c>
      <c r="G672" s="370">
        <v>45560</v>
      </c>
      <c r="H672" s="369">
        <v>77000</v>
      </c>
      <c r="I672" s="365" t="s">
        <v>2462</v>
      </c>
      <c r="J672" s="365" t="s">
        <v>1228</v>
      </c>
      <c r="K672" s="365" t="s">
        <v>1229</v>
      </c>
      <c r="L672" s="370">
        <v>45568.635891203703</v>
      </c>
    </row>
    <row r="673" spans="1:12" s="365" customFormat="1" hidden="1">
      <c r="A673" s="370">
        <v>45568.653252314813</v>
      </c>
      <c r="B673" s="365" t="s">
        <v>2377</v>
      </c>
      <c r="C673" s="365" t="s">
        <v>2378</v>
      </c>
      <c r="D673" s="365" t="s">
        <v>2379</v>
      </c>
      <c r="E673" s="365" t="s">
        <v>2380</v>
      </c>
      <c r="F673" s="365" t="s">
        <v>2381</v>
      </c>
      <c r="G673" s="370">
        <v>45560</v>
      </c>
      <c r="H673" s="369">
        <v>15001</v>
      </c>
      <c r="I673" s="365" t="s">
        <v>2382</v>
      </c>
      <c r="J673" s="365" t="s">
        <v>1228</v>
      </c>
      <c r="K673" s="365" t="s">
        <v>1229</v>
      </c>
      <c r="L673" s="370">
        <v>45568.656527777777</v>
      </c>
    </row>
    <row r="674" spans="1:12" s="365" customFormat="1" hidden="1">
      <c r="A674" s="370">
        <v>45568.701516203706</v>
      </c>
      <c r="B674" s="365" t="s">
        <v>2463</v>
      </c>
      <c r="C674" s="365" t="s">
        <v>2464</v>
      </c>
      <c r="D674" s="365" t="s">
        <v>2465</v>
      </c>
      <c r="E674" s="365" t="s">
        <v>2466</v>
      </c>
      <c r="F674" s="365" t="s">
        <v>2467</v>
      </c>
      <c r="G674" s="370">
        <v>45560</v>
      </c>
      <c r="H674" s="369">
        <v>169999</v>
      </c>
      <c r="I674" s="365" t="s">
        <v>2468</v>
      </c>
      <c r="J674" s="365" t="s">
        <v>1228</v>
      </c>
      <c r="K674" s="365" t="s">
        <v>1229</v>
      </c>
      <c r="L674" s="370">
        <v>45568.701736111114</v>
      </c>
    </row>
    <row r="675" spans="1:12" s="365" customFormat="1" hidden="1">
      <c r="A675" s="370">
        <v>45568.724537037036</v>
      </c>
      <c r="B675" s="365" t="s">
        <v>2413</v>
      </c>
      <c r="C675" s="365" t="s">
        <v>2414</v>
      </c>
      <c r="D675" s="365" t="s">
        <v>2415</v>
      </c>
      <c r="E675" s="365" t="s">
        <v>2416</v>
      </c>
      <c r="F675" s="365" t="s">
        <v>2417</v>
      </c>
      <c r="G675" s="370">
        <v>45560</v>
      </c>
      <c r="H675" s="369">
        <v>26912</v>
      </c>
      <c r="I675" s="365" t="s">
        <v>2418</v>
      </c>
      <c r="J675" s="365" t="s">
        <v>1228</v>
      </c>
      <c r="K675" s="365" t="s">
        <v>1229</v>
      </c>
      <c r="L675" s="370">
        <v>45568.725960648146</v>
      </c>
    </row>
    <row r="676" spans="1:12" s="365" customFormat="1" hidden="1">
      <c r="A676" s="370">
        <v>45568.725011574075</v>
      </c>
      <c r="B676" s="365" t="s">
        <v>2469</v>
      </c>
      <c r="C676" s="365" t="s">
        <v>2470</v>
      </c>
      <c r="D676" s="365" t="s">
        <v>2471</v>
      </c>
      <c r="E676" s="365" t="s">
        <v>2472</v>
      </c>
      <c r="F676" s="365" t="s">
        <v>2473</v>
      </c>
      <c r="G676" s="370">
        <v>45560</v>
      </c>
      <c r="H676" s="369">
        <v>260999</v>
      </c>
      <c r="I676" s="365" t="s">
        <v>2474</v>
      </c>
      <c r="J676" s="365" t="s">
        <v>1228</v>
      </c>
      <c r="K676" s="365" t="s">
        <v>1229</v>
      </c>
      <c r="L676" s="370">
        <v>45568.726145833331</v>
      </c>
    </row>
    <row r="677" spans="1:12" s="365" customFormat="1" hidden="1">
      <c r="A677" s="370">
        <v>45568.752662037034</v>
      </c>
      <c r="B677" s="365" t="s">
        <v>2475</v>
      </c>
      <c r="C677" s="365" t="s">
        <v>2476</v>
      </c>
      <c r="D677" s="365" t="s">
        <v>2477</v>
      </c>
      <c r="E677" s="365" t="s">
        <v>2478</v>
      </c>
      <c r="F677" s="365" t="s">
        <v>2479</v>
      </c>
      <c r="G677" s="370">
        <v>45560</v>
      </c>
      <c r="H677" s="369">
        <v>15999</v>
      </c>
      <c r="I677" s="365" t="s">
        <v>2480</v>
      </c>
      <c r="J677" s="365" t="s">
        <v>1228</v>
      </c>
      <c r="K677" s="365" t="s">
        <v>1229</v>
      </c>
      <c r="L677" s="370">
        <v>45568.753796296296</v>
      </c>
    </row>
    <row r="678" spans="1:12" s="365" customFormat="1" hidden="1">
      <c r="A678" s="370">
        <v>45568.818472222221</v>
      </c>
      <c r="B678" s="365" t="s">
        <v>2481</v>
      </c>
      <c r="C678" s="365" t="s">
        <v>2482</v>
      </c>
      <c r="D678" s="365" t="s">
        <v>2483</v>
      </c>
      <c r="E678" s="365" t="s">
        <v>2484</v>
      </c>
      <c r="F678" s="365" t="s">
        <v>2485</v>
      </c>
      <c r="G678" s="370">
        <v>45560</v>
      </c>
      <c r="H678" s="369">
        <v>15999</v>
      </c>
      <c r="I678" s="365" t="s">
        <v>2486</v>
      </c>
      <c r="J678" s="365" t="s">
        <v>1228</v>
      </c>
      <c r="K678" s="365" t="s">
        <v>1229</v>
      </c>
      <c r="L678" s="370">
        <v>45568.819965277777</v>
      </c>
    </row>
    <row r="679" spans="1:12" s="365" customFormat="1" hidden="1">
      <c r="A679" s="370">
        <v>45568.820069444446</v>
      </c>
      <c r="B679" s="365" t="s">
        <v>2487</v>
      </c>
      <c r="C679" s="365" t="s">
        <v>2488</v>
      </c>
      <c r="D679" s="365" t="s">
        <v>2489</v>
      </c>
      <c r="E679" s="365" t="s">
        <v>2490</v>
      </c>
      <c r="F679" s="365" t="s">
        <v>2491</v>
      </c>
      <c r="G679" s="370">
        <v>45560</v>
      </c>
      <c r="H679" s="369">
        <v>27000</v>
      </c>
      <c r="I679" s="365" t="s">
        <v>2492</v>
      </c>
      <c r="J679" s="365" t="s">
        <v>1228</v>
      </c>
      <c r="K679" s="365" t="s">
        <v>1229</v>
      </c>
      <c r="L679" s="370">
        <v>45568.823171296295</v>
      </c>
    </row>
    <row r="680" spans="1:12" s="365" customFormat="1" hidden="1">
      <c r="A680" s="370">
        <v>45568.843761574077</v>
      </c>
      <c r="B680" s="365" t="s">
        <v>2383</v>
      </c>
      <c r="C680" s="365" t="s">
        <v>2384</v>
      </c>
      <c r="D680" s="365" t="s">
        <v>2385</v>
      </c>
      <c r="E680" s="365" t="s">
        <v>2386</v>
      </c>
      <c r="F680" s="365" t="s">
        <v>2387</v>
      </c>
      <c r="G680" s="370">
        <v>45560</v>
      </c>
      <c r="H680" s="369">
        <v>30000</v>
      </c>
      <c r="I680" s="365" t="s">
        <v>2388</v>
      </c>
      <c r="J680" s="365" t="s">
        <v>1228</v>
      </c>
      <c r="K680" s="365" t="s">
        <v>1229</v>
      </c>
      <c r="L680" s="370">
        <v>45568.844155092593</v>
      </c>
    </row>
    <row r="681" spans="1:12" s="365" customFormat="1" hidden="1">
      <c r="A681" s="370">
        <v>45568.865023148152</v>
      </c>
      <c r="B681" s="365" t="s">
        <v>2419</v>
      </c>
      <c r="C681" s="365" t="s">
        <v>2420</v>
      </c>
      <c r="D681" s="365" t="s">
        <v>2421</v>
      </c>
      <c r="E681" s="365" t="s">
        <v>2422</v>
      </c>
      <c r="F681" s="365" t="s">
        <v>2423</v>
      </c>
      <c r="G681" s="370">
        <v>45560</v>
      </c>
      <c r="H681" s="369">
        <v>16000</v>
      </c>
      <c r="I681" s="365" t="s">
        <v>2424</v>
      </c>
      <c r="J681" s="365" t="s">
        <v>1228</v>
      </c>
      <c r="K681" s="365" t="s">
        <v>1229</v>
      </c>
      <c r="L681" s="370">
        <v>45568.868356481478</v>
      </c>
    </row>
    <row r="682" spans="1:12" s="365" customFormat="1" hidden="1">
      <c r="A682" s="370">
        <v>45568.924155092594</v>
      </c>
      <c r="B682" s="365" t="s">
        <v>2389</v>
      </c>
      <c r="C682" s="365" t="s">
        <v>2390</v>
      </c>
      <c r="D682" s="365" t="s">
        <v>2391</v>
      </c>
      <c r="E682" s="365" t="s">
        <v>2392</v>
      </c>
      <c r="F682" s="365" t="s">
        <v>2393</v>
      </c>
      <c r="G682" s="370">
        <v>45560</v>
      </c>
      <c r="H682" s="369">
        <v>18000</v>
      </c>
      <c r="I682" s="365" t="s">
        <v>2394</v>
      </c>
      <c r="J682" s="365" t="s">
        <v>1228</v>
      </c>
      <c r="K682" s="365" t="s">
        <v>1229</v>
      </c>
      <c r="L682" s="370">
        <v>45568.92728009259</v>
      </c>
    </row>
    <row r="683" spans="1:12" s="365" customFormat="1" hidden="1">
      <c r="A683" s="370">
        <v>45569.279976851853</v>
      </c>
      <c r="B683" s="365" t="s">
        <v>2624</v>
      </c>
      <c r="C683" s="365" t="s">
        <v>2625</v>
      </c>
      <c r="D683" s="365" t="s">
        <v>2626</v>
      </c>
      <c r="E683" s="365" t="s">
        <v>2627</v>
      </c>
      <c r="F683" s="365" t="s">
        <v>2628</v>
      </c>
      <c r="G683" s="370">
        <v>45560</v>
      </c>
      <c r="H683" s="369">
        <v>24000</v>
      </c>
      <c r="I683" s="365" t="s">
        <v>2629</v>
      </c>
      <c r="J683" s="365" t="s">
        <v>1228</v>
      </c>
      <c r="K683" s="365" t="s">
        <v>1229</v>
      </c>
      <c r="L683" s="370">
        <v>45569.281724537039</v>
      </c>
    </row>
    <row r="684" spans="1:12" s="365" customFormat="1" hidden="1">
      <c r="A684" s="370">
        <v>45569.296539351853</v>
      </c>
      <c r="B684" s="365" t="s">
        <v>2493</v>
      </c>
      <c r="C684" s="365" t="s">
        <v>2494</v>
      </c>
      <c r="D684" s="365" t="s">
        <v>2495</v>
      </c>
      <c r="E684" s="365" t="s">
        <v>2496</v>
      </c>
      <c r="F684" s="365" t="s">
        <v>2497</v>
      </c>
      <c r="G684" s="370">
        <v>45560</v>
      </c>
      <c r="H684" s="369">
        <v>18000</v>
      </c>
      <c r="I684" s="365" t="s">
        <v>2498</v>
      </c>
      <c r="J684" s="365" t="s">
        <v>1228</v>
      </c>
      <c r="K684" s="365" t="s">
        <v>1229</v>
      </c>
      <c r="L684" s="370">
        <v>45569.299155092594</v>
      </c>
    </row>
    <row r="685" spans="1:12" s="365" customFormat="1" hidden="1">
      <c r="A685" s="370">
        <v>45569.327777777777</v>
      </c>
      <c r="B685" s="365" t="s">
        <v>2570</v>
      </c>
      <c r="C685" s="365" t="s">
        <v>2571</v>
      </c>
      <c r="D685" s="365" t="s">
        <v>2572</v>
      </c>
      <c r="E685" s="365" t="s">
        <v>2573</v>
      </c>
      <c r="F685" s="365" t="s">
        <v>2574</v>
      </c>
      <c r="G685" s="370">
        <v>45560</v>
      </c>
      <c r="H685" s="369">
        <v>12000</v>
      </c>
      <c r="I685" s="365" t="s">
        <v>2575</v>
      </c>
      <c r="J685" s="365" t="s">
        <v>1228</v>
      </c>
      <c r="K685" s="365" t="s">
        <v>1229</v>
      </c>
      <c r="L685" s="370">
        <v>45569.330127314817</v>
      </c>
    </row>
    <row r="686" spans="1:12" s="365" customFormat="1" hidden="1">
      <c r="A686" s="370">
        <v>45569.384594907409</v>
      </c>
      <c r="B686" s="365" t="s">
        <v>2499</v>
      </c>
      <c r="C686" s="365" t="s">
        <v>2500</v>
      </c>
      <c r="D686" s="365" t="s">
        <v>2501</v>
      </c>
      <c r="E686" s="365" t="s">
        <v>2502</v>
      </c>
      <c r="F686" s="365" t="s">
        <v>2503</v>
      </c>
      <c r="G686" s="370">
        <v>45560</v>
      </c>
      <c r="H686" s="369">
        <v>13000</v>
      </c>
      <c r="I686" s="365" t="s">
        <v>2504</v>
      </c>
      <c r="J686" s="365" t="s">
        <v>1228</v>
      </c>
      <c r="K686" s="365" t="s">
        <v>1229</v>
      </c>
      <c r="L686" s="370">
        <v>45569.38548611111</v>
      </c>
    </row>
    <row r="687" spans="1:12" s="365" customFormat="1" hidden="1">
      <c r="A687" s="370">
        <v>45569.388391203705</v>
      </c>
      <c r="B687" s="365" t="s">
        <v>2630</v>
      </c>
      <c r="C687" s="365" t="s">
        <v>2631</v>
      </c>
      <c r="D687" s="365" t="s">
        <v>2632</v>
      </c>
      <c r="E687" s="365" t="s">
        <v>2633</v>
      </c>
      <c r="F687" s="365" t="s">
        <v>2634</v>
      </c>
      <c r="G687" s="370">
        <v>45560</v>
      </c>
      <c r="H687" s="369">
        <v>18000</v>
      </c>
      <c r="I687" s="365" t="s">
        <v>2635</v>
      </c>
      <c r="J687" s="365" t="s">
        <v>1228</v>
      </c>
      <c r="K687" s="365" t="s">
        <v>1229</v>
      </c>
      <c r="L687" s="370">
        <v>45569.38921296296</v>
      </c>
    </row>
    <row r="688" spans="1:12" s="365" customFormat="1" hidden="1">
      <c r="A688" s="370">
        <v>45569.393125000002</v>
      </c>
      <c r="B688" s="365" t="s">
        <v>2505</v>
      </c>
      <c r="C688" s="365" t="s">
        <v>2506</v>
      </c>
      <c r="D688" s="365" t="s">
        <v>2507</v>
      </c>
      <c r="E688" s="365" t="s">
        <v>2508</v>
      </c>
      <c r="F688" s="365" t="s">
        <v>2509</v>
      </c>
      <c r="G688" s="370">
        <v>45560</v>
      </c>
      <c r="H688" s="369">
        <v>9000</v>
      </c>
      <c r="I688" s="365" t="s">
        <v>2510</v>
      </c>
      <c r="J688" s="365" t="s">
        <v>1228</v>
      </c>
      <c r="K688" s="365" t="s">
        <v>1229</v>
      </c>
      <c r="L688" s="370">
        <v>45569.396319444444</v>
      </c>
    </row>
    <row r="689" spans="1:12" s="365" customFormat="1" hidden="1">
      <c r="A689" s="370">
        <v>45569.3981712963</v>
      </c>
      <c r="B689" s="365" t="s">
        <v>2511</v>
      </c>
      <c r="C689" s="365" t="s">
        <v>2512</v>
      </c>
      <c r="D689" s="365" t="s">
        <v>2513</v>
      </c>
      <c r="E689" s="365" t="s">
        <v>2514</v>
      </c>
      <c r="F689" s="365" t="s">
        <v>2515</v>
      </c>
      <c r="G689" s="370">
        <v>45560</v>
      </c>
      <c r="H689" s="369">
        <v>12501</v>
      </c>
      <c r="I689" s="365" t="s">
        <v>2516</v>
      </c>
      <c r="J689" s="365" t="s">
        <v>1228</v>
      </c>
      <c r="K689" s="365" t="s">
        <v>1229</v>
      </c>
      <c r="L689" s="370">
        <v>45569.399537037039</v>
      </c>
    </row>
    <row r="690" spans="1:12" s="365" customFormat="1" hidden="1">
      <c r="A690" s="370">
        <v>45569.420173611114</v>
      </c>
      <c r="B690" s="365" t="s">
        <v>2576</v>
      </c>
      <c r="C690" s="365" t="s">
        <v>2577</v>
      </c>
      <c r="D690" s="365" t="s">
        <v>2578</v>
      </c>
      <c r="E690" s="365" t="s">
        <v>2579</v>
      </c>
      <c r="F690" s="365" t="s">
        <v>2580</v>
      </c>
      <c r="G690" s="370">
        <v>45560</v>
      </c>
      <c r="H690" s="369">
        <v>27000</v>
      </c>
      <c r="I690" s="365" t="s">
        <v>2581</v>
      </c>
      <c r="J690" s="365" t="s">
        <v>1228</v>
      </c>
      <c r="K690" s="365" t="s">
        <v>1229</v>
      </c>
      <c r="L690" s="370">
        <v>45569.420532407406</v>
      </c>
    </row>
    <row r="691" spans="1:12" s="365" customFormat="1" hidden="1">
      <c r="A691" s="370">
        <v>45569.424872685187</v>
      </c>
      <c r="B691" s="365" t="s">
        <v>2517</v>
      </c>
      <c r="C691" s="365" t="s">
        <v>2518</v>
      </c>
      <c r="D691" s="365" t="s">
        <v>2519</v>
      </c>
      <c r="E691" s="365" t="s">
        <v>2520</v>
      </c>
      <c r="F691" s="365" t="s">
        <v>2521</v>
      </c>
      <c r="G691" s="370">
        <v>45560</v>
      </c>
      <c r="H691" s="369">
        <v>9000</v>
      </c>
      <c r="I691" s="365" t="s">
        <v>2522</v>
      </c>
      <c r="J691" s="365" t="s">
        <v>1228</v>
      </c>
      <c r="K691" s="365" t="s">
        <v>1229</v>
      </c>
      <c r="L691" s="370">
        <v>45569.427141203705</v>
      </c>
    </row>
    <row r="692" spans="1:12" s="365" customFormat="1" hidden="1">
      <c r="A692" s="370">
        <v>45569.463622685187</v>
      </c>
      <c r="B692" s="365" t="s">
        <v>2582</v>
      </c>
      <c r="C692" s="365" t="s">
        <v>2583</v>
      </c>
      <c r="D692" s="365" t="s">
        <v>2584</v>
      </c>
      <c r="E692" s="365" t="s">
        <v>2585</v>
      </c>
      <c r="F692" s="365" t="s">
        <v>2586</v>
      </c>
      <c r="G692" s="370">
        <v>45560</v>
      </c>
      <c r="H692" s="369">
        <v>15999</v>
      </c>
      <c r="I692" s="365" t="s">
        <v>2587</v>
      </c>
      <c r="J692" s="365" t="s">
        <v>1228</v>
      </c>
      <c r="K692" s="365" t="s">
        <v>1229</v>
      </c>
      <c r="L692" s="370">
        <v>45569.465740740743</v>
      </c>
    </row>
    <row r="693" spans="1:12" s="365" customFormat="1" hidden="1">
      <c r="A693" s="370">
        <v>45569.470891203702</v>
      </c>
      <c r="B693" s="365" t="s">
        <v>2636</v>
      </c>
      <c r="C693" s="365" t="s">
        <v>2524</v>
      </c>
      <c r="D693" s="365" t="s">
        <v>2525</v>
      </c>
      <c r="E693" s="365" t="s">
        <v>2526</v>
      </c>
      <c r="F693" s="365" t="s">
        <v>2637</v>
      </c>
      <c r="G693" s="370">
        <v>45530</v>
      </c>
      <c r="H693" s="369">
        <v>38000</v>
      </c>
      <c r="I693" s="365" t="s">
        <v>2638</v>
      </c>
      <c r="J693" s="365" t="s">
        <v>1228</v>
      </c>
      <c r="K693" s="365" t="s">
        <v>1229</v>
      </c>
      <c r="L693" s="370">
        <v>45569.472708333335</v>
      </c>
    </row>
    <row r="694" spans="1:12" s="365" customFormat="1" hidden="1">
      <c r="A694" s="370">
        <v>45569.471712962964</v>
      </c>
      <c r="B694" s="365" t="s">
        <v>2523</v>
      </c>
      <c r="C694" s="365" t="s">
        <v>2524</v>
      </c>
      <c r="D694" s="365" t="s">
        <v>2525</v>
      </c>
      <c r="E694" s="365" t="s">
        <v>2526</v>
      </c>
      <c r="F694" s="365" t="s">
        <v>2527</v>
      </c>
      <c r="G694" s="370">
        <v>45560</v>
      </c>
      <c r="H694" s="369">
        <v>38000</v>
      </c>
      <c r="I694" s="365" t="s">
        <v>2528</v>
      </c>
      <c r="J694" s="365" t="s">
        <v>1228</v>
      </c>
      <c r="K694" s="365" t="s">
        <v>1229</v>
      </c>
      <c r="L694" s="370">
        <v>45569.47252314815</v>
      </c>
    </row>
    <row r="695" spans="1:12" s="365" customFormat="1" hidden="1">
      <c r="A695" s="370">
        <v>45569.541643518518</v>
      </c>
      <c r="B695" s="365" t="s">
        <v>2639</v>
      </c>
      <c r="C695" s="365" t="s">
        <v>2640</v>
      </c>
      <c r="D695" s="365" t="s">
        <v>1696</v>
      </c>
      <c r="E695" s="365" t="s">
        <v>1697</v>
      </c>
      <c r="F695" s="365" t="s">
        <v>2641</v>
      </c>
      <c r="G695" s="370">
        <v>45530</v>
      </c>
      <c r="H695" s="369">
        <v>20999</v>
      </c>
      <c r="I695" s="365" t="s">
        <v>2642</v>
      </c>
      <c r="J695" s="365" t="s">
        <v>1228</v>
      </c>
      <c r="K695" s="365" t="s">
        <v>1229</v>
      </c>
      <c r="L695" s="370">
        <v>45569.541932870372</v>
      </c>
    </row>
    <row r="696" spans="1:12" s="365" customFormat="1" hidden="1">
      <c r="A696" s="370">
        <v>45569.571875000001</v>
      </c>
      <c r="B696" s="365" t="s">
        <v>2588</v>
      </c>
      <c r="C696" s="365" t="s">
        <v>2589</v>
      </c>
      <c r="D696" s="365" t="s">
        <v>2590</v>
      </c>
      <c r="E696" s="365" t="s">
        <v>2591</v>
      </c>
      <c r="F696" s="365" t="s">
        <v>2592</v>
      </c>
      <c r="G696" s="370">
        <v>45560</v>
      </c>
      <c r="H696" s="369">
        <v>54999</v>
      </c>
      <c r="I696" s="365" t="s">
        <v>2593</v>
      </c>
      <c r="J696" s="365" t="s">
        <v>1228</v>
      </c>
      <c r="K696" s="365" t="s">
        <v>1229</v>
      </c>
      <c r="L696" s="370">
        <v>45569.573252314818</v>
      </c>
    </row>
    <row r="697" spans="1:12" s="365" customFormat="1" hidden="1">
      <c r="A697" s="370">
        <v>45569.610312500001</v>
      </c>
      <c r="B697" s="365" t="s">
        <v>2529</v>
      </c>
      <c r="C697" s="365" t="s">
        <v>2160</v>
      </c>
      <c r="D697" s="365" t="s">
        <v>2530</v>
      </c>
      <c r="E697" s="365" t="s">
        <v>2531</v>
      </c>
      <c r="F697" s="365" t="s">
        <v>2532</v>
      </c>
      <c r="G697" s="370">
        <v>45530</v>
      </c>
      <c r="H697" s="369">
        <v>7501</v>
      </c>
      <c r="I697" s="365" t="s">
        <v>2533</v>
      </c>
      <c r="J697" s="365" t="s">
        <v>1228</v>
      </c>
      <c r="K697" s="365" t="s">
        <v>1229</v>
      </c>
      <c r="L697" s="370">
        <v>45569.611400462964</v>
      </c>
    </row>
    <row r="698" spans="1:12" s="365" customFormat="1" hidden="1">
      <c r="A698" s="370">
        <v>45569.611215277779</v>
      </c>
      <c r="B698" s="365" t="s">
        <v>2594</v>
      </c>
      <c r="C698" s="365" t="s">
        <v>2160</v>
      </c>
      <c r="D698" s="365" t="s">
        <v>2530</v>
      </c>
      <c r="E698" s="365" t="s">
        <v>2531</v>
      </c>
      <c r="F698" s="365" t="s">
        <v>2595</v>
      </c>
      <c r="G698" s="370">
        <v>45560</v>
      </c>
      <c r="H698" s="369">
        <v>7501</v>
      </c>
      <c r="I698" s="365" t="s">
        <v>2596</v>
      </c>
      <c r="J698" s="365" t="s">
        <v>1228</v>
      </c>
      <c r="K698" s="365" t="s">
        <v>1229</v>
      </c>
      <c r="L698" s="370">
        <v>45569.61515046296</v>
      </c>
    </row>
    <row r="699" spans="1:12" s="365" customFormat="1" hidden="1">
      <c r="A699" s="370">
        <v>45569.613275462965</v>
      </c>
      <c r="B699" s="365" t="s">
        <v>2534</v>
      </c>
      <c r="C699" s="365" t="s">
        <v>2535</v>
      </c>
      <c r="D699" s="365" t="s">
        <v>2536</v>
      </c>
      <c r="E699" s="365" t="s">
        <v>2537</v>
      </c>
      <c r="F699" s="365" t="s">
        <v>2538</v>
      </c>
      <c r="G699" s="370">
        <v>45560</v>
      </c>
      <c r="H699" s="369">
        <v>25000</v>
      </c>
      <c r="I699" s="365" t="s">
        <v>2539</v>
      </c>
      <c r="J699" s="365" t="s">
        <v>1228</v>
      </c>
      <c r="K699" s="365" t="s">
        <v>1229</v>
      </c>
      <c r="L699" s="370">
        <v>45569.614976851852</v>
      </c>
    </row>
    <row r="700" spans="1:12" s="365" customFormat="1" hidden="1">
      <c r="A700" s="370">
        <v>45569.616342592592</v>
      </c>
      <c r="B700" s="365" t="s">
        <v>2597</v>
      </c>
      <c r="C700" s="365" t="s">
        <v>2598</v>
      </c>
      <c r="D700" s="365" t="s">
        <v>2599</v>
      </c>
      <c r="E700" s="365" t="s">
        <v>2600</v>
      </c>
      <c r="F700" s="365" t="s">
        <v>2601</v>
      </c>
      <c r="G700" s="370">
        <v>45560</v>
      </c>
      <c r="H700" s="369">
        <v>12000</v>
      </c>
      <c r="I700" s="365" t="s">
        <v>2602</v>
      </c>
      <c r="J700" s="365" t="s">
        <v>1228</v>
      </c>
      <c r="K700" s="365" t="s">
        <v>1229</v>
      </c>
      <c r="L700" s="370">
        <v>45569.618530092594</v>
      </c>
    </row>
    <row r="701" spans="1:12" s="365" customFormat="1" hidden="1">
      <c r="A701" s="370">
        <v>45569.618032407408</v>
      </c>
      <c r="B701" s="365" t="s">
        <v>2603</v>
      </c>
      <c r="C701" s="365" t="s">
        <v>2604</v>
      </c>
      <c r="D701" s="365" t="s">
        <v>2605</v>
      </c>
      <c r="E701" s="365" t="s">
        <v>2606</v>
      </c>
      <c r="F701" s="365" t="s">
        <v>2607</v>
      </c>
      <c r="G701" s="370">
        <v>45560</v>
      </c>
      <c r="H701" s="369">
        <v>21000</v>
      </c>
      <c r="I701" s="365" t="s">
        <v>2608</v>
      </c>
      <c r="J701" s="365" t="s">
        <v>1228</v>
      </c>
      <c r="K701" s="365" t="s">
        <v>1229</v>
      </c>
      <c r="L701" s="370">
        <v>45569.618715277778</v>
      </c>
    </row>
    <row r="702" spans="1:12" s="365" customFormat="1" hidden="1">
      <c r="A702" s="370">
        <v>45569.620763888888</v>
      </c>
      <c r="B702" s="365" t="s">
        <v>2540</v>
      </c>
      <c r="C702" s="365" t="s">
        <v>2541</v>
      </c>
      <c r="D702" s="365" t="s">
        <v>2542</v>
      </c>
      <c r="E702" s="365" t="s">
        <v>2543</v>
      </c>
      <c r="F702" s="365" t="s">
        <v>2544</v>
      </c>
      <c r="G702" s="370">
        <v>45560</v>
      </c>
      <c r="H702" s="369">
        <v>25000</v>
      </c>
      <c r="I702" s="365" t="s">
        <v>2545</v>
      </c>
      <c r="J702" s="365" t="s">
        <v>1228</v>
      </c>
      <c r="K702" s="365" t="s">
        <v>1229</v>
      </c>
      <c r="L702" s="370">
        <v>45569.622071759259</v>
      </c>
    </row>
    <row r="703" spans="1:12" s="365" customFormat="1" hidden="1">
      <c r="A703" s="370">
        <v>45569.633796296293</v>
      </c>
      <c r="B703" s="365" t="s">
        <v>2609</v>
      </c>
      <c r="C703" s="365" t="s">
        <v>2610</v>
      </c>
      <c r="D703" s="365" t="s">
        <v>2611</v>
      </c>
      <c r="E703" s="365" t="s">
        <v>2612</v>
      </c>
      <c r="F703" s="365" t="s">
        <v>2613</v>
      </c>
      <c r="G703" s="370">
        <v>45560</v>
      </c>
      <c r="H703" s="369">
        <v>15000</v>
      </c>
      <c r="I703" s="365" t="s">
        <v>2614</v>
      </c>
      <c r="J703" s="365" t="s">
        <v>1228</v>
      </c>
      <c r="K703" s="365" t="s">
        <v>1229</v>
      </c>
      <c r="L703" s="370">
        <v>45569.635960648149</v>
      </c>
    </row>
    <row r="704" spans="1:12" s="365" customFormat="1" hidden="1">
      <c r="A704" s="370">
        <v>45569.643645833334</v>
      </c>
      <c r="B704" s="365" t="s">
        <v>2643</v>
      </c>
      <c r="C704" s="365" t="s">
        <v>2644</v>
      </c>
      <c r="D704" s="365" t="s">
        <v>2645</v>
      </c>
      <c r="E704" s="365" t="s">
        <v>2646</v>
      </c>
      <c r="F704" s="365" t="s">
        <v>2647</v>
      </c>
      <c r="G704" s="370">
        <v>45560</v>
      </c>
      <c r="H704" s="369">
        <v>30000</v>
      </c>
      <c r="I704" s="365" t="s">
        <v>2648</v>
      </c>
      <c r="J704" s="365" t="s">
        <v>1228</v>
      </c>
      <c r="K704" s="365" t="s">
        <v>1229</v>
      </c>
      <c r="L704" s="370">
        <v>45569.646365740744</v>
      </c>
    </row>
    <row r="705" spans="1:12" s="365" customFormat="1" hidden="1">
      <c r="A705" s="370">
        <v>45569.657604166663</v>
      </c>
      <c r="B705" s="365" t="s">
        <v>2615</v>
      </c>
      <c r="C705" s="365" t="s">
        <v>2616</v>
      </c>
      <c r="D705" s="365" t="s">
        <v>2617</v>
      </c>
      <c r="E705" s="365" t="s">
        <v>2618</v>
      </c>
      <c r="F705" s="365" t="s">
        <v>2619</v>
      </c>
      <c r="G705" s="370">
        <v>45560</v>
      </c>
      <c r="H705" s="369">
        <v>38400</v>
      </c>
      <c r="I705" s="365" t="s">
        <v>2620</v>
      </c>
      <c r="J705" s="365" t="s">
        <v>1228</v>
      </c>
      <c r="K705" s="365" t="s">
        <v>1229</v>
      </c>
      <c r="L705" s="370">
        <v>45569.660462962966</v>
      </c>
    </row>
    <row r="706" spans="1:12" s="365" customFormat="1" hidden="1">
      <c r="A706" s="370">
        <v>45569.65824074074</v>
      </c>
      <c r="B706" s="365" t="s">
        <v>2621</v>
      </c>
      <c r="C706" s="365" t="s">
        <v>2616</v>
      </c>
      <c r="D706" s="365" t="s">
        <v>2617</v>
      </c>
      <c r="E706" s="365" t="s">
        <v>2618</v>
      </c>
      <c r="F706" s="365" t="s">
        <v>2622</v>
      </c>
      <c r="G706" s="370">
        <v>45530</v>
      </c>
      <c r="H706" s="369">
        <v>38400</v>
      </c>
      <c r="I706" s="365" t="s">
        <v>2623</v>
      </c>
      <c r="J706" s="365" t="s">
        <v>1228</v>
      </c>
      <c r="K706" s="365" t="s">
        <v>1229</v>
      </c>
      <c r="L706" s="370">
        <v>45569.66064814815</v>
      </c>
    </row>
    <row r="707" spans="1:12" s="365" customFormat="1" hidden="1">
      <c r="A707" s="370">
        <v>45569.658738425926</v>
      </c>
      <c r="B707" s="365" t="s">
        <v>2546</v>
      </c>
      <c r="C707" s="365" t="s">
        <v>2547</v>
      </c>
      <c r="D707" s="365" t="s">
        <v>2548</v>
      </c>
      <c r="E707" s="365" t="s">
        <v>2549</v>
      </c>
      <c r="F707" s="365" t="s">
        <v>2550</v>
      </c>
      <c r="G707" s="370">
        <v>45560</v>
      </c>
      <c r="H707" s="369">
        <v>49999</v>
      </c>
      <c r="I707" s="365" t="s">
        <v>2551</v>
      </c>
      <c r="J707" s="365" t="s">
        <v>1228</v>
      </c>
      <c r="K707" s="365" t="s">
        <v>1229</v>
      </c>
      <c r="L707" s="370">
        <v>45569.660277777781</v>
      </c>
    </row>
    <row r="708" spans="1:12" s="365" customFormat="1" hidden="1">
      <c r="A708" s="370">
        <v>45569.67895833333</v>
      </c>
      <c r="B708" s="365" t="s">
        <v>2552</v>
      </c>
      <c r="C708" s="365" t="s">
        <v>2553</v>
      </c>
      <c r="D708" s="365" t="s">
        <v>2554</v>
      </c>
      <c r="E708" s="365" t="s">
        <v>2555</v>
      </c>
      <c r="F708" s="365" t="s">
        <v>2556</v>
      </c>
      <c r="G708" s="370">
        <v>45560</v>
      </c>
      <c r="H708" s="369">
        <v>18000</v>
      </c>
      <c r="I708" s="365" t="s">
        <v>2557</v>
      </c>
      <c r="J708" s="365" t="s">
        <v>1228</v>
      </c>
      <c r="K708" s="365" t="s">
        <v>1229</v>
      </c>
      <c r="L708" s="370">
        <v>45569.681597222225</v>
      </c>
    </row>
    <row r="709" spans="1:12" s="365" customFormat="1" hidden="1">
      <c r="A709" s="370">
        <v>45569.70888888889</v>
      </c>
      <c r="B709" s="365" t="s">
        <v>2649</v>
      </c>
      <c r="C709" s="365" t="s">
        <v>2650</v>
      </c>
      <c r="D709" s="365" t="s">
        <v>2651</v>
      </c>
      <c r="E709" s="365" t="s">
        <v>2652</v>
      </c>
      <c r="F709" s="365" t="s">
        <v>2653</v>
      </c>
      <c r="G709" s="370">
        <v>45560</v>
      </c>
      <c r="H709" s="369">
        <v>18000</v>
      </c>
      <c r="I709" s="365" t="s">
        <v>2654</v>
      </c>
      <c r="J709" s="365" t="s">
        <v>1228</v>
      </c>
      <c r="K709" s="365" t="s">
        <v>1229</v>
      </c>
      <c r="L709" s="370">
        <v>45569.709374999999</v>
      </c>
    </row>
    <row r="710" spans="1:12" s="365" customFormat="1" hidden="1">
      <c r="A710" s="370">
        <v>45569.732546296298</v>
      </c>
      <c r="B710" s="365" t="s">
        <v>2558</v>
      </c>
      <c r="C710" s="365" t="s">
        <v>2559</v>
      </c>
      <c r="D710" s="365" t="s">
        <v>2560</v>
      </c>
      <c r="E710" s="365" t="s">
        <v>2561</v>
      </c>
      <c r="F710" s="365" t="s">
        <v>2562</v>
      </c>
      <c r="G710" s="370">
        <v>45560</v>
      </c>
      <c r="H710" s="369">
        <v>15000</v>
      </c>
      <c r="I710" s="365" t="s">
        <v>2563</v>
      </c>
      <c r="J710" s="365" t="s">
        <v>1228</v>
      </c>
      <c r="K710" s="365" t="s">
        <v>1229</v>
      </c>
      <c r="L710" s="370">
        <v>45569.733576388891</v>
      </c>
    </row>
    <row r="711" spans="1:12" s="365" customFormat="1" hidden="1">
      <c r="A711" s="370">
        <v>45569.777094907404</v>
      </c>
      <c r="B711" s="365" t="s">
        <v>2655</v>
      </c>
      <c r="C711" s="365" t="s">
        <v>2656</v>
      </c>
      <c r="D711" s="365" t="s">
        <v>2657</v>
      </c>
      <c r="E711" s="365" t="s">
        <v>2658</v>
      </c>
      <c r="F711" s="365" t="s">
        <v>2659</v>
      </c>
      <c r="G711" s="370">
        <v>45560</v>
      </c>
      <c r="H711" s="369">
        <v>27000</v>
      </c>
      <c r="I711" s="365" t="s">
        <v>2660</v>
      </c>
      <c r="J711" s="365" t="s">
        <v>1228</v>
      </c>
      <c r="K711" s="365" t="s">
        <v>1229</v>
      </c>
      <c r="L711" s="370">
        <v>45569.778773148151</v>
      </c>
    </row>
    <row r="712" spans="1:12" s="365" customFormat="1" hidden="1">
      <c r="A712" s="370">
        <v>45569.786099537036</v>
      </c>
      <c r="B712" s="365" t="s">
        <v>2661</v>
      </c>
      <c r="C712" s="365" t="s">
        <v>2662</v>
      </c>
      <c r="D712" s="365" t="s">
        <v>2663</v>
      </c>
      <c r="E712" s="365" t="s">
        <v>2664</v>
      </c>
      <c r="F712" s="365" t="s">
        <v>2665</v>
      </c>
      <c r="G712" s="370">
        <v>45560</v>
      </c>
      <c r="H712" s="369">
        <v>9000</v>
      </c>
      <c r="I712" s="365" t="s">
        <v>2666</v>
      </c>
      <c r="J712" s="365" t="s">
        <v>1228</v>
      </c>
      <c r="K712" s="365" t="s">
        <v>1229</v>
      </c>
      <c r="L712" s="370">
        <v>45569.789097222223</v>
      </c>
    </row>
    <row r="713" spans="1:12" s="365" customFormat="1" hidden="1">
      <c r="A713" s="370">
        <v>45569.92696759259</v>
      </c>
      <c r="B713" s="365" t="s">
        <v>2564</v>
      </c>
      <c r="C713" s="365" t="s">
        <v>2565</v>
      </c>
      <c r="D713" s="365" t="s">
        <v>2566</v>
      </c>
      <c r="E713" s="365" t="s">
        <v>2567</v>
      </c>
      <c r="F713" s="365" t="s">
        <v>2568</v>
      </c>
      <c r="G713" s="370">
        <v>45560</v>
      </c>
      <c r="H713" s="369">
        <v>15999</v>
      </c>
      <c r="I713" s="365" t="s">
        <v>2569</v>
      </c>
      <c r="J713" s="365" t="s">
        <v>1228</v>
      </c>
      <c r="K713" s="365" t="s">
        <v>1229</v>
      </c>
      <c r="L713" s="370">
        <v>45569.928206018521</v>
      </c>
    </row>
    <row r="714" spans="1:12" s="365" customFormat="1" hidden="1">
      <c r="A714" s="370">
        <v>45569.998425925929</v>
      </c>
      <c r="B714" s="365" t="s">
        <v>2696</v>
      </c>
      <c r="C714" s="365" t="s">
        <v>2697</v>
      </c>
      <c r="D714" s="365" t="s">
        <v>2698</v>
      </c>
      <c r="E714" s="365" t="s">
        <v>2699</v>
      </c>
      <c r="F714" s="365" t="s">
        <v>2700</v>
      </c>
      <c r="G714" s="370">
        <v>45560</v>
      </c>
      <c r="H714" s="369">
        <v>15999</v>
      </c>
      <c r="I714" s="365" t="s">
        <v>2701</v>
      </c>
      <c r="J714" s="365" t="s">
        <v>1228</v>
      </c>
      <c r="K714" s="365" t="s">
        <v>1229</v>
      </c>
      <c r="L714" s="370">
        <v>45570.125543981485</v>
      </c>
    </row>
    <row r="715" spans="1:12" s="365" customFormat="1" hidden="1">
      <c r="A715" s="370">
        <v>45570.317499999997</v>
      </c>
      <c r="B715" s="365" t="s">
        <v>2667</v>
      </c>
      <c r="C715" s="365" t="s">
        <v>2668</v>
      </c>
      <c r="D715" s="365" t="s">
        <v>2669</v>
      </c>
      <c r="E715" s="365" t="s">
        <v>2670</v>
      </c>
      <c r="F715" s="365" t="s">
        <v>2671</v>
      </c>
      <c r="G715" s="370">
        <v>45560</v>
      </c>
      <c r="H715" s="369">
        <v>15000</v>
      </c>
      <c r="I715" s="365" t="s">
        <v>2672</v>
      </c>
      <c r="J715" s="365" t="s">
        <v>1228</v>
      </c>
      <c r="K715" s="365" t="s">
        <v>1229</v>
      </c>
      <c r="L715" s="370">
        <v>45570.319803240738</v>
      </c>
    </row>
    <row r="716" spans="1:12" s="365" customFormat="1" hidden="1">
      <c r="A716" s="370">
        <v>45570.327037037037</v>
      </c>
      <c r="B716" s="365" t="s">
        <v>2702</v>
      </c>
      <c r="C716" s="365" t="s">
        <v>2703</v>
      </c>
      <c r="D716" s="365" t="s">
        <v>2704</v>
      </c>
      <c r="E716" s="365" t="s">
        <v>2705</v>
      </c>
      <c r="F716" s="365" t="s">
        <v>2706</v>
      </c>
      <c r="G716" s="370">
        <v>45560</v>
      </c>
      <c r="H716" s="369">
        <v>27000</v>
      </c>
      <c r="I716" s="365" t="s">
        <v>2707</v>
      </c>
      <c r="J716" s="365" t="s">
        <v>1228</v>
      </c>
      <c r="K716" s="365" t="s">
        <v>1229</v>
      </c>
      <c r="L716" s="370">
        <v>45570.33011574074</v>
      </c>
    </row>
    <row r="717" spans="1:12" s="365" customFormat="1" hidden="1">
      <c r="A717" s="370">
        <v>45570.378460648149</v>
      </c>
      <c r="B717" s="365" t="s">
        <v>2708</v>
      </c>
      <c r="C717" s="365" t="s">
        <v>2709</v>
      </c>
      <c r="D717" s="365" t="s">
        <v>2710</v>
      </c>
      <c r="E717" s="365" t="s">
        <v>2711</v>
      </c>
      <c r="F717" s="365" t="s">
        <v>2712</v>
      </c>
      <c r="G717" s="370">
        <v>45560</v>
      </c>
      <c r="H717" s="369">
        <v>15999</v>
      </c>
      <c r="I717" s="365" t="s">
        <v>2713</v>
      </c>
      <c r="J717" s="365" t="s">
        <v>1228</v>
      </c>
      <c r="K717" s="365" t="s">
        <v>1229</v>
      </c>
      <c r="L717" s="370">
        <v>45570.37871527778</v>
      </c>
    </row>
    <row r="718" spans="1:12" s="365" customFormat="1" hidden="1">
      <c r="A718" s="370">
        <v>45570.450162037036</v>
      </c>
      <c r="B718" s="365" t="s">
        <v>2714</v>
      </c>
      <c r="C718" s="365" t="s">
        <v>2715</v>
      </c>
      <c r="D718" s="365" t="s">
        <v>1031</v>
      </c>
      <c r="E718" s="365" t="s">
        <v>1032</v>
      </c>
      <c r="F718" s="365" t="s">
        <v>2716</v>
      </c>
      <c r="G718" s="370">
        <v>45560</v>
      </c>
      <c r="H718" s="369">
        <v>15000</v>
      </c>
      <c r="I718" s="365" t="s">
        <v>2717</v>
      </c>
      <c r="J718" s="365" t="s">
        <v>1228</v>
      </c>
      <c r="K718" s="365" t="s">
        <v>1229</v>
      </c>
      <c r="L718" s="370">
        <v>45570.451921296299</v>
      </c>
    </row>
    <row r="719" spans="1:12" s="365" customFormat="1" hidden="1">
      <c r="A719" s="370">
        <v>45570.501226851855</v>
      </c>
      <c r="B719" s="365" t="s">
        <v>2684</v>
      </c>
      <c r="C719" s="365" t="s">
        <v>2685</v>
      </c>
      <c r="D719" s="365" t="s">
        <v>2686</v>
      </c>
      <c r="E719" s="365" t="s">
        <v>2687</v>
      </c>
      <c r="F719" s="365" t="s">
        <v>2688</v>
      </c>
      <c r="G719" s="370">
        <v>45560</v>
      </c>
      <c r="H719" s="369">
        <v>18000</v>
      </c>
      <c r="I719" s="365" t="s">
        <v>2689</v>
      </c>
      <c r="J719" s="365" t="s">
        <v>1228</v>
      </c>
      <c r="K719" s="365" t="s">
        <v>1229</v>
      </c>
      <c r="L719" s="370">
        <v>45570.503923611112</v>
      </c>
    </row>
    <row r="720" spans="1:12" s="365" customFormat="1" hidden="1">
      <c r="A720" s="370">
        <v>45570.535115740742</v>
      </c>
      <c r="B720" s="365" t="s">
        <v>2690</v>
      </c>
      <c r="C720" s="365" t="s">
        <v>2691</v>
      </c>
      <c r="D720" s="365" t="s">
        <v>2692</v>
      </c>
      <c r="E720" s="365" t="s">
        <v>2693</v>
      </c>
      <c r="F720" s="365" t="s">
        <v>2694</v>
      </c>
      <c r="G720" s="370">
        <v>45560</v>
      </c>
      <c r="H720" s="369">
        <v>27000</v>
      </c>
      <c r="I720" s="365" t="s">
        <v>2695</v>
      </c>
      <c r="J720" s="365" t="s">
        <v>1228</v>
      </c>
      <c r="K720" s="365" t="s">
        <v>1229</v>
      </c>
      <c r="L720" s="370">
        <v>45570.538449074076</v>
      </c>
    </row>
    <row r="721" spans="1:12" s="365" customFormat="1" hidden="1">
      <c r="A721" s="370">
        <v>45570.762881944444</v>
      </c>
      <c r="B721" s="365" t="s">
        <v>2673</v>
      </c>
      <c r="C721" s="365" t="s">
        <v>1317</v>
      </c>
      <c r="D721" s="365" t="s">
        <v>2674</v>
      </c>
      <c r="E721" s="365" t="s">
        <v>2675</v>
      </c>
      <c r="F721" s="365" t="s">
        <v>2676</v>
      </c>
      <c r="G721" s="370">
        <v>45560</v>
      </c>
      <c r="H721" s="369">
        <v>9000</v>
      </c>
      <c r="I721" s="365" t="s">
        <v>2677</v>
      </c>
      <c r="J721" s="365" t="s">
        <v>1228</v>
      </c>
      <c r="K721" s="365" t="s">
        <v>1229</v>
      </c>
      <c r="L721" s="370">
        <v>45570.764398148145</v>
      </c>
    </row>
    <row r="722" spans="1:12" s="365" customFormat="1" hidden="1">
      <c r="A722" s="370">
        <v>45570.766747685186</v>
      </c>
      <c r="B722" s="365" t="s">
        <v>2718</v>
      </c>
      <c r="C722" s="365" t="s">
        <v>1317</v>
      </c>
      <c r="D722" s="365" t="s">
        <v>2719</v>
      </c>
      <c r="E722" s="365" t="s">
        <v>2720</v>
      </c>
      <c r="F722" s="365" t="s">
        <v>2721</v>
      </c>
      <c r="G722" s="370">
        <v>45560</v>
      </c>
      <c r="H722" s="369">
        <v>31999</v>
      </c>
      <c r="I722" s="365" t="s">
        <v>2722</v>
      </c>
      <c r="J722" s="365" t="s">
        <v>1228</v>
      </c>
      <c r="K722" s="365" t="s">
        <v>1229</v>
      </c>
      <c r="L722" s="370">
        <v>45570.767604166664</v>
      </c>
    </row>
    <row r="723" spans="1:12" s="365" customFormat="1" hidden="1">
      <c r="A723" s="370">
        <v>45570.817893518521</v>
      </c>
      <c r="B723" s="365" t="s">
        <v>2723</v>
      </c>
      <c r="C723" s="365" t="s">
        <v>2724</v>
      </c>
      <c r="D723" s="365" t="s">
        <v>2725</v>
      </c>
      <c r="E723" s="365" t="s">
        <v>2726</v>
      </c>
      <c r="F723" s="365" t="s">
        <v>2727</v>
      </c>
      <c r="G723" s="370">
        <v>45560</v>
      </c>
      <c r="H723" s="369">
        <v>15000</v>
      </c>
      <c r="I723" s="365" t="s">
        <v>2728</v>
      </c>
      <c r="J723" s="365" t="s">
        <v>1228</v>
      </c>
      <c r="K723" s="365" t="s">
        <v>1229</v>
      </c>
      <c r="L723" s="370">
        <v>45570.819895833331</v>
      </c>
    </row>
    <row r="724" spans="1:12" s="365" customFormat="1" hidden="1">
      <c r="A724" s="370">
        <v>45570.832476851851</v>
      </c>
      <c r="B724" s="365" t="s">
        <v>2678</v>
      </c>
      <c r="C724" s="365" t="s">
        <v>2679</v>
      </c>
      <c r="D724" s="365" t="s">
        <v>2680</v>
      </c>
      <c r="E724" s="365" t="s">
        <v>2681</v>
      </c>
      <c r="F724" s="365" t="s">
        <v>2682</v>
      </c>
      <c r="G724" s="370">
        <v>45560</v>
      </c>
      <c r="H724" s="369">
        <v>48000</v>
      </c>
      <c r="I724" s="365" t="s">
        <v>2683</v>
      </c>
      <c r="J724" s="365" t="s">
        <v>1228</v>
      </c>
      <c r="K724" s="365" t="s">
        <v>1229</v>
      </c>
      <c r="L724" s="370">
        <v>45570.833773148152</v>
      </c>
    </row>
    <row r="725" spans="1:12" s="365" customFormat="1" hidden="1">
      <c r="A725" s="370">
        <v>45570.867418981485</v>
      </c>
      <c r="B725" s="365" t="s">
        <v>2729</v>
      </c>
      <c r="C725" s="365" t="s">
        <v>2730</v>
      </c>
      <c r="D725" s="365" t="s">
        <v>2731</v>
      </c>
      <c r="E725" s="365" t="s">
        <v>2732</v>
      </c>
      <c r="F725" s="365" t="s">
        <v>2733</v>
      </c>
      <c r="G725" s="370">
        <v>45560</v>
      </c>
      <c r="H725" s="369">
        <v>79999</v>
      </c>
      <c r="I725" s="365" t="s">
        <v>2734</v>
      </c>
      <c r="J725" s="365" t="s">
        <v>1228</v>
      </c>
      <c r="K725" s="365" t="s">
        <v>1229</v>
      </c>
      <c r="L725" s="370">
        <v>45570.868287037039</v>
      </c>
    </row>
    <row r="726" spans="1:12" s="365" customFormat="1" hidden="1">
      <c r="A726" s="370">
        <v>45570.873726851853</v>
      </c>
      <c r="B726" s="365" t="s">
        <v>2735</v>
      </c>
      <c r="C726" s="365" t="s">
        <v>2730</v>
      </c>
      <c r="D726" s="365" t="s">
        <v>2736</v>
      </c>
      <c r="E726" s="365" t="s">
        <v>2737</v>
      </c>
      <c r="F726" s="365" t="s">
        <v>2738</v>
      </c>
      <c r="G726" s="370">
        <v>45560</v>
      </c>
      <c r="H726" s="369">
        <v>15999</v>
      </c>
      <c r="I726" s="365" t="s">
        <v>2739</v>
      </c>
      <c r="J726" s="365" t="s">
        <v>1228</v>
      </c>
      <c r="K726" s="365" t="s">
        <v>1229</v>
      </c>
      <c r="L726" s="370">
        <v>45570.875416666669</v>
      </c>
    </row>
    <row r="727" spans="1:12" s="365" customFormat="1" hidden="1">
      <c r="A727" s="370">
        <v>45570.874224537038</v>
      </c>
      <c r="B727" s="365" t="s">
        <v>2740</v>
      </c>
      <c r="C727" s="365" t="s">
        <v>2730</v>
      </c>
      <c r="D727" s="365" t="s">
        <v>2736</v>
      </c>
      <c r="E727" s="365" t="s">
        <v>2737</v>
      </c>
      <c r="F727" s="365" t="s">
        <v>2741</v>
      </c>
      <c r="G727" s="370">
        <v>45560</v>
      </c>
      <c r="H727" s="369">
        <v>15999</v>
      </c>
      <c r="I727" s="365" t="s">
        <v>2742</v>
      </c>
      <c r="J727" s="365" t="s">
        <v>1228</v>
      </c>
      <c r="K727" s="365" t="s">
        <v>1229</v>
      </c>
      <c r="L727" s="370">
        <v>45570.875601851854</v>
      </c>
    </row>
    <row r="728" spans="1:12" s="365" customFormat="1" hidden="1">
      <c r="A728" s="370">
        <v>45571.360844907409</v>
      </c>
      <c r="B728" s="365" t="s">
        <v>2743</v>
      </c>
      <c r="C728" s="365" t="s">
        <v>2744</v>
      </c>
      <c r="D728" s="365" t="s">
        <v>2745</v>
      </c>
      <c r="E728" s="365" t="s">
        <v>2746</v>
      </c>
      <c r="F728" s="365" t="s">
        <v>2747</v>
      </c>
      <c r="G728" s="370">
        <v>45560</v>
      </c>
      <c r="H728" s="369">
        <v>15000</v>
      </c>
      <c r="I728" s="365" t="s">
        <v>2748</v>
      </c>
      <c r="J728" s="365" t="s">
        <v>1228</v>
      </c>
      <c r="K728" s="365" t="s">
        <v>1229</v>
      </c>
      <c r="L728" s="370">
        <v>45571.361284722225</v>
      </c>
    </row>
    <row r="729" spans="1:12" s="365" customFormat="1" hidden="1">
      <c r="A729" s="370">
        <v>45571.445648148147</v>
      </c>
      <c r="B729" s="365" t="s">
        <v>2749</v>
      </c>
      <c r="C729" s="365" t="s">
        <v>2750</v>
      </c>
      <c r="D729" s="365" t="s">
        <v>2751</v>
      </c>
      <c r="E729" s="365" t="s">
        <v>2752</v>
      </c>
      <c r="F729" s="365" t="s">
        <v>2753</v>
      </c>
      <c r="G729" s="370">
        <v>45560</v>
      </c>
      <c r="H729" s="369">
        <v>27000</v>
      </c>
      <c r="I729" s="365" t="s">
        <v>2754</v>
      </c>
      <c r="J729" s="365" t="s">
        <v>1228</v>
      </c>
      <c r="K729" s="365" t="s">
        <v>1229</v>
      </c>
      <c r="L729" s="370">
        <v>45571.448252314818</v>
      </c>
    </row>
    <row r="730" spans="1:12" s="365" customFormat="1" hidden="1">
      <c r="A730" s="370">
        <v>45571.832546296297</v>
      </c>
      <c r="B730" s="365" t="s">
        <v>2767</v>
      </c>
      <c r="C730" s="365" t="s">
        <v>2762</v>
      </c>
      <c r="D730" s="365" t="s">
        <v>2763</v>
      </c>
      <c r="E730" s="365" t="s">
        <v>2764</v>
      </c>
      <c r="F730" s="365" t="s">
        <v>2768</v>
      </c>
      <c r="G730" s="370">
        <v>45560</v>
      </c>
      <c r="H730" s="369">
        <v>30000</v>
      </c>
      <c r="I730" s="365" t="s">
        <v>2769</v>
      </c>
      <c r="J730" s="365" t="s">
        <v>1228</v>
      </c>
      <c r="K730" s="365" t="s">
        <v>1229</v>
      </c>
      <c r="L730" s="370">
        <v>45571.833553240744</v>
      </c>
    </row>
    <row r="731" spans="1:12" s="365" customFormat="1" hidden="1">
      <c r="A731" s="370">
        <v>45571.83457175926</v>
      </c>
      <c r="B731" s="365" t="s">
        <v>2755</v>
      </c>
      <c r="C731" s="365" t="s">
        <v>2756</v>
      </c>
      <c r="D731" s="365" t="s">
        <v>2757</v>
      </c>
      <c r="E731" s="365" t="s">
        <v>2758</v>
      </c>
      <c r="F731" s="365" t="s">
        <v>2759</v>
      </c>
      <c r="G731" s="370">
        <v>45560</v>
      </c>
      <c r="H731" s="369">
        <v>14000</v>
      </c>
      <c r="I731" s="365" t="s">
        <v>2760</v>
      </c>
      <c r="J731" s="365" t="s">
        <v>1228</v>
      </c>
      <c r="K731" s="365" t="s">
        <v>1229</v>
      </c>
      <c r="L731" s="370">
        <v>45571.837118055555</v>
      </c>
    </row>
    <row r="732" spans="1:12" s="365" customFormat="1" hidden="1">
      <c r="A732" s="370">
        <v>45571.847650462965</v>
      </c>
      <c r="B732" s="365" t="s">
        <v>2770</v>
      </c>
      <c r="C732" s="365" t="s">
        <v>2771</v>
      </c>
      <c r="D732" s="365" t="s">
        <v>2772</v>
      </c>
      <c r="E732" s="365" t="s">
        <v>2773</v>
      </c>
      <c r="F732" s="365" t="s">
        <v>2774</v>
      </c>
      <c r="G732" s="370">
        <v>45560</v>
      </c>
      <c r="H732" s="369">
        <v>52000</v>
      </c>
      <c r="I732" s="365" t="s">
        <v>2775</v>
      </c>
      <c r="J732" s="365" t="s">
        <v>1228</v>
      </c>
      <c r="K732" s="365" t="s">
        <v>1229</v>
      </c>
      <c r="L732" s="370">
        <v>45571.851018518515</v>
      </c>
    </row>
    <row r="733" spans="1:12" s="365" customFormat="1" hidden="1">
      <c r="A733" s="370">
        <v>45571.849386574075</v>
      </c>
      <c r="B733" s="365" t="s">
        <v>2761</v>
      </c>
      <c r="C733" s="365" t="s">
        <v>2762</v>
      </c>
      <c r="D733" s="365" t="s">
        <v>2763</v>
      </c>
      <c r="E733" s="365" t="s">
        <v>2764</v>
      </c>
      <c r="F733" s="365" t="s">
        <v>2765</v>
      </c>
      <c r="G733" s="370">
        <v>45498</v>
      </c>
      <c r="H733" s="369">
        <v>36000</v>
      </c>
      <c r="I733" s="365" t="s">
        <v>2766</v>
      </c>
      <c r="J733" s="365" t="s">
        <v>1228</v>
      </c>
      <c r="K733" s="365" t="s">
        <v>1229</v>
      </c>
      <c r="L733" s="370">
        <v>45571.851006944446</v>
      </c>
    </row>
    <row r="734" spans="1:12" s="365" customFormat="1" hidden="1">
      <c r="A734" s="370">
        <v>45572.162627314814</v>
      </c>
      <c r="B734" s="365" t="s">
        <v>2849</v>
      </c>
      <c r="C734" s="365" t="s">
        <v>2850</v>
      </c>
      <c r="D734" s="365" t="s">
        <v>2851</v>
      </c>
      <c r="E734" s="365" t="s">
        <v>2852</v>
      </c>
      <c r="F734" s="365" t="s">
        <v>2853</v>
      </c>
      <c r="G734" s="370">
        <v>45560</v>
      </c>
      <c r="H734" s="369">
        <v>21000</v>
      </c>
      <c r="I734" s="365" t="s">
        <v>2854</v>
      </c>
      <c r="J734" s="365" t="s">
        <v>1228</v>
      </c>
      <c r="K734" s="365" t="s">
        <v>1229</v>
      </c>
      <c r="L734" s="370">
        <v>45572.16369212963</v>
      </c>
    </row>
    <row r="735" spans="1:12" s="365" customFormat="1" hidden="1">
      <c r="A735" s="370">
        <v>45572.223287037035</v>
      </c>
      <c r="B735" s="365" t="s">
        <v>2776</v>
      </c>
      <c r="C735" s="365" t="s">
        <v>2237</v>
      </c>
      <c r="D735" s="365" t="s">
        <v>2777</v>
      </c>
      <c r="E735" s="365" t="s">
        <v>2778</v>
      </c>
      <c r="F735" s="365" t="s">
        <v>2779</v>
      </c>
      <c r="G735" s="370">
        <v>45560</v>
      </c>
      <c r="H735" s="369">
        <v>20999</v>
      </c>
      <c r="I735" s="365" t="s">
        <v>2780</v>
      </c>
      <c r="J735" s="365" t="s">
        <v>1228</v>
      </c>
      <c r="K735" s="365" t="s">
        <v>1229</v>
      </c>
      <c r="L735" s="370">
        <v>45572.225972222222</v>
      </c>
    </row>
    <row r="736" spans="1:12" s="365" customFormat="1" hidden="1">
      <c r="A736" s="370">
        <v>45572.303043981483</v>
      </c>
      <c r="B736" s="365" t="s">
        <v>2781</v>
      </c>
      <c r="C736" s="365" t="s">
        <v>2782</v>
      </c>
      <c r="D736" s="365" t="s">
        <v>2783</v>
      </c>
      <c r="E736" s="365" t="s">
        <v>2784</v>
      </c>
      <c r="F736" s="365" t="s">
        <v>2785</v>
      </c>
      <c r="G736" s="370">
        <v>45560</v>
      </c>
      <c r="H736" s="369">
        <v>18000</v>
      </c>
      <c r="I736" s="365" t="s">
        <v>2786</v>
      </c>
      <c r="J736" s="365" t="s">
        <v>1228</v>
      </c>
      <c r="K736" s="365" t="s">
        <v>1229</v>
      </c>
      <c r="L736" s="370">
        <v>45572.306041666663</v>
      </c>
    </row>
    <row r="737" spans="1:12" s="365" customFormat="1" hidden="1">
      <c r="A737" s="370">
        <v>45572.305219907408</v>
      </c>
      <c r="B737" s="365" t="s">
        <v>2787</v>
      </c>
      <c r="C737" s="365" t="s">
        <v>2788</v>
      </c>
      <c r="D737" s="365" t="s">
        <v>2789</v>
      </c>
      <c r="E737" s="365" t="s">
        <v>2790</v>
      </c>
      <c r="F737" s="365" t="s">
        <v>2791</v>
      </c>
      <c r="G737" s="370">
        <v>45560</v>
      </c>
      <c r="H737" s="369">
        <v>36000</v>
      </c>
      <c r="I737" s="365" t="s">
        <v>2792</v>
      </c>
      <c r="J737" s="365" t="s">
        <v>1228</v>
      </c>
      <c r="K737" s="365" t="s">
        <v>1229</v>
      </c>
      <c r="L737" s="370">
        <v>45572.30605324074</v>
      </c>
    </row>
    <row r="738" spans="1:12" s="365" customFormat="1" hidden="1">
      <c r="A738" s="370">
        <v>45572.344236111108</v>
      </c>
      <c r="B738" s="365" t="s">
        <v>2855</v>
      </c>
      <c r="C738" s="365" t="s">
        <v>1608</v>
      </c>
      <c r="D738" s="365" t="s">
        <v>1609</v>
      </c>
      <c r="E738" s="365" t="s">
        <v>1610</v>
      </c>
      <c r="F738" s="365" t="s">
        <v>2856</v>
      </c>
      <c r="G738" s="370">
        <v>45560</v>
      </c>
      <c r="H738" s="369">
        <v>24000</v>
      </c>
      <c r="I738" s="365" t="s">
        <v>2857</v>
      </c>
      <c r="J738" s="365" t="s">
        <v>1228</v>
      </c>
      <c r="K738" s="365" t="s">
        <v>1229</v>
      </c>
      <c r="L738" s="370">
        <v>45572.347500000003</v>
      </c>
    </row>
    <row r="739" spans="1:12" s="365" customFormat="1" hidden="1">
      <c r="A739" s="370">
        <v>45572.374374999999</v>
      </c>
      <c r="B739" s="365" t="s">
        <v>2858</v>
      </c>
      <c r="C739" s="365" t="s">
        <v>2859</v>
      </c>
      <c r="D739" s="365" t="s">
        <v>2860</v>
      </c>
      <c r="E739" s="365" t="s">
        <v>2861</v>
      </c>
      <c r="F739" s="365" t="s">
        <v>2862</v>
      </c>
      <c r="G739" s="370">
        <v>45560</v>
      </c>
      <c r="H739" s="369">
        <v>24000</v>
      </c>
      <c r="I739" s="365" t="s">
        <v>2863</v>
      </c>
      <c r="J739" s="365" t="s">
        <v>1228</v>
      </c>
      <c r="K739" s="365" t="s">
        <v>1229</v>
      </c>
      <c r="L739" s="370">
        <v>45572.375439814816</v>
      </c>
    </row>
    <row r="740" spans="1:12" s="365" customFormat="1" hidden="1">
      <c r="A740" s="370">
        <v>45572.41033564815</v>
      </c>
      <c r="B740" s="365" t="s">
        <v>2793</v>
      </c>
      <c r="C740" s="365" t="s">
        <v>2794</v>
      </c>
      <c r="D740" s="365" t="s">
        <v>2795</v>
      </c>
      <c r="E740" s="365" t="s">
        <v>2796</v>
      </c>
      <c r="F740" s="365" t="s">
        <v>2797</v>
      </c>
      <c r="G740" s="370">
        <v>45560</v>
      </c>
      <c r="H740" s="369">
        <v>24000</v>
      </c>
      <c r="I740" s="365" t="s">
        <v>2798</v>
      </c>
      <c r="J740" s="365" t="s">
        <v>1228</v>
      </c>
      <c r="K740" s="365" t="s">
        <v>1229</v>
      </c>
      <c r="L740" s="370">
        <v>45572.413530092592</v>
      </c>
    </row>
    <row r="741" spans="1:12" s="365" customFormat="1" hidden="1">
      <c r="A741" s="370">
        <v>45572.448020833333</v>
      </c>
      <c r="B741" s="365" t="s">
        <v>2825</v>
      </c>
      <c r="C741" s="365" t="s">
        <v>2826</v>
      </c>
      <c r="D741" s="365" t="s">
        <v>2827</v>
      </c>
      <c r="E741" s="365" t="s">
        <v>2828</v>
      </c>
      <c r="F741" s="365" t="s">
        <v>2829</v>
      </c>
      <c r="G741" s="370">
        <v>45560</v>
      </c>
      <c r="H741" s="369">
        <v>33500</v>
      </c>
      <c r="I741" s="365" t="s">
        <v>2830</v>
      </c>
      <c r="J741" s="365" t="s">
        <v>1228</v>
      </c>
      <c r="K741" s="365" t="s">
        <v>1229</v>
      </c>
      <c r="L741" s="370">
        <v>45572.44840277778</v>
      </c>
    </row>
    <row r="742" spans="1:12" s="365" customFormat="1" hidden="1">
      <c r="A742" s="370">
        <v>45572.491215277776</v>
      </c>
      <c r="B742" s="365" t="s">
        <v>2864</v>
      </c>
      <c r="C742" s="365" t="s">
        <v>2865</v>
      </c>
      <c r="D742" s="365" t="s">
        <v>2866</v>
      </c>
      <c r="E742" s="365" t="s">
        <v>2867</v>
      </c>
      <c r="F742" s="365" t="s">
        <v>2868</v>
      </c>
      <c r="G742" s="370">
        <v>45560</v>
      </c>
      <c r="H742" s="369">
        <v>31000</v>
      </c>
      <c r="I742" s="365" t="s">
        <v>2869</v>
      </c>
      <c r="J742" s="365" t="s">
        <v>1228</v>
      </c>
      <c r="K742" s="365" t="s">
        <v>1229</v>
      </c>
      <c r="L742" s="370">
        <v>45572.493333333332</v>
      </c>
    </row>
    <row r="743" spans="1:12" s="365" customFormat="1" hidden="1">
      <c r="A743" s="370">
        <v>45572.509918981479</v>
      </c>
      <c r="B743" s="365" t="s">
        <v>2831</v>
      </c>
      <c r="C743" s="365" t="s">
        <v>2832</v>
      </c>
      <c r="D743" s="365" t="s">
        <v>2833</v>
      </c>
      <c r="E743" s="365" t="s">
        <v>2834</v>
      </c>
      <c r="F743" s="365" t="s">
        <v>2835</v>
      </c>
      <c r="G743" s="370">
        <v>45560</v>
      </c>
      <c r="H743" s="369">
        <v>65900</v>
      </c>
      <c r="I743" s="365" t="s">
        <v>2836</v>
      </c>
      <c r="J743" s="365" t="s">
        <v>1228</v>
      </c>
      <c r="K743" s="365" t="s">
        <v>1229</v>
      </c>
      <c r="L743" s="370">
        <v>45572.510821759257</v>
      </c>
    </row>
    <row r="744" spans="1:12" s="365" customFormat="1" hidden="1">
      <c r="A744" s="370">
        <v>45572.543877314813</v>
      </c>
      <c r="B744" s="365" t="s">
        <v>2837</v>
      </c>
      <c r="C744" s="365" t="s">
        <v>2838</v>
      </c>
      <c r="D744" s="365" t="s">
        <v>2839</v>
      </c>
      <c r="E744" s="365" t="s">
        <v>2840</v>
      </c>
      <c r="F744" s="365" t="s">
        <v>2841</v>
      </c>
      <c r="G744" s="370">
        <v>45560</v>
      </c>
      <c r="H744" s="369">
        <v>27000</v>
      </c>
      <c r="I744" s="365" t="s">
        <v>2842</v>
      </c>
      <c r="J744" s="365" t="s">
        <v>1228</v>
      </c>
      <c r="K744" s="365" t="s">
        <v>1229</v>
      </c>
      <c r="L744" s="370">
        <v>45572.545335648145</v>
      </c>
    </row>
    <row r="745" spans="1:12" s="365" customFormat="1" hidden="1">
      <c r="A745" s="370">
        <v>45572.606678240743</v>
      </c>
      <c r="B745" s="365" t="s">
        <v>2843</v>
      </c>
      <c r="C745" s="365" t="s">
        <v>2844</v>
      </c>
      <c r="D745" s="365" t="s">
        <v>2845</v>
      </c>
      <c r="E745" s="365" t="s">
        <v>2846</v>
      </c>
      <c r="F745" s="365" t="s">
        <v>2847</v>
      </c>
      <c r="G745" s="370">
        <v>45560</v>
      </c>
      <c r="H745" s="369">
        <v>27000</v>
      </c>
      <c r="I745" s="365" t="s">
        <v>2848</v>
      </c>
      <c r="J745" s="365" t="s">
        <v>1228</v>
      </c>
      <c r="K745" s="365" t="s">
        <v>1229</v>
      </c>
      <c r="L745" s="370">
        <v>45572.607986111114</v>
      </c>
    </row>
    <row r="746" spans="1:12" s="365" customFormat="1" hidden="1">
      <c r="A746" s="370">
        <v>45572.675833333335</v>
      </c>
      <c r="B746" s="365" t="s">
        <v>2799</v>
      </c>
      <c r="C746" s="365" t="s">
        <v>2800</v>
      </c>
      <c r="D746" s="365" t="s">
        <v>2801</v>
      </c>
      <c r="E746" s="365" t="s">
        <v>2802</v>
      </c>
      <c r="F746" s="365" t="s">
        <v>2803</v>
      </c>
      <c r="G746" s="370">
        <v>45560</v>
      </c>
      <c r="H746" s="369">
        <v>27000</v>
      </c>
      <c r="I746" s="365" t="s">
        <v>2804</v>
      </c>
      <c r="J746" s="365" t="s">
        <v>1228</v>
      </c>
      <c r="K746" s="365" t="s">
        <v>1229</v>
      </c>
      <c r="L746" s="370">
        <v>45572.677407407406</v>
      </c>
    </row>
    <row r="747" spans="1:12" s="365" customFormat="1" hidden="1">
      <c r="A747" s="370">
        <v>45572.67627314815</v>
      </c>
      <c r="B747" s="365" t="s">
        <v>2870</v>
      </c>
      <c r="C747" s="365" t="s">
        <v>2800</v>
      </c>
      <c r="D747" s="365" t="s">
        <v>2871</v>
      </c>
      <c r="E747" s="365" t="s">
        <v>2872</v>
      </c>
      <c r="F747" s="365" t="s">
        <v>2873</v>
      </c>
      <c r="G747" s="370">
        <v>45560</v>
      </c>
      <c r="H747" s="369">
        <v>45000</v>
      </c>
      <c r="I747" s="365" t="s">
        <v>2874</v>
      </c>
      <c r="J747" s="365" t="s">
        <v>1228</v>
      </c>
      <c r="K747" s="365" t="s">
        <v>1229</v>
      </c>
      <c r="L747" s="370">
        <v>45572.677777777775</v>
      </c>
    </row>
    <row r="748" spans="1:12" s="365" customFormat="1" hidden="1">
      <c r="A748" s="370">
        <v>45572.676828703705</v>
      </c>
      <c r="B748" s="365" t="s">
        <v>2805</v>
      </c>
      <c r="C748" s="365" t="s">
        <v>2800</v>
      </c>
      <c r="D748" s="365" t="s">
        <v>2806</v>
      </c>
      <c r="E748" s="365" t="s">
        <v>2807</v>
      </c>
      <c r="F748" s="365" t="s">
        <v>2808</v>
      </c>
      <c r="G748" s="370">
        <v>45560</v>
      </c>
      <c r="H748" s="369">
        <v>18000</v>
      </c>
      <c r="I748" s="365" t="s">
        <v>2809</v>
      </c>
      <c r="J748" s="365" t="s">
        <v>1228</v>
      </c>
      <c r="K748" s="365" t="s">
        <v>1229</v>
      </c>
      <c r="L748" s="370">
        <v>45572.67759259259</v>
      </c>
    </row>
    <row r="749" spans="1:12" s="365" customFormat="1" hidden="1">
      <c r="A749" s="370">
        <v>45572.679456018515</v>
      </c>
      <c r="B749" s="365" t="s">
        <v>2875</v>
      </c>
      <c r="C749" s="365" t="s">
        <v>2876</v>
      </c>
      <c r="D749" s="365" t="s">
        <v>2877</v>
      </c>
      <c r="E749" s="365" t="s">
        <v>2878</v>
      </c>
      <c r="F749" s="365" t="s">
        <v>2879</v>
      </c>
      <c r="G749" s="370">
        <v>45560</v>
      </c>
      <c r="H749" s="369">
        <v>57500</v>
      </c>
      <c r="I749" s="365" t="s">
        <v>2880</v>
      </c>
      <c r="J749" s="365" t="s">
        <v>1228</v>
      </c>
      <c r="K749" s="365" t="s">
        <v>1229</v>
      </c>
      <c r="L749" s="370">
        <v>45572.681631944448</v>
      </c>
    </row>
    <row r="750" spans="1:12" s="365" customFormat="1" hidden="1">
      <c r="A750" s="370">
        <v>45572.70821759259</v>
      </c>
      <c r="B750" s="365" t="s">
        <v>2810</v>
      </c>
      <c r="C750" s="365" t="s">
        <v>2811</v>
      </c>
      <c r="D750" s="365" t="s">
        <v>2812</v>
      </c>
      <c r="E750" s="365" t="s">
        <v>2813</v>
      </c>
      <c r="F750" s="365" t="s">
        <v>2814</v>
      </c>
      <c r="G750" s="370">
        <v>45560</v>
      </c>
      <c r="H750" s="369">
        <v>48200</v>
      </c>
      <c r="I750" s="365" t="s">
        <v>2815</v>
      </c>
      <c r="J750" s="365" t="s">
        <v>1228</v>
      </c>
      <c r="K750" s="365" t="s">
        <v>1229</v>
      </c>
      <c r="L750" s="370">
        <v>45572.709236111114</v>
      </c>
    </row>
    <row r="751" spans="1:12" s="365" customFormat="1" hidden="1">
      <c r="A751" s="370">
        <v>45572.802604166667</v>
      </c>
      <c r="B751" s="365" t="s">
        <v>2816</v>
      </c>
      <c r="C751" s="365" t="s">
        <v>1317</v>
      </c>
      <c r="D751" s="365" t="s">
        <v>1611</v>
      </c>
      <c r="E751" s="365" t="s">
        <v>1612</v>
      </c>
      <c r="F751" s="365" t="s">
        <v>2817</v>
      </c>
      <c r="G751" s="370">
        <v>45560</v>
      </c>
      <c r="H751" s="369">
        <v>20999</v>
      </c>
      <c r="I751" s="365" t="s">
        <v>2818</v>
      </c>
      <c r="J751" s="365" t="s">
        <v>1228</v>
      </c>
      <c r="K751" s="365" t="s">
        <v>1229</v>
      </c>
      <c r="L751" s="370">
        <v>45572.80300925926</v>
      </c>
    </row>
    <row r="752" spans="1:12" s="365" customFormat="1" hidden="1">
      <c r="A752" s="370">
        <v>45572.804745370369</v>
      </c>
      <c r="B752" s="365" t="s">
        <v>2881</v>
      </c>
      <c r="C752" s="365" t="s">
        <v>1317</v>
      </c>
      <c r="D752" s="365" t="s">
        <v>2882</v>
      </c>
      <c r="E752" s="365" t="s">
        <v>2883</v>
      </c>
      <c r="F752" s="365" t="s">
        <v>2884</v>
      </c>
      <c r="G752" s="370">
        <v>45560</v>
      </c>
      <c r="H752" s="369">
        <v>44399</v>
      </c>
      <c r="I752" s="365" t="s">
        <v>2885</v>
      </c>
      <c r="J752" s="365" t="s">
        <v>1228</v>
      </c>
      <c r="K752" s="365" t="s">
        <v>1229</v>
      </c>
      <c r="L752" s="370">
        <v>45572.806400462963</v>
      </c>
    </row>
    <row r="753" spans="1:12" s="365" customFormat="1" hidden="1">
      <c r="A753" s="370">
        <v>45572.906840277778</v>
      </c>
      <c r="B753" s="365" t="s">
        <v>2819</v>
      </c>
      <c r="C753" s="365" t="s">
        <v>2820</v>
      </c>
      <c r="D753" s="365" t="s">
        <v>2821</v>
      </c>
      <c r="E753" s="365" t="s">
        <v>2822</v>
      </c>
      <c r="F753" s="365" t="s">
        <v>2823</v>
      </c>
      <c r="G753" s="370">
        <v>45560</v>
      </c>
      <c r="H753" s="369">
        <v>30000</v>
      </c>
      <c r="I753" s="365" t="s">
        <v>2824</v>
      </c>
      <c r="J753" s="365" t="s">
        <v>1228</v>
      </c>
      <c r="K753" s="365" t="s">
        <v>1229</v>
      </c>
      <c r="L753" s="370">
        <v>45572.907083333332</v>
      </c>
    </row>
    <row r="754" spans="1:12" s="365" customFormat="1" hidden="1">
      <c r="A754" s="370">
        <v>45573.22210648148</v>
      </c>
      <c r="B754" s="365" t="s">
        <v>2886</v>
      </c>
      <c r="C754" s="365" t="s">
        <v>2887</v>
      </c>
      <c r="D754" s="365" t="s">
        <v>2888</v>
      </c>
      <c r="E754" s="365" t="s">
        <v>2889</v>
      </c>
      <c r="F754" s="365" t="s">
        <v>2890</v>
      </c>
      <c r="G754" s="370">
        <v>45560</v>
      </c>
      <c r="H754" s="369">
        <v>27000</v>
      </c>
      <c r="I754" s="365" t="s">
        <v>2891</v>
      </c>
      <c r="J754" s="365" t="s">
        <v>1228</v>
      </c>
      <c r="K754" s="365" t="s">
        <v>1229</v>
      </c>
      <c r="L754" s="370">
        <v>45573.222743055558</v>
      </c>
    </row>
    <row r="755" spans="1:12" s="365" customFormat="1" hidden="1">
      <c r="A755" s="370">
        <v>45573.396747685183</v>
      </c>
      <c r="B755" s="365" t="s">
        <v>2927</v>
      </c>
      <c r="C755" s="365" t="s">
        <v>2928</v>
      </c>
      <c r="D755" s="365" t="s">
        <v>2929</v>
      </c>
      <c r="E755" s="365" t="s">
        <v>2930</v>
      </c>
      <c r="F755" s="365" t="s">
        <v>2931</v>
      </c>
      <c r="G755" s="370">
        <v>45560</v>
      </c>
      <c r="H755" s="369">
        <v>27000</v>
      </c>
      <c r="I755" s="365" t="s">
        <v>2932</v>
      </c>
      <c r="J755" s="365" t="s">
        <v>1228</v>
      </c>
      <c r="K755" s="365" t="s">
        <v>1229</v>
      </c>
      <c r="L755" s="370">
        <v>45573.399675925924</v>
      </c>
    </row>
    <row r="756" spans="1:12" s="365" customFormat="1" hidden="1">
      <c r="A756" s="370">
        <v>45573.414525462962</v>
      </c>
      <c r="B756" s="365" t="s">
        <v>2892</v>
      </c>
      <c r="C756" s="365" t="s">
        <v>2893</v>
      </c>
      <c r="D756" s="365" t="s">
        <v>2894</v>
      </c>
      <c r="E756" s="365" t="s">
        <v>2895</v>
      </c>
      <c r="F756" s="365" t="s">
        <v>2896</v>
      </c>
      <c r="G756" s="370">
        <v>45560</v>
      </c>
      <c r="H756" s="369">
        <v>25000</v>
      </c>
      <c r="I756" s="365" t="s">
        <v>2897</v>
      </c>
      <c r="J756" s="365" t="s">
        <v>1228</v>
      </c>
      <c r="K756" s="365" t="s">
        <v>1229</v>
      </c>
      <c r="L756" s="370">
        <v>45573.417141203703</v>
      </c>
    </row>
    <row r="757" spans="1:12" s="365" customFormat="1" hidden="1">
      <c r="A757" s="370">
        <v>45573.419548611113</v>
      </c>
      <c r="B757" s="365" t="s">
        <v>2933</v>
      </c>
      <c r="C757" s="365" t="s">
        <v>2934</v>
      </c>
      <c r="D757" s="365" t="s">
        <v>2935</v>
      </c>
      <c r="E757" s="365" t="s">
        <v>2936</v>
      </c>
      <c r="F757" s="365" t="s">
        <v>2937</v>
      </c>
      <c r="G757" s="370">
        <v>45560</v>
      </c>
      <c r="H757" s="369">
        <v>15000</v>
      </c>
      <c r="I757" s="365" t="s">
        <v>2938</v>
      </c>
      <c r="J757" s="365" t="s">
        <v>1228</v>
      </c>
      <c r="K757" s="365" t="s">
        <v>1229</v>
      </c>
      <c r="L757" s="370">
        <v>45573.420520833337</v>
      </c>
    </row>
    <row r="758" spans="1:12" s="365" customFormat="1" hidden="1">
      <c r="A758" s="370">
        <v>45573.469768518517</v>
      </c>
      <c r="B758" s="365" t="s">
        <v>2939</v>
      </c>
      <c r="C758" s="365" t="s">
        <v>2940</v>
      </c>
      <c r="D758" s="365" t="s">
        <v>2941</v>
      </c>
      <c r="E758" s="365" t="s">
        <v>2942</v>
      </c>
      <c r="F758" s="365" t="s">
        <v>2943</v>
      </c>
      <c r="G758" s="370">
        <v>45560</v>
      </c>
      <c r="H758" s="369">
        <v>15999</v>
      </c>
      <c r="I758" s="365" t="s">
        <v>2944</v>
      </c>
      <c r="J758" s="365" t="s">
        <v>1228</v>
      </c>
      <c r="K758" s="365" t="s">
        <v>1229</v>
      </c>
      <c r="L758" s="370">
        <v>45573.472696759258</v>
      </c>
    </row>
    <row r="759" spans="1:12" s="365" customFormat="1" hidden="1">
      <c r="A759" s="370">
        <v>45573.473715277774</v>
      </c>
      <c r="B759" s="365" t="s">
        <v>2921</v>
      </c>
      <c r="C759" s="365" t="s">
        <v>2922</v>
      </c>
      <c r="D759" s="365" t="s">
        <v>2923</v>
      </c>
      <c r="E759" s="365" t="s">
        <v>2924</v>
      </c>
      <c r="F759" s="365" t="s">
        <v>2925</v>
      </c>
      <c r="G759" s="370">
        <v>45560</v>
      </c>
      <c r="H759" s="369">
        <v>12000</v>
      </c>
      <c r="I759" s="365" t="s">
        <v>2926</v>
      </c>
      <c r="J759" s="365" t="s">
        <v>1228</v>
      </c>
      <c r="K759" s="365" t="s">
        <v>1229</v>
      </c>
      <c r="L759" s="370">
        <v>45573.475914351853</v>
      </c>
    </row>
    <row r="760" spans="1:12" s="365" customFormat="1" hidden="1">
      <c r="A760" s="370">
        <v>45573.498842592591</v>
      </c>
      <c r="B760" s="365" t="s">
        <v>2945</v>
      </c>
      <c r="C760" s="365" t="s">
        <v>2946</v>
      </c>
      <c r="D760" s="365" t="s">
        <v>2947</v>
      </c>
      <c r="E760" s="365" t="s">
        <v>2948</v>
      </c>
      <c r="F760" s="365" t="s">
        <v>2949</v>
      </c>
      <c r="G760" s="370">
        <v>45560</v>
      </c>
      <c r="H760" s="369">
        <v>82000</v>
      </c>
      <c r="I760" s="365" t="s">
        <v>2950</v>
      </c>
      <c r="J760" s="365" t="s">
        <v>1228</v>
      </c>
      <c r="K760" s="365" t="s">
        <v>1229</v>
      </c>
      <c r="L760" s="370">
        <v>45573.500462962962</v>
      </c>
    </row>
    <row r="761" spans="1:12" s="365" customFormat="1" hidden="1">
      <c r="A761" s="370">
        <v>45573.541250000002</v>
      </c>
      <c r="B761" s="365" t="s">
        <v>2951</v>
      </c>
      <c r="C761" s="365" t="s">
        <v>2952</v>
      </c>
      <c r="D761" s="365" t="s">
        <v>2953</v>
      </c>
      <c r="E761" s="365" t="s">
        <v>2954</v>
      </c>
      <c r="F761" s="365" t="s">
        <v>2955</v>
      </c>
      <c r="G761" s="370">
        <v>45560</v>
      </c>
      <c r="H761" s="369">
        <v>9000</v>
      </c>
      <c r="I761" s="365" t="s">
        <v>2956</v>
      </c>
      <c r="J761" s="365" t="s">
        <v>1228</v>
      </c>
      <c r="K761" s="365" t="s">
        <v>1229</v>
      </c>
      <c r="L761" s="370">
        <v>45573.542141203703</v>
      </c>
    </row>
    <row r="762" spans="1:12" s="365" customFormat="1" hidden="1">
      <c r="A762" s="370">
        <v>45573.569606481484</v>
      </c>
      <c r="B762" s="365" t="s">
        <v>2957</v>
      </c>
      <c r="C762" s="365" t="s">
        <v>2958</v>
      </c>
      <c r="D762" s="365" t="s">
        <v>2959</v>
      </c>
      <c r="E762" s="365" t="s">
        <v>2960</v>
      </c>
      <c r="F762" s="365" t="s">
        <v>2961</v>
      </c>
      <c r="G762" s="370">
        <v>45560</v>
      </c>
      <c r="H762" s="369">
        <v>83999</v>
      </c>
      <c r="I762" s="365" t="s">
        <v>2962</v>
      </c>
      <c r="J762" s="365" t="s">
        <v>1228</v>
      </c>
      <c r="K762" s="365" t="s">
        <v>1229</v>
      </c>
      <c r="L762" s="370">
        <v>45573.569895833331</v>
      </c>
    </row>
    <row r="763" spans="1:12" s="365" customFormat="1" hidden="1">
      <c r="A763" s="370">
        <v>45573.594733796293</v>
      </c>
      <c r="B763" s="365" t="s">
        <v>2963</v>
      </c>
      <c r="C763" s="365" t="s">
        <v>1678</v>
      </c>
      <c r="D763" s="365" t="s">
        <v>2964</v>
      </c>
      <c r="E763" s="365" t="s">
        <v>2965</v>
      </c>
      <c r="F763" s="365" t="s">
        <v>2966</v>
      </c>
      <c r="G763" s="370">
        <v>45560</v>
      </c>
      <c r="H763" s="369">
        <v>31999</v>
      </c>
      <c r="I763" s="365" t="s">
        <v>2967</v>
      </c>
      <c r="J763" s="365" t="s">
        <v>1228</v>
      </c>
      <c r="K763" s="365" t="s">
        <v>1229</v>
      </c>
      <c r="L763" s="370">
        <v>45573.597650462965</v>
      </c>
    </row>
    <row r="764" spans="1:12" s="365" customFormat="1" hidden="1">
      <c r="A764" s="370">
        <v>45573.619039351855</v>
      </c>
      <c r="B764" s="365" t="s">
        <v>2898</v>
      </c>
      <c r="C764" s="365" t="s">
        <v>2899</v>
      </c>
      <c r="D764" s="365" t="s">
        <v>2900</v>
      </c>
      <c r="E764" s="365" t="s">
        <v>2901</v>
      </c>
      <c r="F764" s="365" t="s">
        <v>2902</v>
      </c>
      <c r="G764" s="370">
        <v>45560</v>
      </c>
      <c r="H764" s="369">
        <v>8000</v>
      </c>
      <c r="I764" s="365" t="s">
        <v>2903</v>
      </c>
      <c r="J764" s="365" t="s">
        <v>1228</v>
      </c>
      <c r="K764" s="365" t="s">
        <v>1229</v>
      </c>
      <c r="L764" s="370">
        <v>45573.621863425928</v>
      </c>
    </row>
    <row r="765" spans="1:12" s="365" customFormat="1" hidden="1">
      <c r="A765" s="370">
        <v>45573.706493055557</v>
      </c>
      <c r="B765" s="365" t="s">
        <v>2904</v>
      </c>
      <c r="C765" s="365" t="s">
        <v>2905</v>
      </c>
      <c r="D765" s="365" t="s">
        <v>2906</v>
      </c>
      <c r="E765" s="365" t="s">
        <v>2907</v>
      </c>
      <c r="F765" s="365" t="s">
        <v>2908</v>
      </c>
      <c r="G765" s="370">
        <v>45560</v>
      </c>
      <c r="H765" s="369">
        <v>15999</v>
      </c>
      <c r="I765" s="365" t="s">
        <v>2909</v>
      </c>
      <c r="J765" s="365" t="s">
        <v>1228</v>
      </c>
      <c r="K765" s="365" t="s">
        <v>1229</v>
      </c>
      <c r="L765" s="370">
        <v>45573.708703703705</v>
      </c>
    </row>
    <row r="766" spans="1:12" s="365" customFormat="1" hidden="1">
      <c r="A766" s="370">
        <v>45573.761550925927</v>
      </c>
      <c r="B766" s="365" t="s">
        <v>2910</v>
      </c>
      <c r="C766" s="365" t="s">
        <v>2911</v>
      </c>
      <c r="D766" s="365" t="s">
        <v>2912</v>
      </c>
      <c r="E766" s="365" t="s">
        <v>2913</v>
      </c>
      <c r="F766" s="365" t="s">
        <v>2914</v>
      </c>
      <c r="G766" s="370">
        <v>45560</v>
      </c>
      <c r="H766" s="369">
        <v>597000</v>
      </c>
      <c r="I766" s="365" t="s">
        <v>2915</v>
      </c>
      <c r="J766" s="365" t="s">
        <v>1228</v>
      </c>
      <c r="K766" s="365" t="s">
        <v>1229</v>
      </c>
      <c r="L766" s="370">
        <v>45573.764062499999</v>
      </c>
    </row>
    <row r="767" spans="1:12" s="365" customFormat="1" hidden="1">
      <c r="A767" s="370">
        <v>45573.886331018519</v>
      </c>
      <c r="B767" s="365" t="s">
        <v>2916</v>
      </c>
      <c r="C767" s="365" t="s">
        <v>2339</v>
      </c>
      <c r="D767" s="365" t="s">
        <v>2917</v>
      </c>
      <c r="E767" s="365" t="s">
        <v>2918</v>
      </c>
      <c r="F767" s="365" t="s">
        <v>2919</v>
      </c>
      <c r="G767" s="370">
        <v>45560</v>
      </c>
      <c r="H767" s="369">
        <v>15999</v>
      </c>
      <c r="I767" s="365" t="s">
        <v>2920</v>
      </c>
      <c r="J767" s="365" t="s">
        <v>1228</v>
      </c>
      <c r="K767" s="365" t="s">
        <v>1229</v>
      </c>
      <c r="L767" s="370">
        <v>45573.889143518521</v>
      </c>
    </row>
    <row r="768" spans="1:12" s="365" customFormat="1" hidden="1">
      <c r="A768" s="370">
        <v>45573.886967592596</v>
      </c>
      <c r="B768" s="365" t="s">
        <v>2968</v>
      </c>
      <c r="C768" s="365" t="s">
        <v>2969</v>
      </c>
      <c r="D768" s="365" t="s">
        <v>2970</v>
      </c>
      <c r="E768" s="365" t="s">
        <v>2971</v>
      </c>
      <c r="F768" s="365" t="s">
        <v>2972</v>
      </c>
      <c r="G768" s="370">
        <v>45560</v>
      </c>
      <c r="H768" s="369">
        <v>41000</v>
      </c>
      <c r="I768" s="365" t="s">
        <v>2973</v>
      </c>
      <c r="J768" s="365" t="s">
        <v>1228</v>
      </c>
      <c r="K768" s="365" t="s">
        <v>1229</v>
      </c>
      <c r="L768" s="370">
        <v>45573.889328703706</v>
      </c>
    </row>
    <row r="769" spans="1:12" s="365" customFormat="1" hidden="1">
      <c r="A769" s="370">
        <v>45574.371365740742</v>
      </c>
      <c r="B769" s="365" t="s">
        <v>2998</v>
      </c>
      <c r="C769" s="365" t="s">
        <v>2999</v>
      </c>
      <c r="D769" s="365" t="s">
        <v>3000</v>
      </c>
      <c r="E769" s="365" t="s">
        <v>3001</v>
      </c>
      <c r="F769" s="365" t="s">
        <v>3002</v>
      </c>
      <c r="G769" s="370">
        <v>45560</v>
      </c>
      <c r="H769" s="369">
        <v>40000</v>
      </c>
      <c r="I769" s="365" t="s">
        <v>3003</v>
      </c>
      <c r="J769" s="365" t="s">
        <v>1228</v>
      </c>
      <c r="K769" s="365" t="s">
        <v>1229</v>
      </c>
      <c r="L769" s="370">
        <v>45574.371944444443</v>
      </c>
    </row>
    <row r="770" spans="1:12" s="365" customFormat="1" hidden="1">
      <c r="A770" s="370">
        <v>45574.383159722223</v>
      </c>
      <c r="B770" s="365" t="s">
        <v>2974</v>
      </c>
      <c r="C770" s="365" t="s">
        <v>2975</v>
      </c>
      <c r="D770" s="365" t="s">
        <v>2976</v>
      </c>
      <c r="E770" s="365" t="s">
        <v>2977</v>
      </c>
      <c r="F770" s="365" t="s">
        <v>2978</v>
      </c>
      <c r="G770" s="370">
        <v>45560</v>
      </c>
      <c r="H770" s="369">
        <v>27000</v>
      </c>
      <c r="I770" s="365" t="s">
        <v>2979</v>
      </c>
      <c r="J770" s="365" t="s">
        <v>1228</v>
      </c>
      <c r="K770" s="365" t="s">
        <v>1229</v>
      </c>
      <c r="L770" s="370">
        <v>45574.385821759257</v>
      </c>
    </row>
    <row r="771" spans="1:12" s="365" customFormat="1" hidden="1">
      <c r="A771" s="370">
        <v>45574.514618055553</v>
      </c>
      <c r="B771" s="365" t="s">
        <v>3004</v>
      </c>
      <c r="C771" s="365" t="s">
        <v>3005</v>
      </c>
      <c r="D771" s="365" t="s">
        <v>3006</v>
      </c>
      <c r="E771" s="365" t="s">
        <v>3007</v>
      </c>
      <c r="F771" s="365" t="s">
        <v>3008</v>
      </c>
      <c r="G771" s="370">
        <v>45560</v>
      </c>
      <c r="H771" s="369">
        <v>15999</v>
      </c>
      <c r="I771" s="365" t="s">
        <v>3009</v>
      </c>
      <c r="J771" s="365" t="s">
        <v>1228</v>
      </c>
      <c r="K771" s="365" t="s">
        <v>1229</v>
      </c>
      <c r="L771" s="370">
        <v>45574.517905092594</v>
      </c>
    </row>
    <row r="772" spans="1:12" s="365" customFormat="1" hidden="1">
      <c r="A772" s="370">
        <v>45574.654293981483</v>
      </c>
      <c r="B772" s="365" t="s">
        <v>2980</v>
      </c>
      <c r="C772" s="365" t="s">
        <v>2981</v>
      </c>
      <c r="D772" s="365" t="s">
        <v>2982</v>
      </c>
      <c r="E772" s="365" t="s">
        <v>2983</v>
      </c>
      <c r="F772" s="365" t="s">
        <v>2984</v>
      </c>
      <c r="G772" s="370">
        <v>45560</v>
      </c>
      <c r="H772" s="369">
        <v>60001</v>
      </c>
      <c r="I772" s="365" t="s">
        <v>2985</v>
      </c>
      <c r="J772" s="365" t="s">
        <v>1228</v>
      </c>
      <c r="K772" s="365" t="s">
        <v>1229</v>
      </c>
      <c r="L772" s="370">
        <v>45574.656712962962</v>
      </c>
    </row>
    <row r="773" spans="1:12" s="365" customFormat="1" hidden="1">
      <c r="A773" s="370">
        <v>45574.6875462963</v>
      </c>
      <c r="B773" s="365" t="s">
        <v>3010</v>
      </c>
      <c r="C773" s="365" t="s">
        <v>2987</v>
      </c>
      <c r="D773" s="365" t="s">
        <v>2988</v>
      </c>
      <c r="E773" s="365" t="s">
        <v>2989</v>
      </c>
      <c r="F773" s="365" t="s">
        <v>3011</v>
      </c>
      <c r="G773" s="370">
        <v>45560</v>
      </c>
      <c r="H773" s="369">
        <v>12000</v>
      </c>
      <c r="I773" s="365" t="s">
        <v>3012</v>
      </c>
      <c r="J773" s="365" t="s">
        <v>1228</v>
      </c>
      <c r="K773" s="365" t="s">
        <v>1229</v>
      </c>
      <c r="L773" s="370">
        <v>45574.688032407408</v>
      </c>
    </row>
    <row r="774" spans="1:12" s="365" customFormat="1" hidden="1">
      <c r="A774" s="370">
        <v>45574.689282407409</v>
      </c>
      <c r="B774" s="365" t="s">
        <v>2986</v>
      </c>
      <c r="C774" s="365" t="s">
        <v>2987</v>
      </c>
      <c r="D774" s="365" t="s">
        <v>2988</v>
      </c>
      <c r="E774" s="365" t="s">
        <v>2989</v>
      </c>
      <c r="F774" s="365" t="s">
        <v>2990</v>
      </c>
      <c r="G774" s="370">
        <v>45530</v>
      </c>
      <c r="H774" s="369">
        <v>12000</v>
      </c>
      <c r="I774" s="365" t="s">
        <v>2991</v>
      </c>
      <c r="J774" s="365" t="s">
        <v>1228</v>
      </c>
      <c r="K774" s="365" t="s">
        <v>1229</v>
      </c>
      <c r="L774" s="370">
        <v>45574.691250000003</v>
      </c>
    </row>
    <row r="775" spans="1:12" s="365" customFormat="1" hidden="1">
      <c r="A775" s="370">
        <v>45574.71230324074</v>
      </c>
      <c r="B775" s="365" t="s">
        <v>3013</v>
      </c>
      <c r="C775" s="365" t="s">
        <v>3014</v>
      </c>
      <c r="D775" s="365" t="s">
        <v>3015</v>
      </c>
      <c r="E775" s="365" t="s">
        <v>3016</v>
      </c>
      <c r="F775" s="365" t="s">
        <v>3017</v>
      </c>
      <c r="G775" s="370">
        <v>45560</v>
      </c>
      <c r="H775" s="369">
        <v>17501</v>
      </c>
      <c r="I775" s="365" t="s">
        <v>3018</v>
      </c>
      <c r="J775" s="365" t="s">
        <v>1228</v>
      </c>
      <c r="K775" s="365" t="s">
        <v>1229</v>
      </c>
      <c r="L775" s="370">
        <v>45574.715810185182</v>
      </c>
    </row>
    <row r="776" spans="1:12" s="365" customFormat="1" hidden="1">
      <c r="A776" s="370">
        <v>45574.745636574073</v>
      </c>
      <c r="B776" s="365" t="s">
        <v>2992</v>
      </c>
      <c r="C776" s="365" t="s">
        <v>2993</v>
      </c>
      <c r="D776" s="365" t="s">
        <v>2994</v>
      </c>
      <c r="E776" s="365" t="s">
        <v>2995</v>
      </c>
      <c r="F776" s="365" t="s">
        <v>2996</v>
      </c>
      <c r="G776" s="370">
        <v>45560</v>
      </c>
      <c r="H776" s="369">
        <v>21999</v>
      </c>
      <c r="I776" s="365" t="s">
        <v>2997</v>
      </c>
      <c r="J776" s="365" t="s">
        <v>1228</v>
      </c>
      <c r="K776" s="365" t="s">
        <v>1229</v>
      </c>
      <c r="L776" s="370">
        <v>45574.746782407405</v>
      </c>
    </row>
    <row r="777" spans="1:12" s="365" customFormat="1" hidden="1">
      <c r="A777" s="370">
        <v>45575.371145833335</v>
      </c>
      <c r="B777" s="365" t="s">
        <v>3031</v>
      </c>
      <c r="C777" s="365" t="s">
        <v>3032</v>
      </c>
      <c r="D777" s="365" t="s">
        <v>3033</v>
      </c>
      <c r="E777" s="365" t="s">
        <v>3034</v>
      </c>
      <c r="F777" s="365" t="s">
        <v>3035</v>
      </c>
      <c r="G777" s="370">
        <v>45560</v>
      </c>
      <c r="H777" s="369">
        <v>27999</v>
      </c>
      <c r="I777" s="365" t="s">
        <v>3036</v>
      </c>
      <c r="J777" s="365" t="s">
        <v>1228</v>
      </c>
      <c r="K777" s="365" t="s">
        <v>1229</v>
      </c>
      <c r="L777" s="370">
        <v>45575.372060185182</v>
      </c>
    </row>
    <row r="778" spans="1:12" s="365" customFormat="1" hidden="1">
      <c r="A778" s="370">
        <v>45575.373171296298</v>
      </c>
      <c r="B778" s="365" t="s">
        <v>3037</v>
      </c>
      <c r="C778" s="365" t="s">
        <v>3038</v>
      </c>
      <c r="D778" s="365" t="s">
        <v>1171</v>
      </c>
      <c r="E778" s="365" t="s">
        <v>1172</v>
      </c>
      <c r="F778" s="365" t="s">
        <v>3039</v>
      </c>
      <c r="G778" s="370">
        <v>45560</v>
      </c>
      <c r="H778" s="369">
        <v>21000</v>
      </c>
      <c r="I778" s="365" t="s">
        <v>3040</v>
      </c>
      <c r="J778" s="365" t="s">
        <v>1228</v>
      </c>
      <c r="K778" s="365" t="s">
        <v>1229</v>
      </c>
      <c r="L778" s="370">
        <v>45575.375127314815</v>
      </c>
    </row>
    <row r="779" spans="1:12" s="365" customFormat="1" hidden="1">
      <c r="A779" s="370">
        <v>45575.373287037037</v>
      </c>
      <c r="B779" s="365" t="s">
        <v>3041</v>
      </c>
      <c r="C779" s="365" t="s">
        <v>3042</v>
      </c>
      <c r="D779" s="365" t="s">
        <v>3043</v>
      </c>
      <c r="E779" s="365" t="s">
        <v>3044</v>
      </c>
      <c r="F779" s="365" t="s">
        <v>3045</v>
      </c>
      <c r="G779" s="370">
        <v>45560</v>
      </c>
      <c r="H779" s="369">
        <v>15999</v>
      </c>
      <c r="I779" s="365" t="s">
        <v>3046</v>
      </c>
      <c r="J779" s="365" t="s">
        <v>1228</v>
      </c>
      <c r="K779" s="365" t="s">
        <v>1229</v>
      </c>
      <c r="L779" s="370">
        <v>45575.375300925924</v>
      </c>
    </row>
    <row r="780" spans="1:12" s="365" customFormat="1" hidden="1">
      <c r="A780" s="370">
        <v>45575.437071759261</v>
      </c>
      <c r="B780" s="365" t="s">
        <v>3047</v>
      </c>
      <c r="C780" s="365" t="s">
        <v>3048</v>
      </c>
      <c r="D780" s="365" t="s">
        <v>3049</v>
      </c>
      <c r="E780" s="365" t="s">
        <v>3050</v>
      </c>
      <c r="F780" s="365" t="s">
        <v>3051</v>
      </c>
      <c r="G780" s="370">
        <v>45560</v>
      </c>
      <c r="H780" s="369">
        <v>98400</v>
      </c>
      <c r="I780" s="365" t="s">
        <v>3052</v>
      </c>
      <c r="J780" s="365" t="s">
        <v>1228</v>
      </c>
      <c r="K780" s="365" t="s">
        <v>1229</v>
      </c>
      <c r="L780" s="370">
        <v>45575.437928240739</v>
      </c>
    </row>
    <row r="781" spans="1:12" s="365" customFormat="1" hidden="1">
      <c r="A781" s="370">
        <v>45575.475289351853</v>
      </c>
      <c r="B781" s="365" t="s">
        <v>3053</v>
      </c>
      <c r="C781" s="365" t="s">
        <v>1317</v>
      </c>
      <c r="D781" s="365" t="s">
        <v>1686</v>
      </c>
      <c r="E781" s="365" t="s">
        <v>1687</v>
      </c>
      <c r="F781" s="365" t="s">
        <v>3054</v>
      </c>
      <c r="G781" s="370">
        <v>45498</v>
      </c>
      <c r="H781" s="369">
        <v>15000</v>
      </c>
      <c r="I781" s="365" t="s">
        <v>3055</v>
      </c>
      <c r="J781" s="365" t="s">
        <v>1228</v>
      </c>
      <c r="K781" s="365" t="s">
        <v>1229</v>
      </c>
      <c r="L781" s="370">
        <v>45575.476030092592</v>
      </c>
    </row>
    <row r="782" spans="1:12" s="365" customFormat="1" hidden="1">
      <c r="A782" s="370">
        <v>45575.648009259261</v>
      </c>
      <c r="B782" s="365" t="s">
        <v>3019</v>
      </c>
      <c r="C782" s="365" t="s">
        <v>3020</v>
      </c>
      <c r="D782" s="365" t="s">
        <v>3021</v>
      </c>
      <c r="E782" s="365" t="s">
        <v>3022</v>
      </c>
      <c r="F782" s="365" t="s">
        <v>3023</v>
      </c>
      <c r="G782" s="370">
        <v>45560</v>
      </c>
      <c r="H782" s="369">
        <v>34000</v>
      </c>
      <c r="I782" s="365" t="s">
        <v>3024</v>
      </c>
      <c r="J782" s="365" t="s">
        <v>1228</v>
      </c>
      <c r="K782" s="365" t="s">
        <v>1229</v>
      </c>
      <c r="L782" s="370">
        <v>45575.649722222224</v>
      </c>
    </row>
    <row r="783" spans="1:12" s="365" customFormat="1" hidden="1">
      <c r="A783" s="370">
        <v>45575.648738425924</v>
      </c>
      <c r="B783" s="365" t="s">
        <v>3025</v>
      </c>
      <c r="C783" s="365" t="s">
        <v>3026</v>
      </c>
      <c r="D783" s="365" t="s">
        <v>3027</v>
      </c>
      <c r="E783" s="365" t="s">
        <v>3028</v>
      </c>
      <c r="F783" s="365" t="s">
        <v>3029</v>
      </c>
      <c r="G783" s="370">
        <v>45560</v>
      </c>
      <c r="H783" s="369">
        <v>11500</v>
      </c>
      <c r="I783" s="365" t="s">
        <v>3030</v>
      </c>
      <c r="J783" s="365" t="s">
        <v>1228</v>
      </c>
      <c r="K783" s="365" t="s">
        <v>1229</v>
      </c>
      <c r="L783" s="370">
        <v>45575.649907407409</v>
      </c>
    </row>
    <row r="784" spans="1:12" s="365" customFormat="1" hidden="1">
      <c r="A784" s="370">
        <v>45575.76258101852</v>
      </c>
      <c r="B784" s="365" t="s">
        <v>3056</v>
      </c>
      <c r="C784" s="365" t="s">
        <v>1239</v>
      </c>
      <c r="D784" s="365" t="s">
        <v>3057</v>
      </c>
      <c r="E784" s="365" t="s">
        <v>3058</v>
      </c>
      <c r="F784" s="365" t="s">
        <v>3059</v>
      </c>
      <c r="G784" s="370">
        <v>45560</v>
      </c>
      <c r="H784" s="369">
        <v>15999</v>
      </c>
      <c r="I784" s="365" t="s">
        <v>3060</v>
      </c>
      <c r="J784" s="365" t="s">
        <v>1228</v>
      </c>
      <c r="K784" s="365" t="s">
        <v>1229</v>
      </c>
      <c r="L784" s="370">
        <v>45575.764340277776</v>
      </c>
    </row>
    <row r="785" spans="1:12" s="365" customFormat="1" hidden="1">
      <c r="A785" s="370">
        <v>45576.382002314815</v>
      </c>
      <c r="B785" s="365" t="s">
        <v>3126</v>
      </c>
      <c r="C785" s="365" t="s">
        <v>3127</v>
      </c>
      <c r="D785" s="365" t="s">
        <v>3128</v>
      </c>
      <c r="E785" s="365" t="s">
        <v>3129</v>
      </c>
      <c r="F785" s="365" t="s">
        <v>3130</v>
      </c>
      <c r="G785" s="370">
        <v>45560</v>
      </c>
      <c r="H785" s="369">
        <v>21000</v>
      </c>
      <c r="I785" s="365" t="s">
        <v>3131</v>
      </c>
      <c r="J785" s="365" t="s">
        <v>1228</v>
      </c>
      <c r="K785" s="365" t="s">
        <v>1229</v>
      </c>
      <c r="L785" s="370">
        <v>45576.382314814815</v>
      </c>
    </row>
    <row r="786" spans="1:12" s="365" customFormat="1" hidden="1">
      <c r="A786" s="370">
        <v>45576.46738425926</v>
      </c>
      <c r="B786" s="365" t="s">
        <v>3144</v>
      </c>
      <c r="C786" s="365" t="s">
        <v>1453</v>
      </c>
      <c r="D786" s="365" t="s">
        <v>1454</v>
      </c>
      <c r="E786" s="365" t="s">
        <v>1455</v>
      </c>
      <c r="F786" s="365" t="s">
        <v>3145</v>
      </c>
      <c r="G786" s="370">
        <v>45595</v>
      </c>
      <c r="H786" s="369">
        <v>39000</v>
      </c>
      <c r="I786" s="365" t="s">
        <v>3146</v>
      </c>
      <c r="J786" s="365" t="s">
        <v>1228</v>
      </c>
      <c r="K786" s="365" t="s">
        <v>1229</v>
      </c>
      <c r="L786" s="370">
        <v>45576.514618055553</v>
      </c>
    </row>
    <row r="787" spans="1:12" s="365" customFormat="1" hidden="1">
      <c r="A787" s="370">
        <v>45576.484803240739</v>
      </c>
      <c r="B787" s="365" t="s">
        <v>3061</v>
      </c>
      <c r="C787" s="365" t="s">
        <v>3062</v>
      </c>
      <c r="D787" s="365" t="s">
        <v>3063</v>
      </c>
      <c r="E787" s="365" t="s">
        <v>3064</v>
      </c>
      <c r="F787" s="365" t="s">
        <v>3065</v>
      </c>
      <c r="G787" s="370">
        <v>45595</v>
      </c>
      <c r="H787" s="369">
        <v>23000</v>
      </c>
      <c r="I787" s="365" t="s">
        <v>3066</v>
      </c>
      <c r="J787" s="365" t="s">
        <v>1228</v>
      </c>
      <c r="K787" s="365" t="s">
        <v>1229</v>
      </c>
      <c r="L787" s="370">
        <v>45576.514421296299</v>
      </c>
    </row>
    <row r="788" spans="1:12" s="365" customFormat="1" hidden="1">
      <c r="A788" s="370">
        <v>45576.487754629627</v>
      </c>
      <c r="B788" s="365" t="s">
        <v>3067</v>
      </c>
      <c r="C788" s="365" t="s">
        <v>3068</v>
      </c>
      <c r="D788" s="365" t="s">
        <v>3069</v>
      </c>
      <c r="E788" s="365" t="s">
        <v>3070</v>
      </c>
      <c r="F788" s="365" t="s">
        <v>3071</v>
      </c>
      <c r="G788" s="370">
        <v>45595</v>
      </c>
      <c r="H788" s="369">
        <v>15999</v>
      </c>
      <c r="I788" s="365" t="s">
        <v>3072</v>
      </c>
      <c r="J788" s="365" t="s">
        <v>1228</v>
      </c>
      <c r="K788" s="365" t="s">
        <v>1229</v>
      </c>
      <c r="L788" s="370">
        <v>45576.518287037034</v>
      </c>
    </row>
    <row r="789" spans="1:12" s="365" customFormat="1" hidden="1">
      <c r="A789" s="370">
        <v>45576.493993055556</v>
      </c>
      <c r="B789" s="365" t="s">
        <v>3147</v>
      </c>
      <c r="C789" s="365" t="s">
        <v>3148</v>
      </c>
      <c r="D789" s="365" t="s">
        <v>3149</v>
      </c>
      <c r="E789" s="365" t="s">
        <v>3150</v>
      </c>
      <c r="F789" s="365" t="s">
        <v>3151</v>
      </c>
      <c r="G789" s="370">
        <v>45595</v>
      </c>
      <c r="H789" s="369">
        <v>30000</v>
      </c>
      <c r="I789" s="365" t="s">
        <v>3152</v>
      </c>
      <c r="J789" s="365" t="s">
        <v>1228</v>
      </c>
      <c r="K789" s="365" t="s">
        <v>1229</v>
      </c>
      <c r="L789" s="370">
        <v>45576.514803240738</v>
      </c>
    </row>
    <row r="790" spans="1:12" s="365" customFormat="1" hidden="1">
      <c r="A790" s="370">
        <v>45576.551342592589</v>
      </c>
      <c r="B790" s="365" t="s">
        <v>3073</v>
      </c>
      <c r="C790" s="365" t="s">
        <v>3074</v>
      </c>
      <c r="D790" s="365" t="s">
        <v>3075</v>
      </c>
      <c r="E790" s="365" t="s">
        <v>3076</v>
      </c>
      <c r="F790" s="365" t="s">
        <v>3077</v>
      </c>
      <c r="G790" s="370">
        <v>45595</v>
      </c>
      <c r="H790" s="369">
        <v>35000</v>
      </c>
      <c r="I790" s="365" t="s">
        <v>3078</v>
      </c>
      <c r="J790" s="365" t="s">
        <v>1228</v>
      </c>
      <c r="K790" s="365" t="s">
        <v>1229</v>
      </c>
      <c r="L790" s="370">
        <v>45576.553159722222</v>
      </c>
    </row>
    <row r="791" spans="1:12" s="365" customFormat="1" hidden="1">
      <c r="A791" s="370">
        <v>45576.596273148149</v>
      </c>
      <c r="B791" s="365" t="s">
        <v>3153</v>
      </c>
      <c r="C791" s="365" t="s">
        <v>3154</v>
      </c>
      <c r="D791" s="365" t="s">
        <v>3155</v>
      </c>
      <c r="E791" s="365" t="s">
        <v>3156</v>
      </c>
      <c r="F791" s="365" t="s">
        <v>3157</v>
      </c>
      <c r="G791" s="370">
        <v>45595</v>
      </c>
      <c r="H791" s="369">
        <v>15000</v>
      </c>
      <c r="I791" s="365" t="s">
        <v>3158</v>
      </c>
      <c r="J791" s="365" t="s">
        <v>1228</v>
      </c>
      <c r="K791" s="365" t="s">
        <v>1229</v>
      </c>
      <c r="L791" s="370">
        <v>45576.598344907405</v>
      </c>
    </row>
    <row r="792" spans="1:12" s="365" customFormat="1" hidden="1">
      <c r="A792" s="370">
        <v>45576.60728009259</v>
      </c>
      <c r="B792" s="365" t="s">
        <v>3079</v>
      </c>
      <c r="C792" s="365" t="s">
        <v>3080</v>
      </c>
      <c r="D792" s="365" t="s">
        <v>3081</v>
      </c>
      <c r="E792" s="365" t="s">
        <v>3082</v>
      </c>
      <c r="F792" s="365" t="s">
        <v>3083</v>
      </c>
      <c r="G792" s="370">
        <v>45595</v>
      </c>
      <c r="H792" s="369">
        <v>15999</v>
      </c>
      <c r="I792" s="365" t="s">
        <v>3084</v>
      </c>
      <c r="J792" s="365" t="s">
        <v>1228</v>
      </c>
      <c r="K792" s="365" t="s">
        <v>1229</v>
      </c>
      <c r="L792" s="370">
        <v>45576.608680555553</v>
      </c>
    </row>
    <row r="793" spans="1:12" s="365" customFormat="1" hidden="1">
      <c r="A793" s="370">
        <v>45576.623611111114</v>
      </c>
      <c r="B793" s="365" t="s">
        <v>3132</v>
      </c>
      <c r="C793" s="365" t="s">
        <v>3133</v>
      </c>
      <c r="D793" s="365" t="s">
        <v>3134</v>
      </c>
      <c r="E793" s="365" t="s">
        <v>3135</v>
      </c>
      <c r="F793" s="365" t="s">
        <v>3136</v>
      </c>
      <c r="G793" s="370">
        <v>45595</v>
      </c>
      <c r="H793" s="369">
        <v>9000</v>
      </c>
      <c r="I793" s="365" t="s">
        <v>3137</v>
      </c>
      <c r="J793" s="365" t="s">
        <v>1228</v>
      </c>
      <c r="K793" s="365" t="s">
        <v>1229</v>
      </c>
      <c r="L793" s="370">
        <v>45576.626111111109</v>
      </c>
    </row>
    <row r="794" spans="1:12" s="365" customFormat="1" hidden="1">
      <c r="A794" s="370">
        <v>45576.661597222221</v>
      </c>
      <c r="B794" s="365" t="s">
        <v>3138</v>
      </c>
      <c r="C794" s="365" t="s">
        <v>3139</v>
      </c>
      <c r="D794" s="365" t="s">
        <v>3140</v>
      </c>
      <c r="E794" s="365" t="s">
        <v>3141</v>
      </c>
      <c r="F794" s="365" t="s">
        <v>3142</v>
      </c>
      <c r="G794" s="370">
        <v>45595</v>
      </c>
      <c r="H794" s="369">
        <v>36999</v>
      </c>
      <c r="I794" s="365" t="s">
        <v>3143</v>
      </c>
      <c r="J794" s="365" t="s">
        <v>1228</v>
      </c>
      <c r="K794" s="365" t="s">
        <v>1229</v>
      </c>
      <c r="L794" s="370">
        <v>45576.664189814815</v>
      </c>
    </row>
    <row r="795" spans="1:12" s="365" customFormat="1" hidden="1">
      <c r="A795" s="370">
        <v>45576.709641203706</v>
      </c>
      <c r="B795" s="365" t="s">
        <v>3085</v>
      </c>
      <c r="C795" s="365" t="s">
        <v>1230</v>
      </c>
      <c r="D795" s="365" t="s">
        <v>3086</v>
      </c>
      <c r="E795" s="365" t="s">
        <v>3087</v>
      </c>
      <c r="F795" s="365" t="s">
        <v>3088</v>
      </c>
      <c r="G795" s="370">
        <v>45530</v>
      </c>
      <c r="H795" s="369">
        <v>15999</v>
      </c>
      <c r="I795" s="365" t="s">
        <v>3089</v>
      </c>
      <c r="J795" s="365" t="s">
        <v>1228</v>
      </c>
      <c r="K795" s="365" t="s">
        <v>1229</v>
      </c>
      <c r="L795" s="370">
        <v>45576.712997685187</v>
      </c>
    </row>
    <row r="796" spans="1:12" s="365" customFormat="1" hidden="1">
      <c r="A796" s="370">
        <v>45576.71</v>
      </c>
      <c r="B796" s="365" t="s">
        <v>3090</v>
      </c>
      <c r="C796" s="365" t="s">
        <v>1230</v>
      </c>
      <c r="D796" s="365" t="s">
        <v>3086</v>
      </c>
      <c r="E796" s="365" t="s">
        <v>3087</v>
      </c>
      <c r="F796" s="365" t="s">
        <v>3091</v>
      </c>
      <c r="G796" s="370">
        <v>45560</v>
      </c>
      <c r="H796" s="369">
        <v>15999</v>
      </c>
      <c r="I796" s="365" t="s">
        <v>3092</v>
      </c>
      <c r="J796" s="365" t="s">
        <v>1228</v>
      </c>
      <c r="K796" s="365" t="s">
        <v>1229</v>
      </c>
      <c r="L796" s="370">
        <v>45576.713182870371</v>
      </c>
    </row>
    <row r="797" spans="1:12" s="365" customFormat="1" hidden="1">
      <c r="A797" s="370">
        <v>45576.710405092592</v>
      </c>
      <c r="B797" s="365" t="s">
        <v>3093</v>
      </c>
      <c r="C797" s="365" t="s">
        <v>1230</v>
      </c>
      <c r="D797" s="365" t="s">
        <v>3086</v>
      </c>
      <c r="E797" s="365" t="s">
        <v>3087</v>
      </c>
      <c r="F797" s="365" t="s">
        <v>3094</v>
      </c>
      <c r="G797" s="370">
        <v>45595</v>
      </c>
      <c r="H797" s="369">
        <v>15999</v>
      </c>
      <c r="I797" s="365" t="s">
        <v>3095</v>
      </c>
      <c r="J797" s="365" t="s">
        <v>1228</v>
      </c>
      <c r="K797" s="365" t="s">
        <v>1229</v>
      </c>
      <c r="L797" s="370">
        <v>45576.713368055556</v>
      </c>
    </row>
    <row r="798" spans="1:12" s="365" customFormat="1" hidden="1">
      <c r="A798" s="370">
        <v>45576.72084490741</v>
      </c>
      <c r="B798" s="365" t="s">
        <v>3096</v>
      </c>
      <c r="C798" s="365" t="s">
        <v>3097</v>
      </c>
      <c r="D798" s="365" t="s">
        <v>3098</v>
      </c>
      <c r="E798" s="365" t="s">
        <v>3099</v>
      </c>
      <c r="F798" s="365" t="s">
        <v>3100</v>
      </c>
      <c r="G798" s="370">
        <v>45560</v>
      </c>
      <c r="H798" s="369">
        <v>24000</v>
      </c>
      <c r="I798" s="365" t="s">
        <v>3101</v>
      </c>
      <c r="J798" s="365" t="s">
        <v>1228</v>
      </c>
      <c r="K798" s="365" t="s">
        <v>1229</v>
      </c>
      <c r="L798" s="370">
        <v>45576.724004629628</v>
      </c>
    </row>
    <row r="799" spans="1:12" s="365" customFormat="1" hidden="1">
      <c r="A799" s="370">
        <v>45576.723344907405</v>
      </c>
      <c r="B799" s="365" t="s">
        <v>3159</v>
      </c>
      <c r="C799" s="365" t="s">
        <v>3160</v>
      </c>
      <c r="D799" s="365" t="s">
        <v>3161</v>
      </c>
      <c r="E799" s="365" t="s">
        <v>3162</v>
      </c>
      <c r="F799" s="365" t="s">
        <v>3163</v>
      </c>
      <c r="G799" s="370">
        <v>45560</v>
      </c>
      <c r="H799" s="369">
        <v>27000</v>
      </c>
      <c r="I799" s="365" t="s">
        <v>3164</v>
      </c>
      <c r="J799" s="365" t="s">
        <v>1228</v>
      </c>
      <c r="K799" s="365" t="s">
        <v>1229</v>
      </c>
      <c r="L799" s="370">
        <v>45576.724189814813</v>
      </c>
    </row>
    <row r="800" spans="1:12" s="365" customFormat="1" hidden="1">
      <c r="A800" s="370">
        <v>45576.747187499997</v>
      </c>
      <c r="B800" s="365" t="s">
        <v>3102</v>
      </c>
      <c r="C800" s="365" t="s">
        <v>3103</v>
      </c>
      <c r="D800" s="365" t="s">
        <v>3104</v>
      </c>
      <c r="E800" s="365" t="s">
        <v>3105</v>
      </c>
      <c r="F800" s="365" t="s">
        <v>3106</v>
      </c>
      <c r="G800" s="370">
        <v>45595</v>
      </c>
      <c r="H800" s="369">
        <v>42000</v>
      </c>
      <c r="I800" s="365" t="s">
        <v>3107</v>
      </c>
      <c r="J800" s="365" t="s">
        <v>1228</v>
      </c>
      <c r="K800" s="365" t="s">
        <v>1229</v>
      </c>
      <c r="L800" s="370">
        <v>45576.748206018521</v>
      </c>
    </row>
    <row r="801" spans="1:12" s="365" customFormat="1" hidden="1">
      <c r="A801" s="370">
        <v>45576.748113425929</v>
      </c>
      <c r="B801" s="365" t="s">
        <v>3108</v>
      </c>
      <c r="C801" s="365" t="s">
        <v>3109</v>
      </c>
      <c r="D801" s="365" t="s">
        <v>3110</v>
      </c>
      <c r="E801" s="365" t="s">
        <v>3111</v>
      </c>
      <c r="F801" s="365" t="s">
        <v>3112</v>
      </c>
      <c r="G801" s="370">
        <v>45595</v>
      </c>
      <c r="H801" s="369">
        <v>27000</v>
      </c>
      <c r="I801" s="365" t="s">
        <v>3113</v>
      </c>
      <c r="J801" s="365" t="s">
        <v>1228</v>
      </c>
      <c r="K801" s="365" t="s">
        <v>1229</v>
      </c>
      <c r="L801" s="370">
        <v>45576.751759259256</v>
      </c>
    </row>
    <row r="802" spans="1:12" s="365" customFormat="1" hidden="1">
      <c r="A802" s="370">
        <v>45576.783217592594</v>
      </c>
      <c r="B802" s="365" t="s">
        <v>3114</v>
      </c>
      <c r="C802" s="365" t="s">
        <v>3115</v>
      </c>
      <c r="D802" s="365" t="s">
        <v>3116</v>
      </c>
      <c r="E802" s="365" t="s">
        <v>3117</v>
      </c>
      <c r="F802" s="365" t="s">
        <v>3118</v>
      </c>
      <c r="G802" s="370">
        <v>45560</v>
      </c>
      <c r="H802" s="369">
        <v>15000</v>
      </c>
      <c r="I802" s="365" t="s">
        <v>3119</v>
      </c>
      <c r="J802" s="365" t="s">
        <v>1228</v>
      </c>
      <c r="K802" s="365" t="s">
        <v>1229</v>
      </c>
      <c r="L802" s="370">
        <v>45576.786631944444</v>
      </c>
    </row>
    <row r="803" spans="1:12" s="365" customFormat="1" hidden="1">
      <c r="A803" s="370">
        <v>45576.899259259262</v>
      </c>
      <c r="B803" s="365" t="s">
        <v>3120</v>
      </c>
      <c r="C803" s="365" t="s">
        <v>3121</v>
      </c>
      <c r="D803" s="365" t="s">
        <v>3122</v>
      </c>
      <c r="E803" s="365" t="s">
        <v>3123</v>
      </c>
      <c r="F803" s="365" t="s">
        <v>3124</v>
      </c>
      <c r="G803" s="370">
        <v>45595</v>
      </c>
      <c r="H803" s="369">
        <v>7501</v>
      </c>
      <c r="I803" s="365" t="s">
        <v>3125</v>
      </c>
      <c r="J803" s="365" t="s">
        <v>1228</v>
      </c>
      <c r="K803" s="365" t="s">
        <v>1229</v>
      </c>
      <c r="L803" s="370">
        <v>45576.901192129626</v>
      </c>
    </row>
    <row r="804" spans="1:12" s="365" customFormat="1" hidden="1">
      <c r="A804" s="370">
        <v>45576.914236111108</v>
      </c>
      <c r="B804" s="365" t="s">
        <v>3165</v>
      </c>
      <c r="C804" s="365" t="s">
        <v>3166</v>
      </c>
      <c r="D804" s="365" t="s">
        <v>3167</v>
      </c>
      <c r="E804" s="365" t="s">
        <v>3168</v>
      </c>
      <c r="F804" s="365" t="s">
        <v>3169</v>
      </c>
      <c r="G804" s="370">
        <v>45560</v>
      </c>
      <c r="H804" s="369">
        <v>22639</v>
      </c>
      <c r="I804" s="365" t="s">
        <v>3170</v>
      </c>
      <c r="J804" s="365" t="s">
        <v>1228</v>
      </c>
      <c r="K804" s="365" t="s">
        <v>1229</v>
      </c>
      <c r="L804" s="370">
        <v>45576.914895833332</v>
      </c>
    </row>
    <row r="805" spans="1:12" s="365" customFormat="1" hidden="1">
      <c r="A805" s="370">
        <v>45577.277581018519</v>
      </c>
      <c r="B805" s="365" t="s">
        <v>3171</v>
      </c>
      <c r="C805" s="365" t="s">
        <v>3172</v>
      </c>
      <c r="D805" s="365" t="s">
        <v>3173</v>
      </c>
      <c r="E805" s="365" t="s">
        <v>3174</v>
      </c>
      <c r="F805" s="365" t="s">
        <v>3175</v>
      </c>
      <c r="G805" s="370">
        <v>45595</v>
      </c>
      <c r="H805" s="369">
        <v>15999</v>
      </c>
      <c r="I805" s="365" t="s">
        <v>3176</v>
      </c>
      <c r="J805" s="365" t="s">
        <v>1228</v>
      </c>
      <c r="K805" s="365" t="s">
        <v>1229</v>
      </c>
      <c r="L805" s="370">
        <v>45577.278310185182</v>
      </c>
    </row>
    <row r="806" spans="1:12" s="365" customFormat="1" hidden="1">
      <c r="A806" s="370">
        <v>45577.34783564815</v>
      </c>
      <c r="B806" s="365" t="s">
        <v>3218</v>
      </c>
      <c r="C806" s="365" t="s">
        <v>3219</v>
      </c>
      <c r="D806" s="365" t="s">
        <v>3220</v>
      </c>
      <c r="E806" s="365" t="s">
        <v>3221</v>
      </c>
      <c r="F806" s="365" t="s">
        <v>3222</v>
      </c>
      <c r="G806" s="370">
        <v>45595</v>
      </c>
      <c r="H806" s="369">
        <v>39000</v>
      </c>
      <c r="I806" s="365" t="s">
        <v>3223</v>
      </c>
      <c r="J806" s="365" t="s">
        <v>1228</v>
      </c>
      <c r="K806" s="365" t="s">
        <v>1229</v>
      </c>
      <c r="L806" s="370">
        <v>45577.350925925923</v>
      </c>
    </row>
    <row r="807" spans="1:12" s="365" customFormat="1" hidden="1">
      <c r="A807" s="370">
        <v>45577.375717592593</v>
      </c>
      <c r="B807" s="365" t="s">
        <v>3207</v>
      </c>
      <c r="C807" s="365" t="s">
        <v>1885</v>
      </c>
      <c r="D807" s="365" t="s">
        <v>3208</v>
      </c>
      <c r="E807" s="365" t="s">
        <v>3209</v>
      </c>
      <c r="F807" s="365" t="s">
        <v>3210</v>
      </c>
      <c r="G807" s="370">
        <v>45560</v>
      </c>
      <c r="H807" s="369">
        <v>33000</v>
      </c>
      <c r="I807" s="365" t="s">
        <v>3211</v>
      </c>
      <c r="J807" s="365" t="s">
        <v>1228</v>
      </c>
      <c r="K807" s="365" t="s">
        <v>1229</v>
      </c>
      <c r="L807" s="370">
        <v>45577.37871527778</v>
      </c>
    </row>
    <row r="808" spans="1:12" s="365" customFormat="1" hidden="1">
      <c r="A808" s="370">
        <v>45577.400104166663</v>
      </c>
      <c r="B808" s="365" t="s">
        <v>3224</v>
      </c>
      <c r="C808" s="365" t="s">
        <v>3225</v>
      </c>
      <c r="D808" s="365" t="s">
        <v>3226</v>
      </c>
      <c r="E808" s="365" t="s">
        <v>3227</v>
      </c>
      <c r="F808" s="365" t="s">
        <v>3228</v>
      </c>
      <c r="G808" s="370">
        <v>45595</v>
      </c>
      <c r="H808" s="369">
        <v>22000</v>
      </c>
      <c r="I808" s="365" t="s">
        <v>3229</v>
      </c>
      <c r="J808" s="365" t="s">
        <v>1228</v>
      </c>
      <c r="K808" s="365" t="s">
        <v>1229</v>
      </c>
      <c r="L808" s="370">
        <v>45577.403275462966</v>
      </c>
    </row>
    <row r="809" spans="1:12" s="365" customFormat="1" hidden="1">
      <c r="A809" s="370">
        <v>45577.450300925928</v>
      </c>
      <c r="B809" s="365" t="s">
        <v>3212</v>
      </c>
      <c r="C809" s="365" t="s">
        <v>3213</v>
      </c>
      <c r="D809" s="365" t="s">
        <v>3214</v>
      </c>
      <c r="E809" s="365" t="s">
        <v>3215</v>
      </c>
      <c r="F809" s="365" t="s">
        <v>3216</v>
      </c>
      <c r="G809" s="370">
        <v>45595</v>
      </c>
      <c r="H809" s="369">
        <v>24000</v>
      </c>
      <c r="I809" s="365" t="s">
        <v>3217</v>
      </c>
      <c r="J809" s="365" t="s">
        <v>1228</v>
      </c>
      <c r="K809" s="365" t="s">
        <v>1229</v>
      </c>
      <c r="L809" s="370">
        <v>45577.451678240737</v>
      </c>
    </row>
    <row r="810" spans="1:12" s="365" customFormat="1" hidden="1">
      <c r="A810" s="370">
        <v>45577.46020833333</v>
      </c>
      <c r="B810" s="365" t="s">
        <v>3177</v>
      </c>
      <c r="C810" s="365" t="s">
        <v>3178</v>
      </c>
      <c r="D810" s="365" t="s">
        <v>3179</v>
      </c>
      <c r="E810" s="365" t="s">
        <v>3180</v>
      </c>
      <c r="F810" s="365" t="s">
        <v>3181</v>
      </c>
      <c r="G810" s="370">
        <v>45595</v>
      </c>
      <c r="H810" s="369">
        <v>19000</v>
      </c>
      <c r="I810" s="365" t="s">
        <v>3182</v>
      </c>
      <c r="J810" s="365" t="s">
        <v>1228</v>
      </c>
      <c r="K810" s="365" t="s">
        <v>1229</v>
      </c>
      <c r="L810" s="370">
        <v>45577.462361111109</v>
      </c>
    </row>
    <row r="811" spans="1:12" s="365" customFormat="1" hidden="1">
      <c r="A811" s="370">
        <v>45577.58357638889</v>
      </c>
      <c r="B811" s="365" t="s">
        <v>3183</v>
      </c>
      <c r="C811" s="365" t="s">
        <v>3184</v>
      </c>
      <c r="D811" s="365" t="s">
        <v>3185</v>
      </c>
      <c r="E811" s="365" t="s">
        <v>3186</v>
      </c>
      <c r="F811" s="365" t="s">
        <v>3187</v>
      </c>
      <c r="G811" s="370">
        <v>45530</v>
      </c>
      <c r="H811" s="369">
        <v>9000</v>
      </c>
      <c r="I811" s="365" t="s">
        <v>3188</v>
      </c>
      <c r="J811" s="365" t="s">
        <v>1228</v>
      </c>
      <c r="K811" s="365" t="s">
        <v>1229</v>
      </c>
      <c r="L811" s="370">
        <v>45577.587280092594</v>
      </c>
    </row>
    <row r="812" spans="1:12" s="365" customFormat="1" hidden="1">
      <c r="A812" s="370">
        <v>45577.655960648146</v>
      </c>
      <c r="B812" s="365" t="s">
        <v>3189</v>
      </c>
      <c r="C812" s="365" t="s">
        <v>3190</v>
      </c>
      <c r="D812" s="365" t="s">
        <v>3191</v>
      </c>
      <c r="E812" s="365" t="s">
        <v>3192</v>
      </c>
      <c r="F812" s="365" t="s">
        <v>3193</v>
      </c>
      <c r="G812" s="370">
        <v>45595</v>
      </c>
      <c r="H812" s="369">
        <v>12000</v>
      </c>
      <c r="I812" s="365" t="s">
        <v>3194</v>
      </c>
      <c r="J812" s="365" t="s">
        <v>1228</v>
      </c>
      <c r="K812" s="365" t="s">
        <v>1229</v>
      </c>
      <c r="L812" s="370">
        <v>45577.656666666669</v>
      </c>
    </row>
    <row r="813" spans="1:12" s="365" customFormat="1" hidden="1">
      <c r="A813" s="370">
        <v>45577.707986111112</v>
      </c>
      <c r="B813" s="365" t="s">
        <v>3195</v>
      </c>
      <c r="C813" s="365" t="s">
        <v>3196</v>
      </c>
      <c r="D813" s="365" t="s">
        <v>3197</v>
      </c>
      <c r="E813" s="365" t="s">
        <v>3198</v>
      </c>
      <c r="F813" s="365" t="s">
        <v>3199</v>
      </c>
      <c r="G813" s="370">
        <v>45595</v>
      </c>
      <c r="H813" s="369">
        <v>12000</v>
      </c>
      <c r="I813" s="365" t="s">
        <v>3200</v>
      </c>
      <c r="J813" s="365" t="s">
        <v>1228</v>
      </c>
      <c r="K813" s="365" t="s">
        <v>1229</v>
      </c>
      <c r="L813" s="370">
        <v>45577.708634259259</v>
      </c>
    </row>
    <row r="814" spans="1:12" s="365" customFormat="1" hidden="1">
      <c r="A814" s="370">
        <v>45577.913553240738</v>
      </c>
      <c r="B814" s="365" t="s">
        <v>3201</v>
      </c>
      <c r="C814" s="365" t="s">
        <v>3202</v>
      </c>
      <c r="D814" s="365" t="s">
        <v>3203</v>
      </c>
      <c r="E814" s="365" t="s">
        <v>3204</v>
      </c>
      <c r="F814" s="365" t="s">
        <v>3205</v>
      </c>
      <c r="G814" s="370">
        <v>45595</v>
      </c>
      <c r="H814" s="369">
        <v>38999</v>
      </c>
      <c r="I814" s="365" t="s">
        <v>3206</v>
      </c>
      <c r="J814" s="365" t="s">
        <v>1228</v>
      </c>
      <c r="K814" s="365" t="s">
        <v>1229</v>
      </c>
      <c r="L814" s="370">
        <v>45577.917164351849</v>
      </c>
    </row>
    <row r="815" spans="1:12" s="365" customFormat="1" hidden="1">
      <c r="A815" s="370">
        <v>45578.443159722221</v>
      </c>
      <c r="B815" s="365" t="s">
        <v>3230</v>
      </c>
      <c r="C815" s="365" t="s">
        <v>3231</v>
      </c>
      <c r="D815" s="365" t="s">
        <v>3232</v>
      </c>
      <c r="E815" s="365" t="s">
        <v>3233</v>
      </c>
      <c r="F815" s="365" t="s">
        <v>3234</v>
      </c>
      <c r="G815" s="370">
        <v>45560</v>
      </c>
      <c r="H815" s="369">
        <v>15000</v>
      </c>
      <c r="I815" s="365" t="s">
        <v>3235</v>
      </c>
      <c r="J815" s="365" t="s">
        <v>1228</v>
      </c>
      <c r="K815" s="365" t="s">
        <v>1229</v>
      </c>
      <c r="L815" s="370">
        <v>45578.444930555554</v>
      </c>
    </row>
    <row r="816" spans="1:12" s="365" customFormat="1" hidden="1">
      <c r="A816" s="370">
        <v>45579.021307870367</v>
      </c>
      <c r="B816" s="365" t="s">
        <v>3236</v>
      </c>
      <c r="C816" s="365" t="s">
        <v>3237</v>
      </c>
      <c r="D816" s="365" t="s">
        <v>3238</v>
      </c>
      <c r="E816" s="365" t="s">
        <v>3239</v>
      </c>
      <c r="F816" s="365" t="s">
        <v>3240</v>
      </c>
      <c r="G816" s="370">
        <v>45595</v>
      </c>
      <c r="H816" s="369">
        <v>11500</v>
      </c>
      <c r="I816" s="365" t="s">
        <v>3241</v>
      </c>
      <c r="J816" s="365" t="s">
        <v>1228</v>
      </c>
      <c r="K816" s="365" t="s">
        <v>1229</v>
      </c>
      <c r="L816" s="370">
        <v>45579.125254629631</v>
      </c>
    </row>
    <row r="817" spans="1:12" s="365" customFormat="1" hidden="1">
      <c r="A817" s="370">
        <v>45579.355115740742</v>
      </c>
      <c r="B817" s="365" t="s">
        <v>3294</v>
      </c>
      <c r="C817" s="365" t="s">
        <v>2494</v>
      </c>
      <c r="D817" s="365" t="s">
        <v>2495</v>
      </c>
      <c r="E817" s="365" t="s">
        <v>2496</v>
      </c>
      <c r="F817" s="365" t="s">
        <v>3295</v>
      </c>
      <c r="G817" s="370">
        <v>45595</v>
      </c>
      <c r="H817" s="369">
        <v>18000</v>
      </c>
      <c r="I817" s="365" t="s">
        <v>3296</v>
      </c>
      <c r="J817" s="365" t="s">
        <v>1228</v>
      </c>
      <c r="K817" s="365" t="s">
        <v>1229</v>
      </c>
      <c r="L817" s="370">
        <v>45579.357905092591</v>
      </c>
    </row>
    <row r="818" spans="1:12" s="365" customFormat="1" hidden="1">
      <c r="A818" s="370">
        <v>45579.38181712963</v>
      </c>
      <c r="B818" s="365" t="s">
        <v>3297</v>
      </c>
      <c r="C818" s="365" t="s">
        <v>3298</v>
      </c>
      <c r="D818" s="365" t="s">
        <v>1059</v>
      </c>
      <c r="E818" s="365" t="s">
        <v>1060</v>
      </c>
      <c r="F818" s="365" t="s">
        <v>3299</v>
      </c>
      <c r="G818" s="370">
        <v>45560</v>
      </c>
      <c r="H818" s="369">
        <v>16000</v>
      </c>
      <c r="I818" s="365" t="s">
        <v>3300</v>
      </c>
      <c r="J818" s="365" t="s">
        <v>1228</v>
      </c>
      <c r="K818" s="365" t="s">
        <v>1229</v>
      </c>
      <c r="L818" s="370">
        <v>45579.382187499999</v>
      </c>
    </row>
    <row r="819" spans="1:12" s="365" customFormat="1" hidden="1">
      <c r="A819" s="370">
        <v>45579.399733796294</v>
      </c>
      <c r="B819" s="365" t="s">
        <v>3242</v>
      </c>
      <c r="C819" s="365" t="s">
        <v>3243</v>
      </c>
      <c r="D819" s="365" t="s">
        <v>3244</v>
      </c>
      <c r="E819" s="365" t="s">
        <v>3245</v>
      </c>
      <c r="F819" s="365" t="s">
        <v>3246</v>
      </c>
      <c r="G819" s="370">
        <v>45560</v>
      </c>
      <c r="H819" s="369">
        <v>15999</v>
      </c>
      <c r="I819" s="365" t="s">
        <v>3247</v>
      </c>
      <c r="J819" s="365" t="s">
        <v>1228</v>
      </c>
      <c r="K819" s="365" t="s">
        <v>1229</v>
      </c>
      <c r="L819" s="370">
        <v>45579.40320601852</v>
      </c>
    </row>
    <row r="820" spans="1:12" s="365" customFormat="1" hidden="1">
      <c r="A820" s="370">
        <v>45579.408912037034</v>
      </c>
      <c r="B820" s="365" t="s">
        <v>3248</v>
      </c>
      <c r="C820" s="365" t="s">
        <v>3249</v>
      </c>
      <c r="D820" s="365" t="s">
        <v>3250</v>
      </c>
      <c r="E820" s="365" t="s">
        <v>3251</v>
      </c>
      <c r="F820" s="365" t="s">
        <v>3252</v>
      </c>
      <c r="G820" s="370">
        <v>45530</v>
      </c>
      <c r="H820" s="369">
        <v>32400</v>
      </c>
      <c r="I820" s="365" t="s">
        <v>3253</v>
      </c>
      <c r="J820" s="365" t="s">
        <v>1228</v>
      </c>
      <c r="K820" s="365" t="s">
        <v>1229</v>
      </c>
      <c r="L820" s="370">
        <v>45579.40997685185</v>
      </c>
    </row>
    <row r="821" spans="1:12" s="365" customFormat="1" hidden="1">
      <c r="A821" s="370">
        <v>45579.41101851852</v>
      </c>
      <c r="B821" s="365" t="s">
        <v>3301</v>
      </c>
      <c r="C821" s="365" t="s">
        <v>3249</v>
      </c>
      <c r="D821" s="365" t="s">
        <v>3250</v>
      </c>
      <c r="E821" s="365" t="s">
        <v>3251</v>
      </c>
      <c r="F821" s="365" t="s">
        <v>3302</v>
      </c>
      <c r="G821" s="370">
        <v>45560</v>
      </c>
      <c r="H821" s="369">
        <v>32400</v>
      </c>
      <c r="I821" s="365" t="s">
        <v>3303</v>
      </c>
      <c r="J821" s="365" t="s">
        <v>1228</v>
      </c>
      <c r="K821" s="365" t="s">
        <v>1229</v>
      </c>
      <c r="L821" s="370">
        <v>45579.413541666669</v>
      </c>
    </row>
    <row r="822" spans="1:12" s="365" customFormat="1" hidden="1">
      <c r="A822" s="370">
        <v>45579.411608796298</v>
      </c>
      <c r="B822" s="365" t="s">
        <v>3304</v>
      </c>
      <c r="C822" s="365" t="s">
        <v>3305</v>
      </c>
      <c r="D822" s="365" t="s">
        <v>3306</v>
      </c>
      <c r="E822" s="365" t="s">
        <v>3307</v>
      </c>
      <c r="F822" s="365" t="s">
        <v>3308</v>
      </c>
      <c r="G822" s="370">
        <v>45595</v>
      </c>
      <c r="H822" s="369">
        <v>21000</v>
      </c>
      <c r="I822" s="365" t="s">
        <v>3309</v>
      </c>
      <c r="J822" s="365" t="s">
        <v>1228</v>
      </c>
      <c r="K822" s="365" t="s">
        <v>1229</v>
      </c>
      <c r="L822" s="370">
        <v>45579.413553240738</v>
      </c>
    </row>
    <row r="823" spans="1:12" s="365" customFormat="1" hidden="1">
      <c r="A823" s="370">
        <v>45579.495636574073</v>
      </c>
      <c r="B823" s="365" t="s">
        <v>3254</v>
      </c>
      <c r="C823" s="365" t="s">
        <v>3255</v>
      </c>
      <c r="D823" s="365" t="s">
        <v>3256</v>
      </c>
      <c r="E823" s="365" t="s">
        <v>3257</v>
      </c>
      <c r="F823" s="365" t="s">
        <v>3258</v>
      </c>
      <c r="G823" s="370">
        <v>45595</v>
      </c>
      <c r="H823" s="369">
        <v>27000</v>
      </c>
      <c r="I823" s="365" t="s">
        <v>3259</v>
      </c>
      <c r="J823" s="365" t="s">
        <v>1228</v>
      </c>
      <c r="K823" s="365" t="s">
        <v>1229</v>
      </c>
      <c r="L823" s="370">
        <v>45579.496840277781</v>
      </c>
    </row>
    <row r="824" spans="1:12" s="365" customFormat="1" hidden="1">
      <c r="A824" s="370">
        <v>45579.597314814811</v>
      </c>
      <c r="B824" s="365" t="s">
        <v>3260</v>
      </c>
      <c r="C824" s="365" t="s">
        <v>3261</v>
      </c>
      <c r="D824" s="365" t="s">
        <v>3262</v>
      </c>
      <c r="E824" s="365" t="s">
        <v>3263</v>
      </c>
      <c r="F824" s="365" t="s">
        <v>3264</v>
      </c>
      <c r="G824" s="370">
        <v>45595</v>
      </c>
      <c r="H824" s="369">
        <v>34000</v>
      </c>
      <c r="I824" s="365" t="s">
        <v>3265</v>
      </c>
      <c r="J824" s="365" t="s">
        <v>1228</v>
      </c>
      <c r="K824" s="365" t="s">
        <v>1229</v>
      </c>
      <c r="L824" s="370">
        <v>45579.597592592596</v>
      </c>
    </row>
    <row r="825" spans="1:12" s="365" customFormat="1" hidden="1">
      <c r="A825" s="370">
        <v>45579.641689814816</v>
      </c>
      <c r="B825" s="365" t="s">
        <v>3266</v>
      </c>
      <c r="C825" s="365" t="s">
        <v>3267</v>
      </c>
      <c r="D825" s="365" t="s">
        <v>3268</v>
      </c>
      <c r="E825" s="365" t="s">
        <v>3269</v>
      </c>
      <c r="F825" s="365" t="s">
        <v>3270</v>
      </c>
      <c r="G825" s="370">
        <v>45595</v>
      </c>
      <c r="H825" s="369">
        <v>15999</v>
      </c>
      <c r="I825" s="365" t="s">
        <v>3271</v>
      </c>
      <c r="J825" s="365" t="s">
        <v>1228</v>
      </c>
      <c r="K825" s="365" t="s">
        <v>1229</v>
      </c>
      <c r="L825" s="370">
        <v>45579.642800925925</v>
      </c>
    </row>
    <row r="826" spans="1:12" s="365" customFormat="1" hidden="1">
      <c r="A826" s="370">
        <v>45579.650439814817</v>
      </c>
      <c r="B826" s="365" t="s">
        <v>3310</v>
      </c>
      <c r="C826" s="365" t="s">
        <v>3311</v>
      </c>
      <c r="D826" s="365" t="s">
        <v>3312</v>
      </c>
      <c r="E826" s="365" t="s">
        <v>3313</v>
      </c>
      <c r="F826" s="365" t="s">
        <v>3314</v>
      </c>
      <c r="G826" s="370">
        <v>45595</v>
      </c>
      <c r="H826" s="369">
        <v>15000</v>
      </c>
      <c r="I826" s="365" t="s">
        <v>3315</v>
      </c>
      <c r="J826" s="365" t="s">
        <v>1228</v>
      </c>
      <c r="K826" s="365" t="s">
        <v>1229</v>
      </c>
      <c r="L826" s="370">
        <v>45579.653344907405</v>
      </c>
    </row>
    <row r="827" spans="1:12" s="365" customFormat="1" hidden="1">
      <c r="A827" s="370">
        <v>45579.651909722219</v>
      </c>
      <c r="B827" s="365" t="s">
        <v>3316</v>
      </c>
      <c r="C827" s="365" t="s">
        <v>3317</v>
      </c>
      <c r="D827" s="365" t="s">
        <v>1061</v>
      </c>
      <c r="E827" s="365" t="s">
        <v>1062</v>
      </c>
      <c r="F827" s="365" t="s">
        <v>3318</v>
      </c>
      <c r="G827" s="370">
        <v>45595</v>
      </c>
      <c r="H827" s="369">
        <v>49000</v>
      </c>
      <c r="I827" s="365" t="s">
        <v>3319</v>
      </c>
      <c r="J827" s="365" t="s">
        <v>1228</v>
      </c>
      <c r="K827" s="365" t="s">
        <v>1229</v>
      </c>
      <c r="L827" s="370">
        <v>45579.65353009259</v>
      </c>
    </row>
    <row r="828" spans="1:12" s="365" customFormat="1" hidden="1">
      <c r="A828" s="370">
        <v>45579.65284722222</v>
      </c>
      <c r="B828" s="365" t="s">
        <v>3272</v>
      </c>
      <c r="C828" s="365" t="s">
        <v>3273</v>
      </c>
      <c r="D828" s="365" t="s">
        <v>3274</v>
      </c>
      <c r="E828" s="365" t="s">
        <v>3275</v>
      </c>
      <c r="F828" s="365" t="s">
        <v>3276</v>
      </c>
      <c r="G828" s="370">
        <v>45595</v>
      </c>
      <c r="H828" s="369">
        <v>32500</v>
      </c>
      <c r="I828" s="365" t="s">
        <v>3277</v>
      </c>
      <c r="J828" s="365" t="s">
        <v>1228</v>
      </c>
      <c r="K828" s="365" t="s">
        <v>1229</v>
      </c>
      <c r="L828" s="370">
        <v>45579.65315972222</v>
      </c>
    </row>
    <row r="829" spans="1:12" s="365" customFormat="1" hidden="1">
      <c r="A829" s="370">
        <v>45579.700856481482</v>
      </c>
      <c r="B829" s="365" t="s">
        <v>3278</v>
      </c>
      <c r="C829" s="365" t="s">
        <v>3279</v>
      </c>
      <c r="D829" s="365" t="s">
        <v>1178</v>
      </c>
      <c r="E829" s="365" t="s">
        <v>1179</v>
      </c>
      <c r="F829" s="365" t="s">
        <v>3280</v>
      </c>
      <c r="G829" s="370">
        <v>45595</v>
      </c>
      <c r="H829" s="369">
        <v>24000</v>
      </c>
      <c r="I829" s="365" t="s">
        <v>3281</v>
      </c>
      <c r="J829" s="365" t="s">
        <v>1228</v>
      </c>
      <c r="K829" s="365" t="s">
        <v>1229</v>
      </c>
      <c r="L829" s="370">
        <v>45579.702592592592</v>
      </c>
    </row>
    <row r="830" spans="1:12" s="365" customFormat="1" hidden="1">
      <c r="A830" s="370">
        <v>45579.731481481482</v>
      </c>
      <c r="B830" s="365" t="s">
        <v>3282</v>
      </c>
      <c r="C830" s="365" t="s">
        <v>3283</v>
      </c>
      <c r="D830" s="365" t="s">
        <v>3284</v>
      </c>
      <c r="E830" s="365" t="s">
        <v>3285</v>
      </c>
      <c r="F830" s="365" t="s">
        <v>3286</v>
      </c>
      <c r="G830" s="370">
        <v>45595</v>
      </c>
      <c r="H830" s="369">
        <v>40000</v>
      </c>
      <c r="I830" s="365" t="s">
        <v>3287</v>
      </c>
      <c r="J830" s="365" t="s">
        <v>1228</v>
      </c>
      <c r="K830" s="365" t="s">
        <v>1229</v>
      </c>
      <c r="L830" s="370">
        <v>45579.733576388891</v>
      </c>
    </row>
    <row r="831" spans="1:12" s="365" customFormat="1" hidden="1">
      <c r="A831" s="370">
        <v>45579.867395833331</v>
      </c>
      <c r="B831" s="365" t="s">
        <v>3288</v>
      </c>
      <c r="C831" s="365" t="s">
        <v>3289</v>
      </c>
      <c r="D831" s="365" t="s">
        <v>3290</v>
      </c>
      <c r="E831" s="365" t="s">
        <v>3291</v>
      </c>
      <c r="F831" s="365" t="s">
        <v>3292</v>
      </c>
      <c r="G831" s="370">
        <v>45595</v>
      </c>
      <c r="H831" s="369">
        <v>15000</v>
      </c>
      <c r="I831" s="365" t="s">
        <v>3293</v>
      </c>
      <c r="J831" s="365" t="s">
        <v>1228</v>
      </c>
      <c r="K831" s="365" t="s">
        <v>1229</v>
      </c>
      <c r="L831" s="370">
        <v>45579.869143518517</v>
      </c>
    </row>
    <row r="832" spans="1:12" s="365" customFormat="1" hidden="1">
      <c r="A832" s="370">
        <v>45580.047569444447</v>
      </c>
      <c r="B832" s="365" t="s">
        <v>3350</v>
      </c>
      <c r="C832" s="365" t="s">
        <v>3351</v>
      </c>
      <c r="D832" s="365" t="s">
        <v>1052</v>
      </c>
      <c r="E832" s="365" t="s">
        <v>1053</v>
      </c>
      <c r="F832" s="365" t="s">
        <v>3352</v>
      </c>
      <c r="G832" s="370">
        <v>45595</v>
      </c>
      <c r="H832" s="369">
        <v>55000</v>
      </c>
      <c r="I832" s="365" t="s">
        <v>3353</v>
      </c>
      <c r="J832" s="365" t="s">
        <v>1228</v>
      </c>
      <c r="K832" s="365" t="s">
        <v>1229</v>
      </c>
      <c r="L832" s="370">
        <v>45580.125289351854</v>
      </c>
    </row>
    <row r="833" spans="1:12" s="365" customFormat="1" hidden="1">
      <c r="A833" s="370">
        <v>45580.29451388889</v>
      </c>
      <c r="B833" s="365" t="s">
        <v>3372</v>
      </c>
      <c r="C833" s="365" t="s">
        <v>3373</v>
      </c>
      <c r="D833" s="365" t="s">
        <v>3374</v>
      </c>
      <c r="E833" s="365" t="s">
        <v>3375</v>
      </c>
      <c r="F833" s="365" t="s">
        <v>3376</v>
      </c>
      <c r="G833" s="370">
        <v>45595</v>
      </c>
      <c r="H833" s="369">
        <v>27000</v>
      </c>
      <c r="I833" s="365" t="s">
        <v>3377</v>
      </c>
      <c r="J833" s="365" t="s">
        <v>1228</v>
      </c>
      <c r="K833" s="365" t="s">
        <v>1229</v>
      </c>
      <c r="L833" s="370">
        <v>45580.295729166668</v>
      </c>
    </row>
    <row r="834" spans="1:12" s="365" customFormat="1" hidden="1">
      <c r="A834" s="370">
        <v>45580.35119212963</v>
      </c>
      <c r="B834" s="365" t="s">
        <v>3378</v>
      </c>
      <c r="C834" s="365" t="s">
        <v>3379</v>
      </c>
      <c r="D834" s="365" t="s">
        <v>3380</v>
      </c>
      <c r="E834" s="365" t="s">
        <v>3381</v>
      </c>
      <c r="F834" s="365" t="s">
        <v>3382</v>
      </c>
      <c r="G834" s="370">
        <v>45595</v>
      </c>
      <c r="H834" s="369">
        <v>15000</v>
      </c>
      <c r="I834" s="365" t="s">
        <v>3383</v>
      </c>
      <c r="J834" s="365" t="s">
        <v>1228</v>
      </c>
      <c r="K834" s="365" t="s">
        <v>1229</v>
      </c>
      <c r="L834" s="370">
        <v>45580.354432870372</v>
      </c>
    </row>
    <row r="835" spans="1:12" s="365" customFormat="1" hidden="1">
      <c r="A835" s="370">
        <v>45580.351331018515</v>
      </c>
      <c r="B835" s="365" t="s">
        <v>3384</v>
      </c>
      <c r="C835" s="365" t="s">
        <v>3385</v>
      </c>
      <c r="D835" s="365" t="s">
        <v>3386</v>
      </c>
      <c r="E835" s="365" t="s">
        <v>3387</v>
      </c>
      <c r="F835" s="365" t="s">
        <v>3388</v>
      </c>
      <c r="G835" s="370">
        <v>45595</v>
      </c>
      <c r="H835" s="369">
        <v>15000</v>
      </c>
      <c r="I835" s="365" t="s">
        <v>3389</v>
      </c>
      <c r="J835" s="365" t="s">
        <v>1228</v>
      </c>
      <c r="K835" s="365" t="s">
        <v>1229</v>
      </c>
      <c r="L835" s="370">
        <v>45580.354444444441</v>
      </c>
    </row>
    <row r="836" spans="1:12" s="365" customFormat="1" hidden="1">
      <c r="A836" s="370">
        <v>45580.367430555554</v>
      </c>
      <c r="B836" s="365" t="s">
        <v>3390</v>
      </c>
      <c r="C836" s="365" t="s">
        <v>1250</v>
      </c>
      <c r="D836" s="365" t="s">
        <v>1251</v>
      </c>
      <c r="E836" s="365" t="s">
        <v>1252</v>
      </c>
      <c r="F836" s="365" t="s">
        <v>3391</v>
      </c>
      <c r="G836" s="370">
        <v>45595</v>
      </c>
      <c r="H836" s="369">
        <v>15000</v>
      </c>
      <c r="I836" s="365" t="s">
        <v>3392</v>
      </c>
      <c r="J836" s="365" t="s">
        <v>1228</v>
      </c>
      <c r="K836" s="365" t="s">
        <v>1229</v>
      </c>
      <c r="L836" s="370">
        <v>45580.368125000001</v>
      </c>
    </row>
    <row r="837" spans="1:12" s="365" customFormat="1" hidden="1">
      <c r="A837" s="370">
        <v>45580.370648148149</v>
      </c>
      <c r="B837" s="365" t="s">
        <v>3320</v>
      </c>
      <c r="C837" s="365" t="s">
        <v>3321</v>
      </c>
      <c r="D837" s="365" t="s">
        <v>1176</v>
      </c>
      <c r="E837" s="365" t="s">
        <v>1177</v>
      </c>
      <c r="F837" s="365" t="s">
        <v>3322</v>
      </c>
      <c r="G837" s="370">
        <v>45560</v>
      </c>
      <c r="H837" s="369">
        <v>15000</v>
      </c>
      <c r="I837" s="365" t="s">
        <v>3323</v>
      </c>
      <c r="J837" s="365" t="s">
        <v>1228</v>
      </c>
      <c r="K837" s="365" t="s">
        <v>1229</v>
      </c>
      <c r="L837" s="370">
        <v>45580.371851851851</v>
      </c>
    </row>
    <row r="838" spans="1:12" s="365" customFormat="1" hidden="1">
      <c r="A838" s="370">
        <v>45580.390601851854</v>
      </c>
      <c r="B838" s="365" t="s">
        <v>3354</v>
      </c>
      <c r="C838" s="365" t="s">
        <v>1616</v>
      </c>
      <c r="D838" s="365" t="s">
        <v>1617</v>
      </c>
      <c r="E838" s="365" t="s">
        <v>1618</v>
      </c>
      <c r="F838" s="365" t="s">
        <v>3355</v>
      </c>
      <c r="G838" s="370">
        <v>45595</v>
      </c>
      <c r="H838" s="369">
        <v>20999</v>
      </c>
      <c r="I838" s="365" t="s">
        <v>3356</v>
      </c>
      <c r="J838" s="365" t="s">
        <v>1228</v>
      </c>
      <c r="K838" s="365" t="s">
        <v>1229</v>
      </c>
      <c r="L838" s="370">
        <v>45580.392581018517</v>
      </c>
    </row>
    <row r="839" spans="1:12" s="365" customFormat="1" hidden="1">
      <c r="A839" s="370">
        <v>45580.463506944441</v>
      </c>
      <c r="B839" s="365" t="s">
        <v>3393</v>
      </c>
      <c r="C839" s="365" t="s">
        <v>3394</v>
      </c>
      <c r="D839" s="365" t="s">
        <v>3395</v>
      </c>
      <c r="E839" s="365" t="s">
        <v>3396</v>
      </c>
      <c r="F839" s="365" t="s">
        <v>3397</v>
      </c>
      <c r="G839" s="370">
        <v>45595</v>
      </c>
      <c r="H839" s="369">
        <v>15999</v>
      </c>
      <c r="I839" s="365" t="s">
        <v>3398</v>
      </c>
      <c r="J839" s="365" t="s">
        <v>1228</v>
      </c>
      <c r="K839" s="365" t="s">
        <v>1229</v>
      </c>
      <c r="L839" s="370">
        <v>45580.465543981481</v>
      </c>
    </row>
    <row r="840" spans="1:12" s="365" customFormat="1" hidden="1">
      <c r="A840" s="370">
        <v>45580.475902777776</v>
      </c>
      <c r="B840" s="365" t="s">
        <v>3399</v>
      </c>
      <c r="C840" s="365" t="s">
        <v>3400</v>
      </c>
      <c r="D840" s="365" t="s">
        <v>2367</v>
      </c>
      <c r="E840" s="365" t="s">
        <v>2368</v>
      </c>
      <c r="F840" s="365" t="s">
        <v>3401</v>
      </c>
      <c r="G840" s="370">
        <v>45595</v>
      </c>
      <c r="H840" s="369">
        <v>27000</v>
      </c>
      <c r="I840" s="365" t="s">
        <v>3402</v>
      </c>
      <c r="J840" s="365" t="s">
        <v>1228</v>
      </c>
      <c r="K840" s="365" t="s">
        <v>1229</v>
      </c>
      <c r="L840" s="370">
        <v>45580.476215277777</v>
      </c>
    </row>
    <row r="841" spans="1:12" s="365" customFormat="1" hidden="1">
      <c r="A841" s="370">
        <v>45580.493078703701</v>
      </c>
      <c r="B841" s="365" t="s">
        <v>3403</v>
      </c>
      <c r="C841" s="365" t="s">
        <v>3404</v>
      </c>
      <c r="D841" s="365" t="s">
        <v>3405</v>
      </c>
      <c r="E841" s="365" t="s">
        <v>3406</v>
      </c>
      <c r="F841" s="365" t="s">
        <v>3407</v>
      </c>
      <c r="G841" s="370">
        <v>45595</v>
      </c>
      <c r="H841" s="369">
        <v>15999</v>
      </c>
      <c r="I841" s="365" t="s">
        <v>3408</v>
      </c>
      <c r="J841" s="365" t="s">
        <v>1228</v>
      </c>
      <c r="K841" s="365" t="s">
        <v>1229</v>
      </c>
      <c r="L841" s="370">
        <v>45580.493298611109</v>
      </c>
    </row>
    <row r="842" spans="1:12" s="365" customFormat="1" hidden="1">
      <c r="A842" s="370">
        <v>45580.54005787037</v>
      </c>
      <c r="B842" s="365" t="s">
        <v>3357</v>
      </c>
      <c r="C842" s="365" t="s">
        <v>3358</v>
      </c>
      <c r="D842" s="365" t="s">
        <v>3359</v>
      </c>
      <c r="E842" s="365" t="s">
        <v>3360</v>
      </c>
      <c r="F842" s="365" t="s">
        <v>3361</v>
      </c>
      <c r="G842" s="370">
        <v>45595</v>
      </c>
      <c r="H842" s="369">
        <v>57400</v>
      </c>
      <c r="I842" s="365" t="s">
        <v>3362</v>
      </c>
      <c r="J842" s="365" t="s">
        <v>1228</v>
      </c>
      <c r="K842" s="365" t="s">
        <v>1229</v>
      </c>
      <c r="L842" s="370">
        <v>45580.542083333334</v>
      </c>
    </row>
    <row r="843" spans="1:12" s="365" customFormat="1" hidden="1">
      <c r="A843" s="370">
        <v>45580.543807870374</v>
      </c>
      <c r="B843" s="365" t="s">
        <v>3324</v>
      </c>
      <c r="C843" s="365" t="s">
        <v>2547</v>
      </c>
      <c r="D843" s="365" t="s">
        <v>2548</v>
      </c>
      <c r="E843" s="365" t="s">
        <v>2549</v>
      </c>
      <c r="F843" s="365" t="s">
        <v>3325</v>
      </c>
      <c r="G843" s="370">
        <v>45595</v>
      </c>
      <c r="H843" s="369">
        <v>49999</v>
      </c>
      <c r="I843" s="365" t="s">
        <v>3326</v>
      </c>
      <c r="J843" s="365" t="s">
        <v>1228</v>
      </c>
      <c r="K843" s="365" t="s">
        <v>1229</v>
      </c>
      <c r="L843" s="370">
        <v>45580.545636574076</v>
      </c>
    </row>
    <row r="844" spans="1:12" s="365" customFormat="1" hidden="1">
      <c r="A844" s="370">
        <v>45580.555937500001</v>
      </c>
      <c r="B844" s="365" t="s">
        <v>3327</v>
      </c>
      <c r="C844" s="365" t="s">
        <v>2547</v>
      </c>
      <c r="D844" s="365" t="s">
        <v>3328</v>
      </c>
      <c r="E844" s="365" t="s">
        <v>3329</v>
      </c>
      <c r="F844" s="365" t="s">
        <v>3330</v>
      </c>
      <c r="G844" s="370">
        <v>45595</v>
      </c>
      <c r="H844" s="369">
        <v>20999</v>
      </c>
      <c r="I844" s="365" t="s">
        <v>3331</v>
      </c>
      <c r="J844" s="365" t="s">
        <v>1228</v>
      </c>
      <c r="K844" s="365" t="s">
        <v>1229</v>
      </c>
      <c r="L844" s="370">
        <v>45580.559525462966</v>
      </c>
    </row>
    <row r="845" spans="1:12" s="365" customFormat="1" hidden="1">
      <c r="A845" s="370">
        <v>45580.585775462961</v>
      </c>
      <c r="B845" s="365" t="s">
        <v>3409</v>
      </c>
      <c r="C845" s="365" t="s">
        <v>2547</v>
      </c>
      <c r="D845" s="365" t="s">
        <v>3328</v>
      </c>
      <c r="E845" s="365" t="s">
        <v>3329</v>
      </c>
      <c r="F845" s="365" t="s">
        <v>3410</v>
      </c>
      <c r="G845" s="370">
        <v>45560</v>
      </c>
      <c r="H845" s="369">
        <v>20999</v>
      </c>
      <c r="I845" s="365" t="s">
        <v>3411</v>
      </c>
      <c r="J845" s="365" t="s">
        <v>1228</v>
      </c>
      <c r="K845" s="365" t="s">
        <v>1229</v>
      </c>
      <c r="L845" s="370">
        <v>45580.58730324074</v>
      </c>
    </row>
    <row r="846" spans="1:12" s="365" customFormat="1" hidden="1">
      <c r="A846" s="370">
        <v>45580.586678240739</v>
      </c>
      <c r="B846" s="365" t="s">
        <v>3412</v>
      </c>
      <c r="C846" s="365" t="s">
        <v>2547</v>
      </c>
      <c r="D846" s="365" t="s">
        <v>3328</v>
      </c>
      <c r="E846" s="365" t="s">
        <v>3329</v>
      </c>
      <c r="F846" s="365" t="s">
        <v>3413</v>
      </c>
      <c r="G846" s="370">
        <v>45530</v>
      </c>
      <c r="H846" s="369">
        <v>20999</v>
      </c>
      <c r="I846" s="365" t="s">
        <v>3414</v>
      </c>
      <c r="J846" s="365" t="s">
        <v>1228</v>
      </c>
      <c r="K846" s="365" t="s">
        <v>1229</v>
      </c>
      <c r="L846" s="370">
        <v>45580.587476851855</v>
      </c>
    </row>
    <row r="847" spans="1:12" s="365" customFormat="1" hidden="1">
      <c r="A847" s="370">
        <v>45580.605636574073</v>
      </c>
      <c r="B847" s="365" t="s">
        <v>3363</v>
      </c>
      <c r="C847" s="365" t="s">
        <v>1979</v>
      </c>
      <c r="D847" s="365" t="s">
        <v>1980</v>
      </c>
      <c r="E847" s="365" t="s">
        <v>1981</v>
      </c>
      <c r="F847" s="365" t="s">
        <v>3364</v>
      </c>
      <c r="G847" s="370">
        <v>45595</v>
      </c>
      <c r="H847" s="369">
        <v>12000</v>
      </c>
      <c r="I847" s="365" t="s">
        <v>3365</v>
      </c>
      <c r="J847" s="365" t="s">
        <v>1228</v>
      </c>
      <c r="K847" s="365" t="s">
        <v>1229</v>
      </c>
      <c r="L847" s="370">
        <v>45580.607754629629</v>
      </c>
    </row>
    <row r="848" spans="1:12" s="365" customFormat="1" hidden="1">
      <c r="A848" s="370">
        <v>45580.634930555556</v>
      </c>
      <c r="B848" s="365" t="s">
        <v>3332</v>
      </c>
      <c r="C848" s="365" t="s">
        <v>3333</v>
      </c>
      <c r="D848" s="365" t="s">
        <v>3334</v>
      </c>
      <c r="E848" s="365" t="s">
        <v>3335</v>
      </c>
      <c r="F848" s="365" t="s">
        <v>3336</v>
      </c>
      <c r="G848" s="370">
        <v>45595</v>
      </c>
      <c r="H848" s="369">
        <v>15000</v>
      </c>
      <c r="I848" s="365" t="s">
        <v>3337</v>
      </c>
      <c r="J848" s="365" t="s">
        <v>1228</v>
      </c>
      <c r="K848" s="365" t="s">
        <v>1229</v>
      </c>
      <c r="L848" s="370">
        <v>45580.635682870372</v>
      </c>
    </row>
    <row r="849" spans="1:12" s="365" customFormat="1" hidden="1">
      <c r="A849" s="370">
        <v>45580.643275462964</v>
      </c>
      <c r="B849" s="365" t="s">
        <v>3366</v>
      </c>
      <c r="C849" s="365" t="s">
        <v>3367</v>
      </c>
      <c r="D849" s="365" t="s">
        <v>3368</v>
      </c>
      <c r="E849" s="365" t="s">
        <v>3369</v>
      </c>
      <c r="F849" s="365" t="s">
        <v>3370</v>
      </c>
      <c r="G849" s="370">
        <v>45595</v>
      </c>
      <c r="H849" s="369">
        <v>18000</v>
      </c>
      <c r="I849" s="365" t="s">
        <v>3371</v>
      </c>
      <c r="J849" s="365" t="s">
        <v>1228</v>
      </c>
      <c r="K849" s="365" t="s">
        <v>1229</v>
      </c>
      <c r="L849" s="370">
        <v>45580.646365740744</v>
      </c>
    </row>
    <row r="850" spans="1:12" s="365" customFormat="1" hidden="1">
      <c r="A850" s="370">
        <v>45580.666712962964</v>
      </c>
      <c r="B850" s="365" t="s">
        <v>3338</v>
      </c>
      <c r="C850" s="365" t="s">
        <v>3339</v>
      </c>
      <c r="D850" s="365" t="s">
        <v>3340</v>
      </c>
      <c r="E850" s="365" t="s">
        <v>3341</v>
      </c>
      <c r="F850" s="365" t="s">
        <v>3342</v>
      </c>
      <c r="G850" s="370">
        <v>45595</v>
      </c>
      <c r="H850" s="369">
        <v>65400</v>
      </c>
      <c r="I850" s="365" t="s">
        <v>3343</v>
      </c>
      <c r="J850" s="365" t="s">
        <v>1228</v>
      </c>
      <c r="K850" s="365" t="s">
        <v>1229</v>
      </c>
      <c r="L850" s="370">
        <v>45580.667013888888</v>
      </c>
    </row>
    <row r="851" spans="1:12" s="365" customFormat="1" hidden="1">
      <c r="A851" s="370">
        <v>45580.795439814814</v>
      </c>
      <c r="B851" s="365" t="s">
        <v>3415</v>
      </c>
      <c r="C851" s="365" t="s">
        <v>3416</v>
      </c>
      <c r="D851" s="365" t="s">
        <v>3417</v>
      </c>
      <c r="E851" s="365" t="s">
        <v>3418</v>
      </c>
      <c r="F851" s="365" t="s">
        <v>3419</v>
      </c>
      <c r="G851" s="370">
        <v>45595</v>
      </c>
      <c r="H851" s="369">
        <v>30000</v>
      </c>
      <c r="I851" s="365" t="s">
        <v>3420</v>
      </c>
      <c r="J851" s="365" t="s">
        <v>1228</v>
      </c>
      <c r="K851" s="365" t="s">
        <v>1229</v>
      </c>
      <c r="L851" s="370">
        <v>45580.799085648148</v>
      </c>
    </row>
    <row r="852" spans="1:12" s="365" customFormat="1" hidden="1">
      <c r="A852" s="370">
        <v>45580.840185185189</v>
      </c>
      <c r="B852" s="365" t="s">
        <v>3344</v>
      </c>
      <c r="C852" s="365" t="s">
        <v>3345</v>
      </c>
      <c r="D852" s="365" t="s">
        <v>3346</v>
      </c>
      <c r="E852" s="365" t="s">
        <v>3347</v>
      </c>
      <c r="F852" s="365" t="s">
        <v>3348</v>
      </c>
      <c r="G852" s="370">
        <v>45595</v>
      </c>
      <c r="H852" s="369">
        <v>31999</v>
      </c>
      <c r="I852" s="365" t="s">
        <v>3349</v>
      </c>
      <c r="J852" s="365" t="s">
        <v>1228</v>
      </c>
      <c r="K852" s="365" t="s">
        <v>1229</v>
      </c>
      <c r="L852" s="370">
        <v>45580.84070601852</v>
      </c>
    </row>
    <row r="853" spans="1:12" s="365" customFormat="1" hidden="1">
      <c r="A853" s="370">
        <v>45581.019074074073</v>
      </c>
      <c r="B853" s="365" t="s">
        <v>3421</v>
      </c>
      <c r="C853" s="365" t="s">
        <v>3422</v>
      </c>
      <c r="D853" s="365" t="s">
        <v>3423</v>
      </c>
      <c r="E853" s="365" t="s">
        <v>3424</v>
      </c>
      <c r="F853" s="365" t="s">
        <v>3425</v>
      </c>
      <c r="G853" s="370">
        <v>45560</v>
      </c>
      <c r="H853" s="369">
        <v>33000</v>
      </c>
      <c r="I853" s="365" t="s">
        <v>3426</v>
      </c>
      <c r="J853" s="365" t="s">
        <v>1228</v>
      </c>
      <c r="K853" s="365" t="s">
        <v>1229</v>
      </c>
      <c r="L853" s="370">
        <v>45581.125590277778</v>
      </c>
    </row>
    <row r="854" spans="1:12" s="365" customFormat="1" hidden="1">
      <c r="A854" s="370">
        <v>45581.032719907409</v>
      </c>
      <c r="B854" s="365" t="s">
        <v>3581</v>
      </c>
      <c r="C854" s="365" t="s">
        <v>3582</v>
      </c>
      <c r="D854" s="365" t="s">
        <v>3583</v>
      </c>
      <c r="E854" s="365" t="s">
        <v>3584</v>
      </c>
      <c r="F854" s="365" t="s">
        <v>3585</v>
      </c>
      <c r="G854" s="370">
        <v>45595</v>
      </c>
      <c r="H854" s="369">
        <v>9000</v>
      </c>
      <c r="I854" s="365" t="s">
        <v>3586</v>
      </c>
      <c r="J854" s="365" t="s">
        <v>1228</v>
      </c>
      <c r="K854" s="365" t="s">
        <v>1229</v>
      </c>
      <c r="L854" s="370">
        <v>45581.125810185185</v>
      </c>
    </row>
    <row r="855" spans="1:12" s="365" customFormat="1" hidden="1">
      <c r="A855" s="370">
        <v>45581.300578703704</v>
      </c>
      <c r="B855" s="365" t="s">
        <v>3427</v>
      </c>
      <c r="C855" s="365" t="s">
        <v>3428</v>
      </c>
      <c r="D855" s="365" t="s">
        <v>3429</v>
      </c>
      <c r="E855" s="365" t="s">
        <v>3430</v>
      </c>
      <c r="F855" s="365" t="s">
        <v>3431</v>
      </c>
      <c r="G855" s="370">
        <v>45595</v>
      </c>
      <c r="H855" s="369">
        <v>20999</v>
      </c>
      <c r="I855" s="365" t="s">
        <v>3432</v>
      </c>
      <c r="J855" s="365" t="s">
        <v>1228</v>
      </c>
      <c r="K855" s="365" t="s">
        <v>1229</v>
      </c>
      <c r="L855" s="370">
        <v>45581.303067129629</v>
      </c>
    </row>
    <row r="856" spans="1:12" s="365" customFormat="1" hidden="1">
      <c r="A856" s="370">
        <v>45581.346712962964</v>
      </c>
      <c r="B856" s="365" t="s">
        <v>3433</v>
      </c>
      <c r="C856" s="365" t="s">
        <v>3434</v>
      </c>
      <c r="D856" s="365" t="s">
        <v>3435</v>
      </c>
      <c r="E856" s="365" t="s">
        <v>3436</v>
      </c>
      <c r="F856" s="365" t="s">
        <v>3437</v>
      </c>
      <c r="G856" s="370">
        <v>45595</v>
      </c>
      <c r="H856" s="369">
        <v>77000</v>
      </c>
      <c r="I856" s="365" t="s">
        <v>3438</v>
      </c>
      <c r="J856" s="365" t="s">
        <v>1228</v>
      </c>
      <c r="K856" s="365" t="s">
        <v>1229</v>
      </c>
      <c r="L856" s="370">
        <v>45581.348275462966</v>
      </c>
    </row>
    <row r="857" spans="1:12" s="365" customFormat="1" hidden="1">
      <c r="A857" s="370">
        <v>45581.35732638889</v>
      </c>
      <c r="B857" s="365" t="s">
        <v>3439</v>
      </c>
      <c r="C857" s="365" t="s">
        <v>3440</v>
      </c>
      <c r="D857" s="365" t="s">
        <v>3441</v>
      </c>
      <c r="E857" s="365" t="s">
        <v>3442</v>
      </c>
      <c r="F857" s="365" t="s">
        <v>3443</v>
      </c>
      <c r="G857" s="370">
        <v>45560</v>
      </c>
      <c r="H857" s="369">
        <v>89591</v>
      </c>
      <c r="I857" s="365" t="s">
        <v>3444</v>
      </c>
      <c r="J857" s="365" t="s">
        <v>1228</v>
      </c>
      <c r="K857" s="365" t="s">
        <v>1229</v>
      </c>
      <c r="L857" s="370">
        <v>45581.358611111114</v>
      </c>
    </row>
    <row r="858" spans="1:12" s="365" customFormat="1" hidden="1">
      <c r="A858" s="370">
        <v>45581.394583333335</v>
      </c>
      <c r="B858" s="365" t="s">
        <v>3445</v>
      </c>
      <c r="C858" s="365" t="s">
        <v>1653</v>
      </c>
      <c r="D858" s="365" t="s">
        <v>1654</v>
      </c>
      <c r="E858" s="365" t="s">
        <v>1655</v>
      </c>
      <c r="F858" s="365" t="s">
        <v>3446</v>
      </c>
      <c r="G858" s="370">
        <v>45560</v>
      </c>
      <c r="H858" s="369">
        <v>89000</v>
      </c>
      <c r="I858" s="365" t="s">
        <v>3447</v>
      </c>
      <c r="J858" s="365" t="s">
        <v>1228</v>
      </c>
      <c r="K858" s="365" t="s">
        <v>1229</v>
      </c>
      <c r="L858" s="370">
        <v>45581.396770833337</v>
      </c>
    </row>
    <row r="859" spans="1:12" s="365" customFormat="1" hidden="1">
      <c r="A859" s="370">
        <v>45581.396053240744</v>
      </c>
      <c r="B859" s="365" t="s">
        <v>3448</v>
      </c>
      <c r="C859" s="365" t="s">
        <v>3449</v>
      </c>
      <c r="D859" s="365" t="s">
        <v>3450</v>
      </c>
      <c r="E859" s="365" t="s">
        <v>3451</v>
      </c>
      <c r="F859" s="365" t="s">
        <v>3452</v>
      </c>
      <c r="G859" s="370">
        <v>45595</v>
      </c>
      <c r="H859" s="369">
        <v>9000</v>
      </c>
      <c r="I859" s="365" t="s">
        <v>3453</v>
      </c>
      <c r="J859" s="365" t="s">
        <v>1228</v>
      </c>
      <c r="K859" s="365" t="s">
        <v>1229</v>
      </c>
      <c r="L859" s="370">
        <v>45581.396944444445</v>
      </c>
    </row>
    <row r="860" spans="1:12" s="365" customFormat="1" hidden="1">
      <c r="A860" s="370">
        <v>45581.41028935185</v>
      </c>
      <c r="B860" s="365" t="s">
        <v>3454</v>
      </c>
      <c r="C860" s="365" t="s">
        <v>3455</v>
      </c>
      <c r="D860" s="365" t="s">
        <v>3456</v>
      </c>
      <c r="E860" s="365" t="s">
        <v>3457</v>
      </c>
      <c r="F860" s="365" t="s">
        <v>3458</v>
      </c>
      <c r="G860" s="370">
        <v>45595</v>
      </c>
      <c r="H860" s="369">
        <v>9000</v>
      </c>
      <c r="I860" s="365" t="s">
        <v>3459</v>
      </c>
      <c r="J860" s="365" t="s">
        <v>1228</v>
      </c>
      <c r="K860" s="365" t="s">
        <v>1229</v>
      </c>
      <c r="L860" s="370">
        <v>45581.41064814815</v>
      </c>
    </row>
    <row r="861" spans="1:12" s="365" customFormat="1" hidden="1">
      <c r="A861" s="370">
        <v>45581.412141203706</v>
      </c>
      <c r="B861" s="365" t="s">
        <v>3587</v>
      </c>
      <c r="C861" s="365" t="s">
        <v>3455</v>
      </c>
      <c r="D861" s="365" t="s">
        <v>3588</v>
      </c>
      <c r="E861" s="365" t="s">
        <v>3589</v>
      </c>
      <c r="F861" s="365" t="s">
        <v>3590</v>
      </c>
      <c r="G861" s="370">
        <v>45595</v>
      </c>
      <c r="H861" s="369">
        <v>9000</v>
      </c>
      <c r="I861" s="365" t="s">
        <v>3591</v>
      </c>
      <c r="J861" s="365" t="s">
        <v>1228</v>
      </c>
      <c r="K861" s="365" t="s">
        <v>1229</v>
      </c>
      <c r="L861" s="370">
        <v>45581.414039351854</v>
      </c>
    </row>
    <row r="862" spans="1:12" s="365" customFormat="1" hidden="1">
      <c r="A862" s="370">
        <v>45581.447141203702</v>
      </c>
      <c r="B862" s="365" t="s">
        <v>3460</v>
      </c>
      <c r="C862" s="365" t="s">
        <v>2124</v>
      </c>
      <c r="D862" s="365" t="s">
        <v>2125</v>
      </c>
      <c r="E862" s="365" t="s">
        <v>2126</v>
      </c>
      <c r="F862" s="365" t="s">
        <v>3461</v>
      </c>
      <c r="G862" s="370">
        <v>45595</v>
      </c>
      <c r="H862" s="369">
        <v>15999</v>
      </c>
      <c r="I862" s="365" t="s">
        <v>3462</v>
      </c>
      <c r="J862" s="365" t="s">
        <v>1228</v>
      </c>
      <c r="K862" s="365" t="s">
        <v>1229</v>
      </c>
      <c r="L862" s="370">
        <v>45581.44908564815</v>
      </c>
    </row>
    <row r="863" spans="1:12" s="365" customFormat="1" hidden="1">
      <c r="A863" s="370">
        <v>45581.470034722224</v>
      </c>
      <c r="B863" s="365" t="s">
        <v>3535</v>
      </c>
      <c r="C863" s="365" t="s">
        <v>1230</v>
      </c>
      <c r="D863" s="365" t="s">
        <v>3536</v>
      </c>
      <c r="E863" s="365" t="s">
        <v>3537</v>
      </c>
      <c r="F863" s="365" t="s">
        <v>3538</v>
      </c>
      <c r="G863" s="370">
        <v>45560</v>
      </c>
      <c r="H863" s="369">
        <v>15000</v>
      </c>
      <c r="I863" s="365" t="s">
        <v>3539</v>
      </c>
      <c r="J863" s="365" t="s">
        <v>1228</v>
      </c>
      <c r="K863" s="365" t="s">
        <v>1229</v>
      </c>
      <c r="L863" s="370">
        <v>45581.47388888889</v>
      </c>
    </row>
    <row r="864" spans="1:12" s="365" customFormat="1" hidden="1">
      <c r="A864" s="370">
        <v>45581.470590277779</v>
      </c>
      <c r="B864" s="365" t="s">
        <v>3463</v>
      </c>
      <c r="C864" s="365" t="s">
        <v>1230</v>
      </c>
      <c r="D864" s="365" t="s">
        <v>3464</v>
      </c>
      <c r="E864" s="365" t="s">
        <v>3465</v>
      </c>
      <c r="F864" s="365" t="s">
        <v>3466</v>
      </c>
      <c r="G864" s="370">
        <v>45560</v>
      </c>
      <c r="H864" s="369">
        <v>15000</v>
      </c>
      <c r="I864" s="365" t="s">
        <v>3467</v>
      </c>
      <c r="J864" s="365" t="s">
        <v>1228</v>
      </c>
      <c r="K864" s="365" t="s">
        <v>1229</v>
      </c>
      <c r="L864" s="370">
        <v>45581.473333333335</v>
      </c>
    </row>
    <row r="865" spans="1:12" s="365" customFormat="1" hidden="1">
      <c r="A865" s="370">
        <v>45581.47142361111</v>
      </c>
      <c r="B865" s="365" t="s">
        <v>3468</v>
      </c>
      <c r="C865" s="365" t="s">
        <v>1230</v>
      </c>
      <c r="D865" s="365" t="s">
        <v>3469</v>
      </c>
      <c r="E865" s="365" t="s">
        <v>3470</v>
      </c>
      <c r="F865" s="365" t="s">
        <v>3471</v>
      </c>
      <c r="G865" s="370">
        <v>45560</v>
      </c>
      <c r="H865" s="369">
        <v>15000</v>
      </c>
      <c r="I865" s="365" t="s">
        <v>3472</v>
      </c>
      <c r="J865" s="365" t="s">
        <v>1228</v>
      </c>
      <c r="K865" s="365" t="s">
        <v>1229</v>
      </c>
      <c r="L865" s="370">
        <v>45581.47351851852</v>
      </c>
    </row>
    <row r="866" spans="1:12" s="365" customFormat="1" hidden="1">
      <c r="A866" s="370">
        <v>45581.472199074073</v>
      </c>
      <c r="B866" s="365" t="s">
        <v>3473</v>
      </c>
      <c r="C866" s="365" t="s">
        <v>1230</v>
      </c>
      <c r="D866" s="365" t="s">
        <v>3474</v>
      </c>
      <c r="E866" s="365" t="s">
        <v>3475</v>
      </c>
      <c r="F866" s="365" t="s">
        <v>3476</v>
      </c>
      <c r="G866" s="370">
        <v>45560</v>
      </c>
      <c r="H866" s="369">
        <v>15999</v>
      </c>
      <c r="I866" s="365" t="s">
        <v>3477</v>
      </c>
      <c r="J866" s="365" t="s">
        <v>1228</v>
      </c>
      <c r="K866" s="365" t="s">
        <v>1229</v>
      </c>
      <c r="L866" s="370">
        <v>45581.473703703705</v>
      </c>
    </row>
    <row r="867" spans="1:12" s="365" customFormat="1" hidden="1">
      <c r="A867" s="370">
        <v>45581.473495370374</v>
      </c>
      <c r="B867" s="365" t="s">
        <v>3592</v>
      </c>
      <c r="C867" s="365" t="s">
        <v>1230</v>
      </c>
      <c r="D867" s="365" t="s">
        <v>3593</v>
      </c>
      <c r="E867" s="365" t="s">
        <v>3594</v>
      </c>
      <c r="F867" s="365" t="s">
        <v>3595</v>
      </c>
      <c r="G867" s="370">
        <v>45560</v>
      </c>
      <c r="H867" s="369">
        <v>18000</v>
      </c>
      <c r="I867" s="365" t="s">
        <v>3596</v>
      </c>
      <c r="J867" s="365" t="s">
        <v>1228</v>
      </c>
      <c r="K867" s="365" t="s">
        <v>1229</v>
      </c>
      <c r="L867" s="370">
        <v>45581.477731481478</v>
      </c>
    </row>
    <row r="868" spans="1:12" s="365" customFormat="1" hidden="1">
      <c r="A868" s="370">
        <v>45581.476006944446</v>
      </c>
      <c r="B868" s="365" t="s">
        <v>3478</v>
      </c>
      <c r="C868" s="365" t="s">
        <v>1230</v>
      </c>
      <c r="D868" s="365" t="s">
        <v>1366</v>
      </c>
      <c r="E868" s="365" t="s">
        <v>1367</v>
      </c>
      <c r="F868" s="365" t="s">
        <v>3479</v>
      </c>
      <c r="G868" s="370">
        <v>45560</v>
      </c>
      <c r="H868" s="369">
        <v>9000</v>
      </c>
      <c r="I868" s="365" t="s">
        <v>3480</v>
      </c>
      <c r="J868" s="365" t="s">
        <v>1228</v>
      </c>
      <c r="K868" s="365" t="s">
        <v>1229</v>
      </c>
      <c r="L868" s="370">
        <v>45581.47755787037</v>
      </c>
    </row>
    <row r="869" spans="1:12" s="365" customFormat="1" hidden="1">
      <c r="A869" s="370">
        <v>45581.485729166663</v>
      </c>
      <c r="B869" s="365" t="s">
        <v>3597</v>
      </c>
      <c r="C869" s="365" t="s">
        <v>2237</v>
      </c>
      <c r="D869" s="365" t="s">
        <v>3598</v>
      </c>
      <c r="E869" s="365" t="s">
        <v>3599</v>
      </c>
      <c r="F869" s="365" t="s">
        <v>3600</v>
      </c>
      <c r="G869" s="370">
        <v>45560</v>
      </c>
      <c r="H869" s="369">
        <v>40999</v>
      </c>
      <c r="I869" s="365" t="s">
        <v>3601</v>
      </c>
      <c r="J869" s="365" t="s">
        <v>1228</v>
      </c>
      <c r="K869" s="365" t="s">
        <v>1229</v>
      </c>
      <c r="L869" s="370">
        <v>45581.487870370373</v>
      </c>
    </row>
    <row r="870" spans="1:12" s="365" customFormat="1" hidden="1">
      <c r="A870" s="370">
        <v>45581.489120370374</v>
      </c>
      <c r="B870" s="365" t="s">
        <v>3481</v>
      </c>
      <c r="C870" s="365" t="s">
        <v>3482</v>
      </c>
      <c r="D870" s="365" t="s">
        <v>3483</v>
      </c>
      <c r="E870" s="365" t="s">
        <v>3484</v>
      </c>
      <c r="F870" s="365" t="s">
        <v>3485</v>
      </c>
      <c r="G870" s="370">
        <v>45560</v>
      </c>
      <c r="H870" s="369">
        <v>18000</v>
      </c>
      <c r="I870" s="365" t="s">
        <v>3486</v>
      </c>
      <c r="J870" s="365" t="s">
        <v>1228</v>
      </c>
      <c r="K870" s="365" t="s">
        <v>1229</v>
      </c>
      <c r="L870" s="370">
        <v>45581.49145833333</v>
      </c>
    </row>
    <row r="871" spans="1:12" s="365" customFormat="1" hidden="1">
      <c r="A871" s="370">
        <v>45581.489305555559</v>
      </c>
      <c r="B871" s="365" t="s">
        <v>3540</v>
      </c>
      <c r="C871" s="365" t="s">
        <v>1230</v>
      </c>
      <c r="D871" s="365" t="s">
        <v>3541</v>
      </c>
      <c r="E871" s="365" t="s">
        <v>3542</v>
      </c>
      <c r="F871" s="365" t="s">
        <v>3543</v>
      </c>
      <c r="G871" s="370">
        <v>45560</v>
      </c>
      <c r="H871" s="369">
        <v>21000</v>
      </c>
      <c r="I871" s="365" t="s">
        <v>3544</v>
      </c>
      <c r="J871" s="365" t="s">
        <v>1228</v>
      </c>
      <c r="K871" s="365" t="s">
        <v>1229</v>
      </c>
      <c r="L871" s="370">
        <v>45581.491631944446</v>
      </c>
    </row>
    <row r="872" spans="1:12" s="365" customFormat="1" hidden="1">
      <c r="A872" s="370">
        <v>45581.490972222222</v>
      </c>
      <c r="B872" s="365" t="s">
        <v>3602</v>
      </c>
      <c r="C872" s="365" t="s">
        <v>3603</v>
      </c>
      <c r="D872" s="365" t="s">
        <v>3604</v>
      </c>
      <c r="E872" s="365" t="s">
        <v>3605</v>
      </c>
      <c r="F872" s="365" t="s">
        <v>3606</v>
      </c>
      <c r="G872" s="370">
        <v>45595</v>
      </c>
      <c r="H872" s="369">
        <v>52000</v>
      </c>
      <c r="I872" s="365" t="s">
        <v>3607</v>
      </c>
      <c r="J872" s="365" t="s">
        <v>1228</v>
      </c>
      <c r="K872" s="365" t="s">
        <v>1229</v>
      </c>
      <c r="L872" s="370">
        <v>45581.49181712963</v>
      </c>
    </row>
    <row r="873" spans="1:12" s="365" customFormat="1" hidden="1">
      <c r="A873" s="370">
        <v>45581.491365740738</v>
      </c>
      <c r="B873" s="365" t="s">
        <v>3487</v>
      </c>
      <c r="C873" s="365" t="s">
        <v>1230</v>
      </c>
      <c r="D873" s="365" t="s">
        <v>1303</v>
      </c>
      <c r="E873" s="365" t="s">
        <v>1304</v>
      </c>
      <c r="F873" s="365" t="s">
        <v>3488</v>
      </c>
      <c r="G873" s="370">
        <v>45560</v>
      </c>
      <c r="H873" s="369">
        <v>12000</v>
      </c>
      <c r="I873" s="365" t="s">
        <v>3489</v>
      </c>
      <c r="J873" s="365" t="s">
        <v>1228</v>
      </c>
      <c r="K873" s="365" t="s">
        <v>1229</v>
      </c>
      <c r="L873" s="370">
        <v>45581.495682870373</v>
      </c>
    </row>
    <row r="874" spans="1:12" s="365" customFormat="1" hidden="1">
      <c r="A874" s="370">
        <v>45581.5233912037</v>
      </c>
      <c r="B874" s="365" t="s">
        <v>3608</v>
      </c>
      <c r="C874" s="365" t="s">
        <v>1586</v>
      </c>
      <c r="D874" s="365" t="s">
        <v>1587</v>
      </c>
      <c r="E874" s="365" t="s">
        <v>1588</v>
      </c>
      <c r="F874" s="365" t="s">
        <v>3609</v>
      </c>
      <c r="G874" s="370">
        <v>45595</v>
      </c>
      <c r="H874" s="369">
        <v>25000</v>
      </c>
      <c r="I874" s="365" t="s">
        <v>3610</v>
      </c>
      <c r="J874" s="365" t="s">
        <v>1228</v>
      </c>
      <c r="K874" s="365" t="s">
        <v>1229</v>
      </c>
      <c r="L874" s="370">
        <v>45581.52648148148</v>
      </c>
    </row>
    <row r="875" spans="1:12" s="365" customFormat="1" hidden="1">
      <c r="A875" s="370">
        <v>45581.54315972222</v>
      </c>
      <c r="B875" s="365" t="s">
        <v>3611</v>
      </c>
      <c r="C875" s="365" t="s">
        <v>3612</v>
      </c>
      <c r="D875" s="365" t="s">
        <v>3613</v>
      </c>
      <c r="E875" s="365" t="s">
        <v>3614</v>
      </c>
      <c r="F875" s="365" t="s">
        <v>3615</v>
      </c>
      <c r="G875" s="370">
        <v>45595</v>
      </c>
      <c r="H875" s="369">
        <v>30000</v>
      </c>
      <c r="I875" s="365" t="s">
        <v>3616</v>
      </c>
      <c r="J875" s="365" t="s">
        <v>1228</v>
      </c>
      <c r="K875" s="365" t="s">
        <v>1229</v>
      </c>
      <c r="L875" s="370">
        <v>45581.544085648151</v>
      </c>
    </row>
    <row r="876" spans="1:12" s="365" customFormat="1" hidden="1">
      <c r="A876" s="370">
        <v>45581.559340277781</v>
      </c>
      <c r="B876" s="365" t="s">
        <v>3490</v>
      </c>
      <c r="C876" s="365" t="s">
        <v>1230</v>
      </c>
      <c r="D876" s="365" t="s">
        <v>3491</v>
      </c>
      <c r="E876" s="365" t="s">
        <v>3492</v>
      </c>
      <c r="F876" s="365" t="s">
        <v>3493</v>
      </c>
      <c r="G876" s="370">
        <v>45560</v>
      </c>
      <c r="H876" s="369">
        <v>27501</v>
      </c>
      <c r="I876" s="365" t="s">
        <v>3494</v>
      </c>
      <c r="J876" s="365" t="s">
        <v>1228</v>
      </c>
      <c r="K876" s="365" t="s">
        <v>1229</v>
      </c>
      <c r="L876" s="370">
        <v>45581.561516203707</v>
      </c>
    </row>
    <row r="877" spans="1:12" s="365" customFormat="1" hidden="1">
      <c r="A877" s="370">
        <v>45581.561342592591</v>
      </c>
      <c r="B877" s="365" t="s">
        <v>3545</v>
      </c>
      <c r="C877" s="365" t="s">
        <v>1230</v>
      </c>
      <c r="D877" s="365" t="s">
        <v>3546</v>
      </c>
      <c r="E877" s="365" t="s">
        <v>3547</v>
      </c>
      <c r="F877" s="365" t="s">
        <v>3548</v>
      </c>
      <c r="G877" s="370">
        <v>45560</v>
      </c>
      <c r="H877" s="369">
        <v>30000</v>
      </c>
      <c r="I877" s="365" t="s">
        <v>3549</v>
      </c>
      <c r="J877" s="365" t="s">
        <v>1228</v>
      </c>
      <c r="K877" s="365" t="s">
        <v>1229</v>
      </c>
      <c r="L877" s="370">
        <v>45581.565289351849</v>
      </c>
    </row>
    <row r="878" spans="1:12" s="365" customFormat="1" hidden="1">
      <c r="A878" s="370">
        <v>45581.5628125</v>
      </c>
      <c r="B878" s="365" t="s">
        <v>3617</v>
      </c>
      <c r="C878" s="365" t="s">
        <v>1230</v>
      </c>
      <c r="D878" s="365" t="s">
        <v>1500</v>
      </c>
      <c r="E878" s="365" t="s">
        <v>1501</v>
      </c>
      <c r="F878" s="365" t="s">
        <v>3618</v>
      </c>
      <c r="G878" s="370">
        <v>45560</v>
      </c>
      <c r="H878" s="369">
        <v>15000</v>
      </c>
      <c r="I878" s="365" t="s">
        <v>3619</v>
      </c>
      <c r="J878" s="365" t="s">
        <v>1228</v>
      </c>
      <c r="K878" s="365" t="s">
        <v>1229</v>
      </c>
      <c r="L878" s="370">
        <v>45581.565462962964</v>
      </c>
    </row>
    <row r="879" spans="1:12" s="365" customFormat="1" hidden="1">
      <c r="A879" s="370">
        <v>45581.563449074078</v>
      </c>
      <c r="B879" s="365" t="s">
        <v>3495</v>
      </c>
      <c r="C879" s="365" t="s">
        <v>1230</v>
      </c>
      <c r="D879" s="365" t="s">
        <v>1578</v>
      </c>
      <c r="E879" s="365" t="s">
        <v>1579</v>
      </c>
      <c r="F879" s="365" t="s">
        <v>3496</v>
      </c>
      <c r="G879" s="370">
        <v>45560</v>
      </c>
      <c r="H879" s="369">
        <v>15000</v>
      </c>
      <c r="I879" s="365" t="s">
        <v>3497</v>
      </c>
      <c r="J879" s="365" t="s">
        <v>1228</v>
      </c>
      <c r="K879" s="365" t="s">
        <v>1229</v>
      </c>
      <c r="L879" s="370">
        <v>45581.565104166664</v>
      </c>
    </row>
    <row r="880" spans="1:12" s="365" customFormat="1" hidden="1">
      <c r="A880" s="370">
        <v>45581.565057870372</v>
      </c>
      <c r="B880" s="365" t="s">
        <v>3498</v>
      </c>
      <c r="C880" s="365" t="s">
        <v>1230</v>
      </c>
      <c r="D880" s="365" t="s">
        <v>1502</v>
      </c>
      <c r="E880" s="365" t="s">
        <v>1503</v>
      </c>
      <c r="F880" s="365" t="s">
        <v>3499</v>
      </c>
      <c r="G880" s="370">
        <v>45560</v>
      </c>
      <c r="H880" s="369">
        <v>15000</v>
      </c>
      <c r="I880" s="365" t="s">
        <v>3500</v>
      </c>
      <c r="J880" s="365" t="s">
        <v>1228</v>
      </c>
      <c r="K880" s="365" t="s">
        <v>1229</v>
      </c>
      <c r="L880" s="370">
        <v>45581.569074074076</v>
      </c>
    </row>
    <row r="881" spans="1:12" s="365" customFormat="1" hidden="1">
      <c r="A881" s="370">
        <v>45581.565601851849</v>
      </c>
      <c r="B881" s="365" t="s">
        <v>3620</v>
      </c>
      <c r="C881" s="365" t="s">
        <v>1230</v>
      </c>
      <c r="D881" s="365" t="s">
        <v>1393</v>
      </c>
      <c r="E881" s="365" t="s">
        <v>1394</v>
      </c>
      <c r="F881" s="365" t="s">
        <v>3621</v>
      </c>
      <c r="G881" s="370">
        <v>45560</v>
      </c>
      <c r="H881" s="369">
        <v>15000</v>
      </c>
      <c r="I881" s="365" t="s">
        <v>3622</v>
      </c>
      <c r="J881" s="365" t="s">
        <v>1228</v>
      </c>
      <c r="K881" s="365" t="s">
        <v>1229</v>
      </c>
      <c r="L881" s="370">
        <v>45581.569803240738</v>
      </c>
    </row>
    <row r="882" spans="1:12" s="365" customFormat="1" hidden="1">
      <c r="A882" s="370">
        <v>45581.566504629627</v>
      </c>
      <c r="B882" s="365" t="s">
        <v>3623</v>
      </c>
      <c r="C882" s="365" t="s">
        <v>1230</v>
      </c>
      <c r="D882" s="365" t="s">
        <v>1391</v>
      </c>
      <c r="E882" s="365" t="s">
        <v>1392</v>
      </c>
      <c r="F882" s="365" t="s">
        <v>3624</v>
      </c>
      <c r="G882" s="370">
        <v>45560</v>
      </c>
      <c r="H882" s="369">
        <v>15000</v>
      </c>
      <c r="I882" s="365" t="s">
        <v>3625</v>
      </c>
      <c r="J882" s="365" t="s">
        <v>1228</v>
      </c>
      <c r="K882" s="365" t="s">
        <v>1229</v>
      </c>
      <c r="L882" s="370">
        <v>45581.569988425923</v>
      </c>
    </row>
    <row r="883" spans="1:12" s="365" customFormat="1" hidden="1">
      <c r="A883" s="370">
        <v>45581.567164351851</v>
      </c>
      <c r="B883" s="365" t="s">
        <v>3550</v>
      </c>
      <c r="C883" s="365" t="s">
        <v>1230</v>
      </c>
      <c r="D883" s="365" t="s">
        <v>1389</v>
      </c>
      <c r="E883" s="365" t="s">
        <v>1390</v>
      </c>
      <c r="F883" s="365" t="s">
        <v>3551</v>
      </c>
      <c r="G883" s="370">
        <v>45560</v>
      </c>
      <c r="H883" s="369">
        <v>15000</v>
      </c>
      <c r="I883" s="365" t="s">
        <v>3552</v>
      </c>
      <c r="J883" s="365" t="s">
        <v>1228</v>
      </c>
      <c r="K883" s="365" t="s">
        <v>1229</v>
      </c>
      <c r="L883" s="370">
        <v>45581.569618055553</v>
      </c>
    </row>
    <row r="884" spans="1:12" s="365" customFormat="1" hidden="1">
      <c r="A884" s="370">
        <v>45581.567673611113</v>
      </c>
      <c r="B884" s="365" t="s">
        <v>3501</v>
      </c>
      <c r="C884" s="365" t="s">
        <v>1230</v>
      </c>
      <c r="D884" s="365" t="s">
        <v>1473</v>
      </c>
      <c r="E884" s="365" t="s">
        <v>1474</v>
      </c>
      <c r="F884" s="365" t="s">
        <v>3502</v>
      </c>
      <c r="G884" s="370">
        <v>45560</v>
      </c>
      <c r="H884" s="369">
        <v>15000</v>
      </c>
      <c r="I884" s="365" t="s">
        <v>3503</v>
      </c>
      <c r="J884" s="365" t="s">
        <v>1228</v>
      </c>
      <c r="K884" s="365" t="s">
        <v>1229</v>
      </c>
      <c r="L884" s="370">
        <v>45581.569247685184</v>
      </c>
    </row>
    <row r="885" spans="1:12" s="365" customFormat="1" hidden="1">
      <c r="A885" s="370">
        <v>45581.568159722221</v>
      </c>
      <c r="B885" s="365" t="s">
        <v>3504</v>
      </c>
      <c r="C885" s="365" t="s">
        <v>1230</v>
      </c>
      <c r="D885" s="365" t="s">
        <v>1471</v>
      </c>
      <c r="E885" s="365" t="s">
        <v>1472</v>
      </c>
      <c r="F885" s="365" t="s">
        <v>3505</v>
      </c>
      <c r="G885" s="370">
        <v>45560</v>
      </c>
      <c r="H885" s="369">
        <v>15000</v>
      </c>
      <c r="I885" s="365" t="s">
        <v>3506</v>
      </c>
      <c r="J885" s="365" t="s">
        <v>1228</v>
      </c>
      <c r="K885" s="365" t="s">
        <v>1229</v>
      </c>
      <c r="L885" s="370">
        <v>45581.569432870368</v>
      </c>
    </row>
    <row r="886" spans="1:12" s="365" customFormat="1" hidden="1">
      <c r="A886" s="370">
        <v>45581.575046296297</v>
      </c>
      <c r="B886" s="365" t="s">
        <v>3553</v>
      </c>
      <c r="C886" s="365" t="s">
        <v>3554</v>
      </c>
      <c r="D886" s="365" t="s">
        <v>3555</v>
      </c>
      <c r="E886" s="365" t="s">
        <v>3556</v>
      </c>
      <c r="F886" s="365" t="s">
        <v>3557</v>
      </c>
      <c r="G886" s="370">
        <v>45595</v>
      </c>
      <c r="H886" s="369">
        <v>10000</v>
      </c>
      <c r="I886" s="365" t="s">
        <v>3558</v>
      </c>
      <c r="J886" s="365" t="s">
        <v>1228</v>
      </c>
      <c r="K886" s="365" t="s">
        <v>1229</v>
      </c>
      <c r="L886" s="370">
        <v>45581.576793981483</v>
      </c>
    </row>
    <row r="887" spans="1:12" s="365" customFormat="1" hidden="1">
      <c r="A887" s="370">
        <v>45581.577060185184</v>
      </c>
      <c r="B887" s="365" t="s">
        <v>3507</v>
      </c>
      <c r="C887" s="365" t="s">
        <v>3508</v>
      </c>
      <c r="D887" s="365" t="s">
        <v>3509</v>
      </c>
      <c r="E887" s="365" t="s">
        <v>3510</v>
      </c>
      <c r="F887" s="365" t="s">
        <v>3511</v>
      </c>
      <c r="G887" s="370">
        <v>45595</v>
      </c>
      <c r="H887" s="369">
        <v>27000</v>
      </c>
      <c r="I887" s="365" t="s">
        <v>3512</v>
      </c>
      <c r="J887" s="365" t="s">
        <v>1228</v>
      </c>
      <c r="K887" s="365" t="s">
        <v>1229</v>
      </c>
      <c r="L887" s="370">
        <v>45581.580358796295</v>
      </c>
    </row>
    <row r="888" spans="1:12" s="365" customFormat="1" hidden="1">
      <c r="A888" s="370">
        <v>45581.584953703707</v>
      </c>
      <c r="B888" s="365" t="s">
        <v>3513</v>
      </c>
      <c r="C888" s="365" t="s">
        <v>1230</v>
      </c>
      <c r="D888" s="365" t="s">
        <v>3514</v>
      </c>
      <c r="E888" s="365" t="s">
        <v>3515</v>
      </c>
      <c r="F888" s="365" t="s">
        <v>3516</v>
      </c>
      <c r="G888" s="370">
        <v>45560</v>
      </c>
      <c r="H888" s="369">
        <v>42000</v>
      </c>
      <c r="I888" s="365" t="s">
        <v>3517</v>
      </c>
      <c r="J888" s="365" t="s">
        <v>1228</v>
      </c>
      <c r="K888" s="365" t="s">
        <v>1229</v>
      </c>
      <c r="L888" s="370">
        <v>45581.587118055555</v>
      </c>
    </row>
    <row r="889" spans="1:12" s="365" customFormat="1" hidden="1">
      <c r="A889" s="370">
        <v>45581.647719907407</v>
      </c>
      <c r="B889" s="365" t="s">
        <v>3559</v>
      </c>
      <c r="C889" s="365" t="s">
        <v>3560</v>
      </c>
      <c r="D889" s="365" t="s">
        <v>1046</v>
      </c>
      <c r="E889" s="365" t="s">
        <v>1047</v>
      </c>
      <c r="F889" s="365" t="s">
        <v>3561</v>
      </c>
      <c r="G889" s="370">
        <v>45595</v>
      </c>
      <c r="H889" s="369">
        <v>23400</v>
      </c>
      <c r="I889" s="365" t="s">
        <v>3562</v>
      </c>
      <c r="J889" s="365" t="s">
        <v>1228</v>
      </c>
      <c r="K889" s="365" t="s">
        <v>1229</v>
      </c>
      <c r="L889" s="370">
        <v>45581.649756944447</v>
      </c>
    </row>
    <row r="890" spans="1:12" s="365" customFormat="1" hidden="1">
      <c r="A890" s="370">
        <v>45581.663634259261</v>
      </c>
      <c r="B890" s="365" t="s">
        <v>3563</v>
      </c>
      <c r="C890" s="365" t="s">
        <v>3564</v>
      </c>
      <c r="D890" s="365" t="s">
        <v>3565</v>
      </c>
      <c r="E890" s="365" t="s">
        <v>3566</v>
      </c>
      <c r="F890" s="365" t="s">
        <v>3567</v>
      </c>
      <c r="G890" s="370">
        <v>45595</v>
      </c>
      <c r="H890" s="369">
        <v>30000</v>
      </c>
      <c r="I890" s="365" t="s">
        <v>3568</v>
      </c>
      <c r="J890" s="365" t="s">
        <v>1228</v>
      </c>
      <c r="K890" s="365" t="s">
        <v>1229</v>
      </c>
      <c r="L890" s="370">
        <v>45581.667407407411</v>
      </c>
    </row>
    <row r="891" spans="1:12" s="365" customFormat="1" hidden="1">
      <c r="A891" s="370">
        <v>45581.666041666664</v>
      </c>
      <c r="B891" s="365" t="s">
        <v>3518</v>
      </c>
      <c r="C891" s="365" t="s">
        <v>1385</v>
      </c>
      <c r="D891" s="365" t="s">
        <v>3519</v>
      </c>
      <c r="E891" s="365" t="s">
        <v>3520</v>
      </c>
      <c r="F891" s="365" t="s">
        <v>3521</v>
      </c>
      <c r="G891" s="370">
        <v>45595</v>
      </c>
      <c r="H891" s="369">
        <v>95999</v>
      </c>
      <c r="I891" s="365" t="s">
        <v>3522</v>
      </c>
      <c r="J891" s="365" t="s">
        <v>1228</v>
      </c>
      <c r="K891" s="365" t="s">
        <v>1229</v>
      </c>
      <c r="L891" s="370">
        <v>45581.667210648149</v>
      </c>
    </row>
    <row r="892" spans="1:12" s="365" customFormat="1" hidden="1">
      <c r="A892" s="370">
        <v>45581.71020833333</v>
      </c>
      <c r="B892" s="365" t="s">
        <v>3523</v>
      </c>
      <c r="C892" s="365" t="s">
        <v>3524</v>
      </c>
      <c r="D892" s="365" t="s">
        <v>3525</v>
      </c>
      <c r="E892" s="365" t="s">
        <v>3526</v>
      </c>
      <c r="F892" s="365" t="s">
        <v>3527</v>
      </c>
      <c r="G892" s="370">
        <v>45560</v>
      </c>
      <c r="H892" s="369">
        <v>15999</v>
      </c>
      <c r="I892" s="365" t="s">
        <v>3528</v>
      </c>
      <c r="J892" s="365" t="s">
        <v>1228</v>
      </c>
      <c r="K892" s="365" t="s">
        <v>1229</v>
      </c>
      <c r="L892" s="370">
        <v>45581.712777777779</v>
      </c>
    </row>
    <row r="893" spans="1:12" s="365" customFormat="1" hidden="1">
      <c r="A893" s="370">
        <v>45581.711157407408</v>
      </c>
      <c r="B893" s="365" t="s">
        <v>3626</v>
      </c>
      <c r="C893" s="365" t="s">
        <v>3627</v>
      </c>
      <c r="D893" s="365" t="s">
        <v>3628</v>
      </c>
      <c r="E893" s="365" t="s">
        <v>3629</v>
      </c>
      <c r="F893" s="365" t="s">
        <v>3630</v>
      </c>
      <c r="G893" s="370">
        <v>45595</v>
      </c>
      <c r="H893" s="369">
        <v>73000</v>
      </c>
      <c r="I893" s="365" t="s">
        <v>3631</v>
      </c>
      <c r="J893" s="365" t="s">
        <v>1228</v>
      </c>
      <c r="K893" s="365" t="s">
        <v>1229</v>
      </c>
      <c r="L893" s="370">
        <v>45581.712800925925</v>
      </c>
    </row>
    <row r="894" spans="1:12" s="365" customFormat="1" hidden="1">
      <c r="A894" s="370">
        <v>45581.721689814818</v>
      </c>
      <c r="B894" s="365" t="s">
        <v>3569</v>
      </c>
      <c r="C894" s="365" t="s">
        <v>3570</v>
      </c>
      <c r="D894" s="365" t="s">
        <v>3571</v>
      </c>
      <c r="E894" s="365" t="s">
        <v>3572</v>
      </c>
      <c r="F894" s="365" t="s">
        <v>3573</v>
      </c>
      <c r="G894" s="370">
        <v>45595</v>
      </c>
      <c r="H894" s="369">
        <v>16500</v>
      </c>
      <c r="I894" s="365" t="s">
        <v>3574</v>
      </c>
      <c r="J894" s="365" t="s">
        <v>1228</v>
      </c>
      <c r="K894" s="365" t="s">
        <v>1229</v>
      </c>
      <c r="L894" s="370">
        <v>45581.723263888889</v>
      </c>
    </row>
    <row r="895" spans="1:12" s="365" customFormat="1" hidden="1">
      <c r="A895" s="370">
        <v>45581.728587962964</v>
      </c>
      <c r="B895" s="365" t="s">
        <v>3575</v>
      </c>
      <c r="C895" s="365" t="s">
        <v>3576</v>
      </c>
      <c r="D895" s="365" t="s">
        <v>3577</v>
      </c>
      <c r="E895" s="365" t="s">
        <v>3578</v>
      </c>
      <c r="F895" s="365" t="s">
        <v>3579</v>
      </c>
      <c r="G895" s="370">
        <v>45560</v>
      </c>
      <c r="H895" s="369">
        <v>172500</v>
      </c>
      <c r="I895" s="365" t="s">
        <v>3580</v>
      </c>
      <c r="J895" s="365" t="s">
        <v>1228</v>
      </c>
      <c r="K895" s="365" t="s">
        <v>1229</v>
      </c>
      <c r="L895" s="370">
        <v>45581.730208333334</v>
      </c>
    </row>
    <row r="896" spans="1:12" s="365" customFormat="1" hidden="1">
      <c r="A896" s="370">
        <v>45581.758703703701</v>
      </c>
      <c r="B896" s="365" t="s">
        <v>3632</v>
      </c>
      <c r="C896" s="365" t="s">
        <v>3633</v>
      </c>
      <c r="D896" s="365" t="s">
        <v>3634</v>
      </c>
      <c r="E896" s="365" t="s">
        <v>3635</v>
      </c>
      <c r="F896" s="365" t="s">
        <v>3636</v>
      </c>
      <c r="G896" s="370">
        <v>45595</v>
      </c>
      <c r="H896" s="369">
        <v>45000</v>
      </c>
      <c r="I896" s="365" t="s">
        <v>3637</v>
      </c>
      <c r="J896" s="365" t="s">
        <v>1228</v>
      </c>
      <c r="K896" s="365" t="s">
        <v>1229</v>
      </c>
      <c r="L896" s="370">
        <v>45581.761516203704</v>
      </c>
    </row>
    <row r="897" spans="1:12" s="365" customFormat="1" hidden="1">
      <c r="A897" s="370">
        <v>45581.763495370367</v>
      </c>
      <c r="B897" s="365" t="s">
        <v>3529</v>
      </c>
      <c r="C897" s="365" t="s">
        <v>3530</v>
      </c>
      <c r="D897" s="365" t="s">
        <v>3531</v>
      </c>
      <c r="E897" s="365" t="s">
        <v>3532</v>
      </c>
      <c r="F897" s="365" t="s">
        <v>3533</v>
      </c>
      <c r="G897" s="370">
        <v>45595</v>
      </c>
      <c r="H897" s="369">
        <v>15000</v>
      </c>
      <c r="I897" s="365" t="s">
        <v>3534</v>
      </c>
      <c r="J897" s="365" t="s">
        <v>1228</v>
      </c>
      <c r="K897" s="365" t="s">
        <v>1229</v>
      </c>
      <c r="L897" s="370">
        <v>45581.765104166669</v>
      </c>
    </row>
    <row r="898" spans="1:12" s="365" customFormat="1" hidden="1">
      <c r="A898" s="370">
        <v>45581.76353009259</v>
      </c>
      <c r="B898" s="365" t="s">
        <v>3638</v>
      </c>
      <c r="C898" s="365" t="s">
        <v>3633</v>
      </c>
      <c r="D898" s="365" t="s">
        <v>3634</v>
      </c>
      <c r="E898" s="365" t="s">
        <v>3635</v>
      </c>
      <c r="F898" s="365" t="s">
        <v>3639</v>
      </c>
      <c r="G898" s="370">
        <v>45560</v>
      </c>
      <c r="H898" s="369">
        <v>45000</v>
      </c>
      <c r="I898" s="365" t="s">
        <v>3640</v>
      </c>
      <c r="J898" s="365" t="s">
        <v>1228</v>
      </c>
      <c r="K898" s="365" t="s">
        <v>1229</v>
      </c>
      <c r="L898" s="370">
        <v>45581.765277777777</v>
      </c>
    </row>
    <row r="899" spans="1:12" s="365" customFormat="1" hidden="1">
      <c r="A899" s="370">
        <v>45581.7891087963</v>
      </c>
      <c r="B899" s="365" t="s">
        <v>3641</v>
      </c>
      <c r="C899" s="365" t="s">
        <v>3633</v>
      </c>
      <c r="D899" s="365" t="s">
        <v>3634</v>
      </c>
      <c r="E899" s="365" t="s">
        <v>3635</v>
      </c>
      <c r="F899" s="365" t="s">
        <v>3642</v>
      </c>
      <c r="G899" s="370">
        <v>45530</v>
      </c>
      <c r="H899" s="369">
        <v>45000</v>
      </c>
      <c r="I899" s="365" t="s">
        <v>3643</v>
      </c>
      <c r="J899" s="365" t="s">
        <v>1228</v>
      </c>
      <c r="K899" s="365" t="s">
        <v>1229</v>
      </c>
      <c r="L899" s="370">
        <v>45581.789976851855</v>
      </c>
    </row>
    <row r="900" spans="1:12" s="365" customFormat="1" hidden="1">
      <c r="A900" s="370">
        <v>45581.789930555555</v>
      </c>
      <c r="B900" s="365" t="s">
        <v>3644</v>
      </c>
      <c r="C900" s="365" t="s">
        <v>3645</v>
      </c>
      <c r="D900" s="365" t="s">
        <v>3646</v>
      </c>
      <c r="E900" s="365" t="s">
        <v>3647</v>
      </c>
      <c r="F900" s="365" t="s">
        <v>3648</v>
      </c>
      <c r="G900" s="370">
        <v>45595</v>
      </c>
      <c r="H900" s="369">
        <v>27000</v>
      </c>
      <c r="I900" s="365" t="s">
        <v>3649</v>
      </c>
      <c r="J900" s="365" t="s">
        <v>1228</v>
      </c>
      <c r="K900" s="365" t="s">
        <v>1229</v>
      </c>
      <c r="L900" s="370">
        <v>45581.793541666666</v>
      </c>
    </row>
    <row r="901" spans="1:12" s="365" customFormat="1" hidden="1">
      <c r="A901" s="370">
        <v>45581.820983796293</v>
      </c>
      <c r="B901" s="365" t="s">
        <v>3650</v>
      </c>
      <c r="C901" s="365" t="s">
        <v>3651</v>
      </c>
      <c r="D901" s="365" t="s">
        <v>3652</v>
      </c>
      <c r="E901" s="365" t="s">
        <v>3653</v>
      </c>
      <c r="F901" s="365" t="s">
        <v>3654</v>
      </c>
      <c r="G901" s="370">
        <v>45595</v>
      </c>
      <c r="H901" s="369">
        <v>9000</v>
      </c>
      <c r="I901" s="365" t="s">
        <v>3655</v>
      </c>
      <c r="J901" s="365" t="s">
        <v>1228</v>
      </c>
      <c r="K901" s="365" t="s">
        <v>1229</v>
      </c>
      <c r="L901" s="370">
        <v>45581.821284722224</v>
      </c>
    </row>
    <row r="902" spans="1:12" s="365" customFormat="1" hidden="1">
      <c r="A902" s="370">
        <v>45582.328067129631</v>
      </c>
      <c r="B902" s="365" t="s">
        <v>3716</v>
      </c>
      <c r="C902" s="365" t="s">
        <v>3717</v>
      </c>
      <c r="D902" s="365" t="s">
        <v>3718</v>
      </c>
      <c r="E902" s="365" t="s">
        <v>3719</v>
      </c>
      <c r="F902" s="365" t="s">
        <v>3720</v>
      </c>
      <c r="G902" s="370">
        <v>45560</v>
      </c>
      <c r="H902" s="369">
        <v>18000</v>
      </c>
      <c r="I902" s="365" t="s">
        <v>3721</v>
      </c>
      <c r="J902" s="365" t="s">
        <v>1228</v>
      </c>
      <c r="K902" s="365" t="s">
        <v>1229</v>
      </c>
      <c r="L902" s="370">
        <v>45582.330023148148</v>
      </c>
    </row>
    <row r="903" spans="1:12" s="365" customFormat="1" hidden="1">
      <c r="A903" s="370">
        <v>45582.381354166668</v>
      </c>
      <c r="B903" s="365" t="s">
        <v>3692</v>
      </c>
      <c r="C903" s="365" t="s">
        <v>3627</v>
      </c>
      <c r="D903" s="365" t="s">
        <v>3628</v>
      </c>
      <c r="E903" s="365" t="s">
        <v>3629</v>
      </c>
      <c r="F903" s="365" t="s">
        <v>3693</v>
      </c>
      <c r="G903" s="370">
        <v>45560</v>
      </c>
      <c r="H903" s="369">
        <v>73000</v>
      </c>
      <c r="I903" s="365" t="s">
        <v>3694</v>
      </c>
      <c r="J903" s="365" t="s">
        <v>1228</v>
      </c>
      <c r="K903" s="365" t="s">
        <v>1229</v>
      </c>
      <c r="L903" s="370">
        <v>45582.382060185184</v>
      </c>
    </row>
    <row r="904" spans="1:12" s="365" customFormat="1" hidden="1">
      <c r="A904" s="370">
        <v>45582.383449074077</v>
      </c>
      <c r="B904" s="365" t="s">
        <v>3656</v>
      </c>
      <c r="C904" s="365" t="s">
        <v>3657</v>
      </c>
      <c r="D904" s="365" t="s">
        <v>3658</v>
      </c>
      <c r="E904" s="365" t="s">
        <v>3659</v>
      </c>
      <c r="F904" s="365" t="s">
        <v>3660</v>
      </c>
      <c r="G904" s="370">
        <v>45595</v>
      </c>
      <c r="H904" s="369">
        <v>12000</v>
      </c>
      <c r="I904" s="365" t="s">
        <v>3661</v>
      </c>
      <c r="J904" s="365" t="s">
        <v>1228</v>
      </c>
      <c r="K904" s="365" t="s">
        <v>1229</v>
      </c>
      <c r="L904" s="370">
        <v>45582.385775462964</v>
      </c>
    </row>
    <row r="905" spans="1:12" s="365" customFormat="1" hidden="1">
      <c r="A905" s="370">
        <v>45582.456990740742</v>
      </c>
      <c r="B905" s="365" t="s">
        <v>3722</v>
      </c>
      <c r="C905" s="365" t="s">
        <v>1330</v>
      </c>
      <c r="D905" s="365" t="s">
        <v>1331</v>
      </c>
      <c r="E905" s="365" t="s">
        <v>1332</v>
      </c>
      <c r="F905" s="365" t="s">
        <v>3723</v>
      </c>
      <c r="G905" s="370">
        <v>45595</v>
      </c>
      <c r="H905" s="369">
        <v>15000</v>
      </c>
      <c r="I905" s="365" t="s">
        <v>3724</v>
      </c>
      <c r="J905" s="365" t="s">
        <v>1228</v>
      </c>
      <c r="K905" s="365" t="s">
        <v>1229</v>
      </c>
      <c r="L905" s="370">
        <v>45582.458738425928</v>
      </c>
    </row>
    <row r="906" spans="1:12" s="365" customFormat="1" hidden="1">
      <c r="A906" s="370">
        <v>45582.470173611109</v>
      </c>
      <c r="B906" s="365" t="s">
        <v>3695</v>
      </c>
      <c r="C906" s="365" t="s">
        <v>3696</v>
      </c>
      <c r="D906" s="365" t="s">
        <v>3697</v>
      </c>
      <c r="E906" s="365" t="s">
        <v>3698</v>
      </c>
      <c r="F906" s="365" t="s">
        <v>3699</v>
      </c>
      <c r="G906" s="370">
        <v>45595</v>
      </c>
      <c r="H906" s="369">
        <v>60000</v>
      </c>
      <c r="I906" s="365" t="s">
        <v>3700</v>
      </c>
      <c r="J906" s="365" t="s">
        <v>1228</v>
      </c>
      <c r="K906" s="365" t="s">
        <v>1229</v>
      </c>
      <c r="L906" s="370">
        <v>45582.472627314812</v>
      </c>
    </row>
    <row r="907" spans="1:12" s="365" customFormat="1" hidden="1">
      <c r="A907" s="370">
        <v>45582.548263888886</v>
      </c>
      <c r="B907" s="365" t="s">
        <v>3701</v>
      </c>
      <c r="C907" s="365" t="s">
        <v>2934</v>
      </c>
      <c r="D907" s="365" t="s">
        <v>2935</v>
      </c>
      <c r="E907" s="365" t="s">
        <v>2936</v>
      </c>
      <c r="F907" s="365" t="s">
        <v>3702</v>
      </c>
      <c r="G907" s="370">
        <v>45595</v>
      </c>
      <c r="H907" s="369">
        <v>15000</v>
      </c>
      <c r="I907" s="365" t="s">
        <v>3703</v>
      </c>
      <c r="J907" s="365" t="s">
        <v>1228</v>
      </c>
      <c r="K907" s="365" t="s">
        <v>1229</v>
      </c>
      <c r="L907" s="370">
        <v>45582.548981481479</v>
      </c>
    </row>
    <row r="908" spans="1:12" s="365" customFormat="1" hidden="1">
      <c r="A908" s="370">
        <v>45582.573692129627</v>
      </c>
      <c r="B908" s="365" t="s">
        <v>3725</v>
      </c>
      <c r="C908" s="365" t="s">
        <v>3726</v>
      </c>
      <c r="D908" s="365" t="s">
        <v>3727</v>
      </c>
      <c r="E908" s="365" t="s">
        <v>3728</v>
      </c>
      <c r="F908" s="365" t="s">
        <v>3729</v>
      </c>
      <c r="G908" s="370">
        <v>45595</v>
      </c>
      <c r="H908" s="369">
        <v>35000</v>
      </c>
      <c r="I908" s="365" t="s">
        <v>3730</v>
      </c>
      <c r="J908" s="365" t="s">
        <v>1228</v>
      </c>
      <c r="K908" s="365" t="s">
        <v>1229</v>
      </c>
      <c r="L908" s="370">
        <v>45582.576909722222</v>
      </c>
    </row>
    <row r="909" spans="1:12" s="365" customFormat="1" hidden="1">
      <c r="A909" s="370">
        <v>45582.589606481481</v>
      </c>
      <c r="B909" s="365" t="s">
        <v>3704</v>
      </c>
      <c r="C909" s="365" t="s">
        <v>3705</v>
      </c>
      <c r="D909" s="365" t="s">
        <v>3706</v>
      </c>
      <c r="E909" s="365" t="s">
        <v>3707</v>
      </c>
      <c r="F909" s="365" t="s">
        <v>3708</v>
      </c>
      <c r="G909" s="370">
        <v>45595</v>
      </c>
      <c r="H909" s="369">
        <v>18000</v>
      </c>
      <c r="I909" s="365" t="s">
        <v>3709</v>
      </c>
      <c r="J909" s="365" t="s">
        <v>1228</v>
      </c>
      <c r="K909" s="365" t="s">
        <v>1229</v>
      </c>
      <c r="L909" s="370">
        <v>45582.590613425928</v>
      </c>
    </row>
    <row r="910" spans="1:12" s="365" customFormat="1" hidden="1">
      <c r="A910" s="370">
        <v>45582.602384259262</v>
      </c>
      <c r="B910" s="365" t="s">
        <v>3662</v>
      </c>
      <c r="C910" s="365" t="s">
        <v>3663</v>
      </c>
      <c r="D910" s="365" t="s">
        <v>3664</v>
      </c>
      <c r="E910" s="365" t="s">
        <v>3665</v>
      </c>
      <c r="F910" s="365" t="s">
        <v>3666</v>
      </c>
      <c r="G910" s="370">
        <v>45595</v>
      </c>
      <c r="H910" s="369">
        <v>11500</v>
      </c>
      <c r="I910" s="365" t="s">
        <v>3667</v>
      </c>
      <c r="J910" s="365" t="s">
        <v>1228</v>
      </c>
      <c r="K910" s="365" t="s">
        <v>1229</v>
      </c>
      <c r="L910" s="370">
        <v>45582.604664351849</v>
      </c>
    </row>
    <row r="911" spans="1:12" s="365" customFormat="1" hidden="1">
      <c r="A911" s="370">
        <v>45582.609189814815</v>
      </c>
      <c r="B911" s="365" t="s">
        <v>3668</v>
      </c>
      <c r="C911" s="365" t="s">
        <v>1333</v>
      </c>
      <c r="D911" s="365" t="s">
        <v>1334</v>
      </c>
      <c r="E911" s="365" t="s">
        <v>1335</v>
      </c>
      <c r="F911" s="365" t="s">
        <v>3669</v>
      </c>
      <c r="G911" s="370">
        <v>45595</v>
      </c>
      <c r="H911" s="369">
        <v>23000</v>
      </c>
      <c r="I911" s="365" t="s">
        <v>3670</v>
      </c>
      <c r="J911" s="365" t="s">
        <v>1228</v>
      </c>
      <c r="K911" s="365" t="s">
        <v>1229</v>
      </c>
      <c r="L911" s="370">
        <v>45582.61142361111</v>
      </c>
    </row>
    <row r="912" spans="1:12" s="365" customFormat="1" hidden="1">
      <c r="A912" s="370">
        <v>45582.628993055558</v>
      </c>
      <c r="B912" s="365" t="s">
        <v>3710</v>
      </c>
      <c r="C912" s="365" t="s">
        <v>3711</v>
      </c>
      <c r="D912" s="365" t="s">
        <v>3712</v>
      </c>
      <c r="E912" s="365" t="s">
        <v>3713</v>
      </c>
      <c r="F912" s="365" t="s">
        <v>3714</v>
      </c>
      <c r="G912" s="370">
        <v>45595</v>
      </c>
      <c r="H912" s="369">
        <v>7501</v>
      </c>
      <c r="I912" s="365" t="s">
        <v>3715</v>
      </c>
      <c r="J912" s="365" t="s">
        <v>1228</v>
      </c>
      <c r="K912" s="365" t="s">
        <v>1229</v>
      </c>
      <c r="L912" s="370">
        <v>45582.632256944446</v>
      </c>
    </row>
    <row r="913" spans="1:12" s="365" customFormat="1" hidden="1">
      <c r="A913" s="370">
        <v>45582.66265046296</v>
      </c>
      <c r="B913" s="365" t="s">
        <v>3671</v>
      </c>
      <c r="C913" s="365" t="s">
        <v>3672</v>
      </c>
      <c r="D913" s="365" t="s">
        <v>3673</v>
      </c>
      <c r="E913" s="365" t="s">
        <v>3674</v>
      </c>
      <c r="F913" s="365" t="s">
        <v>3675</v>
      </c>
      <c r="G913" s="370">
        <v>45530</v>
      </c>
      <c r="H913" s="369">
        <v>15999</v>
      </c>
      <c r="I913" s="365" t="s">
        <v>3676</v>
      </c>
      <c r="J913" s="365" t="s">
        <v>1228</v>
      </c>
      <c r="K913" s="365" t="s">
        <v>1229</v>
      </c>
      <c r="L913" s="370">
        <v>45582.66375</v>
      </c>
    </row>
    <row r="914" spans="1:12" s="365" customFormat="1" hidden="1">
      <c r="A914" s="370">
        <v>45582.736608796295</v>
      </c>
      <c r="B914" s="365" t="s">
        <v>3677</v>
      </c>
      <c r="C914" s="365" t="s">
        <v>1360</v>
      </c>
      <c r="D914" s="365" t="s">
        <v>1361</v>
      </c>
      <c r="E914" s="365" t="s">
        <v>1362</v>
      </c>
      <c r="F914" s="365" t="s">
        <v>3678</v>
      </c>
      <c r="G914" s="370">
        <v>45595</v>
      </c>
      <c r="H914" s="369">
        <v>32000</v>
      </c>
      <c r="I914" s="365" t="s">
        <v>3679</v>
      </c>
      <c r="J914" s="365" t="s">
        <v>1228</v>
      </c>
      <c r="K914" s="365" t="s">
        <v>1229</v>
      </c>
      <c r="L914" s="370">
        <v>45582.739942129629</v>
      </c>
    </row>
    <row r="915" spans="1:12" s="365" customFormat="1" hidden="1">
      <c r="A915" s="370">
        <v>45582.767962962964</v>
      </c>
      <c r="B915" s="365" t="s">
        <v>3731</v>
      </c>
      <c r="C915" s="365" t="s">
        <v>3732</v>
      </c>
      <c r="D915" s="365" t="s">
        <v>3733</v>
      </c>
      <c r="E915" s="365" t="s">
        <v>3734</v>
      </c>
      <c r="F915" s="365" t="s">
        <v>3735</v>
      </c>
      <c r="G915" s="370">
        <v>45560</v>
      </c>
      <c r="H915" s="369">
        <v>50000</v>
      </c>
      <c r="I915" s="365" t="s">
        <v>3736</v>
      </c>
      <c r="J915" s="365" t="s">
        <v>1228</v>
      </c>
      <c r="K915" s="365" t="s">
        <v>1229</v>
      </c>
      <c r="L915" s="370">
        <v>45582.771249999998</v>
      </c>
    </row>
    <row r="916" spans="1:12" s="365" customFormat="1" hidden="1">
      <c r="A916" s="370">
        <v>45582.772164351853</v>
      </c>
      <c r="B916" s="365" t="s">
        <v>3680</v>
      </c>
      <c r="C916" s="365" t="s">
        <v>3681</v>
      </c>
      <c r="D916" s="365" t="s">
        <v>3682</v>
      </c>
      <c r="E916" s="365" t="s">
        <v>3683</v>
      </c>
      <c r="F916" s="365" t="s">
        <v>3684</v>
      </c>
      <c r="G916" s="370">
        <v>45595</v>
      </c>
      <c r="H916" s="369">
        <v>15000</v>
      </c>
      <c r="I916" s="365" t="s">
        <v>3685</v>
      </c>
      <c r="J916" s="365" t="s">
        <v>1228</v>
      </c>
      <c r="K916" s="365" t="s">
        <v>1229</v>
      </c>
      <c r="L916" s="370">
        <v>45582.774641203701</v>
      </c>
    </row>
    <row r="917" spans="1:12" s="365" customFormat="1" hidden="1">
      <c r="A917" s="370">
        <v>45582.814606481479</v>
      </c>
      <c r="B917" s="365" t="s">
        <v>3737</v>
      </c>
      <c r="C917" s="365" t="s">
        <v>3738</v>
      </c>
      <c r="D917" s="365" t="s">
        <v>3739</v>
      </c>
      <c r="E917" s="365" t="s">
        <v>3740</v>
      </c>
      <c r="F917" s="365" t="s">
        <v>3741</v>
      </c>
      <c r="G917" s="370">
        <v>45595</v>
      </c>
      <c r="H917" s="369">
        <v>15999</v>
      </c>
      <c r="I917" s="365" t="s">
        <v>3742</v>
      </c>
      <c r="J917" s="365" t="s">
        <v>1228</v>
      </c>
      <c r="K917" s="365" t="s">
        <v>1229</v>
      </c>
      <c r="L917" s="370">
        <v>45582.816446759258</v>
      </c>
    </row>
    <row r="918" spans="1:12" s="365" customFormat="1" hidden="1">
      <c r="A918" s="370">
        <v>45582.926319444443</v>
      </c>
      <c r="B918" s="365" t="s">
        <v>3686</v>
      </c>
      <c r="C918" s="365" t="s">
        <v>3687</v>
      </c>
      <c r="D918" s="365" t="s">
        <v>3688</v>
      </c>
      <c r="E918" s="365" t="s">
        <v>3689</v>
      </c>
      <c r="F918" s="365" t="s">
        <v>3690</v>
      </c>
      <c r="G918" s="370">
        <v>45595</v>
      </c>
      <c r="H918" s="369">
        <v>15999</v>
      </c>
      <c r="I918" s="365" t="s">
        <v>3691</v>
      </c>
      <c r="J918" s="365" t="s">
        <v>1228</v>
      </c>
      <c r="K918" s="365" t="s">
        <v>1229</v>
      </c>
      <c r="L918" s="370">
        <v>45582.927465277775</v>
      </c>
    </row>
    <row r="919" spans="1:12" s="365" customFormat="1" hidden="1">
      <c r="A919" s="370">
        <v>45583.354097222225</v>
      </c>
      <c r="B919" s="365" t="s">
        <v>3743</v>
      </c>
      <c r="C919" s="365" t="s">
        <v>3744</v>
      </c>
      <c r="D919" s="365" t="s">
        <v>3745</v>
      </c>
      <c r="E919" s="365" t="s">
        <v>3746</v>
      </c>
      <c r="F919" s="365" t="s">
        <v>3747</v>
      </c>
      <c r="G919" s="370">
        <v>45595</v>
      </c>
      <c r="H919" s="369">
        <v>15000</v>
      </c>
      <c r="I919" s="365" t="s">
        <v>3748</v>
      </c>
      <c r="J919" s="365" t="s">
        <v>1228</v>
      </c>
      <c r="K919" s="365" t="s">
        <v>1229</v>
      </c>
      <c r="L919" s="370">
        <v>45583.354687500003</v>
      </c>
    </row>
    <row r="920" spans="1:12" s="365" customFormat="1" hidden="1">
      <c r="A920" s="370">
        <v>45583.360717592594</v>
      </c>
      <c r="B920" s="365" t="s">
        <v>3769</v>
      </c>
      <c r="C920" s="365" t="s">
        <v>3770</v>
      </c>
      <c r="D920" s="365" t="s">
        <v>3771</v>
      </c>
      <c r="E920" s="365" t="s">
        <v>3772</v>
      </c>
      <c r="F920" s="365" t="s">
        <v>3773</v>
      </c>
      <c r="G920" s="370">
        <v>45595</v>
      </c>
      <c r="H920" s="369">
        <v>185499</v>
      </c>
      <c r="I920" s="365" t="s">
        <v>3774</v>
      </c>
      <c r="J920" s="365" t="s">
        <v>1228</v>
      </c>
      <c r="K920" s="365" t="s">
        <v>1229</v>
      </c>
      <c r="L920" s="370">
        <v>45583.361446759256</v>
      </c>
    </row>
    <row r="921" spans="1:12" s="365" customFormat="1" hidden="1">
      <c r="A921" s="370">
        <v>45583.463206018518</v>
      </c>
      <c r="B921" s="365" t="s">
        <v>3749</v>
      </c>
      <c r="C921" s="365" t="s">
        <v>3750</v>
      </c>
      <c r="D921" s="365" t="s">
        <v>3751</v>
      </c>
      <c r="E921" s="365" t="s">
        <v>3752</v>
      </c>
      <c r="F921" s="365" t="s">
        <v>3753</v>
      </c>
      <c r="G921" s="370">
        <v>45595</v>
      </c>
      <c r="H921" s="369">
        <v>30000</v>
      </c>
      <c r="I921" s="365" t="s">
        <v>3754</v>
      </c>
      <c r="J921" s="365" t="s">
        <v>1228</v>
      </c>
      <c r="K921" s="365" t="s">
        <v>1229</v>
      </c>
      <c r="L921" s="370">
        <v>45583.465497685182</v>
      </c>
    </row>
    <row r="922" spans="1:12" s="365" customFormat="1" hidden="1">
      <c r="A922" s="370">
        <v>45583.465555555558</v>
      </c>
      <c r="B922" s="365" t="s">
        <v>3755</v>
      </c>
      <c r="C922" s="365" t="s">
        <v>3756</v>
      </c>
      <c r="D922" s="365" t="s">
        <v>3757</v>
      </c>
      <c r="E922" s="365" t="s">
        <v>3758</v>
      </c>
      <c r="F922" s="365" t="s">
        <v>3759</v>
      </c>
      <c r="G922" s="370">
        <v>45560</v>
      </c>
      <c r="H922" s="369">
        <v>19500</v>
      </c>
      <c r="I922" s="365" t="s">
        <v>3760</v>
      </c>
      <c r="J922" s="365" t="s">
        <v>1228</v>
      </c>
      <c r="K922" s="365" t="s">
        <v>1229</v>
      </c>
      <c r="L922" s="370">
        <v>45583.4690625</v>
      </c>
    </row>
    <row r="923" spans="1:12" s="365" customFormat="1" hidden="1">
      <c r="A923" s="370">
        <v>45583.499131944445</v>
      </c>
      <c r="B923" s="365" t="s">
        <v>3775</v>
      </c>
      <c r="C923" s="365" t="s">
        <v>1664</v>
      </c>
      <c r="D923" s="365" t="s">
        <v>1665</v>
      </c>
      <c r="E923" s="365" t="s">
        <v>1666</v>
      </c>
      <c r="F923" s="365" t="s">
        <v>3776</v>
      </c>
      <c r="G923" s="370">
        <v>45595</v>
      </c>
      <c r="H923" s="369">
        <v>9000</v>
      </c>
      <c r="I923" s="365" t="s">
        <v>3777</v>
      </c>
      <c r="J923" s="365" t="s">
        <v>1228</v>
      </c>
      <c r="K923" s="365" t="s">
        <v>1229</v>
      </c>
      <c r="L923" s="370">
        <v>45583.500208333331</v>
      </c>
    </row>
    <row r="924" spans="1:12" s="365" customFormat="1" hidden="1">
      <c r="A924" s="370">
        <v>45583.521481481483</v>
      </c>
      <c r="B924" s="365" t="s">
        <v>3778</v>
      </c>
      <c r="C924" s="365" t="s">
        <v>2069</v>
      </c>
      <c r="D924" s="365" t="s">
        <v>2070</v>
      </c>
      <c r="E924" s="365" t="s">
        <v>2071</v>
      </c>
      <c r="F924" s="365" t="s">
        <v>3779</v>
      </c>
      <c r="G924" s="370">
        <v>45595</v>
      </c>
      <c r="H924" s="369">
        <v>12000</v>
      </c>
      <c r="I924" s="365" t="s">
        <v>3780</v>
      </c>
      <c r="J924" s="365" t="s">
        <v>1228</v>
      </c>
      <c r="K924" s="365" t="s">
        <v>1229</v>
      </c>
      <c r="L924" s="370">
        <v>45583.524444444447</v>
      </c>
    </row>
    <row r="925" spans="1:12" s="365" customFormat="1" hidden="1">
      <c r="A925" s="370">
        <v>45583.660312499997</v>
      </c>
      <c r="B925" s="365" t="s">
        <v>3761</v>
      </c>
      <c r="C925" s="365" t="s">
        <v>1322</v>
      </c>
      <c r="D925" s="365" t="s">
        <v>3762</v>
      </c>
      <c r="E925" s="365" t="s">
        <v>3763</v>
      </c>
      <c r="F925" s="365" t="s">
        <v>3764</v>
      </c>
      <c r="G925" s="370">
        <v>45595</v>
      </c>
      <c r="H925" s="369">
        <v>30000</v>
      </c>
      <c r="I925" s="365" t="s">
        <v>3765</v>
      </c>
      <c r="J925" s="365" t="s">
        <v>1228</v>
      </c>
      <c r="K925" s="365" t="s">
        <v>1229</v>
      </c>
      <c r="L925" s="370">
        <v>45583.663425925923</v>
      </c>
    </row>
    <row r="926" spans="1:12" s="365" customFormat="1" hidden="1">
      <c r="A926" s="370">
        <v>45583.865127314813</v>
      </c>
      <c r="B926" s="365" t="s">
        <v>3766</v>
      </c>
      <c r="C926" s="365" t="s">
        <v>1647</v>
      </c>
      <c r="D926" s="365" t="s">
        <v>1648</v>
      </c>
      <c r="E926" s="365" t="s">
        <v>1649</v>
      </c>
      <c r="F926" s="365" t="s">
        <v>3767</v>
      </c>
      <c r="G926" s="370">
        <v>45595</v>
      </c>
      <c r="H926" s="369">
        <v>9000</v>
      </c>
      <c r="I926" s="365" t="s">
        <v>3768</v>
      </c>
      <c r="J926" s="365" t="s">
        <v>1228</v>
      </c>
      <c r="K926" s="365" t="s">
        <v>1229</v>
      </c>
      <c r="L926" s="370">
        <v>45583.868402777778</v>
      </c>
    </row>
    <row r="927" spans="1:12" s="365" customFormat="1" hidden="1">
      <c r="A927" s="370">
        <v>45584.294791666667</v>
      </c>
      <c r="B927" s="365" t="s">
        <v>3813</v>
      </c>
      <c r="C927" s="365" t="s">
        <v>3814</v>
      </c>
      <c r="D927" s="365" t="s">
        <v>3815</v>
      </c>
      <c r="E927" s="365" t="s">
        <v>3816</v>
      </c>
      <c r="F927" s="365" t="s">
        <v>3817</v>
      </c>
      <c r="G927" s="370">
        <v>45560</v>
      </c>
      <c r="H927" s="369">
        <v>75499</v>
      </c>
      <c r="I927" s="365" t="s">
        <v>3818</v>
      </c>
      <c r="J927" s="365" t="s">
        <v>1228</v>
      </c>
      <c r="K927" s="365" t="s">
        <v>1229</v>
      </c>
      <c r="L927" s="370">
        <v>45584.295868055553</v>
      </c>
    </row>
    <row r="928" spans="1:12" s="365" customFormat="1" hidden="1">
      <c r="A928" s="370">
        <v>45584.295046296298</v>
      </c>
      <c r="B928" s="365" t="s">
        <v>3781</v>
      </c>
      <c r="C928" s="365" t="s">
        <v>3782</v>
      </c>
      <c r="D928" s="365" t="s">
        <v>3783</v>
      </c>
      <c r="E928" s="365" t="s">
        <v>3784</v>
      </c>
      <c r="F928" s="365" t="s">
        <v>3785</v>
      </c>
      <c r="G928" s="370">
        <v>45595</v>
      </c>
      <c r="H928" s="369">
        <v>24000</v>
      </c>
      <c r="I928" s="365" t="s">
        <v>3786</v>
      </c>
      <c r="J928" s="365" t="s">
        <v>1228</v>
      </c>
      <c r="K928" s="365" t="s">
        <v>1229</v>
      </c>
      <c r="L928" s="370">
        <v>45584.295682870368</v>
      </c>
    </row>
    <row r="929" spans="1:12" s="365" customFormat="1" hidden="1">
      <c r="A929" s="370">
        <v>45584.408148148148</v>
      </c>
      <c r="B929" s="365" t="s">
        <v>3819</v>
      </c>
      <c r="C929" s="365" t="s">
        <v>1230</v>
      </c>
      <c r="D929" s="365" t="s">
        <v>1395</v>
      </c>
      <c r="E929" s="365" t="s">
        <v>1396</v>
      </c>
      <c r="F929" s="365" t="s">
        <v>3820</v>
      </c>
      <c r="G929" s="370">
        <v>45560</v>
      </c>
      <c r="H929" s="369">
        <v>25000</v>
      </c>
      <c r="I929" s="365" t="s">
        <v>3821</v>
      </c>
      <c r="J929" s="365" t="s">
        <v>1228</v>
      </c>
      <c r="K929" s="365" t="s">
        <v>1229</v>
      </c>
      <c r="L929" s="370">
        <v>45584.411400462966</v>
      </c>
    </row>
    <row r="930" spans="1:12" s="365" customFormat="1" hidden="1">
      <c r="A930" s="370">
        <v>45584.40892361111</v>
      </c>
      <c r="B930" s="365" t="s">
        <v>3787</v>
      </c>
      <c r="C930" s="365" t="s">
        <v>1230</v>
      </c>
      <c r="D930" s="365" t="s">
        <v>1397</v>
      </c>
      <c r="E930" s="365" t="s">
        <v>1398</v>
      </c>
      <c r="F930" s="365" t="s">
        <v>3788</v>
      </c>
      <c r="G930" s="370">
        <v>45560</v>
      </c>
      <c r="H930" s="369">
        <v>25000</v>
      </c>
      <c r="I930" s="365" t="s">
        <v>3789</v>
      </c>
      <c r="J930" s="365" t="s">
        <v>1228</v>
      </c>
      <c r="K930" s="365" t="s">
        <v>1229</v>
      </c>
      <c r="L930" s="370">
        <v>45584.41101851852</v>
      </c>
    </row>
    <row r="931" spans="1:12" s="365" customFormat="1" hidden="1">
      <c r="A931" s="370">
        <v>45584.409513888888</v>
      </c>
      <c r="B931" s="365" t="s">
        <v>3790</v>
      </c>
      <c r="C931" s="365" t="s">
        <v>1230</v>
      </c>
      <c r="D931" s="365" t="s">
        <v>1481</v>
      </c>
      <c r="E931" s="365" t="s">
        <v>1482</v>
      </c>
      <c r="F931" s="365" t="s">
        <v>3791</v>
      </c>
      <c r="G931" s="370">
        <v>45560</v>
      </c>
      <c r="H931" s="369">
        <v>25000</v>
      </c>
      <c r="I931" s="365" t="s">
        <v>3792</v>
      </c>
      <c r="J931" s="365" t="s">
        <v>1228</v>
      </c>
      <c r="K931" s="365" t="s">
        <v>1229</v>
      </c>
      <c r="L931" s="370">
        <v>45584.411203703705</v>
      </c>
    </row>
    <row r="932" spans="1:12" s="365" customFormat="1" hidden="1">
      <c r="A932" s="370">
        <v>45584.410196759258</v>
      </c>
      <c r="B932" s="365" t="s">
        <v>3793</v>
      </c>
      <c r="C932" s="365" t="s">
        <v>1230</v>
      </c>
      <c r="D932" s="365" t="s">
        <v>1299</v>
      </c>
      <c r="E932" s="365" t="s">
        <v>1300</v>
      </c>
      <c r="F932" s="365" t="s">
        <v>3794</v>
      </c>
      <c r="G932" s="370">
        <v>45560</v>
      </c>
      <c r="H932" s="369">
        <v>27000</v>
      </c>
      <c r="I932" s="365" t="s">
        <v>3795</v>
      </c>
      <c r="J932" s="365" t="s">
        <v>1228</v>
      </c>
      <c r="K932" s="365" t="s">
        <v>1229</v>
      </c>
      <c r="L932" s="370">
        <v>45584.41138888889</v>
      </c>
    </row>
    <row r="933" spans="1:12" s="365" customFormat="1" hidden="1">
      <c r="A933" s="370">
        <v>45584.41065972222</v>
      </c>
      <c r="B933" s="365" t="s">
        <v>3822</v>
      </c>
      <c r="C933" s="365" t="s">
        <v>1230</v>
      </c>
      <c r="D933" s="365" t="s">
        <v>3823</v>
      </c>
      <c r="E933" s="365" t="s">
        <v>3824</v>
      </c>
      <c r="F933" s="365" t="s">
        <v>3825</v>
      </c>
      <c r="G933" s="370">
        <v>45560</v>
      </c>
      <c r="H933" s="369">
        <v>56999</v>
      </c>
      <c r="I933" s="365" t="s">
        <v>3826</v>
      </c>
      <c r="J933" s="365" t="s">
        <v>1228</v>
      </c>
      <c r="K933" s="365" t="s">
        <v>1229</v>
      </c>
      <c r="L933" s="370">
        <v>45584.411736111113</v>
      </c>
    </row>
    <row r="934" spans="1:12" s="365" customFormat="1" hidden="1">
      <c r="A934" s="370">
        <v>45584.44258101852</v>
      </c>
      <c r="B934" s="365" t="s">
        <v>3796</v>
      </c>
      <c r="C934" s="365" t="s">
        <v>1230</v>
      </c>
      <c r="D934" s="365" t="s">
        <v>1368</v>
      </c>
      <c r="E934" s="365" t="s">
        <v>1369</v>
      </c>
      <c r="F934" s="365" t="s">
        <v>3797</v>
      </c>
      <c r="G934" s="370">
        <v>45560</v>
      </c>
      <c r="H934" s="369">
        <v>9000</v>
      </c>
      <c r="I934" s="365" t="s">
        <v>3798</v>
      </c>
      <c r="J934" s="365" t="s">
        <v>1228</v>
      </c>
      <c r="K934" s="365" t="s">
        <v>1229</v>
      </c>
      <c r="L934" s="370">
        <v>45584.446192129632</v>
      </c>
    </row>
    <row r="935" spans="1:12" s="365" customFormat="1" hidden="1">
      <c r="A935" s="370">
        <v>45584.443877314814</v>
      </c>
      <c r="B935" s="365" t="s">
        <v>3799</v>
      </c>
      <c r="C935" s="365" t="s">
        <v>1230</v>
      </c>
      <c r="D935" s="365" t="s">
        <v>3800</v>
      </c>
      <c r="E935" s="365" t="s">
        <v>3801</v>
      </c>
      <c r="F935" s="365" t="s">
        <v>3802</v>
      </c>
      <c r="G935" s="370">
        <v>45560</v>
      </c>
      <c r="H935" s="369">
        <v>72501</v>
      </c>
      <c r="I935" s="365" t="s">
        <v>3803</v>
      </c>
      <c r="J935" s="365" t="s">
        <v>1228</v>
      </c>
      <c r="K935" s="365" t="s">
        <v>1229</v>
      </c>
      <c r="L935" s="370">
        <v>45584.446377314816</v>
      </c>
    </row>
    <row r="936" spans="1:12" s="365" customFormat="1" hidden="1">
      <c r="A936" s="370">
        <v>45584.467986111114</v>
      </c>
      <c r="B936" s="365" t="s">
        <v>3827</v>
      </c>
      <c r="C936" s="365" t="s">
        <v>1230</v>
      </c>
      <c r="D936" s="365" t="s">
        <v>1231</v>
      </c>
      <c r="E936" s="365" t="s">
        <v>1232</v>
      </c>
      <c r="F936" s="365" t="s">
        <v>3828</v>
      </c>
      <c r="G936" s="370">
        <v>45560</v>
      </c>
      <c r="H936" s="369">
        <v>60000</v>
      </c>
      <c r="I936" s="365" t="s">
        <v>3829</v>
      </c>
      <c r="J936" s="365" t="s">
        <v>1228</v>
      </c>
      <c r="K936" s="365" t="s">
        <v>1229</v>
      </c>
      <c r="L936" s="370">
        <v>45584.470370370371</v>
      </c>
    </row>
    <row r="937" spans="1:12" s="365" customFormat="1" hidden="1">
      <c r="A937" s="370">
        <v>45584.472766203704</v>
      </c>
      <c r="B937" s="365" t="s">
        <v>3830</v>
      </c>
      <c r="C937" s="365" t="s">
        <v>1230</v>
      </c>
      <c r="D937" s="365" t="s">
        <v>1427</v>
      </c>
      <c r="E937" s="365" t="s">
        <v>1428</v>
      </c>
      <c r="F937" s="365" t="s">
        <v>3831</v>
      </c>
      <c r="G937" s="370">
        <v>45560</v>
      </c>
      <c r="H937" s="369">
        <v>97501</v>
      </c>
      <c r="I937" s="365" t="s">
        <v>3832</v>
      </c>
      <c r="J937" s="365" t="s">
        <v>1228</v>
      </c>
      <c r="K937" s="365" t="s">
        <v>1229</v>
      </c>
      <c r="L937" s="370">
        <v>45584.473935185182</v>
      </c>
    </row>
    <row r="938" spans="1:12" s="365" customFormat="1" hidden="1">
      <c r="A938" s="370">
        <v>45584.479456018518</v>
      </c>
      <c r="B938" s="365" t="s">
        <v>3804</v>
      </c>
      <c r="C938" s="365" t="s">
        <v>1801</v>
      </c>
      <c r="D938" s="365" t="s">
        <v>1802</v>
      </c>
      <c r="E938" s="365" t="s">
        <v>1803</v>
      </c>
      <c r="F938" s="365" t="s">
        <v>3805</v>
      </c>
      <c r="G938" s="370">
        <v>45595</v>
      </c>
      <c r="H938" s="369">
        <v>19000</v>
      </c>
      <c r="I938" s="365" t="s">
        <v>3806</v>
      </c>
      <c r="J938" s="365" t="s">
        <v>1228</v>
      </c>
      <c r="K938" s="365" t="s">
        <v>1229</v>
      </c>
      <c r="L938" s="370">
        <v>45584.481041666666</v>
      </c>
    </row>
    <row r="939" spans="1:12" s="365" customFormat="1" hidden="1">
      <c r="A939" s="370">
        <v>45584.4840625</v>
      </c>
      <c r="B939" s="365" t="s">
        <v>3833</v>
      </c>
      <c r="C939" s="365" t="s">
        <v>1230</v>
      </c>
      <c r="D939" s="365" t="s">
        <v>2310</v>
      </c>
      <c r="E939" s="365" t="s">
        <v>2311</v>
      </c>
      <c r="F939" s="365" t="s">
        <v>3834</v>
      </c>
      <c r="G939" s="370">
        <v>45560</v>
      </c>
      <c r="H939" s="369">
        <v>263000</v>
      </c>
      <c r="I939" s="365" t="s">
        <v>3835</v>
      </c>
      <c r="J939" s="365" t="s">
        <v>1228</v>
      </c>
      <c r="K939" s="365" t="s">
        <v>1229</v>
      </c>
      <c r="L939" s="370">
        <v>45584.487800925926</v>
      </c>
    </row>
    <row r="940" spans="1:12" s="365" customFormat="1" hidden="1">
      <c r="A940" s="370">
        <v>45584.539560185185</v>
      </c>
      <c r="B940" s="365" t="s">
        <v>3836</v>
      </c>
      <c r="C940" s="365" t="s">
        <v>3837</v>
      </c>
      <c r="D940" s="365" t="s">
        <v>3838</v>
      </c>
      <c r="E940" s="365" t="s">
        <v>3839</v>
      </c>
      <c r="F940" s="365" t="s">
        <v>3840</v>
      </c>
      <c r="G940" s="370">
        <v>45595</v>
      </c>
      <c r="H940" s="369">
        <v>43000</v>
      </c>
      <c r="I940" s="365" t="s">
        <v>3841</v>
      </c>
      <c r="J940" s="365" t="s">
        <v>1228</v>
      </c>
      <c r="K940" s="365" t="s">
        <v>1229</v>
      </c>
      <c r="L940" s="370">
        <v>45584.540138888886</v>
      </c>
    </row>
    <row r="941" spans="1:12" s="365" customFormat="1" hidden="1">
      <c r="A941" s="370">
        <v>45584.654976851853</v>
      </c>
      <c r="B941" s="365" t="s">
        <v>3842</v>
      </c>
      <c r="C941" s="365" t="s">
        <v>3843</v>
      </c>
      <c r="D941" s="365" t="s">
        <v>3844</v>
      </c>
      <c r="E941" s="365" t="s">
        <v>3845</v>
      </c>
      <c r="F941" s="365" t="s">
        <v>3846</v>
      </c>
      <c r="G941" s="370">
        <v>45560</v>
      </c>
      <c r="H941" s="369">
        <v>48000</v>
      </c>
      <c r="I941" s="365" t="s">
        <v>3847</v>
      </c>
      <c r="J941" s="365" t="s">
        <v>1228</v>
      </c>
      <c r="K941" s="365" t="s">
        <v>1229</v>
      </c>
      <c r="L941" s="370">
        <v>45584.657754629632</v>
      </c>
    </row>
    <row r="942" spans="1:12" s="365" customFormat="1" hidden="1">
      <c r="A942" s="370">
        <v>45584.808263888888</v>
      </c>
      <c r="B942" s="365" t="s">
        <v>3807</v>
      </c>
      <c r="C942" s="365" t="s">
        <v>3808</v>
      </c>
      <c r="D942" s="365" t="s">
        <v>3809</v>
      </c>
      <c r="E942" s="365" t="s">
        <v>3810</v>
      </c>
      <c r="F942" s="365" t="s">
        <v>3811</v>
      </c>
      <c r="G942" s="370">
        <v>45595</v>
      </c>
      <c r="H942" s="369">
        <v>39000</v>
      </c>
      <c r="I942" s="365" t="s">
        <v>3812</v>
      </c>
      <c r="J942" s="365" t="s">
        <v>1228</v>
      </c>
      <c r="K942" s="365" t="s">
        <v>1229</v>
      </c>
      <c r="L942" s="370">
        <v>45584.810914351852</v>
      </c>
    </row>
    <row r="943" spans="1:12" s="365" customFormat="1" hidden="1">
      <c r="A943" s="370">
        <v>45585.726550925923</v>
      </c>
      <c r="B943" s="365" t="s">
        <v>3848</v>
      </c>
      <c r="C943" s="365" t="s">
        <v>1492</v>
      </c>
      <c r="D943" s="365" t="s">
        <v>1493</v>
      </c>
      <c r="E943" s="365" t="s">
        <v>1494</v>
      </c>
      <c r="F943" s="365" t="s">
        <v>3849</v>
      </c>
      <c r="G943" s="370">
        <v>45595</v>
      </c>
      <c r="H943" s="369">
        <v>20499</v>
      </c>
      <c r="I943" s="365" t="s">
        <v>3850</v>
      </c>
      <c r="J943" s="365" t="s">
        <v>1228</v>
      </c>
      <c r="K943" s="365" t="s">
        <v>1229</v>
      </c>
      <c r="L943" s="370">
        <v>45585.729699074072</v>
      </c>
    </row>
    <row r="944" spans="1:12" s="365" customFormat="1" hidden="1">
      <c r="A944" s="370">
        <v>45586.301412037035</v>
      </c>
      <c r="B944" s="365" t="s">
        <v>3851</v>
      </c>
      <c r="C944" s="365" t="s">
        <v>3852</v>
      </c>
      <c r="D944" s="365" t="s">
        <v>3853</v>
      </c>
      <c r="E944" s="365" t="s">
        <v>3854</v>
      </c>
      <c r="F944" s="365" t="s">
        <v>3855</v>
      </c>
      <c r="G944" s="370">
        <v>45595</v>
      </c>
      <c r="H944" s="369">
        <v>48000</v>
      </c>
      <c r="I944" s="365" t="s">
        <v>3856</v>
      </c>
      <c r="J944" s="365" t="s">
        <v>1228</v>
      </c>
      <c r="K944" s="365" t="s">
        <v>1229</v>
      </c>
      <c r="L944" s="370">
        <v>45586.302361111113</v>
      </c>
    </row>
    <row r="945" spans="1:12" s="365" customFormat="1" hidden="1">
      <c r="A945" s="370">
        <v>45586.362708333334</v>
      </c>
      <c r="B945" s="365" t="s">
        <v>3857</v>
      </c>
      <c r="C945" s="365" t="s">
        <v>1296</v>
      </c>
      <c r="D945" s="365" t="s">
        <v>1297</v>
      </c>
      <c r="E945" s="365" t="s">
        <v>1298</v>
      </c>
      <c r="F945" s="365" t="s">
        <v>3858</v>
      </c>
      <c r="G945" s="370">
        <v>45595</v>
      </c>
      <c r="H945" s="369">
        <v>23400</v>
      </c>
      <c r="I945" s="365" t="s">
        <v>3859</v>
      </c>
      <c r="J945" s="365" t="s">
        <v>1228</v>
      </c>
      <c r="K945" s="365" t="s">
        <v>1229</v>
      </c>
      <c r="L945" s="370">
        <v>45586.365011574075</v>
      </c>
    </row>
    <row r="946" spans="1:12" s="365" customFormat="1" hidden="1">
      <c r="A946" s="370">
        <v>45586.430902777778</v>
      </c>
      <c r="B946" s="365" t="s">
        <v>3932</v>
      </c>
      <c r="C946" s="365" t="s">
        <v>3933</v>
      </c>
      <c r="D946" s="365" t="s">
        <v>3934</v>
      </c>
      <c r="E946" s="365" t="s">
        <v>3935</v>
      </c>
      <c r="F946" s="365" t="s">
        <v>3936</v>
      </c>
      <c r="G946" s="370">
        <v>45595</v>
      </c>
      <c r="H946" s="369">
        <v>20999</v>
      </c>
      <c r="I946" s="365" t="s">
        <v>3937</v>
      </c>
      <c r="J946" s="365" t="s">
        <v>1228</v>
      </c>
      <c r="K946" s="365" t="s">
        <v>1229</v>
      </c>
      <c r="L946" s="370">
        <v>45586.434525462966</v>
      </c>
    </row>
    <row r="947" spans="1:12" s="365" customFormat="1" hidden="1">
      <c r="A947" s="370">
        <v>45586.432268518518</v>
      </c>
      <c r="B947" s="365" t="s">
        <v>3938</v>
      </c>
      <c r="C947" s="365" t="s">
        <v>3939</v>
      </c>
      <c r="D947" s="365" t="s">
        <v>3940</v>
      </c>
      <c r="E947" s="365" t="s">
        <v>3941</v>
      </c>
      <c r="F947" s="365" t="s">
        <v>3942</v>
      </c>
      <c r="G947" s="370">
        <v>45595</v>
      </c>
      <c r="H947" s="369">
        <v>31000</v>
      </c>
      <c r="I947" s="365" t="s">
        <v>3943</v>
      </c>
      <c r="J947" s="365" t="s">
        <v>1228</v>
      </c>
      <c r="K947" s="365" t="s">
        <v>1229</v>
      </c>
      <c r="L947" s="370">
        <v>45586.434710648151</v>
      </c>
    </row>
    <row r="948" spans="1:12" s="365" customFormat="1" hidden="1">
      <c r="A948" s="370">
        <v>45586.506967592592</v>
      </c>
      <c r="B948" s="365" t="s">
        <v>3914</v>
      </c>
      <c r="C948" s="365" t="s">
        <v>1456</v>
      </c>
      <c r="D948" s="365" t="s">
        <v>1457</v>
      </c>
      <c r="E948" s="365" t="s">
        <v>1458</v>
      </c>
      <c r="F948" s="365" t="s">
        <v>3915</v>
      </c>
      <c r="G948" s="370">
        <v>45595</v>
      </c>
      <c r="H948" s="369">
        <v>75000</v>
      </c>
      <c r="I948" s="365" t="s">
        <v>3916</v>
      </c>
      <c r="J948" s="365" t="s">
        <v>1228</v>
      </c>
      <c r="K948" s="365" t="s">
        <v>1229</v>
      </c>
      <c r="L948" s="370">
        <v>45586.5075</v>
      </c>
    </row>
    <row r="949" spans="1:12" s="365" customFormat="1" hidden="1">
      <c r="A949" s="370">
        <v>45586.507037037038</v>
      </c>
      <c r="B949" s="365" t="s">
        <v>3944</v>
      </c>
      <c r="C949" s="365" t="s">
        <v>1601</v>
      </c>
      <c r="D949" s="365" t="s">
        <v>1352</v>
      </c>
      <c r="E949" s="365" t="s">
        <v>1353</v>
      </c>
      <c r="F949" s="365" t="s">
        <v>3945</v>
      </c>
      <c r="G949" s="370">
        <v>45595</v>
      </c>
      <c r="H949" s="369">
        <v>15999</v>
      </c>
      <c r="I949" s="365" t="s">
        <v>3946</v>
      </c>
      <c r="J949" s="365" t="s">
        <v>1228</v>
      </c>
      <c r="K949" s="365" t="s">
        <v>1229</v>
      </c>
      <c r="L949" s="370">
        <v>45586.507696759261</v>
      </c>
    </row>
    <row r="950" spans="1:12" s="365" customFormat="1" hidden="1">
      <c r="A950" s="370">
        <v>45586.527511574073</v>
      </c>
      <c r="B950" s="365" t="s">
        <v>3860</v>
      </c>
      <c r="C950" s="365" t="s">
        <v>3861</v>
      </c>
      <c r="D950" s="365" t="s">
        <v>3862</v>
      </c>
      <c r="E950" s="365" t="s">
        <v>3863</v>
      </c>
      <c r="F950" s="365" t="s">
        <v>3864</v>
      </c>
      <c r="G950" s="370">
        <v>45595</v>
      </c>
      <c r="H950" s="369">
        <v>36000</v>
      </c>
      <c r="I950" s="365" t="s">
        <v>3865</v>
      </c>
      <c r="J950" s="365" t="s">
        <v>1228</v>
      </c>
      <c r="K950" s="365" t="s">
        <v>1229</v>
      </c>
      <c r="L950" s="370">
        <v>45586.528854166667</v>
      </c>
    </row>
    <row r="951" spans="1:12" s="365" customFormat="1" hidden="1">
      <c r="A951" s="370">
        <v>45586.532592592594</v>
      </c>
      <c r="B951" s="365" t="s">
        <v>3866</v>
      </c>
      <c r="C951" s="365" t="s">
        <v>3867</v>
      </c>
      <c r="D951" s="365" t="s">
        <v>3868</v>
      </c>
      <c r="E951" s="365" t="s">
        <v>3869</v>
      </c>
      <c r="F951" s="365" t="s">
        <v>3870</v>
      </c>
      <c r="G951" s="370">
        <v>45560</v>
      </c>
      <c r="H951" s="369">
        <v>15000</v>
      </c>
      <c r="I951" s="365" t="s">
        <v>3871</v>
      </c>
      <c r="J951" s="365" t="s">
        <v>1228</v>
      </c>
      <c r="K951" s="365" t="s">
        <v>1229</v>
      </c>
      <c r="L951" s="370">
        <v>45586.535960648151</v>
      </c>
    </row>
    <row r="952" spans="1:12" s="365" customFormat="1" hidden="1">
      <c r="A952" s="370">
        <v>45586.704942129632</v>
      </c>
      <c r="B952" s="365" t="s">
        <v>3872</v>
      </c>
      <c r="C952" s="365" t="s">
        <v>3873</v>
      </c>
      <c r="D952" s="365" t="s">
        <v>3874</v>
      </c>
      <c r="E952" s="365" t="s">
        <v>3875</v>
      </c>
      <c r="F952" s="365" t="s">
        <v>3876</v>
      </c>
      <c r="G952" s="370">
        <v>45595</v>
      </c>
      <c r="H952" s="369">
        <v>15000</v>
      </c>
      <c r="I952" s="365" t="s">
        <v>3877</v>
      </c>
      <c r="J952" s="365" t="s">
        <v>1228</v>
      </c>
      <c r="K952" s="365" t="s">
        <v>1229</v>
      </c>
      <c r="L952" s="370">
        <v>45586.705763888887</v>
      </c>
    </row>
    <row r="953" spans="1:12" s="365" customFormat="1" hidden="1">
      <c r="A953" s="370">
        <v>45586.718263888892</v>
      </c>
      <c r="B953" s="365" t="s">
        <v>3917</v>
      </c>
      <c r="C953" s="365" t="s">
        <v>1291</v>
      </c>
      <c r="D953" s="365" t="s">
        <v>1292</v>
      </c>
      <c r="E953" s="365" t="s">
        <v>1293</v>
      </c>
      <c r="F953" s="365" t="s">
        <v>3918</v>
      </c>
      <c r="G953" s="370">
        <v>45560</v>
      </c>
      <c r="H953" s="369">
        <v>150000</v>
      </c>
      <c r="I953" s="365" t="s">
        <v>3919</v>
      </c>
      <c r="J953" s="365" t="s">
        <v>1228</v>
      </c>
      <c r="K953" s="365" t="s">
        <v>1229</v>
      </c>
      <c r="L953" s="370">
        <v>45586.720000000001</v>
      </c>
    </row>
    <row r="954" spans="1:12" s="365" customFormat="1" hidden="1">
      <c r="A954" s="370">
        <v>45586.727083333331</v>
      </c>
      <c r="B954" s="365" t="s">
        <v>3947</v>
      </c>
      <c r="C954" s="365" t="s">
        <v>3948</v>
      </c>
      <c r="D954" s="365" t="s">
        <v>3949</v>
      </c>
      <c r="E954" s="365" t="s">
        <v>3950</v>
      </c>
      <c r="F954" s="365" t="s">
        <v>3951</v>
      </c>
      <c r="G954" s="370">
        <v>45595</v>
      </c>
      <c r="H954" s="369">
        <v>20999</v>
      </c>
      <c r="I954" s="365" t="s">
        <v>3952</v>
      </c>
      <c r="J954" s="365" t="s">
        <v>1228</v>
      </c>
      <c r="K954" s="365" t="s">
        <v>1229</v>
      </c>
      <c r="L954" s="370">
        <v>45586.730162037034</v>
      </c>
    </row>
    <row r="955" spans="1:12" s="365" customFormat="1" hidden="1">
      <c r="A955" s="370">
        <v>45586.771979166668</v>
      </c>
      <c r="B955" s="365" t="s">
        <v>3878</v>
      </c>
      <c r="C955" s="365" t="s">
        <v>3879</v>
      </c>
      <c r="D955" s="365" t="s">
        <v>3880</v>
      </c>
      <c r="E955" s="365" t="s">
        <v>3881</v>
      </c>
      <c r="F955" s="365" t="s">
        <v>3882</v>
      </c>
      <c r="G955" s="370">
        <v>45560</v>
      </c>
      <c r="H955" s="369">
        <v>15999</v>
      </c>
      <c r="I955" s="365" t="s">
        <v>3883</v>
      </c>
      <c r="J955" s="365" t="s">
        <v>1228</v>
      </c>
      <c r="K955" s="365" t="s">
        <v>1229</v>
      </c>
      <c r="L955" s="370">
        <v>45586.77553240741</v>
      </c>
    </row>
    <row r="956" spans="1:12" s="365" customFormat="1" hidden="1">
      <c r="A956" s="370">
        <v>45586.776076388887</v>
      </c>
      <c r="B956" s="365" t="s">
        <v>3884</v>
      </c>
      <c r="C956" s="365" t="s">
        <v>3885</v>
      </c>
      <c r="D956" s="365" t="s">
        <v>3886</v>
      </c>
      <c r="E956" s="365" t="s">
        <v>3887</v>
      </c>
      <c r="F956" s="365" t="s">
        <v>3888</v>
      </c>
      <c r="G956" s="370">
        <v>45595</v>
      </c>
      <c r="H956" s="369">
        <v>44999</v>
      </c>
      <c r="I956" s="365" t="s">
        <v>3889</v>
      </c>
      <c r="J956" s="365" t="s">
        <v>1228</v>
      </c>
      <c r="K956" s="365" t="s">
        <v>1229</v>
      </c>
      <c r="L956" s="370">
        <v>45586.778738425928</v>
      </c>
    </row>
    <row r="957" spans="1:12" s="365" customFormat="1" hidden="1">
      <c r="A957" s="370">
        <v>45586.780150462961</v>
      </c>
      <c r="B957" s="365" t="s">
        <v>3890</v>
      </c>
      <c r="C957" s="365" t="s">
        <v>1533</v>
      </c>
      <c r="D957" s="365" t="s">
        <v>1534</v>
      </c>
      <c r="E957" s="365" t="s">
        <v>1535</v>
      </c>
      <c r="F957" s="365" t="s">
        <v>3891</v>
      </c>
      <c r="G957" s="370">
        <v>45560</v>
      </c>
      <c r="H957" s="369">
        <v>30000</v>
      </c>
      <c r="I957" s="365" t="s">
        <v>3892</v>
      </c>
      <c r="J957" s="365" t="s">
        <v>1228</v>
      </c>
      <c r="K957" s="365" t="s">
        <v>1229</v>
      </c>
      <c r="L957" s="370">
        <v>45586.78229166667</v>
      </c>
    </row>
    <row r="958" spans="1:12" s="365" customFormat="1" hidden="1">
      <c r="A958" s="370">
        <v>45586.792037037034</v>
      </c>
      <c r="B958" s="365" t="s">
        <v>3920</v>
      </c>
      <c r="C958" s="365" t="s">
        <v>3921</v>
      </c>
      <c r="D958" s="365" t="s">
        <v>3922</v>
      </c>
      <c r="E958" s="365" t="s">
        <v>3923</v>
      </c>
      <c r="F958" s="365" t="s">
        <v>3924</v>
      </c>
      <c r="G958" s="370">
        <v>45560</v>
      </c>
      <c r="H958" s="369">
        <v>135000</v>
      </c>
      <c r="I958" s="365" t="s">
        <v>3925</v>
      </c>
      <c r="J958" s="365" t="s">
        <v>1228</v>
      </c>
      <c r="K958" s="365" t="s">
        <v>1229</v>
      </c>
      <c r="L958" s="370">
        <v>45586.792615740742</v>
      </c>
    </row>
    <row r="959" spans="1:12" s="365" customFormat="1" hidden="1">
      <c r="A959" s="370">
        <v>45586.879224537035</v>
      </c>
      <c r="B959" s="365" t="s">
        <v>3926</v>
      </c>
      <c r="C959" s="365" t="s">
        <v>1555</v>
      </c>
      <c r="D959" s="365" t="s">
        <v>1556</v>
      </c>
      <c r="E959" s="365" t="s">
        <v>1557</v>
      </c>
      <c r="F959" s="365" t="s">
        <v>3927</v>
      </c>
      <c r="G959" s="370">
        <v>45595</v>
      </c>
      <c r="H959" s="369">
        <v>23400</v>
      </c>
      <c r="I959" s="365" t="s">
        <v>3928</v>
      </c>
      <c r="J959" s="365" t="s">
        <v>1228</v>
      </c>
      <c r="K959" s="365" t="s">
        <v>1229</v>
      </c>
      <c r="L959" s="370">
        <v>45586.879432870373</v>
      </c>
    </row>
    <row r="960" spans="1:12" s="365" customFormat="1" hidden="1">
      <c r="A960" s="370">
        <v>45586.893113425926</v>
      </c>
      <c r="B960" s="365" t="s">
        <v>3929</v>
      </c>
      <c r="C960" s="365" t="s">
        <v>1230</v>
      </c>
      <c r="D960" s="365" t="s">
        <v>3894</v>
      </c>
      <c r="E960" s="365" t="s">
        <v>3895</v>
      </c>
      <c r="F960" s="365" t="s">
        <v>3930</v>
      </c>
      <c r="G960" s="370">
        <v>45530</v>
      </c>
      <c r="H960" s="369">
        <v>6000</v>
      </c>
      <c r="I960" s="365" t="s">
        <v>3931</v>
      </c>
      <c r="J960" s="365" t="s">
        <v>1228</v>
      </c>
      <c r="K960" s="365" t="s">
        <v>1229</v>
      </c>
      <c r="L960" s="370">
        <v>45586.897268518522</v>
      </c>
    </row>
    <row r="961" spans="1:12" s="365" customFormat="1" hidden="1">
      <c r="A961" s="370">
        <v>45586.893472222226</v>
      </c>
      <c r="B961" s="365" t="s">
        <v>3893</v>
      </c>
      <c r="C961" s="365" t="s">
        <v>1230</v>
      </c>
      <c r="D961" s="365" t="s">
        <v>3894</v>
      </c>
      <c r="E961" s="365" t="s">
        <v>3895</v>
      </c>
      <c r="F961" s="365" t="s">
        <v>3896</v>
      </c>
      <c r="G961" s="370">
        <v>45560</v>
      </c>
      <c r="H961" s="369">
        <v>6000</v>
      </c>
      <c r="I961" s="365" t="s">
        <v>3897</v>
      </c>
      <c r="J961" s="365" t="s">
        <v>1228</v>
      </c>
      <c r="K961" s="365" t="s">
        <v>1229</v>
      </c>
      <c r="L961" s="370">
        <v>45586.896909722222</v>
      </c>
    </row>
    <row r="962" spans="1:12" s="365" customFormat="1" hidden="1">
      <c r="A962" s="370">
        <v>45586.893796296295</v>
      </c>
      <c r="B962" s="365" t="s">
        <v>3898</v>
      </c>
      <c r="C962" s="365" t="s">
        <v>1230</v>
      </c>
      <c r="D962" s="365" t="s">
        <v>3894</v>
      </c>
      <c r="E962" s="365" t="s">
        <v>3895</v>
      </c>
      <c r="F962" s="365" t="s">
        <v>3899</v>
      </c>
      <c r="G962" s="370">
        <v>45595</v>
      </c>
      <c r="H962" s="369">
        <v>6000</v>
      </c>
      <c r="I962" s="365" t="s">
        <v>3900</v>
      </c>
      <c r="J962" s="365" t="s">
        <v>1228</v>
      </c>
      <c r="K962" s="365" t="s">
        <v>1229</v>
      </c>
      <c r="L962" s="370">
        <v>45586.897083333337</v>
      </c>
    </row>
    <row r="963" spans="1:12" s="365" customFormat="1" hidden="1">
      <c r="A963" s="370">
        <v>45586.896736111114</v>
      </c>
      <c r="B963" s="365" t="s">
        <v>3901</v>
      </c>
      <c r="C963" s="365" t="s">
        <v>1230</v>
      </c>
      <c r="D963" s="365" t="s">
        <v>3902</v>
      </c>
      <c r="E963" s="365" t="s">
        <v>3903</v>
      </c>
      <c r="F963" s="365" t="s">
        <v>3904</v>
      </c>
      <c r="G963" s="370">
        <v>45560</v>
      </c>
      <c r="H963" s="369">
        <v>18000</v>
      </c>
      <c r="I963" s="365" t="s">
        <v>3905</v>
      </c>
      <c r="J963" s="365" t="s">
        <v>1228</v>
      </c>
      <c r="K963" s="365" t="s">
        <v>1229</v>
      </c>
      <c r="L963" s="370">
        <v>45586.901145833333</v>
      </c>
    </row>
    <row r="964" spans="1:12" s="365" customFormat="1" hidden="1">
      <c r="A964" s="370">
        <v>45586.899884259263</v>
      </c>
      <c r="B964" s="365" t="s">
        <v>3906</v>
      </c>
      <c r="C964" s="365" t="s">
        <v>1230</v>
      </c>
      <c r="D964" s="365" t="s">
        <v>3907</v>
      </c>
      <c r="E964" s="365" t="s">
        <v>3908</v>
      </c>
      <c r="F964" s="365" t="s">
        <v>3909</v>
      </c>
      <c r="G964" s="370">
        <v>45560</v>
      </c>
      <c r="H964" s="369">
        <v>20999</v>
      </c>
      <c r="I964" s="365" t="s">
        <v>3910</v>
      </c>
      <c r="J964" s="365" t="s">
        <v>1228</v>
      </c>
      <c r="K964" s="365" t="s">
        <v>1229</v>
      </c>
      <c r="L964" s="370">
        <v>45586.901319444441</v>
      </c>
    </row>
    <row r="965" spans="1:12" s="365" customFormat="1" hidden="1">
      <c r="A965" s="370">
        <v>45586.901817129627</v>
      </c>
      <c r="B965" s="365" t="s">
        <v>3953</v>
      </c>
      <c r="C965" s="365" t="s">
        <v>1230</v>
      </c>
      <c r="D965" s="365" t="s">
        <v>1402</v>
      </c>
      <c r="E965" s="365" t="s">
        <v>1403</v>
      </c>
      <c r="F965" s="365" t="s">
        <v>3954</v>
      </c>
      <c r="G965" s="370">
        <v>45560</v>
      </c>
      <c r="H965" s="369">
        <v>15000</v>
      </c>
      <c r="I965" s="365" t="s">
        <v>3955</v>
      </c>
      <c r="J965" s="365" t="s">
        <v>1228</v>
      </c>
      <c r="K965" s="365" t="s">
        <v>1229</v>
      </c>
      <c r="L965" s="370">
        <v>45586.904675925929</v>
      </c>
    </row>
    <row r="966" spans="1:12" s="365" customFormat="1" hidden="1">
      <c r="A966" s="370">
        <v>45586.906851851854</v>
      </c>
      <c r="B966" s="365" t="s">
        <v>3956</v>
      </c>
      <c r="C966" s="365" t="s">
        <v>1230</v>
      </c>
      <c r="D966" s="365" t="s">
        <v>3957</v>
      </c>
      <c r="E966" s="365" t="s">
        <v>3958</v>
      </c>
      <c r="F966" s="365" t="s">
        <v>3959</v>
      </c>
      <c r="G966" s="370">
        <v>45560</v>
      </c>
      <c r="H966" s="369">
        <v>40000</v>
      </c>
      <c r="I966" s="365" t="s">
        <v>3960</v>
      </c>
      <c r="J966" s="365" t="s">
        <v>1228</v>
      </c>
      <c r="K966" s="365" t="s">
        <v>1229</v>
      </c>
      <c r="L966" s="370">
        <v>45586.908090277779</v>
      </c>
    </row>
    <row r="967" spans="1:12" s="365" customFormat="1" hidden="1">
      <c r="A967" s="370">
        <v>45586.907523148147</v>
      </c>
      <c r="B967" s="365" t="s">
        <v>3911</v>
      </c>
      <c r="C967" s="365" t="s">
        <v>1230</v>
      </c>
      <c r="D967" s="365" t="s">
        <v>1308</v>
      </c>
      <c r="E967" s="365" t="s">
        <v>1309</v>
      </c>
      <c r="F967" s="365" t="s">
        <v>3912</v>
      </c>
      <c r="G967" s="370">
        <v>45560</v>
      </c>
      <c r="H967" s="369">
        <v>30000</v>
      </c>
      <c r="I967" s="365" t="s">
        <v>3913</v>
      </c>
      <c r="J967" s="365" t="s">
        <v>1228</v>
      </c>
      <c r="K967" s="365" t="s">
        <v>1229</v>
      </c>
      <c r="L967" s="370">
        <v>45586.907905092594</v>
      </c>
    </row>
    <row r="968" spans="1:12" s="365" customFormat="1" hidden="1">
      <c r="A968" s="370">
        <v>45587.225046296298</v>
      </c>
      <c r="B968" s="365" t="s">
        <v>4042</v>
      </c>
      <c r="C968" s="365" t="s">
        <v>2142</v>
      </c>
      <c r="D968" s="365" t="s">
        <v>2143</v>
      </c>
      <c r="E968" s="365" t="s">
        <v>2144</v>
      </c>
      <c r="F968" s="365" t="s">
        <v>4043</v>
      </c>
      <c r="G968" s="370">
        <v>45595</v>
      </c>
      <c r="H968" s="369">
        <v>17500</v>
      </c>
      <c r="I968" s="365" t="s">
        <v>4044</v>
      </c>
      <c r="J968" s="365" t="s">
        <v>1228</v>
      </c>
      <c r="K968" s="365" t="s">
        <v>1229</v>
      </c>
      <c r="L968" s="370">
        <v>45587.225914351853</v>
      </c>
    </row>
    <row r="969" spans="1:12" s="365" customFormat="1" hidden="1">
      <c r="A969" s="370">
        <v>45587.342766203707</v>
      </c>
      <c r="B969" s="365" t="s">
        <v>3961</v>
      </c>
      <c r="C969" s="365" t="s">
        <v>1885</v>
      </c>
      <c r="D969" s="365" t="s">
        <v>1886</v>
      </c>
      <c r="E969" s="365" t="s">
        <v>1887</v>
      </c>
      <c r="F969" s="365" t="s">
        <v>3962</v>
      </c>
      <c r="G969" s="370">
        <v>45560</v>
      </c>
      <c r="H969" s="369">
        <v>15999</v>
      </c>
      <c r="I969" s="365" t="s">
        <v>3963</v>
      </c>
      <c r="J969" s="365" t="s">
        <v>1228</v>
      </c>
      <c r="K969" s="365" t="s">
        <v>1229</v>
      </c>
      <c r="L969" s="370">
        <v>45587.344074074077</v>
      </c>
    </row>
    <row r="970" spans="1:12" s="365" customFormat="1" hidden="1">
      <c r="A970" s="370">
        <v>45587.351041666669</v>
      </c>
      <c r="B970" s="365" t="s">
        <v>3964</v>
      </c>
      <c r="C970" s="365" t="s">
        <v>1580</v>
      </c>
      <c r="D970" s="365" t="s">
        <v>1581</v>
      </c>
      <c r="E970" s="365" t="s">
        <v>1582</v>
      </c>
      <c r="F970" s="365" t="s">
        <v>3965</v>
      </c>
      <c r="G970" s="370">
        <v>45560</v>
      </c>
      <c r="H970" s="369">
        <v>49400</v>
      </c>
      <c r="I970" s="365" t="s">
        <v>3966</v>
      </c>
      <c r="J970" s="365" t="s">
        <v>1228</v>
      </c>
      <c r="K970" s="365" t="s">
        <v>1229</v>
      </c>
      <c r="L970" s="370">
        <v>45587.354386574072</v>
      </c>
    </row>
    <row r="971" spans="1:12" s="365" customFormat="1" hidden="1">
      <c r="A971" s="370">
        <v>45587.357129629629</v>
      </c>
      <c r="B971" s="365" t="s">
        <v>3967</v>
      </c>
      <c r="C971" s="365" t="s">
        <v>1314</v>
      </c>
      <c r="D971" s="365" t="s">
        <v>1315</v>
      </c>
      <c r="E971" s="365" t="s">
        <v>1316</v>
      </c>
      <c r="F971" s="365" t="s">
        <v>3968</v>
      </c>
      <c r="G971" s="370">
        <v>45595</v>
      </c>
      <c r="H971" s="369">
        <v>15999</v>
      </c>
      <c r="I971" s="365" t="s">
        <v>3969</v>
      </c>
      <c r="J971" s="365" t="s">
        <v>1228</v>
      </c>
      <c r="K971" s="365" t="s">
        <v>1229</v>
      </c>
      <c r="L971" s="370">
        <v>45587.357951388891</v>
      </c>
    </row>
    <row r="972" spans="1:12" s="365" customFormat="1" hidden="1">
      <c r="A972" s="370">
        <v>45587.376666666663</v>
      </c>
      <c r="B972" s="365" t="s">
        <v>3970</v>
      </c>
      <c r="C972" s="365" t="s">
        <v>1682</v>
      </c>
      <c r="D972" s="365" t="s">
        <v>1683</v>
      </c>
      <c r="E972" s="365" t="s">
        <v>1684</v>
      </c>
      <c r="F972" s="365" t="s">
        <v>3971</v>
      </c>
      <c r="G972" s="370">
        <v>45595</v>
      </c>
      <c r="H972" s="369">
        <v>21000</v>
      </c>
      <c r="I972" s="365" t="s">
        <v>3972</v>
      </c>
      <c r="J972" s="365" t="s">
        <v>1228</v>
      </c>
      <c r="K972" s="365" t="s">
        <v>1229</v>
      </c>
      <c r="L972" s="370">
        <v>45587.378854166665</v>
      </c>
    </row>
    <row r="973" spans="1:12" s="365" customFormat="1" hidden="1">
      <c r="A973" s="370">
        <v>45587.379050925927</v>
      </c>
      <c r="B973" s="365" t="s">
        <v>4023</v>
      </c>
      <c r="C973" s="365" t="s">
        <v>3974</v>
      </c>
      <c r="D973" s="365" t="s">
        <v>4024</v>
      </c>
      <c r="E973" s="365" t="s">
        <v>4025</v>
      </c>
      <c r="F973" s="365" t="s">
        <v>4026</v>
      </c>
      <c r="G973" s="370">
        <v>45595</v>
      </c>
      <c r="H973" s="369">
        <v>10000</v>
      </c>
      <c r="I973" s="365" t="s">
        <v>4027</v>
      </c>
      <c r="J973" s="365" t="s">
        <v>1228</v>
      </c>
      <c r="K973" s="365" t="s">
        <v>1229</v>
      </c>
      <c r="L973" s="370">
        <v>45587.382280092592</v>
      </c>
    </row>
    <row r="974" spans="1:12" s="365" customFormat="1" hidden="1">
      <c r="A974" s="370">
        <v>45587.380567129629</v>
      </c>
      <c r="B974" s="365" t="s">
        <v>3973</v>
      </c>
      <c r="C974" s="365" t="s">
        <v>3974</v>
      </c>
      <c r="D974" s="365" t="s">
        <v>3975</v>
      </c>
      <c r="E974" s="365" t="s">
        <v>3976</v>
      </c>
      <c r="F974" s="365" t="s">
        <v>3977</v>
      </c>
      <c r="G974" s="370">
        <v>45595</v>
      </c>
      <c r="H974" s="369">
        <v>10000</v>
      </c>
      <c r="I974" s="365" t="s">
        <v>3978</v>
      </c>
      <c r="J974" s="365" t="s">
        <v>1228</v>
      </c>
      <c r="K974" s="365" t="s">
        <v>1229</v>
      </c>
      <c r="L974" s="370">
        <v>45587.382256944446</v>
      </c>
    </row>
    <row r="975" spans="1:12" s="365" customFormat="1" hidden="1">
      <c r="A975" s="370">
        <v>45587.381736111114</v>
      </c>
      <c r="B975" s="365" t="s">
        <v>4028</v>
      </c>
      <c r="C975" s="365" t="s">
        <v>3974</v>
      </c>
      <c r="D975" s="365" t="s">
        <v>4029</v>
      </c>
      <c r="E975" s="365" t="s">
        <v>4030</v>
      </c>
      <c r="F975" s="365" t="s">
        <v>4031</v>
      </c>
      <c r="G975" s="370">
        <v>45595</v>
      </c>
      <c r="H975" s="369">
        <v>8000</v>
      </c>
      <c r="I975" s="365" t="s">
        <v>4032</v>
      </c>
      <c r="J975" s="365" t="s">
        <v>1228</v>
      </c>
      <c r="K975" s="365" t="s">
        <v>1229</v>
      </c>
      <c r="L975" s="370">
        <v>45587.382291666669</v>
      </c>
    </row>
    <row r="976" spans="1:12" s="365" customFormat="1" hidden="1">
      <c r="A976" s="370">
        <v>45587.388958333337</v>
      </c>
      <c r="B976" s="365" t="s">
        <v>3979</v>
      </c>
      <c r="C976" s="365" t="s">
        <v>1837</v>
      </c>
      <c r="D976" s="365" t="s">
        <v>1838</v>
      </c>
      <c r="E976" s="365" t="s">
        <v>1839</v>
      </c>
      <c r="F976" s="365" t="s">
        <v>3980</v>
      </c>
      <c r="G976" s="370">
        <v>45595</v>
      </c>
      <c r="H976" s="369">
        <v>26000</v>
      </c>
      <c r="I976" s="365" t="s">
        <v>3981</v>
      </c>
      <c r="J976" s="365" t="s">
        <v>1228</v>
      </c>
      <c r="K976" s="365" t="s">
        <v>1229</v>
      </c>
      <c r="L976" s="370">
        <v>45587.389340277776</v>
      </c>
    </row>
    <row r="977" spans="1:12" s="365" customFormat="1" hidden="1">
      <c r="A977" s="370">
        <v>45587.417500000003</v>
      </c>
      <c r="B977" s="365" t="s">
        <v>3982</v>
      </c>
      <c r="C977" s="365" t="s">
        <v>1317</v>
      </c>
      <c r="D977" s="365" t="s">
        <v>3983</v>
      </c>
      <c r="E977" s="365" t="s">
        <v>3984</v>
      </c>
      <c r="F977" s="365" t="s">
        <v>3985</v>
      </c>
      <c r="G977" s="370">
        <v>45560</v>
      </c>
      <c r="H977" s="369">
        <v>15999</v>
      </c>
      <c r="I977" s="365" t="s">
        <v>3986</v>
      </c>
      <c r="J977" s="365" t="s">
        <v>1228</v>
      </c>
      <c r="K977" s="365" t="s">
        <v>1229</v>
      </c>
      <c r="L977" s="370">
        <v>45587.420659722222</v>
      </c>
    </row>
    <row r="978" spans="1:12" s="365" customFormat="1" hidden="1">
      <c r="A978" s="370">
        <v>45587.433680555558</v>
      </c>
      <c r="B978" s="365" t="s">
        <v>3987</v>
      </c>
      <c r="C978" s="365" t="s">
        <v>1658</v>
      </c>
      <c r="D978" s="365" t="s">
        <v>1659</v>
      </c>
      <c r="E978" s="365" t="s">
        <v>1660</v>
      </c>
      <c r="F978" s="365" t="s">
        <v>3988</v>
      </c>
      <c r="G978" s="370">
        <v>45560</v>
      </c>
      <c r="H978" s="369">
        <v>31000</v>
      </c>
      <c r="I978" s="365" t="s">
        <v>3989</v>
      </c>
      <c r="J978" s="365" t="s">
        <v>1228</v>
      </c>
      <c r="K978" s="365" t="s">
        <v>1229</v>
      </c>
      <c r="L978" s="370">
        <v>45587.434560185182</v>
      </c>
    </row>
    <row r="979" spans="1:12" s="365" customFormat="1" hidden="1">
      <c r="A979" s="370">
        <v>45587.434224537035</v>
      </c>
      <c r="B979" s="365" t="s">
        <v>4033</v>
      </c>
      <c r="C979" s="365" t="s">
        <v>1317</v>
      </c>
      <c r="D979" s="365" t="s">
        <v>1318</v>
      </c>
      <c r="E979" s="365" t="s">
        <v>1319</v>
      </c>
      <c r="F979" s="365" t="s">
        <v>4034</v>
      </c>
      <c r="G979" s="370">
        <v>45560</v>
      </c>
      <c r="H979" s="369">
        <v>21000</v>
      </c>
      <c r="I979" s="365" t="s">
        <v>4035</v>
      </c>
      <c r="J979" s="365" t="s">
        <v>1228</v>
      </c>
      <c r="K979" s="365" t="s">
        <v>1229</v>
      </c>
      <c r="L979" s="370">
        <v>45587.434745370374</v>
      </c>
    </row>
    <row r="980" spans="1:12" s="365" customFormat="1" hidden="1">
      <c r="A980" s="370">
        <v>45587.434872685182</v>
      </c>
      <c r="B980" s="365" t="s">
        <v>4045</v>
      </c>
      <c r="C980" s="365" t="s">
        <v>1317</v>
      </c>
      <c r="D980" s="365" t="s">
        <v>1336</v>
      </c>
      <c r="E980" s="365" t="s">
        <v>1337</v>
      </c>
      <c r="F980" s="365" t="s">
        <v>4046</v>
      </c>
      <c r="G980" s="370">
        <v>45560</v>
      </c>
      <c r="H980" s="369">
        <v>15999</v>
      </c>
      <c r="I980" s="365" t="s">
        <v>4047</v>
      </c>
      <c r="J980" s="365" t="s">
        <v>1228</v>
      </c>
      <c r="K980" s="365" t="s">
        <v>1229</v>
      </c>
      <c r="L980" s="370">
        <v>45587.438657407409</v>
      </c>
    </row>
    <row r="981" spans="1:12" s="365" customFormat="1" hidden="1">
      <c r="A981" s="370">
        <v>45587.435416666667</v>
      </c>
      <c r="B981" s="365" t="s">
        <v>3990</v>
      </c>
      <c r="C981" s="365" t="s">
        <v>3991</v>
      </c>
      <c r="D981" s="365" t="s">
        <v>3992</v>
      </c>
      <c r="E981" s="365" t="s">
        <v>3993</v>
      </c>
      <c r="F981" s="365" t="s">
        <v>3994</v>
      </c>
      <c r="G981" s="370">
        <v>45560</v>
      </c>
      <c r="H981" s="369">
        <v>94000</v>
      </c>
      <c r="I981" s="365" t="s">
        <v>3995</v>
      </c>
      <c r="J981" s="365" t="s">
        <v>1228</v>
      </c>
      <c r="K981" s="365" t="s">
        <v>1229</v>
      </c>
      <c r="L981" s="370">
        <v>45587.438472222224</v>
      </c>
    </row>
    <row r="982" spans="1:12" s="365" customFormat="1" hidden="1">
      <c r="A982" s="370">
        <v>45587.447002314817</v>
      </c>
      <c r="B982" s="365" t="s">
        <v>4048</v>
      </c>
      <c r="C982" s="365" t="s">
        <v>2426</v>
      </c>
      <c r="D982" s="365" t="s">
        <v>2427</v>
      </c>
      <c r="E982" s="365" t="s">
        <v>2428</v>
      </c>
      <c r="F982" s="365" t="s">
        <v>4049</v>
      </c>
      <c r="G982" s="370">
        <v>45595</v>
      </c>
      <c r="H982" s="369">
        <v>22000</v>
      </c>
      <c r="I982" s="365" t="s">
        <v>4050</v>
      </c>
      <c r="J982" s="365" t="s">
        <v>1228</v>
      </c>
      <c r="K982" s="365" t="s">
        <v>1229</v>
      </c>
      <c r="L982" s="370">
        <v>45587.449155092596</v>
      </c>
    </row>
    <row r="983" spans="1:12" s="365" customFormat="1" hidden="1">
      <c r="A983" s="370">
        <v>45587.486875000002</v>
      </c>
      <c r="B983" s="365" t="s">
        <v>4051</v>
      </c>
      <c r="C983" s="365" t="s">
        <v>1462</v>
      </c>
      <c r="D983" s="365" t="s">
        <v>1463</v>
      </c>
      <c r="E983" s="365" t="s">
        <v>1464</v>
      </c>
      <c r="F983" s="365" t="s">
        <v>4052</v>
      </c>
      <c r="G983" s="370">
        <v>45595</v>
      </c>
      <c r="H983" s="369">
        <v>63999</v>
      </c>
      <c r="I983" s="365" t="s">
        <v>4053</v>
      </c>
      <c r="J983" s="365" t="s">
        <v>1228</v>
      </c>
      <c r="K983" s="365" t="s">
        <v>1229</v>
      </c>
      <c r="L983" s="370">
        <v>45587.487210648149</v>
      </c>
    </row>
    <row r="984" spans="1:12" s="365" customFormat="1" hidden="1">
      <c r="A984" s="370">
        <v>45587.498518518521</v>
      </c>
      <c r="B984" s="365" t="s">
        <v>3996</v>
      </c>
      <c r="C984" s="365" t="s">
        <v>1225</v>
      </c>
      <c r="D984" s="365" t="s">
        <v>1226</v>
      </c>
      <c r="E984" s="365" t="s">
        <v>1227</v>
      </c>
      <c r="F984" s="365" t="s">
        <v>3997</v>
      </c>
      <c r="G984" s="370">
        <v>45595</v>
      </c>
      <c r="H984" s="369">
        <v>30999</v>
      </c>
      <c r="I984" s="365" t="s">
        <v>3998</v>
      </c>
      <c r="J984" s="365" t="s">
        <v>1228</v>
      </c>
      <c r="K984" s="365" t="s">
        <v>1229</v>
      </c>
      <c r="L984" s="370">
        <v>45587.501099537039</v>
      </c>
    </row>
    <row r="985" spans="1:12" s="365" customFormat="1" hidden="1">
      <c r="A985" s="370">
        <v>45587.510763888888</v>
      </c>
      <c r="B985" s="365" t="s">
        <v>3999</v>
      </c>
      <c r="C985" s="365" t="s">
        <v>1478</v>
      </c>
      <c r="D985" s="365" t="s">
        <v>1479</v>
      </c>
      <c r="E985" s="365" t="s">
        <v>1480</v>
      </c>
      <c r="F985" s="365" t="s">
        <v>4000</v>
      </c>
      <c r="G985" s="370">
        <v>45560</v>
      </c>
      <c r="H985" s="369">
        <v>20999</v>
      </c>
      <c r="I985" s="365" t="s">
        <v>4001</v>
      </c>
      <c r="J985" s="365" t="s">
        <v>1228</v>
      </c>
      <c r="K985" s="365" t="s">
        <v>1229</v>
      </c>
      <c r="L985" s="370">
        <v>45587.511423611111</v>
      </c>
    </row>
    <row r="986" spans="1:12" s="365" customFormat="1" hidden="1">
      <c r="A986" s="370">
        <v>45587.529374999998</v>
      </c>
      <c r="B986" s="365" t="s">
        <v>4054</v>
      </c>
      <c r="C986" s="365" t="s">
        <v>1310</v>
      </c>
      <c r="D986" s="365" t="s">
        <v>1311</v>
      </c>
      <c r="E986" s="365" t="s">
        <v>1312</v>
      </c>
      <c r="F986" s="365" t="s">
        <v>4055</v>
      </c>
      <c r="G986" s="370">
        <v>45595</v>
      </c>
      <c r="H986" s="369">
        <v>45000</v>
      </c>
      <c r="I986" s="365" t="s">
        <v>4056</v>
      </c>
      <c r="J986" s="365" t="s">
        <v>1228</v>
      </c>
      <c r="K986" s="365" t="s">
        <v>1229</v>
      </c>
      <c r="L986" s="370">
        <v>45587.532256944447</v>
      </c>
    </row>
    <row r="987" spans="1:12" s="365" customFormat="1" hidden="1">
      <c r="A987" s="370">
        <v>45587.659722222219</v>
      </c>
      <c r="B987" s="365" t="s">
        <v>4057</v>
      </c>
      <c r="C987" s="365" t="s">
        <v>4058</v>
      </c>
      <c r="D987" s="365" t="s">
        <v>4059</v>
      </c>
      <c r="E987" s="365" t="s">
        <v>4060</v>
      </c>
      <c r="F987" s="365" t="s">
        <v>4061</v>
      </c>
      <c r="G987" s="370">
        <v>45595</v>
      </c>
      <c r="H987" s="369">
        <v>10001</v>
      </c>
      <c r="I987" s="365" t="s">
        <v>4062</v>
      </c>
      <c r="J987" s="365" t="s">
        <v>1228</v>
      </c>
      <c r="K987" s="365" t="s">
        <v>1229</v>
      </c>
      <c r="L987" s="370">
        <v>45587.660914351851</v>
      </c>
    </row>
    <row r="988" spans="1:12" s="365" customFormat="1" hidden="1">
      <c r="A988" s="370">
        <v>45587.661747685182</v>
      </c>
      <c r="B988" s="365" t="s">
        <v>4002</v>
      </c>
      <c r="C988" s="365" t="s">
        <v>4003</v>
      </c>
      <c r="D988" s="365" t="s">
        <v>4004</v>
      </c>
      <c r="E988" s="365" t="s">
        <v>4005</v>
      </c>
      <c r="F988" s="365" t="s">
        <v>4006</v>
      </c>
      <c r="G988" s="370">
        <v>45595</v>
      </c>
      <c r="H988" s="369">
        <v>15000</v>
      </c>
      <c r="I988" s="365" t="s">
        <v>4007</v>
      </c>
      <c r="J988" s="365" t="s">
        <v>1228</v>
      </c>
      <c r="K988" s="365" t="s">
        <v>1229</v>
      </c>
      <c r="L988" s="370">
        <v>45587.664120370369</v>
      </c>
    </row>
    <row r="989" spans="1:12" s="365" customFormat="1" hidden="1">
      <c r="A989" s="370">
        <v>45587.669594907406</v>
      </c>
      <c r="B989" s="365" t="s">
        <v>4063</v>
      </c>
      <c r="C989" s="365" t="s">
        <v>4064</v>
      </c>
      <c r="D989" s="365" t="s">
        <v>4065</v>
      </c>
      <c r="E989" s="365" t="s">
        <v>4066</v>
      </c>
      <c r="F989" s="365" t="s">
        <v>4067</v>
      </c>
      <c r="G989" s="370">
        <v>45595</v>
      </c>
      <c r="H989" s="369">
        <v>15999</v>
      </c>
      <c r="I989" s="365" t="s">
        <v>4068</v>
      </c>
      <c r="J989" s="365" t="s">
        <v>1228</v>
      </c>
      <c r="K989" s="365" t="s">
        <v>1229</v>
      </c>
      <c r="L989" s="370">
        <v>45587.671238425923</v>
      </c>
    </row>
    <row r="990" spans="1:12" s="365" customFormat="1" hidden="1">
      <c r="A990" s="370">
        <v>45587.697199074071</v>
      </c>
      <c r="B990" s="365" t="s">
        <v>4069</v>
      </c>
      <c r="C990" s="365" t="s">
        <v>4070</v>
      </c>
      <c r="D990" s="365" t="s">
        <v>4071</v>
      </c>
      <c r="E990" s="365" t="s">
        <v>4072</v>
      </c>
      <c r="F990" s="365" t="s">
        <v>4073</v>
      </c>
      <c r="G990" s="370">
        <v>45595</v>
      </c>
      <c r="H990" s="369">
        <v>25000</v>
      </c>
      <c r="I990" s="365" t="s">
        <v>4074</v>
      </c>
      <c r="J990" s="365" t="s">
        <v>1228</v>
      </c>
      <c r="K990" s="365" t="s">
        <v>1229</v>
      </c>
      <c r="L990" s="370">
        <v>45587.699016203704</v>
      </c>
    </row>
    <row r="991" spans="1:12" s="365" customFormat="1" hidden="1">
      <c r="A991" s="370">
        <v>45587.722511574073</v>
      </c>
      <c r="B991" s="365" t="s">
        <v>4008</v>
      </c>
      <c r="C991" s="365" t="s">
        <v>4009</v>
      </c>
      <c r="D991" s="365" t="s">
        <v>4010</v>
      </c>
      <c r="E991" s="365" t="s">
        <v>4011</v>
      </c>
      <c r="F991" s="365" t="s">
        <v>4012</v>
      </c>
      <c r="G991" s="370">
        <v>45595</v>
      </c>
      <c r="H991" s="369">
        <v>14000</v>
      </c>
      <c r="I991" s="365" t="s">
        <v>4013</v>
      </c>
      <c r="J991" s="365" t="s">
        <v>1228</v>
      </c>
      <c r="K991" s="365" t="s">
        <v>1229</v>
      </c>
      <c r="L991" s="370">
        <v>45587.723217592589</v>
      </c>
    </row>
    <row r="992" spans="1:12" s="365" customFormat="1" hidden="1">
      <c r="A992" s="370">
        <v>45587.727430555555</v>
      </c>
      <c r="B992" s="365" t="s">
        <v>4075</v>
      </c>
      <c r="C992" s="365" t="s">
        <v>4076</v>
      </c>
      <c r="D992" s="365" t="s">
        <v>4077</v>
      </c>
      <c r="E992" s="365" t="s">
        <v>4078</v>
      </c>
      <c r="F992" s="365" t="s">
        <v>4079</v>
      </c>
      <c r="G992" s="370">
        <v>45560</v>
      </c>
      <c r="H992" s="369">
        <v>15000</v>
      </c>
      <c r="I992" s="365" t="s">
        <v>4080</v>
      </c>
      <c r="J992" s="365" t="s">
        <v>1228</v>
      </c>
      <c r="K992" s="365" t="s">
        <v>1229</v>
      </c>
      <c r="L992" s="370">
        <v>45587.73033564815</v>
      </c>
    </row>
    <row r="993" spans="1:12" s="365" customFormat="1" hidden="1">
      <c r="A993" s="370">
        <v>45587.740995370368</v>
      </c>
      <c r="B993" s="365" t="s">
        <v>4014</v>
      </c>
      <c r="C993" s="365" t="s">
        <v>4015</v>
      </c>
      <c r="D993" s="365" t="s">
        <v>4016</v>
      </c>
      <c r="E993" s="365" t="s">
        <v>4017</v>
      </c>
      <c r="F993" s="365" t="s">
        <v>4018</v>
      </c>
      <c r="G993" s="370">
        <v>45595</v>
      </c>
      <c r="H993" s="369">
        <v>15000</v>
      </c>
      <c r="I993" s="365" t="s">
        <v>4019</v>
      </c>
      <c r="J993" s="365" t="s">
        <v>1228</v>
      </c>
      <c r="K993" s="365" t="s">
        <v>1229</v>
      </c>
      <c r="L993" s="370">
        <v>45587.74422453704</v>
      </c>
    </row>
    <row r="994" spans="1:12" s="365" customFormat="1" hidden="1">
      <c r="A994" s="370">
        <v>45587.787303240744</v>
      </c>
      <c r="B994" s="365" t="s">
        <v>4081</v>
      </c>
      <c r="C994" s="365" t="s">
        <v>1239</v>
      </c>
      <c r="D994" s="365" t="s">
        <v>1761</v>
      </c>
      <c r="E994" s="365" t="s">
        <v>1762</v>
      </c>
      <c r="F994" s="365" t="s">
        <v>4082</v>
      </c>
      <c r="G994" s="370">
        <v>45595</v>
      </c>
      <c r="H994" s="369">
        <v>15999</v>
      </c>
      <c r="I994" s="365" t="s">
        <v>4083</v>
      </c>
      <c r="J994" s="365" t="s">
        <v>1228</v>
      </c>
      <c r="K994" s="365" t="s">
        <v>1229</v>
      </c>
      <c r="L994" s="370">
        <v>45587.789421296293</v>
      </c>
    </row>
    <row r="995" spans="1:12" s="365" customFormat="1" hidden="1">
      <c r="A995" s="370">
        <v>45587.930902777778</v>
      </c>
      <c r="B995" s="365" t="s">
        <v>4020</v>
      </c>
      <c r="C995" s="365" t="s">
        <v>1459</v>
      </c>
      <c r="D995" s="365" t="s">
        <v>1460</v>
      </c>
      <c r="E995" s="365" t="s">
        <v>1461</v>
      </c>
      <c r="F995" s="365" t="s">
        <v>4021</v>
      </c>
      <c r="G995" s="370">
        <v>45595</v>
      </c>
      <c r="H995" s="369">
        <v>9000</v>
      </c>
      <c r="I995" s="365" t="s">
        <v>4022</v>
      </c>
      <c r="J995" s="365" t="s">
        <v>1228</v>
      </c>
      <c r="K995" s="365" t="s">
        <v>1229</v>
      </c>
      <c r="L995" s="370">
        <v>45587.93173611111</v>
      </c>
    </row>
    <row r="996" spans="1:12" s="365" customFormat="1" hidden="1">
      <c r="A996" s="370">
        <v>45587.931701388887</v>
      </c>
      <c r="B996" s="365" t="s">
        <v>4036</v>
      </c>
      <c r="C996" s="365" t="s">
        <v>4037</v>
      </c>
      <c r="D996" s="365" t="s">
        <v>4038</v>
      </c>
      <c r="E996" s="365" t="s">
        <v>4039</v>
      </c>
      <c r="F996" s="365" t="s">
        <v>4040</v>
      </c>
      <c r="G996" s="370">
        <v>45560</v>
      </c>
      <c r="H996" s="369">
        <v>21000</v>
      </c>
      <c r="I996" s="365" t="s">
        <v>4041</v>
      </c>
      <c r="J996" s="365" t="s">
        <v>1228</v>
      </c>
      <c r="K996" s="365" t="s">
        <v>1229</v>
      </c>
      <c r="L996" s="370">
        <v>45587.934942129628</v>
      </c>
    </row>
    <row r="997" spans="1:12" s="365" customFormat="1" hidden="1">
      <c r="A997" s="370">
        <v>45588.276712962965</v>
      </c>
      <c r="B997" s="365" t="s">
        <v>4177</v>
      </c>
      <c r="C997" s="365" t="s">
        <v>4178</v>
      </c>
      <c r="D997" s="365" t="s">
        <v>4179</v>
      </c>
      <c r="E997" s="365" t="s">
        <v>4180</v>
      </c>
      <c r="F997" s="365" t="s">
        <v>4181</v>
      </c>
      <c r="G997" s="370">
        <v>45595</v>
      </c>
      <c r="H997" s="369">
        <v>15000</v>
      </c>
      <c r="I997" s="365" t="s">
        <v>4182</v>
      </c>
      <c r="J997" s="365" t="s">
        <v>1228</v>
      </c>
      <c r="K997" s="365" t="s">
        <v>1229</v>
      </c>
      <c r="L997" s="370">
        <v>45588.278321759259</v>
      </c>
    </row>
    <row r="998" spans="1:12" s="365" customFormat="1" hidden="1">
      <c r="A998" s="370">
        <v>45588.283067129632</v>
      </c>
      <c r="B998" s="365" t="s">
        <v>4084</v>
      </c>
      <c r="C998" s="365" t="s">
        <v>4085</v>
      </c>
      <c r="D998" s="365" t="s">
        <v>4086</v>
      </c>
      <c r="E998" s="365" t="s">
        <v>4087</v>
      </c>
      <c r="F998" s="365" t="s">
        <v>4088</v>
      </c>
      <c r="G998" s="370">
        <v>45560</v>
      </c>
      <c r="H998" s="369">
        <v>30000</v>
      </c>
      <c r="I998" s="365" t="s">
        <v>4089</v>
      </c>
      <c r="J998" s="365" t="s">
        <v>1228</v>
      </c>
      <c r="K998" s="365" t="s">
        <v>1229</v>
      </c>
      <c r="L998" s="370">
        <v>45588.285081018519</v>
      </c>
    </row>
    <row r="999" spans="1:12" s="365" customFormat="1" hidden="1">
      <c r="A999" s="370">
        <v>45588.300092592595</v>
      </c>
      <c r="B999" s="365" t="s">
        <v>4183</v>
      </c>
      <c r="C999" s="365" t="s">
        <v>4184</v>
      </c>
      <c r="D999" s="365" t="s">
        <v>4185</v>
      </c>
      <c r="E999" s="365" t="s">
        <v>4186</v>
      </c>
      <c r="F999" s="365" t="s">
        <v>4187</v>
      </c>
      <c r="G999" s="370">
        <v>45560</v>
      </c>
      <c r="H999" s="369">
        <v>27000</v>
      </c>
      <c r="I999" s="365" t="s">
        <v>4188</v>
      </c>
      <c r="J999" s="365" t="s">
        <v>1228</v>
      </c>
      <c r="K999" s="365" t="s">
        <v>1229</v>
      </c>
      <c r="L999" s="370">
        <v>45588.302546296298</v>
      </c>
    </row>
    <row r="1000" spans="1:12" s="365" customFormat="1" hidden="1">
      <c r="A1000" s="370">
        <v>45588.301064814812</v>
      </c>
      <c r="B1000" s="365" t="s">
        <v>4189</v>
      </c>
      <c r="C1000" s="365" t="s">
        <v>4184</v>
      </c>
      <c r="D1000" s="365" t="s">
        <v>4185</v>
      </c>
      <c r="E1000" s="365" t="s">
        <v>4186</v>
      </c>
      <c r="F1000" s="365" t="s">
        <v>4190</v>
      </c>
      <c r="G1000" s="370">
        <v>45595</v>
      </c>
      <c r="H1000" s="369">
        <v>27000</v>
      </c>
      <c r="I1000" s="365" t="s">
        <v>4191</v>
      </c>
      <c r="J1000" s="365" t="s">
        <v>1228</v>
      </c>
      <c r="K1000" s="365" t="s">
        <v>1229</v>
      </c>
      <c r="L1000" s="370">
        <v>45588.302731481483</v>
      </c>
    </row>
    <row r="1001" spans="1:12" s="365" customFormat="1" hidden="1">
      <c r="A1001" s="370">
        <v>45588.33699074074</v>
      </c>
      <c r="B1001" s="365" t="s">
        <v>4090</v>
      </c>
      <c r="C1001" s="365" t="s">
        <v>4091</v>
      </c>
      <c r="D1001" s="365" t="s">
        <v>4092</v>
      </c>
      <c r="E1001" s="365" t="s">
        <v>4093</v>
      </c>
      <c r="F1001" s="365" t="s">
        <v>4094</v>
      </c>
      <c r="G1001" s="370">
        <v>45595</v>
      </c>
      <c r="H1001" s="369">
        <v>28000</v>
      </c>
      <c r="I1001" s="365" t="s">
        <v>4095</v>
      </c>
      <c r="J1001" s="365" t="s">
        <v>1228</v>
      </c>
      <c r="K1001" s="365" t="s">
        <v>1229</v>
      </c>
      <c r="L1001" s="370">
        <v>45588.340474537035</v>
      </c>
    </row>
    <row r="1002" spans="1:12" s="365" customFormat="1" hidden="1">
      <c r="A1002" s="370">
        <v>45588.337546296294</v>
      </c>
      <c r="B1002" s="365" t="s">
        <v>4096</v>
      </c>
      <c r="C1002" s="365" t="s">
        <v>1678</v>
      </c>
      <c r="D1002" s="365" t="s">
        <v>4097</v>
      </c>
      <c r="E1002" s="365" t="s">
        <v>4098</v>
      </c>
      <c r="F1002" s="365" t="s">
        <v>4099</v>
      </c>
      <c r="G1002" s="370">
        <v>45560</v>
      </c>
      <c r="H1002" s="369">
        <v>18000</v>
      </c>
      <c r="I1002" s="365" t="s">
        <v>4100</v>
      </c>
      <c r="J1002" s="365" t="s">
        <v>1228</v>
      </c>
      <c r="K1002" s="365" t="s">
        <v>1229</v>
      </c>
      <c r="L1002" s="370">
        <v>45588.34065972222</v>
      </c>
    </row>
    <row r="1003" spans="1:12" s="365" customFormat="1" hidden="1">
      <c r="A1003" s="370">
        <v>45588.357499999998</v>
      </c>
      <c r="B1003" s="365" t="s">
        <v>4101</v>
      </c>
      <c r="C1003" s="365" t="s">
        <v>1262</v>
      </c>
      <c r="D1003" s="365" t="s">
        <v>1263</v>
      </c>
      <c r="E1003" s="365" t="s">
        <v>1264</v>
      </c>
      <c r="F1003" s="365" t="s">
        <v>4102</v>
      </c>
      <c r="G1003" s="370">
        <v>45595</v>
      </c>
      <c r="H1003" s="369">
        <v>12000</v>
      </c>
      <c r="I1003" s="365" t="s">
        <v>4103</v>
      </c>
      <c r="J1003" s="365" t="s">
        <v>1228</v>
      </c>
      <c r="K1003" s="365" t="s">
        <v>1229</v>
      </c>
      <c r="L1003" s="370">
        <v>45588.358078703706</v>
      </c>
    </row>
    <row r="1004" spans="1:12" s="365" customFormat="1" hidden="1">
      <c r="A1004" s="370">
        <v>45588.362858796296</v>
      </c>
      <c r="B1004" s="365" t="s">
        <v>4192</v>
      </c>
      <c r="C1004" s="365" t="s">
        <v>4193</v>
      </c>
      <c r="D1004" s="365" t="s">
        <v>4194</v>
      </c>
      <c r="E1004" s="365" t="s">
        <v>4195</v>
      </c>
      <c r="F1004" s="365" t="s">
        <v>4196</v>
      </c>
      <c r="G1004" s="370">
        <v>45595</v>
      </c>
      <c r="H1004" s="369">
        <v>18000</v>
      </c>
      <c r="I1004" s="365" t="s">
        <v>4197</v>
      </c>
      <c r="J1004" s="365" t="s">
        <v>1228</v>
      </c>
      <c r="K1004" s="365" t="s">
        <v>1229</v>
      </c>
      <c r="L1004" s="370">
        <v>45588.364849537036</v>
      </c>
    </row>
    <row r="1005" spans="1:12" s="365" customFormat="1" hidden="1">
      <c r="A1005" s="370">
        <v>45588.436608796299</v>
      </c>
      <c r="B1005" s="365" t="s">
        <v>4198</v>
      </c>
      <c r="C1005" s="365" t="s">
        <v>1236</v>
      </c>
      <c r="D1005" s="365" t="s">
        <v>1237</v>
      </c>
      <c r="E1005" s="365" t="s">
        <v>1238</v>
      </c>
      <c r="F1005" s="365" t="s">
        <v>4199</v>
      </c>
      <c r="G1005" s="370">
        <v>45595</v>
      </c>
      <c r="H1005" s="369">
        <v>24000</v>
      </c>
      <c r="I1005" s="365" t="s">
        <v>4200</v>
      </c>
      <c r="J1005" s="365" t="s">
        <v>1228</v>
      </c>
      <c r="K1005" s="365" t="s">
        <v>1229</v>
      </c>
      <c r="L1005" s="370">
        <v>45588.437905092593</v>
      </c>
    </row>
    <row r="1006" spans="1:12" s="365" customFormat="1" hidden="1">
      <c r="A1006" s="370">
        <v>45588.441238425927</v>
      </c>
      <c r="B1006" s="365" t="s">
        <v>4104</v>
      </c>
      <c r="C1006" s="365" t="s">
        <v>4105</v>
      </c>
      <c r="D1006" s="365" t="s">
        <v>4106</v>
      </c>
      <c r="E1006" s="365" t="s">
        <v>4107</v>
      </c>
      <c r="F1006" s="365" t="s">
        <v>4108</v>
      </c>
      <c r="G1006" s="370">
        <v>45595</v>
      </c>
      <c r="H1006" s="369">
        <v>20999</v>
      </c>
      <c r="I1006" s="365" t="s">
        <v>4109</v>
      </c>
      <c r="J1006" s="365" t="s">
        <v>1228</v>
      </c>
      <c r="K1006" s="365" t="s">
        <v>1229</v>
      </c>
      <c r="L1006" s="370">
        <v>45588.441458333335</v>
      </c>
    </row>
    <row r="1007" spans="1:12" s="365" customFormat="1" hidden="1">
      <c r="A1007" s="370">
        <v>45588.441828703704</v>
      </c>
      <c r="B1007" s="365" t="s">
        <v>4110</v>
      </c>
      <c r="C1007" s="365" t="s">
        <v>4085</v>
      </c>
      <c r="D1007" s="365" t="s">
        <v>4111</v>
      </c>
      <c r="E1007" s="365" t="s">
        <v>4112</v>
      </c>
      <c r="F1007" s="365" t="s">
        <v>4113</v>
      </c>
      <c r="G1007" s="370">
        <v>45560</v>
      </c>
      <c r="H1007" s="369">
        <v>45000</v>
      </c>
      <c r="I1007" s="365" t="s">
        <v>4114</v>
      </c>
      <c r="J1007" s="365" t="s">
        <v>1228</v>
      </c>
      <c r="K1007" s="365" t="s">
        <v>1229</v>
      </c>
      <c r="L1007" s="370">
        <v>45588.444687499999</v>
      </c>
    </row>
    <row r="1008" spans="1:12" s="365" customFormat="1" hidden="1">
      <c r="A1008" s="370">
        <v>45588.535034722219</v>
      </c>
      <c r="B1008" s="365" t="s">
        <v>4115</v>
      </c>
      <c r="C1008" s="365" t="s">
        <v>4116</v>
      </c>
      <c r="D1008" s="365" t="s">
        <v>4117</v>
      </c>
      <c r="E1008" s="365" t="s">
        <v>4118</v>
      </c>
      <c r="F1008" s="365" t="s">
        <v>4119</v>
      </c>
      <c r="G1008" s="370">
        <v>45560</v>
      </c>
      <c r="H1008" s="369">
        <v>143400</v>
      </c>
      <c r="I1008" s="365" t="s">
        <v>4120</v>
      </c>
      <c r="J1008" s="365" t="s">
        <v>1228</v>
      </c>
      <c r="K1008" s="365" t="s">
        <v>1229</v>
      </c>
      <c r="L1008" s="370">
        <v>45588.538657407407</v>
      </c>
    </row>
    <row r="1009" spans="1:12" s="365" customFormat="1" hidden="1">
      <c r="A1009" s="370">
        <v>45588.536041666666</v>
      </c>
      <c r="B1009" s="365" t="s">
        <v>4121</v>
      </c>
      <c r="C1009" s="365" t="s">
        <v>4116</v>
      </c>
      <c r="D1009" s="365" t="s">
        <v>4117</v>
      </c>
      <c r="E1009" s="365" t="s">
        <v>4118</v>
      </c>
      <c r="F1009" s="365" t="s">
        <v>4122</v>
      </c>
      <c r="G1009" s="370">
        <v>45595</v>
      </c>
      <c r="H1009" s="369">
        <v>141900</v>
      </c>
      <c r="I1009" s="365" t="s">
        <v>4123</v>
      </c>
      <c r="J1009" s="365" t="s">
        <v>1228</v>
      </c>
      <c r="K1009" s="365" t="s">
        <v>1229</v>
      </c>
      <c r="L1009" s="370">
        <v>45588.538842592592</v>
      </c>
    </row>
    <row r="1010" spans="1:12" s="365" customFormat="1" hidden="1">
      <c r="A1010" s="370">
        <v>45588.542905092596</v>
      </c>
      <c r="B1010" s="365" t="s">
        <v>4124</v>
      </c>
      <c r="C1010" s="365" t="s">
        <v>1268</v>
      </c>
      <c r="D1010" s="365" t="s">
        <v>1269</v>
      </c>
      <c r="E1010" s="365" t="s">
        <v>1270</v>
      </c>
      <c r="F1010" s="365" t="s">
        <v>4125</v>
      </c>
      <c r="G1010" s="370">
        <v>45595</v>
      </c>
      <c r="H1010" s="369">
        <v>15000</v>
      </c>
      <c r="I1010" s="365" t="s">
        <v>4126</v>
      </c>
      <c r="J1010" s="365" t="s">
        <v>1228</v>
      </c>
      <c r="K1010" s="365" t="s">
        <v>1229</v>
      </c>
      <c r="L1010" s="370">
        <v>45588.545405092591</v>
      </c>
    </row>
    <row r="1011" spans="1:12" s="365" customFormat="1" hidden="1">
      <c r="A1011" s="370">
        <v>45588.558217592596</v>
      </c>
      <c r="B1011" s="365" t="s">
        <v>4201</v>
      </c>
      <c r="C1011" s="365" t="s">
        <v>1314</v>
      </c>
      <c r="D1011" s="365" t="s">
        <v>1315</v>
      </c>
      <c r="E1011" s="365" t="s">
        <v>1316</v>
      </c>
      <c r="F1011" s="365" t="s">
        <v>4202</v>
      </c>
      <c r="G1011" s="370">
        <v>45560</v>
      </c>
      <c r="H1011" s="369">
        <v>15999</v>
      </c>
      <c r="I1011" s="365" t="s">
        <v>4203</v>
      </c>
      <c r="J1011" s="365" t="s">
        <v>1228</v>
      </c>
      <c r="K1011" s="365" t="s">
        <v>1229</v>
      </c>
      <c r="L1011" s="370">
        <v>45588.559282407405</v>
      </c>
    </row>
    <row r="1012" spans="1:12" s="365" customFormat="1" hidden="1">
      <c r="A1012" s="370">
        <v>45588.572291666664</v>
      </c>
      <c r="B1012" s="365" t="s">
        <v>4127</v>
      </c>
      <c r="C1012" s="365" t="s">
        <v>1343</v>
      </c>
      <c r="D1012" s="365" t="s">
        <v>1344</v>
      </c>
      <c r="E1012" s="365" t="s">
        <v>1345</v>
      </c>
      <c r="F1012" s="365" t="s">
        <v>4128</v>
      </c>
      <c r="G1012" s="370">
        <v>45595</v>
      </c>
      <c r="H1012" s="369">
        <v>30000</v>
      </c>
      <c r="I1012" s="365" t="s">
        <v>4129</v>
      </c>
      <c r="J1012" s="365" t="s">
        <v>1228</v>
      </c>
      <c r="K1012" s="365" t="s">
        <v>1229</v>
      </c>
      <c r="L1012" s="370">
        <v>45588.573159722226</v>
      </c>
    </row>
    <row r="1013" spans="1:12" s="365" customFormat="1" hidden="1">
      <c r="A1013" s="370">
        <v>45588.600682870368</v>
      </c>
      <c r="B1013" s="365" t="s">
        <v>4130</v>
      </c>
      <c r="C1013" s="365" t="s">
        <v>1253</v>
      </c>
      <c r="D1013" s="365" t="s">
        <v>1254</v>
      </c>
      <c r="E1013" s="365" t="s">
        <v>1255</v>
      </c>
      <c r="F1013" s="365" t="s">
        <v>4131</v>
      </c>
      <c r="G1013" s="370">
        <v>45595</v>
      </c>
      <c r="H1013" s="369">
        <v>6000</v>
      </c>
      <c r="I1013" s="365" t="s">
        <v>4132</v>
      </c>
      <c r="J1013" s="365" t="s">
        <v>1228</v>
      </c>
      <c r="K1013" s="365" t="s">
        <v>1229</v>
      </c>
      <c r="L1013" s="370">
        <v>45588.600937499999</v>
      </c>
    </row>
    <row r="1014" spans="1:12" s="365" customFormat="1" hidden="1">
      <c r="A1014" s="370">
        <v>45588.614201388889</v>
      </c>
      <c r="B1014" s="365" t="s">
        <v>4133</v>
      </c>
      <c r="C1014" s="365" t="s">
        <v>4134</v>
      </c>
      <c r="D1014" s="365" t="s">
        <v>4135</v>
      </c>
      <c r="E1014" s="365" t="s">
        <v>4136</v>
      </c>
      <c r="F1014" s="365" t="s">
        <v>4137</v>
      </c>
      <c r="G1014" s="370">
        <v>45560</v>
      </c>
      <c r="H1014" s="369">
        <v>73000</v>
      </c>
      <c r="I1014" s="365" t="s">
        <v>4138</v>
      </c>
      <c r="J1014" s="365" t="s">
        <v>1228</v>
      </c>
      <c r="K1014" s="365" t="s">
        <v>1229</v>
      </c>
      <c r="L1014" s="370">
        <v>45588.614803240744</v>
      </c>
    </row>
    <row r="1015" spans="1:12" s="365" customFormat="1" hidden="1">
      <c r="A1015" s="370">
        <v>45588.63622685185</v>
      </c>
      <c r="B1015" s="365" t="s">
        <v>4139</v>
      </c>
      <c r="C1015" s="365" t="s">
        <v>1247</v>
      </c>
      <c r="D1015" s="365" t="s">
        <v>1248</v>
      </c>
      <c r="E1015" s="365" t="s">
        <v>1249</v>
      </c>
      <c r="F1015" s="365" t="s">
        <v>4140</v>
      </c>
      <c r="G1015" s="370">
        <v>45595</v>
      </c>
      <c r="H1015" s="369">
        <v>36501</v>
      </c>
      <c r="I1015" s="365" t="s">
        <v>4141</v>
      </c>
      <c r="J1015" s="365" t="s">
        <v>1228</v>
      </c>
      <c r="K1015" s="365" t="s">
        <v>1229</v>
      </c>
      <c r="L1015" s="370">
        <v>45588.639363425929</v>
      </c>
    </row>
    <row r="1016" spans="1:12" s="365" customFormat="1" hidden="1">
      <c r="A1016" s="370">
        <v>45588.682476851849</v>
      </c>
      <c r="B1016" s="365" t="s">
        <v>4204</v>
      </c>
      <c r="C1016" s="365" t="s">
        <v>4205</v>
      </c>
      <c r="D1016" s="365" t="s">
        <v>4206</v>
      </c>
      <c r="E1016" s="365" t="s">
        <v>4207</v>
      </c>
      <c r="F1016" s="365" t="s">
        <v>4208</v>
      </c>
      <c r="G1016" s="370">
        <v>45560</v>
      </c>
      <c r="H1016" s="369">
        <v>144000</v>
      </c>
      <c r="I1016" s="365" t="s">
        <v>4209</v>
      </c>
      <c r="J1016" s="365" t="s">
        <v>1228</v>
      </c>
      <c r="K1016" s="365" t="s">
        <v>1229</v>
      </c>
      <c r="L1016" s="370">
        <v>45588.684571759259</v>
      </c>
    </row>
    <row r="1017" spans="1:12" s="365" customFormat="1" hidden="1">
      <c r="A1017" s="370">
        <v>45588.72252314815</v>
      </c>
      <c r="B1017" s="365" t="s">
        <v>4210</v>
      </c>
      <c r="C1017" s="365" t="s">
        <v>1413</v>
      </c>
      <c r="D1017" s="365" t="s">
        <v>1414</v>
      </c>
      <c r="E1017" s="365" t="s">
        <v>1415</v>
      </c>
      <c r="F1017" s="365" t="s">
        <v>4211</v>
      </c>
      <c r="G1017" s="370">
        <v>45595</v>
      </c>
      <c r="H1017" s="369">
        <v>21000</v>
      </c>
      <c r="I1017" s="365" t="s">
        <v>4212</v>
      </c>
      <c r="J1017" s="365" t="s">
        <v>1228</v>
      </c>
      <c r="K1017" s="365" t="s">
        <v>1229</v>
      </c>
      <c r="L1017" s="370">
        <v>45588.726238425923</v>
      </c>
    </row>
    <row r="1018" spans="1:12" s="365" customFormat="1" hidden="1">
      <c r="A1018" s="370">
        <v>45588.731342592589</v>
      </c>
      <c r="B1018" s="365" t="s">
        <v>4142</v>
      </c>
      <c r="C1018" s="365" t="s">
        <v>4143</v>
      </c>
      <c r="D1018" s="365" t="s">
        <v>4144</v>
      </c>
      <c r="E1018" s="365" t="s">
        <v>4145</v>
      </c>
      <c r="F1018" s="365" t="s">
        <v>4146</v>
      </c>
      <c r="G1018" s="370">
        <v>45560</v>
      </c>
      <c r="H1018" s="369">
        <v>15999</v>
      </c>
      <c r="I1018" s="365" t="s">
        <v>4147</v>
      </c>
      <c r="J1018" s="365" t="s">
        <v>1228</v>
      </c>
      <c r="K1018" s="365" t="s">
        <v>1229</v>
      </c>
      <c r="L1018" s="370">
        <v>45588.73300925926</v>
      </c>
    </row>
    <row r="1019" spans="1:12" s="365" customFormat="1" hidden="1">
      <c r="A1019" s="370">
        <v>45588.735856481479</v>
      </c>
      <c r="B1019" s="365" t="s">
        <v>4148</v>
      </c>
      <c r="C1019" s="365" t="s">
        <v>4149</v>
      </c>
      <c r="D1019" s="365" t="s">
        <v>4150</v>
      </c>
      <c r="E1019" s="365" t="s">
        <v>4151</v>
      </c>
      <c r="F1019" s="365" t="s">
        <v>4152</v>
      </c>
      <c r="G1019" s="370">
        <v>45595</v>
      </c>
      <c r="H1019" s="369">
        <v>10000</v>
      </c>
      <c r="I1019" s="365" t="s">
        <v>4153</v>
      </c>
      <c r="J1019" s="365" t="s">
        <v>1228</v>
      </c>
      <c r="K1019" s="365" t="s">
        <v>1229</v>
      </c>
      <c r="L1019" s="370">
        <v>45588.736562500002</v>
      </c>
    </row>
    <row r="1020" spans="1:12" s="365" customFormat="1" hidden="1">
      <c r="A1020" s="370">
        <v>45588.750787037039</v>
      </c>
      <c r="B1020" s="365" t="s">
        <v>4213</v>
      </c>
      <c r="C1020" s="365" t="s">
        <v>1230</v>
      </c>
      <c r="D1020" s="365" t="s">
        <v>1049</v>
      </c>
      <c r="E1020" s="365" t="s">
        <v>1050</v>
      </c>
      <c r="F1020" s="365" t="s">
        <v>4214</v>
      </c>
      <c r="G1020" s="370">
        <v>45560</v>
      </c>
      <c r="H1020" s="369">
        <v>15999</v>
      </c>
      <c r="I1020" s="365" t="s">
        <v>4215</v>
      </c>
      <c r="J1020" s="365" t="s">
        <v>1228</v>
      </c>
      <c r="K1020" s="365" t="s">
        <v>1229</v>
      </c>
      <c r="L1020" s="370">
        <v>45588.754421296297</v>
      </c>
    </row>
    <row r="1021" spans="1:12" s="365" customFormat="1" hidden="1">
      <c r="A1021" s="370">
        <v>45588.751608796294</v>
      </c>
      <c r="B1021" s="365" t="s">
        <v>4216</v>
      </c>
      <c r="C1021" s="365" t="s">
        <v>1230</v>
      </c>
      <c r="D1021" s="365" t="s">
        <v>1040</v>
      </c>
      <c r="E1021" s="365" t="s">
        <v>1041</v>
      </c>
      <c r="F1021" s="365" t="s">
        <v>4217</v>
      </c>
      <c r="G1021" s="370">
        <v>45560</v>
      </c>
      <c r="H1021" s="369">
        <v>20999</v>
      </c>
      <c r="I1021" s="365" t="s">
        <v>4218</v>
      </c>
      <c r="J1021" s="365" t="s">
        <v>1228</v>
      </c>
      <c r="K1021" s="365" t="s">
        <v>1229</v>
      </c>
      <c r="L1021" s="370">
        <v>45588.754606481481</v>
      </c>
    </row>
    <row r="1022" spans="1:12" s="365" customFormat="1" hidden="1">
      <c r="A1022" s="370">
        <v>45588.752951388888</v>
      </c>
      <c r="B1022" s="365" t="s">
        <v>4166</v>
      </c>
      <c r="C1022" s="365" t="s">
        <v>1230</v>
      </c>
      <c r="D1022" s="365" t="s">
        <v>4167</v>
      </c>
      <c r="E1022" s="365" t="s">
        <v>4168</v>
      </c>
      <c r="F1022" s="365" t="s">
        <v>4169</v>
      </c>
      <c r="G1022" s="370">
        <v>45560</v>
      </c>
      <c r="H1022" s="369">
        <v>15000</v>
      </c>
      <c r="I1022" s="365" t="s">
        <v>4170</v>
      </c>
      <c r="J1022" s="365" t="s">
        <v>1228</v>
      </c>
      <c r="K1022" s="365" t="s">
        <v>1229</v>
      </c>
      <c r="L1022" s="370">
        <v>45588.754236111112</v>
      </c>
    </row>
    <row r="1023" spans="1:12" s="365" customFormat="1" hidden="1">
      <c r="A1023" s="370">
        <v>45588.753587962965</v>
      </c>
      <c r="B1023" s="365" t="s">
        <v>4154</v>
      </c>
      <c r="C1023" s="365" t="s">
        <v>1230</v>
      </c>
      <c r="D1023" s="365" t="s">
        <v>1038</v>
      </c>
      <c r="E1023" s="365" t="s">
        <v>1039</v>
      </c>
      <c r="F1023" s="365" t="s">
        <v>4155</v>
      </c>
      <c r="G1023" s="370">
        <v>45560</v>
      </c>
      <c r="H1023" s="369">
        <v>30000</v>
      </c>
      <c r="I1023" s="365" t="s">
        <v>4156</v>
      </c>
      <c r="J1023" s="365" t="s">
        <v>1228</v>
      </c>
      <c r="K1023" s="365" t="s">
        <v>1229</v>
      </c>
      <c r="L1023" s="370">
        <v>45588.754050925927</v>
      </c>
    </row>
    <row r="1024" spans="1:12" s="365" customFormat="1" hidden="1">
      <c r="A1024" s="370">
        <v>45588.754247685189</v>
      </c>
      <c r="B1024" s="365" t="s">
        <v>4157</v>
      </c>
      <c r="C1024" s="365" t="s">
        <v>4143</v>
      </c>
      <c r="D1024" s="365" t="s">
        <v>4144</v>
      </c>
      <c r="E1024" s="365" t="s">
        <v>4145</v>
      </c>
      <c r="F1024" s="365" t="s">
        <v>4158</v>
      </c>
      <c r="G1024" s="370">
        <v>45595</v>
      </c>
      <c r="H1024" s="369">
        <v>15999</v>
      </c>
      <c r="I1024" s="365" t="s">
        <v>4159</v>
      </c>
      <c r="J1024" s="365" t="s">
        <v>1228</v>
      </c>
      <c r="K1024" s="365" t="s">
        <v>1229</v>
      </c>
      <c r="L1024" s="370">
        <v>45588.757905092592</v>
      </c>
    </row>
    <row r="1025" spans="1:12" s="365" customFormat="1" hidden="1">
      <c r="A1025" s="370">
        <v>45588.766006944446</v>
      </c>
      <c r="B1025" s="365" t="s">
        <v>4171</v>
      </c>
      <c r="C1025" s="365" t="s">
        <v>1990</v>
      </c>
      <c r="D1025" s="365" t="s">
        <v>1991</v>
      </c>
      <c r="E1025" s="365" t="s">
        <v>1992</v>
      </c>
      <c r="F1025" s="365" t="s">
        <v>4172</v>
      </c>
      <c r="G1025" s="370">
        <v>45595</v>
      </c>
      <c r="H1025" s="369">
        <v>41999</v>
      </c>
      <c r="I1025" s="365" t="s">
        <v>4173</v>
      </c>
      <c r="J1025" s="365" t="s">
        <v>1228</v>
      </c>
      <c r="K1025" s="365" t="s">
        <v>1229</v>
      </c>
      <c r="L1025" s="370">
        <v>45588.768587962964</v>
      </c>
    </row>
    <row r="1026" spans="1:12" s="365" customFormat="1" hidden="1">
      <c r="A1026" s="370">
        <v>45588.771412037036</v>
      </c>
      <c r="B1026" s="365" t="s">
        <v>4160</v>
      </c>
      <c r="C1026" s="365" t="s">
        <v>4161</v>
      </c>
      <c r="D1026" s="365" t="s">
        <v>4162</v>
      </c>
      <c r="E1026" s="365" t="s">
        <v>4163</v>
      </c>
      <c r="F1026" s="365" t="s">
        <v>4164</v>
      </c>
      <c r="G1026" s="370">
        <v>45595</v>
      </c>
      <c r="H1026" s="369">
        <v>18000</v>
      </c>
      <c r="I1026" s="365" t="s">
        <v>4165</v>
      </c>
      <c r="J1026" s="365" t="s">
        <v>1228</v>
      </c>
      <c r="K1026" s="365" t="s">
        <v>1229</v>
      </c>
      <c r="L1026" s="370">
        <v>45588.771793981483</v>
      </c>
    </row>
    <row r="1027" spans="1:12" s="365" customFormat="1" hidden="1">
      <c r="A1027" s="370">
        <v>45588.772962962961</v>
      </c>
      <c r="B1027" s="365" t="s">
        <v>4219</v>
      </c>
      <c r="C1027" s="365" t="s">
        <v>4161</v>
      </c>
      <c r="D1027" s="365" t="s">
        <v>4162</v>
      </c>
      <c r="E1027" s="365" t="s">
        <v>4163</v>
      </c>
      <c r="F1027" s="365" t="s">
        <v>4220</v>
      </c>
      <c r="G1027" s="370">
        <v>45560</v>
      </c>
      <c r="H1027" s="369">
        <v>18000</v>
      </c>
      <c r="I1027" s="365" t="s">
        <v>4221</v>
      </c>
      <c r="J1027" s="365" t="s">
        <v>1228</v>
      </c>
      <c r="K1027" s="365" t="s">
        <v>1229</v>
      </c>
      <c r="L1027" s="370">
        <v>45588.775358796294</v>
      </c>
    </row>
    <row r="1028" spans="1:12" s="365" customFormat="1" hidden="1">
      <c r="A1028" s="370">
        <v>45588.774768518517</v>
      </c>
      <c r="B1028" s="365" t="s">
        <v>4222</v>
      </c>
      <c r="C1028" s="365" t="s">
        <v>1678</v>
      </c>
      <c r="D1028" s="365" t="s">
        <v>4223</v>
      </c>
      <c r="E1028" s="365" t="s">
        <v>4224</v>
      </c>
      <c r="F1028" s="365" t="s">
        <v>4225</v>
      </c>
      <c r="G1028" s="370">
        <v>45560</v>
      </c>
      <c r="H1028" s="369">
        <v>15999</v>
      </c>
      <c r="I1028" s="365" t="s">
        <v>4226</v>
      </c>
      <c r="J1028" s="365" t="s">
        <v>1228</v>
      </c>
      <c r="K1028" s="365" t="s">
        <v>1229</v>
      </c>
      <c r="L1028" s="370">
        <v>45588.775543981479</v>
      </c>
    </row>
    <row r="1029" spans="1:12" s="365" customFormat="1" hidden="1">
      <c r="A1029" s="370">
        <v>45588.808842592596</v>
      </c>
      <c r="B1029" s="365" t="s">
        <v>4174</v>
      </c>
      <c r="C1029" s="365" t="s">
        <v>1305</v>
      </c>
      <c r="D1029" s="365" t="s">
        <v>1306</v>
      </c>
      <c r="E1029" s="365" t="s">
        <v>1307</v>
      </c>
      <c r="F1029" s="365" t="s">
        <v>4175</v>
      </c>
      <c r="G1029" s="370">
        <v>45560</v>
      </c>
      <c r="H1029" s="369">
        <v>36999</v>
      </c>
      <c r="I1029" s="365" t="s">
        <v>4176</v>
      </c>
      <c r="J1029" s="365" t="s">
        <v>1228</v>
      </c>
      <c r="K1029" s="365" t="s">
        <v>1229</v>
      </c>
      <c r="L1029" s="370">
        <v>45588.810046296298</v>
      </c>
    </row>
    <row r="1030" spans="1:12" s="365" customFormat="1" hidden="1">
      <c r="A1030" s="370">
        <v>45588.822002314817</v>
      </c>
      <c r="B1030" s="365" t="s">
        <v>4227</v>
      </c>
      <c r="C1030" s="365" t="s">
        <v>1407</v>
      </c>
      <c r="D1030" s="365" t="s">
        <v>1408</v>
      </c>
      <c r="E1030" s="365" t="s">
        <v>1409</v>
      </c>
      <c r="F1030" s="365" t="s">
        <v>4228</v>
      </c>
      <c r="G1030" s="370">
        <v>45595</v>
      </c>
      <c r="H1030" s="369">
        <v>26000</v>
      </c>
      <c r="I1030" s="365" t="s">
        <v>4229</v>
      </c>
      <c r="J1030" s="365" t="s">
        <v>1228</v>
      </c>
      <c r="K1030" s="365" t="s">
        <v>1229</v>
      </c>
      <c r="L1030" s="370">
        <v>45588.82408564815</v>
      </c>
    </row>
    <row r="1031" spans="1:12" s="365" customFormat="1" hidden="1">
      <c r="A1031" s="370">
        <v>45588.92386574074</v>
      </c>
      <c r="B1031" s="365" t="s">
        <v>4230</v>
      </c>
      <c r="C1031" s="365" t="s">
        <v>2697</v>
      </c>
      <c r="D1031" s="365" t="s">
        <v>4231</v>
      </c>
      <c r="E1031" s="365" t="s">
        <v>4232</v>
      </c>
      <c r="F1031" s="365" t="s">
        <v>4233</v>
      </c>
      <c r="G1031" s="370">
        <v>45560</v>
      </c>
      <c r="H1031" s="369">
        <v>15999</v>
      </c>
      <c r="I1031" s="365" t="s">
        <v>4234</v>
      </c>
      <c r="J1031" s="365" t="s">
        <v>1228</v>
      </c>
      <c r="K1031" s="365" t="s">
        <v>1229</v>
      </c>
      <c r="L1031" s="370">
        <v>45588.924768518518</v>
      </c>
    </row>
    <row r="1032" spans="1:12" s="365" customFormat="1" hidden="1">
      <c r="A1032" s="370">
        <v>45588.935671296298</v>
      </c>
      <c r="B1032" s="365" t="s">
        <v>4235</v>
      </c>
      <c r="C1032" s="365" t="s">
        <v>1230</v>
      </c>
      <c r="D1032" s="365" t="s">
        <v>4236</v>
      </c>
      <c r="E1032" s="365" t="s">
        <v>4237</v>
      </c>
      <c r="F1032" s="365" t="s">
        <v>4238</v>
      </c>
      <c r="G1032" s="370">
        <v>45560</v>
      </c>
      <c r="H1032" s="369">
        <v>39000</v>
      </c>
      <c r="I1032" s="365" t="s">
        <v>4239</v>
      </c>
      <c r="J1032" s="365" t="s">
        <v>1228</v>
      </c>
      <c r="K1032" s="365" t="s">
        <v>1229</v>
      </c>
      <c r="L1032" s="370">
        <v>45588.938645833332</v>
      </c>
    </row>
    <row r="1033" spans="1:12" s="365" customFormat="1" hidden="1">
      <c r="A1033" s="370">
        <v>45588.997465277775</v>
      </c>
      <c r="B1033" s="365" t="s">
        <v>4240</v>
      </c>
      <c r="C1033" s="365" t="s">
        <v>1743</v>
      </c>
      <c r="D1033" s="365" t="s">
        <v>1744</v>
      </c>
      <c r="E1033" s="365" t="s">
        <v>1745</v>
      </c>
      <c r="F1033" s="365" t="s">
        <v>4241</v>
      </c>
      <c r="G1033" s="370">
        <v>45560</v>
      </c>
      <c r="H1033" s="369">
        <v>27000</v>
      </c>
      <c r="I1033" s="365" t="s">
        <v>4242</v>
      </c>
      <c r="J1033" s="365" t="s">
        <v>1228</v>
      </c>
      <c r="K1033" s="365" t="s">
        <v>1229</v>
      </c>
      <c r="L1033" s="370">
        <v>45589.125358796293</v>
      </c>
    </row>
    <row r="1034" spans="1:12" s="365" customFormat="1" hidden="1">
      <c r="A1034" s="370">
        <v>45589.279236111113</v>
      </c>
      <c r="B1034" s="365" t="s">
        <v>4307</v>
      </c>
      <c r="C1034" s="365" t="s">
        <v>1346</v>
      </c>
      <c r="D1034" s="365" t="s">
        <v>1347</v>
      </c>
      <c r="E1034" s="365" t="s">
        <v>1348</v>
      </c>
      <c r="F1034" s="365" t="s">
        <v>4308</v>
      </c>
      <c r="G1034" s="370">
        <v>45560</v>
      </c>
      <c r="H1034" s="369">
        <v>31999</v>
      </c>
      <c r="I1034" s="365" t="s">
        <v>4309</v>
      </c>
      <c r="J1034" s="365" t="s">
        <v>1228</v>
      </c>
      <c r="K1034" s="365" t="s">
        <v>1229</v>
      </c>
      <c r="L1034" s="370">
        <v>45589.281747685185</v>
      </c>
    </row>
    <row r="1035" spans="1:12" s="365" customFormat="1" hidden="1">
      <c r="A1035" s="370">
        <v>45589.281527777777</v>
      </c>
      <c r="B1035" s="365" t="s">
        <v>4243</v>
      </c>
      <c r="C1035" s="365" t="s">
        <v>4244</v>
      </c>
      <c r="D1035" s="365" t="s">
        <v>4245</v>
      </c>
      <c r="E1035" s="365" t="s">
        <v>4246</v>
      </c>
      <c r="F1035" s="365" t="s">
        <v>4247</v>
      </c>
      <c r="G1035" s="370">
        <v>45595</v>
      </c>
      <c r="H1035" s="369">
        <v>20000</v>
      </c>
      <c r="I1035" s="365" t="s">
        <v>4248</v>
      </c>
      <c r="J1035" s="365" t="s">
        <v>1228</v>
      </c>
      <c r="K1035" s="365" t="s">
        <v>1229</v>
      </c>
      <c r="L1035" s="370">
        <v>45589.284942129627</v>
      </c>
    </row>
    <row r="1036" spans="1:12" s="365" customFormat="1" hidden="1">
      <c r="A1036" s="370">
        <v>45589.287048611113</v>
      </c>
      <c r="B1036" s="365" t="s">
        <v>4334</v>
      </c>
      <c r="C1036" s="365" t="s">
        <v>4335</v>
      </c>
      <c r="D1036" s="365" t="s">
        <v>4336</v>
      </c>
      <c r="E1036" s="365" t="s">
        <v>4337</v>
      </c>
      <c r="F1036" s="365" t="s">
        <v>4338</v>
      </c>
      <c r="G1036" s="370">
        <v>45560</v>
      </c>
      <c r="H1036" s="369">
        <v>11000</v>
      </c>
      <c r="I1036" s="365" t="s">
        <v>4339</v>
      </c>
      <c r="J1036" s="365" t="s">
        <v>1228</v>
      </c>
      <c r="K1036" s="365" t="s">
        <v>1229</v>
      </c>
      <c r="L1036" s="370">
        <v>45589.288506944446</v>
      </c>
    </row>
    <row r="1037" spans="1:12" s="365" customFormat="1" hidden="1">
      <c r="A1037" s="370">
        <v>45589.291238425925</v>
      </c>
      <c r="B1037" s="365" t="s">
        <v>4340</v>
      </c>
      <c r="C1037" s="365" t="s">
        <v>4341</v>
      </c>
      <c r="D1037" s="365" t="s">
        <v>4342</v>
      </c>
      <c r="E1037" s="365" t="s">
        <v>4343</v>
      </c>
      <c r="F1037" s="365" t="s">
        <v>4344</v>
      </c>
      <c r="G1037" s="370">
        <v>45595</v>
      </c>
      <c r="H1037" s="369">
        <v>23400</v>
      </c>
      <c r="I1037" s="365" t="s">
        <v>4345</v>
      </c>
      <c r="J1037" s="365" t="s">
        <v>1228</v>
      </c>
      <c r="K1037" s="365" t="s">
        <v>1229</v>
      </c>
      <c r="L1037" s="370">
        <v>45589.292060185187</v>
      </c>
    </row>
    <row r="1038" spans="1:12" s="365" customFormat="1" hidden="1">
      <c r="A1038" s="370">
        <v>45589.299467592595</v>
      </c>
      <c r="B1038" s="365" t="s">
        <v>4310</v>
      </c>
      <c r="C1038" s="365" t="s">
        <v>4311</v>
      </c>
      <c r="D1038" s="365" t="s">
        <v>4312</v>
      </c>
      <c r="E1038" s="365" t="s">
        <v>4313</v>
      </c>
      <c r="F1038" s="365" t="s">
        <v>4314</v>
      </c>
      <c r="G1038" s="370">
        <v>45595</v>
      </c>
      <c r="H1038" s="369">
        <v>20000</v>
      </c>
      <c r="I1038" s="365" t="s">
        <v>4315</v>
      </c>
      <c r="J1038" s="365" t="s">
        <v>1228</v>
      </c>
      <c r="K1038" s="365" t="s">
        <v>1229</v>
      </c>
      <c r="L1038" s="370">
        <v>45589.302395833336</v>
      </c>
    </row>
    <row r="1039" spans="1:12" s="365" customFormat="1" hidden="1">
      <c r="A1039" s="370">
        <v>45589.307500000003</v>
      </c>
      <c r="B1039" s="365" t="s">
        <v>4316</v>
      </c>
      <c r="C1039" s="365" t="s">
        <v>1256</v>
      </c>
      <c r="D1039" s="365" t="s">
        <v>1257</v>
      </c>
      <c r="E1039" s="365" t="s">
        <v>1258</v>
      </c>
      <c r="F1039" s="365" t="s">
        <v>4317</v>
      </c>
      <c r="G1039" s="370">
        <v>45560</v>
      </c>
      <c r="H1039" s="369">
        <v>70000</v>
      </c>
      <c r="I1039" s="365" t="s">
        <v>4318</v>
      </c>
      <c r="J1039" s="365" t="s">
        <v>1228</v>
      </c>
      <c r="K1039" s="365" t="s">
        <v>1229</v>
      </c>
      <c r="L1039" s="370">
        <v>45589.309502314813</v>
      </c>
    </row>
    <row r="1040" spans="1:12" s="365" customFormat="1" hidden="1">
      <c r="A1040" s="370">
        <v>45589.311111111114</v>
      </c>
      <c r="B1040" s="365" t="s">
        <v>4346</v>
      </c>
      <c r="C1040" s="365" t="s">
        <v>1273</v>
      </c>
      <c r="D1040" s="365" t="s">
        <v>1274</v>
      </c>
      <c r="E1040" s="365" t="s">
        <v>1275</v>
      </c>
      <c r="F1040" s="365" t="s">
        <v>4347</v>
      </c>
      <c r="G1040" s="370">
        <v>45560</v>
      </c>
      <c r="H1040" s="369">
        <v>129600</v>
      </c>
      <c r="I1040" s="365" t="s">
        <v>4348</v>
      </c>
      <c r="J1040" s="365" t="s">
        <v>1228</v>
      </c>
      <c r="K1040" s="365" t="s">
        <v>1229</v>
      </c>
      <c r="L1040" s="370">
        <v>45589.312708333331</v>
      </c>
    </row>
    <row r="1041" spans="1:12" s="365" customFormat="1" hidden="1">
      <c r="A1041" s="370">
        <v>45589.314027777778</v>
      </c>
      <c r="B1041" s="365" t="s">
        <v>4349</v>
      </c>
      <c r="C1041" s="365" t="s">
        <v>1317</v>
      </c>
      <c r="D1041" s="365" t="s">
        <v>1730</v>
      </c>
      <c r="E1041" s="365" t="s">
        <v>1731</v>
      </c>
      <c r="F1041" s="365" t="s">
        <v>4350</v>
      </c>
      <c r="G1041" s="370">
        <v>45560</v>
      </c>
      <c r="H1041" s="369">
        <v>9000</v>
      </c>
      <c r="I1041" s="365" t="s">
        <v>4351</v>
      </c>
      <c r="J1041" s="365" t="s">
        <v>1228</v>
      </c>
      <c r="K1041" s="365" t="s">
        <v>1229</v>
      </c>
      <c r="L1041" s="370">
        <v>45589.316284722219</v>
      </c>
    </row>
    <row r="1042" spans="1:12" s="365" customFormat="1" hidden="1">
      <c r="A1042" s="370">
        <v>45589.346990740742</v>
      </c>
      <c r="B1042" s="365" t="s">
        <v>4352</v>
      </c>
      <c r="C1042" s="365" t="s">
        <v>4353</v>
      </c>
      <c r="D1042" s="365" t="s">
        <v>3359</v>
      </c>
      <c r="E1042" s="365" t="s">
        <v>3360</v>
      </c>
      <c r="F1042" s="365" t="s">
        <v>4354</v>
      </c>
      <c r="G1042" s="370">
        <v>45560</v>
      </c>
      <c r="H1042" s="369">
        <v>57400</v>
      </c>
      <c r="I1042" s="365" t="s">
        <v>4355</v>
      </c>
      <c r="J1042" s="365" t="s">
        <v>1228</v>
      </c>
      <c r="K1042" s="365" t="s">
        <v>1229</v>
      </c>
      <c r="L1042" s="370">
        <v>45589.347638888888</v>
      </c>
    </row>
    <row r="1043" spans="1:12" s="365" customFormat="1" hidden="1">
      <c r="A1043" s="370">
        <v>45589.348449074074</v>
      </c>
      <c r="B1043" s="365" t="s">
        <v>4249</v>
      </c>
      <c r="C1043" s="365" t="s">
        <v>1561</v>
      </c>
      <c r="D1043" s="365" t="s">
        <v>1562</v>
      </c>
      <c r="E1043" s="365" t="s">
        <v>1563</v>
      </c>
      <c r="F1043" s="365" t="s">
        <v>4250</v>
      </c>
      <c r="G1043" s="370">
        <v>45560</v>
      </c>
      <c r="H1043" s="369">
        <v>120000</v>
      </c>
      <c r="I1043" s="365" t="s">
        <v>4251</v>
      </c>
      <c r="J1043" s="365" t="s">
        <v>1228</v>
      </c>
      <c r="K1043" s="365" t="s">
        <v>1229</v>
      </c>
      <c r="L1043" s="370">
        <v>45589.351203703707</v>
      </c>
    </row>
    <row r="1044" spans="1:12" s="365" customFormat="1" hidden="1">
      <c r="A1044" s="370">
        <v>45589.348483796297</v>
      </c>
      <c r="B1044" s="365" t="s">
        <v>4356</v>
      </c>
      <c r="C1044" s="365" t="s">
        <v>4085</v>
      </c>
      <c r="D1044" s="365" t="s">
        <v>4357</v>
      </c>
      <c r="E1044" s="365" t="s">
        <v>4358</v>
      </c>
      <c r="F1044" s="365" t="s">
        <v>4359</v>
      </c>
      <c r="G1044" s="370">
        <v>45560</v>
      </c>
      <c r="H1044" s="369">
        <v>23400</v>
      </c>
      <c r="I1044" s="365" t="s">
        <v>4360</v>
      </c>
      <c r="J1044" s="365" t="s">
        <v>1228</v>
      </c>
      <c r="K1044" s="365" t="s">
        <v>1229</v>
      </c>
      <c r="L1044" s="370">
        <v>45589.351388888892</v>
      </c>
    </row>
    <row r="1045" spans="1:12" s="365" customFormat="1" hidden="1">
      <c r="A1045" s="370">
        <v>45589.359131944446</v>
      </c>
      <c r="B1045" s="365" t="s">
        <v>4252</v>
      </c>
      <c r="C1045" s="365" t="s">
        <v>4253</v>
      </c>
      <c r="D1045" s="365" t="s">
        <v>4254</v>
      </c>
      <c r="E1045" s="365" t="s">
        <v>4255</v>
      </c>
      <c r="F1045" s="365" t="s">
        <v>4256</v>
      </c>
      <c r="G1045" s="370">
        <v>45560</v>
      </c>
      <c r="H1045" s="369">
        <v>18000</v>
      </c>
      <c r="I1045" s="365" t="s">
        <v>4257</v>
      </c>
      <c r="J1045" s="365" t="s">
        <v>1228</v>
      </c>
      <c r="K1045" s="365" t="s">
        <v>1229</v>
      </c>
      <c r="L1045" s="370">
        <v>45589.36204861111</v>
      </c>
    </row>
    <row r="1046" spans="1:12" s="365" customFormat="1" hidden="1">
      <c r="A1046" s="370">
        <v>45589.37226851852</v>
      </c>
      <c r="B1046" s="365" t="s">
        <v>4258</v>
      </c>
      <c r="C1046" s="365" t="s">
        <v>2470</v>
      </c>
      <c r="D1046" s="365" t="s">
        <v>2471</v>
      </c>
      <c r="E1046" s="365" t="s">
        <v>2472</v>
      </c>
      <c r="F1046" s="365" t="s">
        <v>4259</v>
      </c>
      <c r="G1046" s="370">
        <v>45595</v>
      </c>
      <c r="H1046" s="369">
        <v>260999</v>
      </c>
      <c r="I1046" s="365" t="s">
        <v>4260</v>
      </c>
      <c r="J1046" s="365" t="s">
        <v>1228</v>
      </c>
      <c r="K1046" s="365" t="s">
        <v>1229</v>
      </c>
      <c r="L1046" s="370">
        <v>45589.372581018521</v>
      </c>
    </row>
    <row r="1047" spans="1:12" s="365" customFormat="1" hidden="1">
      <c r="A1047" s="370">
        <v>45589.38244212963</v>
      </c>
      <c r="B1047" s="365" t="s">
        <v>4261</v>
      </c>
      <c r="C1047" s="365" t="s">
        <v>1230</v>
      </c>
      <c r="D1047" s="365" t="s">
        <v>1656</v>
      </c>
      <c r="E1047" s="365" t="s">
        <v>1657</v>
      </c>
      <c r="F1047" s="365" t="s">
        <v>4262</v>
      </c>
      <c r="G1047" s="370">
        <v>45560</v>
      </c>
      <c r="H1047" s="369">
        <v>41999</v>
      </c>
      <c r="I1047" s="365" t="s">
        <v>4263</v>
      </c>
      <c r="J1047" s="365" t="s">
        <v>1228</v>
      </c>
      <c r="K1047" s="365" t="s">
        <v>1229</v>
      </c>
      <c r="L1047" s="370">
        <v>45589.382939814815</v>
      </c>
    </row>
    <row r="1048" spans="1:12" s="365" customFormat="1" hidden="1">
      <c r="A1048" s="370">
        <v>45589.405902777777</v>
      </c>
      <c r="B1048" s="365" t="s">
        <v>4319</v>
      </c>
      <c r="C1048" s="365" t="s">
        <v>4311</v>
      </c>
      <c r="D1048" s="365" t="s">
        <v>4312</v>
      </c>
      <c r="E1048" s="365" t="s">
        <v>4313</v>
      </c>
      <c r="F1048" s="365" t="s">
        <v>4320</v>
      </c>
      <c r="G1048" s="370">
        <v>45560</v>
      </c>
      <c r="H1048" s="369">
        <v>20000</v>
      </c>
      <c r="I1048" s="365" t="s">
        <v>4321</v>
      </c>
      <c r="J1048" s="365" t="s">
        <v>1228</v>
      </c>
      <c r="K1048" s="365" t="s">
        <v>1229</v>
      </c>
      <c r="L1048" s="370">
        <v>45589.407164351855</v>
      </c>
    </row>
    <row r="1049" spans="1:12" s="365" customFormat="1" hidden="1">
      <c r="A1049" s="370">
        <v>45589.418599537035</v>
      </c>
      <c r="B1049" s="365" t="s">
        <v>4322</v>
      </c>
      <c r="C1049" s="365" t="s">
        <v>1879</v>
      </c>
      <c r="D1049" s="365" t="s">
        <v>1880</v>
      </c>
      <c r="E1049" s="365" t="s">
        <v>1881</v>
      </c>
      <c r="F1049" s="365" t="s">
        <v>4323</v>
      </c>
      <c r="G1049" s="370">
        <v>45595</v>
      </c>
      <c r="H1049" s="369">
        <v>25000</v>
      </c>
      <c r="I1049" s="365" t="s">
        <v>4324</v>
      </c>
      <c r="J1049" s="365" t="s">
        <v>1228</v>
      </c>
      <c r="K1049" s="365" t="s">
        <v>1229</v>
      </c>
      <c r="L1049" s="370">
        <v>45589.421064814815</v>
      </c>
    </row>
    <row r="1050" spans="1:12" s="365" customFormat="1" hidden="1">
      <c r="A1050" s="370">
        <v>45589.421307870369</v>
      </c>
      <c r="B1050" s="365" t="s">
        <v>4361</v>
      </c>
      <c r="C1050" s="365" t="s">
        <v>1230</v>
      </c>
      <c r="D1050" s="365" t="s">
        <v>4362</v>
      </c>
      <c r="E1050" s="365" t="s">
        <v>4363</v>
      </c>
      <c r="F1050" s="365" t="s">
        <v>4364</v>
      </c>
      <c r="G1050" s="370">
        <v>45560</v>
      </c>
      <c r="H1050" s="369">
        <v>24000</v>
      </c>
      <c r="I1050" s="365" t="s">
        <v>4365</v>
      </c>
      <c r="J1050" s="365" t="s">
        <v>1228</v>
      </c>
      <c r="K1050" s="365" t="s">
        <v>1229</v>
      </c>
      <c r="L1050" s="370">
        <v>45589.424618055556</v>
      </c>
    </row>
    <row r="1051" spans="1:12" s="365" customFormat="1" hidden="1">
      <c r="A1051" s="370">
        <v>45589.426354166666</v>
      </c>
      <c r="B1051" s="365" t="s">
        <v>4264</v>
      </c>
      <c r="C1051" s="365" t="s">
        <v>4265</v>
      </c>
      <c r="D1051" s="365" t="s">
        <v>4266</v>
      </c>
      <c r="E1051" s="365" t="s">
        <v>4267</v>
      </c>
      <c r="F1051" s="365" t="s">
        <v>4268</v>
      </c>
      <c r="G1051" s="370">
        <v>45595</v>
      </c>
      <c r="H1051" s="369">
        <v>45000</v>
      </c>
      <c r="I1051" s="365" t="s">
        <v>4269</v>
      </c>
      <c r="J1051" s="365" t="s">
        <v>1228</v>
      </c>
      <c r="K1051" s="365" t="s">
        <v>1229</v>
      </c>
      <c r="L1051" s="370">
        <v>45589.42800925926</v>
      </c>
    </row>
    <row r="1052" spans="1:12" s="365" customFormat="1" hidden="1">
      <c r="A1052" s="370">
        <v>45589.484282407408</v>
      </c>
      <c r="B1052" s="365" t="s">
        <v>4366</v>
      </c>
      <c r="C1052" s="365" t="s">
        <v>2257</v>
      </c>
      <c r="D1052" s="365" t="s">
        <v>2258</v>
      </c>
      <c r="E1052" s="365" t="s">
        <v>2259</v>
      </c>
      <c r="F1052" s="365" t="s">
        <v>4367</v>
      </c>
      <c r="G1052" s="370">
        <v>45595</v>
      </c>
      <c r="H1052" s="369">
        <v>28499</v>
      </c>
      <c r="I1052" s="365" t="s">
        <v>4368</v>
      </c>
      <c r="J1052" s="365" t="s">
        <v>1228</v>
      </c>
      <c r="K1052" s="365" t="s">
        <v>1229</v>
      </c>
      <c r="L1052" s="370">
        <v>45589.48710648148</v>
      </c>
    </row>
    <row r="1053" spans="1:12" s="365" customFormat="1" hidden="1">
      <c r="A1053" s="370">
        <v>45589.498124999998</v>
      </c>
      <c r="B1053" s="365" t="s">
        <v>4270</v>
      </c>
      <c r="C1053" s="365" t="s">
        <v>4271</v>
      </c>
      <c r="D1053" s="365" t="s">
        <v>4179</v>
      </c>
      <c r="E1053" s="365" t="s">
        <v>4180</v>
      </c>
      <c r="F1053" s="365" t="s">
        <v>4272</v>
      </c>
      <c r="G1053" s="370">
        <v>45560</v>
      </c>
      <c r="H1053" s="369">
        <v>15000</v>
      </c>
      <c r="I1053" s="365" t="s">
        <v>4273</v>
      </c>
      <c r="J1053" s="365" t="s">
        <v>1228</v>
      </c>
      <c r="K1053" s="365" t="s">
        <v>1229</v>
      </c>
      <c r="L1053" s="370">
        <v>45589.501157407409</v>
      </c>
    </row>
    <row r="1054" spans="1:12" s="365" customFormat="1" hidden="1">
      <c r="A1054" s="370">
        <v>45589.518935185188</v>
      </c>
      <c r="B1054" s="365" t="s">
        <v>4325</v>
      </c>
      <c r="C1054" s="365" t="s">
        <v>1410</v>
      </c>
      <c r="D1054" s="365" t="s">
        <v>1411</v>
      </c>
      <c r="E1054" s="365" t="s">
        <v>1412</v>
      </c>
      <c r="F1054" s="365" t="s">
        <v>4326</v>
      </c>
      <c r="G1054" s="370">
        <v>45595</v>
      </c>
      <c r="H1054" s="369">
        <v>15999</v>
      </c>
      <c r="I1054" s="365" t="s">
        <v>4327</v>
      </c>
      <c r="J1054" s="365" t="s">
        <v>1228</v>
      </c>
      <c r="K1054" s="365" t="s">
        <v>1229</v>
      </c>
      <c r="L1054" s="370">
        <v>45589.521805555552</v>
      </c>
    </row>
    <row r="1055" spans="1:12" s="365" customFormat="1" hidden="1">
      <c r="A1055" s="370">
        <v>45589.555162037039</v>
      </c>
      <c r="B1055" s="365" t="s">
        <v>4369</v>
      </c>
      <c r="C1055" s="365" t="s">
        <v>1276</v>
      </c>
      <c r="D1055" s="365" t="s">
        <v>1277</v>
      </c>
      <c r="E1055" s="365" t="s">
        <v>1278</v>
      </c>
      <c r="F1055" s="365" t="s">
        <v>4370</v>
      </c>
      <c r="G1055" s="370">
        <v>45595</v>
      </c>
      <c r="H1055" s="369">
        <v>24000</v>
      </c>
      <c r="I1055" s="365" t="s">
        <v>4371</v>
      </c>
      <c r="J1055" s="365" t="s">
        <v>1228</v>
      </c>
      <c r="K1055" s="365" t="s">
        <v>1229</v>
      </c>
      <c r="L1055" s="370">
        <v>45589.556701388887</v>
      </c>
    </row>
    <row r="1056" spans="1:12" s="365" customFormat="1" hidden="1">
      <c r="A1056" s="370">
        <v>45589.57984953704</v>
      </c>
      <c r="B1056" s="365" t="s">
        <v>4274</v>
      </c>
      <c r="C1056" s="365" t="s">
        <v>4275</v>
      </c>
      <c r="D1056" s="365" t="s">
        <v>4276</v>
      </c>
      <c r="E1056" s="365" t="s">
        <v>4277</v>
      </c>
      <c r="F1056" s="365" t="s">
        <v>4278</v>
      </c>
      <c r="G1056" s="370">
        <v>45560</v>
      </c>
      <c r="H1056" s="369">
        <v>32000</v>
      </c>
      <c r="I1056" s="365" t="s">
        <v>4279</v>
      </c>
      <c r="J1056" s="365" t="s">
        <v>1228</v>
      </c>
      <c r="K1056" s="365" t="s">
        <v>1229</v>
      </c>
      <c r="L1056" s="370">
        <v>45589.58090277778</v>
      </c>
    </row>
    <row r="1057" spans="1:12" s="365" customFormat="1" hidden="1">
      <c r="A1057" s="370">
        <v>45589.591296296298</v>
      </c>
      <c r="B1057" s="365" t="s">
        <v>4280</v>
      </c>
      <c r="C1057" s="365" t="s">
        <v>4281</v>
      </c>
      <c r="D1057" s="365" t="s">
        <v>4282</v>
      </c>
      <c r="E1057" s="365" t="s">
        <v>4283</v>
      </c>
      <c r="F1057" s="365" t="s">
        <v>4284</v>
      </c>
      <c r="G1057" s="370">
        <v>45560</v>
      </c>
      <c r="H1057" s="369">
        <v>16500</v>
      </c>
      <c r="I1057" s="365" t="s">
        <v>4285</v>
      </c>
      <c r="J1057" s="365" t="s">
        <v>1228</v>
      </c>
      <c r="K1057" s="365" t="s">
        <v>1229</v>
      </c>
      <c r="L1057" s="370">
        <v>45589.59479166667</v>
      </c>
    </row>
    <row r="1058" spans="1:12" s="365" customFormat="1" hidden="1">
      <c r="A1058" s="370">
        <v>45589.594004629631</v>
      </c>
      <c r="B1058" s="365" t="s">
        <v>4372</v>
      </c>
      <c r="C1058" s="365" t="s">
        <v>4373</v>
      </c>
      <c r="D1058" s="365" t="s">
        <v>4374</v>
      </c>
      <c r="E1058" s="365" t="s">
        <v>4375</v>
      </c>
      <c r="F1058" s="365" t="s">
        <v>4376</v>
      </c>
      <c r="G1058" s="370">
        <v>45560</v>
      </c>
      <c r="H1058" s="369">
        <v>15999</v>
      </c>
      <c r="I1058" s="365" t="s">
        <v>4377</v>
      </c>
      <c r="J1058" s="365" t="s">
        <v>1228</v>
      </c>
      <c r="K1058" s="365" t="s">
        <v>1229</v>
      </c>
      <c r="L1058" s="370">
        <v>45589.594976851855</v>
      </c>
    </row>
    <row r="1059" spans="1:12" s="365" customFormat="1" hidden="1">
      <c r="A1059" s="370">
        <v>45589.595150462963</v>
      </c>
      <c r="B1059" s="365" t="s">
        <v>4286</v>
      </c>
      <c r="C1059" s="365" t="s">
        <v>1444</v>
      </c>
      <c r="D1059" s="365" t="s">
        <v>1445</v>
      </c>
      <c r="E1059" s="365" t="s">
        <v>1446</v>
      </c>
      <c r="F1059" s="365" t="s">
        <v>4287</v>
      </c>
      <c r="G1059" s="370">
        <v>45595</v>
      </c>
      <c r="H1059" s="369">
        <v>25000</v>
      </c>
      <c r="I1059" s="365" t="s">
        <v>4288</v>
      </c>
      <c r="J1059" s="365" t="s">
        <v>1228</v>
      </c>
      <c r="K1059" s="365" t="s">
        <v>1229</v>
      </c>
      <c r="L1059" s="370">
        <v>45589.598356481481</v>
      </c>
    </row>
    <row r="1060" spans="1:12" s="365" customFormat="1" hidden="1">
      <c r="A1060" s="370">
        <v>45589.597962962966</v>
      </c>
      <c r="B1060" s="365" t="s">
        <v>4378</v>
      </c>
      <c r="C1060" s="365" t="s">
        <v>4290</v>
      </c>
      <c r="D1060" s="365" t="s">
        <v>4291</v>
      </c>
      <c r="E1060" s="365" t="s">
        <v>4292</v>
      </c>
      <c r="F1060" s="365" t="s">
        <v>4379</v>
      </c>
      <c r="G1060" s="370">
        <v>45560</v>
      </c>
      <c r="H1060" s="369">
        <v>20000</v>
      </c>
      <c r="I1060" s="365" t="s">
        <v>4380</v>
      </c>
      <c r="J1060" s="365" t="s">
        <v>1228</v>
      </c>
      <c r="K1060" s="365" t="s">
        <v>1229</v>
      </c>
      <c r="L1060" s="370">
        <v>45589.598530092589</v>
      </c>
    </row>
    <row r="1061" spans="1:12" s="365" customFormat="1" hidden="1">
      <c r="A1061" s="370">
        <v>45589.600185185183</v>
      </c>
      <c r="B1061" s="365" t="s">
        <v>4289</v>
      </c>
      <c r="C1061" s="365" t="s">
        <v>4290</v>
      </c>
      <c r="D1061" s="365" t="s">
        <v>4291</v>
      </c>
      <c r="E1061" s="365" t="s">
        <v>4292</v>
      </c>
      <c r="F1061" s="365" t="s">
        <v>4293</v>
      </c>
      <c r="G1061" s="370">
        <v>45595</v>
      </c>
      <c r="H1061" s="369">
        <v>20000</v>
      </c>
      <c r="I1061" s="365" t="s">
        <v>4294</v>
      </c>
      <c r="J1061" s="365" t="s">
        <v>1228</v>
      </c>
      <c r="K1061" s="365" t="s">
        <v>1229</v>
      </c>
      <c r="L1061" s="370">
        <v>45589.601886574077</v>
      </c>
    </row>
    <row r="1062" spans="1:12" s="365" customFormat="1" hidden="1">
      <c r="A1062" s="370">
        <v>45589.633564814816</v>
      </c>
      <c r="B1062" s="365" t="s">
        <v>4381</v>
      </c>
      <c r="C1062" s="365" t="s">
        <v>1230</v>
      </c>
      <c r="D1062" s="365" t="s">
        <v>1301</v>
      </c>
      <c r="E1062" s="365" t="s">
        <v>1302</v>
      </c>
      <c r="F1062" s="365" t="s">
        <v>4382</v>
      </c>
      <c r="G1062" s="370">
        <v>45560</v>
      </c>
      <c r="H1062" s="369">
        <v>9000</v>
      </c>
      <c r="I1062" s="365" t="s">
        <v>4383</v>
      </c>
      <c r="J1062" s="365" t="s">
        <v>1228</v>
      </c>
      <c r="K1062" s="365" t="s">
        <v>1229</v>
      </c>
      <c r="L1062" s="370">
        <v>45589.636435185188</v>
      </c>
    </row>
    <row r="1063" spans="1:12" s="365" customFormat="1" hidden="1">
      <c r="A1063" s="370">
        <v>45589.643807870372</v>
      </c>
      <c r="B1063" s="365" t="s">
        <v>4295</v>
      </c>
      <c r="C1063" s="365" t="s">
        <v>1678</v>
      </c>
      <c r="D1063" s="365" t="s">
        <v>1728</v>
      </c>
      <c r="E1063" s="365" t="s">
        <v>1729</v>
      </c>
      <c r="F1063" s="365" t="s">
        <v>4296</v>
      </c>
      <c r="G1063" s="370">
        <v>45560</v>
      </c>
      <c r="H1063" s="369">
        <v>15999</v>
      </c>
      <c r="I1063" s="365" t="s">
        <v>4297</v>
      </c>
      <c r="J1063" s="365" t="s">
        <v>1228</v>
      </c>
      <c r="K1063" s="365" t="s">
        <v>1229</v>
      </c>
      <c r="L1063" s="370">
        <v>45589.64675925926</v>
      </c>
    </row>
    <row r="1064" spans="1:12" s="365" customFormat="1" hidden="1">
      <c r="A1064" s="370">
        <v>45589.658333333333</v>
      </c>
      <c r="B1064" s="365" t="s">
        <v>4384</v>
      </c>
      <c r="C1064" s="365" t="s">
        <v>4385</v>
      </c>
      <c r="D1064" s="365" t="s">
        <v>4386</v>
      </c>
      <c r="E1064" s="365" t="s">
        <v>4387</v>
      </c>
      <c r="F1064" s="365" t="s">
        <v>4388</v>
      </c>
      <c r="G1064" s="370">
        <v>45560</v>
      </c>
      <c r="H1064" s="369">
        <v>18000</v>
      </c>
      <c r="I1064" s="365" t="s">
        <v>4389</v>
      </c>
      <c r="J1064" s="365" t="s">
        <v>1228</v>
      </c>
      <c r="K1064" s="365" t="s">
        <v>1229</v>
      </c>
      <c r="L1064" s="370">
        <v>45589.660636574074</v>
      </c>
    </row>
    <row r="1065" spans="1:12" s="365" customFormat="1" hidden="1">
      <c r="A1065" s="370">
        <v>45589.702719907407</v>
      </c>
      <c r="B1065" s="365" t="s">
        <v>4390</v>
      </c>
      <c r="C1065" s="365" t="s">
        <v>4391</v>
      </c>
      <c r="D1065" s="365" t="s">
        <v>4392</v>
      </c>
      <c r="E1065" s="365" t="s">
        <v>4393</v>
      </c>
      <c r="F1065" s="365" t="s">
        <v>4394</v>
      </c>
      <c r="G1065" s="370">
        <v>45560</v>
      </c>
      <c r="H1065" s="369">
        <v>31999</v>
      </c>
      <c r="I1065" s="365" t="s">
        <v>4395</v>
      </c>
      <c r="J1065" s="365" t="s">
        <v>1228</v>
      </c>
      <c r="K1065" s="365" t="s">
        <v>1229</v>
      </c>
      <c r="L1065" s="370">
        <v>45589.706030092595</v>
      </c>
    </row>
    <row r="1066" spans="1:12" s="365" customFormat="1" hidden="1">
      <c r="A1066" s="370">
        <v>45589.730671296296</v>
      </c>
      <c r="B1066" s="365" t="s">
        <v>4298</v>
      </c>
      <c r="C1066" s="365" t="s">
        <v>1667</v>
      </c>
      <c r="D1066" s="365" t="s">
        <v>1668</v>
      </c>
      <c r="E1066" s="365" t="s">
        <v>1669</v>
      </c>
      <c r="F1066" s="365" t="s">
        <v>4299</v>
      </c>
      <c r="G1066" s="370">
        <v>45595</v>
      </c>
      <c r="H1066" s="369">
        <v>48000</v>
      </c>
      <c r="I1066" s="365" t="s">
        <v>4300</v>
      </c>
      <c r="J1066" s="365" t="s">
        <v>1228</v>
      </c>
      <c r="K1066" s="365" t="s">
        <v>1229</v>
      </c>
      <c r="L1066" s="370">
        <v>45589.733634259261</v>
      </c>
    </row>
    <row r="1067" spans="1:12" s="365" customFormat="1" hidden="1">
      <c r="A1067" s="370">
        <v>45589.73133101852</v>
      </c>
      <c r="B1067" s="365" t="s">
        <v>4301</v>
      </c>
      <c r="C1067" s="365" t="s">
        <v>4302</v>
      </c>
      <c r="D1067" s="365" t="s">
        <v>4303</v>
      </c>
      <c r="E1067" s="365" t="s">
        <v>4304</v>
      </c>
      <c r="F1067" s="365" t="s">
        <v>4305</v>
      </c>
      <c r="G1067" s="370">
        <v>45595</v>
      </c>
      <c r="H1067" s="369">
        <v>15999</v>
      </c>
      <c r="I1067" s="365" t="s">
        <v>4306</v>
      </c>
      <c r="J1067" s="365" t="s">
        <v>1228</v>
      </c>
      <c r="K1067" s="365" t="s">
        <v>1229</v>
      </c>
      <c r="L1067" s="370">
        <v>45589.733819444446</v>
      </c>
    </row>
    <row r="1068" spans="1:12" s="365" customFormat="1" hidden="1">
      <c r="A1068" s="370">
        <v>45589.769004629627</v>
      </c>
      <c r="B1068" s="365" t="s">
        <v>4328</v>
      </c>
      <c r="C1068" s="365" t="s">
        <v>1613</v>
      </c>
      <c r="D1068" s="365" t="s">
        <v>1614</v>
      </c>
      <c r="E1068" s="365" t="s">
        <v>1615</v>
      </c>
      <c r="F1068" s="365" t="s">
        <v>4329</v>
      </c>
      <c r="G1068" s="370">
        <v>45595</v>
      </c>
      <c r="H1068" s="369">
        <v>36000</v>
      </c>
      <c r="I1068" s="365" t="s">
        <v>4330</v>
      </c>
      <c r="J1068" s="365" t="s">
        <v>1228</v>
      </c>
      <c r="K1068" s="365" t="s">
        <v>1229</v>
      </c>
      <c r="L1068" s="370">
        <v>45589.772060185183</v>
      </c>
    </row>
    <row r="1069" spans="1:12" s="365" customFormat="1" hidden="1">
      <c r="A1069" s="370">
        <v>45589.797372685185</v>
      </c>
      <c r="B1069" s="365" t="s">
        <v>4396</v>
      </c>
      <c r="C1069" s="365" t="s">
        <v>1422</v>
      </c>
      <c r="D1069" s="365" t="s">
        <v>1423</v>
      </c>
      <c r="E1069" s="365" t="s">
        <v>1424</v>
      </c>
      <c r="F1069" s="365" t="s">
        <v>4397</v>
      </c>
      <c r="G1069" s="370">
        <v>45560</v>
      </c>
      <c r="H1069" s="369">
        <v>36000</v>
      </c>
      <c r="I1069" s="365" t="s">
        <v>4398</v>
      </c>
      <c r="J1069" s="365" t="s">
        <v>1228</v>
      </c>
      <c r="K1069" s="365" t="s">
        <v>1229</v>
      </c>
      <c r="L1069" s="370">
        <v>45589.799826388888</v>
      </c>
    </row>
    <row r="1070" spans="1:12" s="365" customFormat="1" hidden="1">
      <c r="A1070" s="370">
        <v>45589.832557870373</v>
      </c>
      <c r="B1070" s="365" t="s">
        <v>4399</v>
      </c>
      <c r="C1070" s="365" t="s">
        <v>1891</v>
      </c>
      <c r="D1070" s="365" t="s">
        <v>1892</v>
      </c>
      <c r="E1070" s="365" t="s">
        <v>1893</v>
      </c>
      <c r="F1070" s="365" t="s">
        <v>4400</v>
      </c>
      <c r="G1070" s="370">
        <v>45595</v>
      </c>
      <c r="H1070" s="369">
        <v>22000</v>
      </c>
      <c r="I1070" s="365" t="s">
        <v>4401</v>
      </c>
      <c r="J1070" s="365" t="s">
        <v>1228</v>
      </c>
      <c r="K1070" s="365" t="s">
        <v>1229</v>
      </c>
      <c r="L1070" s="370">
        <v>45589.834340277775</v>
      </c>
    </row>
    <row r="1071" spans="1:12" s="365" customFormat="1" hidden="1">
      <c r="A1071" s="370">
        <v>45589.864861111113</v>
      </c>
      <c r="B1071" s="365" t="s">
        <v>4331</v>
      </c>
      <c r="C1071" s="365" t="s">
        <v>1518</v>
      </c>
      <c r="D1071" s="365" t="s">
        <v>1519</v>
      </c>
      <c r="E1071" s="365" t="s">
        <v>1520</v>
      </c>
      <c r="F1071" s="365" t="s">
        <v>4332</v>
      </c>
      <c r="G1071" s="370">
        <v>45595</v>
      </c>
      <c r="H1071" s="369">
        <v>28000</v>
      </c>
      <c r="I1071" s="365" t="s">
        <v>4333</v>
      </c>
      <c r="J1071" s="365" t="s">
        <v>1228</v>
      </c>
      <c r="K1071" s="365" t="s">
        <v>1229</v>
      </c>
      <c r="L1071" s="370">
        <v>45589.865497685183</v>
      </c>
    </row>
    <row r="1072" spans="1:12" s="365" customFormat="1" hidden="1">
      <c r="A1072" s="370">
        <v>45590.267627314817</v>
      </c>
      <c r="B1072" s="365" t="s">
        <v>4402</v>
      </c>
      <c r="C1072" s="365" t="s">
        <v>4403</v>
      </c>
      <c r="D1072" s="365" t="s">
        <v>4404</v>
      </c>
      <c r="E1072" s="365" t="s">
        <v>4405</v>
      </c>
      <c r="F1072" s="365" t="s">
        <v>4406</v>
      </c>
      <c r="G1072" s="370">
        <v>45560</v>
      </c>
      <c r="H1072" s="369">
        <v>29000</v>
      </c>
      <c r="I1072" s="365" t="s">
        <v>4407</v>
      </c>
      <c r="J1072" s="365" t="s">
        <v>1228</v>
      </c>
      <c r="K1072" s="365" t="s">
        <v>1229</v>
      </c>
      <c r="L1072" s="370">
        <v>45590.267870370371</v>
      </c>
    </row>
    <row r="1073" spans="1:12" s="365" customFormat="1" hidden="1">
      <c r="A1073" s="370">
        <v>45590.269930555558</v>
      </c>
      <c r="B1073" s="365" t="s">
        <v>4408</v>
      </c>
      <c r="C1073" s="365" t="s">
        <v>4403</v>
      </c>
      <c r="D1073" s="365" t="s">
        <v>4404</v>
      </c>
      <c r="E1073" s="365" t="s">
        <v>4405</v>
      </c>
      <c r="F1073" s="365" t="s">
        <v>4409</v>
      </c>
      <c r="G1073" s="370">
        <v>45595</v>
      </c>
      <c r="H1073" s="369">
        <v>29000</v>
      </c>
      <c r="I1073" s="365" t="s">
        <v>4410</v>
      </c>
      <c r="J1073" s="365" t="s">
        <v>1228</v>
      </c>
      <c r="K1073" s="365" t="s">
        <v>1229</v>
      </c>
      <c r="L1073" s="370">
        <v>45590.27107638889</v>
      </c>
    </row>
    <row r="1074" spans="1:12" s="365" customFormat="1" hidden="1">
      <c r="A1074" s="370">
        <v>45590.330810185187</v>
      </c>
      <c r="B1074" s="365" t="s">
        <v>4411</v>
      </c>
      <c r="C1074" s="365" t="s">
        <v>2057</v>
      </c>
      <c r="D1074" s="365" t="s">
        <v>2058</v>
      </c>
      <c r="E1074" s="365" t="s">
        <v>2059</v>
      </c>
      <c r="F1074" s="365" t="s">
        <v>4412</v>
      </c>
      <c r="G1074" s="370">
        <v>45595</v>
      </c>
      <c r="H1074" s="369">
        <v>15000</v>
      </c>
      <c r="I1074" s="365" t="s">
        <v>4413</v>
      </c>
      <c r="J1074" s="365" t="s">
        <v>1228</v>
      </c>
      <c r="K1074" s="365" t="s">
        <v>1229</v>
      </c>
      <c r="L1074" s="370">
        <v>45590.333761574075</v>
      </c>
    </row>
    <row r="1075" spans="1:12" s="365" customFormat="1" hidden="1">
      <c r="A1075" s="370">
        <v>45590.349039351851</v>
      </c>
      <c r="B1075" s="365" t="s">
        <v>4446</v>
      </c>
      <c r="C1075" s="365" t="s">
        <v>1475</v>
      </c>
      <c r="D1075" s="365" t="s">
        <v>1476</v>
      </c>
      <c r="E1075" s="365" t="s">
        <v>1477</v>
      </c>
      <c r="F1075" s="365" t="s">
        <v>4447</v>
      </c>
      <c r="G1075" s="370">
        <v>45595</v>
      </c>
      <c r="H1075" s="369">
        <v>15000</v>
      </c>
      <c r="I1075" s="365" t="s">
        <v>4448</v>
      </c>
      <c r="J1075" s="365" t="s">
        <v>1228</v>
      </c>
      <c r="K1075" s="365" t="s">
        <v>1229</v>
      </c>
      <c r="L1075" s="370">
        <v>45590.351226851853</v>
      </c>
    </row>
    <row r="1076" spans="1:12" s="365" customFormat="1" hidden="1">
      <c r="A1076" s="370">
        <v>45590.353888888887</v>
      </c>
      <c r="B1076" s="365" t="s">
        <v>4474</v>
      </c>
      <c r="C1076" s="365" t="s">
        <v>4450</v>
      </c>
      <c r="D1076" s="365" t="s">
        <v>4451</v>
      </c>
      <c r="E1076" s="365" t="s">
        <v>4452</v>
      </c>
      <c r="F1076" s="365" t="s">
        <v>4475</v>
      </c>
      <c r="G1076" s="370">
        <v>45560</v>
      </c>
      <c r="H1076" s="369">
        <v>33000</v>
      </c>
      <c r="I1076" s="365" t="s">
        <v>4476</v>
      </c>
      <c r="J1076" s="365" t="s">
        <v>1228</v>
      </c>
      <c r="K1076" s="365" t="s">
        <v>1229</v>
      </c>
      <c r="L1076" s="370">
        <v>45590.354432870372</v>
      </c>
    </row>
    <row r="1077" spans="1:12" s="365" customFormat="1" hidden="1">
      <c r="A1077" s="370">
        <v>45590.354583333334</v>
      </c>
      <c r="B1077" s="365" t="s">
        <v>4449</v>
      </c>
      <c r="C1077" s="365" t="s">
        <v>4450</v>
      </c>
      <c r="D1077" s="365" t="s">
        <v>4451</v>
      </c>
      <c r="E1077" s="365" t="s">
        <v>4452</v>
      </c>
      <c r="F1077" s="365" t="s">
        <v>4453</v>
      </c>
      <c r="G1077" s="370">
        <v>45595</v>
      </c>
      <c r="H1077" s="369">
        <v>33000</v>
      </c>
      <c r="I1077" s="365" t="s">
        <v>4454</v>
      </c>
      <c r="J1077" s="365" t="s">
        <v>1228</v>
      </c>
      <c r="K1077" s="365" t="s">
        <v>1229</v>
      </c>
      <c r="L1077" s="370">
        <v>45590.357986111114</v>
      </c>
    </row>
    <row r="1078" spans="1:12" s="365" customFormat="1" hidden="1">
      <c r="A1078" s="370">
        <v>45590.367361111108</v>
      </c>
      <c r="B1078" s="365" t="s">
        <v>4414</v>
      </c>
      <c r="C1078" s="365" t="s">
        <v>1678</v>
      </c>
      <c r="D1078" s="365" t="s">
        <v>4415</v>
      </c>
      <c r="E1078" s="365" t="s">
        <v>4416</v>
      </c>
      <c r="F1078" s="365" t="s">
        <v>4417</v>
      </c>
      <c r="G1078" s="370">
        <v>45560</v>
      </c>
      <c r="H1078" s="369">
        <v>10001</v>
      </c>
      <c r="I1078" s="365" t="s">
        <v>4418</v>
      </c>
      <c r="J1078" s="365" t="s">
        <v>1228</v>
      </c>
      <c r="K1078" s="365" t="s">
        <v>1229</v>
      </c>
      <c r="L1078" s="370">
        <v>45590.368344907409</v>
      </c>
    </row>
    <row r="1079" spans="1:12" s="365" customFormat="1" hidden="1">
      <c r="A1079" s="370">
        <v>45590.367766203701</v>
      </c>
      <c r="B1079" s="365" t="s">
        <v>4455</v>
      </c>
      <c r="C1079" s="365" t="s">
        <v>1678</v>
      </c>
      <c r="D1079" s="365" t="s">
        <v>4415</v>
      </c>
      <c r="E1079" s="365" t="s">
        <v>4416</v>
      </c>
      <c r="F1079" s="365" t="s">
        <v>4456</v>
      </c>
      <c r="G1079" s="370">
        <v>45595</v>
      </c>
      <c r="H1079" s="369">
        <v>10001</v>
      </c>
      <c r="I1079" s="365" t="s">
        <v>4457</v>
      </c>
      <c r="J1079" s="365" t="s">
        <v>1228</v>
      </c>
      <c r="K1079" s="365" t="s">
        <v>1229</v>
      </c>
      <c r="L1079" s="370">
        <v>45590.368530092594</v>
      </c>
    </row>
    <row r="1080" spans="1:12" s="365" customFormat="1" hidden="1">
      <c r="A1080" s="370">
        <v>45590.389710648145</v>
      </c>
      <c r="B1080" s="365" t="s">
        <v>4477</v>
      </c>
      <c r="C1080" s="365" t="s">
        <v>1701</v>
      </c>
      <c r="D1080" s="365" t="s">
        <v>1702</v>
      </c>
      <c r="E1080" s="365" t="s">
        <v>1703</v>
      </c>
      <c r="F1080" s="365" t="s">
        <v>4478</v>
      </c>
      <c r="G1080" s="370">
        <v>45498</v>
      </c>
      <c r="H1080" s="369">
        <v>15999</v>
      </c>
      <c r="I1080" s="365" t="s">
        <v>4479</v>
      </c>
      <c r="J1080" s="365" t="s">
        <v>1228</v>
      </c>
      <c r="K1080" s="365" t="s">
        <v>1229</v>
      </c>
      <c r="L1080" s="370">
        <v>45590.392812500002</v>
      </c>
    </row>
    <row r="1081" spans="1:12" s="365" customFormat="1" hidden="1">
      <c r="A1081" s="370">
        <v>45590.390243055554</v>
      </c>
      <c r="B1081" s="365" t="s">
        <v>4419</v>
      </c>
      <c r="C1081" s="365" t="s">
        <v>2031</v>
      </c>
      <c r="D1081" s="365" t="s">
        <v>2032</v>
      </c>
      <c r="E1081" s="365" t="s">
        <v>2033</v>
      </c>
      <c r="F1081" s="365" t="s">
        <v>4420</v>
      </c>
      <c r="G1081" s="370">
        <v>45595</v>
      </c>
      <c r="H1081" s="369">
        <v>15999</v>
      </c>
      <c r="I1081" s="365" t="s">
        <v>4421</v>
      </c>
      <c r="J1081" s="365" t="s">
        <v>1228</v>
      </c>
      <c r="K1081" s="365" t="s">
        <v>1229</v>
      </c>
      <c r="L1081" s="370">
        <v>45590.392627314817</v>
      </c>
    </row>
    <row r="1082" spans="1:12" s="365" customFormat="1" hidden="1">
      <c r="A1082" s="370">
        <v>45590.39707175926</v>
      </c>
      <c r="B1082" s="365" t="s">
        <v>4480</v>
      </c>
      <c r="C1082" s="365" t="s">
        <v>2031</v>
      </c>
      <c r="D1082" s="365" t="s">
        <v>2698</v>
      </c>
      <c r="E1082" s="365" t="s">
        <v>2699</v>
      </c>
      <c r="F1082" s="365" t="s">
        <v>4481</v>
      </c>
      <c r="G1082" s="370">
        <v>45595</v>
      </c>
      <c r="H1082" s="369">
        <v>15999</v>
      </c>
      <c r="I1082" s="365" t="s">
        <v>4482</v>
      </c>
      <c r="J1082" s="365" t="s">
        <v>1228</v>
      </c>
      <c r="K1082" s="365" t="s">
        <v>1229</v>
      </c>
      <c r="L1082" s="370">
        <v>45590.399918981479</v>
      </c>
    </row>
    <row r="1083" spans="1:12" s="365" customFormat="1" hidden="1">
      <c r="A1083" s="370">
        <v>45590.397928240738</v>
      </c>
      <c r="B1083" s="365" t="s">
        <v>4422</v>
      </c>
      <c r="C1083" s="365" t="s">
        <v>1468</v>
      </c>
      <c r="D1083" s="365" t="s">
        <v>1469</v>
      </c>
      <c r="E1083" s="365" t="s">
        <v>1470</v>
      </c>
      <c r="F1083" s="365" t="s">
        <v>4423</v>
      </c>
      <c r="G1083" s="370">
        <v>45595</v>
      </c>
      <c r="H1083" s="369">
        <v>135000</v>
      </c>
      <c r="I1083" s="365" t="s">
        <v>4424</v>
      </c>
      <c r="J1083" s="365" t="s">
        <v>1228</v>
      </c>
      <c r="K1083" s="365" t="s">
        <v>1229</v>
      </c>
      <c r="L1083" s="370">
        <v>45590.399745370371</v>
      </c>
    </row>
    <row r="1084" spans="1:12" s="365" customFormat="1" hidden="1">
      <c r="A1084" s="370">
        <v>45590.404502314814</v>
      </c>
      <c r="B1084" s="365" t="s">
        <v>4483</v>
      </c>
      <c r="C1084" s="365" t="s">
        <v>1619</v>
      </c>
      <c r="D1084" s="365" t="s">
        <v>1620</v>
      </c>
      <c r="E1084" s="365" t="s">
        <v>1621</v>
      </c>
      <c r="F1084" s="365" t="s">
        <v>4484</v>
      </c>
      <c r="G1084" s="370">
        <v>45595</v>
      </c>
      <c r="H1084" s="369">
        <v>24000</v>
      </c>
      <c r="I1084" s="365" t="s">
        <v>4485</v>
      </c>
      <c r="J1084" s="365" t="s">
        <v>1228</v>
      </c>
      <c r="K1084" s="365" t="s">
        <v>1229</v>
      </c>
      <c r="L1084" s="370">
        <v>45590.406493055554</v>
      </c>
    </row>
    <row r="1085" spans="1:12" s="365" customFormat="1" hidden="1">
      <c r="A1085" s="370">
        <v>45590.448414351849</v>
      </c>
      <c r="B1085" s="365" t="s">
        <v>4458</v>
      </c>
      <c r="C1085" s="365" t="s">
        <v>1515</v>
      </c>
      <c r="D1085" s="365" t="s">
        <v>1516</v>
      </c>
      <c r="E1085" s="365" t="s">
        <v>1517</v>
      </c>
      <c r="F1085" s="365" t="s">
        <v>4459</v>
      </c>
      <c r="G1085" s="370">
        <v>45595</v>
      </c>
      <c r="H1085" s="369">
        <v>46000</v>
      </c>
      <c r="I1085" s="365" t="s">
        <v>4460</v>
      </c>
      <c r="J1085" s="365" t="s">
        <v>1228</v>
      </c>
      <c r="K1085" s="365" t="s">
        <v>1229</v>
      </c>
      <c r="L1085" s="370">
        <v>45590.451701388891</v>
      </c>
    </row>
    <row r="1086" spans="1:12" s="365" customFormat="1" hidden="1">
      <c r="A1086" s="370">
        <v>45590.456180555557</v>
      </c>
      <c r="B1086" s="365" t="s">
        <v>4425</v>
      </c>
      <c r="C1086" s="365" t="s">
        <v>1778</v>
      </c>
      <c r="D1086" s="365" t="s">
        <v>1779</v>
      </c>
      <c r="E1086" s="365" t="s">
        <v>1780</v>
      </c>
      <c r="F1086" s="365" t="s">
        <v>4426</v>
      </c>
      <c r="G1086" s="370">
        <v>45595</v>
      </c>
      <c r="H1086" s="369">
        <v>57000</v>
      </c>
      <c r="I1086" s="365" t="s">
        <v>4427</v>
      </c>
      <c r="J1086" s="365" t="s">
        <v>1228</v>
      </c>
      <c r="K1086" s="365" t="s">
        <v>1229</v>
      </c>
      <c r="L1086" s="370">
        <v>45590.458807870367</v>
      </c>
    </row>
    <row r="1087" spans="1:12" s="365" customFormat="1" hidden="1">
      <c r="A1087" s="370">
        <v>45590.532013888886</v>
      </c>
      <c r="B1087" s="365" t="s">
        <v>4428</v>
      </c>
      <c r="C1087" s="365" t="s">
        <v>4429</v>
      </c>
      <c r="D1087" s="365" t="s">
        <v>4430</v>
      </c>
      <c r="E1087" s="365" t="s">
        <v>4431</v>
      </c>
      <c r="F1087" s="365" t="s">
        <v>4432</v>
      </c>
      <c r="G1087" s="370">
        <v>45595</v>
      </c>
      <c r="H1087" s="369">
        <v>9000</v>
      </c>
      <c r="I1087" s="365" t="s">
        <v>4433</v>
      </c>
      <c r="J1087" s="365" t="s">
        <v>1228</v>
      </c>
      <c r="K1087" s="365" t="s">
        <v>1229</v>
      </c>
      <c r="L1087" s="370">
        <v>45590.534837962965</v>
      </c>
    </row>
    <row r="1088" spans="1:12" s="365" customFormat="1" hidden="1">
      <c r="A1088" s="370">
        <v>45590.543090277781</v>
      </c>
      <c r="B1088" s="365" t="s">
        <v>4434</v>
      </c>
      <c r="C1088" s="365" t="s">
        <v>1558</v>
      </c>
      <c r="D1088" s="365" t="s">
        <v>1559</v>
      </c>
      <c r="E1088" s="365" t="s">
        <v>1560</v>
      </c>
      <c r="F1088" s="365" t="s">
        <v>4435</v>
      </c>
      <c r="G1088" s="370">
        <v>45595</v>
      </c>
      <c r="H1088" s="369">
        <v>23000</v>
      </c>
      <c r="I1088" s="365" t="s">
        <v>4436</v>
      </c>
      <c r="J1088" s="365" t="s">
        <v>1228</v>
      </c>
      <c r="K1088" s="365" t="s">
        <v>1229</v>
      </c>
      <c r="L1088" s="370">
        <v>45590.545682870368</v>
      </c>
    </row>
    <row r="1089" spans="1:12" s="365" customFormat="1" hidden="1">
      <c r="A1089" s="370">
        <v>45590.547291666669</v>
      </c>
      <c r="B1089" s="365" t="s">
        <v>4437</v>
      </c>
      <c r="C1089" s="365" t="s">
        <v>1589</v>
      </c>
      <c r="D1089" s="365" t="s">
        <v>1590</v>
      </c>
      <c r="E1089" s="365" t="s">
        <v>1591</v>
      </c>
      <c r="F1089" s="365" t="s">
        <v>4438</v>
      </c>
      <c r="G1089" s="370">
        <v>45595</v>
      </c>
      <c r="H1089" s="369">
        <v>30000</v>
      </c>
      <c r="I1089" s="365" t="s">
        <v>4439</v>
      </c>
      <c r="J1089" s="365" t="s">
        <v>1228</v>
      </c>
      <c r="K1089" s="365" t="s">
        <v>1229</v>
      </c>
      <c r="L1089" s="370">
        <v>45590.548738425925</v>
      </c>
    </row>
    <row r="1090" spans="1:12" s="365" customFormat="1" hidden="1">
      <c r="A1090" s="370">
        <v>45590.548506944448</v>
      </c>
      <c r="B1090" s="365" t="s">
        <v>4486</v>
      </c>
      <c r="C1090" s="365" t="s">
        <v>1589</v>
      </c>
      <c r="D1090" s="365" t="s">
        <v>1590</v>
      </c>
      <c r="E1090" s="365" t="s">
        <v>1591</v>
      </c>
      <c r="F1090" s="365" t="s">
        <v>4487</v>
      </c>
      <c r="G1090" s="370">
        <v>45560</v>
      </c>
      <c r="H1090" s="369">
        <v>30000</v>
      </c>
      <c r="I1090" s="365" t="s">
        <v>4488</v>
      </c>
      <c r="J1090" s="365" t="s">
        <v>1228</v>
      </c>
      <c r="K1090" s="365" t="s">
        <v>1229</v>
      </c>
      <c r="L1090" s="370">
        <v>45590.548750000002</v>
      </c>
    </row>
    <row r="1091" spans="1:12" s="365" customFormat="1" hidden="1">
      <c r="A1091" s="370">
        <v>45590.560601851852</v>
      </c>
      <c r="B1091" s="365" t="s">
        <v>4489</v>
      </c>
      <c r="C1091" s="365" t="s">
        <v>1285</v>
      </c>
      <c r="D1091" s="365" t="s">
        <v>1286</v>
      </c>
      <c r="E1091" s="365" t="s">
        <v>1287</v>
      </c>
      <c r="F1091" s="365" t="s">
        <v>4490</v>
      </c>
      <c r="G1091" s="370">
        <v>45595</v>
      </c>
      <c r="H1091" s="369">
        <v>15000</v>
      </c>
      <c r="I1091" s="365" t="s">
        <v>4491</v>
      </c>
      <c r="J1091" s="365" t="s">
        <v>1228</v>
      </c>
      <c r="K1091" s="365" t="s">
        <v>1229</v>
      </c>
      <c r="L1091" s="370">
        <v>45590.5627662037</v>
      </c>
    </row>
    <row r="1092" spans="1:12" s="365" customFormat="1" hidden="1">
      <c r="A1092" s="370">
        <v>45590.572754629633</v>
      </c>
      <c r="B1092" s="365" t="s">
        <v>4492</v>
      </c>
      <c r="C1092" s="365" t="s">
        <v>1230</v>
      </c>
      <c r="D1092" s="365" t="s">
        <v>4493</v>
      </c>
      <c r="E1092" s="365" t="s">
        <v>4494</v>
      </c>
      <c r="F1092" s="365" t="s">
        <v>4495</v>
      </c>
      <c r="G1092" s="370">
        <v>45560</v>
      </c>
      <c r="H1092" s="369">
        <v>20999</v>
      </c>
      <c r="I1092" s="365" t="s">
        <v>4496</v>
      </c>
      <c r="J1092" s="365" t="s">
        <v>1228</v>
      </c>
      <c r="K1092" s="365" t="s">
        <v>1229</v>
      </c>
      <c r="L1092" s="370">
        <v>45590.573449074072</v>
      </c>
    </row>
    <row r="1093" spans="1:12" s="365" customFormat="1" hidden="1">
      <c r="A1093" s="370">
        <v>45590.576145833336</v>
      </c>
      <c r="B1093" s="365" t="s">
        <v>4497</v>
      </c>
      <c r="C1093" s="365" t="s">
        <v>1325</v>
      </c>
      <c r="D1093" s="365" t="s">
        <v>1326</v>
      </c>
      <c r="E1093" s="365" t="s">
        <v>1327</v>
      </c>
      <c r="F1093" s="365" t="s">
        <v>4498</v>
      </c>
      <c r="G1093" s="370">
        <v>45560</v>
      </c>
      <c r="H1093" s="369">
        <v>48000</v>
      </c>
      <c r="I1093" s="365" t="s">
        <v>4499</v>
      </c>
      <c r="J1093" s="365" t="s">
        <v>1228</v>
      </c>
      <c r="K1093" s="365" t="s">
        <v>1229</v>
      </c>
      <c r="L1093" s="370">
        <v>45590.576655092591</v>
      </c>
    </row>
    <row r="1094" spans="1:12" s="365" customFormat="1" hidden="1">
      <c r="A1094" s="370">
        <v>45590.61383101852</v>
      </c>
      <c r="B1094" s="365" t="s">
        <v>4500</v>
      </c>
      <c r="C1094" s="365" t="s">
        <v>4501</v>
      </c>
      <c r="D1094" s="365" t="s">
        <v>4502</v>
      </c>
      <c r="E1094" s="365" t="s">
        <v>4503</v>
      </c>
      <c r="F1094" s="365" t="s">
        <v>4504</v>
      </c>
      <c r="G1094" s="370">
        <v>45595</v>
      </c>
      <c r="H1094" s="369">
        <v>48000</v>
      </c>
      <c r="I1094" s="365" t="s">
        <v>4505</v>
      </c>
      <c r="J1094" s="365" t="s">
        <v>1228</v>
      </c>
      <c r="K1094" s="365" t="s">
        <v>1229</v>
      </c>
      <c r="L1094" s="370">
        <v>45590.615081018521</v>
      </c>
    </row>
    <row r="1095" spans="1:12" s="365" customFormat="1" hidden="1">
      <c r="A1095" s="370">
        <v>45590.623437499999</v>
      </c>
      <c r="B1095" s="365" t="s">
        <v>4506</v>
      </c>
      <c r="C1095" s="365" t="s">
        <v>1708</v>
      </c>
      <c r="D1095" s="365" t="s">
        <v>1709</v>
      </c>
      <c r="E1095" s="365" t="s">
        <v>1710</v>
      </c>
      <c r="F1095" s="365" t="s">
        <v>4507</v>
      </c>
      <c r="G1095" s="370">
        <v>45595</v>
      </c>
      <c r="H1095" s="369">
        <v>20999</v>
      </c>
      <c r="I1095" s="365" t="s">
        <v>4508</v>
      </c>
      <c r="J1095" s="365" t="s">
        <v>1228</v>
      </c>
      <c r="K1095" s="365" t="s">
        <v>1229</v>
      </c>
      <c r="L1095" s="370">
        <v>45590.625405092593</v>
      </c>
    </row>
    <row r="1096" spans="1:12" s="365" customFormat="1" hidden="1">
      <c r="A1096" s="370">
        <v>45590.628344907411</v>
      </c>
      <c r="B1096" s="365" t="s">
        <v>4461</v>
      </c>
      <c r="C1096" s="365" t="s">
        <v>1363</v>
      </c>
      <c r="D1096" s="365" t="s">
        <v>1364</v>
      </c>
      <c r="E1096" s="365" t="s">
        <v>1365</v>
      </c>
      <c r="F1096" s="365" t="s">
        <v>4462</v>
      </c>
      <c r="G1096" s="370">
        <v>45595</v>
      </c>
      <c r="H1096" s="369">
        <v>23500</v>
      </c>
      <c r="I1096" s="365" t="s">
        <v>4463</v>
      </c>
      <c r="J1096" s="365" t="s">
        <v>1228</v>
      </c>
      <c r="K1096" s="365" t="s">
        <v>1229</v>
      </c>
      <c r="L1096" s="370">
        <v>45590.628958333335</v>
      </c>
    </row>
    <row r="1097" spans="1:12" s="365" customFormat="1" hidden="1">
      <c r="A1097" s="370">
        <v>45590.644618055558</v>
      </c>
      <c r="B1097" s="365" t="s">
        <v>4464</v>
      </c>
      <c r="C1097" s="365" t="s">
        <v>4465</v>
      </c>
      <c r="D1097" s="365" t="s">
        <v>1808</v>
      </c>
      <c r="E1097" s="365" t="s">
        <v>1809</v>
      </c>
      <c r="F1097" s="365" t="s">
        <v>4466</v>
      </c>
      <c r="G1097" s="370">
        <v>45595</v>
      </c>
      <c r="H1097" s="369">
        <v>39000</v>
      </c>
      <c r="I1097" s="365" t="s">
        <v>4467</v>
      </c>
      <c r="J1097" s="365" t="s">
        <v>1228</v>
      </c>
      <c r="K1097" s="365" t="s">
        <v>1229</v>
      </c>
      <c r="L1097" s="370">
        <v>45590.646053240744</v>
      </c>
    </row>
    <row r="1098" spans="1:12" s="365" customFormat="1" hidden="1">
      <c r="A1098" s="370">
        <v>45590.649629629632</v>
      </c>
      <c r="B1098" s="365" t="s">
        <v>4509</v>
      </c>
      <c r="C1098" s="365" t="s">
        <v>4510</v>
      </c>
      <c r="D1098" s="365" t="s">
        <v>1553</v>
      </c>
      <c r="E1098" s="365" t="s">
        <v>1554</v>
      </c>
      <c r="F1098" s="365" t="s">
        <v>4511</v>
      </c>
      <c r="G1098" s="370">
        <v>45595</v>
      </c>
      <c r="H1098" s="369">
        <v>15999</v>
      </c>
      <c r="I1098" s="365" t="s">
        <v>4512</v>
      </c>
      <c r="J1098" s="365" t="s">
        <v>1228</v>
      </c>
      <c r="K1098" s="365" t="s">
        <v>1229</v>
      </c>
      <c r="L1098" s="370">
        <v>45590.653171296297</v>
      </c>
    </row>
    <row r="1099" spans="1:12" s="365" customFormat="1" hidden="1">
      <c r="A1099" s="370">
        <v>45590.658148148148</v>
      </c>
      <c r="B1099" s="365" t="s">
        <v>4468</v>
      </c>
      <c r="C1099" s="365" t="s">
        <v>1688</v>
      </c>
      <c r="D1099" s="365" t="s">
        <v>1689</v>
      </c>
      <c r="E1099" s="365" t="s">
        <v>1690</v>
      </c>
      <c r="F1099" s="365" t="s">
        <v>4469</v>
      </c>
      <c r="G1099" s="370">
        <v>45595</v>
      </c>
      <c r="H1099" s="369">
        <v>27000</v>
      </c>
      <c r="I1099" s="365" t="s">
        <v>4470</v>
      </c>
      <c r="J1099" s="365" t="s">
        <v>1228</v>
      </c>
      <c r="K1099" s="365" t="s">
        <v>1229</v>
      </c>
      <c r="L1099" s="370">
        <v>45590.659930555557</v>
      </c>
    </row>
    <row r="1100" spans="1:12" s="365" customFormat="1" hidden="1">
      <c r="A1100" s="370">
        <v>45590.672418981485</v>
      </c>
      <c r="B1100" s="365" t="s">
        <v>4440</v>
      </c>
      <c r="C1100" s="365" t="s">
        <v>1386</v>
      </c>
      <c r="D1100" s="365" t="s">
        <v>1387</v>
      </c>
      <c r="E1100" s="365" t="s">
        <v>1388</v>
      </c>
      <c r="F1100" s="365" t="s">
        <v>4441</v>
      </c>
      <c r="G1100" s="370">
        <v>45595</v>
      </c>
      <c r="H1100" s="369">
        <v>25000</v>
      </c>
      <c r="I1100" s="365" t="s">
        <v>4442</v>
      </c>
      <c r="J1100" s="365" t="s">
        <v>1228</v>
      </c>
      <c r="K1100" s="365" t="s">
        <v>1229</v>
      </c>
      <c r="L1100" s="370">
        <v>45590.673831018517</v>
      </c>
    </row>
    <row r="1101" spans="1:12" s="365" customFormat="1" hidden="1">
      <c r="A1101" s="370">
        <v>45590.673379629632</v>
      </c>
      <c r="B1101" s="365" t="s">
        <v>4471</v>
      </c>
      <c r="C1101" s="365" t="s">
        <v>1386</v>
      </c>
      <c r="D1101" s="365" t="s">
        <v>1387</v>
      </c>
      <c r="E1101" s="365" t="s">
        <v>1388</v>
      </c>
      <c r="F1101" s="365" t="s">
        <v>4472</v>
      </c>
      <c r="G1101" s="370">
        <v>45530</v>
      </c>
      <c r="H1101" s="369">
        <v>25000</v>
      </c>
      <c r="I1101" s="365" t="s">
        <v>4473</v>
      </c>
      <c r="J1101" s="365" t="s">
        <v>1228</v>
      </c>
      <c r="K1101" s="365" t="s">
        <v>1229</v>
      </c>
      <c r="L1101" s="370">
        <v>45590.674016203702</v>
      </c>
    </row>
    <row r="1102" spans="1:12" s="365" customFormat="1" hidden="1">
      <c r="A1102" s="370">
        <v>45590.674513888887</v>
      </c>
      <c r="B1102" s="365" t="s">
        <v>4513</v>
      </c>
      <c r="C1102" s="365" t="s">
        <v>4514</v>
      </c>
      <c r="D1102" s="365" t="s">
        <v>4515</v>
      </c>
      <c r="E1102" s="365" t="s">
        <v>4516</v>
      </c>
      <c r="F1102" s="365" t="s">
        <v>4517</v>
      </c>
      <c r="G1102" s="370">
        <v>45595</v>
      </c>
      <c r="H1102" s="369">
        <v>28000</v>
      </c>
      <c r="I1102" s="365" t="s">
        <v>4518</v>
      </c>
      <c r="J1102" s="365" t="s">
        <v>1228</v>
      </c>
      <c r="K1102" s="365" t="s">
        <v>1229</v>
      </c>
      <c r="L1102" s="370">
        <v>45590.677372685182</v>
      </c>
    </row>
    <row r="1103" spans="1:12" s="365" customFormat="1" hidden="1">
      <c r="A1103" s="370">
        <v>45590.684016203704</v>
      </c>
      <c r="B1103" s="365" t="s">
        <v>4443</v>
      </c>
      <c r="C1103" s="365" t="s">
        <v>1282</v>
      </c>
      <c r="D1103" s="365" t="s">
        <v>1283</v>
      </c>
      <c r="E1103" s="365" t="s">
        <v>1284</v>
      </c>
      <c r="F1103" s="365" t="s">
        <v>4444</v>
      </c>
      <c r="G1103" s="370">
        <v>45595</v>
      </c>
      <c r="H1103" s="369">
        <v>23400</v>
      </c>
      <c r="I1103" s="365" t="s">
        <v>4445</v>
      </c>
      <c r="J1103" s="365" t="s">
        <v>1228</v>
      </c>
      <c r="K1103" s="365" t="s">
        <v>1229</v>
      </c>
      <c r="L1103" s="370">
        <v>45590.684490740743</v>
      </c>
    </row>
    <row r="1104" spans="1:12" s="365" customFormat="1" hidden="1">
      <c r="A1104" s="370">
        <v>45590.704525462963</v>
      </c>
      <c r="B1104" s="365" t="s">
        <v>4519</v>
      </c>
      <c r="C1104" s="365" t="s">
        <v>1879</v>
      </c>
      <c r="D1104" s="365" t="s">
        <v>1880</v>
      </c>
      <c r="E1104" s="365" t="s">
        <v>1881</v>
      </c>
      <c r="F1104" s="365" t="s">
        <v>4520</v>
      </c>
      <c r="G1104" s="370">
        <v>45498</v>
      </c>
      <c r="H1104" s="369">
        <v>25000</v>
      </c>
      <c r="I1104" s="365" t="s">
        <v>4521</v>
      </c>
      <c r="J1104" s="365" t="s">
        <v>1228</v>
      </c>
      <c r="K1104" s="365" t="s">
        <v>1229</v>
      </c>
      <c r="L1104" s="370">
        <v>45590.705150462964</v>
      </c>
    </row>
    <row r="1105" spans="1:12" s="365" customFormat="1" hidden="1">
      <c r="A1105" s="370">
        <v>45590.709918981483</v>
      </c>
      <c r="B1105" s="365" t="s">
        <v>4522</v>
      </c>
      <c r="C1105" s="365" t="s">
        <v>4523</v>
      </c>
      <c r="D1105" s="365" t="s">
        <v>4524</v>
      </c>
      <c r="E1105" s="365" t="s">
        <v>4525</v>
      </c>
      <c r="F1105" s="365" t="s">
        <v>4526</v>
      </c>
      <c r="G1105" s="370">
        <v>45595</v>
      </c>
      <c r="H1105" s="369">
        <v>31999</v>
      </c>
      <c r="I1105" s="365" t="s">
        <v>4527</v>
      </c>
      <c r="J1105" s="365" t="s">
        <v>1228</v>
      </c>
      <c r="K1105" s="365" t="s">
        <v>1229</v>
      </c>
      <c r="L1105" s="370">
        <v>45590.712268518517</v>
      </c>
    </row>
    <row r="1106" spans="1:12" s="365" customFormat="1" hidden="1">
      <c r="A1106" s="370">
        <v>45590.765821759262</v>
      </c>
      <c r="B1106" s="365" t="s">
        <v>4528</v>
      </c>
      <c r="C1106" s="365" t="s">
        <v>2571</v>
      </c>
      <c r="D1106" s="365" t="s">
        <v>2572</v>
      </c>
      <c r="E1106" s="365" t="s">
        <v>2573</v>
      </c>
      <c r="F1106" s="365" t="s">
        <v>4529</v>
      </c>
      <c r="G1106" s="370">
        <v>45595</v>
      </c>
      <c r="H1106" s="369">
        <v>12000</v>
      </c>
      <c r="I1106" s="365" t="s">
        <v>4530</v>
      </c>
      <c r="J1106" s="365" t="s">
        <v>1228</v>
      </c>
      <c r="K1106" s="365" t="s">
        <v>1229</v>
      </c>
      <c r="L1106" s="370">
        <v>45590.767800925925</v>
      </c>
    </row>
    <row r="1107" spans="1:12" s="365" customFormat="1" hidden="1">
      <c r="A1107" s="370">
        <v>45591.320405092592</v>
      </c>
      <c r="B1107" s="365" t="s">
        <v>4556</v>
      </c>
      <c r="C1107" s="365" t="s">
        <v>4557</v>
      </c>
      <c r="D1107" s="365" t="s">
        <v>4558</v>
      </c>
      <c r="E1107" s="365" t="s">
        <v>4559</v>
      </c>
      <c r="F1107" s="365" t="s">
        <v>4560</v>
      </c>
      <c r="G1107" s="370">
        <v>45595</v>
      </c>
      <c r="H1107" s="369">
        <v>33500</v>
      </c>
      <c r="I1107" s="365" t="s">
        <v>4561</v>
      </c>
      <c r="J1107" s="365" t="s">
        <v>1228</v>
      </c>
      <c r="K1107" s="365" t="s">
        <v>1229</v>
      </c>
      <c r="L1107" s="370">
        <v>45591.323425925926</v>
      </c>
    </row>
    <row r="1108" spans="1:12" s="365" customFormat="1" hidden="1">
      <c r="A1108" s="370">
        <v>45591.404687499999</v>
      </c>
      <c r="B1108" s="365" t="s">
        <v>4550</v>
      </c>
      <c r="C1108" s="365" t="s">
        <v>4551</v>
      </c>
      <c r="D1108" s="365" t="s">
        <v>4552</v>
      </c>
      <c r="E1108" s="365" t="s">
        <v>4553</v>
      </c>
      <c r="F1108" s="365" t="s">
        <v>4554</v>
      </c>
      <c r="G1108" s="370">
        <v>45595</v>
      </c>
      <c r="H1108" s="369">
        <v>46000</v>
      </c>
      <c r="I1108" s="365" t="s">
        <v>4555</v>
      </c>
      <c r="J1108" s="365" t="s">
        <v>1228</v>
      </c>
      <c r="K1108" s="365" t="s">
        <v>1229</v>
      </c>
      <c r="L1108" s="370">
        <v>45591.406736111108</v>
      </c>
    </row>
    <row r="1109" spans="1:12" s="365" customFormat="1" hidden="1">
      <c r="A1109" s="370">
        <v>45591.430173611108</v>
      </c>
      <c r="B1109" s="365" t="s">
        <v>4531</v>
      </c>
      <c r="C1109" s="365" t="s">
        <v>2321</v>
      </c>
      <c r="D1109" s="365" t="s">
        <v>2322</v>
      </c>
      <c r="E1109" s="365" t="s">
        <v>2323</v>
      </c>
      <c r="F1109" s="365" t="s">
        <v>4532</v>
      </c>
      <c r="G1109" s="370">
        <v>45595</v>
      </c>
      <c r="H1109" s="369">
        <v>15999</v>
      </c>
      <c r="I1109" s="365" t="s">
        <v>4533</v>
      </c>
      <c r="J1109" s="365" t="s">
        <v>1228</v>
      </c>
      <c r="K1109" s="365" t="s">
        <v>1229</v>
      </c>
      <c r="L1109" s="370">
        <v>45591.430949074071</v>
      </c>
    </row>
    <row r="1110" spans="1:12" s="365" customFormat="1" hidden="1">
      <c r="A1110" s="370">
        <v>45591.43409722222</v>
      </c>
      <c r="B1110" s="365" t="s">
        <v>4562</v>
      </c>
      <c r="C1110" s="365" t="s">
        <v>1725</v>
      </c>
      <c r="D1110" s="365" t="s">
        <v>1726</v>
      </c>
      <c r="E1110" s="365" t="s">
        <v>1727</v>
      </c>
      <c r="F1110" s="365" t="s">
        <v>4563</v>
      </c>
      <c r="G1110" s="370">
        <v>45595</v>
      </c>
      <c r="H1110" s="369">
        <v>15000</v>
      </c>
      <c r="I1110" s="365" t="s">
        <v>4564</v>
      </c>
      <c r="J1110" s="365" t="s">
        <v>1228</v>
      </c>
      <c r="K1110" s="365" t="s">
        <v>1229</v>
      </c>
      <c r="L1110" s="370">
        <v>45591.434513888889</v>
      </c>
    </row>
    <row r="1111" spans="1:12" s="365" customFormat="1" hidden="1">
      <c r="A1111" s="370">
        <v>45591.434178240743</v>
      </c>
      <c r="B1111" s="365" t="s">
        <v>4565</v>
      </c>
      <c r="C1111" s="365" t="s">
        <v>4566</v>
      </c>
      <c r="D1111" s="365" t="s">
        <v>4567</v>
      </c>
      <c r="E1111" s="365" t="s">
        <v>4568</v>
      </c>
      <c r="F1111" s="365" t="s">
        <v>4569</v>
      </c>
      <c r="G1111" s="370">
        <v>45595</v>
      </c>
      <c r="H1111" s="369">
        <v>22000</v>
      </c>
      <c r="I1111" s="365" t="s">
        <v>4570</v>
      </c>
      <c r="J1111" s="365" t="s">
        <v>1228</v>
      </c>
      <c r="K1111" s="365" t="s">
        <v>1229</v>
      </c>
      <c r="L1111" s="370">
        <v>45591.434699074074</v>
      </c>
    </row>
    <row r="1112" spans="1:12" s="365" customFormat="1" hidden="1">
      <c r="A1112" s="370">
        <v>45591.519745370373</v>
      </c>
      <c r="B1112" s="365" t="s">
        <v>4571</v>
      </c>
      <c r="C1112" s="365" t="s">
        <v>1349</v>
      </c>
      <c r="D1112" s="365" t="s">
        <v>1350</v>
      </c>
      <c r="E1112" s="365" t="s">
        <v>1351</v>
      </c>
      <c r="F1112" s="365" t="s">
        <v>4572</v>
      </c>
      <c r="G1112" s="370">
        <v>45595</v>
      </c>
      <c r="H1112" s="369">
        <v>15999</v>
      </c>
      <c r="I1112" s="365" t="s">
        <v>4573</v>
      </c>
      <c r="J1112" s="365" t="s">
        <v>1228</v>
      </c>
      <c r="K1112" s="365" t="s">
        <v>1229</v>
      </c>
      <c r="L1112" s="370">
        <v>45591.521018518521</v>
      </c>
    </row>
    <row r="1113" spans="1:12" s="365" customFormat="1" hidden="1">
      <c r="A1113" s="370">
        <v>45591.546261574076</v>
      </c>
      <c r="B1113" s="365" t="s">
        <v>4534</v>
      </c>
      <c r="C1113" s="365" t="s">
        <v>4535</v>
      </c>
      <c r="D1113" s="365" t="s">
        <v>4536</v>
      </c>
      <c r="E1113" s="365" t="s">
        <v>4537</v>
      </c>
      <c r="F1113" s="365" t="s">
        <v>4538</v>
      </c>
      <c r="G1113" s="370">
        <v>45595</v>
      </c>
      <c r="H1113" s="369">
        <v>24000</v>
      </c>
      <c r="I1113" s="365" t="s">
        <v>4539</v>
      </c>
      <c r="J1113" s="365" t="s">
        <v>1228</v>
      </c>
      <c r="K1113" s="365" t="s">
        <v>1229</v>
      </c>
      <c r="L1113" s="370">
        <v>45591.54892361111</v>
      </c>
    </row>
    <row r="1114" spans="1:12" s="365" customFormat="1" hidden="1">
      <c r="A1114" s="370">
        <v>45591.630659722221</v>
      </c>
      <c r="B1114" s="365" t="s">
        <v>4540</v>
      </c>
      <c r="C1114" s="365" t="s">
        <v>2275</v>
      </c>
      <c r="D1114" s="365" t="s">
        <v>2276</v>
      </c>
      <c r="E1114" s="365" t="s">
        <v>2277</v>
      </c>
      <c r="F1114" s="365" t="s">
        <v>4541</v>
      </c>
      <c r="G1114" s="370">
        <v>45595</v>
      </c>
      <c r="H1114" s="369">
        <v>37999</v>
      </c>
      <c r="I1114" s="365" t="s">
        <v>4542</v>
      </c>
      <c r="J1114" s="365" t="s">
        <v>1228</v>
      </c>
      <c r="K1114" s="365" t="s">
        <v>1229</v>
      </c>
      <c r="L1114" s="370">
        <v>45591.632187499999</v>
      </c>
    </row>
    <row r="1115" spans="1:12" s="365" customFormat="1" hidden="1">
      <c r="A1115" s="370">
        <v>45591.67</v>
      </c>
      <c r="B1115" s="365" t="s">
        <v>4543</v>
      </c>
      <c r="C1115" s="365" t="s">
        <v>1592</v>
      </c>
      <c r="D1115" s="365" t="s">
        <v>1593</v>
      </c>
      <c r="E1115" s="365" t="s">
        <v>1594</v>
      </c>
      <c r="F1115" s="365" t="s">
        <v>4544</v>
      </c>
      <c r="G1115" s="370">
        <v>45595</v>
      </c>
      <c r="H1115" s="369">
        <v>80000</v>
      </c>
      <c r="I1115" s="365" t="s">
        <v>4545</v>
      </c>
      <c r="J1115" s="365" t="s">
        <v>1228</v>
      </c>
      <c r="K1115" s="365" t="s">
        <v>1229</v>
      </c>
      <c r="L1115" s="370">
        <v>45591.670613425929</v>
      </c>
    </row>
    <row r="1116" spans="1:12" s="365" customFormat="1" hidden="1">
      <c r="A1116" s="370">
        <v>45591.715497685182</v>
      </c>
      <c r="B1116" s="365" t="s">
        <v>4546</v>
      </c>
      <c r="C1116" s="365" t="s">
        <v>4547</v>
      </c>
      <c r="D1116" s="365" t="s">
        <v>1433</v>
      </c>
      <c r="E1116" s="365" t="s">
        <v>1434</v>
      </c>
      <c r="F1116" s="365" t="s">
        <v>4548</v>
      </c>
      <c r="G1116" s="370">
        <v>45560</v>
      </c>
      <c r="H1116" s="369">
        <v>12000</v>
      </c>
      <c r="I1116" s="365" t="s">
        <v>4549</v>
      </c>
      <c r="J1116" s="365" t="s">
        <v>1228</v>
      </c>
      <c r="K1116" s="365" t="s">
        <v>1229</v>
      </c>
      <c r="L1116" s="370">
        <v>45591.715821759259</v>
      </c>
    </row>
    <row r="1117" spans="1:12" s="365" customFormat="1" hidden="1">
      <c r="A1117" s="370">
        <v>45592.286666666667</v>
      </c>
      <c r="B1117" s="365" t="s">
        <v>4574</v>
      </c>
      <c r="C1117" s="365" t="s">
        <v>4551</v>
      </c>
      <c r="D1117" s="365" t="s">
        <v>4552</v>
      </c>
      <c r="E1117" s="365" t="s">
        <v>4553</v>
      </c>
      <c r="F1117" s="365" t="s">
        <v>4575</v>
      </c>
      <c r="G1117" s="370">
        <v>45530</v>
      </c>
      <c r="H1117" s="369">
        <v>46000</v>
      </c>
      <c r="I1117" s="365" t="s">
        <v>4576</v>
      </c>
      <c r="J1117" s="365" t="s">
        <v>1228</v>
      </c>
      <c r="K1117" s="365" t="s">
        <v>1229</v>
      </c>
      <c r="L1117" s="370">
        <v>45592.288506944446</v>
      </c>
    </row>
    <row r="1118" spans="1:12" s="365" customFormat="1" hidden="1">
      <c r="A1118" s="370">
        <v>45592.564131944448</v>
      </c>
      <c r="B1118" s="365" t="s">
        <v>4577</v>
      </c>
      <c r="C1118" s="365" t="s">
        <v>1265</v>
      </c>
      <c r="D1118" s="365" t="s">
        <v>1271</v>
      </c>
      <c r="E1118" s="365" t="s">
        <v>1272</v>
      </c>
      <c r="F1118" s="365" t="s">
        <v>4578</v>
      </c>
      <c r="G1118" s="370">
        <v>45595</v>
      </c>
      <c r="H1118" s="369">
        <v>15999</v>
      </c>
      <c r="I1118" s="365" t="s">
        <v>4579</v>
      </c>
      <c r="J1118" s="365" t="s">
        <v>1228</v>
      </c>
      <c r="K1118" s="365" t="s">
        <v>1229</v>
      </c>
      <c r="L1118" s="370">
        <v>45592.566400462965</v>
      </c>
    </row>
    <row r="1119" spans="1:12" s="365" customFormat="1" hidden="1">
      <c r="A1119" s="370">
        <v>45592.879062499997</v>
      </c>
      <c r="B1119" s="365" t="s">
        <v>4580</v>
      </c>
      <c r="C1119" s="365" t="s">
        <v>4581</v>
      </c>
      <c r="D1119" s="365" t="s">
        <v>4582</v>
      </c>
      <c r="E1119" s="365" t="s">
        <v>4583</v>
      </c>
      <c r="F1119" s="365" t="s">
        <v>4584</v>
      </c>
      <c r="G1119" s="370">
        <v>45595</v>
      </c>
      <c r="H1119" s="369">
        <v>15999</v>
      </c>
      <c r="I1119" s="365" t="s">
        <v>4585</v>
      </c>
      <c r="J1119" s="365" t="s">
        <v>1228</v>
      </c>
      <c r="K1119" s="365" t="s">
        <v>1229</v>
      </c>
      <c r="L1119" s="370">
        <v>45592.882326388892</v>
      </c>
    </row>
    <row r="1120" spans="1:12" s="365" customFormat="1" hidden="1">
      <c r="A1120" s="370">
        <v>45593.301620370374</v>
      </c>
      <c r="B1120" s="365" t="s">
        <v>4626</v>
      </c>
      <c r="C1120" s="365" t="s">
        <v>1419</v>
      </c>
      <c r="D1120" s="365" t="s">
        <v>1420</v>
      </c>
      <c r="E1120" s="365" t="s">
        <v>1421</v>
      </c>
      <c r="F1120" s="365" t="s">
        <v>4627</v>
      </c>
      <c r="G1120" s="370">
        <v>45595</v>
      </c>
      <c r="H1120" s="369">
        <v>246000</v>
      </c>
      <c r="I1120" s="365" t="s">
        <v>4628</v>
      </c>
      <c r="J1120" s="365" t="s">
        <v>1228</v>
      </c>
      <c r="K1120" s="365" t="s">
        <v>1229</v>
      </c>
      <c r="L1120" s="370">
        <v>45593.302361111113</v>
      </c>
    </row>
    <row r="1121" spans="1:12" s="365" customFormat="1" hidden="1">
      <c r="A1121" s="370">
        <v>45593.313750000001</v>
      </c>
      <c r="B1121" s="365" t="s">
        <v>4586</v>
      </c>
      <c r="C1121" s="365" t="s">
        <v>4587</v>
      </c>
      <c r="D1121" s="365" t="s">
        <v>4588</v>
      </c>
      <c r="E1121" s="365" t="s">
        <v>4589</v>
      </c>
      <c r="F1121" s="365" t="s">
        <v>4590</v>
      </c>
      <c r="G1121" s="370">
        <v>45316</v>
      </c>
      <c r="H1121" s="369">
        <v>15999</v>
      </c>
      <c r="I1121" s="365" t="s">
        <v>4591</v>
      </c>
      <c r="J1121" s="365" t="s">
        <v>1228</v>
      </c>
      <c r="K1121" s="365" t="s">
        <v>1229</v>
      </c>
      <c r="L1121" s="370">
        <v>45593.316250000003</v>
      </c>
    </row>
    <row r="1122" spans="1:12" s="365" customFormat="1" hidden="1">
      <c r="A1122" s="370">
        <v>45593.317430555559</v>
      </c>
      <c r="B1122" s="365" t="s">
        <v>4592</v>
      </c>
      <c r="C1122" s="365" t="s">
        <v>3184</v>
      </c>
      <c r="D1122" s="365" t="s">
        <v>3185</v>
      </c>
      <c r="E1122" s="365" t="s">
        <v>3186</v>
      </c>
      <c r="F1122" s="365" t="s">
        <v>4593</v>
      </c>
      <c r="G1122" s="370">
        <v>45560</v>
      </c>
      <c r="H1122" s="369">
        <v>9000</v>
      </c>
      <c r="I1122" s="365" t="s">
        <v>4594</v>
      </c>
      <c r="J1122" s="365" t="s">
        <v>1228</v>
      </c>
      <c r="K1122" s="365" t="s">
        <v>1229</v>
      </c>
      <c r="L1122" s="370">
        <v>45593.319803240738</v>
      </c>
    </row>
    <row r="1123" spans="1:12" s="365" customFormat="1" hidden="1">
      <c r="A1123" s="370">
        <v>45593.325173611112</v>
      </c>
      <c r="B1123" s="365" t="s">
        <v>4650</v>
      </c>
      <c r="C1123" s="365" t="s">
        <v>1265</v>
      </c>
      <c r="D1123" s="365" t="s">
        <v>1266</v>
      </c>
      <c r="E1123" s="365" t="s">
        <v>1267</v>
      </c>
      <c r="F1123" s="365" t="s">
        <v>4651</v>
      </c>
      <c r="G1123" s="370">
        <v>45595</v>
      </c>
      <c r="H1123" s="369">
        <v>15999</v>
      </c>
      <c r="I1123" s="365" t="s">
        <v>4652</v>
      </c>
      <c r="J1123" s="365" t="s">
        <v>1228</v>
      </c>
      <c r="K1123" s="365" t="s">
        <v>1229</v>
      </c>
      <c r="L1123" s="370">
        <v>45593.326921296299</v>
      </c>
    </row>
    <row r="1124" spans="1:12" s="365" customFormat="1" hidden="1">
      <c r="A1124" s="370">
        <v>45593.334074074075</v>
      </c>
      <c r="B1124" s="365" t="s">
        <v>4653</v>
      </c>
      <c r="C1124" s="365" t="s">
        <v>1465</v>
      </c>
      <c r="D1124" s="365" t="s">
        <v>1466</v>
      </c>
      <c r="E1124" s="365" t="s">
        <v>1467</v>
      </c>
      <c r="F1124" s="365" t="s">
        <v>4654</v>
      </c>
      <c r="G1124" s="370">
        <v>45595</v>
      </c>
      <c r="H1124" s="369">
        <v>6000</v>
      </c>
      <c r="I1124" s="365" t="s">
        <v>4655</v>
      </c>
      <c r="J1124" s="365" t="s">
        <v>1228</v>
      </c>
      <c r="K1124" s="365" t="s">
        <v>1229</v>
      </c>
      <c r="L1124" s="370">
        <v>45593.337083333332</v>
      </c>
    </row>
    <row r="1125" spans="1:12" s="365" customFormat="1" hidden="1">
      <c r="A1125" s="370">
        <v>45593.338564814818</v>
      </c>
      <c r="B1125" s="365" t="s">
        <v>4656</v>
      </c>
      <c r="C1125" s="365" t="s">
        <v>4657</v>
      </c>
      <c r="D1125" s="365" t="s">
        <v>4658</v>
      </c>
      <c r="E1125" s="365" t="s">
        <v>4659</v>
      </c>
      <c r="F1125" s="365" t="s">
        <v>4660</v>
      </c>
      <c r="G1125" s="370">
        <v>45560</v>
      </c>
      <c r="H1125" s="369">
        <v>30000</v>
      </c>
      <c r="I1125" s="365" t="s">
        <v>4661</v>
      </c>
      <c r="J1125" s="365" t="s">
        <v>1228</v>
      </c>
      <c r="K1125" s="365" t="s">
        <v>1229</v>
      </c>
      <c r="L1125" s="370">
        <v>45593.340798611112</v>
      </c>
    </row>
    <row r="1126" spans="1:12" s="365" customFormat="1" hidden="1">
      <c r="A1126" s="370">
        <v>45593.364131944443</v>
      </c>
      <c r="B1126" s="365" t="s">
        <v>4662</v>
      </c>
      <c r="C1126" s="365" t="s">
        <v>1259</v>
      </c>
      <c r="D1126" s="365" t="s">
        <v>1260</v>
      </c>
      <c r="E1126" s="365" t="s">
        <v>1261</v>
      </c>
      <c r="F1126" s="365" t="s">
        <v>4663</v>
      </c>
      <c r="G1126" s="370">
        <v>45595</v>
      </c>
      <c r="H1126" s="369">
        <v>63500</v>
      </c>
      <c r="I1126" s="365" t="s">
        <v>4664</v>
      </c>
      <c r="J1126" s="365" t="s">
        <v>1228</v>
      </c>
      <c r="K1126" s="365" t="s">
        <v>1229</v>
      </c>
      <c r="L1126" s="370">
        <v>45593.365011574075</v>
      </c>
    </row>
    <row r="1127" spans="1:12" s="365" customFormat="1" hidden="1">
      <c r="A1127" s="370">
        <v>45593.365185185183</v>
      </c>
      <c r="B1127" s="365" t="s">
        <v>4595</v>
      </c>
      <c r="C1127" s="365" t="s">
        <v>4596</v>
      </c>
      <c r="D1127" s="365" t="s">
        <v>4597</v>
      </c>
      <c r="E1127" s="365" t="s">
        <v>4598</v>
      </c>
      <c r="F1127" s="365" t="s">
        <v>4599</v>
      </c>
      <c r="G1127" s="370">
        <v>45595</v>
      </c>
      <c r="H1127" s="369">
        <v>24892</v>
      </c>
      <c r="I1127" s="365" t="s">
        <v>4600</v>
      </c>
      <c r="J1127" s="365" t="s">
        <v>1228</v>
      </c>
      <c r="K1127" s="365" t="s">
        <v>1229</v>
      </c>
      <c r="L1127" s="370">
        <v>45593.368587962963</v>
      </c>
    </row>
    <row r="1128" spans="1:12" s="365" customFormat="1" hidden="1">
      <c r="A1128" s="370">
        <v>45593.366932870369</v>
      </c>
      <c r="B1128" s="365" t="s">
        <v>4601</v>
      </c>
      <c r="C1128" s="365" t="s">
        <v>1790</v>
      </c>
      <c r="D1128" s="365" t="s">
        <v>1791</v>
      </c>
      <c r="E1128" s="365" t="s">
        <v>1792</v>
      </c>
      <c r="F1128" s="365" t="s">
        <v>4602</v>
      </c>
      <c r="G1128" s="370">
        <v>45595</v>
      </c>
      <c r="H1128" s="369">
        <v>25000</v>
      </c>
      <c r="I1128" s="365" t="s">
        <v>4603</v>
      </c>
      <c r="J1128" s="365" t="s">
        <v>1228</v>
      </c>
      <c r="K1128" s="365" t="s">
        <v>1229</v>
      </c>
      <c r="L1128" s="370">
        <v>45593.368761574071</v>
      </c>
    </row>
    <row r="1129" spans="1:12" s="365" customFormat="1" hidden="1">
      <c r="A1129" s="370">
        <v>45593.39099537037</v>
      </c>
      <c r="B1129" s="365" t="s">
        <v>4604</v>
      </c>
      <c r="C1129" s="365" t="s">
        <v>1239</v>
      </c>
      <c r="D1129" s="365" t="s">
        <v>1240</v>
      </c>
      <c r="E1129" s="365" t="s">
        <v>1241</v>
      </c>
      <c r="F1129" s="365" t="s">
        <v>4605</v>
      </c>
      <c r="G1129" s="370">
        <v>45595</v>
      </c>
      <c r="H1129" s="369">
        <v>15999</v>
      </c>
      <c r="I1129" s="365" t="s">
        <v>4606</v>
      </c>
      <c r="J1129" s="365" t="s">
        <v>1228</v>
      </c>
      <c r="K1129" s="365" t="s">
        <v>1229</v>
      </c>
      <c r="L1129" s="370">
        <v>45593.393483796295</v>
      </c>
    </row>
    <row r="1130" spans="1:12" s="365" customFormat="1" hidden="1">
      <c r="A1130" s="370">
        <v>45593.394606481481</v>
      </c>
      <c r="B1130" s="365" t="s">
        <v>4629</v>
      </c>
      <c r="C1130" s="365" t="s">
        <v>4630</v>
      </c>
      <c r="D1130" s="365" t="s">
        <v>4631</v>
      </c>
      <c r="E1130" s="365" t="s">
        <v>4632</v>
      </c>
      <c r="F1130" s="365" t="s">
        <v>4633</v>
      </c>
      <c r="G1130" s="370">
        <v>45560</v>
      </c>
      <c r="H1130" s="369">
        <v>27000</v>
      </c>
      <c r="I1130" s="365" t="s">
        <v>4634</v>
      </c>
      <c r="J1130" s="365" t="s">
        <v>1228</v>
      </c>
      <c r="K1130" s="365" t="s">
        <v>1229</v>
      </c>
      <c r="L1130" s="370">
        <v>45593.397037037037</v>
      </c>
    </row>
    <row r="1131" spans="1:12" s="365" customFormat="1" hidden="1">
      <c r="A1131" s="370">
        <v>45593.424733796295</v>
      </c>
      <c r="B1131" s="365" t="s">
        <v>4665</v>
      </c>
      <c r="C1131" s="365" t="s">
        <v>1495</v>
      </c>
      <c r="D1131" s="365" t="s">
        <v>1496</v>
      </c>
      <c r="E1131" s="365" t="s">
        <v>1497</v>
      </c>
      <c r="F1131" s="365" t="s">
        <v>4666</v>
      </c>
      <c r="G1131" s="370">
        <v>45595</v>
      </c>
      <c r="H1131" s="369">
        <v>34000</v>
      </c>
      <c r="I1131" s="365" t="s">
        <v>4667</v>
      </c>
      <c r="J1131" s="365" t="s">
        <v>1228</v>
      </c>
      <c r="K1131" s="365" t="s">
        <v>1229</v>
      </c>
      <c r="L1131" s="370">
        <v>45593.428032407406</v>
      </c>
    </row>
    <row r="1132" spans="1:12" s="365" customFormat="1" hidden="1">
      <c r="A1132" s="370">
        <v>45593.426145833335</v>
      </c>
      <c r="B1132" s="365" t="s">
        <v>4668</v>
      </c>
      <c r="C1132" s="365" t="s">
        <v>1495</v>
      </c>
      <c r="D1132" s="365" t="s">
        <v>1498</v>
      </c>
      <c r="E1132" s="365" t="s">
        <v>1499</v>
      </c>
      <c r="F1132" s="365" t="s">
        <v>4669</v>
      </c>
      <c r="G1132" s="370">
        <v>45595</v>
      </c>
      <c r="H1132" s="369">
        <v>6000</v>
      </c>
      <c r="I1132" s="365" t="s">
        <v>4670</v>
      </c>
      <c r="J1132" s="365" t="s">
        <v>1228</v>
      </c>
      <c r="K1132" s="365" t="s">
        <v>1229</v>
      </c>
      <c r="L1132" s="370">
        <v>45593.428055555552</v>
      </c>
    </row>
    <row r="1133" spans="1:12" s="365" customFormat="1" hidden="1">
      <c r="A1133" s="370">
        <v>45593.44835648148</v>
      </c>
      <c r="B1133" s="365" t="s">
        <v>4671</v>
      </c>
      <c r="C1133" s="365" t="s">
        <v>1861</v>
      </c>
      <c r="D1133" s="365" t="s">
        <v>1862</v>
      </c>
      <c r="E1133" s="365" t="s">
        <v>1863</v>
      </c>
      <c r="F1133" s="365" t="s">
        <v>4672</v>
      </c>
      <c r="G1133" s="370">
        <v>45595</v>
      </c>
      <c r="H1133" s="369">
        <v>9000</v>
      </c>
      <c r="I1133" s="365" t="s">
        <v>4673</v>
      </c>
      <c r="J1133" s="365" t="s">
        <v>1228</v>
      </c>
      <c r="K1133" s="365" t="s">
        <v>1229</v>
      </c>
      <c r="L1133" s="370">
        <v>45593.44902777778</v>
      </c>
    </row>
    <row r="1134" spans="1:12" s="365" customFormat="1" hidden="1">
      <c r="A1134" s="370">
        <v>45593.452997685185</v>
      </c>
      <c r="B1134" s="365" t="s">
        <v>4674</v>
      </c>
      <c r="C1134" s="365" t="s">
        <v>1639</v>
      </c>
      <c r="D1134" s="365" t="s">
        <v>1640</v>
      </c>
      <c r="E1134" s="365" t="s">
        <v>1641</v>
      </c>
      <c r="F1134" s="365" t="s">
        <v>4675</v>
      </c>
      <c r="G1134" s="370">
        <v>45595</v>
      </c>
      <c r="H1134" s="369">
        <v>58000</v>
      </c>
      <c r="I1134" s="365" t="s">
        <v>4676</v>
      </c>
      <c r="J1134" s="365" t="s">
        <v>1228</v>
      </c>
      <c r="K1134" s="365" t="s">
        <v>1229</v>
      </c>
      <c r="L1134" s="370">
        <v>45593.45579861111</v>
      </c>
    </row>
    <row r="1135" spans="1:12" s="365" customFormat="1" hidden="1">
      <c r="A1135" s="370">
        <v>45593.48201388889</v>
      </c>
      <c r="B1135" s="365" t="s">
        <v>4677</v>
      </c>
      <c r="C1135" s="365" t="s">
        <v>3939</v>
      </c>
      <c r="D1135" s="365" t="s">
        <v>3940</v>
      </c>
      <c r="E1135" s="365" t="s">
        <v>3941</v>
      </c>
      <c r="F1135" s="365" t="s">
        <v>4678</v>
      </c>
      <c r="G1135" s="370">
        <v>45530</v>
      </c>
      <c r="H1135" s="369">
        <v>31000</v>
      </c>
      <c r="I1135" s="365" t="s">
        <v>4679</v>
      </c>
      <c r="J1135" s="365" t="s">
        <v>1228</v>
      </c>
      <c r="K1135" s="365" t="s">
        <v>1229</v>
      </c>
      <c r="L1135" s="370">
        <v>45593.483553240738</v>
      </c>
    </row>
    <row r="1136" spans="1:12" s="365" customFormat="1" hidden="1">
      <c r="A1136" s="370">
        <v>45593.485648148147</v>
      </c>
      <c r="B1136" s="365" t="s">
        <v>4680</v>
      </c>
      <c r="C1136" s="365" t="s">
        <v>4681</v>
      </c>
      <c r="D1136" s="365" t="s">
        <v>1323</v>
      </c>
      <c r="E1136" s="365" t="s">
        <v>1324</v>
      </c>
      <c r="F1136" s="365" t="s">
        <v>4682</v>
      </c>
      <c r="G1136" s="370">
        <v>45560</v>
      </c>
      <c r="H1136" s="369">
        <v>15000</v>
      </c>
      <c r="I1136" s="365" t="s">
        <v>4683</v>
      </c>
      <c r="J1136" s="365" t="s">
        <v>1228</v>
      </c>
      <c r="K1136" s="365" t="s">
        <v>1229</v>
      </c>
      <c r="L1136" s="370">
        <v>45593.487118055556</v>
      </c>
    </row>
    <row r="1137" spans="1:12" s="365" customFormat="1" hidden="1">
      <c r="A1137" s="370">
        <v>45593.515150462961</v>
      </c>
      <c r="B1137" s="365" t="s">
        <v>4684</v>
      </c>
      <c r="C1137" s="365" t="s">
        <v>4685</v>
      </c>
      <c r="D1137" s="365" t="s">
        <v>4686</v>
      </c>
      <c r="E1137" s="365" t="s">
        <v>4687</v>
      </c>
      <c r="F1137" s="365" t="s">
        <v>4688</v>
      </c>
      <c r="G1137" s="370">
        <v>45595</v>
      </c>
      <c r="H1137" s="369">
        <v>27000</v>
      </c>
      <c r="I1137" s="365" t="s">
        <v>4689</v>
      </c>
      <c r="J1137" s="365" t="s">
        <v>1228</v>
      </c>
      <c r="K1137" s="365" t="s">
        <v>1229</v>
      </c>
      <c r="L1137" s="370">
        <v>45593.518449074072</v>
      </c>
    </row>
    <row r="1138" spans="1:12" s="365" customFormat="1" hidden="1">
      <c r="A1138" s="370">
        <v>45593.519432870373</v>
      </c>
      <c r="B1138" s="365" t="s">
        <v>4607</v>
      </c>
      <c r="C1138" s="365" t="s">
        <v>1373</v>
      </c>
      <c r="D1138" s="365" t="s">
        <v>1374</v>
      </c>
      <c r="E1138" s="365" t="s">
        <v>1375</v>
      </c>
      <c r="F1138" s="365" t="s">
        <v>4608</v>
      </c>
      <c r="G1138" s="370">
        <v>45595</v>
      </c>
      <c r="H1138" s="369">
        <v>36999</v>
      </c>
      <c r="I1138" s="365" t="s">
        <v>4609</v>
      </c>
      <c r="J1138" s="365" t="s">
        <v>1228</v>
      </c>
      <c r="K1138" s="365" t="s">
        <v>1229</v>
      </c>
      <c r="L1138" s="370">
        <v>45593.522002314814</v>
      </c>
    </row>
    <row r="1139" spans="1:12" s="365" customFormat="1" hidden="1">
      <c r="A1139" s="370">
        <v>45593.531157407408</v>
      </c>
      <c r="B1139" s="365" t="s">
        <v>4635</v>
      </c>
      <c r="C1139" s="365" t="s">
        <v>1441</v>
      </c>
      <c r="D1139" s="365" t="s">
        <v>1442</v>
      </c>
      <c r="E1139" s="365" t="s">
        <v>1443</v>
      </c>
      <c r="F1139" s="365" t="s">
        <v>4636</v>
      </c>
      <c r="G1139" s="370">
        <v>45595</v>
      </c>
      <c r="H1139" s="369">
        <v>47000</v>
      </c>
      <c r="I1139" s="365" t="s">
        <v>4637</v>
      </c>
      <c r="J1139" s="365" t="s">
        <v>1228</v>
      </c>
      <c r="K1139" s="365" t="s">
        <v>1229</v>
      </c>
      <c r="L1139" s="370">
        <v>45593.532326388886</v>
      </c>
    </row>
    <row r="1140" spans="1:12" s="365" customFormat="1" hidden="1">
      <c r="A1140" s="370">
        <v>45593.603113425925</v>
      </c>
      <c r="B1140" s="365" t="s">
        <v>4610</v>
      </c>
      <c r="C1140" s="365" t="s">
        <v>1644</v>
      </c>
      <c r="D1140" s="365" t="s">
        <v>1645</v>
      </c>
      <c r="E1140" s="365" t="s">
        <v>1646</v>
      </c>
      <c r="F1140" s="365" t="s">
        <v>4611</v>
      </c>
      <c r="G1140" s="370">
        <v>45595</v>
      </c>
      <c r="H1140" s="369">
        <v>27000</v>
      </c>
      <c r="I1140" s="365" t="s">
        <v>4612</v>
      </c>
      <c r="J1140" s="365" t="s">
        <v>1228</v>
      </c>
      <c r="K1140" s="365" t="s">
        <v>1229</v>
      </c>
      <c r="L1140" s="370">
        <v>45593.605312500003</v>
      </c>
    </row>
    <row r="1141" spans="1:12" s="365" customFormat="1" hidden="1">
      <c r="A1141" s="370">
        <v>45593.6096875</v>
      </c>
      <c r="B1141" s="365" t="s">
        <v>4690</v>
      </c>
      <c r="C1141" s="365" t="s">
        <v>4691</v>
      </c>
      <c r="D1141" s="365" t="s">
        <v>4692</v>
      </c>
      <c r="E1141" s="365" t="s">
        <v>4693</v>
      </c>
      <c r="F1141" s="365" t="s">
        <v>4694</v>
      </c>
      <c r="G1141" s="370">
        <v>45560</v>
      </c>
      <c r="H1141" s="369">
        <v>25000</v>
      </c>
      <c r="I1141" s="365" t="s">
        <v>4695</v>
      </c>
      <c r="J1141" s="365" t="s">
        <v>1228</v>
      </c>
      <c r="K1141" s="365" t="s">
        <v>1229</v>
      </c>
      <c r="L1141" s="370">
        <v>45593.611886574072</v>
      </c>
    </row>
    <row r="1142" spans="1:12" s="365" customFormat="1" hidden="1">
      <c r="A1142" s="370">
        <v>45593.64261574074</v>
      </c>
      <c r="B1142" s="365" t="s">
        <v>4638</v>
      </c>
      <c r="C1142" s="365" t="s">
        <v>4639</v>
      </c>
      <c r="D1142" s="365" t="s">
        <v>4640</v>
      </c>
      <c r="E1142" s="365" t="s">
        <v>4641</v>
      </c>
      <c r="F1142" s="365" t="s">
        <v>4642</v>
      </c>
      <c r="G1142" s="370">
        <v>45595</v>
      </c>
      <c r="H1142" s="369">
        <v>12000</v>
      </c>
      <c r="I1142" s="365" t="s">
        <v>4643</v>
      </c>
      <c r="J1142" s="365" t="s">
        <v>1228</v>
      </c>
      <c r="K1142" s="365" t="s">
        <v>1229</v>
      </c>
      <c r="L1142" s="370">
        <v>45593.643379629626</v>
      </c>
    </row>
    <row r="1143" spans="1:12" s="365" customFormat="1" hidden="1">
      <c r="A1143" s="370">
        <v>45593.700138888889</v>
      </c>
      <c r="B1143" s="365" t="s">
        <v>4644</v>
      </c>
      <c r="C1143" s="365" t="s">
        <v>1628</v>
      </c>
      <c r="D1143" s="365" t="s">
        <v>1629</v>
      </c>
      <c r="E1143" s="365" t="s">
        <v>1630</v>
      </c>
      <c r="F1143" s="365" t="s">
        <v>4645</v>
      </c>
      <c r="G1143" s="370">
        <v>45560</v>
      </c>
      <c r="H1143" s="369">
        <v>21000</v>
      </c>
      <c r="I1143" s="365" t="s">
        <v>4646</v>
      </c>
      <c r="J1143" s="365" t="s">
        <v>1228</v>
      </c>
      <c r="K1143" s="365" t="s">
        <v>1229</v>
      </c>
      <c r="L1143" s="370">
        <v>45593.702476851853</v>
      </c>
    </row>
    <row r="1144" spans="1:12" s="365" customFormat="1" hidden="1">
      <c r="A1144" s="370">
        <v>45593.706435185188</v>
      </c>
      <c r="B1144" s="365" t="s">
        <v>4613</v>
      </c>
      <c r="C1144" s="365" t="s">
        <v>1370</v>
      </c>
      <c r="D1144" s="365" t="s">
        <v>1371</v>
      </c>
      <c r="E1144" s="365" t="s">
        <v>1372</v>
      </c>
      <c r="F1144" s="365" t="s">
        <v>4614</v>
      </c>
      <c r="G1144" s="370">
        <v>45595</v>
      </c>
      <c r="H1144" s="369">
        <v>25000</v>
      </c>
      <c r="I1144" s="365" t="s">
        <v>4615</v>
      </c>
      <c r="J1144" s="365" t="s">
        <v>1228</v>
      </c>
      <c r="K1144" s="365" t="s">
        <v>1229</v>
      </c>
      <c r="L1144" s="370">
        <v>45593.70925925926</v>
      </c>
    </row>
    <row r="1145" spans="1:12" s="365" customFormat="1" hidden="1">
      <c r="A1145" s="370">
        <v>45593.708483796298</v>
      </c>
      <c r="B1145" s="365" t="s">
        <v>4616</v>
      </c>
      <c r="C1145" s="365" t="s">
        <v>1524</v>
      </c>
      <c r="D1145" s="365" t="s">
        <v>1525</v>
      </c>
      <c r="E1145" s="365" t="s">
        <v>1526</v>
      </c>
      <c r="F1145" s="365" t="s">
        <v>4617</v>
      </c>
      <c r="G1145" s="370">
        <v>45595</v>
      </c>
      <c r="H1145" s="369">
        <v>18000</v>
      </c>
      <c r="I1145" s="365" t="s">
        <v>4618</v>
      </c>
      <c r="J1145" s="365" t="s">
        <v>1228</v>
      </c>
      <c r="K1145" s="365" t="s">
        <v>1229</v>
      </c>
      <c r="L1145" s="370">
        <v>45593.709444444445</v>
      </c>
    </row>
    <row r="1146" spans="1:12" s="365" customFormat="1" hidden="1">
      <c r="A1146" s="370">
        <v>45593.714097222219</v>
      </c>
      <c r="B1146" s="365" t="s">
        <v>4647</v>
      </c>
      <c r="C1146" s="365" t="s">
        <v>1230</v>
      </c>
      <c r="D1146" s="365" t="s">
        <v>1328</v>
      </c>
      <c r="E1146" s="365" t="s">
        <v>1329</v>
      </c>
      <c r="F1146" s="365" t="s">
        <v>4648</v>
      </c>
      <c r="G1146" s="370">
        <v>45560</v>
      </c>
      <c r="H1146" s="369">
        <v>14500</v>
      </c>
      <c r="I1146" s="365" t="s">
        <v>4649</v>
      </c>
      <c r="J1146" s="365" t="s">
        <v>1228</v>
      </c>
      <c r="K1146" s="365" t="s">
        <v>1229</v>
      </c>
      <c r="L1146" s="370">
        <v>45593.716377314813</v>
      </c>
    </row>
    <row r="1147" spans="1:12" s="365" customFormat="1" hidden="1">
      <c r="A1147" s="370">
        <v>45593.745636574073</v>
      </c>
      <c r="B1147" s="365" t="s">
        <v>4619</v>
      </c>
      <c r="C1147" s="365" t="s">
        <v>3139</v>
      </c>
      <c r="D1147" s="365" t="s">
        <v>3140</v>
      </c>
      <c r="E1147" s="365" t="s">
        <v>3141</v>
      </c>
      <c r="F1147" s="365" t="s">
        <v>4620</v>
      </c>
      <c r="G1147" s="370">
        <v>45530</v>
      </c>
      <c r="H1147" s="369">
        <v>36999</v>
      </c>
      <c r="I1147" s="365" t="s">
        <v>4621</v>
      </c>
      <c r="J1147" s="365" t="s">
        <v>1228</v>
      </c>
      <c r="K1147" s="365" t="s">
        <v>1229</v>
      </c>
      <c r="L1147" s="370">
        <v>45593.747685185182</v>
      </c>
    </row>
    <row r="1148" spans="1:12" s="365" customFormat="1" hidden="1">
      <c r="A1148" s="370">
        <v>45593.787951388891</v>
      </c>
      <c r="B1148" s="365" t="s">
        <v>4622</v>
      </c>
      <c r="C1148" s="365" t="s">
        <v>4623</v>
      </c>
      <c r="D1148" s="365" t="s">
        <v>1903</v>
      </c>
      <c r="E1148" s="365" t="s">
        <v>1904</v>
      </c>
      <c r="F1148" s="365" t="s">
        <v>4624</v>
      </c>
      <c r="G1148" s="370">
        <v>45595</v>
      </c>
      <c r="H1148" s="369">
        <v>15999</v>
      </c>
      <c r="I1148" s="365" t="s">
        <v>4625</v>
      </c>
      <c r="J1148" s="365" t="s">
        <v>1228</v>
      </c>
      <c r="K1148" s="365" t="s">
        <v>1229</v>
      </c>
      <c r="L1148" s="370">
        <v>45593.789340277777</v>
      </c>
    </row>
    <row r="1149" spans="1:12" s="365" customFormat="1" hidden="1">
      <c r="A1149" s="370">
        <v>45594.218645833331</v>
      </c>
      <c r="B1149" s="365" t="s">
        <v>4696</v>
      </c>
      <c r="C1149" s="365" t="s">
        <v>4697</v>
      </c>
      <c r="D1149" s="365" t="s">
        <v>4698</v>
      </c>
      <c r="E1149" s="365" t="s">
        <v>4699</v>
      </c>
      <c r="F1149" s="365" t="s">
        <v>4700</v>
      </c>
      <c r="G1149" s="370">
        <v>45595</v>
      </c>
      <c r="H1149" s="369">
        <v>15000</v>
      </c>
      <c r="I1149" s="365" t="s">
        <v>4701</v>
      </c>
      <c r="J1149" s="365" t="s">
        <v>1228</v>
      </c>
      <c r="K1149" s="365" t="s">
        <v>1229</v>
      </c>
      <c r="L1149" s="370">
        <v>45594.219097222223</v>
      </c>
    </row>
    <row r="1150" spans="1:12" s="365" customFormat="1" hidden="1">
      <c r="A1150" s="370">
        <v>45594.321851851855</v>
      </c>
      <c r="B1150" s="365" t="s">
        <v>4702</v>
      </c>
      <c r="C1150" s="365" t="s">
        <v>1338</v>
      </c>
      <c r="D1150" s="365" t="s">
        <v>1339</v>
      </c>
      <c r="E1150" s="365" t="s">
        <v>1340</v>
      </c>
      <c r="F1150" s="365" t="s">
        <v>4703</v>
      </c>
      <c r="G1150" s="370">
        <v>45595</v>
      </c>
      <c r="H1150" s="369">
        <v>12000</v>
      </c>
      <c r="I1150" s="365" t="s">
        <v>4704</v>
      </c>
      <c r="J1150" s="365" t="s">
        <v>1228</v>
      </c>
      <c r="K1150" s="365" t="s">
        <v>1229</v>
      </c>
      <c r="L1150" s="370">
        <v>45594.323425925926</v>
      </c>
    </row>
    <row r="1151" spans="1:12" s="365" customFormat="1" hidden="1">
      <c r="A1151" s="370">
        <v>45594.336539351854</v>
      </c>
      <c r="B1151" s="365" t="s">
        <v>4768</v>
      </c>
      <c r="C1151" s="365" t="s">
        <v>1622</v>
      </c>
      <c r="D1151" s="365" t="s">
        <v>1623</v>
      </c>
      <c r="E1151" s="365" t="s">
        <v>1624</v>
      </c>
      <c r="F1151" s="365" t="s">
        <v>4769</v>
      </c>
      <c r="G1151" s="370">
        <v>45595</v>
      </c>
      <c r="H1151" s="369">
        <v>42000</v>
      </c>
      <c r="I1151" s="365" t="s">
        <v>4770</v>
      </c>
      <c r="J1151" s="365" t="s">
        <v>1228</v>
      </c>
      <c r="K1151" s="365" t="s">
        <v>1229</v>
      </c>
      <c r="L1151" s="370">
        <v>45594.337314814817</v>
      </c>
    </row>
    <row r="1152" spans="1:12" s="365" customFormat="1" hidden="1">
      <c r="A1152" s="370">
        <v>45594.374618055554</v>
      </c>
      <c r="B1152" s="365" t="s">
        <v>4771</v>
      </c>
      <c r="C1152" s="365" t="s">
        <v>4772</v>
      </c>
      <c r="D1152" s="365" t="s">
        <v>2385</v>
      </c>
      <c r="E1152" s="365" t="s">
        <v>2386</v>
      </c>
      <c r="F1152" s="365" t="s">
        <v>4773</v>
      </c>
      <c r="G1152" s="370">
        <v>45595</v>
      </c>
      <c r="H1152" s="369">
        <v>30000</v>
      </c>
      <c r="I1152" s="365" t="s">
        <v>4774</v>
      </c>
      <c r="J1152" s="365" t="s">
        <v>1228</v>
      </c>
      <c r="K1152" s="365" t="s">
        <v>1229</v>
      </c>
      <c r="L1152" s="370">
        <v>45594.375416666669</v>
      </c>
    </row>
    <row r="1153" spans="1:12" s="365" customFormat="1" hidden="1">
      <c r="A1153" s="370">
        <v>45594.407696759263</v>
      </c>
      <c r="B1153" s="365" t="s">
        <v>4705</v>
      </c>
      <c r="C1153" s="365" t="s">
        <v>4706</v>
      </c>
      <c r="D1153" s="365" t="s">
        <v>4707</v>
      </c>
      <c r="E1153" s="365" t="s">
        <v>4708</v>
      </c>
      <c r="F1153" s="365" t="s">
        <v>4709</v>
      </c>
      <c r="G1153" s="370">
        <v>45595</v>
      </c>
      <c r="H1153" s="369">
        <v>10000</v>
      </c>
      <c r="I1153" s="365" t="s">
        <v>4710</v>
      </c>
      <c r="J1153" s="365" t="s">
        <v>1228</v>
      </c>
      <c r="K1153" s="365" t="s">
        <v>1229</v>
      </c>
      <c r="L1153" s="370">
        <v>45594.409780092596</v>
      </c>
    </row>
    <row r="1154" spans="1:12" s="365" customFormat="1" hidden="1">
      <c r="A1154" s="370">
        <v>45594.412152777775</v>
      </c>
      <c r="B1154" s="365" t="s">
        <v>4741</v>
      </c>
      <c r="C1154" s="365" t="s">
        <v>4742</v>
      </c>
      <c r="D1154" s="365" t="s">
        <v>4743</v>
      </c>
      <c r="E1154" s="365" t="s">
        <v>4744</v>
      </c>
      <c r="F1154" s="365" t="s">
        <v>4745</v>
      </c>
      <c r="G1154" s="370">
        <v>45595</v>
      </c>
      <c r="H1154" s="369">
        <v>87000</v>
      </c>
      <c r="I1154" s="365" t="s">
        <v>4746</v>
      </c>
      <c r="J1154" s="365" t="s">
        <v>1228</v>
      </c>
      <c r="K1154" s="365" t="s">
        <v>1229</v>
      </c>
      <c r="L1154" s="370">
        <v>45594.413506944446</v>
      </c>
    </row>
    <row r="1155" spans="1:12" s="365" customFormat="1" hidden="1">
      <c r="A1155" s="370">
        <v>45594.429456018515</v>
      </c>
      <c r="B1155" s="365" t="s">
        <v>4711</v>
      </c>
      <c r="C1155" s="365" t="s">
        <v>1661</v>
      </c>
      <c r="D1155" s="365" t="s">
        <v>1662</v>
      </c>
      <c r="E1155" s="365" t="s">
        <v>1663</v>
      </c>
      <c r="F1155" s="365" t="s">
        <v>4712</v>
      </c>
      <c r="G1155" s="370">
        <v>45595</v>
      </c>
      <c r="H1155" s="369">
        <v>35000</v>
      </c>
      <c r="I1155" s="365" t="s">
        <v>4713</v>
      </c>
      <c r="J1155" s="365" t="s">
        <v>1228</v>
      </c>
      <c r="K1155" s="365" t="s">
        <v>1229</v>
      </c>
      <c r="L1155" s="370">
        <v>45594.430960648147</v>
      </c>
    </row>
    <row r="1156" spans="1:12" s="365" customFormat="1" hidden="1">
      <c r="A1156" s="370">
        <v>45594.460856481484</v>
      </c>
      <c r="B1156" s="365" t="s">
        <v>4714</v>
      </c>
      <c r="C1156" s="365" t="s">
        <v>1595</v>
      </c>
      <c r="D1156" s="365" t="s">
        <v>1596</v>
      </c>
      <c r="E1156" s="365" t="s">
        <v>1597</v>
      </c>
      <c r="F1156" s="365" t="s">
        <v>4715</v>
      </c>
      <c r="G1156" s="370">
        <v>45595</v>
      </c>
      <c r="H1156" s="369">
        <v>39000</v>
      </c>
      <c r="I1156" s="365" t="s">
        <v>4716</v>
      </c>
      <c r="J1156" s="365" t="s">
        <v>1228</v>
      </c>
      <c r="K1156" s="365" t="s">
        <v>1229</v>
      </c>
      <c r="L1156" s="370">
        <v>45594.462280092594</v>
      </c>
    </row>
    <row r="1157" spans="1:12" s="365" customFormat="1" hidden="1">
      <c r="A1157" s="370">
        <v>45594.462754629632</v>
      </c>
      <c r="B1157" s="365" t="s">
        <v>4775</v>
      </c>
      <c r="C1157" s="365" t="s">
        <v>1908</v>
      </c>
      <c r="D1157" s="365" t="s">
        <v>1909</v>
      </c>
      <c r="E1157" s="365" t="s">
        <v>1910</v>
      </c>
      <c r="F1157" s="365" t="s">
        <v>4776</v>
      </c>
      <c r="G1157" s="370">
        <v>45595</v>
      </c>
      <c r="H1157" s="369">
        <v>23400</v>
      </c>
      <c r="I1157" s="365" t="s">
        <v>4777</v>
      </c>
      <c r="J1157" s="365" t="s">
        <v>1228</v>
      </c>
      <c r="K1157" s="365" t="s">
        <v>1229</v>
      </c>
      <c r="L1157" s="370">
        <v>45594.465497685182</v>
      </c>
    </row>
    <row r="1158" spans="1:12" s="365" customFormat="1" hidden="1">
      <c r="A1158" s="370">
        <v>45594.490451388891</v>
      </c>
      <c r="B1158" s="365" t="s">
        <v>4717</v>
      </c>
      <c r="C1158" s="365" t="s">
        <v>1569</v>
      </c>
      <c r="D1158" s="365" t="s">
        <v>1570</v>
      </c>
      <c r="E1158" s="365" t="s">
        <v>1571</v>
      </c>
      <c r="F1158" s="365" t="s">
        <v>4718</v>
      </c>
      <c r="G1158" s="370">
        <v>45530</v>
      </c>
      <c r="H1158" s="369">
        <v>141000</v>
      </c>
      <c r="I1158" s="365" t="s">
        <v>4719</v>
      </c>
      <c r="J1158" s="365" t="s">
        <v>1228</v>
      </c>
      <c r="K1158" s="365" t="s">
        <v>1229</v>
      </c>
      <c r="L1158" s="370">
        <v>45594.493263888886</v>
      </c>
    </row>
    <row r="1159" spans="1:12" s="365" customFormat="1" hidden="1">
      <c r="A1159" s="370">
        <v>45594.517812500002</v>
      </c>
      <c r="B1159" s="365" t="s">
        <v>4747</v>
      </c>
      <c r="C1159" s="365" t="s">
        <v>2025</v>
      </c>
      <c r="D1159" s="365" t="s">
        <v>2026</v>
      </c>
      <c r="E1159" s="365" t="s">
        <v>2027</v>
      </c>
      <c r="F1159" s="365" t="s">
        <v>4748</v>
      </c>
      <c r="G1159" s="370">
        <v>45595</v>
      </c>
      <c r="H1159" s="369">
        <v>4000</v>
      </c>
      <c r="I1159" s="365" t="s">
        <v>4749</v>
      </c>
      <c r="J1159" s="365" t="s">
        <v>1228</v>
      </c>
      <c r="K1159" s="365" t="s">
        <v>1229</v>
      </c>
      <c r="L1159" s="370">
        <v>45594.521053240744</v>
      </c>
    </row>
    <row r="1160" spans="1:12" s="365" customFormat="1" hidden="1">
      <c r="A1160" s="370">
        <v>45594.60050925926</v>
      </c>
      <c r="B1160" s="365" t="s">
        <v>4720</v>
      </c>
      <c r="C1160" s="365" t="s">
        <v>2339</v>
      </c>
      <c r="D1160" s="365" t="s">
        <v>2340</v>
      </c>
      <c r="E1160" s="365" t="s">
        <v>2341</v>
      </c>
      <c r="F1160" s="365" t="s">
        <v>4721</v>
      </c>
      <c r="G1160" s="370">
        <v>45595</v>
      </c>
      <c r="H1160" s="369">
        <v>15999</v>
      </c>
      <c r="I1160" s="365" t="s">
        <v>4722</v>
      </c>
      <c r="J1160" s="365" t="s">
        <v>1228</v>
      </c>
      <c r="K1160" s="365" t="s">
        <v>1229</v>
      </c>
      <c r="L1160" s="370">
        <v>45594.601122685184</v>
      </c>
    </row>
    <row r="1161" spans="1:12" s="365" customFormat="1" hidden="1">
      <c r="A1161" s="370">
        <v>45594.661238425928</v>
      </c>
      <c r="B1161" s="365" t="s">
        <v>4778</v>
      </c>
      <c r="C1161" s="365" t="s">
        <v>4779</v>
      </c>
      <c r="D1161" s="365" t="s">
        <v>4780</v>
      </c>
      <c r="E1161" s="365" t="s">
        <v>4781</v>
      </c>
      <c r="F1161" s="365" t="s">
        <v>4782</v>
      </c>
      <c r="G1161" s="370">
        <v>45595</v>
      </c>
      <c r="H1161" s="369">
        <v>105000</v>
      </c>
      <c r="I1161" s="365" t="s">
        <v>4783</v>
      </c>
      <c r="J1161" s="365" t="s">
        <v>1228</v>
      </c>
      <c r="K1161" s="365" t="s">
        <v>1229</v>
      </c>
      <c r="L1161" s="370">
        <v>45594.663622685184</v>
      </c>
    </row>
    <row r="1162" spans="1:12" s="365" customFormat="1" hidden="1">
      <c r="A1162" s="370">
        <v>45594.662291666667</v>
      </c>
      <c r="B1162" s="365" t="s">
        <v>4723</v>
      </c>
      <c r="C1162" s="365" t="s">
        <v>4724</v>
      </c>
      <c r="D1162" s="365" t="s">
        <v>4725</v>
      </c>
      <c r="E1162" s="365" t="s">
        <v>4726</v>
      </c>
      <c r="F1162" s="365" t="s">
        <v>4727</v>
      </c>
      <c r="G1162" s="370">
        <v>45595</v>
      </c>
      <c r="H1162" s="369">
        <v>15999</v>
      </c>
      <c r="I1162" s="365" t="s">
        <v>4728</v>
      </c>
      <c r="J1162" s="365" t="s">
        <v>1228</v>
      </c>
      <c r="K1162" s="365" t="s">
        <v>1229</v>
      </c>
      <c r="L1162" s="370">
        <v>45594.663437499999</v>
      </c>
    </row>
    <row r="1163" spans="1:12" s="365" customFormat="1" hidden="1">
      <c r="A1163" s="370">
        <v>45594.694837962961</v>
      </c>
      <c r="B1163" s="365" t="s">
        <v>4784</v>
      </c>
      <c r="C1163" s="365" t="s">
        <v>4785</v>
      </c>
      <c r="D1163" s="365" t="s">
        <v>4786</v>
      </c>
      <c r="E1163" s="365" t="s">
        <v>4787</v>
      </c>
      <c r="F1163" s="365" t="s">
        <v>4788</v>
      </c>
      <c r="G1163" s="370">
        <v>45595</v>
      </c>
      <c r="H1163" s="369">
        <v>15999</v>
      </c>
      <c r="I1163" s="365" t="s">
        <v>4789</v>
      </c>
      <c r="J1163" s="365" t="s">
        <v>1228</v>
      </c>
      <c r="K1163" s="365" t="s">
        <v>1229</v>
      </c>
      <c r="L1163" s="370">
        <v>45594.698495370372</v>
      </c>
    </row>
    <row r="1164" spans="1:12" s="365" customFormat="1" hidden="1">
      <c r="A1164" s="370">
        <v>45594.696631944447</v>
      </c>
      <c r="B1164" s="365" t="s">
        <v>4750</v>
      </c>
      <c r="C1164" s="365" t="s">
        <v>4751</v>
      </c>
      <c r="D1164" s="365" t="s">
        <v>4752</v>
      </c>
      <c r="E1164" s="365" t="s">
        <v>4753</v>
      </c>
      <c r="F1164" s="365" t="s">
        <v>4754</v>
      </c>
      <c r="G1164" s="370">
        <v>45595</v>
      </c>
      <c r="H1164" s="369">
        <v>25000</v>
      </c>
      <c r="I1164" s="365" t="s">
        <v>4755</v>
      </c>
      <c r="J1164" s="365" t="s">
        <v>1228</v>
      </c>
      <c r="K1164" s="365" t="s">
        <v>1229</v>
      </c>
      <c r="L1164" s="370">
        <v>45594.698310185187</v>
      </c>
    </row>
    <row r="1165" spans="1:12" s="365" customFormat="1" hidden="1">
      <c r="A1165" s="370">
        <v>45594.708321759259</v>
      </c>
      <c r="B1165" s="365" t="s">
        <v>4729</v>
      </c>
      <c r="C1165" s="365" t="s">
        <v>4730</v>
      </c>
      <c r="D1165" s="365" t="s">
        <v>4731</v>
      </c>
      <c r="E1165" s="365" t="s">
        <v>4732</v>
      </c>
      <c r="F1165" s="365" t="s">
        <v>4733</v>
      </c>
      <c r="G1165" s="370">
        <v>45595</v>
      </c>
      <c r="H1165" s="369">
        <v>65000</v>
      </c>
      <c r="I1165" s="365" t="s">
        <v>4734</v>
      </c>
      <c r="J1165" s="365" t="s">
        <v>1228</v>
      </c>
      <c r="K1165" s="365" t="s">
        <v>1229</v>
      </c>
      <c r="L1165" s="370">
        <v>45594.708622685182</v>
      </c>
    </row>
    <row r="1166" spans="1:12" s="365" customFormat="1" hidden="1">
      <c r="A1166" s="370">
        <v>45594.720439814817</v>
      </c>
      <c r="B1166" s="365" t="s">
        <v>4735</v>
      </c>
      <c r="C1166" s="365" t="s">
        <v>1736</v>
      </c>
      <c r="D1166" s="365" t="s">
        <v>1737</v>
      </c>
      <c r="E1166" s="365" t="s">
        <v>1738</v>
      </c>
      <c r="F1166" s="365" t="s">
        <v>4736</v>
      </c>
      <c r="G1166" s="370">
        <v>45595</v>
      </c>
      <c r="H1166" s="369">
        <v>25000</v>
      </c>
      <c r="I1166" s="365" t="s">
        <v>4737</v>
      </c>
      <c r="J1166" s="365" t="s">
        <v>1228</v>
      </c>
      <c r="K1166" s="365" t="s">
        <v>1229</v>
      </c>
      <c r="L1166" s="370">
        <v>45594.722511574073</v>
      </c>
    </row>
    <row r="1167" spans="1:12" s="365" customFormat="1" hidden="1">
      <c r="A1167" s="370">
        <v>45594.740289351852</v>
      </c>
      <c r="B1167" s="365" t="s">
        <v>4756</v>
      </c>
      <c r="C1167" s="365" t="s">
        <v>1376</v>
      </c>
      <c r="D1167" s="365" t="s">
        <v>1377</v>
      </c>
      <c r="E1167" s="365" t="s">
        <v>1378</v>
      </c>
      <c r="F1167" s="365" t="s">
        <v>4757</v>
      </c>
      <c r="G1167" s="370">
        <v>45595</v>
      </c>
      <c r="H1167" s="369">
        <v>15999</v>
      </c>
      <c r="I1167" s="365" t="s">
        <v>4758</v>
      </c>
      <c r="J1167" s="365" t="s">
        <v>1228</v>
      </c>
      <c r="K1167" s="365" t="s">
        <v>1229</v>
      </c>
      <c r="L1167" s="370">
        <v>45594.743506944447</v>
      </c>
    </row>
    <row r="1168" spans="1:12" s="365" customFormat="1" hidden="1">
      <c r="A1168" s="370">
        <v>45594.769641203704</v>
      </c>
      <c r="B1168" s="365" t="s">
        <v>4759</v>
      </c>
      <c r="C1168" s="365" t="s">
        <v>4760</v>
      </c>
      <c r="D1168" s="365" t="s">
        <v>4761</v>
      </c>
      <c r="E1168" s="365" t="s">
        <v>4762</v>
      </c>
      <c r="F1168" s="365" t="s">
        <v>4763</v>
      </c>
      <c r="G1168" s="370">
        <v>45595</v>
      </c>
      <c r="H1168" s="369">
        <v>42000</v>
      </c>
      <c r="I1168" s="365" t="s">
        <v>4764</v>
      </c>
      <c r="J1168" s="365" t="s">
        <v>1228</v>
      </c>
      <c r="K1168" s="365" t="s">
        <v>1229</v>
      </c>
      <c r="L1168" s="370">
        <v>45594.771273148152</v>
      </c>
    </row>
    <row r="1169" spans="1:12" s="365" customFormat="1" hidden="1">
      <c r="A1169" s="370">
        <v>45594.797476851854</v>
      </c>
      <c r="B1169" s="365" t="s">
        <v>4790</v>
      </c>
      <c r="C1169" s="365" t="s">
        <v>1447</v>
      </c>
      <c r="D1169" s="365" t="s">
        <v>1448</v>
      </c>
      <c r="E1169" s="365" t="s">
        <v>1449</v>
      </c>
      <c r="F1169" s="365" t="s">
        <v>4791</v>
      </c>
      <c r="G1169" s="370">
        <v>45595</v>
      </c>
      <c r="H1169" s="369">
        <v>41000</v>
      </c>
      <c r="I1169" s="365" t="s">
        <v>4792</v>
      </c>
      <c r="J1169" s="365" t="s">
        <v>1228</v>
      </c>
      <c r="K1169" s="365" t="s">
        <v>1229</v>
      </c>
      <c r="L1169" s="370">
        <v>45594.799027777779</v>
      </c>
    </row>
    <row r="1170" spans="1:12" s="365" customFormat="1" hidden="1">
      <c r="A1170" s="370">
        <v>45594.815023148149</v>
      </c>
      <c r="B1170" s="365" t="s">
        <v>4765</v>
      </c>
      <c r="C1170" s="365" t="s">
        <v>1399</v>
      </c>
      <c r="D1170" s="365" t="s">
        <v>1400</v>
      </c>
      <c r="E1170" s="365" t="s">
        <v>1401</v>
      </c>
      <c r="F1170" s="365" t="s">
        <v>4766</v>
      </c>
      <c r="G1170" s="370">
        <v>45595</v>
      </c>
      <c r="H1170" s="369">
        <v>15999</v>
      </c>
      <c r="I1170" s="365" t="s">
        <v>4767</v>
      </c>
      <c r="J1170" s="365" t="s">
        <v>1228</v>
      </c>
      <c r="K1170" s="365" t="s">
        <v>1229</v>
      </c>
      <c r="L1170" s="370">
        <v>45594.816458333335</v>
      </c>
    </row>
    <row r="1171" spans="1:12" s="365" customFormat="1" hidden="1">
      <c r="A1171" s="370">
        <v>45594.820092592592</v>
      </c>
      <c r="B1171" s="365" t="s">
        <v>4793</v>
      </c>
      <c r="C1171" s="365" t="s">
        <v>1564</v>
      </c>
      <c r="D1171" s="365" t="s">
        <v>1565</v>
      </c>
      <c r="E1171" s="365" t="s">
        <v>1566</v>
      </c>
      <c r="F1171" s="365" t="s">
        <v>4794</v>
      </c>
      <c r="G1171" s="370">
        <v>45595</v>
      </c>
      <c r="H1171" s="369">
        <v>15999</v>
      </c>
      <c r="I1171" s="365" t="s">
        <v>4795</v>
      </c>
      <c r="J1171" s="365" t="s">
        <v>1228</v>
      </c>
      <c r="K1171" s="365" t="s">
        <v>1229</v>
      </c>
      <c r="L1171" s="370">
        <v>45594.823229166665</v>
      </c>
    </row>
    <row r="1172" spans="1:12" s="365" customFormat="1" hidden="1">
      <c r="A1172" s="370">
        <v>45594.829722222225</v>
      </c>
      <c r="B1172" s="365" t="s">
        <v>4796</v>
      </c>
      <c r="C1172" s="365" t="s">
        <v>4797</v>
      </c>
      <c r="D1172" s="365" t="s">
        <v>1732</v>
      </c>
      <c r="E1172" s="365" t="s">
        <v>1733</v>
      </c>
      <c r="F1172" s="365" t="s">
        <v>4798</v>
      </c>
      <c r="G1172" s="370">
        <v>45595</v>
      </c>
      <c r="H1172" s="369">
        <v>15999</v>
      </c>
      <c r="I1172" s="365" t="s">
        <v>4799</v>
      </c>
      <c r="J1172" s="365" t="s">
        <v>1228</v>
      </c>
      <c r="K1172" s="365" t="s">
        <v>1229</v>
      </c>
      <c r="L1172" s="370">
        <v>45594.830335648148</v>
      </c>
    </row>
    <row r="1173" spans="1:12" s="365" customFormat="1" hidden="1">
      <c r="A1173" s="370">
        <v>45594.913171296299</v>
      </c>
      <c r="B1173" s="365" t="s">
        <v>4738</v>
      </c>
      <c r="C1173" s="365" t="s">
        <v>1575</v>
      </c>
      <c r="D1173" s="365" t="s">
        <v>1576</v>
      </c>
      <c r="E1173" s="365" t="s">
        <v>1577</v>
      </c>
      <c r="F1173" s="365" t="s">
        <v>4739</v>
      </c>
      <c r="G1173" s="370">
        <v>45595</v>
      </c>
      <c r="H1173" s="369">
        <v>27000</v>
      </c>
      <c r="I1173" s="365" t="s">
        <v>4740</v>
      </c>
      <c r="J1173" s="365" t="s">
        <v>1228</v>
      </c>
      <c r="K1173" s="365" t="s">
        <v>1229</v>
      </c>
      <c r="L1173" s="370">
        <v>45594.913587962961</v>
      </c>
    </row>
    <row r="1174" spans="1:12" s="365" customFormat="1" hidden="1">
      <c r="A1174" s="370">
        <v>45595.299375000002</v>
      </c>
      <c r="B1174" s="365" t="s">
        <v>4862</v>
      </c>
      <c r="C1174" s="365" t="s">
        <v>1714</v>
      </c>
      <c r="D1174" s="365" t="s">
        <v>1715</v>
      </c>
      <c r="E1174" s="365" t="s">
        <v>1716</v>
      </c>
      <c r="F1174" s="365" t="s">
        <v>4863</v>
      </c>
      <c r="G1174" s="370">
        <v>45595</v>
      </c>
      <c r="H1174" s="369">
        <v>23400</v>
      </c>
      <c r="I1174" s="365" t="s">
        <v>4864</v>
      </c>
      <c r="J1174" s="365" t="s">
        <v>1228</v>
      </c>
      <c r="K1174" s="365" t="s">
        <v>1229</v>
      </c>
      <c r="L1174" s="370">
        <v>45595.302685185183</v>
      </c>
    </row>
    <row r="1175" spans="1:12" s="365" customFormat="1" hidden="1">
      <c r="A1175" s="370">
        <v>45595.314351851855</v>
      </c>
      <c r="B1175" s="365" t="s">
        <v>4800</v>
      </c>
      <c r="C1175" s="365" t="s">
        <v>1379</v>
      </c>
      <c r="D1175" s="365" t="s">
        <v>1380</v>
      </c>
      <c r="E1175" s="365" t="s">
        <v>1381</v>
      </c>
      <c r="F1175" s="365" t="s">
        <v>4801</v>
      </c>
      <c r="G1175" s="370">
        <v>45595</v>
      </c>
      <c r="H1175" s="369">
        <v>41000</v>
      </c>
      <c r="I1175" s="365" t="s">
        <v>4802</v>
      </c>
      <c r="J1175" s="365" t="s">
        <v>1228</v>
      </c>
      <c r="K1175" s="365" t="s">
        <v>1229</v>
      </c>
      <c r="L1175" s="370">
        <v>45595.316481481481</v>
      </c>
    </row>
    <row r="1176" spans="1:12" s="365" customFormat="1" hidden="1">
      <c r="A1176" s="370">
        <v>45595.323425925926</v>
      </c>
      <c r="B1176" s="365" t="s">
        <v>4865</v>
      </c>
      <c r="C1176" s="365" t="s">
        <v>4866</v>
      </c>
      <c r="D1176" s="365" t="s">
        <v>1634</v>
      </c>
      <c r="E1176" s="365" t="s">
        <v>1635</v>
      </c>
      <c r="F1176" s="365" t="s">
        <v>4867</v>
      </c>
      <c r="G1176" s="370">
        <v>45595</v>
      </c>
      <c r="H1176" s="369">
        <v>15999</v>
      </c>
      <c r="I1176" s="365" t="s">
        <v>4868</v>
      </c>
      <c r="J1176" s="365" t="s">
        <v>1228</v>
      </c>
      <c r="K1176" s="365" t="s">
        <v>1229</v>
      </c>
      <c r="L1176" s="370">
        <v>45595.326631944445</v>
      </c>
    </row>
    <row r="1177" spans="1:12" s="365" customFormat="1" hidden="1">
      <c r="A1177" s="370">
        <v>45595.393483796295</v>
      </c>
      <c r="B1177" s="365" t="s">
        <v>4835</v>
      </c>
      <c r="C1177" s="365" t="s">
        <v>4836</v>
      </c>
      <c r="D1177" s="365" t="s">
        <v>4837</v>
      </c>
      <c r="E1177" s="365" t="s">
        <v>4838</v>
      </c>
      <c r="F1177" s="365" t="s">
        <v>4839</v>
      </c>
      <c r="G1177" s="370">
        <v>45595</v>
      </c>
      <c r="H1177" s="369">
        <v>15999</v>
      </c>
      <c r="I1177" s="365" t="s">
        <v>4840</v>
      </c>
      <c r="J1177" s="365" t="s">
        <v>1228</v>
      </c>
      <c r="K1177" s="365" t="s">
        <v>1229</v>
      </c>
      <c r="L1177" s="370">
        <v>45595.396226851852</v>
      </c>
    </row>
    <row r="1178" spans="1:12" s="365" customFormat="1" hidden="1">
      <c r="A1178" s="370">
        <v>45595.401956018519</v>
      </c>
      <c r="B1178" s="365" t="s">
        <v>4869</v>
      </c>
      <c r="C1178" s="365" t="s">
        <v>1813</v>
      </c>
      <c r="D1178" s="365" t="s">
        <v>1814</v>
      </c>
      <c r="E1178" s="365" t="s">
        <v>1815</v>
      </c>
      <c r="F1178" s="365" t="s">
        <v>4870</v>
      </c>
      <c r="G1178" s="370">
        <v>45595</v>
      </c>
      <c r="H1178" s="369">
        <v>22500</v>
      </c>
      <c r="I1178" s="365" t="s">
        <v>4871</v>
      </c>
      <c r="J1178" s="365" t="s">
        <v>1228</v>
      </c>
      <c r="K1178" s="365" t="s">
        <v>1229</v>
      </c>
      <c r="L1178" s="370">
        <v>45595.402986111112</v>
      </c>
    </row>
    <row r="1179" spans="1:12" s="365" customFormat="1" hidden="1">
      <c r="A1179" s="370">
        <v>45595.426215277781</v>
      </c>
      <c r="B1179" s="365" t="s">
        <v>4872</v>
      </c>
      <c r="C1179" s="365" t="s">
        <v>2269</v>
      </c>
      <c r="D1179" s="365" t="s">
        <v>2270</v>
      </c>
      <c r="E1179" s="365" t="s">
        <v>2271</v>
      </c>
      <c r="F1179" s="365" t="s">
        <v>4873</v>
      </c>
      <c r="G1179" s="370">
        <v>45595</v>
      </c>
      <c r="H1179" s="369">
        <v>7500</v>
      </c>
      <c r="I1179" s="365" t="s">
        <v>4874</v>
      </c>
      <c r="J1179" s="365" t="s">
        <v>1228</v>
      </c>
      <c r="K1179" s="365" t="s">
        <v>1229</v>
      </c>
      <c r="L1179" s="370">
        <v>45595.427546296298</v>
      </c>
    </row>
    <row r="1180" spans="1:12" s="365" customFormat="1" hidden="1">
      <c r="A1180" s="370">
        <v>45595.430543981478</v>
      </c>
      <c r="B1180" s="365" t="s">
        <v>4841</v>
      </c>
      <c r="C1180" s="365" t="s">
        <v>1720</v>
      </c>
      <c r="D1180" s="365" t="s">
        <v>1721</v>
      </c>
      <c r="E1180" s="365" t="s">
        <v>1722</v>
      </c>
      <c r="F1180" s="365" t="s">
        <v>4842</v>
      </c>
      <c r="G1180" s="370">
        <v>45595</v>
      </c>
      <c r="H1180" s="369">
        <v>20999</v>
      </c>
      <c r="I1180" s="365" t="s">
        <v>4843</v>
      </c>
      <c r="J1180" s="365" t="s">
        <v>1228</v>
      </c>
      <c r="K1180" s="365" t="s">
        <v>1229</v>
      </c>
      <c r="L1180" s="370">
        <v>45595.430752314816</v>
      </c>
    </row>
    <row r="1181" spans="1:12" s="365" customFormat="1" hidden="1">
      <c r="A1181" s="370">
        <v>45595.43068287037</v>
      </c>
      <c r="B1181" s="365" t="s">
        <v>4803</v>
      </c>
      <c r="C1181" s="365" t="s">
        <v>1435</v>
      </c>
      <c r="D1181" s="365" t="s">
        <v>1436</v>
      </c>
      <c r="E1181" s="365" t="s">
        <v>1437</v>
      </c>
      <c r="F1181" s="365" t="s">
        <v>4804</v>
      </c>
      <c r="G1181" s="370">
        <v>45595</v>
      </c>
      <c r="H1181" s="369">
        <v>17000</v>
      </c>
      <c r="I1181" s="365" t="s">
        <v>4805</v>
      </c>
      <c r="J1181" s="365" t="s">
        <v>1228</v>
      </c>
      <c r="K1181" s="365" t="s">
        <v>1229</v>
      </c>
      <c r="L1181" s="370">
        <v>45595.434155092589</v>
      </c>
    </row>
    <row r="1182" spans="1:12" s="365" customFormat="1" hidden="1">
      <c r="A1182" s="370">
        <v>45595.440844907411</v>
      </c>
      <c r="B1182" s="365" t="s">
        <v>4806</v>
      </c>
      <c r="C1182" s="365" t="s">
        <v>1521</v>
      </c>
      <c r="D1182" s="365" t="s">
        <v>1522</v>
      </c>
      <c r="E1182" s="365" t="s">
        <v>1523</v>
      </c>
      <c r="F1182" s="365" t="s">
        <v>4807</v>
      </c>
      <c r="G1182" s="370">
        <v>45595</v>
      </c>
      <c r="H1182" s="369">
        <v>24999</v>
      </c>
      <c r="I1182" s="365" t="s">
        <v>4808</v>
      </c>
      <c r="J1182" s="365" t="s">
        <v>1228</v>
      </c>
      <c r="K1182" s="365" t="s">
        <v>1229</v>
      </c>
      <c r="L1182" s="370">
        <v>45595.441435185188</v>
      </c>
    </row>
    <row r="1183" spans="1:12" s="365" customFormat="1" hidden="1">
      <c r="A1183" s="370">
        <v>45595.448009259257</v>
      </c>
      <c r="B1183" s="365" t="s">
        <v>4875</v>
      </c>
      <c r="C1183" s="365" t="s">
        <v>1512</v>
      </c>
      <c r="D1183" s="365" t="s">
        <v>1513</v>
      </c>
      <c r="E1183" s="365" t="s">
        <v>1514</v>
      </c>
      <c r="F1183" s="365" t="s">
        <v>4876</v>
      </c>
      <c r="G1183" s="370">
        <v>45595</v>
      </c>
      <c r="H1183" s="369">
        <v>84000</v>
      </c>
      <c r="I1183" s="365" t="s">
        <v>4877</v>
      </c>
      <c r="J1183" s="365" t="s">
        <v>1228</v>
      </c>
      <c r="K1183" s="365" t="s">
        <v>1229</v>
      </c>
      <c r="L1183" s="370">
        <v>45595.451770833337</v>
      </c>
    </row>
    <row r="1184" spans="1:12" s="365" customFormat="1" hidden="1">
      <c r="A1184" s="370">
        <v>45595.490162037036</v>
      </c>
      <c r="B1184" s="365" t="s">
        <v>4809</v>
      </c>
      <c r="C1184" s="365" t="s">
        <v>1509</v>
      </c>
      <c r="D1184" s="365" t="s">
        <v>1510</v>
      </c>
      <c r="E1184" s="365" t="s">
        <v>1511</v>
      </c>
      <c r="F1184" s="365" t="s">
        <v>4810</v>
      </c>
      <c r="G1184" s="370">
        <v>45595</v>
      </c>
      <c r="H1184" s="369">
        <v>20000</v>
      </c>
      <c r="I1184" s="365" t="s">
        <v>4811</v>
      </c>
      <c r="J1184" s="365" t="s">
        <v>1228</v>
      </c>
      <c r="K1184" s="365" t="s">
        <v>1229</v>
      </c>
      <c r="L1184" s="370">
        <v>45595.49324074074</v>
      </c>
    </row>
    <row r="1185" spans="1:12" s="365" customFormat="1" hidden="1">
      <c r="A1185" s="370">
        <v>45595.526585648149</v>
      </c>
      <c r="B1185" s="365" t="s">
        <v>4812</v>
      </c>
      <c r="C1185" s="365" t="s">
        <v>1583</v>
      </c>
      <c r="D1185" s="365" t="s">
        <v>1584</v>
      </c>
      <c r="E1185" s="365" t="s">
        <v>1585</v>
      </c>
      <c r="F1185" s="365" t="s">
        <v>4813</v>
      </c>
      <c r="G1185" s="370">
        <v>45595</v>
      </c>
      <c r="H1185" s="369">
        <v>25999</v>
      </c>
      <c r="I1185" s="365" t="s">
        <v>4814</v>
      </c>
      <c r="J1185" s="365" t="s">
        <v>1228</v>
      </c>
      <c r="K1185" s="365" t="s">
        <v>1229</v>
      </c>
      <c r="L1185" s="370">
        <v>45595.528298611112</v>
      </c>
    </row>
    <row r="1186" spans="1:12" s="365" customFormat="1" hidden="1">
      <c r="A1186" s="370">
        <v>45595.526921296296</v>
      </c>
      <c r="B1186" s="365" t="s">
        <v>4878</v>
      </c>
      <c r="C1186" s="365" t="s">
        <v>1404</v>
      </c>
      <c r="D1186" s="365" t="s">
        <v>1405</v>
      </c>
      <c r="E1186" s="365" t="s">
        <v>1406</v>
      </c>
      <c r="F1186" s="365" t="s">
        <v>4879</v>
      </c>
      <c r="G1186" s="370">
        <v>45595</v>
      </c>
      <c r="H1186" s="369">
        <v>15999</v>
      </c>
      <c r="I1186" s="365" t="s">
        <v>4880</v>
      </c>
      <c r="J1186" s="365" t="s">
        <v>1228</v>
      </c>
      <c r="K1186" s="365" t="s">
        <v>1229</v>
      </c>
      <c r="L1186" s="370">
        <v>45595.528483796297</v>
      </c>
    </row>
    <row r="1187" spans="1:12" s="365" customFormat="1" hidden="1">
      <c r="A1187" s="370">
        <v>45595.529756944445</v>
      </c>
      <c r="B1187" s="365" t="s">
        <v>4881</v>
      </c>
      <c r="C1187" s="365" t="s">
        <v>4882</v>
      </c>
      <c r="D1187" s="365" t="s">
        <v>1826</v>
      </c>
      <c r="E1187" s="365" t="s">
        <v>1827</v>
      </c>
      <c r="F1187" s="365" t="s">
        <v>4883</v>
      </c>
      <c r="G1187" s="370">
        <v>45595</v>
      </c>
      <c r="H1187" s="369">
        <v>15999</v>
      </c>
      <c r="I1187" s="365" t="s">
        <v>4884</v>
      </c>
      <c r="J1187" s="365" t="s">
        <v>1228</v>
      </c>
      <c r="K1187" s="365" t="s">
        <v>1229</v>
      </c>
      <c r="L1187" s="370">
        <v>45595.532187500001</v>
      </c>
    </row>
    <row r="1188" spans="1:12" s="365" customFormat="1" hidden="1">
      <c r="A1188" s="370">
        <v>45595.565995370373</v>
      </c>
      <c r="B1188" s="365" t="s">
        <v>4885</v>
      </c>
      <c r="C1188" s="365" t="s">
        <v>2876</v>
      </c>
      <c r="D1188" s="365" t="s">
        <v>2877</v>
      </c>
      <c r="E1188" s="365" t="s">
        <v>2878</v>
      </c>
      <c r="F1188" s="365" t="s">
        <v>4886</v>
      </c>
      <c r="G1188" s="370">
        <v>45595</v>
      </c>
      <c r="H1188" s="369">
        <v>57500</v>
      </c>
      <c r="I1188" s="365" t="s">
        <v>4887</v>
      </c>
      <c r="J1188" s="365" t="s">
        <v>1228</v>
      </c>
      <c r="K1188" s="365" t="s">
        <v>1229</v>
      </c>
      <c r="L1188" s="370">
        <v>45595.567071759258</v>
      </c>
    </row>
    <row r="1189" spans="1:12" s="365" customFormat="1" hidden="1">
      <c r="A1189" s="370">
        <v>45595.577268518522</v>
      </c>
      <c r="B1189" s="365" t="s">
        <v>4888</v>
      </c>
      <c r="C1189" s="365" t="s">
        <v>1625</v>
      </c>
      <c r="D1189" s="365" t="s">
        <v>1626</v>
      </c>
      <c r="E1189" s="365" t="s">
        <v>1627</v>
      </c>
      <c r="F1189" s="365" t="s">
        <v>4889</v>
      </c>
      <c r="G1189" s="370">
        <v>45595</v>
      </c>
      <c r="H1189" s="369">
        <v>18000</v>
      </c>
      <c r="I1189" s="365" t="s">
        <v>4890</v>
      </c>
      <c r="J1189" s="365" t="s">
        <v>1228</v>
      </c>
      <c r="K1189" s="365" t="s">
        <v>1229</v>
      </c>
      <c r="L1189" s="370">
        <v>45595.58079861111</v>
      </c>
    </row>
    <row r="1190" spans="1:12" s="365" customFormat="1" hidden="1">
      <c r="A1190" s="370">
        <v>45595.5778587963</v>
      </c>
      <c r="B1190" s="365" t="s">
        <v>4891</v>
      </c>
      <c r="C1190" s="365" t="s">
        <v>4892</v>
      </c>
      <c r="D1190" s="365" t="s">
        <v>2161</v>
      </c>
      <c r="E1190" s="365" t="s">
        <v>2162</v>
      </c>
      <c r="F1190" s="365" t="s">
        <v>4893</v>
      </c>
      <c r="G1190" s="370">
        <v>45595</v>
      </c>
      <c r="H1190" s="369">
        <v>15000</v>
      </c>
      <c r="I1190" s="365" t="s">
        <v>4894</v>
      </c>
      <c r="J1190" s="365" t="s">
        <v>1228</v>
      </c>
      <c r="K1190" s="365" t="s">
        <v>1229</v>
      </c>
      <c r="L1190" s="370">
        <v>45595.580983796295</v>
      </c>
    </row>
    <row r="1191" spans="1:12" s="365" customFormat="1" hidden="1">
      <c r="A1191" s="370">
        <v>45595.584317129629</v>
      </c>
      <c r="B1191" s="365" t="s">
        <v>4815</v>
      </c>
      <c r="C1191" s="365" t="s">
        <v>4816</v>
      </c>
      <c r="D1191" s="365" t="s">
        <v>4817</v>
      </c>
      <c r="E1191" s="365" t="s">
        <v>4818</v>
      </c>
      <c r="F1191" s="365" t="s">
        <v>4819</v>
      </c>
      <c r="G1191" s="370">
        <v>45595</v>
      </c>
      <c r="H1191" s="369">
        <v>20999</v>
      </c>
      <c r="I1191" s="365" t="s">
        <v>4820</v>
      </c>
      <c r="J1191" s="365" t="s">
        <v>1228</v>
      </c>
      <c r="K1191" s="365" t="s">
        <v>1229</v>
      </c>
      <c r="L1191" s="370">
        <v>45595.587719907409</v>
      </c>
    </row>
    <row r="1192" spans="1:12" s="365" customFormat="1" hidden="1">
      <c r="A1192" s="370">
        <v>45595.614016203705</v>
      </c>
      <c r="B1192" s="365" t="s">
        <v>4895</v>
      </c>
      <c r="C1192" s="365" t="s">
        <v>4896</v>
      </c>
      <c r="D1192" s="365" t="s">
        <v>4897</v>
      </c>
      <c r="E1192" s="365" t="s">
        <v>4898</v>
      </c>
      <c r="F1192" s="365" t="s">
        <v>4899</v>
      </c>
      <c r="G1192" s="370">
        <v>45595</v>
      </c>
      <c r="H1192" s="369">
        <v>3250</v>
      </c>
      <c r="I1192" s="365" t="s">
        <v>4900</v>
      </c>
      <c r="J1192" s="365" t="s">
        <v>1228</v>
      </c>
      <c r="K1192" s="365" t="s">
        <v>1229</v>
      </c>
      <c r="L1192" s="370">
        <v>45595.615659722222</v>
      </c>
    </row>
    <row r="1193" spans="1:12" s="365" customFormat="1" hidden="1">
      <c r="A1193" s="370">
        <v>45595.621412037035</v>
      </c>
      <c r="B1193" s="365" t="s">
        <v>4844</v>
      </c>
      <c r="C1193" s="365" t="s">
        <v>4845</v>
      </c>
      <c r="D1193" s="365" t="s">
        <v>4846</v>
      </c>
      <c r="E1193" s="365" t="s">
        <v>4847</v>
      </c>
      <c r="F1193" s="365" t="s">
        <v>4848</v>
      </c>
      <c r="G1193" s="370">
        <v>45595</v>
      </c>
      <c r="H1193" s="369">
        <v>30000</v>
      </c>
      <c r="I1193" s="365" t="s">
        <v>4849</v>
      </c>
      <c r="J1193" s="365" t="s">
        <v>1228</v>
      </c>
      <c r="K1193" s="365" t="s">
        <v>1229</v>
      </c>
      <c r="L1193" s="370">
        <v>45595.62259259259</v>
      </c>
    </row>
    <row r="1194" spans="1:12" s="365" customFormat="1" hidden="1">
      <c r="A1194" s="370">
        <v>45595.627442129633</v>
      </c>
      <c r="B1194" s="365" t="s">
        <v>4850</v>
      </c>
      <c r="C1194" s="365" t="s">
        <v>1698</v>
      </c>
      <c r="D1194" s="365" t="s">
        <v>1699</v>
      </c>
      <c r="E1194" s="365" t="s">
        <v>1700</v>
      </c>
      <c r="F1194" s="365" t="s">
        <v>4851</v>
      </c>
      <c r="G1194" s="370">
        <v>45595</v>
      </c>
      <c r="H1194" s="369">
        <v>21000</v>
      </c>
      <c r="I1194" s="365" t="s">
        <v>4852</v>
      </c>
      <c r="J1194" s="365" t="s">
        <v>1228</v>
      </c>
      <c r="K1194" s="365" t="s">
        <v>1229</v>
      </c>
      <c r="L1194" s="370">
        <v>45595.62972222222</v>
      </c>
    </row>
    <row r="1195" spans="1:12" s="365" customFormat="1" hidden="1">
      <c r="A1195" s="370">
        <v>45595.627916666665</v>
      </c>
      <c r="B1195" s="365" t="s">
        <v>4901</v>
      </c>
      <c r="C1195" s="365" t="s">
        <v>1489</v>
      </c>
      <c r="D1195" s="365" t="s">
        <v>1490</v>
      </c>
      <c r="E1195" s="365" t="s">
        <v>1491</v>
      </c>
      <c r="F1195" s="365" t="s">
        <v>4902</v>
      </c>
      <c r="G1195" s="370">
        <v>45595</v>
      </c>
      <c r="H1195" s="369">
        <v>23000</v>
      </c>
      <c r="I1195" s="365" t="s">
        <v>4903</v>
      </c>
      <c r="J1195" s="365" t="s">
        <v>1228</v>
      </c>
      <c r="K1195" s="365" t="s">
        <v>1229</v>
      </c>
      <c r="L1195" s="370">
        <v>45595.629745370374</v>
      </c>
    </row>
    <row r="1196" spans="1:12" s="365" customFormat="1" hidden="1">
      <c r="A1196" s="370">
        <v>45595.643009259256</v>
      </c>
      <c r="B1196" s="365" t="s">
        <v>4904</v>
      </c>
      <c r="C1196" s="365" t="s">
        <v>2219</v>
      </c>
      <c r="D1196" s="365" t="s">
        <v>2220</v>
      </c>
      <c r="E1196" s="365" t="s">
        <v>2221</v>
      </c>
      <c r="F1196" s="365" t="s">
        <v>4905</v>
      </c>
      <c r="G1196" s="370">
        <v>45595</v>
      </c>
      <c r="H1196" s="369">
        <v>51000</v>
      </c>
      <c r="I1196" s="365" t="s">
        <v>4906</v>
      </c>
      <c r="J1196" s="365" t="s">
        <v>1228</v>
      </c>
      <c r="K1196" s="365" t="s">
        <v>1229</v>
      </c>
      <c r="L1196" s="370">
        <v>45595.643587962964</v>
      </c>
    </row>
    <row r="1197" spans="1:12" s="365" customFormat="1" hidden="1">
      <c r="A1197" s="370">
        <v>45595.681331018517</v>
      </c>
      <c r="B1197" s="365" t="s">
        <v>4821</v>
      </c>
      <c r="C1197" s="365" t="s">
        <v>1313</v>
      </c>
      <c r="D1197" s="365" t="s">
        <v>4822</v>
      </c>
      <c r="E1197" s="365" t="s">
        <v>4823</v>
      </c>
      <c r="F1197" s="365" t="s">
        <v>4824</v>
      </c>
      <c r="G1197" s="370">
        <v>45560</v>
      </c>
      <c r="H1197" s="369">
        <v>40001</v>
      </c>
      <c r="I1197" s="365" t="s">
        <v>4825</v>
      </c>
      <c r="J1197" s="365" t="s">
        <v>1228</v>
      </c>
      <c r="K1197" s="365" t="s">
        <v>1229</v>
      </c>
      <c r="L1197" s="370">
        <v>45595.68167824074</v>
      </c>
    </row>
    <row r="1198" spans="1:12" s="365" customFormat="1" hidden="1">
      <c r="A1198" s="370">
        <v>45595.683611111112</v>
      </c>
      <c r="B1198" s="365" t="s">
        <v>4907</v>
      </c>
      <c r="C1198" s="365" t="s">
        <v>1313</v>
      </c>
      <c r="D1198" s="365" t="s">
        <v>4908</v>
      </c>
      <c r="E1198" s="365" t="s">
        <v>4909</v>
      </c>
      <c r="F1198" s="365" t="s">
        <v>4910</v>
      </c>
      <c r="G1198" s="370">
        <v>45595</v>
      </c>
      <c r="H1198" s="369">
        <v>20999</v>
      </c>
      <c r="I1198" s="365" t="s">
        <v>4911</v>
      </c>
      <c r="J1198" s="365" t="s">
        <v>1228</v>
      </c>
      <c r="K1198" s="365" t="s">
        <v>1229</v>
      </c>
      <c r="L1198" s="370">
        <v>45595.685231481482</v>
      </c>
    </row>
    <row r="1199" spans="1:12" s="365" customFormat="1" hidden="1">
      <c r="A1199" s="370">
        <v>45595.737384259257</v>
      </c>
      <c r="B1199" s="365" t="s">
        <v>4912</v>
      </c>
      <c r="C1199" s="365" t="s">
        <v>1265</v>
      </c>
      <c r="D1199" s="365" t="s">
        <v>4913</v>
      </c>
      <c r="E1199" s="365" t="s">
        <v>4914</v>
      </c>
      <c r="F1199" s="365" t="s">
        <v>4915</v>
      </c>
      <c r="G1199" s="370">
        <v>45595</v>
      </c>
      <c r="H1199" s="369">
        <v>34501</v>
      </c>
      <c r="I1199" s="365" t="s">
        <v>4916</v>
      </c>
      <c r="J1199" s="365" t="s">
        <v>1228</v>
      </c>
      <c r="K1199" s="365" t="s">
        <v>1229</v>
      </c>
      <c r="L1199" s="370">
        <v>45595.740960648145</v>
      </c>
    </row>
    <row r="1200" spans="1:12" s="365" customFormat="1" hidden="1">
      <c r="A1200" s="370">
        <v>45595.737546296295</v>
      </c>
      <c r="B1200" s="365" t="s">
        <v>4826</v>
      </c>
      <c r="C1200" s="365" t="s">
        <v>4827</v>
      </c>
      <c r="D1200" s="365" t="s">
        <v>4828</v>
      </c>
      <c r="E1200" s="365" t="s">
        <v>4829</v>
      </c>
      <c r="F1200" s="365" t="s">
        <v>4830</v>
      </c>
      <c r="G1200" s="370">
        <v>45595</v>
      </c>
      <c r="H1200" s="369">
        <v>58000</v>
      </c>
      <c r="I1200" s="365" t="s">
        <v>4831</v>
      </c>
      <c r="J1200" s="365" t="s">
        <v>1228</v>
      </c>
      <c r="K1200" s="365" t="s">
        <v>1229</v>
      </c>
      <c r="L1200" s="370">
        <v>45595.740787037037</v>
      </c>
    </row>
    <row r="1201" spans="1:12" s="365" customFormat="1" hidden="1">
      <c r="A1201" s="370">
        <v>45595.745335648149</v>
      </c>
      <c r="B1201" s="365" t="s">
        <v>4832</v>
      </c>
      <c r="C1201" s="365" t="s">
        <v>1541</v>
      </c>
      <c r="D1201" s="365" t="s">
        <v>1542</v>
      </c>
      <c r="E1201" s="365" t="s">
        <v>1543</v>
      </c>
      <c r="F1201" s="365" t="s">
        <v>4833</v>
      </c>
      <c r="G1201" s="370">
        <v>45595</v>
      </c>
      <c r="H1201" s="369">
        <v>15000</v>
      </c>
      <c r="I1201" s="365" t="s">
        <v>4834</v>
      </c>
      <c r="J1201" s="365" t="s">
        <v>1228</v>
      </c>
      <c r="K1201" s="365" t="s">
        <v>1229</v>
      </c>
      <c r="L1201" s="370">
        <v>45595.747546296298</v>
      </c>
    </row>
    <row r="1202" spans="1:12" s="365" customFormat="1" hidden="1">
      <c r="A1202" s="370">
        <v>45595.749282407407</v>
      </c>
      <c r="B1202" s="365" t="s">
        <v>4917</v>
      </c>
      <c r="C1202" s="365" t="s">
        <v>1739</v>
      </c>
      <c r="D1202" s="365" t="s">
        <v>1740</v>
      </c>
      <c r="E1202" s="365" t="s">
        <v>1741</v>
      </c>
      <c r="F1202" s="365" t="s">
        <v>4918</v>
      </c>
      <c r="G1202" s="370">
        <v>45595</v>
      </c>
      <c r="H1202" s="369">
        <v>35000</v>
      </c>
      <c r="I1202" s="365" t="s">
        <v>4919</v>
      </c>
      <c r="J1202" s="365" t="s">
        <v>1228</v>
      </c>
      <c r="K1202" s="365" t="s">
        <v>1229</v>
      </c>
      <c r="L1202" s="370">
        <v>45595.751296296294</v>
      </c>
    </row>
    <row r="1203" spans="1:12" s="365" customFormat="1" hidden="1">
      <c r="A1203" s="370">
        <v>45595.749641203707</v>
      </c>
      <c r="B1203" s="365" t="s">
        <v>4853</v>
      </c>
      <c r="C1203" s="365" t="s">
        <v>1572</v>
      </c>
      <c r="D1203" s="365" t="s">
        <v>1573</v>
      </c>
      <c r="E1203" s="365" t="s">
        <v>1574</v>
      </c>
      <c r="F1203" s="365" t="s">
        <v>4854</v>
      </c>
      <c r="G1203" s="370">
        <v>45595</v>
      </c>
      <c r="H1203" s="369">
        <v>17501</v>
      </c>
      <c r="I1203" s="365" t="s">
        <v>4855</v>
      </c>
      <c r="J1203" s="365" t="s">
        <v>1228</v>
      </c>
      <c r="K1203" s="365" t="s">
        <v>1229</v>
      </c>
      <c r="L1203" s="370">
        <v>45595.751111111109</v>
      </c>
    </row>
    <row r="1204" spans="1:12" s="365" customFormat="1" hidden="1">
      <c r="A1204" s="370">
        <v>45595.800266203703</v>
      </c>
      <c r="B1204" s="365" t="s">
        <v>4920</v>
      </c>
      <c r="C1204" s="365" t="s">
        <v>3687</v>
      </c>
      <c r="D1204" s="365" t="s">
        <v>3688</v>
      </c>
      <c r="E1204" s="365" t="s">
        <v>3689</v>
      </c>
      <c r="F1204" s="365" t="s">
        <v>4921</v>
      </c>
      <c r="G1204" s="370">
        <v>45560</v>
      </c>
      <c r="H1204" s="369">
        <v>15999</v>
      </c>
      <c r="I1204" s="365" t="s">
        <v>4922</v>
      </c>
      <c r="J1204" s="365" t="s">
        <v>1228</v>
      </c>
      <c r="K1204" s="365" t="s">
        <v>1229</v>
      </c>
      <c r="L1204" s="370">
        <v>45595.803067129629</v>
      </c>
    </row>
    <row r="1205" spans="1:12" s="365" customFormat="1" hidden="1">
      <c r="A1205" s="370">
        <v>45595.824791666666</v>
      </c>
      <c r="B1205" s="365" t="s">
        <v>4856</v>
      </c>
      <c r="C1205" s="365" t="s">
        <v>1450</v>
      </c>
      <c r="D1205" s="365" t="s">
        <v>1451</v>
      </c>
      <c r="E1205" s="365" t="s">
        <v>1452</v>
      </c>
      <c r="F1205" s="365" t="s">
        <v>4857</v>
      </c>
      <c r="G1205" s="370">
        <v>45595</v>
      </c>
      <c r="H1205" s="369">
        <v>15999</v>
      </c>
      <c r="I1205" s="365" t="s">
        <v>4858</v>
      </c>
      <c r="J1205" s="365" t="s">
        <v>1228</v>
      </c>
      <c r="K1205" s="365" t="s">
        <v>1229</v>
      </c>
      <c r="L1205" s="370">
        <v>45595.827604166669</v>
      </c>
    </row>
    <row r="1206" spans="1:12" s="365" customFormat="1" hidden="1">
      <c r="A1206" s="370">
        <v>45595.865451388891</v>
      </c>
      <c r="B1206" s="365" t="s">
        <v>4859</v>
      </c>
      <c r="C1206" s="365" t="s">
        <v>1233</v>
      </c>
      <c r="D1206" s="365" t="s">
        <v>1234</v>
      </c>
      <c r="E1206" s="365" t="s">
        <v>1235</v>
      </c>
      <c r="F1206" s="365" t="s">
        <v>4860</v>
      </c>
      <c r="G1206" s="370">
        <v>45595</v>
      </c>
      <c r="H1206" s="369">
        <v>15999</v>
      </c>
      <c r="I1206" s="365" t="s">
        <v>4861</v>
      </c>
      <c r="J1206" s="365" t="s">
        <v>1228</v>
      </c>
      <c r="K1206" s="365" t="s">
        <v>1229</v>
      </c>
      <c r="L1206" s="370">
        <v>45595.865671296298</v>
      </c>
    </row>
    <row r="1207" spans="1:12" s="365" customFormat="1" hidden="1">
      <c r="A1207" s="370">
        <v>45595.905462962961</v>
      </c>
      <c r="B1207" s="365" t="s">
        <v>4923</v>
      </c>
      <c r="C1207" s="365" t="s">
        <v>1605</v>
      </c>
      <c r="D1207" s="365" t="s">
        <v>1606</v>
      </c>
      <c r="E1207" s="365" t="s">
        <v>1607</v>
      </c>
      <c r="F1207" s="365" t="s">
        <v>4924</v>
      </c>
      <c r="G1207" s="370">
        <v>45595</v>
      </c>
      <c r="H1207" s="369">
        <v>12000</v>
      </c>
      <c r="I1207" s="365" t="s">
        <v>4925</v>
      </c>
      <c r="J1207" s="365" t="s">
        <v>1228</v>
      </c>
      <c r="K1207" s="365" t="s">
        <v>1229</v>
      </c>
      <c r="L1207" s="370">
        <v>45595.90730324074</v>
      </c>
    </row>
    <row r="1208" spans="1:12" s="365" customFormat="1" hidden="1">
      <c r="A1208" s="370">
        <v>45595.952893518515</v>
      </c>
      <c r="B1208" s="365" t="s">
        <v>4926</v>
      </c>
      <c r="C1208" s="365" t="s">
        <v>4927</v>
      </c>
      <c r="D1208" s="365" t="s">
        <v>4928</v>
      </c>
      <c r="E1208" s="365" t="s">
        <v>4929</v>
      </c>
      <c r="F1208" s="365" t="s">
        <v>4930</v>
      </c>
      <c r="G1208" s="370">
        <v>45595</v>
      </c>
      <c r="H1208" s="369">
        <v>27000</v>
      </c>
      <c r="I1208" s="365" t="s">
        <v>4931</v>
      </c>
      <c r="J1208" s="365" t="s">
        <v>1228</v>
      </c>
      <c r="K1208" s="365" t="s">
        <v>1229</v>
      </c>
      <c r="L1208" s="370">
        <v>45595.956041666665</v>
      </c>
    </row>
    <row r="1209" spans="1:12" s="365" customFormat="1">
      <c r="A1209" s="370"/>
      <c r="G1209" s="370"/>
      <c r="H1209" s="369"/>
      <c r="L1209" s="370"/>
    </row>
    <row r="1210" spans="1:12" s="365" customFormat="1">
      <c r="A1210" s="365" t="s">
        <v>1210</v>
      </c>
      <c r="B1210" s="365" t="s">
        <v>1211</v>
      </c>
      <c r="C1210" s="371">
        <v>45597</v>
      </c>
      <c r="D1210" s="365" t="s">
        <v>1212</v>
      </c>
      <c r="E1210" s="371">
        <v>45626</v>
      </c>
    </row>
    <row r="1211" spans="1:12" s="365" customFormat="1">
      <c r="A1211" s="365" t="s">
        <v>1213</v>
      </c>
      <c r="B1211" s="365" t="s">
        <v>1214</v>
      </c>
      <c r="C1211" s="365" t="s">
        <v>1215</v>
      </c>
      <c r="D1211" s="365" t="s">
        <v>1216</v>
      </c>
      <c r="E1211" s="365" t="s">
        <v>1217</v>
      </c>
      <c r="F1211" s="365" t="s">
        <v>1218</v>
      </c>
      <c r="G1211" s="365" t="s">
        <v>1219</v>
      </c>
      <c r="H1211" s="365" t="s">
        <v>1220</v>
      </c>
      <c r="I1211" s="365" t="s">
        <v>1221</v>
      </c>
      <c r="J1211" s="365" t="s">
        <v>1222</v>
      </c>
      <c r="K1211" s="365" t="s">
        <v>1223</v>
      </c>
      <c r="L1211" s="365" t="s">
        <v>1224</v>
      </c>
    </row>
    <row r="1212" spans="1:12" s="365" customFormat="1">
      <c r="A1212" s="370">
        <v>45597.265300925923</v>
      </c>
      <c r="B1212" s="365" t="s">
        <v>5570</v>
      </c>
      <c r="C1212" s="365" t="s">
        <v>5571</v>
      </c>
      <c r="D1212" s="365" t="s">
        <v>5572</v>
      </c>
      <c r="E1212" s="365" t="s">
        <v>5573</v>
      </c>
      <c r="F1212" s="365" t="s">
        <v>5574</v>
      </c>
      <c r="G1212" s="370">
        <v>45595</v>
      </c>
      <c r="H1212" s="369">
        <v>4500</v>
      </c>
      <c r="I1212" s="365" t="s">
        <v>5575</v>
      </c>
      <c r="J1212" s="365" t="s">
        <v>1228</v>
      </c>
      <c r="K1212" s="365" t="s">
        <v>1229</v>
      </c>
      <c r="L1212" s="370">
        <v>45597.267430555556</v>
      </c>
    </row>
    <row r="1213" spans="1:12" s="365" customFormat="1">
      <c r="A1213" s="370">
        <v>45597.405787037038</v>
      </c>
      <c r="B1213" s="365" t="s">
        <v>5576</v>
      </c>
      <c r="C1213" s="365" t="s">
        <v>1242</v>
      </c>
      <c r="D1213" s="365" t="s">
        <v>1243</v>
      </c>
      <c r="E1213" s="365" t="s">
        <v>1244</v>
      </c>
      <c r="F1213" s="365" t="s">
        <v>5577</v>
      </c>
      <c r="G1213" s="370">
        <v>45595</v>
      </c>
      <c r="H1213" s="369">
        <v>15000</v>
      </c>
      <c r="I1213" s="365" t="s">
        <v>5578</v>
      </c>
      <c r="J1213" s="365" t="s">
        <v>1228</v>
      </c>
      <c r="K1213" s="365" t="s">
        <v>1229</v>
      </c>
      <c r="L1213" s="370">
        <v>45597.406608796293</v>
      </c>
    </row>
    <row r="1214" spans="1:12" s="365" customFormat="1">
      <c r="A1214" s="370">
        <v>45597.468518518515</v>
      </c>
      <c r="B1214" s="365" t="s">
        <v>5579</v>
      </c>
      <c r="C1214" s="365" t="s">
        <v>1944</v>
      </c>
      <c r="D1214" s="365" t="s">
        <v>1945</v>
      </c>
      <c r="E1214" s="365" t="s">
        <v>1946</v>
      </c>
      <c r="F1214" s="365" t="s">
        <v>5580</v>
      </c>
      <c r="G1214" s="370">
        <v>45595</v>
      </c>
      <c r="H1214" s="369">
        <v>20000</v>
      </c>
      <c r="I1214" s="365" t="s">
        <v>5581</v>
      </c>
      <c r="J1214" s="365" t="s">
        <v>1228</v>
      </c>
      <c r="K1214" s="365" t="s">
        <v>1229</v>
      </c>
      <c r="L1214" s="370">
        <v>45597.468831018516</v>
      </c>
    </row>
    <row r="1215" spans="1:12" s="365" customFormat="1">
      <c r="A1215" s="370">
        <v>45597.471678240741</v>
      </c>
      <c r="B1215" s="365" t="s">
        <v>5582</v>
      </c>
      <c r="C1215" s="365" t="s">
        <v>5583</v>
      </c>
      <c r="D1215" s="365" t="s">
        <v>5584</v>
      </c>
      <c r="E1215" s="365" t="s">
        <v>5585</v>
      </c>
      <c r="F1215" s="365" t="s">
        <v>5586</v>
      </c>
      <c r="G1215" s="370">
        <v>45595</v>
      </c>
      <c r="H1215" s="369">
        <v>30000</v>
      </c>
      <c r="I1215" s="365" t="s">
        <v>5587</v>
      </c>
      <c r="J1215" s="365" t="s">
        <v>1228</v>
      </c>
      <c r="K1215" s="365" t="s">
        <v>1229</v>
      </c>
      <c r="L1215" s="370">
        <v>45597.472384259258</v>
      </c>
    </row>
    <row r="1216" spans="1:12" s="365" customFormat="1">
      <c r="A1216" s="370">
        <v>45597.496030092596</v>
      </c>
      <c r="B1216" s="365" t="s">
        <v>5588</v>
      </c>
      <c r="C1216" s="365" t="s">
        <v>5589</v>
      </c>
      <c r="D1216" s="365" t="s">
        <v>5590</v>
      </c>
      <c r="E1216" s="365" t="s">
        <v>5591</v>
      </c>
      <c r="F1216" s="365" t="s">
        <v>5592</v>
      </c>
      <c r="G1216" s="370">
        <v>45595</v>
      </c>
      <c r="H1216" s="369">
        <v>33000</v>
      </c>
      <c r="I1216" s="365" t="s">
        <v>5593</v>
      </c>
      <c r="J1216" s="365" t="s">
        <v>1228</v>
      </c>
      <c r="K1216" s="365" t="s">
        <v>1229</v>
      </c>
      <c r="L1216" s="370">
        <v>45597.497013888889</v>
      </c>
    </row>
    <row r="1217" spans="1:12" s="365" customFormat="1">
      <c r="A1217" s="370">
        <v>45597.755729166667</v>
      </c>
      <c r="B1217" s="365" t="s">
        <v>5594</v>
      </c>
      <c r="C1217" s="365" t="s">
        <v>2118</v>
      </c>
      <c r="D1217" s="365" t="s">
        <v>2119</v>
      </c>
      <c r="E1217" s="365" t="s">
        <v>2120</v>
      </c>
      <c r="F1217" s="365" t="s">
        <v>5595</v>
      </c>
      <c r="G1217" s="370">
        <v>45595</v>
      </c>
      <c r="H1217" s="369">
        <v>9000</v>
      </c>
      <c r="I1217" s="365" t="s">
        <v>5596</v>
      </c>
      <c r="J1217" s="365" t="s">
        <v>1228</v>
      </c>
      <c r="K1217" s="365" t="s">
        <v>1229</v>
      </c>
      <c r="L1217" s="370">
        <v>45597.757210648146</v>
      </c>
    </row>
    <row r="1218" spans="1:12" s="365" customFormat="1">
      <c r="A1218" s="370">
        <v>45597.923148148147</v>
      </c>
      <c r="B1218" s="365" t="s">
        <v>5597</v>
      </c>
      <c r="C1218" s="365" t="s">
        <v>1670</v>
      </c>
      <c r="D1218" s="365" t="s">
        <v>1671</v>
      </c>
      <c r="E1218" s="365" t="s">
        <v>1672</v>
      </c>
      <c r="F1218" s="365" t="s">
        <v>5598</v>
      </c>
      <c r="G1218" s="370">
        <v>45595</v>
      </c>
      <c r="H1218" s="369">
        <v>15000</v>
      </c>
      <c r="I1218" s="365" t="s">
        <v>5599</v>
      </c>
      <c r="J1218" s="365" t="s">
        <v>1228</v>
      </c>
      <c r="K1218" s="365" t="s">
        <v>1229</v>
      </c>
      <c r="L1218" s="370">
        <v>45597.92386574074</v>
      </c>
    </row>
    <row r="1219" spans="1:12" s="365" customFormat="1">
      <c r="A1219" s="370">
        <v>45597.290081018517</v>
      </c>
      <c r="B1219" s="365" t="s">
        <v>5600</v>
      </c>
      <c r="C1219" s="365" t="s">
        <v>2750</v>
      </c>
      <c r="D1219" s="365" t="s">
        <v>2751</v>
      </c>
      <c r="E1219" s="365" t="s">
        <v>2752</v>
      </c>
      <c r="F1219" s="365" t="s">
        <v>5601</v>
      </c>
      <c r="G1219" s="370">
        <v>45595</v>
      </c>
      <c r="H1219" s="369">
        <v>27000</v>
      </c>
      <c r="I1219" s="365" t="s">
        <v>5602</v>
      </c>
      <c r="J1219" s="365" t="s">
        <v>1228</v>
      </c>
      <c r="K1219" s="365" t="s">
        <v>1229</v>
      </c>
      <c r="L1219" s="370">
        <v>45597.292118055557</v>
      </c>
    </row>
    <row r="1220" spans="1:12" s="365" customFormat="1">
      <c r="A1220" s="370">
        <v>45597.314062500001</v>
      </c>
      <c r="B1220" s="365" t="s">
        <v>5603</v>
      </c>
      <c r="C1220" s="365" t="s">
        <v>5604</v>
      </c>
      <c r="D1220" s="365" t="s">
        <v>5605</v>
      </c>
      <c r="E1220" s="365" t="s">
        <v>5606</v>
      </c>
      <c r="F1220" s="365" t="s">
        <v>5607</v>
      </c>
      <c r="G1220" s="370">
        <v>45595</v>
      </c>
      <c r="H1220" s="369">
        <v>30000</v>
      </c>
      <c r="I1220" s="365" t="s">
        <v>5608</v>
      </c>
      <c r="J1220" s="365" t="s">
        <v>1228</v>
      </c>
      <c r="K1220" s="365" t="s">
        <v>1229</v>
      </c>
      <c r="L1220" s="370">
        <v>45597.316157407404</v>
      </c>
    </row>
    <row r="1221" spans="1:12" s="365" customFormat="1">
      <c r="A1221" s="370">
        <v>45597.392048611109</v>
      </c>
      <c r="B1221" s="365" t="s">
        <v>5609</v>
      </c>
      <c r="C1221" s="365" t="s">
        <v>1343</v>
      </c>
      <c r="D1221" s="365" t="s">
        <v>1344</v>
      </c>
      <c r="E1221" s="365" t="s">
        <v>1345</v>
      </c>
      <c r="F1221" s="365" t="s">
        <v>5610</v>
      </c>
      <c r="G1221" s="370">
        <v>45530</v>
      </c>
      <c r="H1221" s="369">
        <v>30000</v>
      </c>
      <c r="I1221" s="365" t="s">
        <v>5611</v>
      </c>
      <c r="J1221" s="365" t="s">
        <v>1228</v>
      </c>
      <c r="K1221" s="365" t="s">
        <v>1229</v>
      </c>
      <c r="L1221" s="370">
        <v>45597.392777777779</v>
      </c>
    </row>
    <row r="1222" spans="1:12" s="365" customFormat="1">
      <c r="A1222" s="370">
        <v>45597.429409722223</v>
      </c>
      <c r="B1222" s="365" t="s">
        <v>5612</v>
      </c>
      <c r="C1222" s="365" t="s">
        <v>5613</v>
      </c>
      <c r="D1222" s="365" t="s">
        <v>5614</v>
      </c>
      <c r="E1222" s="365" t="s">
        <v>5615</v>
      </c>
      <c r="F1222" s="365" t="s">
        <v>5616</v>
      </c>
      <c r="G1222" s="370">
        <v>45595</v>
      </c>
      <c r="H1222" s="369">
        <v>114000</v>
      </c>
      <c r="I1222" s="365" t="s">
        <v>5617</v>
      </c>
      <c r="J1222" s="365" t="s">
        <v>1228</v>
      </c>
      <c r="K1222" s="365" t="s">
        <v>1229</v>
      </c>
      <c r="L1222" s="370">
        <v>45597.430914351855</v>
      </c>
    </row>
    <row r="1223" spans="1:12" s="365" customFormat="1">
      <c r="A1223" s="370">
        <v>45597.430312500001</v>
      </c>
      <c r="B1223" s="365" t="s">
        <v>5618</v>
      </c>
      <c r="C1223" s="365" t="s">
        <v>1550</v>
      </c>
      <c r="D1223" s="365" t="s">
        <v>1551</v>
      </c>
      <c r="E1223" s="365" t="s">
        <v>1552</v>
      </c>
      <c r="F1223" s="365" t="s">
        <v>5619</v>
      </c>
      <c r="G1223" s="370">
        <v>45595</v>
      </c>
      <c r="H1223" s="369">
        <v>35000</v>
      </c>
      <c r="I1223" s="365" t="s">
        <v>5620</v>
      </c>
      <c r="J1223" s="365" t="s">
        <v>1228</v>
      </c>
      <c r="K1223" s="365" t="s">
        <v>1229</v>
      </c>
      <c r="L1223" s="370">
        <v>45597.43109953704</v>
      </c>
    </row>
    <row r="1224" spans="1:12" s="365" customFormat="1">
      <c r="A1224" s="370">
        <v>45597.488356481481</v>
      </c>
      <c r="B1224" s="365" t="s">
        <v>5621</v>
      </c>
      <c r="C1224" s="365" t="s">
        <v>1288</v>
      </c>
      <c r="D1224" s="365" t="s">
        <v>1289</v>
      </c>
      <c r="E1224" s="365" t="s">
        <v>1290</v>
      </c>
      <c r="F1224" s="365" t="s">
        <v>5622</v>
      </c>
      <c r="G1224" s="370">
        <v>45595</v>
      </c>
      <c r="H1224" s="369">
        <v>237000</v>
      </c>
      <c r="I1224" s="365" t="s">
        <v>5623</v>
      </c>
      <c r="J1224" s="365" t="s">
        <v>1228</v>
      </c>
      <c r="K1224" s="365" t="s">
        <v>1229</v>
      </c>
      <c r="L1224" s="370">
        <v>45597.489918981482</v>
      </c>
    </row>
    <row r="1225" spans="1:12" s="365" customFormat="1">
      <c r="A1225" s="370">
        <v>45597.609722222223</v>
      </c>
      <c r="B1225" s="365" t="s">
        <v>5624</v>
      </c>
      <c r="C1225" s="365" t="s">
        <v>2458</v>
      </c>
      <c r="D1225" s="365" t="s">
        <v>2459</v>
      </c>
      <c r="E1225" s="365" t="s">
        <v>2460</v>
      </c>
      <c r="F1225" s="365" t="s">
        <v>5625</v>
      </c>
      <c r="G1225" s="370">
        <v>45595</v>
      </c>
      <c r="H1225" s="369">
        <v>77000</v>
      </c>
      <c r="I1225" s="365" t="s">
        <v>5626</v>
      </c>
      <c r="J1225" s="365" t="s">
        <v>1228</v>
      </c>
      <c r="K1225" s="365" t="s">
        <v>1229</v>
      </c>
      <c r="L1225" s="370">
        <v>45597.611620370371</v>
      </c>
    </row>
    <row r="1226" spans="1:12" s="365" customFormat="1">
      <c r="A1226" s="370">
        <v>45597.66238425926</v>
      </c>
      <c r="B1226" s="365" t="s">
        <v>5627</v>
      </c>
      <c r="C1226" s="365" t="s">
        <v>5628</v>
      </c>
      <c r="D1226" s="365" t="s">
        <v>5629</v>
      </c>
      <c r="E1226" s="365" t="s">
        <v>5630</v>
      </c>
      <c r="F1226" s="365" t="s">
        <v>5631</v>
      </c>
      <c r="G1226" s="370">
        <v>45595</v>
      </c>
      <c r="H1226" s="369">
        <v>15001</v>
      </c>
      <c r="I1226" s="365" t="s">
        <v>5632</v>
      </c>
      <c r="J1226" s="365" t="s">
        <v>1228</v>
      </c>
      <c r="K1226" s="365" t="s">
        <v>1229</v>
      </c>
      <c r="L1226" s="370">
        <v>45597.663611111115</v>
      </c>
    </row>
    <row r="1227" spans="1:12" s="365" customFormat="1">
      <c r="A1227" s="370">
        <v>45597.705393518518</v>
      </c>
      <c r="B1227" s="365" t="s">
        <v>5633</v>
      </c>
      <c r="C1227" s="365" t="s">
        <v>1755</v>
      </c>
      <c r="D1227" s="365" t="s">
        <v>1756</v>
      </c>
      <c r="E1227" s="365" t="s">
        <v>1757</v>
      </c>
      <c r="F1227" s="365" t="s">
        <v>5634</v>
      </c>
      <c r="G1227" s="370">
        <v>45595</v>
      </c>
      <c r="H1227" s="369">
        <v>14500</v>
      </c>
      <c r="I1227" s="365" t="s">
        <v>5635</v>
      </c>
      <c r="J1227" s="365" t="s">
        <v>1228</v>
      </c>
      <c r="K1227" s="365" t="s">
        <v>1229</v>
      </c>
      <c r="L1227" s="370">
        <v>45597.708634259259</v>
      </c>
    </row>
    <row r="1228" spans="1:12" s="365" customFormat="1">
      <c r="A1228" s="370">
        <v>45597.743402777778</v>
      </c>
      <c r="B1228" s="365" t="s">
        <v>5636</v>
      </c>
      <c r="C1228" s="365" t="s">
        <v>5637</v>
      </c>
      <c r="D1228" s="365" t="s">
        <v>2181</v>
      </c>
      <c r="E1228" s="365" t="s">
        <v>2182</v>
      </c>
      <c r="F1228" s="365" t="s">
        <v>5638</v>
      </c>
      <c r="G1228" s="370">
        <v>45595</v>
      </c>
      <c r="H1228" s="369">
        <v>320000</v>
      </c>
      <c r="I1228" s="365" t="s">
        <v>5639</v>
      </c>
      <c r="J1228" s="365" t="s">
        <v>1228</v>
      </c>
      <c r="K1228" s="365" t="s">
        <v>1229</v>
      </c>
      <c r="L1228" s="370">
        <v>45597.746759259258</v>
      </c>
    </row>
    <row r="1229" spans="1:12" s="365" customFormat="1">
      <c r="A1229" s="370">
        <v>45597.827118055553</v>
      </c>
      <c r="B1229" s="365" t="s">
        <v>5640</v>
      </c>
      <c r="C1229" s="365" t="s">
        <v>2724</v>
      </c>
      <c r="D1229" s="365" t="s">
        <v>2725</v>
      </c>
      <c r="E1229" s="365" t="s">
        <v>2726</v>
      </c>
      <c r="F1229" s="365" t="s">
        <v>5641</v>
      </c>
      <c r="G1229" s="370">
        <v>45595</v>
      </c>
      <c r="H1229" s="369">
        <v>15000</v>
      </c>
      <c r="I1229" s="365" t="s">
        <v>5642</v>
      </c>
      <c r="J1229" s="365" t="s">
        <v>1228</v>
      </c>
      <c r="K1229" s="365" t="s">
        <v>1229</v>
      </c>
      <c r="L1229" s="370">
        <v>45597.830243055556</v>
      </c>
    </row>
    <row r="1230" spans="1:12" s="365" customFormat="1">
      <c r="A1230" s="370">
        <v>45597.883912037039</v>
      </c>
      <c r="B1230" s="365" t="s">
        <v>5643</v>
      </c>
      <c r="C1230" s="365" t="s">
        <v>1354</v>
      </c>
      <c r="D1230" s="365" t="s">
        <v>1355</v>
      </c>
      <c r="E1230" s="365" t="s">
        <v>1356</v>
      </c>
      <c r="F1230" s="365" t="s">
        <v>5644</v>
      </c>
      <c r="G1230" s="370">
        <v>45595</v>
      </c>
      <c r="H1230" s="369">
        <v>15000</v>
      </c>
      <c r="I1230" s="365" t="s">
        <v>5645</v>
      </c>
      <c r="J1230" s="365" t="s">
        <v>1228</v>
      </c>
      <c r="K1230" s="365" t="s">
        <v>1229</v>
      </c>
      <c r="L1230" s="370">
        <v>45597.885740740741</v>
      </c>
    </row>
    <row r="1231" spans="1:12" s="365" customFormat="1">
      <c r="A1231" s="370">
        <v>45598.487962962965</v>
      </c>
      <c r="B1231" s="365" t="s">
        <v>5646</v>
      </c>
      <c r="C1231" s="365" t="s">
        <v>5647</v>
      </c>
      <c r="D1231" s="365" t="s">
        <v>5648</v>
      </c>
      <c r="E1231" s="365" t="s">
        <v>5649</v>
      </c>
      <c r="F1231" s="365" t="s">
        <v>5650</v>
      </c>
      <c r="G1231" s="370">
        <v>45595</v>
      </c>
      <c r="H1231" s="369">
        <v>15000</v>
      </c>
      <c r="I1231" s="365" t="s">
        <v>5651</v>
      </c>
      <c r="J1231" s="365" t="s">
        <v>1228</v>
      </c>
      <c r="K1231" s="365" t="s">
        <v>1229</v>
      </c>
      <c r="L1231" s="370">
        <v>45598.489791666667</v>
      </c>
    </row>
    <row r="1232" spans="1:12" s="365" customFormat="1">
      <c r="A1232" s="370">
        <v>45598.788229166668</v>
      </c>
      <c r="B1232" s="365" t="s">
        <v>5652</v>
      </c>
      <c r="C1232" s="365" t="s">
        <v>2838</v>
      </c>
      <c r="D1232" s="365" t="s">
        <v>2839</v>
      </c>
      <c r="E1232" s="365" t="s">
        <v>2840</v>
      </c>
      <c r="F1232" s="365" t="s">
        <v>5653</v>
      </c>
      <c r="G1232" s="370">
        <v>45595</v>
      </c>
      <c r="H1232" s="369">
        <v>27000</v>
      </c>
      <c r="I1232" s="365" t="s">
        <v>5654</v>
      </c>
      <c r="J1232" s="365" t="s">
        <v>1228</v>
      </c>
      <c r="K1232" s="365" t="s">
        <v>1229</v>
      </c>
      <c r="L1232" s="370">
        <v>45598.788495370369</v>
      </c>
    </row>
    <row r="1233" spans="1:12" s="365" customFormat="1">
      <c r="A1233" s="370">
        <v>45598.806608796294</v>
      </c>
      <c r="B1233" s="365" t="s">
        <v>5655</v>
      </c>
      <c r="C1233" s="365" t="s">
        <v>2464</v>
      </c>
      <c r="D1233" s="365" t="s">
        <v>2465</v>
      </c>
      <c r="E1233" s="365" t="s">
        <v>2466</v>
      </c>
      <c r="F1233" s="365" t="s">
        <v>5656</v>
      </c>
      <c r="G1233" s="370">
        <v>45595</v>
      </c>
      <c r="H1233" s="369">
        <v>169999</v>
      </c>
      <c r="I1233" s="365" t="s">
        <v>5657</v>
      </c>
      <c r="J1233" s="365" t="s">
        <v>1228</v>
      </c>
      <c r="K1233" s="365" t="s">
        <v>1229</v>
      </c>
      <c r="L1233" s="370">
        <v>45598.80940972222</v>
      </c>
    </row>
    <row r="1234" spans="1:12" s="365" customFormat="1">
      <c r="A1234" s="370">
        <v>45598.286666666667</v>
      </c>
      <c r="B1234" s="365" t="s">
        <v>5658</v>
      </c>
      <c r="C1234" s="365" t="s">
        <v>5659</v>
      </c>
      <c r="D1234" s="365" t="s">
        <v>5660</v>
      </c>
      <c r="E1234" s="365" t="s">
        <v>5661</v>
      </c>
      <c r="F1234" s="365" t="s">
        <v>5662</v>
      </c>
      <c r="G1234" s="370">
        <v>45595</v>
      </c>
      <c r="H1234" s="369">
        <v>14999</v>
      </c>
      <c r="I1234" s="365" t="s">
        <v>5663</v>
      </c>
      <c r="J1234" s="365" t="s">
        <v>1228</v>
      </c>
      <c r="K1234" s="365" t="s">
        <v>1229</v>
      </c>
      <c r="L1234" s="370">
        <v>45598.288576388892</v>
      </c>
    </row>
    <row r="1235" spans="1:12" s="365" customFormat="1">
      <c r="A1235" s="370">
        <v>45598.570231481484</v>
      </c>
      <c r="B1235" s="365" t="s">
        <v>5664</v>
      </c>
      <c r="C1235" s="365" t="s">
        <v>2887</v>
      </c>
      <c r="D1235" s="365" t="s">
        <v>2888</v>
      </c>
      <c r="E1235" s="365" t="s">
        <v>2889</v>
      </c>
      <c r="F1235" s="365" t="s">
        <v>5665</v>
      </c>
      <c r="G1235" s="370">
        <v>45595</v>
      </c>
      <c r="H1235" s="369">
        <v>27000</v>
      </c>
      <c r="I1235" s="365" t="s">
        <v>5666</v>
      </c>
      <c r="J1235" s="365" t="s">
        <v>1228</v>
      </c>
      <c r="K1235" s="365" t="s">
        <v>1229</v>
      </c>
      <c r="L1235" s="370">
        <v>45598.573298611111</v>
      </c>
    </row>
    <row r="1236" spans="1:12" s="365" customFormat="1">
      <c r="A1236" s="370">
        <v>45598.318888888891</v>
      </c>
      <c r="B1236" s="365" t="s">
        <v>5667</v>
      </c>
      <c r="C1236" s="365" t="s">
        <v>1867</v>
      </c>
      <c r="D1236" s="365" t="s">
        <v>1868</v>
      </c>
      <c r="E1236" s="365" t="s">
        <v>1869</v>
      </c>
      <c r="F1236" s="365" t="s">
        <v>5668</v>
      </c>
      <c r="G1236" s="370">
        <v>45595</v>
      </c>
      <c r="H1236" s="369">
        <v>36000</v>
      </c>
      <c r="I1236" s="365" t="s">
        <v>5669</v>
      </c>
      <c r="J1236" s="365" t="s">
        <v>1228</v>
      </c>
      <c r="K1236" s="365" t="s">
        <v>1229</v>
      </c>
      <c r="L1236" s="370">
        <v>45598.319791666669</v>
      </c>
    </row>
    <row r="1237" spans="1:12" s="365" customFormat="1">
      <c r="A1237" s="370">
        <v>45598.35119212963</v>
      </c>
      <c r="B1237" s="365" t="s">
        <v>5670</v>
      </c>
      <c r="C1237" s="365" t="s">
        <v>1938</v>
      </c>
      <c r="D1237" s="365" t="s">
        <v>1939</v>
      </c>
      <c r="E1237" s="365" t="s">
        <v>1940</v>
      </c>
      <c r="F1237" s="365" t="s">
        <v>5671</v>
      </c>
      <c r="G1237" s="370">
        <v>45595</v>
      </c>
      <c r="H1237" s="369">
        <v>9000</v>
      </c>
      <c r="I1237" s="365" t="s">
        <v>5672</v>
      </c>
      <c r="J1237" s="365" t="s">
        <v>1228</v>
      </c>
      <c r="K1237" s="365" t="s">
        <v>1229</v>
      </c>
      <c r="L1237" s="370">
        <v>45598.354363425926</v>
      </c>
    </row>
    <row r="1238" spans="1:12" s="365" customFormat="1">
      <c r="A1238" s="370">
        <v>45598.433854166666</v>
      </c>
      <c r="B1238" s="365" t="s">
        <v>5673</v>
      </c>
      <c r="C1238" s="365" t="s">
        <v>3394</v>
      </c>
      <c r="D1238" s="365" t="s">
        <v>5674</v>
      </c>
      <c r="E1238" s="365" t="s">
        <v>5675</v>
      </c>
      <c r="F1238" s="365" t="s">
        <v>5676</v>
      </c>
      <c r="G1238" s="370">
        <v>45595</v>
      </c>
      <c r="H1238" s="369">
        <v>15999</v>
      </c>
      <c r="I1238" s="365" t="s">
        <v>5677</v>
      </c>
      <c r="J1238" s="365" t="s">
        <v>1228</v>
      </c>
      <c r="K1238" s="365" t="s">
        <v>1229</v>
      </c>
      <c r="L1238" s="370">
        <v>45598.434131944443</v>
      </c>
    </row>
    <row r="1239" spans="1:12" s="365" customFormat="1">
      <c r="A1239" s="370">
        <v>45598.577245370368</v>
      </c>
      <c r="B1239" s="365" t="s">
        <v>5678</v>
      </c>
      <c r="C1239" s="365" t="s">
        <v>3042</v>
      </c>
      <c r="D1239" s="365" t="s">
        <v>3043</v>
      </c>
      <c r="E1239" s="365" t="s">
        <v>3044</v>
      </c>
      <c r="F1239" s="365" t="s">
        <v>5679</v>
      </c>
      <c r="G1239" s="370">
        <v>45595</v>
      </c>
      <c r="H1239" s="369">
        <v>15999</v>
      </c>
      <c r="I1239" s="365" t="s">
        <v>5680</v>
      </c>
      <c r="J1239" s="365" t="s">
        <v>1228</v>
      </c>
      <c r="K1239" s="365" t="s">
        <v>1229</v>
      </c>
      <c r="L1239" s="370">
        <v>45598.580381944441</v>
      </c>
    </row>
    <row r="1240" spans="1:12" s="365" customFormat="1">
      <c r="A1240" s="370">
        <v>45599.563587962963</v>
      </c>
      <c r="B1240" s="365" t="s">
        <v>5681</v>
      </c>
      <c r="C1240" s="365" t="s">
        <v>1504</v>
      </c>
      <c r="D1240" s="365" t="s">
        <v>1505</v>
      </c>
      <c r="E1240" s="365" t="s">
        <v>1506</v>
      </c>
      <c r="F1240" s="365" t="s">
        <v>5682</v>
      </c>
      <c r="G1240" s="370">
        <v>45595</v>
      </c>
      <c r="H1240" s="369">
        <v>68000</v>
      </c>
      <c r="I1240" s="365" t="s">
        <v>5683</v>
      </c>
      <c r="J1240" s="365" t="s">
        <v>1228</v>
      </c>
      <c r="K1240" s="365" t="s">
        <v>1229</v>
      </c>
      <c r="L1240" s="370">
        <v>45599.566192129627</v>
      </c>
    </row>
    <row r="1241" spans="1:12" s="365" customFormat="1">
      <c r="A1241" s="370">
        <v>45599.942187499997</v>
      </c>
      <c r="B1241" s="365" t="s">
        <v>5684</v>
      </c>
      <c r="C1241" s="365" t="s">
        <v>5685</v>
      </c>
      <c r="D1241" s="365" t="s">
        <v>5686</v>
      </c>
      <c r="E1241" s="365" t="s">
        <v>5687</v>
      </c>
      <c r="F1241" s="365" t="s">
        <v>5688</v>
      </c>
      <c r="G1241" s="370">
        <v>45595</v>
      </c>
      <c r="H1241" s="369">
        <v>31999</v>
      </c>
      <c r="I1241" s="365" t="s">
        <v>5689</v>
      </c>
      <c r="J1241" s="365" t="s">
        <v>1228</v>
      </c>
      <c r="K1241" s="365" t="s">
        <v>1229</v>
      </c>
      <c r="L1241" s="370">
        <v>45599.944872685184</v>
      </c>
    </row>
    <row r="1242" spans="1:12" s="365" customFormat="1">
      <c r="A1242" s="370">
        <v>45599.676296296297</v>
      </c>
      <c r="B1242" s="365" t="s">
        <v>5690</v>
      </c>
      <c r="C1242" s="365" t="s">
        <v>2390</v>
      </c>
      <c r="D1242" s="365" t="s">
        <v>2391</v>
      </c>
      <c r="E1242" s="365" t="s">
        <v>2392</v>
      </c>
      <c r="F1242" s="365" t="s">
        <v>5691</v>
      </c>
      <c r="G1242" s="370">
        <v>45595</v>
      </c>
      <c r="H1242" s="369">
        <v>18000</v>
      </c>
      <c r="I1242" s="365" t="s">
        <v>5692</v>
      </c>
      <c r="J1242" s="365" t="s">
        <v>1228</v>
      </c>
      <c r="K1242" s="365" t="s">
        <v>1229</v>
      </c>
      <c r="L1242" s="370">
        <v>45599.677349537036</v>
      </c>
    </row>
    <row r="1243" spans="1:12" s="365" customFormat="1">
      <c r="A1243" s="370">
        <v>45599.571493055555</v>
      </c>
      <c r="B1243" s="365" t="s">
        <v>5693</v>
      </c>
      <c r="C1243" s="365" t="s">
        <v>2019</v>
      </c>
      <c r="D1243" s="365" t="s">
        <v>2020</v>
      </c>
      <c r="E1243" s="365" t="s">
        <v>2021</v>
      </c>
      <c r="F1243" s="365" t="s">
        <v>5694</v>
      </c>
      <c r="G1243" s="370">
        <v>45595</v>
      </c>
      <c r="H1243" s="369">
        <v>15000</v>
      </c>
      <c r="I1243" s="365" t="s">
        <v>5695</v>
      </c>
      <c r="J1243" s="365" t="s">
        <v>1228</v>
      </c>
      <c r="K1243" s="365" t="s">
        <v>1229</v>
      </c>
      <c r="L1243" s="370">
        <v>45599.573275462964</v>
      </c>
    </row>
    <row r="1244" spans="1:12" s="365" customFormat="1">
      <c r="A1244" s="370">
        <v>45600.444560185184</v>
      </c>
      <c r="B1244" s="365" t="s">
        <v>5696</v>
      </c>
      <c r="C1244" s="365" t="s">
        <v>2782</v>
      </c>
      <c r="D1244" s="365" t="s">
        <v>2783</v>
      </c>
      <c r="E1244" s="365" t="s">
        <v>2784</v>
      </c>
      <c r="F1244" s="365" t="s">
        <v>5697</v>
      </c>
      <c r="G1244" s="370">
        <v>45595</v>
      </c>
      <c r="H1244" s="369">
        <v>18000</v>
      </c>
      <c r="I1244" s="365" t="s">
        <v>5698</v>
      </c>
      <c r="J1244" s="365" t="s">
        <v>1228</v>
      </c>
      <c r="K1244" s="365" t="s">
        <v>1229</v>
      </c>
      <c r="L1244" s="370">
        <v>45600.448263888888</v>
      </c>
    </row>
    <row r="1245" spans="1:12" s="365" customFormat="1">
      <c r="A1245" s="370">
        <v>45600.634155092594</v>
      </c>
      <c r="B1245" s="365" t="s">
        <v>5699</v>
      </c>
      <c r="C1245" s="365" t="s">
        <v>2610</v>
      </c>
      <c r="D1245" s="365" t="s">
        <v>2611</v>
      </c>
      <c r="E1245" s="365" t="s">
        <v>2612</v>
      </c>
      <c r="F1245" s="365" t="s">
        <v>5700</v>
      </c>
      <c r="G1245" s="370">
        <v>45595</v>
      </c>
      <c r="H1245" s="369">
        <v>15000</v>
      </c>
      <c r="I1245" s="365" t="s">
        <v>5701</v>
      </c>
      <c r="J1245" s="365" t="s">
        <v>1228</v>
      </c>
      <c r="K1245" s="365" t="s">
        <v>1229</v>
      </c>
      <c r="L1245" s="370">
        <v>45600.63590277778</v>
      </c>
    </row>
    <row r="1246" spans="1:12" s="365" customFormat="1">
      <c r="A1246" s="370">
        <v>45600.783680555556</v>
      </c>
      <c r="B1246" s="365" t="s">
        <v>5702</v>
      </c>
      <c r="C1246" s="365" t="s">
        <v>2559</v>
      </c>
      <c r="D1246" s="365" t="s">
        <v>2560</v>
      </c>
      <c r="E1246" s="365" t="s">
        <v>2561</v>
      </c>
      <c r="F1246" s="365" t="s">
        <v>5703</v>
      </c>
      <c r="G1246" s="370">
        <v>45595</v>
      </c>
      <c r="H1246" s="369">
        <v>15000</v>
      </c>
      <c r="I1246" s="365" t="s">
        <v>5704</v>
      </c>
      <c r="J1246" s="365" t="s">
        <v>1228</v>
      </c>
      <c r="K1246" s="365" t="s">
        <v>1229</v>
      </c>
      <c r="L1246" s="370">
        <v>45600.785081018519</v>
      </c>
    </row>
    <row r="1247" spans="1:12" s="365" customFormat="1">
      <c r="A1247" s="370">
        <v>45600.427094907405</v>
      </c>
      <c r="B1247" s="365" t="s">
        <v>5705</v>
      </c>
      <c r="C1247" s="365" t="s">
        <v>1416</v>
      </c>
      <c r="D1247" s="365" t="s">
        <v>1417</v>
      </c>
      <c r="E1247" s="365" t="s">
        <v>1418</v>
      </c>
      <c r="F1247" s="365" t="s">
        <v>5706</v>
      </c>
      <c r="G1247" s="370">
        <v>45595</v>
      </c>
      <c r="H1247" s="369">
        <v>143023</v>
      </c>
      <c r="I1247" s="365" t="s">
        <v>5707</v>
      </c>
      <c r="J1247" s="365" t="s">
        <v>1228</v>
      </c>
      <c r="K1247" s="365" t="s">
        <v>1229</v>
      </c>
      <c r="L1247" s="370">
        <v>45600.427604166667</v>
      </c>
    </row>
    <row r="1248" spans="1:12" s="365" customFormat="1">
      <c r="A1248" s="370">
        <v>45600.592893518522</v>
      </c>
      <c r="B1248" s="365" t="s">
        <v>5708</v>
      </c>
      <c r="C1248" s="365" t="s">
        <v>2148</v>
      </c>
      <c r="D1248" s="365" t="s">
        <v>2149</v>
      </c>
      <c r="E1248" s="365" t="s">
        <v>2150</v>
      </c>
      <c r="F1248" s="365" t="s">
        <v>5709</v>
      </c>
      <c r="G1248" s="370">
        <v>45595</v>
      </c>
      <c r="H1248" s="369">
        <v>14000</v>
      </c>
      <c r="I1248" s="365" t="s">
        <v>5710</v>
      </c>
      <c r="J1248" s="365" t="s">
        <v>1228</v>
      </c>
      <c r="K1248" s="365" t="s">
        <v>1229</v>
      </c>
      <c r="L1248" s="370">
        <v>45600.594247685185</v>
      </c>
    </row>
    <row r="1249" spans="1:12" s="365" customFormat="1">
      <c r="A1249" s="370">
        <v>45600.38658564815</v>
      </c>
      <c r="B1249" s="365" t="s">
        <v>5711</v>
      </c>
      <c r="C1249" s="365" t="s">
        <v>3948</v>
      </c>
      <c r="D1249" s="365" t="s">
        <v>3949</v>
      </c>
      <c r="E1249" s="365" t="s">
        <v>3950</v>
      </c>
      <c r="F1249" s="365" t="s">
        <v>5712</v>
      </c>
      <c r="G1249" s="370">
        <v>45560</v>
      </c>
      <c r="H1249" s="369">
        <v>20999</v>
      </c>
      <c r="I1249" s="365" t="s">
        <v>5713</v>
      </c>
      <c r="J1249" s="365" t="s">
        <v>1228</v>
      </c>
      <c r="K1249" s="365" t="s">
        <v>1229</v>
      </c>
      <c r="L1249" s="370">
        <v>45600.388993055552</v>
      </c>
    </row>
    <row r="1250" spans="1:12" s="365" customFormat="1">
      <c r="A1250" s="370">
        <v>45600.55877314815</v>
      </c>
      <c r="B1250" s="365" t="s">
        <v>5714</v>
      </c>
      <c r="C1250" s="365" t="s">
        <v>5715</v>
      </c>
      <c r="D1250" s="365" t="s">
        <v>1974</v>
      </c>
      <c r="E1250" s="365" t="s">
        <v>1975</v>
      </c>
      <c r="F1250" s="365" t="s">
        <v>5716</v>
      </c>
      <c r="G1250" s="370">
        <v>45595</v>
      </c>
      <c r="H1250" s="369">
        <v>9000</v>
      </c>
      <c r="I1250" s="365" t="s">
        <v>5717</v>
      </c>
      <c r="J1250" s="365" t="s">
        <v>1228</v>
      </c>
      <c r="K1250" s="365" t="s">
        <v>1229</v>
      </c>
      <c r="L1250" s="370">
        <v>45600.559363425928</v>
      </c>
    </row>
    <row r="1251" spans="1:12" s="365" customFormat="1">
      <c r="A1251" s="370">
        <v>45600.59648148148</v>
      </c>
      <c r="B1251" s="365" t="s">
        <v>5718</v>
      </c>
      <c r="C1251" s="365" t="s">
        <v>1363</v>
      </c>
      <c r="D1251" s="365" t="s">
        <v>1364</v>
      </c>
      <c r="E1251" s="365" t="s">
        <v>1365</v>
      </c>
      <c r="F1251" s="365" t="s">
        <v>5719</v>
      </c>
      <c r="G1251" s="370">
        <v>45498</v>
      </c>
      <c r="H1251" s="369">
        <v>48500</v>
      </c>
      <c r="I1251" s="365" t="s">
        <v>5720</v>
      </c>
      <c r="J1251" s="365" t="s">
        <v>1228</v>
      </c>
      <c r="K1251" s="365" t="s">
        <v>1229</v>
      </c>
      <c r="L1251" s="370">
        <v>45600.597453703704</v>
      </c>
    </row>
    <row r="1252" spans="1:12" s="365" customFormat="1">
      <c r="A1252" s="370">
        <v>45600.695370370369</v>
      </c>
      <c r="B1252" s="365" t="s">
        <v>5721</v>
      </c>
      <c r="C1252" s="365" t="s">
        <v>5722</v>
      </c>
      <c r="D1252" s="365" t="s">
        <v>5723</v>
      </c>
      <c r="E1252" s="365" t="s">
        <v>5724</v>
      </c>
      <c r="F1252" s="365" t="s">
        <v>5725</v>
      </c>
      <c r="G1252" s="370">
        <v>45595</v>
      </c>
      <c r="H1252" s="369">
        <v>54000</v>
      </c>
      <c r="I1252" s="365" t="s">
        <v>5726</v>
      </c>
      <c r="J1252" s="365" t="s">
        <v>1228</v>
      </c>
      <c r="K1252" s="365" t="s">
        <v>1229</v>
      </c>
      <c r="L1252" s="370">
        <v>45600.698206018518</v>
      </c>
    </row>
    <row r="1253" spans="1:12" s="365" customFormat="1">
      <c r="A1253" s="370">
        <v>45600.755057870374</v>
      </c>
      <c r="B1253" s="365" t="s">
        <v>5727</v>
      </c>
      <c r="C1253" s="365" t="s">
        <v>3080</v>
      </c>
      <c r="D1253" s="365" t="s">
        <v>3081</v>
      </c>
      <c r="E1253" s="365" t="s">
        <v>3082</v>
      </c>
      <c r="F1253" s="365" t="s">
        <v>5728</v>
      </c>
      <c r="G1253" s="370">
        <v>45560</v>
      </c>
      <c r="H1253" s="369">
        <v>15999</v>
      </c>
      <c r="I1253" s="365" t="s">
        <v>5729</v>
      </c>
      <c r="J1253" s="365" t="s">
        <v>1228</v>
      </c>
      <c r="K1253" s="365" t="s">
        <v>1229</v>
      </c>
      <c r="L1253" s="370">
        <v>45600.757303240738</v>
      </c>
    </row>
    <row r="1254" spans="1:12" s="365" customFormat="1">
      <c r="A1254" s="370">
        <v>45601.340590277781</v>
      </c>
      <c r="B1254" s="365" t="s">
        <v>5730</v>
      </c>
      <c r="C1254" s="365" t="s">
        <v>2186</v>
      </c>
      <c r="D1254" s="365" t="s">
        <v>2187</v>
      </c>
      <c r="E1254" s="365" t="s">
        <v>2188</v>
      </c>
      <c r="F1254" s="365" t="s">
        <v>5731</v>
      </c>
      <c r="G1254" s="370">
        <v>45595</v>
      </c>
      <c r="H1254" s="369">
        <v>15000</v>
      </c>
      <c r="I1254" s="365" t="s">
        <v>5732</v>
      </c>
      <c r="J1254" s="365" t="s">
        <v>1228</v>
      </c>
      <c r="K1254" s="365" t="s">
        <v>1229</v>
      </c>
      <c r="L1254" s="370">
        <v>45601.340798611112</v>
      </c>
    </row>
    <row r="1255" spans="1:12" s="365" customFormat="1">
      <c r="A1255" s="370">
        <v>45601.364942129629</v>
      </c>
      <c r="B1255" s="365" t="s">
        <v>5733</v>
      </c>
      <c r="C1255" s="365" t="s">
        <v>2432</v>
      </c>
      <c r="D1255" s="365" t="s">
        <v>2433</v>
      </c>
      <c r="E1255" s="365" t="s">
        <v>2434</v>
      </c>
      <c r="F1255" s="365" t="s">
        <v>5734</v>
      </c>
      <c r="G1255" s="370">
        <v>45595</v>
      </c>
      <c r="H1255" s="369">
        <v>75000</v>
      </c>
      <c r="I1255" s="365" t="s">
        <v>5735</v>
      </c>
      <c r="J1255" s="365" t="s">
        <v>1228</v>
      </c>
      <c r="K1255" s="365" t="s">
        <v>1229</v>
      </c>
      <c r="L1255" s="370">
        <v>45601.368402777778</v>
      </c>
    </row>
    <row r="1256" spans="1:12" s="365" customFormat="1">
      <c r="A1256" s="370">
        <v>45601.396527777775</v>
      </c>
      <c r="B1256" s="365" t="s">
        <v>5736</v>
      </c>
      <c r="C1256" s="365" t="s">
        <v>2500</v>
      </c>
      <c r="D1256" s="365" t="s">
        <v>2501</v>
      </c>
      <c r="E1256" s="365" t="s">
        <v>2502</v>
      </c>
      <c r="F1256" s="365" t="s">
        <v>5737</v>
      </c>
      <c r="G1256" s="370">
        <v>45595</v>
      </c>
      <c r="H1256" s="369">
        <v>13000</v>
      </c>
      <c r="I1256" s="365" t="s">
        <v>5738</v>
      </c>
      <c r="J1256" s="365" t="s">
        <v>1228</v>
      </c>
      <c r="K1256" s="365" t="s">
        <v>1229</v>
      </c>
      <c r="L1256" s="370">
        <v>45601.399375000001</v>
      </c>
    </row>
    <row r="1257" spans="1:12" s="365" customFormat="1">
      <c r="A1257" s="370">
        <v>45601.439016203702</v>
      </c>
      <c r="B1257" s="365" t="s">
        <v>5739</v>
      </c>
      <c r="C1257" s="365" t="s">
        <v>5740</v>
      </c>
      <c r="D1257" s="365" t="s">
        <v>5741</v>
      </c>
      <c r="E1257" s="365" t="s">
        <v>5742</v>
      </c>
      <c r="F1257" s="365" t="s">
        <v>5743</v>
      </c>
      <c r="G1257" s="370">
        <v>45595</v>
      </c>
      <c r="H1257" s="369">
        <v>26000</v>
      </c>
      <c r="I1257" s="365" t="s">
        <v>5744</v>
      </c>
      <c r="J1257" s="365" t="s">
        <v>1228</v>
      </c>
      <c r="K1257" s="365" t="s">
        <v>1229</v>
      </c>
      <c r="L1257" s="370">
        <v>45601.441192129627</v>
      </c>
    </row>
    <row r="1258" spans="1:12" s="365" customFormat="1">
      <c r="A1258" s="370">
        <v>45601.445625</v>
      </c>
      <c r="B1258" s="365" t="s">
        <v>5745</v>
      </c>
      <c r="C1258" s="365" t="s">
        <v>2281</v>
      </c>
      <c r="D1258" s="365" t="s">
        <v>2282</v>
      </c>
      <c r="E1258" s="365" t="s">
        <v>2283</v>
      </c>
      <c r="F1258" s="365" t="s">
        <v>5746</v>
      </c>
      <c r="G1258" s="370">
        <v>45595</v>
      </c>
      <c r="H1258" s="369">
        <v>66000</v>
      </c>
      <c r="I1258" s="365" t="s">
        <v>5747</v>
      </c>
      <c r="J1258" s="365" t="s">
        <v>1228</v>
      </c>
      <c r="K1258" s="365" t="s">
        <v>1229</v>
      </c>
      <c r="L1258" s="370">
        <v>45601.448310185187</v>
      </c>
    </row>
    <row r="1259" spans="1:12" s="365" customFormat="1">
      <c r="A1259" s="370">
        <v>45601.459560185183</v>
      </c>
      <c r="B1259" s="365" t="s">
        <v>5748</v>
      </c>
      <c r="C1259" s="365" t="s">
        <v>2928</v>
      </c>
      <c r="D1259" s="365" t="s">
        <v>2929</v>
      </c>
      <c r="E1259" s="365" t="s">
        <v>2930</v>
      </c>
      <c r="F1259" s="365" t="s">
        <v>5749</v>
      </c>
      <c r="G1259" s="370">
        <v>45595</v>
      </c>
      <c r="H1259" s="369">
        <v>27000</v>
      </c>
      <c r="I1259" s="365" t="s">
        <v>5750</v>
      </c>
      <c r="J1259" s="365" t="s">
        <v>1228</v>
      </c>
      <c r="K1259" s="365" t="s">
        <v>1229</v>
      </c>
      <c r="L1259" s="370">
        <v>45601.462199074071</v>
      </c>
    </row>
    <row r="1260" spans="1:12" s="365" customFormat="1">
      <c r="A1260" s="370">
        <v>45601.5625462963</v>
      </c>
      <c r="B1260" s="365" t="s">
        <v>5751</v>
      </c>
      <c r="C1260" s="365" t="s">
        <v>1849</v>
      </c>
      <c r="D1260" s="365" t="s">
        <v>1850</v>
      </c>
      <c r="E1260" s="365" t="s">
        <v>1851</v>
      </c>
      <c r="F1260" s="365" t="s">
        <v>5752</v>
      </c>
      <c r="G1260" s="370">
        <v>45595</v>
      </c>
      <c r="H1260" s="369">
        <v>16500</v>
      </c>
      <c r="I1260" s="365" t="s">
        <v>5753</v>
      </c>
      <c r="J1260" s="365" t="s">
        <v>1228</v>
      </c>
      <c r="K1260" s="365" t="s">
        <v>1229</v>
      </c>
      <c r="L1260" s="370">
        <v>45601.562835648147</v>
      </c>
    </row>
    <row r="1261" spans="1:12" s="365" customFormat="1">
      <c r="A1261" s="370">
        <v>45601.573946759258</v>
      </c>
      <c r="B1261" s="365" t="s">
        <v>5754</v>
      </c>
      <c r="C1261" s="365" t="s">
        <v>5755</v>
      </c>
      <c r="D1261" s="365" t="s">
        <v>2812</v>
      </c>
      <c r="E1261" s="365" t="s">
        <v>2813</v>
      </c>
      <c r="F1261" s="365" t="s">
        <v>5756</v>
      </c>
      <c r="G1261" s="370">
        <v>45595</v>
      </c>
      <c r="H1261" s="369">
        <v>17700</v>
      </c>
      <c r="I1261" s="365" t="s">
        <v>5757</v>
      </c>
      <c r="J1261" s="365" t="s">
        <v>1228</v>
      </c>
      <c r="K1261" s="365" t="s">
        <v>1229</v>
      </c>
      <c r="L1261" s="370">
        <v>45601.57671296296</v>
      </c>
    </row>
    <row r="1262" spans="1:12" s="365" customFormat="1">
      <c r="A1262" s="370">
        <v>45601.640694444446</v>
      </c>
      <c r="B1262" s="365" t="s">
        <v>5758</v>
      </c>
      <c r="C1262" s="365" t="s">
        <v>1784</v>
      </c>
      <c r="D1262" s="365" t="s">
        <v>1785</v>
      </c>
      <c r="E1262" s="365" t="s">
        <v>1786</v>
      </c>
      <c r="F1262" s="365" t="s">
        <v>5759</v>
      </c>
      <c r="G1262" s="370">
        <v>45595</v>
      </c>
      <c r="H1262" s="369">
        <v>30000</v>
      </c>
      <c r="I1262" s="365" t="s">
        <v>5760</v>
      </c>
      <c r="J1262" s="365" t="s">
        <v>1228</v>
      </c>
      <c r="K1262" s="365" t="s">
        <v>1229</v>
      </c>
      <c r="L1262" s="370">
        <v>45601.642569444448</v>
      </c>
    </row>
    <row r="1263" spans="1:12" s="365" customFormat="1">
      <c r="A1263" s="370">
        <v>45601.728472222225</v>
      </c>
      <c r="B1263" s="365" t="s">
        <v>5761</v>
      </c>
      <c r="C1263" s="365" t="s">
        <v>5762</v>
      </c>
      <c r="D1263" s="365" t="s">
        <v>5763</v>
      </c>
      <c r="E1263" s="365" t="s">
        <v>5764</v>
      </c>
      <c r="F1263" s="365" t="s">
        <v>5765</v>
      </c>
      <c r="G1263" s="370">
        <v>45595</v>
      </c>
      <c r="H1263" s="369">
        <v>21000</v>
      </c>
      <c r="I1263" s="365" t="s">
        <v>5766</v>
      </c>
      <c r="J1263" s="365" t="s">
        <v>1228</v>
      </c>
      <c r="K1263" s="365" t="s">
        <v>1229</v>
      </c>
      <c r="L1263" s="370">
        <v>45601.729583333334</v>
      </c>
    </row>
    <row r="1264" spans="1:12" s="365" customFormat="1">
      <c r="A1264" s="370">
        <v>45601.76059027778</v>
      </c>
      <c r="B1264" s="365" t="s">
        <v>5767</v>
      </c>
      <c r="C1264" s="365" t="s">
        <v>2063</v>
      </c>
      <c r="D1264" s="365" t="s">
        <v>2064</v>
      </c>
      <c r="E1264" s="365" t="s">
        <v>2065</v>
      </c>
      <c r="F1264" s="365" t="s">
        <v>5768</v>
      </c>
      <c r="G1264" s="370">
        <v>45595</v>
      </c>
      <c r="H1264" s="369">
        <v>15999</v>
      </c>
      <c r="I1264" s="365" t="s">
        <v>5769</v>
      </c>
      <c r="J1264" s="365" t="s">
        <v>1228</v>
      </c>
      <c r="K1264" s="365" t="s">
        <v>1229</v>
      </c>
      <c r="L1264" s="370">
        <v>45601.760914351849</v>
      </c>
    </row>
    <row r="1265" spans="1:12" s="365" customFormat="1">
      <c r="A1265" s="370">
        <v>45601.376226851855</v>
      </c>
      <c r="B1265" s="365" t="s">
        <v>5770</v>
      </c>
      <c r="C1265" s="365" t="s">
        <v>2488</v>
      </c>
      <c r="D1265" s="365" t="s">
        <v>2489</v>
      </c>
      <c r="E1265" s="365" t="s">
        <v>2490</v>
      </c>
      <c r="F1265" s="365" t="s">
        <v>5771</v>
      </c>
      <c r="G1265" s="370">
        <v>45595</v>
      </c>
      <c r="H1265" s="369">
        <v>27000</v>
      </c>
      <c r="I1265" s="365" t="s">
        <v>5772</v>
      </c>
      <c r="J1265" s="365" t="s">
        <v>1228</v>
      </c>
      <c r="K1265" s="365" t="s">
        <v>1229</v>
      </c>
      <c r="L1265" s="370">
        <v>45601.378900462965</v>
      </c>
    </row>
    <row r="1266" spans="1:12" s="365" customFormat="1">
      <c r="A1266" s="370">
        <v>45601.402094907404</v>
      </c>
      <c r="B1266" s="365" t="s">
        <v>5773</v>
      </c>
      <c r="C1266" s="365" t="s">
        <v>5774</v>
      </c>
      <c r="D1266" s="365" t="s">
        <v>5775</v>
      </c>
      <c r="E1266" s="365" t="s">
        <v>5776</v>
      </c>
      <c r="F1266" s="365" t="s">
        <v>5777</v>
      </c>
      <c r="G1266" s="370">
        <v>45595</v>
      </c>
      <c r="H1266" s="369">
        <v>15000</v>
      </c>
      <c r="I1266" s="365" t="s">
        <v>5778</v>
      </c>
      <c r="J1266" s="365" t="s">
        <v>1228</v>
      </c>
      <c r="K1266" s="365" t="s">
        <v>1229</v>
      </c>
      <c r="L1266" s="370">
        <v>45601.403101851851</v>
      </c>
    </row>
    <row r="1267" spans="1:12" s="365" customFormat="1">
      <c r="A1267" s="370">
        <v>45601.523773148147</v>
      </c>
      <c r="B1267" s="365" t="s">
        <v>5779</v>
      </c>
      <c r="C1267" s="365" t="s">
        <v>5780</v>
      </c>
      <c r="D1267" s="365" t="s">
        <v>5781</v>
      </c>
      <c r="E1267" s="365" t="s">
        <v>5782</v>
      </c>
      <c r="F1267" s="365" t="s">
        <v>5783</v>
      </c>
      <c r="G1267" s="370">
        <v>45595</v>
      </c>
      <c r="H1267" s="369">
        <v>89000</v>
      </c>
      <c r="I1267" s="365" t="s">
        <v>5784</v>
      </c>
      <c r="J1267" s="365" t="s">
        <v>1228</v>
      </c>
      <c r="K1267" s="365" t="s">
        <v>1229</v>
      </c>
      <c r="L1267" s="370">
        <v>45601.524513888886</v>
      </c>
    </row>
    <row r="1268" spans="1:12" s="365" customFormat="1">
      <c r="A1268" s="370">
        <v>45601.642500000002</v>
      </c>
      <c r="B1268" s="365" t="s">
        <v>5785</v>
      </c>
      <c r="C1268" s="365" t="s">
        <v>2231</v>
      </c>
      <c r="D1268" s="365" t="s">
        <v>2232</v>
      </c>
      <c r="E1268" s="365" t="s">
        <v>2233</v>
      </c>
      <c r="F1268" s="365" t="s">
        <v>5786</v>
      </c>
      <c r="G1268" s="370">
        <v>45595</v>
      </c>
      <c r="H1268" s="369">
        <v>43000</v>
      </c>
      <c r="I1268" s="365" t="s">
        <v>5787</v>
      </c>
      <c r="J1268" s="365" t="s">
        <v>1228</v>
      </c>
      <c r="K1268" s="365" t="s">
        <v>1229</v>
      </c>
      <c r="L1268" s="370">
        <v>45601.642743055556</v>
      </c>
    </row>
    <row r="1269" spans="1:12" s="365" customFormat="1">
      <c r="A1269" s="370">
        <v>45601.712395833332</v>
      </c>
      <c r="B1269" s="365" t="s">
        <v>5788</v>
      </c>
      <c r="C1269" s="365" t="s">
        <v>2589</v>
      </c>
      <c r="D1269" s="365" t="s">
        <v>2590</v>
      </c>
      <c r="E1269" s="365" t="s">
        <v>2591</v>
      </c>
      <c r="F1269" s="365" t="s">
        <v>5789</v>
      </c>
      <c r="G1269" s="370">
        <v>45595</v>
      </c>
      <c r="H1269" s="369">
        <v>54999</v>
      </c>
      <c r="I1269" s="365" t="s">
        <v>5790</v>
      </c>
      <c r="J1269" s="365" t="s">
        <v>1228</v>
      </c>
      <c r="K1269" s="365" t="s">
        <v>1229</v>
      </c>
      <c r="L1269" s="370">
        <v>45601.715694444443</v>
      </c>
    </row>
    <row r="1270" spans="1:12" s="365" customFormat="1">
      <c r="A1270" s="370">
        <v>45601.906446759262</v>
      </c>
      <c r="B1270" s="365" t="s">
        <v>5791</v>
      </c>
      <c r="C1270" s="365" t="s">
        <v>2850</v>
      </c>
      <c r="D1270" s="365" t="s">
        <v>2851</v>
      </c>
      <c r="E1270" s="365" t="s">
        <v>2852</v>
      </c>
      <c r="F1270" s="365" t="s">
        <v>5792</v>
      </c>
      <c r="G1270" s="370">
        <v>45595</v>
      </c>
      <c r="H1270" s="369">
        <v>21000</v>
      </c>
      <c r="I1270" s="365" t="s">
        <v>5793</v>
      </c>
      <c r="J1270" s="365" t="s">
        <v>1228</v>
      </c>
      <c r="K1270" s="365" t="s">
        <v>1229</v>
      </c>
      <c r="L1270" s="370">
        <v>45601.91002314815</v>
      </c>
    </row>
    <row r="1271" spans="1:12" s="365" customFormat="1">
      <c r="A1271" s="370">
        <v>45601.419189814813</v>
      </c>
      <c r="B1271" s="365" t="s">
        <v>5794</v>
      </c>
      <c r="C1271" s="365" t="s">
        <v>1230</v>
      </c>
      <c r="D1271" s="365" t="s">
        <v>3464</v>
      </c>
      <c r="E1271" s="365" t="s">
        <v>3465</v>
      </c>
      <c r="F1271" s="365" t="s">
        <v>5795</v>
      </c>
      <c r="G1271" s="370">
        <v>45595</v>
      </c>
      <c r="H1271" s="369">
        <v>15000</v>
      </c>
      <c r="I1271" s="365" t="s">
        <v>5796</v>
      </c>
      <c r="J1271" s="365" t="s">
        <v>1228</v>
      </c>
      <c r="K1271" s="365" t="s">
        <v>1229</v>
      </c>
      <c r="L1271" s="370">
        <v>45601.420543981483</v>
      </c>
    </row>
    <row r="1272" spans="1:12" s="365" customFormat="1">
      <c r="A1272" s="370">
        <v>45601.470254629632</v>
      </c>
      <c r="B1272" s="365" t="s">
        <v>5797</v>
      </c>
      <c r="C1272" s="365" t="s">
        <v>2315</v>
      </c>
      <c r="D1272" s="365" t="s">
        <v>2316</v>
      </c>
      <c r="E1272" s="365" t="s">
        <v>2317</v>
      </c>
      <c r="F1272" s="365" t="s">
        <v>5798</v>
      </c>
      <c r="G1272" s="370">
        <v>45595</v>
      </c>
      <c r="H1272" s="369">
        <v>12000</v>
      </c>
      <c r="I1272" s="365" t="s">
        <v>5799</v>
      </c>
      <c r="J1272" s="365" t="s">
        <v>1228</v>
      </c>
      <c r="K1272" s="365" t="s">
        <v>1229</v>
      </c>
      <c r="L1272" s="370">
        <v>45601.472511574073</v>
      </c>
    </row>
    <row r="1273" spans="1:12" s="365" customFormat="1">
      <c r="A1273" s="370">
        <v>45601.513287037036</v>
      </c>
      <c r="B1273" s="365" t="s">
        <v>5800</v>
      </c>
      <c r="C1273" s="365" t="s">
        <v>5801</v>
      </c>
      <c r="D1273" s="365" t="s">
        <v>5802</v>
      </c>
      <c r="E1273" s="365" t="s">
        <v>5803</v>
      </c>
      <c r="F1273" s="365" t="s">
        <v>5804</v>
      </c>
      <c r="G1273" s="370">
        <v>45595</v>
      </c>
      <c r="H1273" s="369">
        <v>30000</v>
      </c>
      <c r="I1273" s="365" t="s">
        <v>5805</v>
      </c>
      <c r="J1273" s="365" t="s">
        <v>1228</v>
      </c>
      <c r="K1273" s="365" t="s">
        <v>1229</v>
      </c>
      <c r="L1273" s="370">
        <v>45601.514189814814</v>
      </c>
    </row>
    <row r="1274" spans="1:12" s="365" customFormat="1">
      <c r="A1274" s="370">
        <v>45601.525810185187</v>
      </c>
      <c r="B1274" s="365" t="s">
        <v>5806</v>
      </c>
      <c r="C1274" s="365" t="s">
        <v>2771</v>
      </c>
      <c r="D1274" s="365" t="s">
        <v>2772</v>
      </c>
      <c r="E1274" s="365" t="s">
        <v>2773</v>
      </c>
      <c r="F1274" s="365" t="s">
        <v>5807</v>
      </c>
      <c r="G1274" s="370">
        <v>45595</v>
      </c>
      <c r="H1274" s="369">
        <v>52000</v>
      </c>
      <c r="I1274" s="365" t="s">
        <v>5808</v>
      </c>
      <c r="J1274" s="365" t="s">
        <v>1228</v>
      </c>
      <c r="K1274" s="365" t="s">
        <v>1229</v>
      </c>
      <c r="L1274" s="370">
        <v>45601.52789351852</v>
      </c>
    </row>
    <row r="1275" spans="1:12" s="365" customFormat="1">
      <c r="A1275" s="370">
        <v>45601.571157407408</v>
      </c>
      <c r="B1275" s="365" t="s">
        <v>5809</v>
      </c>
      <c r="C1275" s="365" t="s">
        <v>2506</v>
      </c>
      <c r="D1275" s="365" t="s">
        <v>2507</v>
      </c>
      <c r="E1275" s="365" t="s">
        <v>2508</v>
      </c>
      <c r="F1275" s="365" t="s">
        <v>5810</v>
      </c>
      <c r="G1275" s="370">
        <v>45595</v>
      </c>
      <c r="H1275" s="369">
        <v>9000</v>
      </c>
      <c r="I1275" s="365" t="s">
        <v>5811</v>
      </c>
      <c r="J1275" s="365" t="s">
        <v>1228</v>
      </c>
      <c r="K1275" s="365" t="s">
        <v>1229</v>
      </c>
      <c r="L1275" s="370">
        <v>45601.573321759257</v>
      </c>
    </row>
    <row r="1276" spans="1:12" s="365" customFormat="1">
      <c r="A1276" s="370">
        <v>45601.608449074076</v>
      </c>
      <c r="B1276" s="365" t="s">
        <v>5812</v>
      </c>
      <c r="C1276" s="365" t="s">
        <v>2098</v>
      </c>
      <c r="D1276" s="365" t="s">
        <v>2099</v>
      </c>
      <c r="E1276" s="365" t="s">
        <v>2100</v>
      </c>
      <c r="F1276" s="365" t="s">
        <v>5813</v>
      </c>
      <c r="G1276" s="370">
        <v>45595</v>
      </c>
      <c r="H1276" s="369">
        <v>21000</v>
      </c>
      <c r="I1276" s="365" t="s">
        <v>5814</v>
      </c>
      <c r="J1276" s="365" t="s">
        <v>1228</v>
      </c>
      <c r="K1276" s="365" t="s">
        <v>1229</v>
      </c>
      <c r="L1276" s="370">
        <v>45601.611400462964</v>
      </c>
    </row>
    <row r="1277" spans="1:12" s="365" customFormat="1">
      <c r="A1277" s="370">
        <v>45601.761666666665</v>
      </c>
      <c r="B1277" s="365" t="s">
        <v>5815</v>
      </c>
      <c r="C1277" s="365" t="s">
        <v>1772</v>
      </c>
      <c r="D1277" s="365" t="s">
        <v>1796</v>
      </c>
      <c r="E1277" s="365" t="s">
        <v>1797</v>
      </c>
      <c r="F1277" s="365" t="s">
        <v>5816</v>
      </c>
      <c r="G1277" s="370">
        <v>45595</v>
      </c>
      <c r="H1277" s="369">
        <v>27000</v>
      </c>
      <c r="I1277" s="365" t="s">
        <v>5817</v>
      </c>
      <c r="J1277" s="365" t="s">
        <v>1228</v>
      </c>
      <c r="K1277" s="365" t="s">
        <v>1229</v>
      </c>
      <c r="L1277" s="370">
        <v>45601.764131944445</v>
      </c>
    </row>
    <row r="1278" spans="1:12" s="365" customFormat="1">
      <c r="A1278" s="370">
        <v>45602.247013888889</v>
      </c>
      <c r="B1278" s="365" t="s">
        <v>5818</v>
      </c>
      <c r="C1278" s="365" t="s">
        <v>2251</v>
      </c>
      <c r="D1278" s="365" t="s">
        <v>2252</v>
      </c>
      <c r="E1278" s="365" t="s">
        <v>2253</v>
      </c>
      <c r="F1278" s="365" t="s">
        <v>5819</v>
      </c>
      <c r="G1278" s="370">
        <v>45595</v>
      </c>
      <c r="H1278" s="369">
        <v>30000</v>
      </c>
      <c r="I1278" s="365" t="s">
        <v>5820</v>
      </c>
      <c r="J1278" s="365" t="s">
        <v>1228</v>
      </c>
      <c r="K1278" s="365" t="s">
        <v>1229</v>
      </c>
      <c r="L1278" s="370">
        <v>45602.250486111108</v>
      </c>
    </row>
    <row r="1279" spans="1:12" s="365" customFormat="1">
      <c r="A1279" s="370">
        <v>45602.37300925926</v>
      </c>
      <c r="B1279" s="365" t="s">
        <v>5821</v>
      </c>
      <c r="C1279" s="365" t="s">
        <v>4557</v>
      </c>
      <c r="D1279" s="365" t="s">
        <v>4558</v>
      </c>
      <c r="E1279" s="365" t="s">
        <v>4559</v>
      </c>
      <c r="F1279" s="365" t="s">
        <v>5822</v>
      </c>
      <c r="G1279" s="370">
        <v>45560</v>
      </c>
      <c r="H1279" s="369">
        <v>32000</v>
      </c>
      <c r="I1279" s="365" t="s">
        <v>5823</v>
      </c>
      <c r="J1279" s="365" t="s">
        <v>1228</v>
      </c>
      <c r="K1279" s="365" t="s">
        <v>1229</v>
      </c>
      <c r="L1279" s="370">
        <v>45602.375451388885</v>
      </c>
    </row>
    <row r="1280" spans="1:12" s="365" customFormat="1">
      <c r="A1280" s="370">
        <v>45602.412789351853</v>
      </c>
      <c r="B1280" s="365" t="s">
        <v>5824</v>
      </c>
      <c r="C1280" s="365" t="s">
        <v>1636</v>
      </c>
      <c r="D1280" s="365" t="s">
        <v>1637</v>
      </c>
      <c r="E1280" s="365" t="s">
        <v>1638</v>
      </c>
      <c r="F1280" s="365" t="s">
        <v>5825</v>
      </c>
      <c r="G1280" s="370">
        <v>45595</v>
      </c>
      <c r="H1280" s="369">
        <v>80000</v>
      </c>
      <c r="I1280" s="365" t="s">
        <v>5826</v>
      </c>
      <c r="J1280" s="365" t="s">
        <v>1228</v>
      </c>
      <c r="K1280" s="365" t="s">
        <v>1229</v>
      </c>
      <c r="L1280" s="370">
        <v>45602.413368055553</v>
      </c>
    </row>
    <row r="1281" spans="1:12" s="365" customFormat="1">
      <c r="A1281" s="370">
        <v>45602.414537037039</v>
      </c>
      <c r="B1281" s="365" t="s">
        <v>5827</v>
      </c>
      <c r="C1281" s="365" t="s">
        <v>1317</v>
      </c>
      <c r="D1281" s="365" t="s">
        <v>1320</v>
      </c>
      <c r="E1281" s="365" t="s">
        <v>1321</v>
      </c>
      <c r="F1281" s="365" t="s">
        <v>5828</v>
      </c>
      <c r="G1281" s="370">
        <v>45595</v>
      </c>
      <c r="H1281" s="369">
        <v>9000</v>
      </c>
      <c r="I1281" s="365" t="s">
        <v>5829</v>
      </c>
      <c r="J1281" s="365" t="s">
        <v>1228</v>
      </c>
      <c r="K1281" s="365" t="s">
        <v>1229</v>
      </c>
      <c r="L1281" s="370">
        <v>45602.416944444441</v>
      </c>
    </row>
    <row r="1282" spans="1:12" s="365" customFormat="1">
      <c r="A1282" s="370">
        <v>45602.454108796293</v>
      </c>
      <c r="B1282" s="365" t="s">
        <v>5830</v>
      </c>
      <c r="C1282" s="365" t="s">
        <v>2899</v>
      </c>
      <c r="D1282" s="365" t="s">
        <v>2900</v>
      </c>
      <c r="E1282" s="365" t="s">
        <v>2901</v>
      </c>
      <c r="F1282" s="365" t="s">
        <v>5831</v>
      </c>
      <c r="G1282" s="370">
        <v>45595</v>
      </c>
      <c r="H1282" s="369">
        <v>12000</v>
      </c>
      <c r="I1282" s="365" t="s">
        <v>5832</v>
      </c>
      <c r="J1282" s="365" t="s">
        <v>1228</v>
      </c>
      <c r="K1282" s="365" t="s">
        <v>1229</v>
      </c>
      <c r="L1282" s="370">
        <v>45602.455196759256</v>
      </c>
    </row>
    <row r="1283" spans="1:12" s="365" customFormat="1">
      <c r="A1283" s="370">
        <v>45602.463483796295</v>
      </c>
      <c r="B1283" s="365" t="s">
        <v>5833</v>
      </c>
      <c r="C1283" s="365" t="s">
        <v>2865</v>
      </c>
      <c r="D1283" s="365" t="s">
        <v>2866</v>
      </c>
      <c r="E1283" s="365" t="s">
        <v>2867</v>
      </c>
      <c r="F1283" s="365" t="s">
        <v>5834</v>
      </c>
      <c r="G1283" s="370">
        <v>45595</v>
      </c>
      <c r="H1283" s="369">
        <v>31000</v>
      </c>
      <c r="I1283" s="365" t="s">
        <v>5835</v>
      </c>
      <c r="J1283" s="365" t="s">
        <v>1228</v>
      </c>
      <c r="K1283" s="365" t="s">
        <v>1229</v>
      </c>
      <c r="L1283" s="370">
        <v>45602.465520833335</v>
      </c>
    </row>
    <row r="1284" spans="1:12" s="365" customFormat="1">
      <c r="A1284" s="370">
        <v>45602.517384259256</v>
      </c>
      <c r="B1284" s="365" t="s">
        <v>5836</v>
      </c>
      <c r="C1284" s="365" t="s">
        <v>2800</v>
      </c>
      <c r="D1284" s="365" t="s">
        <v>2801</v>
      </c>
      <c r="E1284" s="365" t="s">
        <v>2802</v>
      </c>
      <c r="F1284" s="365" t="s">
        <v>5837</v>
      </c>
      <c r="G1284" s="370">
        <v>45595</v>
      </c>
      <c r="H1284" s="369">
        <v>27000</v>
      </c>
      <c r="I1284" s="365" t="s">
        <v>5838</v>
      </c>
      <c r="J1284" s="365" t="s">
        <v>1228</v>
      </c>
      <c r="K1284" s="365" t="s">
        <v>1229</v>
      </c>
      <c r="L1284" s="370">
        <v>45602.517847222225</v>
      </c>
    </row>
    <row r="1285" spans="1:12" s="365" customFormat="1">
      <c r="A1285" s="370">
        <v>45602.517951388887</v>
      </c>
      <c r="B1285" s="365" t="s">
        <v>5839</v>
      </c>
      <c r="C1285" s="365" t="s">
        <v>2800</v>
      </c>
      <c r="D1285" s="365" t="s">
        <v>2871</v>
      </c>
      <c r="E1285" s="365" t="s">
        <v>2872</v>
      </c>
      <c r="F1285" s="365" t="s">
        <v>5840</v>
      </c>
      <c r="G1285" s="370">
        <v>45595</v>
      </c>
      <c r="H1285" s="369">
        <v>45000</v>
      </c>
      <c r="I1285" s="365" t="s">
        <v>5841</v>
      </c>
      <c r="J1285" s="365" t="s">
        <v>1228</v>
      </c>
      <c r="K1285" s="365" t="s">
        <v>1229</v>
      </c>
      <c r="L1285" s="370">
        <v>45602.52107638889</v>
      </c>
    </row>
    <row r="1286" spans="1:12" s="365" customFormat="1">
      <c r="A1286" s="370">
        <v>45602.560937499999</v>
      </c>
      <c r="B1286" s="365" t="s">
        <v>5842</v>
      </c>
      <c r="C1286" s="365" t="s">
        <v>1897</v>
      </c>
      <c r="D1286" s="365" t="s">
        <v>1898</v>
      </c>
      <c r="E1286" s="365" t="s">
        <v>1899</v>
      </c>
      <c r="F1286" s="365" t="s">
        <v>5843</v>
      </c>
      <c r="G1286" s="370">
        <v>45595</v>
      </c>
      <c r="H1286" s="369">
        <v>55709</v>
      </c>
      <c r="I1286" s="365" t="s">
        <v>5844</v>
      </c>
      <c r="J1286" s="365" t="s">
        <v>1228</v>
      </c>
      <c r="K1286" s="365" t="s">
        <v>1229</v>
      </c>
      <c r="L1286" s="370">
        <v>45602.562708333331</v>
      </c>
    </row>
    <row r="1287" spans="1:12" s="365" customFormat="1">
      <c r="A1287" s="370">
        <v>45602.572754629633</v>
      </c>
      <c r="B1287" s="365" t="s">
        <v>5845</v>
      </c>
      <c r="C1287" s="365" t="s">
        <v>3032</v>
      </c>
      <c r="D1287" s="365" t="s">
        <v>3033</v>
      </c>
      <c r="E1287" s="365" t="s">
        <v>3034</v>
      </c>
      <c r="F1287" s="365" t="s">
        <v>5846</v>
      </c>
      <c r="G1287" s="370">
        <v>45595</v>
      </c>
      <c r="H1287" s="369">
        <v>27999</v>
      </c>
      <c r="I1287" s="365" t="s">
        <v>5847</v>
      </c>
      <c r="J1287" s="365" t="s">
        <v>1228</v>
      </c>
      <c r="K1287" s="365" t="s">
        <v>1229</v>
      </c>
      <c r="L1287" s="370">
        <v>45602.573379629626</v>
      </c>
    </row>
    <row r="1288" spans="1:12" s="365" customFormat="1">
      <c r="A1288" s="370">
        <v>45602.623819444445</v>
      </c>
      <c r="B1288" s="365" t="s">
        <v>5848</v>
      </c>
      <c r="C1288" s="365" t="s">
        <v>1678</v>
      </c>
      <c r="D1288" s="365" t="s">
        <v>4097</v>
      </c>
      <c r="E1288" s="365" t="s">
        <v>4098</v>
      </c>
      <c r="F1288" s="365" t="s">
        <v>5849</v>
      </c>
      <c r="G1288" s="370">
        <v>45595</v>
      </c>
      <c r="H1288" s="369">
        <v>18000</v>
      </c>
      <c r="I1288" s="365" t="s">
        <v>5850</v>
      </c>
      <c r="J1288" s="365" t="s">
        <v>1228</v>
      </c>
      <c r="K1288" s="365" t="s">
        <v>1229</v>
      </c>
      <c r="L1288" s="370">
        <v>45602.625347222223</v>
      </c>
    </row>
    <row r="1289" spans="1:12" s="365" customFormat="1">
      <c r="A1289" s="370">
        <v>45602.76458333333</v>
      </c>
      <c r="B1289" s="365" t="s">
        <v>5851</v>
      </c>
      <c r="C1289" s="365" t="s">
        <v>1538</v>
      </c>
      <c r="D1289" s="365" t="s">
        <v>1539</v>
      </c>
      <c r="E1289" s="365" t="s">
        <v>1540</v>
      </c>
      <c r="F1289" s="365" t="s">
        <v>5852</v>
      </c>
      <c r="G1289" s="370">
        <v>45595</v>
      </c>
      <c r="H1289" s="369">
        <v>20999</v>
      </c>
      <c r="I1289" s="365" t="s">
        <v>5853</v>
      </c>
      <c r="J1289" s="365" t="s">
        <v>1228</v>
      </c>
      <c r="K1289" s="365" t="s">
        <v>1229</v>
      </c>
      <c r="L1289" s="370">
        <v>45602.767743055556</v>
      </c>
    </row>
    <row r="1290" spans="1:12" s="365" customFormat="1">
      <c r="A1290" s="370">
        <v>45602.824421296296</v>
      </c>
      <c r="B1290" s="365" t="s">
        <v>5854</v>
      </c>
      <c r="C1290" s="365" t="s">
        <v>2046</v>
      </c>
      <c r="D1290" s="365" t="s">
        <v>2047</v>
      </c>
      <c r="E1290" s="365" t="s">
        <v>2048</v>
      </c>
      <c r="F1290" s="365" t="s">
        <v>5855</v>
      </c>
      <c r="G1290" s="370">
        <v>45595</v>
      </c>
      <c r="H1290" s="369">
        <v>39500</v>
      </c>
      <c r="I1290" s="365" t="s">
        <v>5856</v>
      </c>
      <c r="J1290" s="365" t="s">
        <v>1228</v>
      </c>
      <c r="K1290" s="365" t="s">
        <v>1229</v>
      </c>
      <c r="L1290" s="370">
        <v>45602.826817129629</v>
      </c>
    </row>
    <row r="1291" spans="1:12" s="365" customFormat="1">
      <c r="A1291" s="370">
        <v>45602.859965277778</v>
      </c>
      <c r="B1291" s="365" t="s">
        <v>5857</v>
      </c>
      <c r="C1291" s="365" t="s">
        <v>1967</v>
      </c>
      <c r="D1291" s="365" t="s">
        <v>1968</v>
      </c>
      <c r="E1291" s="365" t="s">
        <v>1969</v>
      </c>
      <c r="F1291" s="365" t="s">
        <v>5858</v>
      </c>
      <c r="G1291" s="370">
        <v>45595</v>
      </c>
      <c r="H1291" s="369">
        <v>15999</v>
      </c>
      <c r="I1291" s="365" t="s">
        <v>5859</v>
      </c>
      <c r="J1291" s="365" t="s">
        <v>1228</v>
      </c>
      <c r="K1291" s="365" t="s">
        <v>1229</v>
      </c>
      <c r="L1291" s="370">
        <v>45602.861354166664</v>
      </c>
    </row>
    <row r="1292" spans="1:12" s="365" customFormat="1">
      <c r="A1292" s="370">
        <v>45602.860706018517</v>
      </c>
      <c r="B1292" s="365" t="s">
        <v>5860</v>
      </c>
      <c r="C1292" s="365" t="s">
        <v>2402</v>
      </c>
      <c r="D1292" s="365" t="s">
        <v>2403</v>
      </c>
      <c r="E1292" s="365" t="s">
        <v>2404</v>
      </c>
      <c r="F1292" s="365" t="s">
        <v>5861</v>
      </c>
      <c r="G1292" s="370">
        <v>45595</v>
      </c>
      <c r="H1292" s="369">
        <v>23001</v>
      </c>
      <c r="I1292" s="365" t="s">
        <v>5862</v>
      </c>
      <c r="J1292" s="365" t="s">
        <v>1228</v>
      </c>
      <c r="K1292" s="365" t="s">
        <v>1229</v>
      </c>
      <c r="L1292" s="370">
        <v>45602.861539351848</v>
      </c>
    </row>
    <row r="1293" spans="1:12" s="365" customFormat="1">
      <c r="A1293" s="370">
        <v>45602.413356481484</v>
      </c>
      <c r="B1293" s="365" t="s">
        <v>5863</v>
      </c>
      <c r="C1293" s="365" t="s">
        <v>5864</v>
      </c>
      <c r="D1293" s="365" t="s">
        <v>1915</v>
      </c>
      <c r="E1293" s="365" t="s">
        <v>1916</v>
      </c>
      <c r="F1293" s="365" t="s">
        <v>5865</v>
      </c>
      <c r="G1293" s="370">
        <v>45595</v>
      </c>
      <c r="H1293" s="369">
        <v>15000</v>
      </c>
      <c r="I1293" s="365" t="s">
        <v>5866</v>
      </c>
      <c r="J1293" s="365" t="s">
        <v>1228</v>
      </c>
      <c r="K1293" s="365" t="s">
        <v>1229</v>
      </c>
      <c r="L1293" s="370">
        <v>45602.416967592595</v>
      </c>
    </row>
    <row r="1294" spans="1:12" s="365" customFormat="1">
      <c r="A1294" s="370">
        <v>45602.441122685188</v>
      </c>
      <c r="B1294" s="365" t="s">
        <v>5867</v>
      </c>
      <c r="C1294" s="365" t="s">
        <v>1772</v>
      </c>
      <c r="D1294" s="365" t="s">
        <v>1773</v>
      </c>
      <c r="E1294" s="365" t="s">
        <v>1774</v>
      </c>
      <c r="F1294" s="365" t="s">
        <v>5868</v>
      </c>
      <c r="G1294" s="370">
        <v>45595</v>
      </c>
      <c r="H1294" s="369">
        <v>21000</v>
      </c>
      <c r="I1294" s="365" t="s">
        <v>5869</v>
      </c>
      <c r="J1294" s="365" t="s">
        <v>1228</v>
      </c>
      <c r="K1294" s="365" t="s">
        <v>1229</v>
      </c>
      <c r="L1294" s="370">
        <v>45602.444872685184</v>
      </c>
    </row>
    <row r="1295" spans="1:12" s="365" customFormat="1">
      <c r="A1295" s="370">
        <v>45602.639872685184</v>
      </c>
      <c r="B1295" s="365" t="s">
        <v>5870</v>
      </c>
      <c r="C1295" s="365" t="s">
        <v>2794</v>
      </c>
      <c r="D1295" s="365" t="s">
        <v>2795</v>
      </c>
      <c r="E1295" s="365" t="s">
        <v>2796</v>
      </c>
      <c r="F1295" s="365" t="s">
        <v>5871</v>
      </c>
      <c r="G1295" s="370">
        <v>45595</v>
      </c>
      <c r="H1295" s="369">
        <v>21000</v>
      </c>
      <c r="I1295" s="365" t="s">
        <v>5872</v>
      </c>
      <c r="J1295" s="365" t="s">
        <v>1228</v>
      </c>
      <c r="K1295" s="365" t="s">
        <v>1229</v>
      </c>
      <c r="L1295" s="370">
        <v>45602.642777777779</v>
      </c>
    </row>
    <row r="1296" spans="1:12" s="365" customFormat="1">
      <c r="A1296" s="370">
        <v>45602.843101851853</v>
      </c>
      <c r="B1296" s="365" t="s">
        <v>5873</v>
      </c>
      <c r="C1296" s="365" t="s">
        <v>2922</v>
      </c>
      <c r="D1296" s="365" t="s">
        <v>2923</v>
      </c>
      <c r="E1296" s="365" t="s">
        <v>2924</v>
      </c>
      <c r="F1296" s="365" t="s">
        <v>5874</v>
      </c>
      <c r="G1296" s="370">
        <v>45595</v>
      </c>
      <c r="H1296" s="369">
        <v>12000</v>
      </c>
      <c r="I1296" s="365" t="s">
        <v>5875</v>
      </c>
      <c r="J1296" s="365" t="s">
        <v>1228</v>
      </c>
      <c r="K1296" s="365" t="s">
        <v>1229</v>
      </c>
      <c r="L1296" s="370">
        <v>45602.844247685185</v>
      </c>
    </row>
    <row r="1297" spans="1:12" s="365" customFormat="1">
      <c r="A1297" s="370">
        <v>45602.370428240742</v>
      </c>
      <c r="B1297" s="365" t="s">
        <v>5876</v>
      </c>
      <c r="C1297" s="365" t="s">
        <v>2408</v>
      </c>
      <c r="D1297" s="365" t="s">
        <v>2409</v>
      </c>
      <c r="E1297" s="365" t="s">
        <v>2410</v>
      </c>
      <c r="F1297" s="365" t="s">
        <v>5877</v>
      </c>
      <c r="G1297" s="370">
        <v>45595</v>
      </c>
      <c r="H1297" s="369">
        <v>47999</v>
      </c>
      <c r="I1297" s="365" t="s">
        <v>5878</v>
      </c>
      <c r="J1297" s="365" t="s">
        <v>1228</v>
      </c>
      <c r="K1297" s="365" t="s">
        <v>1229</v>
      </c>
      <c r="L1297" s="370">
        <v>45602.371886574074</v>
      </c>
    </row>
    <row r="1298" spans="1:12" s="365" customFormat="1">
      <c r="A1298" s="370">
        <v>45602.42491898148</v>
      </c>
      <c r="B1298" s="365" t="s">
        <v>5879</v>
      </c>
      <c r="C1298" s="365" t="s">
        <v>5880</v>
      </c>
      <c r="D1298" s="365" t="s">
        <v>2450</v>
      </c>
      <c r="E1298" s="365" t="s">
        <v>2451</v>
      </c>
      <c r="F1298" s="365" t="s">
        <v>5881</v>
      </c>
      <c r="G1298" s="370">
        <v>45595</v>
      </c>
      <c r="H1298" s="369">
        <v>15999</v>
      </c>
      <c r="I1298" s="365" t="s">
        <v>5882</v>
      </c>
      <c r="J1298" s="365" t="s">
        <v>1228</v>
      </c>
      <c r="K1298" s="365" t="s">
        <v>1229</v>
      </c>
      <c r="L1298" s="370">
        <v>45602.427418981482</v>
      </c>
    </row>
    <row r="1299" spans="1:12" s="365" customFormat="1">
      <c r="A1299" s="370">
        <v>45602.518541666665</v>
      </c>
      <c r="B1299" s="365" t="s">
        <v>5883</v>
      </c>
      <c r="C1299" s="365" t="s">
        <v>2800</v>
      </c>
      <c r="D1299" s="365" t="s">
        <v>2806</v>
      </c>
      <c r="E1299" s="365" t="s">
        <v>2807</v>
      </c>
      <c r="F1299" s="365" t="s">
        <v>5884</v>
      </c>
      <c r="G1299" s="370">
        <v>45595</v>
      </c>
      <c r="H1299" s="369">
        <v>18000</v>
      </c>
      <c r="I1299" s="365" t="s">
        <v>5885</v>
      </c>
      <c r="J1299" s="365" t="s">
        <v>1228</v>
      </c>
      <c r="K1299" s="365" t="s">
        <v>1229</v>
      </c>
      <c r="L1299" s="370">
        <v>45602.521261574075</v>
      </c>
    </row>
    <row r="1300" spans="1:12" s="365" customFormat="1">
      <c r="A1300" s="370">
        <v>45602.670775462961</v>
      </c>
      <c r="B1300" s="365" t="s">
        <v>5886</v>
      </c>
      <c r="C1300" s="365" t="s">
        <v>5887</v>
      </c>
      <c r="D1300" s="365" t="s">
        <v>5888</v>
      </c>
      <c r="E1300" s="365" t="s">
        <v>5889</v>
      </c>
      <c r="F1300" s="365" t="s">
        <v>5890</v>
      </c>
      <c r="G1300" s="370">
        <v>45595</v>
      </c>
      <c r="H1300" s="369">
        <v>37000</v>
      </c>
      <c r="I1300" s="365" t="s">
        <v>5891</v>
      </c>
      <c r="J1300" s="365" t="s">
        <v>1228</v>
      </c>
      <c r="K1300" s="365" t="s">
        <v>1229</v>
      </c>
      <c r="L1300" s="370">
        <v>45602.674108796295</v>
      </c>
    </row>
    <row r="1301" spans="1:12" s="365" customFormat="1">
      <c r="A1301" s="370">
        <v>45602.820972222224</v>
      </c>
      <c r="B1301" s="365" t="s">
        <v>5892</v>
      </c>
      <c r="C1301" s="365" t="s">
        <v>5893</v>
      </c>
      <c r="D1301" s="365" t="s">
        <v>5894</v>
      </c>
      <c r="E1301" s="365" t="s">
        <v>5895</v>
      </c>
      <c r="F1301" s="365" t="s">
        <v>5896</v>
      </c>
      <c r="G1301" s="370">
        <v>45595</v>
      </c>
      <c r="H1301" s="369">
        <v>27000</v>
      </c>
      <c r="I1301" s="365" t="s">
        <v>5897</v>
      </c>
      <c r="J1301" s="365" t="s">
        <v>1228</v>
      </c>
      <c r="K1301" s="365" t="s">
        <v>1229</v>
      </c>
      <c r="L1301" s="370">
        <v>45602.823263888888</v>
      </c>
    </row>
    <row r="1302" spans="1:12" s="365" customFormat="1">
      <c r="A1302" s="370">
        <v>45602.836319444446</v>
      </c>
      <c r="B1302" s="365" t="s">
        <v>5898</v>
      </c>
      <c r="C1302" s="365" t="s">
        <v>2372</v>
      </c>
      <c r="D1302" s="365" t="s">
        <v>2373</v>
      </c>
      <c r="E1302" s="365" t="s">
        <v>2374</v>
      </c>
      <c r="F1302" s="365" t="s">
        <v>5899</v>
      </c>
      <c r="G1302" s="370">
        <v>45595</v>
      </c>
      <c r="H1302" s="369">
        <v>23400</v>
      </c>
      <c r="I1302" s="365" t="s">
        <v>5900</v>
      </c>
      <c r="J1302" s="365" t="s">
        <v>1228</v>
      </c>
      <c r="K1302" s="365" t="s">
        <v>1229</v>
      </c>
      <c r="L1302" s="370">
        <v>45602.837129629632</v>
      </c>
    </row>
    <row r="1303" spans="1:12" s="365" customFormat="1">
      <c r="A1303" s="370">
        <v>45603.344548611109</v>
      </c>
      <c r="B1303" s="365" t="s">
        <v>5901</v>
      </c>
      <c r="C1303" s="365" t="s">
        <v>5902</v>
      </c>
      <c r="D1303" s="365" t="s">
        <v>2519</v>
      </c>
      <c r="E1303" s="365" t="s">
        <v>2520</v>
      </c>
      <c r="F1303" s="365" t="s">
        <v>5903</v>
      </c>
      <c r="G1303" s="370">
        <v>45595</v>
      </c>
      <c r="H1303" s="369">
        <v>9000</v>
      </c>
      <c r="I1303" s="365" t="s">
        <v>5904</v>
      </c>
      <c r="J1303" s="365" t="s">
        <v>1228</v>
      </c>
      <c r="K1303" s="365" t="s">
        <v>1229</v>
      </c>
      <c r="L1303" s="370">
        <v>45603.34746527778</v>
      </c>
    </row>
    <row r="1304" spans="1:12" s="365" customFormat="1">
      <c r="A1304" s="370">
        <v>45603.346979166665</v>
      </c>
      <c r="B1304" s="365" t="s">
        <v>5905</v>
      </c>
      <c r="C1304" s="365" t="s">
        <v>3243</v>
      </c>
      <c r="D1304" s="365" t="s">
        <v>3244</v>
      </c>
      <c r="E1304" s="365" t="s">
        <v>3245</v>
      </c>
      <c r="F1304" s="365" t="s">
        <v>5906</v>
      </c>
      <c r="G1304" s="370">
        <v>45595</v>
      </c>
      <c r="H1304" s="369">
        <v>15999</v>
      </c>
      <c r="I1304" s="365" t="s">
        <v>5907</v>
      </c>
      <c r="J1304" s="365" t="s">
        <v>1228</v>
      </c>
      <c r="K1304" s="365" t="s">
        <v>1229</v>
      </c>
      <c r="L1304" s="370">
        <v>45603.347650462965</v>
      </c>
    </row>
    <row r="1305" spans="1:12" s="365" customFormat="1">
      <c r="A1305" s="370">
        <v>45603.367280092592</v>
      </c>
      <c r="B1305" s="365" t="s">
        <v>5908</v>
      </c>
      <c r="C1305" s="365" t="s">
        <v>2087</v>
      </c>
      <c r="D1305" s="365" t="s">
        <v>2088</v>
      </c>
      <c r="E1305" s="365" t="s">
        <v>2089</v>
      </c>
      <c r="F1305" s="365" t="s">
        <v>5909</v>
      </c>
      <c r="G1305" s="370">
        <v>45595</v>
      </c>
      <c r="H1305" s="369">
        <v>47999</v>
      </c>
      <c r="I1305" s="365" t="s">
        <v>5910</v>
      </c>
      <c r="J1305" s="365" t="s">
        <v>1228</v>
      </c>
      <c r="K1305" s="365" t="s">
        <v>1229</v>
      </c>
      <c r="L1305" s="370">
        <v>45603.368263888886</v>
      </c>
    </row>
    <row r="1306" spans="1:12" s="365" customFormat="1">
      <c r="A1306" s="370">
        <v>45603.404236111113</v>
      </c>
      <c r="B1306" s="365" t="s">
        <v>5911</v>
      </c>
      <c r="C1306" s="365" t="s">
        <v>5912</v>
      </c>
      <c r="D1306" s="365" t="s">
        <v>5913</v>
      </c>
      <c r="E1306" s="365" t="s">
        <v>5914</v>
      </c>
      <c r="F1306" s="365" t="s">
        <v>5915</v>
      </c>
      <c r="G1306" s="370">
        <v>45595</v>
      </c>
      <c r="H1306" s="369">
        <v>133510</v>
      </c>
      <c r="I1306" s="365" t="s">
        <v>5916</v>
      </c>
      <c r="J1306" s="365" t="s">
        <v>1228</v>
      </c>
      <c r="K1306" s="365" t="s">
        <v>1229</v>
      </c>
      <c r="L1306" s="370">
        <v>45603.406712962962</v>
      </c>
    </row>
    <row r="1307" spans="1:12" s="365" customFormat="1">
      <c r="A1307" s="370">
        <v>45603.41673611111</v>
      </c>
      <c r="B1307" s="365" t="s">
        <v>5917</v>
      </c>
      <c r="C1307" s="365" t="s">
        <v>2756</v>
      </c>
      <c r="D1307" s="365" t="s">
        <v>2757</v>
      </c>
      <c r="E1307" s="365" t="s">
        <v>2758</v>
      </c>
      <c r="F1307" s="365" t="s">
        <v>5918</v>
      </c>
      <c r="G1307" s="370">
        <v>45595</v>
      </c>
      <c r="H1307" s="369">
        <v>14000</v>
      </c>
      <c r="I1307" s="365" t="s">
        <v>5919</v>
      </c>
      <c r="J1307" s="365" t="s">
        <v>1228</v>
      </c>
      <c r="K1307" s="365" t="s">
        <v>1229</v>
      </c>
      <c r="L1307" s="370">
        <v>45603.417037037034</v>
      </c>
    </row>
    <row r="1308" spans="1:12" s="365" customFormat="1">
      <c r="A1308" s="370">
        <v>45603.442395833335</v>
      </c>
      <c r="B1308" s="365" t="s">
        <v>5920</v>
      </c>
      <c r="C1308" s="365" t="s">
        <v>5921</v>
      </c>
      <c r="D1308" s="365" t="s">
        <v>5922</v>
      </c>
      <c r="E1308" s="365" t="s">
        <v>5923</v>
      </c>
      <c r="F1308" s="365" t="s">
        <v>5924</v>
      </c>
      <c r="G1308" s="370">
        <v>45595</v>
      </c>
      <c r="H1308" s="369">
        <v>40000</v>
      </c>
      <c r="I1308" s="365" t="s">
        <v>5925</v>
      </c>
      <c r="J1308" s="365" t="s">
        <v>1228</v>
      </c>
      <c r="K1308" s="365" t="s">
        <v>1229</v>
      </c>
      <c r="L1308" s="370">
        <v>45603.445462962962</v>
      </c>
    </row>
    <row r="1309" spans="1:12" s="365" customFormat="1">
      <c r="A1309" s="370">
        <v>45603.493969907409</v>
      </c>
      <c r="B1309" s="365" t="s">
        <v>5926</v>
      </c>
      <c r="C1309" s="365" t="s">
        <v>2005</v>
      </c>
      <c r="D1309" s="365" t="s">
        <v>2006</v>
      </c>
      <c r="E1309" s="365" t="s">
        <v>2007</v>
      </c>
      <c r="F1309" s="365" t="s">
        <v>5927</v>
      </c>
      <c r="G1309" s="370">
        <v>45595</v>
      </c>
      <c r="H1309" s="369">
        <v>18000</v>
      </c>
      <c r="I1309" s="365" t="s">
        <v>5928</v>
      </c>
      <c r="J1309" s="365" t="s">
        <v>1228</v>
      </c>
      <c r="K1309" s="365" t="s">
        <v>1229</v>
      </c>
      <c r="L1309" s="370">
        <v>45603.494212962964</v>
      </c>
    </row>
    <row r="1310" spans="1:12" s="365" customFormat="1">
      <c r="A1310" s="370">
        <v>45603.509884259256</v>
      </c>
      <c r="B1310" s="365" t="s">
        <v>5929</v>
      </c>
      <c r="C1310" s="365" t="s">
        <v>2650</v>
      </c>
      <c r="D1310" s="365" t="s">
        <v>2651</v>
      </c>
      <c r="E1310" s="365" t="s">
        <v>2652</v>
      </c>
      <c r="F1310" s="365" t="s">
        <v>5930</v>
      </c>
      <c r="G1310" s="370">
        <v>45621</v>
      </c>
      <c r="H1310" s="369">
        <v>18000</v>
      </c>
      <c r="I1310" s="365" t="s">
        <v>5931</v>
      </c>
      <c r="J1310" s="365" t="s">
        <v>1228</v>
      </c>
      <c r="K1310" s="365" t="s">
        <v>1229</v>
      </c>
      <c r="L1310" s="370">
        <v>45608.66646990741</v>
      </c>
    </row>
    <row r="1311" spans="1:12" s="365" customFormat="1">
      <c r="A1311" s="370">
        <v>45603.51221064815</v>
      </c>
      <c r="B1311" s="365" t="s">
        <v>5932</v>
      </c>
      <c r="C1311" s="365" t="s">
        <v>3133</v>
      </c>
      <c r="D1311" s="365" t="s">
        <v>3134</v>
      </c>
      <c r="E1311" s="365" t="s">
        <v>3135</v>
      </c>
      <c r="F1311" s="365" t="s">
        <v>5933</v>
      </c>
      <c r="G1311" s="370">
        <v>45621</v>
      </c>
      <c r="H1311" s="369">
        <v>9000</v>
      </c>
      <c r="I1311" s="365" t="s">
        <v>5934</v>
      </c>
      <c r="J1311" s="365" t="s">
        <v>1228</v>
      </c>
      <c r="K1311" s="365" t="s">
        <v>1229</v>
      </c>
      <c r="L1311" s="370">
        <v>45608.666655092595</v>
      </c>
    </row>
    <row r="1312" spans="1:12" s="365" customFormat="1">
      <c r="A1312" s="370">
        <v>45603.514675925922</v>
      </c>
      <c r="B1312" s="365" t="s">
        <v>5935</v>
      </c>
      <c r="C1312" s="365" t="s">
        <v>2287</v>
      </c>
      <c r="D1312" s="365" t="s">
        <v>2288</v>
      </c>
      <c r="E1312" s="365" t="s">
        <v>2289</v>
      </c>
      <c r="F1312" s="365" t="s">
        <v>5936</v>
      </c>
      <c r="G1312" s="370">
        <v>45595</v>
      </c>
      <c r="H1312" s="369">
        <v>33999</v>
      </c>
      <c r="I1312" s="365" t="s">
        <v>5937</v>
      </c>
      <c r="J1312" s="365" t="s">
        <v>1228</v>
      </c>
      <c r="K1312" s="365" t="s">
        <v>1229</v>
      </c>
      <c r="L1312" s="370">
        <v>45603.518495370372</v>
      </c>
    </row>
    <row r="1313" spans="1:12" s="365" customFormat="1">
      <c r="A1313" s="370">
        <v>45603.657453703701</v>
      </c>
      <c r="B1313" s="365" t="s">
        <v>5938</v>
      </c>
      <c r="C1313" s="365" t="s">
        <v>1438</v>
      </c>
      <c r="D1313" s="365" t="s">
        <v>1439</v>
      </c>
      <c r="E1313" s="365" t="s">
        <v>1440</v>
      </c>
      <c r="F1313" s="365" t="s">
        <v>5939</v>
      </c>
      <c r="G1313" s="370">
        <v>45595</v>
      </c>
      <c r="H1313" s="369">
        <v>19366</v>
      </c>
      <c r="I1313" s="365" t="s">
        <v>5940</v>
      </c>
      <c r="J1313" s="365" t="s">
        <v>1228</v>
      </c>
      <c r="K1313" s="365" t="s">
        <v>1229</v>
      </c>
      <c r="L1313" s="370">
        <v>45603.658032407409</v>
      </c>
    </row>
    <row r="1314" spans="1:12" s="365" customFormat="1">
      <c r="A1314" s="370">
        <v>45603.67050925926</v>
      </c>
      <c r="B1314" s="365" t="s">
        <v>5941</v>
      </c>
      <c r="C1314" s="365" t="s">
        <v>2993</v>
      </c>
      <c r="D1314" s="365" t="s">
        <v>2994</v>
      </c>
      <c r="E1314" s="365" t="s">
        <v>2995</v>
      </c>
      <c r="F1314" s="365" t="s">
        <v>5942</v>
      </c>
      <c r="G1314" s="370">
        <v>45595</v>
      </c>
      <c r="H1314" s="369">
        <v>21999</v>
      </c>
      <c r="I1314" s="365" t="s">
        <v>5943</v>
      </c>
      <c r="J1314" s="365" t="s">
        <v>1228</v>
      </c>
      <c r="K1314" s="365" t="s">
        <v>1229</v>
      </c>
      <c r="L1314" s="370">
        <v>45603.674016203702</v>
      </c>
    </row>
    <row r="1315" spans="1:12" s="365" customFormat="1">
      <c r="A1315" s="370">
        <v>45603.720439814817</v>
      </c>
      <c r="B1315" s="365" t="s">
        <v>5944</v>
      </c>
      <c r="C1315" s="365" t="s">
        <v>1855</v>
      </c>
      <c r="D1315" s="365" t="s">
        <v>1856</v>
      </c>
      <c r="E1315" s="365" t="s">
        <v>1857</v>
      </c>
      <c r="F1315" s="365" t="s">
        <v>5945</v>
      </c>
      <c r="G1315" s="370">
        <v>45595</v>
      </c>
      <c r="H1315" s="369">
        <v>15999</v>
      </c>
      <c r="I1315" s="365" t="s">
        <v>5946</v>
      </c>
      <c r="J1315" s="365" t="s">
        <v>1228</v>
      </c>
      <c r="K1315" s="365" t="s">
        <v>1229</v>
      </c>
      <c r="L1315" s="370">
        <v>45603.72488425926</v>
      </c>
    </row>
    <row r="1316" spans="1:12" s="365" customFormat="1">
      <c r="A1316" s="370">
        <v>45603.724328703705</v>
      </c>
      <c r="B1316" s="365" t="s">
        <v>5947</v>
      </c>
      <c r="C1316" s="365" t="s">
        <v>2237</v>
      </c>
      <c r="D1316" s="365" t="s">
        <v>2777</v>
      </c>
      <c r="E1316" s="365" t="s">
        <v>2778</v>
      </c>
      <c r="F1316" s="365" t="s">
        <v>5948</v>
      </c>
      <c r="G1316" s="370">
        <v>45595</v>
      </c>
      <c r="H1316" s="369">
        <v>20999</v>
      </c>
      <c r="I1316" s="365" t="s">
        <v>5949</v>
      </c>
      <c r="J1316" s="365" t="s">
        <v>1228</v>
      </c>
      <c r="K1316" s="365" t="s">
        <v>1229</v>
      </c>
      <c r="L1316" s="370">
        <v>45603.725069444445</v>
      </c>
    </row>
    <row r="1317" spans="1:12" s="365" customFormat="1">
      <c r="A1317" s="370">
        <v>45603.755914351852</v>
      </c>
      <c r="B1317" s="365" t="s">
        <v>5950</v>
      </c>
      <c r="C1317" s="365" t="s">
        <v>2577</v>
      </c>
      <c r="D1317" s="365" t="s">
        <v>2578</v>
      </c>
      <c r="E1317" s="365" t="s">
        <v>2579</v>
      </c>
      <c r="F1317" s="365" t="s">
        <v>5951</v>
      </c>
      <c r="G1317" s="370">
        <v>45595</v>
      </c>
      <c r="H1317" s="369">
        <v>27000</v>
      </c>
      <c r="I1317" s="365" t="s">
        <v>5952</v>
      </c>
      <c r="J1317" s="365" t="s">
        <v>1228</v>
      </c>
      <c r="K1317" s="365" t="s">
        <v>1229</v>
      </c>
      <c r="L1317" s="370">
        <v>45603.758958333332</v>
      </c>
    </row>
    <row r="1318" spans="1:12" s="365" customFormat="1">
      <c r="A1318" s="370">
        <v>45603.758055555554</v>
      </c>
      <c r="B1318" s="365" t="s">
        <v>5953</v>
      </c>
      <c r="C1318" s="365" t="s">
        <v>5954</v>
      </c>
      <c r="D1318" s="365" t="s">
        <v>5955</v>
      </c>
      <c r="E1318" s="365" t="s">
        <v>5956</v>
      </c>
      <c r="F1318" s="365" t="s">
        <v>5957</v>
      </c>
      <c r="G1318" s="370">
        <v>45595</v>
      </c>
      <c r="H1318" s="369">
        <v>18000</v>
      </c>
      <c r="I1318" s="365" t="s">
        <v>5958</v>
      </c>
      <c r="J1318" s="365" t="s">
        <v>1228</v>
      </c>
      <c r="K1318" s="365" t="s">
        <v>1229</v>
      </c>
      <c r="L1318" s="370">
        <v>45603.759131944447</v>
      </c>
    </row>
    <row r="1319" spans="1:12" s="365" customFormat="1">
      <c r="A1319" s="370">
        <v>45603.47928240741</v>
      </c>
      <c r="B1319" s="365" t="s">
        <v>5959</v>
      </c>
      <c r="C1319" s="365" t="s">
        <v>2213</v>
      </c>
      <c r="D1319" s="365" t="s">
        <v>2214</v>
      </c>
      <c r="E1319" s="365" t="s">
        <v>2215</v>
      </c>
      <c r="F1319" s="365" t="s">
        <v>5960</v>
      </c>
      <c r="G1319" s="370">
        <v>45595</v>
      </c>
      <c r="H1319" s="369">
        <v>18000</v>
      </c>
      <c r="I1319" s="365" t="s">
        <v>5961</v>
      </c>
      <c r="J1319" s="365" t="s">
        <v>1228</v>
      </c>
      <c r="K1319" s="365" t="s">
        <v>1229</v>
      </c>
      <c r="L1319" s="370">
        <v>45603.48033564815</v>
      </c>
    </row>
    <row r="1320" spans="1:12" s="365" customFormat="1">
      <c r="A1320" s="370">
        <v>45603.546180555553</v>
      </c>
      <c r="B1320" s="365" t="s">
        <v>5962</v>
      </c>
      <c r="C1320" s="365" t="s">
        <v>3645</v>
      </c>
      <c r="D1320" s="365" t="s">
        <v>3646</v>
      </c>
      <c r="E1320" s="365" t="s">
        <v>3647</v>
      </c>
      <c r="F1320" s="365" t="s">
        <v>5963</v>
      </c>
      <c r="G1320" s="370">
        <v>45621</v>
      </c>
      <c r="H1320" s="369">
        <v>27000</v>
      </c>
      <c r="I1320" s="365" t="s">
        <v>5964</v>
      </c>
      <c r="J1320" s="365" t="s">
        <v>1228</v>
      </c>
      <c r="K1320" s="365" t="s">
        <v>1229</v>
      </c>
      <c r="L1320" s="370">
        <v>45608.670324074075</v>
      </c>
    </row>
    <row r="1321" spans="1:12" s="365" customFormat="1">
      <c r="A1321" s="370">
        <v>45603.730682870373</v>
      </c>
      <c r="B1321" s="365" t="s">
        <v>5965</v>
      </c>
      <c r="C1321" s="365" t="s">
        <v>1363</v>
      </c>
      <c r="D1321" s="365" t="s">
        <v>1364</v>
      </c>
      <c r="E1321" s="365" t="s">
        <v>1365</v>
      </c>
      <c r="F1321" s="365" t="s">
        <v>5966</v>
      </c>
      <c r="G1321" s="370">
        <v>45621</v>
      </c>
      <c r="H1321" s="369">
        <v>23500</v>
      </c>
      <c r="I1321" s="365" t="s">
        <v>5967</v>
      </c>
      <c r="J1321" s="365" t="s">
        <v>1228</v>
      </c>
      <c r="K1321" s="365" t="s">
        <v>1229</v>
      </c>
      <c r="L1321" s="370">
        <v>45608.67050925926</v>
      </c>
    </row>
    <row r="1322" spans="1:12" s="365" customFormat="1">
      <c r="A1322" s="370">
        <v>45603.772222222222</v>
      </c>
      <c r="B1322" s="365" t="s">
        <v>5968</v>
      </c>
      <c r="C1322" s="365" t="s">
        <v>2969</v>
      </c>
      <c r="D1322" s="365" t="s">
        <v>2970</v>
      </c>
      <c r="E1322" s="365" t="s">
        <v>2971</v>
      </c>
      <c r="F1322" s="365" t="s">
        <v>5969</v>
      </c>
      <c r="G1322" s="370">
        <v>45595</v>
      </c>
      <c r="H1322" s="369">
        <v>41000</v>
      </c>
      <c r="I1322" s="365" t="s">
        <v>5970</v>
      </c>
      <c r="J1322" s="365" t="s">
        <v>1228</v>
      </c>
      <c r="K1322" s="365" t="s">
        <v>1229</v>
      </c>
      <c r="L1322" s="370">
        <v>45603.775659722225</v>
      </c>
    </row>
    <row r="1323" spans="1:12" s="365" customFormat="1">
      <c r="A1323" s="370">
        <v>45603.870532407411</v>
      </c>
      <c r="B1323" s="365" t="s">
        <v>5971</v>
      </c>
      <c r="C1323" s="365" t="s">
        <v>2703</v>
      </c>
      <c r="D1323" s="365" t="s">
        <v>2704</v>
      </c>
      <c r="E1323" s="365" t="s">
        <v>2705</v>
      </c>
      <c r="F1323" s="365" t="s">
        <v>5972</v>
      </c>
      <c r="G1323" s="370">
        <v>45595</v>
      </c>
      <c r="H1323" s="369">
        <v>27000</v>
      </c>
      <c r="I1323" s="365" t="s">
        <v>5973</v>
      </c>
      <c r="J1323" s="365" t="s">
        <v>1228</v>
      </c>
      <c r="K1323" s="365" t="s">
        <v>1229</v>
      </c>
      <c r="L1323" s="370">
        <v>45603.871458333335</v>
      </c>
    </row>
    <row r="1324" spans="1:12" s="365" customFormat="1">
      <c r="A1324" s="370">
        <v>45603.500289351854</v>
      </c>
      <c r="B1324" s="365" t="s">
        <v>5974</v>
      </c>
      <c r="C1324" s="365" t="s">
        <v>1701</v>
      </c>
      <c r="D1324" s="365" t="s">
        <v>1702</v>
      </c>
      <c r="E1324" s="365" t="s">
        <v>1703</v>
      </c>
      <c r="F1324" s="365" t="s">
        <v>5975</v>
      </c>
      <c r="G1324" s="370">
        <v>45595</v>
      </c>
      <c r="H1324" s="369">
        <v>15999</v>
      </c>
      <c r="I1324" s="365" t="s">
        <v>5976</v>
      </c>
      <c r="J1324" s="365" t="s">
        <v>1228</v>
      </c>
      <c r="K1324" s="365" t="s">
        <v>1229</v>
      </c>
      <c r="L1324" s="370">
        <v>45603.500983796293</v>
      </c>
    </row>
    <row r="1325" spans="1:12" s="365" customFormat="1">
      <c r="A1325" s="370">
        <v>45603.509456018517</v>
      </c>
      <c r="B1325" s="365" t="s">
        <v>5977</v>
      </c>
      <c r="C1325" s="365" t="s">
        <v>2650</v>
      </c>
      <c r="D1325" s="365" t="s">
        <v>2651</v>
      </c>
      <c r="E1325" s="365" t="s">
        <v>2652</v>
      </c>
      <c r="F1325" s="365" t="s">
        <v>5978</v>
      </c>
      <c r="G1325" s="370">
        <v>45595</v>
      </c>
      <c r="H1325" s="369">
        <v>18000</v>
      </c>
      <c r="I1325" s="365" t="s">
        <v>5979</v>
      </c>
      <c r="J1325" s="365" t="s">
        <v>1228</v>
      </c>
      <c r="K1325" s="365" t="s">
        <v>1229</v>
      </c>
      <c r="L1325" s="370">
        <v>45603.511689814812</v>
      </c>
    </row>
    <row r="1326" spans="1:12" s="365" customFormat="1">
      <c r="A1326" s="370">
        <v>45603.527824074074</v>
      </c>
      <c r="B1326" s="365" t="s">
        <v>5980</v>
      </c>
      <c r="C1326" s="365" t="s">
        <v>5981</v>
      </c>
      <c r="D1326" s="365" t="s">
        <v>5982</v>
      </c>
      <c r="E1326" s="365" t="s">
        <v>5983</v>
      </c>
      <c r="F1326" s="365" t="s">
        <v>5984</v>
      </c>
      <c r="G1326" s="370">
        <v>45595</v>
      </c>
      <c r="H1326" s="369">
        <v>25000</v>
      </c>
      <c r="I1326" s="365" t="s">
        <v>5985</v>
      </c>
      <c r="J1326" s="365" t="s">
        <v>1228</v>
      </c>
      <c r="K1326" s="365" t="s">
        <v>1229</v>
      </c>
      <c r="L1326" s="370">
        <v>45603.528807870367</v>
      </c>
    </row>
    <row r="1327" spans="1:12" s="365" customFormat="1">
      <c r="A1327" s="370">
        <v>45603.554583333331</v>
      </c>
      <c r="B1327" s="365" t="s">
        <v>5986</v>
      </c>
      <c r="C1327" s="365" t="s">
        <v>3148</v>
      </c>
      <c r="D1327" s="365" t="s">
        <v>3149</v>
      </c>
      <c r="E1327" s="365" t="s">
        <v>3150</v>
      </c>
      <c r="F1327" s="365" t="s">
        <v>5987</v>
      </c>
      <c r="G1327" s="370">
        <v>45621</v>
      </c>
      <c r="H1327" s="369">
        <v>30000</v>
      </c>
      <c r="I1327" s="365" t="s">
        <v>5988</v>
      </c>
      <c r="J1327" s="365" t="s">
        <v>1228</v>
      </c>
      <c r="K1327" s="365" t="s">
        <v>1229</v>
      </c>
      <c r="L1327" s="370">
        <v>45608.659398148149</v>
      </c>
    </row>
    <row r="1328" spans="1:12" s="365" customFormat="1">
      <c r="A1328" s="370">
        <v>45603.580069444448</v>
      </c>
      <c r="B1328" s="365" t="s">
        <v>5989</v>
      </c>
      <c r="C1328" s="365" t="s">
        <v>3202</v>
      </c>
      <c r="D1328" s="365" t="s">
        <v>3203</v>
      </c>
      <c r="E1328" s="365" t="s">
        <v>3204</v>
      </c>
      <c r="F1328" s="365" t="s">
        <v>5990</v>
      </c>
      <c r="G1328" s="370">
        <v>45621</v>
      </c>
      <c r="H1328" s="369">
        <v>38999</v>
      </c>
      <c r="I1328" s="365" t="s">
        <v>5991</v>
      </c>
      <c r="J1328" s="365" t="s">
        <v>1228</v>
      </c>
      <c r="K1328" s="365" t="s">
        <v>1229</v>
      </c>
      <c r="L1328" s="370">
        <v>45608.671817129631</v>
      </c>
    </row>
    <row r="1329" spans="1:12" s="365" customFormat="1">
      <c r="A1329" s="370">
        <v>45603.608865740738</v>
      </c>
      <c r="B1329" s="365" t="s">
        <v>5992</v>
      </c>
      <c r="C1329" s="365" t="s">
        <v>3172</v>
      </c>
      <c r="D1329" s="365" t="s">
        <v>3173</v>
      </c>
      <c r="E1329" s="365" t="s">
        <v>3174</v>
      </c>
      <c r="F1329" s="365" t="s">
        <v>5993</v>
      </c>
      <c r="G1329" s="370">
        <v>45621</v>
      </c>
      <c r="H1329" s="369">
        <v>15999</v>
      </c>
      <c r="I1329" s="365" t="s">
        <v>5994</v>
      </c>
      <c r="J1329" s="365" t="s">
        <v>1228</v>
      </c>
      <c r="K1329" s="365" t="s">
        <v>1229</v>
      </c>
      <c r="L1329" s="370">
        <v>45608.672002314815</v>
      </c>
    </row>
    <row r="1330" spans="1:12" s="365" customFormat="1">
      <c r="A1330" s="370">
        <v>45603.614108796297</v>
      </c>
      <c r="B1330" s="365" t="s">
        <v>5995</v>
      </c>
      <c r="C1330" s="365" t="s">
        <v>1819</v>
      </c>
      <c r="D1330" s="365" t="s">
        <v>1820</v>
      </c>
      <c r="E1330" s="365" t="s">
        <v>1821</v>
      </c>
      <c r="F1330" s="365" t="s">
        <v>5996</v>
      </c>
      <c r="G1330" s="370">
        <v>45621</v>
      </c>
      <c r="H1330" s="369">
        <v>87000</v>
      </c>
      <c r="I1330" s="365" t="s">
        <v>5997</v>
      </c>
      <c r="J1330" s="365" t="s">
        <v>1228</v>
      </c>
      <c r="K1330" s="365" t="s">
        <v>1229</v>
      </c>
      <c r="L1330" s="370">
        <v>45608.65960648148</v>
      </c>
    </row>
    <row r="1331" spans="1:12" s="365" customFormat="1">
      <c r="A1331" s="370">
        <v>45603.616435185184</v>
      </c>
      <c r="B1331" s="365" t="s">
        <v>5998</v>
      </c>
      <c r="C1331" s="365" t="s">
        <v>3770</v>
      </c>
      <c r="D1331" s="365" t="s">
        <v>3771</v>
      </c>
      <c r="E1331" s="365" t="s">
        <v>3772</v>
      </c>
      <c r="F1331" s="365" t="s">
        <v>5999</v>
      </c>
      <c r="G1331" s="370">
        <v>45621</v>
      </c>
      <c r="H1331" s="369">
        <v>185499</v>
      </c>
      <c r="I1331" s="365" t="s">
        <v>6000</v>
      </c>
      <c r="J1331" s="365" t="s">
        <v>1228</v>
      </c>
      <c r="K1331" s="365" t="s">
        <v>1229</v>
      </c>
      <c r="L1331" s="370">
        <v>45608.672175925924</v>
      </c>
    </row>
    <row r="1332" spans="1:12" s="365" customFormat="1">
      <c r="A1332" s="370">
        <v>45603.652268518519</v>
      </c>
      <c r="B1332" s="365" t="s">
        <v>6001</v>
      </c>
      <c r="C1332" s="365" t="s">
        <v>2679</v>
      </c>
      <c r="D1332" s="365" t="s">
        <v>2680</v>
      </c>
      <c r="E1332" s="365" t="s">
        <v>2681</v>
      </c>
      <c r="F1332" s="365" t="s">
        <v>6002</v>
      </c>
      <c r="G1332" s="370">
        <v>45595</v>
      </c>
      <c r="H1332" s="369">
        <v>48000</v>
      </c>
      <c r="I1332" s="365" t="s">
        <v>6003</v>
      </c>
      <c r="J1332" s="365" t="s">
        <v>1228</v>
      </c>
      <c r="K1332" s="365" t="s">
        <v>1229</v>
      </c>
      <c r="L1332" s="370">
        <v>45603.654224537036</v>
      </c>
    </row>
    <row r="1333" spans="1:12" s="365" customFormat="1">
      <c r="A1333" s="370">
        <v>45603.6950462963</v>
      </c>
      <c r="B1333" s="365" t="s">
        <v>6004</v>
      </c>
      <c r="C1333" s="365" t="s">
        <v>3026</v>
      </c>
      <c r="D1333" s="365" t="s">
        <v>3027</v>
      </c>
      <c r="E1333" s="365" t="s">
        <v>3028</v>
      </c>
      <c r="F1333" s="365" t="s">
        <v>6005</v>
      </c>
      <c r="G1333" s="370">
        <v>45595</v>
      </c>
      <c r="H1333" s="369">
        <v>11500</v>
      </c>
      <c r="I1333" s="365" t="s">
        <v>6006</v>
      </c>
      <c r="J1333" s="365" t="s">
        <v>1228</v>
      </c>
      <c r="K1333" s="365" t="s">
        <v>1229</v>
      </c>
      <c r="L1333" s="370">
        <v>45603.697199074071</v>
      </c>
    </row>
    <row r="1334" spans="1:12" s="365" customFormat="1">
      <c r="A1334" s="370">
        <v>45603.710694444446</v>
      </c>
      <c r="B1334" s="365" t="s">
        <v>6007</v>
      </c>
      <c r="C1334" s="365" t="s">
        <v>3139</v>
      </c>
      <c r="D1334" s="365" t="s">
        <v>3140</v>
      </c>
      <c r="E1334" s="365" t="s">
        <v>3141</v>
      </c>
      <c r="F1334" s="365" t="s">
        <v>6008</v>
      </c>
      <c r="G1334" s="370">
        <v>45621</v>
      </c>
      <c r="H1334" s="369">
        <v>36999</v>
      </c>
      <c r="I1334" s="365" t="s">
        <v>6009</v>
      </c>
      <c r="J1334" s="365" t="s">
        <v>1228</v>
      </c>
      <c r="K1334" s="365" t="s">
        <v>1229</v>
      </c>
      <c r="L1334" s="370">
        <v>45608.672361111108</v>
      </c>
    </row>
    <row r="1335" spans="1:12" s="365" customFormat="1">
      <c r="A1335" s="370">
        <v>45603.712094907409</v>
      </c>
      <c r="B1335" s="365" t="s">
        <v>6010</v>
      </c>
      <c r="C1335" s="365" t="s">
        <v>3255</v>
      </c>
      <c r="D1335" s="365" t="s">
        <v>3256</v>
      </c>
      <c r="E1335" s="365" t="s">
        <v>3257</v>
      </c>
      <c r="F1335" s="365" t="s">
        <v>6011</v>
      </c>
      <c r="G1335" s="370">
        <v>45621</v>
      </c>
      <c r="H1335" s="369">
        <v>27000</v>
      </c>
      <c r="I1335" s="365" t="s">
        <v>6012</v>
      </c>
      <c r="J1335" s="365" t="s">
        <v>1228</v>
      </c>
      <c r="K1335" s="365" t="s">
        <v>1229</v>
      </c>
      <c r="L1335" s="370">
        <v>45608.672546296293</v>
      </c>
    </row>
    <row r="1336" spans="1:12" s="365" customFormat="1">
      <c r="A1336" s="370">
        <v>45603.721215277779</v>
      </c>
      <c r="B1336" s="365" t="s">
        <v>6013</v>
      </c>
      <c r="C1336" s="365" t="s">
        <v>1855</v>
      </c>
      <c r="D1336" s="365" t="s">
        <v>1985</v>
      </c>
      <c r="E1336" s="365" t="s">
        <v>1986</v>
      </c>
      <c r="F1336" s="365" t="s">
        <v>6014</v>
      </c>
      <c r="G1336" s="370">
        <v>45595</v>
      </c>
      <c r="H1336" s="369">
        <v>15999</v>
      </c>
      <c r="I1336" s="365" t="s">
        <v>6015</v>
      </c>
      <c r="J1336" s="365" t="s">
        <v>1228</v>
      </c>
      <c r="K1336" s="365" t="s">
        <v>1229</v>
      </c>
      <c r="L1336" s="370">
        <v>45603.725370370368</v>
      </c>
    </row>
    <row r="1337" spans="1:12" s="365" customFormat="1">
      <c r="A1337" s="370">
        <v>45603.738391203704</v>
      </c>
      <c r="B1337" s="365" t="s">
        <v>6016</v>
      </c>
      <c r="C1337" s="365" t="s">
        <v>3696</v>
      </c>
      <c r="D1337" s="365" t="s">
        <v>3697</v>
      </c>
      <c r="E1337" s="365" t="s">
        <v>3698</v>
      </c>
      <c r="F1337" s="365" t="s">
        <v>6017</v>
      </c>
      <c r="G1337" s="370">
        <v>45621</v>
      </c>
      <c r="H1337" s="369">
        <v>60000</v>
      </c>
      <c r="I1337" s="365" t="s">
        <v>6018</v>
      </c>
      <c r="J1337" s="365" t="s">
        <v>1228</v>
      </c>
      <c r="K1337" s="365" t="s">
        <v>1229</v>
      </c>
      <c r="L1337" s="370">
        <v>45608.672731481478</v>
      </c>
    </row>
    <row r="1338" spans="1:12" s="365" customFormat="1">
      <c r="A1338" s="370">
        <v>45603.767766203702</v>
      </c>
      <c r="B1338" s="365" t="s">
        <v>6019</v>
      </c>
      <c r="C1338" s="365" t="s">
        <v>3196</v>
      </c>
      <c r="D1338" s="365" t="s">
        <v>3197</v>
      </c>
      <c r="E1338" s="365" t="s">
        <v>3198</v>
      </c>
      <c r="F1338" s="365" t="s">
        <v>6020</v>
      </c>
      <c r="G1338" s="370">
        <v>45621</v>
      </c>
      <c r="H1338" s="369">
        <v>12000</v>
      </c>
      <c r="I1338" s="365" t="s">
        <v>6021</v>
      </c>
      <c r="J1338" s="365" t="s">
        <v>1228</v>
      </c>
      <c r="K1338" s="365" t="s">
        <v>1229</v>
      </c>
      <c r="L1338" s="370">
        <v>45608.67291666667</v>
      </c>
    </row>
    <row r="1339" spans="1:12" s="365" customFormat="1">
      <c r="A1339" s="370">
        <v>45603.960324074076</v>
      </c>
      <c r="B1339" s="365" t="s">
        <v>6022</v>
      </c>
      <c r="C1339" s="365" t="s">
        <v>6023</v>
      </c>
      <c r="D1339" s="365" t="s">
        <v>6024</v>
      </c>
      <c r="E1339" s="365" t="s">
        <v>6025</v>
      </c>
      <c r="F1339" s="365" t="s">
        <v>6026</v>
      </c>
      <c r="G1339" s="370">
        <v>45595</v>
      </c>
      <c r="H1339" s="369">
        <v>33000</v>
      </c>
      <c r="I1339" s="365" t="s">
        <v>6027</v>
      </c>
      <c r="J1339" s="365" t="s">
        <v>1228</v>
      </c>
      <c r="K1339" s="365" t="s">
        <v>1229</v>
      </c>
      <c r="L1339" s="370">
        <v>45604.125810185185</v>
      </c>
    </row>
    <row r="1340" spans="1:12" s="365" customFormat="1">
      <c r="A1340" s="370">
        <v>45604.014502314814</v>
      </c>
      <c r="B1340" s="365" t="s">
        <v>6028</v>
      </c>
      <c r="C1340" s="365" t="s">
        <v>2668</v>
      </c>
      <c r="D1340" s="365" t="s">
        <v>2669</v>
      </c>
      <c r="E1340" s="365" t="s">
        <v>2670</v>
      </c>
      <c r="F1340" s="365" t="s">
        <v>6029</v>
      </c>
      <c r="G1340" s="370">
        <v>45595</v>
      </c>
      <c r="H1340" s="369">
        <v>15000</v>
      </c>
      <c r="I1340" s="365" t="s">
        <v>6030</v>
      </c>
      <c r="J1340" s="365" t="s">
        <v>1228</v>
      </c>
      <c r="K1340" s="365" t="s">
        <v>1229</v>
      </c>
      <c r="L1340" s="370">
        <v>45604.12604166667</v>
      </c>
    </row>
    <row r="1341" spans="1:12" s="365" customFormat="1">
      <c r="A1341" s="370">
        <v>45604.227835648147</v>
      </c>
      <c r="B1341" s="365" t="s">
        <v>6031</v>
      </c>
      <c r="C1341" s="365" t="s">
        <v>3657</v>
      </c>
      <c r="D1341" s="365" t="s">
        <v>3658</v>
      </c>
      <c r="E1341" s="365" t="s">
        <v>3659</v>
      </c>
      <c r="F1341" s="365" t="s">
        <v>6032</v>
      </c>
      <c r="G1341" s="370">
        <v>45621</v>
      </c>
      <c r="H1341" s="369">
        <v>12000</v>
      </c>
      <c r="I1341" s="365" t="s">
        <v>6033</v>
      </c>
      <c r="J1341" s="365" t="s">
        <v>1228</v>
      </c>
      <c r="K1341" s="365" t="s">
        <v>1229</v>
      </c>
      <c r="L1341" s="370">
        <v>45608.666828703703</v>
      </c>
    </row>
    <row r="1342" spans="1:12" s="365" customFormat="1">
      <c r="A1342" s="370">
        <v>45604.257835648146</v>
      </c>
      <c r="B1342" s="365" t="s">
        <v>6034</v>
      </c>
      <c r="C1342" s="365" t="s">
        <v>2130</v>
      </c>
      <c r="D1342" s="365" t="s">
        <v>2131</v>
      </c>
      <c r="E1342" s="365" t="s">
        <v>2132</v>
      </c>
      <c r="F1342" s="365" t="s">
        <v>6035</v>
      </c>
      <c r="G1342" s="370">
        <v>45595</v>
      </c>
      <c r="H1342" s="369">
        <v>15000</v>
      </c>
      <c r="I1342" s="365" t="s">
        <v>6036</v>
      </c>
      <c r="J1342" s="365" t="s">
        <v>1228</v>
      </c>
      <c r="K1342" s="365" t="s">
        <v>1229</v>
      </c>
      <c r="L1342" s="370">
        <v>45604.259525462963</v>
      </c>
    </row>
    <row r="1343" spans="1:12" s="365" customFormat="1">
      <c r="A1343" s="370">
        <v>45604.341724537036</v>
      </c>
      <c r="B1343" s="365" t="s">
        <v>6037</v>
      </c>
      <c r="C1343" s="365" t="s">
        <v>3121</v>
      </c>
      <c r="D1343" s="365" t="s">
        <v>3122</v>
      </c>
      <c r="E1343" s="365" t="s">
        <v>3123</v>
      </c>
      <c r="F1343" s="365" t="s">
        <v>6038</v>
      </c>
      <c r="G1343" s="370">
        <v>45621</v>
      </c>
      <c r="H1343" s="369">
        <v>7501</v>
      </c>
      <c r="I1343" s="365" t="s">
        <v>6039</v>
      </c>
      <c r="J1343" s="365" t="s">
        <v>1228</v>
      </c>
      <c r="K1343" s="365" t="s">
        <v>1229</v>
      </c>
      <c r="L1343" s="370">
        <v>45608.667013888888</v>
      </c>
    </row>
    <row r="1344" spans="1:12" s="365" customFormat="1">
      <c r="A1344" s="370">
        <v>45604.346446759257</v>
      </c>
      <c r="B1344" s="365" t="s">
        <v>6040</v>
      </c>
      <c r="C1344" s="365" t="s">
        <v>1533</v>
      </c>
      <c r="D1344" s="365" t="s">
        <v>1534</v>
      </c>
      <c r="E1344" s="365" t="s">
        <v>1535</v>
      </c>
      <c r="F1344" s="365" t="s">
        <v>6041</v>
      </c>
      <c r="G1344" s="370">
        <v>45595</v>
      </c>
      <c r="H1344" s="369">
        <v>30000</v>
      </c>
      <c r="I1344" s="365" t="s">
        <v>6042</v>
      </c>
      <c r="J1344" s="365" t="s">
        <v>1228</v>
      </c>
      <c r="K1344" s="365" t="s">
        <v>1229</v>
      </c>
      <c r="L1344" s="370">
        <v>45604.347222222219</v>
      </c>
    </row>
    <row r="1345" spans="1:12" s="365" customFormat="1">
      <c r="A1345" s="370">
        <v>45604.398831018516</v>
      </c>
      <c r="B1345" s="365" t="s">
        <v>6043</v>
      </c>
      <c r="C1345" s="365" t="s">
        <v>4178</v>
      </c>
      <c r="D1345" s="365" t="s">
        <v>4179</v>
      </c>
      <c r="E1345" s="365" t="s">
        <v>4180</v>
      </c>
      <c r="F1345" s="365" t="s">
        <v>6044</v>
      </c>
      <c r="G1345" s="370">
        <v>45621</v>
      </c>
      <c r="H1345" s="369">
        <v>15000</v>
      </c>
      <c r="I1345" s="365" t="s">
        <v>6045</v>
      </c>
      <c r="J1345" s="365" t="s">
        <v>1228</v>
      </c>
      <c r="K1345" s="365" t="s">
        <v>1229</v>
      </c>
      <c r="L1345" s="370">
        <v>45608.667199074072</v>
      </c>
    </row>
    <row r="1346" spans="1:12" s="365" customFormat="1">
      <c r="A1346" s="370">
        <v>45604.404097222221</v>
      </c>
      <c r="B1346" s="365" t="s">
        <v>6046</v>
      </c>
      <c r="C1346" s="365" t="s">
        <v>2844</v>
      </c>
      <c r="D1346" s="365" t="s">
        <v>2845</v>
      </c>
      <c r="E1346" s="365" t="s">
        <v>2846</v>
      </c>
      <c r="F1346" s="365" t="s">
        <v>6047</v>
      </c>
      <c r="G1346" s="370">
        <v>45595</v>
      </c>
      <c r="H1346" s="369">
        <v>27000</v>
      </c>
      <c r="I1346" s="365" t="s">
        <v>6048</v>
      </c>
      <c r="J1346" s="365" t="s">
        <v>1228</v>
      </c>
      <c r="K1346" s="365" t="s">
        <v>1229</v>
      </c>
      <c r="L1346" s="370">
        <v>45604.405798611115</v>
      </c>
    </row>
    <row r="1347" spans="1:12" s="365" customFormat="1">
      <c r="A1347" s="370">
        <v>45604.429305555554</v>
      </c>
      <c r="B1347" s="365" t="s">
        <v>6049</v>
      </c>
      <c r="C1347" s="365" t="s">
        <v>2709</v>
      </c>
      <c r="D1347" s="365" t="s">
        <v>2710</v>
      </c>
      <c r="E1347" s="365" t="s">
        <v>2711</v>
      </c>
      <c r="F1347" s="365" t="s">
        <v>6050</v>
      </c>
      <c r="G1347" s="370">
        <v>45595</v>
      </c>
      <c r="H1347" s="369">
        <v>15999</v>
      </c>
      <c r="I1347" s="365" t="s">
        <v>6051</v>
      </c>
      <c r="J1347" s="365" t="s">
        <v>1228</v>
      </c>
      <c r="K1347" s="365" t="s">
        <v>1229</v>
      </c>
      <c r="L1347" s="370">
        <v>45604.433287037034</v>
      </c>
    </row>
    <row r="1348" spans="1:12" s="365" customFormat="1">
      <c r="A1348" s="370">
        <v>45604.521944444445</v>
      </c>
      <c r="B1348" s="365" t="s">
        <v>6052</v>
      </c>
      <c r="C1348" s="365" t="s">
        <v>2788</v>
      </c>
      <c r="D1348" s="365" t="s">
        <v>2789</v>
      </c>
      <c r="E1348" s="365" t="s">
        <v>2790</v>
      </c>
      <c r="F1348" s="365" t="s">
        <v>6053</v>
      </c>
      <c r="G1348" s="370">
        <v>45595</v>
      </c>
      <c r="H1348" s="369">
        <v>36000</v>
      </c>
      <c r="I1348" s="365" t="s">
        <v>6054</v>
      </c>
      <c r="J1348" s="365" t="s">
        <v>1228</v>
      </c>
      <c r="K1348" s="365" t="s">
        <v>1229</v>
      </c>
      <c r="L1348" s="370">
        <v>45604.524409722224</v>
      </c>
    </row>
    <row r="1349" spans="1:12" s="365" customFormat="1">
      <c r="A1349" s="370">
        <v>45604.528877314813</v>
      </c>
      <c r="B1349" s="365" t="s">
        <v>6055</v>
      </c>
      <c r="C1349" s="365" t="s">
        <v>2644</v>
      </c>
      <c r="D1349" s="365" t="s">
        <v>2645</v>
      </c>
      <c r="E1349" s="365" t="s">
        <v>2646</v>
      </c>
      <c r="F1349" s="365" t="s">
        <v>6056</v>
      </c>
      <c r="G1349" s="370">
        <v>45621</v>
      </c>
      <c r="H1349" s="369">
        <v>30000</v>
      </c>
      <c r="I1349" s="365" t="s">
        <v>6057</v>
      </c>
      <c r="J1349" s="365" t="s">
        <v>1228</v>
      </c>
      <c r="K1349" s="365" t="s">
        <v>1229</v>
      </c>
      <c r="L1349" s="370">
        <v>45608.667384259257</v>
      </c>
    </row>
    <row r="1350" spans="1:12" s="365" customFormat="1">
      <c r="A1350" s="370">
        <v>45604.726168981484</v>
      </c>
      <c r="B1350" s="365" t="s">
        <v>6058</v>
      </c>
      <c r="C1350" s="365" t="s">
        <v>3939</v>
      </c>
      <c r="D1350" s="365" t="s">
        <v>3940</v>
      </c>
      <c r="E1350" s="365" t="s">
        <v>3941</v>
      </c>
      <c r="F1350" s="365" t="s">
        <v>6059</v>
      </c>
      <c r="G1350" s="370">
        <v>45621</v>
      </c>
      <c r="H1350" s="369">
        <v>31000</v>
      </c>
      <c r="I1350" s="365" t="s">
        <v>6060</v>
      </c>
      <c r="J1350" s="365" t="s">
        <v>1228</v>
      </c>
      <c r="K1350" s="365" t="s">
        <v>1229</v>
      </c>
      <c r="L1350" s="370">
        <v>45608.667569444442</v>
      </c>
    </row>
    <row r="1351" spans="1:12" s="365" customFormat="1">
      <c r="A1351" s="370">
        <v>45604.787962962961</v>
      </c>
      <c r="B1351" s="365" t="s">
        <v>6061</v>
      </c>
      <c r="C1351" s="365" t="s">
        <v>6062</v>
      </c>
      <c r="D1351" s="365" t="s">
        <v>6063</v>
      </c>
      <c r="E1351" s="365" t="s">
        <v>6064</v>
      </c>
      <c r="F1351" s="365" t="s">
        <v>6065</v>
      </c>
      <c r="G1351" s="370">
        <v>45621</v>
      </c>
      <c r="H1351" s="369">
        <v>27000</v>
      </c>
      <c r="I1351" s="365" t="s">
        <v>6066</v>
      </c>
      <c r="J1351" s="365" t="s">
        <v>1228</v>
      </c>
      <c r="K1351" s="365" t="s">
        <v>1229</v>
      </c>
      <c r="L1351" s="370">
        <v>45608.667754629627</v>
      </c>
    </row>
    <row r="1352" spans="1:12" s="365" customFormat="1">
      <c r="A1352" s="370">
        <v>45604.788425925923</v>
      </c>
      <c r="B1352" s="365" t="s">
        <v>6067</v>
      </c>
      <c r="C1352" s="365" t="s">
        <v>6062</v>
      </c>
      <c r="D1352" s="365" t="s">
        <v>6063</v>
      </c>
      <c r="E1352" s="365" t="s">
        <v>6064</v>
      </c>
      <c r="F1352" s="365" t="s">
        <v>6068</v>
      </c>
      <c r="G1352" s="370">
        <v>45595</v>
      </c>
      <c r="H1352" s="369">
        <v>27000</v>
      </c>
      <c r="I1352" s="365" t="s">
        <v>6069</v>
      </c>
      <c r="J1352" s="365" t="s">
        <v>1228</v>
      </c>
      <c r="K1352" s="365" t="s">
        <v>1229</v>
      </c>
      <c r="L1352" s="370">
        <v>45604.791805555556</v>
      </c>
    </row>
    <row r="1353" spans="1:12" s="365" customFormat="1">
      <c r="A1353" s="370">
        <v>45604.793912037036</v>
      </c>
      <c r="B1353" s="365" t="s">
        <v>6070</v>
      </c>
      <c r="C1353" s="365" t="s">
        <v>6062</v>
      </c>
      <c r="D1353" s="365" t="s">
        <v>6063</v>
      </c>
      <c r="E1353" s="365" t="s">
        <v>6064</v>
      </c>
      <c r="F1353" s="365" t="s">
        <v>6071</v>
      </c>
      <c r="G1353" s="370">
        <v>45560</v>
      </c>
      <c r="H1353" s="369">
        <v>27000</v>
      </c>
      <c r="I1353" s="365" t="s">
        <v>6072</v>
      </c>
      <c r="J1353" s="365" t="s">
        <v>1228</v>
      </c>
      <c r="K1353" s="365" t="s">
        <v>1229</v>
      </c>
      <c r="L1353" s="370">
        <v>45604.796736111108</v>
      </c>
    </row>
    <row r="1354" spans="1:12" s="365" customFormat="1">
      <c r="A1354" s="370">
        <v>45604.798275462963</v>
      </c>
      <c r="B1354" s="365" t="s">
        <v>6073</v>
      </c>
      <c r="C1354" s="365" t="s">
        <v>2905</v>
      </c>
      <c r="D1354" s="365" t="s">
        <v>2906</v>
      </c>
      <c r="E1354" s="365" t="s">
        <v>2907</v>
      </c>
      <c r="F1354" s="365" t="s">
        <v>6074</v>
      </c>
      <c r="G1354" s="370">
        <v>45595</v>
      </c>
      <c r="H1354" s="369">
        <v>15999</v>
      </c>
      <c r="I1354" s="365" t="s">
        <v>6075</v>
      </c>
      <c r="J1354" s="365" t="s">
        <v>1228</v>
      </c>
      <c r="K1354" s="365" t="s">
        <v>1229</v>
      </c>
      <c r="L1354" s="370">
        <v>45604.802430555559</v>
      </c>
    </row>
    <row r="1355" spans="1:12" s="365" customFormat="1">
      <c r="A1355" s="370">
        <v>45604.530555555553</v>
      </c>
      <c r="B1355" s="365" t="s">
        <v>6076</v>
      </c>
      <c r="C1355" s="365" t="s">
        <v>6077</v>
      </c>
      <c r="D1355" s="365" t="s">
        <v>3191</v>
      </c>
      <c r="E1355" s="365" t="s">
        <v>3192</v>
      </c>
      <c r="F1355" s="365" t="s">
        <v>6078</v>
      </c>
      <c r="G1355" s="370">
        <v>45621</v>
      </c>
      <c r="H1355" s="369">
        <v>12000</v>
      </c>
      <c r="I1355" s="365" t="s">
        <v>6079</v>
      </c>
      <c r="J1355" s="365" t="s">
        <v>1228</v>
      </c>
      <c r="K1355" s="365" t="s">
        <v>1229</v>
      </c>
      <c r="L1355" s="370">
        <v>45608.658900462964</v>
      </c>
    </row>
    <row r="1356" spans="1:12" s="365" customFormat="1">
      <c r="A1356" s="370">
        <v>45604.624409722222</v>
      </c>
      <c r="B1356" s="365" t="s">
        <v>6080</v>
      </c>
      <c r="C1356" s="365" t="s">
        <v>2691</v>
      </c>
      <c r="D1356" s="365" t="s">
        <v>2692</v>
      </c>
      <c r="E1356" s="365" t="s">
        <v>2693</v>
      </c>
      <c r="F1356" s="365" t="s">
        <v>6081</v>
      </c>
      <c r="G1356" s="370">
        <v>45595</v>
      </c>
      <c r="H1356" s="369">
        <v>27000</v>
      </c>
      <c r="I1356" s="365" t="s">
        <v>6082</v>
      </c>
      <c r="J1356" s="365" t="s">
        <v>1228</v>
      </c>
      <c r="K1356" s="365" t="s">
        <v>1229</v>
      </c>
      <c r="L1356" s="370">
        <v>45604.626701388886</v>
      </c>
    </row>
    <row r="1357" spans="1:12" s="365" customFormat="1">
      <c r="A1357" s="370">
        <v>45604.816041666665</v>
      </c>
      <c r="B1357" s="365" t="s">
        <v>6083</v>
      </c>
      <c r="C1357" s="365" t="s">
        <v>6084</v>
      </c>
      <c r="D1357" s="365" t="s">
        <v>2379</v>
      </c>
      <c r="E1357" s="365" t="s">
        <v>2380</v>
      </c>
      <c r="F1357" s="365" t="s">
        <v>6085</v>
      </c>
      <c r="G1357" s="370">
        <v>45595</v>
      </c>
      <c r="H1357" s="369">
        <v>15001</v>
      </c>
      <c r="I1357" s="365" t="s">
        <v>6086</v>
      </c>
      <c r="J1357" s="365" t="s">
        <v>1228</v>
      </c>
      <c r="K1357" s="365" t="s">
        <v>1229</v>
      </c>
      <c r="L1357" s="370">
        <v>45604.817696759259</v>
      </c>
    </row>
    <row r="1358" spans="1:12" s="365" customFormat="1">
      <c r="A1358" s="370">
        <v>45604.842592592591</v>
      </c>
      <c r="B1358" s="365" t="s">
        <v>6087</v>
      </c>
      <c r="C1358" s="365" t="s">
        <v>1544</v>
      </c>
      <c r="D1358" s="365" t="s">
        <v>1545</v>
      </c>
      <c r="E1358" s="365" t="s">
        <v>1546</v>
      </c>
      <c r="F1358" s="365" t="s">
        <v>6088</v>
      </c>
      <c r="G1358" s="370">
        <v>45595</v>
      </c>
      <c r="H1358" s="369">
        <v>29000</v>
      </c>
      <c r="I1358" s="365" t="s">
        <v>6089</v>
      </c>
      <c r="J1358" s="365" t="s">
        <v>1228</v>
      </c>
      <c r="K1358" s="365" t="s">
        <v>1229</v>
      </c>
      <c r="L1358" s="370">
        <v>45604.847233796296</v>
      </c>
    </row>
    <row r="1359" spans="1:12" s="365" customFormat="1">
      <c r="A1359" s="370">
        <v>45604.097962962966</v>
      </c>
      <c r="B1359" s="365" t="s">
        <v>6090</v>
      </c>
      <c r="C1359" s="365" t="s">
        <v>1268</v>
      </c>
      <c r="D1359" s="365" t="s">
        <v>1269</v>
      </c>
      <c r="E1359" s="365" t="s">
        <v>1270</v>
      </c>
      <c r="F1359" s="365" t="s">
        <v>6091</v>
      </c>
      <c r="G1359" s="370">
        <v>45621</v>
      </c>
      <c r="H1359" s="369">
        <v>15000</v>
      </c>
      <c r="I1359" s="365" t="s">
        <v>6092</v>
      </c>
      <c r="J1359" s="365" t="s">
        <v>1228</v>
      </c>
      <c r="K1359" s="365" t="s">
        <v>1229</v>
      </c>
      <c r="L1359" s="370">
        <v>45608.673101851855</v>
      </c>
    </row>
    <row r="1360" spans="1:12" s="365" customFormat="1">
      <c r="A1360" s="370">
        <v>45604.259398148148</v>
      </c>
      <c r="B1360" s="365" t="s">
        <v>6093</v>
      </c>
      <c r="C1360" s="365" t="s">
        <v>2130</v>
      </c>
      <c r="D1360" s="365" t="s">
        <v>2131</v>
      </c>
      <c r="E1360" s="365" t="s">
        <v>2132</v>
      </c>
      <c r="F1360" s="365" t="s">
        <v>6094</v>
      </c>
      <c r="G1360" s="370">
        <v>45621</v>
      </c>
      <c r="H1360" s="369">
        <v>15000</v>
      </c>
      <c r="I1360" s="365" t="s">
        <v>6095</v>
      </c>
      <c r="J1360" s="365" t="s">
        <v>1228</v>
      </c>
      <c r="K1360" s="365" t="s">
        <v>1229</v>
      </c>
      <c r="L1360" s="370">
        <v>45608.659884259258</v>
      </c>
    </row>
    <row r="1361" spans="1:12" s="365" customFormat="1">
      <c r="A1361" s="370">
        <v>45604.35019675926</v>
      </c>
      <c r="B1361" s="365" t="s">
        <v>6096</v>
      </c>
      <c r="C1361" s="365" t="s">
        <v>6097</v>
      </c>
      <c r="D1361" s="365" t="s">
        <v>6098</v>
      </c>
      <c r="E1361" s="365" t="s">
        <v>6099</v>
      </c>
      <c r="F1361" s="365" t="s">
        <v>6100</v>
      </c>
      <c r="G1361" s="370">
        <v>45595</v>
      </c>
      <c r="H1361" s="369">
        <v>15999</v>
      </c>
      <c r="I1361" s="365" t="s">
        <v>6101</v>
      </c>
      <c r="J1361" s="365" t="s">
        <v>1228</v>
      </c>
      <c r="K1361" s="365" t="s">
        <v>1229</v>
      </c>
      <c r="L1361" s="370">
        <v>45604.352384259262</v>
      </c>
    </row>
    <row r="1362" spans="1:12" s="365" customFormat="1">
      <c r="A1362" s="370">
        <v>45604.356979166667</v>
      </c>
      <c r="B1362" s="365" t="s">
        <v>6102</v>
      </c>
      <c r="C1362" s="365" t="s">
        <v>3273</v>
      </c>
      <c r="D1362" s="365" t="s">
        <v>3274</v>
      </c>
      <c r="E1362" s="365" t="s">
        <v>3275</v>
      </c>
      <c r="F1362" s="365" t="s">
        <v>6103</v>
      </c>
      <c r="G1362" s="370">
        <v>45621</v>
      </c>
      <c r="H1362" s="369">
        <v>32500</v>
      </c>
      <c r="I1362" s="365" t="s">
        <v>6104</v>
      </c>
      <c r="J1362" s="365" t="s">
        <v>1228</v>
      </c>
      <c r="K1362" s="365" t="s">
        <v>1229</v>
      </c>
      <c r="L1362" s="370">
        <v>45608.67328703704</v>
      </c>
    </row>
    <row r="1363" spans="1:12" s="365" customFormat="1">
      <c r="A1363" s="370">
        <v>45604.38082175926</v>
      </c>
      <c r="B1363" s="365" t="s">
        <v>6105</v>
      </c>
      <c r="C1363" s="365" t="s">
        <v>2081</v>
      </c>
      <c r="D1363" s="365" t="s">
        <v>2082</v>
      </c>
      <c r="E1363" s="365" t="s">
        <v>2083</v>
      </c>
      <c r="F1363" s="365" t="s">
        <v>6106</v>
      </c>
      <c r="G1363" s="370">
        <v>45595</v>
      </c>
      <c r="H1363" s="369">
        <v>25000</v>
      </c>
      <c r="I1363" s="365" t="s">
        <v>6107</v>
      </c>
      <c r="J1363" s="365" t="s">
        <v>1228</v>
      </c>
      <c r="K1363" s="365" t="s">
        <v>1229</v>
      </c>
      <c r="L1363" s="370">
        <v>45604.382928240739</v>
      </c>
    </row>
    <row r="1364" spans="1:12" s="365" customFormat="1">
      <c r="A1364" s="370">
        <v>45604.391006944446</v>
      </c>
      <c r="B1364" s="365" t="s">
        <v>6108</v>
      </c>
      <c r="C1364" s="365" t="s">
        <v>3267</v>
      </c>
      <c r="D1364" s="365" t="s">
        <v>3268</v>
      </c>
      <c r="E1364" s="365" t="s">
        <v>3269</v>
      </c>
      <c r="F1364" s="365" t="s">
        <v>6109</v>
      </c>
      <c r="G1364" s="370">
        <v>45621</v>
      </c>
      <c r="H1364" s="369">
        <v>15999</v>
      </c>
      <c r="I1364" s="365" t="s">
        <v>6110</v>
      </c>
      <c r="J1364" s="365" t="s">
        <v>1228</v>
      </c>
      <c r="K1364" s="365" t="s">
        <v>1229</v>
      </c>
      <c r="L1364" s="370">
        <v>45608.673472222225</v>
      </c>
    </row>
    <row r="1365" spans="1:12" s="365" customFormat="1">
      <c r="A1365" s="370">
        <v>45604.468356481484</v>
      </c>
      <c r="B1365" s="365" t="s">
        <v>6111</v>
      </c>
      <c r="C1365" s="365" t="s">
        <v>3109</v>
      </c>
      <c r="D1365" s="365" t="s">
        <v>3110</v>
      </c>
      <c r="E1365" s="365" t="s">
        <v>3111</v>
      </c>
      <c r="F1365" s="365" t="s">
        <v>6112</v>
      </c>
      <c r="G1365" s="370">
        <v>45621</v>
      </c>
      <c r="H1365" s="369">
        <v>27000</v>
      </c>
      <c r="I1365" s="365" t="s">
        <v>6113</v>
      </c>
      <c r="J1365" s="365" t="s">
        <v>1228</v>
      </c>
      <c r="K1365" s="365" t="s">
        <v>1229</v>
      </c>
      <c r="L1365" s="370">
        <v>45608.673645833333</v>
      </c>
    </row>
    <row r="1366" spans="1:12" s="365" customFormat="1">
      <c r="A1366" s="370">
        <v>45604.69059027778</v>
      </c>
      <c r="B1366" s="365" t="s">
        <v>6114</v>
      </c>
      <c r="C1366" s="365" t="s">
        <v>3103</v>
      </c>
      <c r="D1366" s="365" t="s">
        <v>3104</v>
      </c>
      <c r="E1366" s="365" t="s">
        <v>3105</v>
      </c>
      <c r="F1366" s="365" t="s">
        <v>6115</v>
      </c>
      <c r="G1366" s="370">
        <v>45621</v>
      </c>
      <c r="H1366" s="369">
        <v>42000</v>
      </c>
      <c r="I1366" s="365" t="s">
        <v>6116</v>
      </c>
      <c r="J1366" s="365" t="s">
        <v>1228</v>
      </c>
      <c r="K1366" s="365" t="s">
        <v>1229</v>
      </c>
      <c r="L1366" s="370">
        <v>45608.673831018517</v>
      </c>
    </row>
    <row r="1367" spans="1:12" s="365" customFormat="1">
      <c r="A1367" s="370">
        <v>45604.77648148148</v>
      </c>
      <c r="B1367" s="365" t="s">
        <v>6117</v>
      </c>
      <c r="C1367" s="365" t="s">
        <v>4009</v>
      </c>
      <c r="D1367" s="365" t="s">
        <v>4010</v>
      </c>
      <c r="E1367" s="365" t="s">
        <v>4011</v>
      </c>
      <c r="F1367" s="365" t="s">
        <v>6118</v>
      </c>
      <c r="G1367" s="370">
        <v>45621</v>
      </c>
      <c r="H1367" s="369">
        <v>14000</v>
      </c>
      <c r="I1367" s="365" t="s">
        <v>6119</v>
      </c>
      <c r="J1367" s="365" t="s">
        <v>1228</v>
      </c>
      <c r="K1367" s="365" t="s">
        <v>1229</v>
      </c>
      <c r="L1367" s="370">
        <v>45608.674016203702</v>
      </c>
    </row>
    <row r="1368" spans="1:12" s="365" customFormat="1">
      <c r="A1368" s="370">
        <v>45605.023009259261</v>
      </c>
      <c r="B1368" s="365" t="s">
        <v>6120</v>
      </c>
      <c r="C1368" s="365" t="s">
        <v>3068</v>
      </c>
      <c r="D1368" s="365" t="s">
        <v>3069</v>
      </c>
      <c r="E1368" s="365" t="s">
        <v>3070</v>
      </c>
      <c r="F1368" s="365" t="s">
        <v>6121</v>
      </c>
      <c r="G1368" s="370">
        <v>45621</v>
      </c>
      <c r="H1368" s="369">
        <v>15999</v>
      </c>
      <c r="I1368" s="365" t="s">
        <v>6122</v>
      </c>
      <c r="J1368" s="365" t="s">
        <v>1228</v>
      </c>
      <c r="K1368" s="365" t="s">
        <v>1229</v>
      </c>
      <c r="L1368" s="370">
        <v>45608.667939814812</v>
      </c>
    </row>
    <row r="1369" spans="1:12" s="365" customFormat="1">
      <c r="A1369" s="370">
        <v>45605.324826388889</v>
      </c>
      <c r="B1369" s="365" t="s">
        <v>6123</v>
      </c>
      <c r="C1369" s="365" t="s">
        <v>3062</v>
      </c>
      <c r="D1369" s="365" t="s">
        <v>3063</v>
      </c>
      <c r="E1369" s="365" t="s">
        <v>3064</v>
      </c>
      <c r="F1369" s="365" t="s">
        <v>6124</v>
      </c>
      <c r="G1369" s="370">
        <v>45621</v>
      </c>
      <c r="H1369" s="369">
        <v>23000</v>
      </c>
      <c r="I1369" s="365" t="s">
        <v>6125</v>
      </c>
      <c r="J1369" s="365" t="s">
        <v>1228</v>
      </c>
      <c r="K1369" s="365" t="s">
        <v>1229</v>
      </c>
      <c r="L1369" s="370">
        <v>45608.668124999997</v>
      </c>
    </row>
    <row r="1370" spans="1:12" s="365" customFormat="1">
      <c r="A1370" s="370">
        <v>45605.383819444447</v>
      </c>
      <c r="B1370" s="365" t="s">
        <v>6126</v>
      </c>
      <c r="C1370" s="365" t="s">
        <v>2124</v>
      </c>
      <c r="D1370" s="365" t="s">
        <v>2125</v>
      </c>
      <c r="E1370" s="365" t="s">
        <v>2126</v>
      </c>
      <c r="F1370" s="365" t="s">
        <v>6127</v>
      </c>
      <c r="G1370" s="370">
        <v>45621</v>
      </c>
      <c r="H1370" s="369">
        <v>15999</v>
      </c>
      <c r="I1370" s="365" t="s">
        <v>6128</v>
      </c>
      <c r="J1370" s="365" t="s">
        <v>1228</v>
      </c>
      <c r="K1370" s="365" t="s">
        <v>1229</v>
      </c>
      <c r="L1370" s="370">
        <v>45608.668298611112</v>
      </c>
    </row>
    <row r="1371" spans="1:12" s="365" customFormat="1">
      <c r="A1371" s="370">
        <v>45605.861828703702</v>
      </c>
      <c r="B1371" s="365" t="s">
        <v>6129</v>
      </c>
      <c r="C1371" s="365" t="s">
        <v>2360</v>
      </c>
      <c r="D1371" s="365" t="s">
        <v>2361</v>
      </c>
      <c r="E1371" s="365" t="s">
        <v>2362</v>
      </c>
      <c r="F1371" s="365" t="s">
        <v>6130</v>
      </c>
      <c r="G1371" s="370">
        <v>45595</v>
      </c>
      <c r="H1371" s="369">
        <v>60000</v>
      </c>
      <c r="I1371" s="365" t="s">
        <v>6131</v>
      </c>
      <c r="J1371" s="365" t="s">
        <v>1228</v>
      </c>
      <c r="K1371" s="365" t="s">
        <v>1229</v>
      </c>
      <c r="L1371" s="370">
        <v>45605.864421296297</v>
      </c>
    </row>
    <row r="1372" spans="1:12" s="365" customFormat="1">
      <c r="A1372" s="370">
        <v>45605.137835648151</v>
      </c>
      <c r="B1372" s="365" t="s">
        <v>6132</v>
      </c>
      <c r="C1372" s="365" t="s">
        <v>3178</v>
      </c>
      <c r="D1372" s="365" t="s">
        <v>3179</v>
      </c>
      <c r="E1372" s="365" t="s">
        <v>3180</v>
      </c>
      <c r="F1372" s="365" t="s">
        <v>6133</v>
      </c>
      <c r="G1372" s="370">
        <v>45621</v>
      </c>
      <c r="H1372" s="369">
        <v>19000</v>
      </c>
      <c r="I1372" s="365" t="s">
        <v>6134</v>
      </c>
      <c r="J1372" s="365" t="s">
        <v>1228</v>
      </c>
      <c r="K1372" s="365" t="s">
        <v>1229</v>
      </c>
      <c r="L1372" s="370">
        <v>45608.670694444445</v>
      </c>
    </row>
    <row r="1373" spans="1:12" s="365" customFormat="1">
      <c r="A1373" s="370">
        <v>45605.788622685184</v>
      </c>
      <c r="B1373" s="365" t="s">
        <v>6135</v>
      </c>
      <c r="C1373" s="365" t="s">
        <v>6136</v>
      </c>
      <c r="D1373" s="365" t="s">
        <v>4065</v>
      </c>
      <c r="E1373" s="365" t="s">
        <v>4066</v>
      </c>
      <c r="F1373" s="365" t="s">
        <v>6137</v>
      </c>
      <c r="G1373" s="370">
        <v>45621</v>
      </c>
      <c r="H1373" s="369">
        <v>15999</v>
      </c>
      <c r="I1373" s="365" t="s">
        <v>6138</v>
      </c>
      <c r="J1373" s="365" t="s">
        <v>1228</v>
      </c>
      <c r="K1373" s="365" t="s">
        <v>1229</v>
      </c>
      <c r="L1373" s="370">
        <v>45608.67087962963</v>
      </c>
    </row>
    <row r="1374" spans="1:12" s="365" customFormat="1">
      <c r="A1374" s="370">
        <v>45605.331296296295</v>
      </c>
      <c r="B1374" s="365" t="s">
        <v>6139</v>
      </c>
      <c r="C1374" s="365" t="s">
        <v>3289</v>
      </c>
      <c r="D1374" s="365" t="s">
        <v>3290</v>
      </c>
      <c r="E1374" s="365" t="s">
        <v>3291</v>
      </c>
      <c r="F1374" s="365" t="s">
        <v>6140</v>
      </c>
      <c r="G1374" s="370">
        <v>45621</v>
      </c>
      <c r="H1374" s="369">
        <v>15000</v>
      </c>
      <c r="I1374" s="365" t="s">
        <v>6141</v>
      </c>
      <c r="J1374" s="365" t="s">
        <v>1228</v>
      </c>
      <c r="K1374" s="365" t="s">
        <v>1229</v>
      </c>
      <c r="L1374" s="370">
        <v>45608.660150462965</v>
      </c>
    </row>
    <row r="1375" spans="1:12" s="365" customFormat="1">
      <c r="A1375" s="370">
        <v>45605.409050925926</v>
      </c>
      <c r="B1375" s="365" t="s">
        <v>6142</v>
      </c>
      <c r="C1375" s="365" t="s">
        <v>3014</v>
      </c>
      <c r="D1375" s="365" t="s">
        <v>3015</v>
      </c>
      <c r="E1375" s="365" t="s">
        <v>3016</v>
      </c>
      <c r="F1375" s="365" t="s">
        <v>6143</v>
      </c>
      <c r="G1375" s="370">
        <v>45595</v>
      </c>
      <c r="H1375" s="369">
        <v>17501</v>
      </c>
      <c r="I1375" s="365" t="s">
        <v>6144</v>
      </c>
      <c r="J1375" s="365" t="s">
        <v>1228</v>
      </c>
      <c r="K1375" s="365" t="s">
        <v>1229</v>
      </c>
      <c r="L1375" s="370">
        <v>45605.414675925924</v>
      </c>
    </row>
    <row r="1376" spans="1:12" s="365" customFormat="1">
      <c r="A1376" s="370">
        <v>45605.590324074074</v>
      </c>
      <c r="B1376" s="365" t="s">
        <v>6145</v>
      </c>
      <c r="C1376" s="365" t="s">
        <v>3231</v>
      </c>
      <c r="D1376" s="365" t="s">
        <v>3232</v>
      </c>
      <c r="E1376" s="365" t="s">
        <v>3233</v>
      </c>
      <c r="F1376" s="365" t="s">
        <v>6146</v>
      </c>
      <c r="G1376" s="370">
        <v>45595</v>
      </c>
      <c r="H1376" s="369">
        <v>15000</v>
      </c>
      <c r="I1376" s="365" t="s">
        <v>6147</v>
      </c>
      <c r="J1376" s="365" t="s">
        <v>1228</v>
      </c>
      <c r="K1376" s="365" t="s">
        <v>1229</v>
      </c>
      <c r="L1376" s="370">
        <v>45605.592546296299</v>
      </c>
    </row>
    <row r="1377" spans="1:12" s="365" customFormat="1">
      <c r="A1377" s="370">
        <v>45605.593321759261</v>
      </c>
      <c r="B1377" s="365" t="s">
        <v>6148</v>
      </c>
      <c r="C1377" s="365" t="s">
        <v>2172</v>
      </c>
      <c r="D1377" s="365" t="s">
        <v>2173</v>
      </c>
      <c r="E1377" s="365" t="s">
        <v>2174</v>
      </c>
      <c r="F1377" s="365" t="s">
        <v>6149</v>
      </c>
      <c r="G1377" s="370">
        <v>45595</v>
      </c>
      <c r="H1377" s="369">
        <v>15999</v>
      </c>
      <c r="I1377" s="365" t="s">
        <v>6150</v>
      </c>
      <c r="J1377" s="365" t="s">
        <v>1228</v>
      </c>
      <c r="K1377" s="365" t="s">
        <v>1229</v>
      </c>
      <c r="L1377" s="370">
        <v>45605.597881944443</v>
      </c>
    </row>
    <row r="1378" spans="1:12" s="365" customFormat="1">
      <c r="A1378" s="370">
        <v>45605.651041666664</v>
      </c>
      <c r="B1378" s="365" t="s">
        <v>6151</v>
      </c>
      <c r="C1378" s="365" t="s">
        <v>1322</v>
      </c>
      <c r="D1378" s="365" t="s">
        <v>1169</v>
      </c>
      <c r="E1378" s="365" t="s">
        <v>1170</v>
      </c>
      <c r="F1378" s="365" t="s">
        <v>6152</v>
      </c>
      <c r="G1378" s="370">
        <v>45595</v>
      </c>
      <c r="H1378" s="369">
        <v>45999</v>
      </c>
      <c r="I1378" s="365" t="s">
        <v>6153</v>
      </c>
      <c r="J1378" s="365" t="s">
        <v>1228</v>
      </c>
      <c r="K1378" s="365" t="s">
        <v>1229</v>
      </c>
      <c r="L1378" s="370">
        <v>45605.653368055559</v>
      </c>
    </row>
    <row r="1379" spans="1:12" s="365" customFormat="1">
      <c r="A1379" s="370">
        <v>45605.88040509259</v>
      </c>
      <c r="B1379" s="365" t="s">
        <v>6154</v>
      </c>
      <c r="C1379" s="365" t="s">
        <v>1453</v>
      </c>
      <c r="D1379" s="365" t="s">
        <v>1454</v>
      </c>
      <c r="E1379" s="365" t="s">
        <v>1455</v>
      </c>
      <c r="F1379" s="365" t="s">
        <v>6155</v>
      </c>
      <c r="G1379" s="370">
        <v>45621</v>
      </c>
      <c r="H1379" s="369">
        <v>39000</v>
      </c>
      <c r="I1379" s="365" t="s">
        <v>6156</v>
      </c>
      <c r="J1379" s="365" t="s">
        <v>1228</v>
      </c>
      <c r="K1379" s="365" t="s">
        <v>1229</v>
      </c>
      <c r="L1379" s="370">
        <v>45608.66033564815</v>
      </c>
    </row>
    <row r="1380" spans="1:12" s="365" customFormat="1">
      <c r="A1380" s="370">
        <v>45606.452939814815</v>
      </c>
      <c r="B1380" s="365" t="s">
        <v>6157</v>
      </c>
      <c r="C1380" s="365" t="s">
        <v>1885</v>
      </c>
      <c r="D1380" s="365" t="s">
        <v>3208</v>
      </c>
      <c r="E1380" s="365" t="s">
        <v>3209</v>
      </c>
      <c r="F1380" s="365" t="s">
        <v>6158</v>
      </c>
      <c r="G1380" s="370">
        <v>45595</v>
      </c>
      <c r="H1380" s="369">
        <v>33000</v>
      </c>
      <c r="I1380" s="365" t="s">
        <v>6159</v>
      </c>
      <c r="J1380" s="365" t="s">
        <v>1228</v>
      </c>
      <c r="K1380" s="365" t="s">
        <v>1229</v>
      </c>
      <c r="L1380" s="370">
        <v>45606.459421296298</v>
      </c>
    </row>
    <row r="1381" spans="1:12" s="365" customFormat="1">
      <c r="A1381" s="370">
        <v>45606.758067129631</v>
      </c>
      <c r="B1381" s="365" t="s">
        <v>6160</v>
      </c>
      <c r="C1381" s="365" t="s">
        <v>2744</v>
      </c>
      <c r="D1381" s="365" t="s">
        <v>2745</v>
      </c>
      <c r="E1381" s="365" t="s">
        <v>2746</v>
      </c>
      <c r="F1381" s="365" t="s">
        <v>6161</v>
      </c>
      <c r="G1381" s="370">
        <v>45595</v>
      </c>
      <c r="H1381" s="369">
        <v>15000</v>
      </c>
      <c r="I1381" s="365" t="s">
        <v>6162</v>
      </c>
      <c r="J1381" s="365" t="s">
        <v>1228</v>
      </c>
      <c r="K1381" s="365" t="s">
        <v>1229</v>
      </c>
      <c r="L1381" s="370">
        <v>45606.760428240741</v>
      </c>
    </row>
    <row r="1382" spans="1:12" s="365" customFormat="1">
      <c r="A1382" s="370">
        <v>45606.866354166668</v>
      </c>
      <c r="B1382" s="365" t="s">
        <v>6163</v>
      </c>
      <c r="C1382" s="365" t="s">
        <v>2631</v>
      </c>
      <c r="D1382" s="365" t="s">
        <v>2632</v>
      </c>
      <c r="E1382" s="365" t="s">
        <v>2633</v>
      </c>
      <c r="F1382" s="365" t="s">
        <v>6164</v>
      </c>
      <c r="G1382" s="370">
        <v>45595</v>
      </c>
      <c r="H1382" s="369">
        <v>18000</v>
      </c>
      <c r="I1382" s="365" t="s">
        <v>6165</v>
      </c>
      <c r="J1382" s="365" t="s">
        <v>1228</v>
      </c>
      <c r="K1382" s="365" t="s">
        <v>1229</v>
      </c>
      <c r="L1382" s="370">
        <v>45606.872002314813</v>
      </c>
    </row>
    <row r="1383" spans="1:12" s="365" customFormat="1">
      <c r="A1383" s="370">
        <v>45606.872766203705</v>
      </c>
      <c r="B1383" s="365" t="s">
        <v>6166</v>
      </c>
      <c r="C1383" s="365" t="s">
        <v>3160</v>
      </c>
      <c r="D1383" s="365" t="s">
        <v>3161</v>
      </c>
      <c r="E1383" s="365" t="s">
        <v>3162</v>
      </c>
      <c r="F1383" s="365" t="s">
        <v>6167</v>
      </c>
      <c r="G1383" s="370">
        <v>45595</v>
      </c>
      <c r="H1383" s="369">
        <v>27000</v>
      </c>
      <c r="I1383" s="365" t="s">
        <v>6168</v>
      </c>
      <c r="J1383" s="365" t="s">
        <v>1228</v>
      </c>
      <c r="K1383" s="365" t="s">
        <v>1229</v>
      </c>
      <c r="L1383" s="370">
        <v>45606.878923611112</v>
      </c>
    </row>
    <row r="1384" spans="1:12" s="365" customFormat="1">
      <c r="A1384" s="370">
        <v>45606.448368055557</v>
      </c>
      <c r="B1384" s="365" t="s">
        <v>6169</v>
      </c>
      <c r="C1384" s="365" t="s">
        <v>3582</v>
      </c>
      <c r="D1384" s="365" t="s">
        <v>3583</v>
      </c>
      <c r="E1384" s="365" t="s">
        <v>3584</v>
      </c>
      <c r="F1384" s="365" t="s">
        <v>6170</v>
      </c>
      <c r="G1384" s="370">
        <v>45621</v>
      </c>
      <c r="H1384" s="369">
        <v>9000</v>
      </c>
      <c r="I1384" s="365" t="s">
        <v>6171</v>
      </c>
      <c r="J1384" s="365" t="s">
        <v>1228</v>
      </c>
      <c r="K1384" s="365" t="s">
        <v>1229</v>
      </c>
      <c r="L1384" s="370">
        <v>45608.671064814815</v>
      </c>
    </row>
    <row r="1385" spans="1:12" s="365" customFormat="1">
      <c r="A1385" s="370">
        <v>45606.679791666669</v>
      </c>
      <c r="B1385" s="365" t="s">
        <v>6172</v>
      </c>
      <c r="C1385" s="365" t="s">
        <v>3074</v>
      </c>
      <c r="D1385" s="365" t="s">
        <v>3075</v>
      </c>
      <c r="E1385" s="365" t="s">
        <v>3076</v>
      </c>
      <c r="F1385" s="365" t="s">
        <v>6173</v>
      </c>
      <c r="G1385" s="370">
        <v>45621</v>
      </c>
      <c r="H1385" s="369">
        <v>35000</v>
      </c>
      <c r="I1385" s="365" t="s">
        <v>6174</v>
      </c>
      <c r="J1385" s="365" t="s">
        <v>1228</v>
      </c>
      <c r="K1385" s="365" t="s">
        <v>1229</v>
      </c>
      <c r="L1385" s="370">
        <v>45608.671249999999</v>
      </c>
    </row>
    <row r="1386" spans="1:12" s="365" customFormat="1">
      <c r="A1386" s="370">
        <v>45606.90148148148</v>
      </c>
      <c r="B1386" s="365" t="s">
        <v>6175</v>
      </c>
      <c r="C1386" s="365" t="s">
        <v>1608</v>
      </c>
      <c r="D1386" s="365" t="s">
        <v>1609</v>
      </c>
      <c r="E1386" s="365" t="s">
        <v>1610</v>
      </c>
      <c r="F1386" s="365" t="s">
        <v>6176</v>
      </c>
      <c r="G1386" s="370">
        <v>45595</v>
      </c>
      <c r="H1386" s="369">
        <v>24000</v>
      </c>
      <c r="I1386" s="365" t="s">
        <v>6177</v>
      </c>
      <c r="J1386" s="365" t="s">
        <v>1228</v>
      </c>
      <c r="K1386" s="365" t="s">
        <v>1229</v>
      </c>
      <c r="L1386" s="370">
        <v>45606.906990740739</v>
      </c>
    </row>
    <row r="1387" spans="1:12" s="365" customFormat="1">
      <c r="A1387" s="370">
        <v>45606.925729166665</v>
      </c>
      <c r="B1387" s="365" t="s">
        <v>6178</v>
      </c>
      <c r="C1387" s="365" t="s">
        <v>2625</v>
      </c>
      <c r="D1387" s="365" t="s">
        <v>2626</v>
      </c>
      <c r="E1387" s="365" t="s">
        <v>2627</v>
      </c>
      <c r="F1387" s="365" t="s">
        <v>6179</v>
      </c>
      <c r="G1387" s="370">
        <v>45595</v>
      </c>
      <c r="H1387" s="369">
        <v>24000</v>
      </c>
      <c r="I1387" s="365" t="s">
        <v>6180</v>
      </c>
      <c r="J1387" s="365" t="s">
        <v>1228</v>
      </c>
      <c r="K1387" s="365" t="s">
        <v>1229</v>
      </c>
      <c r="L1387" s="370">
        <v>45606.929467592592</v>
      </c>
    </row>
    <row r="1388" spans="1:12" s="365" customFormat="1">
      <c r="A1388" s="370">
        <v>45607.31622685185</v>
      </c>
      <c r="B1388" s="365" t="s">
        <v>6181</v>
      </c>
      <c r="C1388" s="365" t="s">
        <v>2656</v>
      </c>
      <c r="D1388" s="365" t="s">
        <v>2657</v>
      </c>
      <c r="E1388" s="365" t="s">
        <v>2658</v>
      </c>
      <c r="F1388" s="365" t="s">
        <v>6182</v>
      </c>
      <c r="G1388" s="370">
        <v>45595</v>
      </c>
      <c r="H1388" s="369">
        <v>27000</v>
      </c>
      <c r="I1388" s="365" t="s">
        <v>6183</v>
      </c>
      <c r="J1388" s="365" t="s">
        <v>1228</v>
      </c>
      <c r="K1388" s="365" t="s">
        <v>1229</v>
      </c>
      <c r="L1388" s="370">
        <v>45607.322662037041</v>
      </c>
    </row>
    <row r="1389" spans="1:12" s="365" customFormat="1">
      <c r="A1389" s="370">
        <v>45607.343206018515</v>
      </c>
      <c r="B1389" s="365" t="s">
        <v>6184</v>
      </c>
      <c r="C1389" s="365" t="s">
        <v>2494</v>
      </c>
      <c r="D1389" s="365" t="s">
        <v>2495</v>
      </c>
      <c r="E1389" s="365" t="s">
        <v>2496</v>
      </c>
      <c r="F1389" s="365" t="s">
        <v>6185</v>
      </c>
      <c r="G1389" s="370">
        <v>45621</v>
      </c>
      <c r="H1389" s="369">
        <v>18000</v>
      </c>
      <c r="I1389" s="365" t="s">
        <v>6186</v>
      </c>
      <c r="J1389" s="365" t="s">
        <v>1228</v>
      </c>
      <c r="K1389" s="365" t="s">
        <v>1229</v>
      </c>
      <c r="L1389" s="370">
        <v>45608.668483796297</v>
      </c>
    </row>
    <row r="1390" spans="1:12" s="365" customFormat="1">
      <c r="A1390" s="370">
        <v>45607.350370370368</v>
      </c>
      <c r="B1390" s="365" t="s">
        <v>6187</v>
      </c>
      <c r="C1390" s="365" t="s">
        <v>2414</v>
      </c>
      <c r="D1390" s="365" t="s">
        <v>2415</v>
      </c>
      <c r="E1390" s="365" t="s">
        <v>2416</v>
      </c>
      <c r="F1390" s="365" t="s">
        <v>6188</v>
      </c>
      <c r="G1390" s="370">
        <v>45595</v>
      </c>
      <c r="H1390" s="369">
        <v>26222</v>
      </c>
      <c r="I1390" s="365" t="s">
        <v>6189</v>
      </c>
      <c r="J1390" s="365" t="s">
        <v>1228</v>
      </c>
      <c r="K1390" s="365" t="s">
        <v>1229</v>
      </c>
      <c r="L1390" s="370">
        <v>45607.356689814813</v>
      </c>
    </row>
    <row r="1391" spans="1:12" s="365" customFormat="1">
      <c r="A1391" s="370">
        <v>45607.35465277778</v>
      </c>
      <c r="B1391" s="365" t="s">
        <v>6190</v>
      </c>
      <c r="C1391" s="365" t="s">
        <v>3554</v>
      </c>
      <c r="D1391" s="365" t="s">
        <v>3555</v>
      </c>
      <c r="E1391" s="365" t="s">
        <v>3556</v>
      </c>
      <c r="F1391" s="365" t="s">
        <v>6191</v>
      </c>
      <c r="G1391" s="370">
        <v>45621</v>
      </c>
      <c r="H1391" s="369">
        <v>14000</v>
      </c>
      <c r="I1391" s="365" t="s">
        <v>6192</v>
      </c>
      <c r="J1391" s="365" t="s">
        <v>1228</v>
      </c>
      <c r="K1391" s="365" t="s">
        <v>1229</v>
      </c>
      <c r="L1391" s="370">
        <v>45608.668668981481</v>
      </c>
    </row>
    <row r="1392" spans="1:12" s="365" customFormat="1">
      <c r="A1392" s="370">
        <v>45607.402488425927</v>
      </c>
      <c r="B1392" s="365" t="s">
        <v>6193</v>
      </c>
      <c r="C1392" s="365" t="s">
        <v>2345</v>
      </c>
      <c r="D1392" s="365" t="s">
        <v>2346</v>
      </c>
      <c r="E1392" s="365" t="s">
        <v>2347</v>
      </c>
      <c r="F1392" s="365" t="s">
        <v>6194</v>
      </c>
      <c r="G1392" s="370">
        <v>45621</v>
      </c>
      <c r="H1392" s="369">
        <v>6000</v>
      </c>
      <c r="I1392" s="365" t="s">
        <v>6195</v>
      </c>
      <c r="J1392" s="365" t="s">
        <v>1228</v>
      </c>
      <c r="K1392" s="365" t="s">
        <v>1229</v>
      </c>
      <c r="L1392" s="370">
        <v>45608.668854166666</v>
      </c>
    </row>
    <row r="1393" spans="1:12" s="365" customFormat="1">
      <c r="A1393" s="370">
        <v>45607.409837962965</v>
      </c>
      <c r="B1393" s="365" t="s">
        <v>6196</v>
      </c>
      <c r="C1393" s="365" t="s">
        <v>2154</v>
      </c>
      <c r="D1393" s="365" t="s">
        <v>2155</v>
      </c>
      <c r="E1393" s="365" t="s">
        <v>2156</v>
      </c>
      <c r="F1393" s="365" t="s">
        <v>6197</v>
      </c>
      <c r="G1393" s="370">
        <v>45595</v>
      </c>
      <c r="H1393" s="369">
        <v>15000</v>
      </c>
      <c r="I1393" s="365" t="s">
        <v>6198</v>
      </c>
      <c r="J1393" s="365" t="s">
        <v>1228</v>
      </c>
      <c r="K1393" s="365" t="s">
        <v>1229</v>
      </c>
      <c r="L1393" s="370">
        <v>45607.417233796295</v>
      </c>
    </row>
    <row r="1394" spans="1:12" s="365" customFormat="1">
      <c r="A1394" s="370">
        <v>45607.42597222222</v>
      </c>
      <c r="B1394" s="365" t="s">
        <v>6199</v>
      </c>
      <c r="C1394" s="365" t="s">
        <v>2420</v>
      </c>
      <c r="D1394" s="365" t="s">
        <v>2421</v>
      </c>
      <c r="E1394" s="365" t="s">
        <v>2422</v>
      </c>
      <c r="F1394" s="365" t="s">
        <v>6200</v>
      </c>
      <c r="G1394" s="370">
        <v>45595</v>
      </c>
      <c r="H1394" s="369">
        <v>16000</v>
      </c>
      <c r="I1394" s="365" t="s">
        <v>6201</v>
      </c>
      <c r="J1394" s="365" t="s">
        <v>1228</v>
      </c>
      <c r="K1394" s="365" t="s">
        <v>1229</v>
      </c>
      <c r="L1394" s="370">
        <v>45607.429652777777</v>
      </c>
    </row>
    <row r="1395" spans="1:12" s="365" customFormat="1">
      <c r="A1395" s="370">
        <v>45607.431238425925</v>
      </c>
      <c r="B1395" s="365" t="s">
        <v>6202</v>
      </c>
      <c r="C1395" s="365" t="s">
        <v>1322</v>
      </c>
      <c r="D1395" s="365" t="s">
        <v>3762</v>
      </c>
      <c r="E1395" s="365" t="s">
        <v>3763</v>
      </c>
      <c r="F1395" s="365" t="s">
        <v>6203</v>
      </c>
      <c r="G1395" s="370">
        <v>45621</v>
      </c>
      <c r="H1395" s="369">
        <v>30000</v>
      </c>
      <c r="I1395" s="365" t="s">
        <v>6204</v>
      </c>
      <c r="J1395" s="365" t="s">
        <v>1228</v>
      </c>
      <c r="K1395" s="365" t="s">
        <v>1229</v>
      </c>
      <c r="L1395" s="370">
        <v>45608.669039351851</v>
      </c>
    </row>
    <row r="1396" spans="1:12" s="365" customFormat="1">
      <c r="A1396" s="370">
        <v>45607.462187500001</v>
      </c>
      <c r="B1396" s="365" t="s">
        <v>6205</v>
      </c>
      <c r="C1396" s="365" t="s">
        <v>4639</v>
      </c>
      <c r="D1396" s="365" t="s">
        <v>4640</v>
      </c>
      <c r="E1396" s="365" t="s">
        <v>4641</v>
      </c>
      <c r="F1396" s="365" t="s">
        <v>6206</v>
      </c>
      <c r="G1396" s="370">
        <v>45621</v>
      </c>
      <c r="H1396" s="369">
        <v>12000</v>
      </c>
      <c r="I1396" s="365" t="s">
        <v>6207</v>
      </c>
      <c r="J1396" s="365" t="s">
        <v>1228</v>
      </c>
      <c r="K1396" s="365" t="s">
        <v>1229</v>
      </c>
      <c r="L1396" s="370">
        <v>45608.669224537036</v>
      </c>
    </row>
    <row r="1397" spans="1:12" s="365" customFormat="1">
      <c r="A1397" s="370">
        <v>45607.49658564815</v>
      </c>
      <c r="B1397" s="365" t="s">
        <v>6208</v>
      </c>
      <c r="C1397" s="365" t="s">
        <v>2104</v>
      </c>
      <c r="D1397" s="365" t="s">
        <v>2105</v>
      </c>
      <c r="E1397" s="365" t="s">
        <v>2106</v>
      </c>
      <c r="F1397" s="365" t="s">
        <v>6209</v>
      </c>
      <c r="G1397" s="370">
        <v>45595</v>
      </c>
      <c r="H1397" s="369">
        <v>23400</v>
      </c>
      <c r="I1397" s="365" t="s">
        <v>6210</v>
      </c>
      <c r="J1397" s="365" t="s">
        <v>1228</v>
      </c>
      <c r="K1397" s="365" t="s">
        <v>1229</v>
      </c>
      <c r="L1397" s="370">
        <v>45607.499398148146</v>
      </c>
    </row>
    <row r="1398" spans="1:12" s="365" customFormat="1">
      <c r="A1398" s="370">
        <v>45607.49832175926</v>
      </c>
      <c r="B1398" s="365" t="s">
        <v>6211</v>
      </c>
      <c r="C1398" s="365" t="s">
        <v>3663</v>
      </c>
      <c r="D1398" s="365" t="s">
        <v>3664</v>
      </c>
      <c r="E1398" s="365" t="s">
        <v>3665</v>
      </c>
      <c r="F1398" s="365" t="s">
        <v>6212</v>
      </c>
      <c r="G1398" s="370">
        <v>45621</v>
      </c>
      <c r="H1398" s="369">
        <v>11500</v>
      </c>
      <c r="I1398" s="365" t="s">
        <v>6213</v>
      </c>
      <c r="J1398" s="365" t="s">
        <v>1228</v>
      </c>
      <c r="K1398" s="365" t="s">
        <v>1229</v>
      </c>
      <c r="L1398" s="370">
        <v>45608.669409722221</v>
      </c>
    </row>
    <row r="1399" spans="1:12" s="365" customFormat="1">
      <c r="A1399" s="370">
        <v>45607.713402777779</v>
      </c>
      <c r="B1399" s="365" t="s">
        <v>6214</v>
      </c>
      <c r="C1399" s="365" t="s">
        <v>3219</v>
      </c>
      <c r="D1399" s="365" t="s">
        <v>3220</v>
      </c>
      <c r="E1399" s="365" t="s">
        <v>3221</v>
      </c>
      <c r="F1399" s="365" t="s">
        <v>6215</v>
      </c>
      <c r="G1399" s="370">
        <v>45621</v>
      </c>
      <c r="H1399" s="369">
        <v>39000</v>
      </c>
      <c r="I1399" s="365" t="s">
        <v>6216</v>
      </c>
      <c r="J1399" s="365" t="s">
        <v>1228</v>
      </c>
      <c r="K1399" s="365" t="s">
        <v>1229</v>
      </c>
      <c r="L1399" s="370">
        <v>45608.657893518517</v>
      </c>
    </row>
    <row r="1400" spans="1:12" s="365" customFormat="1">
      <c r="A1400" s="370">
        <v>45607.729328703703</v>
      </c>
      <c r="B1400" s="365" t="s">
        <v>6217</v>
      </c>
      <c r="C1400" s="365" t="s">
        <v>6218</v>
      </c>
      <c r="D1400" s="365" t="s">
        <v>6219</v>
      </c>
      <c r="E1400" s="365" t="s">
        <v>6220</v>
      </c>
      <c r="F1400" s="365" t="s">
        <v>6221</v>
      </c>
      <c r="G1400" s="370">
        <v>45621</v>
      </c>
      <c r="H1400" s="369">
        <v>21000</v>
      </c>
      <c r="I1400" s="365" t="s">
        <v>6222</v>
      </c>
      <c r="J1400" s="365" t="s">
        <v>1228</v>
      </c>
      <c r="K1400" s="365" t="s">
        <v>1229</v>
      </c>
      <c r="L1400" s="370">
        <v>45608.658078703702</v>
      </c>
    </row>
    <row r="1401" spans="1:12" s="365" customFormat="1">
      <c r="A1401" s="370">
        <v>45607.894594907404</v>
      </c>
      <c r="B1401" s="365" t="s">
        <v>6223</v>
      </c>
      <c r="C1401" s="365" t="s">
        <v>2598</v>
      </c>
      <c r="D1401" s="365" t="s">
        <v>2599</v>
      </c>
      <c r="E1401" s="365" t="s">
        <v>2600</v>
      </c>
      <c r="F1401" s="365" t="s">
        <v>6224</v>
      </c>
      <c r="G1401" s="370">
        <v>45621</v>
      </c>
      <c r="H1401" s="369">
        <v>12000</v>
      </c>
      <c r="I1401" s="365" t="s">
        <v>6225</v>
      </c>
      <c r="J1401" s="365" t="s">
        <v>1228</v>
      </c>
      <c r="K1401" s="365" t="s">
        <v>1229</v>
      </c>
      <c r="L1401" s="370">
        <v>45608.658263888887</v>
      </c>
    </row>
    <row r="1402" spans="1:12" s="365" customFormat="1">
      <c r="A1402" s="370">
        <v>45607.914027777777</v>
      </c>
      <c r="B1402" s="365" t="s">
        <v>6226</v>
      </c>
      <c r="C1402" s="365" t="s">
        <v>2565</v>
      </c>
      <c r="D1402" s="365" t="s">
        <v>2566</v>
      </c>
      <c r="E1402" s="365" t="s">
        <v>2567</v>
      </c>
      <c r="F1402" s="365" t="s">
        <v>6227</v>
      </c>
      <c r="G1402" s="370">
        <v>45621</v>
      </c>
      <c r="H1402" s="369">
        <v>15999</v>
      </c>
      <c r="I1402" s="365" t="s">
        <v>6228</v>
      </c>
      <c r="J1402" s="365" t="s">
        <v>1228</v>
      </c>
      <c r="K1402" s="365" t="s">
        <v>1229</v>
      </c>
      <c r="L1402" s="370">
        <v>45608.669583333336</v>
      </c>
    </row>
    <row r="1403" spans="1:12" s="365" customFormat="1">
      <c r="A1403" s="370">
        <v>45607.342569444445</v>
      </c>
      <c r="B1403" s="365" t="s">
        <v>6229</v>
      </c>
      <c r="C1403" s="365" t="s">
        <v>1961</v>
      </c>
      <c r="D1403" s="365" t="s">
        <v>1962</v>
      </c>
      <c r="E1403" s="365" t="s">
        <v>1963</v>
      </c>
      <c r="F1403" s="365" t="s">
        <v>6230</v>
      </c>
      <c r="G1403" s="370">
        <v>45621</v>
      </c>
      <c r="H1403" s="369">
        <v>22500</v>
      </c>
      <c r="I1403" s="365" t="s">
        <v>6231</v>
      </c>
      <c r="J1403" s="365" t="s">
        <v>1228</v>
      </c>
      <c r="K1403" s="365" t="s">
        <v>1229</v>
      </c>
      <c r="L1403" s="370">
        <v>45608.671423611115</v>
      </c>
    </row>
    <row r="1404" spans="1:12" s="365" customFormat="1">
      <c r="A1404" s="370">
        <v>45607.394282407404</v>
      </c>
      <c r="B1404" s="365" t="s">
        <v>6232</v>
      </c>
      <c r="C1404" s="365" t="s">
        <v>3455</v>
      </c>
      <c r="D1404" s="365" t="s">
        <v>3456</v>
      </c>
      <c r="E1404" s="365" t="s">
        <v>3457</v>
      </c>
      <c r="F1404" s="365" t="s">
        <v>6233</v>
      </c>
      <c r="G1404" s="370">
        <v>45621</v>
      </c>
      <c r="H1404" s="369">
        <v>9000</v>
      </c>
      <c r="I1404" s="365" t="s">
        <v>6234</v>
      </c>
      <c r="J1404" s="365" t="s">
        <v>1228</v>
      </c>
      <c r="K1404" s="365" t="s">
        <v>1229</v>
      </c>
      <c r="L1404" s="370">
        <v>45608.6716087963</v>
      </c>
    </row>
    <row r="1405" spans="1:12" s="365" customFormat="1">
      <c r="A1405" s="370">
        <v>45607.49827546296</v>
      </c>
      <c r="B1405" s="365" t="s">
        <v>6235</v>
      </c>
      <c r="C1405" s="365" t="s">
        <v>3305</v>
      </c>
      <c r="D1405" s="365" t="s">
        <v>3306</v>
      </c>
      <c r="E1405" s="365" t="s">
        <v>3307</v>
      </c>
      <c r="F1405" s="365" t="s">
        <v>6236</v>
      </c>
      <c r="G1405" s="370">
        <v>45621</v>
      </c>
      <c r="H1405" s="369">
        <v>21000</v>
      </c>
      <c r="I1405" s="365" t="s">
        <v>6237</v>
      </c>
      <c r="J1405" s="365" t="s">
        <v>1228</v>
      </c>
      <c r="K1405" s="365" t="s">
        <v>1229</v>
      </c>
      <c r="L1405" s="370">
        <v>45608.659016203703</v>
      </c>
    </row>
    <row r="1406" spans="1:12" s="365" customFormat="1">
      <c r="A1406" s="370">
        <v>45607.780972222223</v>
      </c>
      <c r="B1406" s="365" t="s">
        <v>6238</v>
      </c>
      <c r="C1406" s="365" t="s">
        <v>1382</v>
      </c>
      <c r="D1406" s="365" t="s">
        <v>1383</v>
      </c>
      <c r="E1406" s="365" t="s">
        <v>1384</v>
      </c>
      <c r="F1406" s="365" t="s">
        <v>6239</v>
      </c>
      <c r="G1406" s="370">
        <v>45595</v>
      </c>
      <c r="H1406" s="369">
        <v>15999</v>
      </c>
      <c r="I1406" s="365" t="s">
        <v>6240</v>
      </c>
      <c r="J1406" s="365" t="s">
        <v>1228</v>
      </c>
      <c r="K1406" s="365" t="s">
        <v>1229</v>
      </c>
      <c r="L1406" s="370">
        <v>45607.785717592589</v>
      </c>
    </row>
    <row r="1407" spans="1:12" s="365" customFormat="1">
      <c r="A1407" s="370">
        <v>45607.804965277777</v>
      </c>
      <c r="B1407" s="365" t="s">
        <v>6241</v>
      </c>
      <c r="C1407" s="365" t="s">
        <v>3711</v>
      </c>
      <c r="D1407" s="365" t="s">
        <v>3712</v>
      </c>
      <c r="E1407" s="365" t="s">
        <v>3713</v>
      </c>
      <c r="F1407" s="365" t="s">
        <v>6242</v>
      </c>
      <c r="G1407" s="370">
        <v>45621</v>
      </c>
      <c r="H1407" s="369">
        <v>7501</v>
      </c>
      <c r="I1407" s="365" t="s">
        <v>6243</v>
      </c>
      <c r="J1407" s="365" t="s">
        <v>1228</v>
      </c>
      <c r="K1407" s="365" t="s">
        <v>1229</v>
      </c>
      <c r="L1407" s="370">
        <v>45608.671631944446</v>
      </c>
    </row>
    <row r="1408" spans="1:12" s="365" customFormat="1">
      <c r="A1408" s="370">
        <v>45607.28502314815</v>
      </c>
      <c r="B1408" s="365" t="s">
        <v>6244</v>
      </c>
      <c r="C1408" s="365" t="s">
        <v>2553</v>
      </c>
      <c r="D1408" s="365" t="s">
        <v>2554</v>
      </c>
      <c r="E1408" s="365" t="s">
        <v>2555</v>
      </c>
      <c r="F1408" s="365" t="s">
        <v>6245</v>
      </c>
      <c r="G1408" s="370">
        <v>45595</v>
      </c>
      <c r="H1408" s="369">
        <v>18000</v>
      </c>
      <c r="I1408" s="365" t="s">
        <v>6246</v>
      </c>
      <c r="J1408" s="365" t="s">
        <v>1228</v>
      </c>
      <c r="K1408" s="365" t="s">
        <v>1229</v>
      </c>
      <c r="L1408" s="370">
        <v>45607.288437499999</v>
      </c>
    </row>
    <row r="1409" spans="1:12" s="365" customFormat="1">
      <c r="A1409" s="370">
        <v>45607.288414351853</v>
      </c>
      <c r="B1409" s="365" t="s">
        <v>6247</v>
      </c>
      <c r="C1409" s="365" t="s">
        <v>2826</v>
      </c>
      <c r="D1409" s="365" t="s">
        <v>2827</v>
      </c>
      <c r="E1409" s="365" t="s">
        <v>2828</v>
      </c>
      <c r="F1409" s="365" t="s">
        <v>6248</v>
      </c>
      <c r="G1409" s="370">
        <v>45595</v>
      </c>
      <c r="H1409" s="369">
        <v>33500</v>
      </c>
      <c r="I1409" s="365" t="s">
        <v>6249</v>
      </c>
      <c r="J1409" s="365" t="s">
        <v>1228</v>
      </c>
      <c r="K1409" s="365" t="s">
        <v>1229</v>
      </c>
      <c r="L1409" s="370">
        <v>45607.29478009259</v>
      </c>
    </row>
    <row r="1410" spans="1:12" s="365" customFormat="1">
      <c r="A1410" s="370">
        <v>45607.371527777781</v>
      </c>
      <c r="B1410" s="365" t="s">
        <v>6250</v>
      </c>
      <c r="C1410" s="365" t="s">
        <v>3385</v>
      </c>
      <c r="D1410" s="365" t="s">
        <v>3386</v>
      </c>
      <c r="E1410" s="365" t="s">
        <v>3387</v>
      </c>
      <c r="F1410" s="365" t="s">
        <v>6251</v>
      </c>
      <c r="G1410" s="370">
        <v>45621</v>
      </c>
      <c r="H1410" s="369">
        <v>15000</v>
      </c>
      <c r="I1410" s="365" t="s">
        <v>6252</v>
      </c>
      <c r="J1410" s="365" t="s">
        <v>1228</v>
      </c>
      <c r="K1410" s="365" t="s">
        <v>1229</v>
      </c>
      <c r="L1410" s="370">
        <v>45608.66034722222</v>
      </c>
    </row>
    <row r="1411" spans="1:12" s="365" customFormat="1">
      <c r="A1411" s="370">
        <v>45607.387071759258</v>
      </c>
      <c r="B1411" s="365" t="s">
        <v>6253</v>
      </c>
      <c r="C1411" s="365" t="s">
        <v>3311</v>
      </c>
      <c r="D1411" s="365" t="s">
        <v>3312</v>
      </c>
      <c r="E1411" s="365" t="s">
        <v>3313</v>
      </c>
      <c r="F1411" s="365" t="s">
        <v>6254</v>
      </c>
      <c r="G1411" s="370">
        <v>45621</v>
      </c>
      <c r="H1411" s="369">
        <v>15000</v>
      </c>
      <c r="I1411" s="365" t="s">
        <v>6255</v>
      </c>
      <c r="J1411" s="365" t="s">
        <v>1228</v>
      </c>
      <c r="K1411" s="365" t="s">
        <v>1229</v>
      </c>
      <c r="L1411" s="370">
        <v>45608.674201388887</v>
      </c>
    </row>
    <row r="1412" spans="1:12" s="365" customFormat="1">
      <c r="A1412" s="370">
        <v>45607.392962962964</v>
      </c>
      <c r="B1412" s="365" t="s">
        <v>6256</v>
      </c>
      <c r="C1412" s="365" t="s">
        <v>3455</v>
      </c>
      <c r="D1412" s="365" t="s">
        <v>3588</v>
      </c>
      <c r="E1412" s="365" t="s">
        <v>3589</v>
      </c>
      <c r="F1412" s="365" t="s">
        <v>6257</v>
      </c>
      <c r="G1412" s="370">
        <v>45621</v>
      </c>
      <c r="H1412" s="369">
        <v>9000</v>
      </c>
      <c r="I1412" s="365" t="s">
        <v>6258</v>
      </c>
      <c r="J1412" s="365" t="s">
        <v>1228</v>
      </c>
      <c r="K1412" s="365" t="s">
        <v>1229</v>
      </c>
      <c r="L1412" s="370">
        <v>45608.674212962964</v>
      </c>
    </row>
    <row r="1413" spans="1:12" s="365" customFormat="1">
      <c r="A1413" s="370">
        <v>45607.403275462966</v>
      </c>
      <c r="B1413" s="365" t="s">
        <v>6259</v>
      </c>
      <c r="C1413" s="365" t="s">
        <v>6260</v>
      </c>
      <c r="D1413" s="365" t="s">
        <v>6261</v>
      </c>
      <c r="E1413" s="365" t="s">
        <v>6262</v>
      </c>
      <c r="F1413" s="365" t="s">
        <v>6263</v>
      </c>
      <c r="G1413" s="370">
        <v>45595</v>
      </c>
      <c r="H1413" s="369">
        <v>63400</v>
      </c>
      <c r="I1413" s="365" t="s">
        <v>6264</v>
      </c>
      <c r="J1413" s="365" t="s">
        <v>1228</v>
      </c>
      <c r="K1413" s="365" t="s">
        <v>1229</v>
      </c>
      <c r="L1413" s="370">
        <v>45607.405381944445</v>
      </c>
    </row>
    <row r="1414" spans="1:12" s="365" customFormat="1">
      <c r="A1414" s="370">
        <v>45607.43854166667</v>
      </c>
      <c r="B1414" s="365" t="s">
        <v>6265</v>
      </c>
      <c r="C1414" s="365" t="s">
        <v>3345</v>
      </c>
      <c r="D1414" s="365" t="s">
        <v>3346</v>
      </c>
      <c r="E1414" s="365" t="s">
        <v>3347</v>
      </c>
      <c r="F1414" s="365" t="s">
        <v>6266</v>
      </c>
      <c r="G1414" s="370">
        <v>45621</v>
      </c>
      <c r="H1414" s="369">
        <v>31999</v>
      </c>
      <c r="I1414" s="365" t="s">
        <v>6267</v>
      </c>
      <c r="J1414" s="365" t="s">
        <v>1228</v>
      </c>
      <c r="K1414" s="365" t="s">
        <v>1229</v>
      </c>
      <c r="L1414" s="370">
        <v>45608.674398148149</v>
      </c>
    </row>
    <row r="1415" spans="1:12" s="365" customFormat="1">
      <c r="A1415" s="370">
        <v>45607.439641203702</v>
      </c>
      <c r="B1415" s="365" t="s">
        <v>6268</v>
      </c>
      <c r="C1415" s="365" t="s">
        <v>1616</v>
      </c>
      <c r="D1415" s="365" t="s">
        <v>1617</v>
      </c>
      <c r="E1415" s="365" t="s">
        <v>1618</v>
      </c>
      <c r="F1415" s="365" t="s">
        <v>6269</v>
      </c>
      <c r="G1415" s="370">
        <v>45621</v>
      </c>
      <c r="H1415" s="369">
        <v>20999</v>
      </c>
      <c r="I1415" s="365" t="s">
        <v>6270</v>
      </c>
      <c r="J1415" s="365" t="s">
        <v>1228</v>
      </c>
      <c r="K1415" s="365" t="s">
        <v>1229</v>
      </c>
      <c r="L1415" s="370">
        <v>45608.674583333333</v>
      </c>
    </row>
    <row r="1416" spans="1:12" s="365" customFormat="1">
      <c r="A1416" s="370">
        <v>45607.505277777775</v>
      </c>
      <c r="B1416" s="365" t="s">
        <v>6271</v>
      </c>
      <c r="C1416" s="365" t="s">
        <v>2604</v>
      </c>
      <c r="D1416" s="365" t="s">
        <v>2605</v>
      </c>
      <c r="E1416" s="365" t="s">
        <v>2606</v>
      </c>
      <c r="F1416" s="365" t="s">
        <v>6272</v>
      </c>
      <c r="G1416" s="370">
        <v>45621</v>
      </c>
      <c r="H1416" s="369">
        <v>21000</v>
      </c>
      <c r="I1416" s="365" t="s">
        <v>6273</v>
      </c>
      <c r="J1416" s="365" t="s">
        <v>1228</v>
      </c>
      <c r="K1416" s="365" t="s">
        <v>1229</v>
      </c>
      <c r="L1416" s="370">
        <v>45608.674768518518</v>
      </c>
    </row>
    <row r="1417" spans="1:12" s="365" customFormat="1">
      <c r="A1417" s="370">
        <v>45607.506724537037</v>
      </c>
      <c r="B1417" s="365" t="s">
        <v>6274</v>
      </c>
      <c r="C1417" s="365" t="s">
        <v>2604</v>
      </c>
      <c r="D1417" s="365" t="s">
        <v>2605</v>
      </c>
      <c r="E1417" s="365" t="s">
        <v>2606</v>
      </c>
      <c r="F1417" s="365" t="s">
        <v>6275</v>
      </c>
      <c r="G1417" s="370">
        <v>45595</v>
      </c>
      <c r="H1417" s="369">
        <v>21000</v>
      </c>
      <c r="I1417" s="365" t="s">
        <v>6276</v>
      </c>
      <c r="J1417" s="365" t="s">
        <v>1228</v>
      </c>
      <c r="K1417" s="365" t="s">
        <v>1229</v>
      </c>
      <c r="L1417" s="370">
        <v>45607.513726851852</v>
      </c>
    </row>
    <row r="1418" spans="1:12" s="365" customFormat="1">
      <c r="A1418" s="370">
        <v>45607.603449074071</v>
      </c>
      <c r="B1418" s="365" t="s">
        <v>6277</v>
      </c>
      <c r="C1418" s="365" t="s">
        <v>2583</v>
      </c>
      <c r="D1418" s="365" t="s">
        <v>2584</v>
      </c>
      <c r="E1418" s="365" t="s">
        <v>2585</v>
      </c>
      <c r="F1418" s="365" t="s">
        <v>6278</v>
      </c>
      <c r="G1418" s="370">
        <v>45595</v>
      </c>
      <c r="H1418" s="369">
        <v>15999</v>
      </c>
      <c r="I1418" s="365" t="s">
        <v>6279</v>
      </c>
      <c r="J1418" s="365" t="s">
        <v>1228</v>
      </c>
      <c r="K1418" s="365" t="s">
        <v>1229</v>
      </c>
      <c r="L1418" s="370">
        <v>45607.606944444444</v>
      </c>
    </row>
    <row r="1419" spans="1:12" s="365" customFormat="1">
      <c r="A1419" s="370">
        <v>45607.670243055552</v>
      </c>
      <c r="B1419" s="365" t="s">
        <v>6280</v>
      </c>
      <c r="C1419" s="365" t="s">
        <v>3225</v>
      </c>
      <c r="D1419" s="365" t="s">
        <v>3226</v>
      </c>
      <c r="E1419" s="365" t="s">
        <v>3227</v>
      </c>
      <c r="F1419" s="365" t="s">
        <v>6281</v>
      </c>
      <c r="G1419" s="370">
        <v>45621</v>
      </c>
      <c r="H1419" s="369">
        <v>22000</v>
      </c>
      <c r="I1419" s="365" t="s">
        <v>6282</v>
      </c>
      <c r="J1419" s="365" t="s">
        <v>1228</v>
      </c>
      <c r="K1419" s="365" t="s">
        <v>1229</v>
      </c>
      <c r="L1419" s="370">
        <v>45608.674953703703</v>
      </c>
    </row>
    <row r="1420" spans="1:12" s="365" customFormat="1">
      <c r="A1420" s="370">
        <v>45607.690208333333</v>
      </c>
      <c r="B1420" s="365" t="s">
        <v>6283</v>
      </c>
      <c r="C1420" s="365" t="s">
        <v>3570</v>
      </c>
      <c r="D1420" s="365" t="s">
        <v>3571</v>
      </c>
      <c r="E1420" s="365" t="s">
        <v>3572</v>
      </c>
      <c r="F1420" s="365" t="s">
        <v>6284</v>
      </c>
      <c r="G1420" s="370">
        <v>45621</v>
      </c>
      <c r="H1420" s="369">
        <v>16500</v>
      </c>
      <c r="I1420" s="365" t="s">
        <v>6285</v>
      </c>
      <c r="J1420" s="365" t="s">
        <v>1228</v>
      </c>
      <c r="K1420" s="365" t="s">
        <v>1229</v>
      </c>
      <c r="L1420" s="370">
        <v>45608.660474537035</v>
      </c>
    </row>
    <row r="1421" spans="1:12" s="365" customFormat="1">
      <c r="A1421" s="370">
        <v>45608.372754629629</v>
      </c>
      <c r="B1421" s="365" t="s">
        <v>6286</v>
      </c>
      <c r="C1421" s="365" t="s">
        <v>2547</v>
      </c>
      <c r="D1421" s="365" t="s">
        <v>2548</v>
      </c>
      <c r="E1421" s="365" t="s">
        <v>2549</v>
      </c>
      <c r="F1421" s="365" t="s">
        <v>6287</v>
      </c>
      <c r="G1421" s="370">
        <v>45621</v>
      </c>
      <c r="H1421" s="369">
        <v>49999</v>
      </c>
      <c r="I1421" s="365" t="s">
        <v>6288</v>
      </c>
      <c r="J1421" s="365" t="s">
        <v>1228</v>
      </c>
      <c r="K1421" s="365" t="s">
        <v>1229</v>
      </c>
      <c r="L1421" s="370">
        <v>45608.669768518521</v>
      </c>
    </row>
    <row r="1422" spans="1:12" s="365" customFormat="1">
      <c r="A1422" s="370">
        <v>45608.3908912037</v>
      </c>
      <c r="B1422" s="365" t="s">
        <v>6289</v>
      </c>
      <c r="C1422" s="365" t="s">
        <v>6290</v>
      </c>
      <c r="D1422" s="365" t="s">
        <v>6291</v>
      </c>
      <c r="E1422" s="365" t="s">
        <v>6292</v>
      </c>
      <c r="F1422" s="365" t="s">
        <v>6293</v>
      </c>
      <c r="G1422" s="370">
        <v>45530</v>
      </c>
      <c r="H1422" s="369">
        <v>30000</v>
      </c>
      <c r="I1422" s="365" t="s">
        <v>6294</v>
      </c>
      <c r="J1422" s="365" t="s">
        <v>1228</v>
      </c>
      <c r="K1422" s="365" t="s">
        <v>1229</v>
      </c>
      <c r="L1422" s="370">
        <v>45608.394687499997</v>
      </c>
    </row>
    <row r="1423" spans="1:12" s="365" customFormat="1">
      <c r="A1423" s="370">
        <v>45608.464178240742</v>
      </c>
      <c r="B1423" s="365" t="s">
        <v>6295</v>
      </c>
      <c r="C1423" s="365" t="s">
        <v>3564</v>
      </c>
      <c r="D1423" s="365" t="s">
        <v>3565</v>
      </c>
      <c r="E1423" s="365" t="s">
        <v>3566</v>
      </c>
      <c r="F1423" s="365" t="s">
        <v>6296</v>
      </c>
      <c r="G1423" s="370">
        <v>45621</v>
      </c>
      <c r="H1423" s="369">
        <v>30000</v>
      </c>
      <c r="I1423" s="365" t="s">
        <v>6297</v>
      </c>
      <c r="J1423" s="365" t="s">
        <v>1228</v>
      </c>
      <c r="K1423" s="365" t="s">
        <v>1229</v>
      </c>
      <c r="L1423" s="370">
        <v>45608.658472222225</v>
      </c>
    </row>
    <row r="1424" spans="1:12" s="365" customFormat="1">
      <c r="A1424" s="370">
        <v>45608.471956018519</v>
      </c>
      <c r="B1424" s="365" t="s">
        <v>6298</v>
      </c>
      <c r="C1424" s="365" t="s">
        <v>3974</v>
      </c>
      <c r="D1424" s="365" t="s">
        <v>3975</v>
      </c>
      <c r="E1424" s="365" t="s">
        <v>3976</v>
      </c>
      <c r="F1424" s="365" t="s">
        <v>6299</v>
      </c>
      <c r="G1424" s="370">
        <v>45621</v>
      </c>
      <c r="H1424" s="369">
        <v>10000</v>
      </c>
      <c r="I1424" s="365" t="s">
        <v>6300</v>
      </c>
      <c r="J1424" s="365" t="s">
        <v>1228</v>
      </c>
      <c r="K1424" s="365" t="s">
        <v>1229</v>
      </c>
      <c r="L1424" s="370">
        <v>45608.65865740741</v>
      </c>
    </row>
    <row r="1425" spans="1:12" s="365" customFormat="1">
      <c r="A1425" s="370">
        <v>45608.487905092596</v>
      </c>
      <c r="B1425" s="365" t="s">
        <v>6301</v>
      </c>
      <c r="C1425" s="365" t="s">
        <v>3449</v>
      </c>
      <c r="D1425" s="365" t="s">
        <v>3450</v>
      </c>
      <c r="E1425" s="365" t="s">
        <v>3451</v>
      </c>
      <c r="F1425" s="365" t="s">
        <v>6302</v>
      </c>
      <c r="G1425" s="370">
        <v>45621</v>
      </c>
      <c r="H1425" s="369">
        <v>9000</v>
      </c>
      <c r="I1425" s="365" t="s">
        <v>6303</v>
      </c>
      <c r="J1425" s="365" t="s">
        <v>1228</v>
      </c>
      <c r="K1425" s="365" t="s">
        <v>1229</v>
      </c>
      <c r="L1425" s="370">
        <v>45608.669953703706</v>
      </c>
    </row>
    <row r="1426" spans="1:12" s="365" customFormat="1">
      <c r="A1426" s="370">
        <v>45608.579108796293</v>
      </c>
      <c r="B1426" s="365" t="s">
        <v>6304</v>
      </c>
      <c r="C1426" s="365" t="s">
        <v>2351</v>
      </c>
      <c r="D1426" s="365" t="s">
        <v>2352</v>
      </c>
      <c r="E1426" s="365" t="s">
        <v>2353</v>
      </c>
      <c r="F1426" s="365" t="s">
        <v>6305</v>
      </c>
      <c r="G1426" s="370">
        <v>45595</v>
      </c>
      <c r="H1426" s="369">
        <v>32000</v>
      </c>
      <c r="I1426" s="365" t="s">
        <v>6306</v>
      </c>
      <c r="J1426" s="365" t="s">
        <v>1228</v>
      </c>
      <c r="K1426" s="365" t="s">
        <v>1229</v>
      </c>
      <c r="L1426" s="370">
        <v>45608.581087962964</v>
      </c>
    </row>
    <row r="1427" spans="1:12" s="365" customFormat="1">
      <c r="A1427" s="370">
        <v>45608.638796296298</v>
      </c>
      <c r="B1427" s="365" t="s">
        <v>6307</v>
      </c>
      <c r="C1427" s="365" t="s">
        <v>4523</v>
      </c>
      <c r="D1427" s="365" t="s">
        <v>4524</v>
      </c>
      <c r="E1427" s="365" t="s">
        <v>4525</v>
      </c>
      <c r="F1427" s="365" t="s">
        <v>6308</v>
      </c>
      <c r="G1427" s="370">
        <v>45621</v>
      </c>
      <c r="H1427" s="369">
        <v>31999</v>
      </c>
      <c r="I1427" s="365" t="s">
        <v>6309</v>
      </c>
      <c r="J1427" s="365" t="s">
        <v>1228</v>
      </c>
      <c r="K1427" s="365" t="s">
        <v>1229</v>
      </c>
      <c r="L1427" s="370">
        <v>45608.670138888891</v>
      </c>
    </row>
    <row r="1428" spans="1:12" s="365" customFormat="1">
      <c r="A1428" s="370">
        <v>45608.690706018519</v>
      </c>
      <c r="B1428" s="365" t="s">
        <v>6310</v>
      </c>
      <c r="C1428" s="365" t="s">
        <v>3627</v>
      </c>
      <c r="D1428" s="365" t="s">
        <v>3628</v>
      </c>
      <c r="E1428" s="365" t="s">
        <v>3629</v>
      </c>
      <c r="F1428" s="365" t="s">
        <v>6311</v>
      </c>
      <c r="G1428" s="370">
        <v>45621</v>
      </c>
      <c r="H1428" s="369">
        <v>48000</v>
      </c>
      <c r="I1428" s="365" t="s">
        <v>6312</v>
      </c>
      <c r="J1428" s="365" t="s">
        <v>1228</v>
      </c>
      <c r="K1428" s="365" t="s">
        <v>1229</v>
      </c>
      <c r="L1428" s="370">
        <v>45608.692418981482</v>
      </c>
    </row>
    <row r="1429" spans="1:12" s="365" customFormat="1">
      <c r="A1429" s="370">
        <v>45608.764305555553</v>
      </c>
      <c r="B1429" s="365" t="s">
        <v>6313</v>
      </c>
      <c r="C1429" s="365" t="s">
        <v>3379</v>
      </c>
      <c r="D1429" s="365" t="s">
        <v>3380</v>
      </c>
      <c r="E1429" s="365" t="s">
        <v>3381</v>
      </c>
      <c r="F1429" s="365" t="s">
        <v>6314</v>
      </c>
      <c r="G1429" s="370">
        <v>45621</v>
      </c>
      <c r="H1429" s="369">
        <v>15000</v>
      </c>
      <c r="I1429" s="365" t="s">
        <v>6315</v>
      </c>
      <c r="J1429" s="365" t="s">
        <v>1228</v>
      </c>
      <c r="K1429" s="365" t="s">
        <v>1229</v>
      </c>
      <c r="L1429" s="370">
        <v>45608.765590277777</v>
      </c>
    </row>
    <row r="1430" spans="1:12" s="365" customFormat="1">
      <c r="A1430" s="370">
        <v>45608.945231481484</v>
      </c>
      <c r="B1430" s="365" t="s">
        <v>6316</v>
      </c>
      <c r="C1430" s="365" t="s">
        <v>6317</v>
      </c>
      <c r="D1430" s="365" t="s">
        <v>6318</v>
      </c>
      <c r="E1430" s="365" t="s">
        <v>6319</v>
      </c>
      <c r="F1430" s="365" t="s">
        <v>6320</v>
      </c>
      <c r="G1430" s="370">
        <v>45621</v>
      </c>
      <c r="H1430" s="369">
        <v>15999</v>
      </c>
      <c r="I1430" s="365" t="s">
        <v>6321</v>
      </c>
      <c r="J1430" s="365" t="s">
        <v>1228</v>
      </c>
      <c r="K1430" s="365" t="s">
        <v>1229</v>
      </c>
      <c r="L1430" s="370">
        <v>45608.94630787037</v>
      </c>
    </row>
    <row r="1431" spans="1:12" s="365" customFormat="1">
      <c r="A1431" s="370">
        <v>45608.638379629629</v>
      </c>
      <c r="B1431" s="365" t="s">
        <v>6322</v>
      </c>
      <c r="C1431" s="365" t="s">
        <v>6023</v>
      </c>
      <c r="D1431" s="365" t="s">
        <v>6024</v>
      </c>
      <c r="E1431" s="365" t="s">
        <v>6025</v>
      </c>
      <c r="F1431" s="365" t="s">
        <v>6323</v>
      </c>
      <c r="G1431" s="370">
        <v>45621</v>
      </c>
      <c r="H1431" s="369">
        <v>33000</v>
      </c>
      <c r="I1431" s="365" t="s">
        <v>6324</v>
      </c>
      <c r="J1431" s="365" t="s">
        <v>1228</v>
      </c>
      <c r="K1431" s="365" t="s">
        <v>1229</v>
      </c>
      <c r="L1431" s="370">
        <v>45608.659212962964</v>
      </c>
    </row>
    <row r="1432" spans="1:12" s="365" customFormat="1">
      <c r="A1432" s="370">
        <v>45608.642106481479</v>
      </c>
      <c r="B1432" s="365" t="s">
        <v>6325</v>
      </c>
      <c r="C1432" s="365" t="s">
        <v>1932</v>
      </c>
      <c r="D1432" s="365" t="s">
        <v>1933</v>
      </c>
      <c r="E1432" s="365" t="s">
        <v>1934</v>
      </c>
      <c r="F1432" s="365" t="s">
        <v>6326</v>
      </c>
      <c r="G1432" s="370">
        <v>45595</v>
      </c>
      <c r="H1432" s="369">
        <v>15999</v>
      </c>
      <c r="I1432" s="365" t="s">
        <v>6327</v>
      </c>
      <c r="J1432" s="365" t="s">
        <v>1228</v>
      </c>
      <c r="K1432" s="365" t="s">
        <v>1229</v>
      </c>
      <c r="L1432" s="370">
        <v>45608.650092592594</v>
      </c>
    </row>
    <row r="1433" spans="1:12" s="365" customFormat="1">
      <c r="A1433" s="370">
        <v>45608.443831018521</v>
      </c>
      <c r="B1433" s="365" t="s">
        <v>6328</v>
      </c>
      <c r="C1433" s="365" t="s">
        <v>2476</v>
      </c>
      <c r="D1433" s="365" t="s">
        <v>2477</v>
      </c>
      <c r="E1433" s="365" t="s">
        <v>2478</v>
      </c>
      <c r="F1433" s="365" t="s">
        <v>6329</v>
      </c>
      <c r="G1433" s="370">
        <v>45595</v>
      </c>
      <c r="H1433" s="369">
        <v>15999</v>
      </c>
      <c r="I1433" s="365" t="s">
        <v>6330</v>
      </c>
      <c r="J1433" s="365" t="s">
        <v>1228</v>
      </c>
      <c r="K1433" s="365" t="s">
        <v>1229</v>
      </c>
      <c r="L1433" s="370">
        <v>45608.452905092592</v>
      </c>
    </row>
    <row r="1434" spans="1:12" s="365" customFormat="1">
      <c r="A1434" s="370">
        <v>45608.460833333331</v>
      </c>
      <c r="B1434" s="365" t="s">
        <v>6331</v>
      </c>
      <c r="C1434" s="365" t="s">
        <v>3681</v>
      </c>
      <c r="D1434" s="365" t="s">
        <v>3682</v>
      </c>
      <c r="E1434" s="365" t="s">
        <v>3683</v>
      </c>
      <c r="F1434" s="365" t="s">
        <v>6332</v>
      </c>
      <c r="G1434" s="370">
        <v>45621</v>
      </c>
      <c r="H1434" s="369">
        <v>15000</v>
      </c>
      <c r="I1434" s="365" t="s">
        <v>6333</v>
      </c>
      <c r="J1434" s="365" t="s">
        <v>1228</v>
      </c>
      <c r="K1434" s="365" t="s">
        <v>1229</v>
      </c>
      <c r="L1434" s="370">
        <v>45608.660497685189</v>
      </c>
    </row>
    <row r="1435" spans="1:12" s="365" customFormat="1">
      <c r="A1435" s="370">
        <v>45608.470879629633</v>
      </c>
      <c r="B1435" s="365" t="s">
        <v>6334</v>
      </c>
      <c r="C1435" s="365" t="s">
        <v>3974</v>
      </c>
      <c r="D1435" s="365" t="s">
        <v>4024</v>
      </c>
      <c r="E1435" s="365" t="s">
        <v>4025</v>
      </c>
      <c r="F1435" s="365" t="s">
        <v>6335</v>
      </c>
      <c r="G1435" s="370">
        <v>45621</v>
      </c>
      <c r="H1435" s="369">
        <v>10000</v>
      </c>
      <c r="I1435" s="365" t="s">
        <v>6336</v>
      </c>
      <c r="J1435" s="365" t="s">
        <v>1228</v>
      </c>
      <c r="K1435" s="365" t="s">
        <v>1229</v>
      </c>
      <c r="L1435" s="370">
        <v>45608.67496527778</v>
      </c>
    </row>
    <row r="1436" spans="1:12" s="365" customFormat="1">
      <c r="A1436" s="370">
        <v>45608.475543981483</v>
      </c>
      <c r="B1436" s="365" t="s">
        <v>6337</v>
      </c>
      <c r="C1436" s="365" t="s">
        <v>3974</v>
      </c>
      <c r="D1436" s="365" t="s">
        <v>4029</v>
      </c>
      <c r="E1436" s="365" t="s">
        <v>4030</v>
      </c>
      <c r="F1436" s="365" t="s">
        <v>6338</v>
      </c>
      <c r="G1436" s="370">
        <v>45621</v>
      </c>
      <c r="H1436" s="369">
        <v>8000</v>
      </c>
      <c r="I1436" s="365" t="s">
        <v>6339</v>
      </c>
      <c r="J1436" s="365" t="s">
        <v>1228</v>
      </c>
      <c r="K1436" s="365" t="s">
        <v>1229</v>
      </c>
      <c r="L1436" s="370">
        <v>45608.660532407404</v>
      </c>
    </row>
    <row r="1437" spans="1:12" s="365" customFormat="1">
      <c r="A1437" s="370">
        <v>45608.610972222225</v>
      </c>
      <c r="B1437" s="365" t="s">
        <v>6340</v>
      </c>
      <c r="C1437" s="365" t="s">
        <v>1979</v>
      </c>
      <c r="D1437" s="365" t="s">
        <v>1980</v>
      </c>
      <c r="E1437" s="365" t="s">
        <v>1981</v>
      </c>
      <c r="F1437" s="365" t="s">
        <v>6341</v>
      </c>
      <c r="G1437" s="370">
        <v>45621</v>
      </c>
      <c r="H1437" s="369">
        <v>12000</v>
      </c>
      <c r="I1437" s="365" t="s">
        <v>6342</v>
      </c>
      <c r="J1437" s="365" t="s">
        <v>1228</v>
      </c>
      <c r="K1437" s="365" t="s">
        <v>1229</v>
      </c>
      <c r="L1437" s="370">
        <v>45608.660543981481</v>
      </c>
    </row>
    <row r="1438" spans="1:12" s="365" customFormat="1">
      <c r="A1438" s="370">
        <v>45608.673807870371</v>
      </c>
      <c r="B1438" s="365" t="s">
        <v>6343</v>
      </c>
      <c r="C1438" s="365" t="s">
        <v>4244</v>
      </c>
      <c r="D1438" s="365" t="s">
        <v>4245</v>
      </c>
      <c r="E1438" s="365" t="s">
        <v>4246</v>
      </c>
      <c r="F1438" s="365" t="s">
        <v>6344</v>
      </c>
      <c r="G1438" s="370">
        <v>45621</v>
      </c>
      <c r="H1438" s="369">
        <v>20000</v>
      </c>
      <c r="I1438" s="365" t="s">
        <v>6345</v>
      </c>
      <c r="J1438" s="365" t="s">
        <v>1228</v>
      </c>
      <c r="K1438" s="365" t="s">
        <v>1229</v>
      </c>
      <c r="L1438" s="370">
        <v>45608.67869212963</v>
      </c>
    </row>
    <row r="1439" spans="1:12" s="365" customFormat="1">
      <c r="A1439" s="370">
        <v>45608.729375000003</v>
      </c>
      <c r="B1439" s="365" t="s">
        <v>6346</v>
      </c>
      <c r="C1439" s="365" t="s">
        <v>3705</v>
      </c>
      <c r="D1439" s="365" t="s">
        <v>3706</v>
      </c>
      <c r="E1439" s="365" t="s">
        <v>3707</v>
      </c>
      <c r="F1439" s="365" t="s">
        <v>6347</v>
      </c>
      <c r="G1439" s="370">
        <v>45621</v>
      </c>
      <c r="H1439" s="369">
        <v>18000</v>
      </c>
      <c r="I1439" s="365" t="s">
        <v>6348</v>
      </c>
      <c r="J1439" s="365" t="s">
        <v>1228</v>
      </c>
      <c r="K1439" s="365" t="s">
        <v>1229</v>
      </c>
      <c r="L1439" s="370">
        <v>45608.730856481481</v>
      </c>
    </row>
    <row r="1440" spans="1:12" s="365" customFormat="1">
      <c r="A1440" s="370">
        <v>45608.874293981484</v>
      </c>
      <c r="B1440" s="365" t="s">
        <v>6349</v>
      </c>
      <c r="C1440" s="365" t="s">
        <v>1314</v>
      </c>
      <c r="D1440" s="365" t="s">
        <v>1536</v>
      </c>
      <c r="E1440" s="365" t="s">
        <v>1537</v>
      </c>
      <c r="F1440" s="365" t="s">
        <v>6350</v>
      </c>
      <c r="G1440" s="370">
        <v>45595</v>
      </c>
      <c r="H1440" s="369">
        <v>15999</v>
      </c>
      <c r="I1440" s="365" t="s">
        <v>6351</v>
      </c>
      <c r="J1440" s="365" t="s">
        <v>1228</v>
      </c>
      <c r="K1440" s="365" t="s">
        <v>1229</v>
      </c>
      <c r="L1440" s="370">
        <v>45608.877002314817</v>
      </c>
    </row>
    <row r="1441" spans="1:12" s="365" customFormat="1">
      <c r="A1441" s="370">
        <v>45609.497175925928</v>
      </c>
      <c r="B1441" s="365" t="s">
        <v>6352</v>
      </c>
      <c r="C1441" s="365" t="s">
        <v>3732</v>
      </c>
      <c r="D1441" s="365" t="s">
        <v>3733</v>
      </c>
      <c r="E1441" s="365" t="s">
        <v>3734</v>
      </c>
      <c r="F1441" s="365" t="s">
        <v>6353</v>
      </c>
      <c r="G1441" s="370">
        <v>45595</v>
      </c>
      <c r="H1441" s="369">
        <v>50000</v>
      </c>
      <c r="I1441" s="365" t="s">
        <v>6354</v>
      </c>
      <c r="J1441" s="365" t="s">
        <v>1228</v>
      </c>
      <c r="K1441" s="365" t="s">
        <v>1229</v>
      </c>
      <c r="L1441" s="370">
        <v>45609.500393518516</v>
      </c>
    </row>
    <row r="1442" spans="1:12" s="365" customFormat="1">
      <c r="A1442" s="370">
        <v>45609.650729166664</v>
      </c>
      <c r="B1442" s="365" t="s">
        <v>6355</v>
      </c>
      <c r="C1442" s="365" t="s">
        <v>3048</v>
      </c>
      <c r="D1442" s="365" t="s">
        <v>3049</v>
      </c>
      <c r="E1442" s="365" t="s">
        <v>3050</v>
      </c>
      <c r="F1442" s="365" t="s">
        <v>6356</v>
      </c>
      <c r="G1442" s="370">
        <v>45595</v>
      </c>
      <c r="H1442" s="369">
        <v>98400</v>
      </c>
      <c r="I1442" s="365" t="s">
        <v>6357</v>
      </c>
      <c r="J1442" s="365" t="s">
        <v>1228</v>
      </c>
      <c r="K1442" s="365" t="s">
        <v>1229</v>
      </c>
      <c r="L1442" s="370">
        <v>45609.653124999997</v>
      </c>
    </row>
    <row r="1443" spans="1:12" s="365" customFormat="1">
      <c r="A1443" s="370">
        <v>45609.710405092592</v>
      </c>
      <c r="B1443" s="365" t="s">
        <v>6358</v>
      </c>
      <c r="C1443" s="365" t="s">
        <v>6359</v>
      </c>
      <c r="D1443" s="365" t="s">
        <v>1425</v>
      </c>
      <c r="E1443" s="365" t="s">
        <v>1426</v>
      </c>
      <c r="F1443" s="365" t="s">
        <v>6360</v>
      </c>
      <c r="G1443" s="370">
        <v>45595</v>
      </c>
      <c r="H1443" s="369">
        <v>168000</v>
      </c>
      <c r="I1443" s="365" t="s">
        <v>6361</v>
      </c>
      <c r="J1443" s="365" t="s">
        <v>1228</v>
      </c>
      <c r="K1443" s="365" t="s">
        <v>1229</v>
      </c>
      <c r="L1443" s="370">
        <v>45609.712210648147</v>
      </c>
    </row>
    <row r="1444" spans="1:12" s="365" customFormat="1">
      <c r="A1444" s="370">
        <v>45609.717974537038</v>
      </c>
      <c r="B1444" s="365" t="s">
        <v>6362</v>
      </c>
      <c r="C1444" s="365" t="s">
        <v>3373</v>
      </c>
      <c r="D1444" s="365" t="s">
        <v>3374</v>
      </c>
      <c r="E1444" s="365" t="s">
        <v>3375</v>
      </c>
      <c r="F1444" s="365" t="s">
        <v>6363</v>
      </c>
      <c r="G1444" s="370">
        <v>45621</v>
      </c>
      <c r="H1444" s="369">
        <v>27000</v>
      </c>
      <c r="I1444" s="365" t="s">
        <v>6364</v>
      </c>
      <c r="J1444" s="365" t="s">
        <v>1228</v>
      </c>
      <c r="K1444" s="365" t="s">
        <v>1229</v>
      </c>
      <c r="L1444" s="370">
        <v>45609.718993055554</v>
      </c>
    </row>
    <row r="1445" spans="1:12" s="365" customFormat="1">
      <c r="A1445" s="370">
        <v>45609.719039351854</v>
      </c>
      <c r="B1445" s="365" t="s">
        <v>6365</v>
      </c>
      <c r="C1445" s="365" t="s">
        <v>6366</v>
      </c>
      <c r="D1445" s="365" t="s">
        <v>2208</v>
      </c>
      <c r="E1445" s="365" t="s">
        <v>2209</v>
      </c>
      <c r="F1445" s="365" t="s">
        <v>6367</v>
      </c>
      <c r="G1445" s="370">
        <v>45595</v>
      </c>
      <c r="H1445" s="369">
        <v>40000</v>
      </c>
      <c r="I1445" s="365" t="s">
        <v>6368</v>
      </c>
      <c r="J1445" s="365" t="s">
        <v>1228</v>
      </c>
      <c r="K1445" s="365" t="s">
        <v>1229</v>
      </c>
      <c r="L1445" s="370">
        <v>45609.722546296296</v>
      </c>
    </row>
    <row r="1446" spans="1:12" s="365" customFormat="1">
      <c r="A1446" s="370">
        <v>45609.76189814815</v>
      </c>
      <c r="B1446" s="365" t="s">
        <v>6369</v>
      </c>
      <c r="C1446" s="365" t="s">
        <v>4429</v>
      </c>
      <c r="D1446" s="365" t="s">
        <v>4430</v>
      </c>
      <c r="E1446" s="365" t="s">
        <v>4431</v>
      </c>
      <c r="F1446" s="365" t="s">
        <v>6370</v>
      </c>
      <c r="G1446" s="370">
        <v>45498</v>
      </c>
      <c r="H1446" s="369">
        <v>9000</v>
      </c>
      <c r="I1446" s="365" t="s">
        <v>6371</v>
      </c>
      <c r="J1446" s="365" t="s">
        <v>1228</v>
      </c>
      <c r="K1446" s="365" t="s">
        <v>1229</v>
      </c>
      <c r="L1446" s="370">
        <v>45609.764050925929</v>
      </c>
    </row>
    <row r="1447" spans="1:12" s="365" customFormat="1">
      <c r="A1447" s="370">
        <v>45609.840578703705</v>
      </c>
      <c r="B1447" s="365" t="s">
        <v>6372</v>
      </c>
      <c r="C1447" s="365" t="s">
        <v>3434</v>
      </c>
      <c r="D1447" s="365" t="s">
        <v>3435</v>
      </c>
      <c r="E1447" s="365" t="s">
        <v>3436</v>
      </c>
      <c r="F1447" s="365" t="s">
        <v>6373</v>
      </c>
      <c r="G1447" s="370">
        <v>45621</v>
      </c>
      <c r="H1447" s="369">
        <v>77000</v>
      </c>
      <c r="I1447" s="365" t="s">
        <v>6374</v>
      </c>
      <c r="J1447" s="365" t="s">
        <v>1228</v>
      </c>
      <c r="K1447" s="365" t="s">
        <v>1229</v>
      </c>
      <c r="L1447" s="370">
        <v>45609.844270833331</v>
      </c>
    </row>
    <row r="1448" spans="1:12" s="365" customFormat="1">
      <c r="A1448" s="370">
        <v>45609.556504629632</v>
      </c>
      <c r="B1448" s="365" t="s">
        <v>6375</v>
      </c>
      <c r="C1448" s="365" t="s">
        <v>1296</v>
      </c>
      <c r="D1448" s="365" t="s">
        <v>1297</v>
      </c>
      <c r="E1448" s="365" t="s">
        <v>1298</v>
      </c>
      <c r="F1448" s="365" t="s">
        <v>6376</v>
      </c>
      <c r="G1448" s="370">
        <v>45621</v>
      </c>
      <c r="H1448" s="369">
        <v>23400</v>
      </c>
      <c r="I1448" s="365" t="s">
        <v>6377</v>
      </c>
      <c r="J1448" s="365" t="s">
        <v>1228</v>
      </c>
      <c r="K1448" s="365" t="s">
        <v>1229</v>
      </c>
      <c r="L1448" s="370">
        <v>45609.559490740743</v>
      </c>
    </row>
    <row r="1449" spans="1:12" s="365" customFormat="1">
      <c r="A1449" s="370">
        <v>45609.854791666665</v>
      </c>
      <c r="B1449" s="365" t="s">
        <v>6378</v>
      </c>
      <c r="C1449" s="365" t="s">
        <v>3166</v>
      </c>
      <c r="D1449" s="365" t="s">
        <v>3167</v>
      </c>
      <c r="E1449" s="365" t="s">
        <v>3168</v>
      </c>
      <c r="F1449" s="365" t="s">
        <v>6379</v>
      </c>
      <c r="G1449" s="370">
        <v>45595</v>
      </c>
      <c r="H1449" s="369">
        <v>22830</v>
      </c>
      <c r="I1449" s="365" t="s">
        <v>6380</v>
      </c>
      <c r="J1449" s="365" t="s">
        <v>1228</v>
      </c>
      <c r="K1449" s="365" t="s">
        <v>1229</v>
      </c>
      <c r="L1449" s="370">
        <v>45609.857974537037</v>
      </c>
    </row>
    <row r="1450" spans="1:12" s="365" customFormat="1">
      <c r="A1450" s="370">
        <v>45609.924780092595</v>
      </c>
      <c r="B1450" s="365" t="s">
        <v>6381</v>
      </c>
      <c r="C1450" s="365" t="s">
        <v>1404</v>
      </c>
      <c r="D1450" s="365" t="s">
        <v>1405</v>
      </c>
      <c r="E1450" s="365" t="s">
        <v>1406</v>
      </c>
      <c r="F1450" s="365" t="s">
        <v>6382</v>
      </c>
      <c r="G1450" s="370">
        <v>45621</v>
      </c>
      <c r="H1450" s="369">
        <v>15999</v>
      </c>
      <c r="I1450" s="365" t="s">
        <v>6383</v>
      </c>
      <c r="J1450" s="365" t="s">
        <v>1228</v>
      </c>
      <c r="K1450" s="365" t="s">
        <v>1229</v>
      </c>
      <c r="L1450" s="370">
        <v>45609.927546296298</v>
      </c>
    </row>
    <row r="1451" spans="1:12" s="365" customFormat="1">
      <c r="A1451" s="370">
        <v>45609.345659722225</v>
      </c>
      <c r="B1451" s="365" t="s">
        <v>6384</v>
      </c>
      <c r="C1451" s="365" t="s">
        <v>3482</v>
      </c>
      <c r="D1451" s="365" t="s">
        <v>3483</v>
      </c>
      <c r="E1451" s="365" t="s">
        <v>3484</v>
      </c>
      <c r="F1451" s="365" t="s">
        <v>6385</v>
      </c>
      <c r="G1451" s="370">
        <v>45595</v>
      </c>
      <c r="H1451" s="369">
        <v>18000</v>
      </c>
      <c r="I1451" s="365" t="s">
        <v>6386</v>
      </c>
      <c r="J1451" s="365" t="s">
        <v>1228</v>
      </c>
      <c r="K1451" s="365" t="s">
        <v>1229</v>
      </c>
      <c r="L1451" s="370">
        <v>45609.347673611112</v>
      </c>
    </row>
    <row r="1452" spans="1:12" s="365" customFormat="1">
      <c r="A1452" s="370">
        <v>45609.346134259256</v>
      </c>
      <c r="B1452" s="365" t="s">
        <v>6387</v>
      </c>
      <c r="C1452" s="365" t="s">
        <v>3127</v>
      </c>
      <c r="D1452" s="365" t="s">
        <v>3128</v>
      </c>
      <c r="E1452" s="365" t="s">
        <v>3129</v>
      </c>
      <c r="F1452" s="365" t="s">
        <v>6388</v>
      </c>
      <c r="G1452" s="370">
        <v>45595</v>
      </c>
      <c r="H1452" s="369">
        <v>21000</v>
      </c>
      <c r="I1452" s="365" t="s">
        <v>6389</v>
      </c>
      <c r="J1452" s="365" t="s">
        <v>1228</v>
      </c>
      <c r="K1452" s="365" t="s">
        <v>1229</v>
      </c>
      <c r="L1452" s="370">
        <v>45609.347858796296</v>
      </c>
    </row>
    <row r="1453" spans="1:12" s="365" customFormat="1">
      <c r="A1453" s="370">
        <v>45609.562118055554</v>
      </c>
      <c r="B1453" s="365" t="s">
        <v>6390</v>
      </c>
      <c r="C1453" s="365" t="s">
        <v>3717</v>
      </c>
      <c r="D1453" s="365" t="s">
        <v>3718</v>
      </c>
      <c r="E1453" s="365" t="s">
        <v>3719</v>
      </c>
      <c r="F1453" s="365" t="s">
        <v>6391</v>
      </c>
      <c r="G1453" s="370">
        <v>45595</v>
      </c>
      <c r="H1453" s="369">
        <v>18000</v>
      </c>
      <c r="I1453" s="365" t="s">
        <v>6392</v>
      </c>
      <c r="J1453" s="365" t="s">
        <v>1228</v>
      </c>
      <c r="K1453" s="365" t="s">
        <v>1229</v>
      </c>
      <c r="L1453" s="370">
        <v>45609.562881944446</v>
      </c>
    </row>
    <row r="1454" spans="1:12" s="365" customFormat="1">
      <c r="A1454" s="370">
        <v>45609.762928240743</v>
      </c>
      <c r="B1454" s="365" t="s">
        <v>6393</v>
      </c>
      <c r="C1454" s="365" t="s">
        <v>4429</v>
      </c>
      <c r="D1454" s="365" t="s">
        <v>4430</v>
      </c>
      <c r="E1454" s="365" t="s">
        <v>4431</v>
      </c>
      <c r="F1454" s="365" t="s">
        <v>6394</v>
      </c>
      <c r="G1454" s="370">
        <v>45621</v>
      </c>
      <c r="H1454" s="369">
        <v>9000</v>
      </c>
      <c r="I1454" s="365" t="s">
        <v>6395</v>
      </c>
      <c r="J1454" s="365" t="s">
        <v>1228</v>
      </c>
      <c r="K1454" s="365" t="s">
        <v>1229</v>
      </c>
      <c r="L1454" s="370">
        <v>45609.764074074075</v>
      </c>
    </row>
    <row r="1455" spans="1:12" s="365" customFormat="1">
      <c r="A1455" s="370">
        <v>45609.795439814814</v>
      </c>
      <c r="B1455" s="365" t="s">
        <v>6396</v>
      </c>
      <c r="C1455" s="365" t="s">
        <v>6397</v>
      </c>
      <c r="D1455" s="365" t="s">
        <v>6398</v>
      </c>
      <c r="E1455" s="365" t="s">
        <v>6399</v>
      </c>
      <c r="F1455" s="365" t="s">
        <v>6400</v>
      </c>
      <c r="G1455" s="370">
        <v>45595</v>
      </c>
      <c r="H1455" s="369">
        <v>31999</v>
      </c>
      <c r="I1455" s="365" t="s">
        <v>6401</v>
      </c>
      <c r="J1455" s="365" t="s">
        <v>1228</v>
      </c>
      <c r="K1455" s="365" t="s">
        <v>1229</v>
      </c>
      <c r="L1455" s="370">
        <v>45609.799074074072</v>
      </c>
    </row>
    <row r="1456" spans="1:12" s="365" customFormat="1">
      <c r="A1456" s="370">
        <v>45609.839050925926</v>
      </c>
      <c r="B1456" s="365" t="s">
        <v>6402</v>
      </c>
      <c r="C1456" s="365" t="s">
        <v>3237</v>
      </c>
      <c r="D1456" s="365" t="s">
        <v>3238</v>
      </c>
      <c r="E1456" s="365" t="s">
        <v>3239</v>
      </c>
      <c r="F1456" s="365" t="s">
        <v>6403</v>
      </c>
      <c r="G1456" s="370">
        <v>45621</v>
      </c>
      <c r="H1456" s="369">
        <v>11500</v>
      </c>
      <c r="I1456" s="365" t="s">
        <v>6404</v>
      </c>
      <c r="J1456" s="365" t="s">
        <v>1228</v>
      </c>
      <c r="K1456" s="365" t="s">
        <v>1229</v>
      </c>
      <c r="L1456" s="370">
        <v>45609.84070601852</v>
      </c>
    </row>
    <row r="1457" spans="1:12" s="365" customFormat="1">
      <c r="A1457" s="370">
        <v>45609.953449074077</v>
      </c>
      <c r="B1457" s="365" t="s">
        <v>6405</v>
      </c>
      <c r="C1457" s="365" t="s">
        <v>1288</v>
      </c>
      <c r="D1457" s="365" t="s">
        <v>1289</v>
      </c>
      <c r="E1457" s="365" t="s">
        <v>1290</v>
      </c>
      <c r="F1457" s="365" t="s">
        <v>6406</v>
      </c>
      <c r="G1457" s="370">
        <v>45621</v>
      </c>
      <c r="H1457" s="369">
        <v>237000</v>
      </c>
      <c r="I1457" s="365" t="s">
        <v>6407</v>
      </c>
      <c r="J1457" s="365" t="s">
        <v>1228</v>
      </c>
      <c r="K1457" s="365" t="s">
        <v>1229</v>
      </c>
      <c r="L1457" s="370">
        <v>45609.955289351848</v>
      </c>
    </row>
    <row r="1458" spans="1:12" s="365" customFormat="1">
      <c r="A1458" s="370">
        <v>45610.285057870373</v>
      </c>
      <c r="B1458" s="365" t="s">
        <v>6408</v>
      </c>
      <c r="C1458" s="365" t="s">
        <v>6409</v>
      </c>
      <c r="D1458" s="365" t="s">
        <v>6410</v>
      </c>
      <c r="E1458" s="365" t="s">
        <v>6411</v>
      </c>
      <c r="F1458" s="365" t="s">
        <v>6412</v>
      </c>
      <c r="G1458" s="370">
        <v>45595</v>
      </c>
      <c r="H1458" s="369">
        <v>34000</v>
      </c>
      <c r="I1458" s="365" t="s">
        <v>6413</v>
      </c>
      <c r="J1458" s="365" t="s">
        <v>1228</v>
      </c>
      <c r="K1458" s="365" t="s">
        <v>1229</v>
      </c>
      <c r="L1458" s="370">
        <v>45610.288587962961</v>
      </c>
    </row>
    <row r="1459" spans="1:12" s="365" customFormat="1">
      <c r="A1459" s="370">
        <v>45610.45412037037</v>
      </c>
      <c r="B1459" s="365" t="s">
        <v>6414</v>
      </c>
      <c r="C1459" s="365" t="s">
        <v>2730</v>
      </c>
      <c r="D1459" s="365" t="s">
        <v>2736</v>
      </c>
      <c r="E1459" s="365" t="s">
        <v>2737</v>
      </c>
      <c r="F1459" s="365" t="s">
        <v>6415</v>
      </c>
      <c r="G1459" s="370">
        <v>45595</v>
      </c>
      <c r="H1459" s="369">
        <v>31999</v>
      </c>
      <c r="I1459" s="365" t="s">
        <v>6416</v>
      </c>
      <c r="J1459" s="365" t="s">
        <v>1228</v>
      </c>
      <c r="K1459" s="365" t="s">
        <v>1229</v>
      </c>
      <c r="L1459" s="370">
        <v>45610.455347222225</v>
      </c>
    </row>
    <row r="1460" spans="1:12" s="365" customFormat="1">
      <c r="A1460" s="370">
        <v>45610.529340277775</v>
      </c>
      <c r="B1460" s="365" t="s">
        <v>6417</v>
      </c>
      <c r="C1460" s="365" t="s">
        <v>1631</v>
      </c>
      <c r="D1460" s="365" t="s">
        <v>1632</v>
      </c>
      <c r="E1460" s="365" t="s">
        <v>1633</v>
      </c>
      <c r="F1460" s="365" t="s">
        <v>6418</v>
      </c>
      <c r="G1460" s="370">
        <v>45595</v>
      </c>
      <c r="H1460" s="369">
        <v>34000</v>
      </c>
      <c r="I1460" s="365" t="s">
        <v>6419</v>
      </c>
      <c r="J1460" s="365" t="s">
        <v>1228</v>
      </c>
      <c r="K1460" s="365" t="s">
        <v>1229</v>
      </c>
      <c r="L1460" s="370">
        <v>45610.531574074077</v>
      </c>
    </row>
    <row r="1461" spans="1:12" s="365" customFormat="1">
      <c r="A1461" s="370">
        <v>45610.54310185185</v>
      </c>
      <c r="B1461" s="365" t="s">
        <v>6420</v>
      </c>
      <c r="C1461" s="365" t="s">
        <v>2304</v>
      </c>
      <c r="D1461" s="365" t="s">
        <v>2305</v>
      </c>
      <c r="E1461" s="365" t="s">
        <v>2306</v>
      </c>
      <c r="F1461" s="365" t="s">
        <v>6421</v>
      </c>
      <c r="G1461" s="370">
        <v>45621</v>
      </c>
      <c r="H1461" s="369">
        <v>15999</v>
      </c>
      <c r="I1461" s="365" t="s">
        <v>6422</v>
      </c>
      <c r="J1461" s="365" t="s">
        <v>1228</v>
      </c>
      <c r="K1461" s="365" t="s">
        <v>1229</v>
      </c>
      <c r="L1461" s="370">
        <v>45610.545474537037</v>
      </c>
    </row>
    <row r="1462" spans="1:12" s="365" customFormat="1">
      <c r="A1462" s="370">
        <v>45610.610011574077</v>
      </c>
      <c r="B1462" s="365" t="s">
        <v>6423</v>
      </c>
      <c r="C1462" s="365" t="s">
        <v>3416</v>
      </c>
      <c r="D1462" s="365" t="s">
        <v>3417</v>
      </c>
      <c r="E1462" s="365" t="s">
        <v>3418</v>
      </c>
      <c r="F1462" s="365" t="s">
        <v>6424</v>
      </c>
      <c r="G1462" s="370">
        <v>45621</v>
      </c>
      <c r="H1462" s="369">
        <v>30000</v>
      </c>
      <c r="I1462" s="365" t="s">
        <v>6425</v>
      </c>
      <c r="J1462" s="365" t="s">
        <v>1228</v>
      </c>
      <c r="K1462" s="365" t="s">
        <v>1229</v>
      </c>
      <c r="L1462" s="370">
        <v>45610.611655092594</v>
      </c>
    </row>
    <row r="1463" spans="1:12" s="365" customFormat="1">
      <c r="A1463" s="370">
        <v>45610.628159722219</v>
      </c>
      <c r="B1463" s="365" t="s">
        <v>6426</v>
      </c>
      <c r="C1463" s="365" t="s">
        <v>2237</v>
      </c>
      <c r="D1463" s="365" t="s">
        <v>3598</v>
      </c>
      <c r="E1463" s="365" t="s">
        <v>3599</v>
      </c>
      <c r="F1463" s="365" t="s">
        <v>6427</v>
      </c>
      <c r="G1463" s="370">
        <v>45595</v>
      </c>
      <c r="H1463" s="369">
        <v>40999</v>
      </c>
      <c r="I1463" s="365" t="s">
        <v>6428</v>
      </c>
      <c r="J1463" s="365" t="s">
        <v>1228</v>
      </c>
      <c r="K1463" s="365" t="s">
        <v>1229</v>
      </c>
      <c r="L1463" s="370">
        <v>45610.628750000003</v>
      </c>
    </row>
    <row r="1464" spans="1:12" s="365" customFormat="1">
      <c r="A1464" s="370">
        <v>45610.829155092593</v>
      </c>
      <c r="B1464" s="365" t="s">
        <v>6429</v>
      </c>
      <c r="C1464" s="365" t="s">
        <v>3738</v>
      </c>
      <c r="D1464" s="365" t="s">
        <v>3739</v>
      </c>
      <c r="E1464" s="365" t="s">
        <v>3740</v>
      </c>
      <c r="F1464" s="365" t="s">
        <v>6430</v>
      </c>
      <c r="G1464" s="370">
        <v>45621</v>
      </c>
      <c r="H1464" s="369">
        <v>15999</v>
      </c>
      <c r="I1464" s="365" t="s">
        <v>6431</v>
      </c>
      <c r="J1464" s="365" t="s">
        <v>1228</v>
      </c>
      <c r="K1464" s="365" t="s">
        <v>1229</v>
      </c>
      <c r="L1464" s="370">
        <v>45610.830254629633</v>
      </c>
    </row>
    <row r="1465" spans="1:12" s="365" customFormat="1">
      <c r="A1465" s="370">
        <v>45610.282858796294</v>
      </c>
      <c r="B1465" s="365" t="s">
        <v>6432</v>
      </c>
      <c r="C1465" s="365" t="s">
        <v>6409</v>
      </c>
      <c r="D1465" s="365" t="s">
        <v>6410</v>
      </c>
      <c r="E1465" s="365" t="s">
        <v>6411</v>
      </c>
      <c r="F1465" s="365" t="s">
        <v>6433</v>
      </c>
      <c r="G1465" s="370">
        <v>45621</v>
      </c>
      <c r="H1465" s="369">
        <v>34000</v>
      </c>
      <c r="I1465" s="365" t="s">
        <v>6434</v>
      </c>
      <c r="J1465" s="365" t="s">
        <v>1228</v>
      </c>
      <c r="K1465" s="365" t="s">
        <v>1229</v>
      </c>
      <c r="L1465" s="370">
        <v>45610.285034722219</v>
      </c>
    </row>
    <row r="1466" spans="1:12" s="365" customFormat="1">
      <c r="A1466" s="370">
        <v>45610.615312499998</v>
      </c>
      <c r="B1466" s="365" t="s">
        <v>6435</v>
      </c>
      <c r="C1466" s="365" t="s">
        <v>3115</v>
      </c>
      <c r="D1466" s="365" t="s">
        <v>3116</v>
      </c>
      <c r="E1466" s="365" t="s">
        <v>3117</v>
      </c>
      <c r="F1466" s="365" t="s">
        <v>6436</v>
      </c>
      <c r="G1466" s="370">
        <v>45595</v>
      </c>
      <c r="H1466" s="369">
        <v>15000</v>
      </c>
      <c r="I1466" s="365" t="s">
        <v>6437</v>
      </c>
      <c r="J1466" s="365" t="s">
        <v>1228</v>
      </c>
      <c r="K1466" s="365" t="s">
        <v>1229</v>
      </c>
      <c r="L1466" s="370">
        <v>45610.618425925924</v>
      </c>
    </row>
    <row r="1467" spans="1:12" s="365" customFormat="1">
      <c r="A1467" s="370">
        <v>45610.438240740739</v>
      </c>
      <c r="B1467" s="365" t="s">
        <v>6438</v>
      </c>
      <c r="C1467" s="365" t="s">
        <v>1333</v>
      </c>
      <c r="D1467" s="365" t="s">
        <v>1334</v>
      </c>
      <c r="E1467" s="365" t="s">
        <v>1335</v>
      </c>
      <c r="F1467" s="365" t="s">
        <v>6439</v>
      </c>
      <c r="G1467" s="370">
        <v>45621</v>
      </c>
      <c r="H1467" s="369">
        <v>23000</v>
      </c>
      <c r="I1467" s="365" t="s">
        <v>6440</v>
      </c>
      <c r="J1467" s="365" t="s">
        <v>1228</v>
      </c>
      <c r="K1467" s="365" t="s">
        <v>1229</v>
      </c>
      <c r="L1467" s="370">
        <v>45610.441458333335</v>
      </c>
    </row>
    <row r="1468" spans="1:12" s="365" customFormat="1">
      <c r="A1468" s="370">
        <v>45610.892187500001</v>
      </c>
      <c r="B1468" s="365" t="s">
        <v>6441</v>
      </c>
      <c r="C1468" s="365" t="s">
        <v>1801</v>
      </c>
      <c r="D1468" s="365" t="s">
        <v>1802</v>
      </c>
      <c r="E1468" s="365" t="s">
        <v>1803</v>
      </c>
      <c r="F1468" s="365" t="s">
        <v>6442</v>
      </c>
      <c r="G1468" s="370">
        <v>45621</v>
      </c>
      <c r="H1468" s="369">
        <v>19000</v>
      </c>
      <c r="I1468" s="365" t="s">
        <v>6443</v>
      </c>
      <c r="J1468" s="365" t="s">
        <v>1228</v>
      </c>
      <c r="K1468" s="365" t="s">
        <v>1229</v>
      </c>
      <c r="L1468" s="370">
        <v>45610.892870370371</v>
      </c>
    </row>
    <row r="1469" spans="1:12" s="365" customFormat="1">
      <c r="A1469" s="370">
        <v>45611.405023148145</v>
      </c>
      <c r="B1469" s="365" t="s">
        <v>6444</v>
      </c>
      <c r="C1469" s="365" t="s">
        <v>2327</v>
      </c>
      <c r="D1469" s="365" t="s">
        <v>2328</v>
      </c>
      <c r="E1469" s="365" t="s">
        <v>2329</v>
      </c>
      <c r="F1469" s="365" t="s">
        <v>6445</v>
      </c>
      <c r="G1469" s="370">
        <v>45595</v>
      </c>
      <c r="H1469" s="369">
        <v>39000</v>
      </c>
      <c r="I1469" s="365" t="s">
        <v>6446</v>
      </c>
      <c r="J1469" s="365" t="s">
        <v>1228</v>
      </c>
      <c r="K1469" s="365" t="s">
        <v>1229</v>
      </c>
      <c r="L1469" s="370">
        <v>45611.406354166669</v>
      </c>
    </row>
    <row r="1470" spans="1:12" s="365" customFormat="1">
      <c r="A1470" s="370">
        <v>45611.600023148145</v>
      </c>
      <c r="B1470" s="365" t="s">
        <v>6447</v>
      </c>
      <c r="C1470" s="365" t="s">
        <v>6448</v>
      </c>
      <c r="D1470" s="365" t="s">
        <v>6449</v>
      </c>
      <c r="E1470" s="365" t="s">
        <v>6450</v>
      </c>
      <c r="F1470" s="365" t="s">
        <v>6451</v>
      </c>
      <c r="G1470" s="370">
        <v>45498</v>
      </c>
      <c r="H1470" s="369">
        <v>25000</v>
      </c>
      <c r="I1470" s="365" t="s">
        <v>6452</v>
      </c>
      <c r="J1470" s="365" t="s">
        <v>1228</v>
      </c>
      <c r="K1470" s="365" t="s">
        <v>1229</v>
      </c>
      <c r="L1470" s="370">
        <v>45611.601215277777</v>
      </c>
    </row>
    <row r="1471" spans="1:12" s="365" customFormat="1">
      <c r="A1471" s="370">
        <v>45611.638831018521</v>
      </c>
      <c r="B1471" s="365" t="s">
        <v>6453</v>
      </c>
      <c r="C1471" s="365" t="s">
        <v>1569</v>
      </c>
      <c r="D1471" s="365" t="s">
        <v>1570</v>
      </c>
      <c r="E1471" s="365" t="s">
        <v>1571</v>
      </c>
      <c r="F1471" s="365" t="s">
        <v>6454</v>
      </c>
      <c r="G1471" s="370">
        <v>45595</v>
      </c>
      <c r="H1471" s="369">
        <v>135000</v>
      </c>
      <c r="I1471" s="365" t="s">
        <v>6455</v>
      </c>
      <c r="J1471" s="365" t="s">
        <v>1228</v>
      </c>
      <c r="K1471" s="365" t="s">
        <v>1229</v>
      </c>
      <c r="L1471" s="370">
        <v>45611.639317129629</v>
      </c>
    </row>
    <row r="1472" spans="1:12" s="365" customFormat="1">
      <c r="A1472" s="370">
        <v>45611.957592592589</v>
      </c>
      <c r="B1472" s="365" t="s">
        <v>6456</v>
      </c>
      <c r="C1472" s="365" t="s">
        <v>1313</v>
      </c>
      <c r="D1472" s="365" t="s">
        <v>6457</v>
      </c>
      <c r="E1472" s="365" t="s">
        <v>6458</v>
      </c>
      <c r="F1472" s="365" t="s">
        <v>6459</v>
      </c>
      <c r="G1472" s="370">
        <v>45595</v>
      </c>
      <c r="H1472" s="369">
        <v>20999</v>
      </c>
      <c r="I1472" s="365" t="s">
        <v>6460</v>
      </c>
      <c r="J1472" s="365" t="s">
        <v>1228</v>
      </c>
      <c r="K1472" s="365" t="s">
        <v>1229</v>
      </c>
      <c r="L1472" s="370">
        <v>45612.1253125</v>
      </c>
    </row>
    <row r="1473" spans="1:12" s="365" customFormat="1">
      <c r="A1473" s="370">
        <v>45611.305636574078</v>
      </c>
      <c r="B1473" s="365" t="s">
        <v>6461</v>
      </c>
      <c r="C1473" s="365" t="s">
        <v>1644</v>
      </c>
      <c r="D1473" s="365" t="s">
        <v>1645</v>
      </c>
      <c r="E1473" s="365" t="s">
        <v>1646</v>
      </c>
      <c r="F1473" s="365" t="s">
        <v>6462</v>
      </c>
      <c r="G1473" s="370">
        <v>45621</v>
      </c>
      <c r="H1473" s="369">
        <v>27000</v>
      </c>
      <c r="I1473" s="365" t="s">
        <v>6463</v>
      </c>
      <c r="J1473" s="365" t="s">
        <v>1228</v>
      </c>
      <c r="K1473" s="365" t="s">
        <v>1229</v>
      </c>
      <c r="L1473" s="370">
        <v>45611.306018518517</v>
      </c>
    </row>
    <row r="1474" spans="1:12" s="365" customFormat="1">
      <c r="A1474" s="370">
        <v>45611.380937499998</v>
      </c>
      <c r="B1474" s="365" t="s">
        <v>6464</v>
      </c>
      <c r="C1474" s="365" t="s">
        <v>4866</v>
      </c>
      <c r="D1474" s="365" t="s">
        <v>1634</v>
      </c>
      <c r="E1474" s="365" t="s">
        <v>1635</v>
      </c>
      <c r="F1474" s="365" t="s">
        <v>6465</v>
      </c>
      <c r="G1474" s="370">
        <v>45621</v>
      </c>
      <c r="H1474" s="369">
        <v>15999</v>
      </c>
      <c r="I1474" s="365" t="s">
        <v>6466</v>
      </c>
      <c r="J1474" s="365" t="s">
        <v>1228</v>
      </c>
      <c r="K1474" s="365" t="s">
        <v>1229</v>
      </c>
      <c r="L1474" s="370">
        <v>45611.38208333333</v>
      </c>
    </row>
    <row r="1475" spans="1:12" s="365" customFormat="1">
      <c r="A1475" s="370">
        <v>45611.751064814816</v>
      </c>
      <c r="B1475" s="365" t="s">
        <v>6467</v>
      </c>
      <c r="C1475" s="365" t="s">
        <v>3261</v>
      </c>
      <c r="D1475" s="365" t="s">
        <v>3262</v>
      </c>
      <c r="E1475" s="365" t="s">
        <v>3263</v>
      </c>
      <c r="F1475" s="365" t="s">
        <v>6468</v>
      </c>
      <c r="G1475" s="370">
        <v>45621</v>
      </c>
      <c r="H1475" s="369">
        <v>34000</v>
      </c>
      <c r="I1475" s="365" t="s">
        <v>6469</v>
      </c>
      <c r="J1475" s="365" t="s">
        <v>1228</v>
      </c>
      <c r="K1475" s="365" t="s">
        <v>1229</v>
      </c>
      <c r="L1475" s="370">
        <v>45611.753969907404</v>
      </c>
    </row>
    <row r="1476" spans="1:12" s="365" customFormat="1">
      <c r="A1476" s="370">
        <v>45611.389803240738</v>
      </c>
      <c r="B1476" s="365" t="s">
        <v>6470</v>
      </c>
      <c r="C1476" s="365" t="s">
        <v>6471</v>
      </c>
      <c r="D1476" s="365" t="s">
        <v>6472</v>
      </c>
      <c r="E1476" s="365" t="s">
        <v>6473</v>
      </c>
      <c r="F1476" s="365" t="s">
        <v>6474</v>
      </c>
      <c r="G1476" s="370">
        <v>45621</v>
      </c>
      <c r="H1476" s="369">
        <v>21000</v>
      </c>
      <c r="I1476" s="365" t="s">
        <v>6475</v>
      </c>
      <c r="J1476" s="365" t="s">
        <v>1228</v>
      </c>
      <c r="K1476" s="365" t="s">
        <v>1229</v>
      </c>
      <c r="L1476" s="370">
        <v>45611.392627314817</v>
      </c>
    </row>
    <row r="1477" spans="1:12" s="365" customFormat="1">
      <c r="A1477" s="370">
        <v>45611.523726851854</v>
      </c>
      <c r="B1477" s="365" t="s">
        <v>6476</v>
      </c>
      <c r="C1477" s="365" t="s">
        <v>4566</v>
      </c>
      <c r="D1477" s="365" t="s">
        <v>4567</v>
      </c>
      <c r="E1477" s="365" t="s">
        <v>4568</v>
      </c>
      <c r="F1477" s="365" t="s">
        <v>6477</v>
      </c>
      <c r="G1477" s="370">
        <v>45621</v>
      </c>
      <c r="H1477" s="369">
        <v>22000</v>
      </c>
      <c r="I1477" s="365" t="s">
        <v>6478</v>
      </c>
      <c r="J1477" s="365" t="s">
        <v>1228</v>
      </c>
      <c r="K1477" s="365" t="s">
        <v>1229</v>
      </c>
      <c r="L1477" s="370">
        <v>45611.524699074071</v>
      </c>
    </row>
    <row r="1478" spans="1:12" s="365" customFormat="1">
      <c r="A1478" s="370">
        <v>45611.740358796298</v>
      </c>
      <c r="B1478" s="365" t="s">
        <v>6479</v>
      </c>
      <c r="C1478" s="365" t="s">
        <v>3367</v>
      </c>
      <c r="D1478" s="365" t="s">
        <v>3368</v>
      </c>
      <c r="E1478" s="365" t="s">
        <v>3369</v>
      </c>
      <c r="F1478" s="365" t="s">
        <v>6480</v>
      </c>
      <c r="G1478" s="370">
        <v>45621</v>
      </c>
      <c r="H1478" s="369">
        <v>18000</v>
      </c>
      <c r="I1478" s="365" t="s">
        <v>6481</v>
      </c>
      <c r="J1478" s="365" t="s">
        <v>1228</v>
      </c>
      <c r="K1478" s="365" t="s">
        <v>1229</v>
      </c>
      <c r="L1478" s="370">
        <v>45611.743287037039</v>
      </c>
    </row>
    <row r="1479" spans="1:12" s="365" customFormat="1">
      <c r="A1479" s="370">
        <v>45611.892974537041</v>
      </c>
      <c r="B1479" s="365" t="s">
        <v>6482</v>
      </c>
      <c r="C1479" s="365" t="s">
        <v>1831</v>
      </c>
      <c r="D1479" s="365" t="s">
        <v>1832</v>
      </c>
      <c r="E1479" s="365" t="s">
        <v>1833</v>
      </c>
      <c r="F1479" s="365" t="s">
        <v>6483</v>
      </c>
      <c r="G1479" s="370">
        <v>45595</v>
      </c>
      <c r="H1479" s="369">
        <v>48000</v>
      </c>
      <c r="I1479" s="365" t="s">
        <v>6484</v>
      </c>
      <c r="J1479" s="365" t="s">
        <v>1228</v>
      </c>
      <c r="K1479" s="365" t="s">
        <v>1229</v>
      </c>
      <c r="L1479" s="370">
        <v>45611.896307870367</v>
      </c>
    </row>
    <row r="1480" spans="1:12" s="365" customFormat="1">
      <c r="A1480" s="370">
        <v>45612.478321759256</v>
      </c>
      <c r="B1480" s="365" t="s">
        <v>6485</v>
      </c>
      <c r="C1480" s="365" t="s">
        <v>1990</v>
      </c>
      <c r="D1480" s="365" t="s">
        <v>1991</v>
      </c>
      <c r="E1480" s="365" t="s">
        <v>1992</v>
      </c>
      <c r="F1480" s="365" t="s">
        <v>6486</v>
      </c>
      <c r="G1480" s="370">
        <v>45621</v>
      </c>
      <c r="H1480" s="369">
        <v>41999</v>
      </c>
      <c r="I1480" s="365" t="s">
        <v>6487</v>
      </c>
      <c r="J1480" s="365" t="s">
        <v>1228</v>
      </c>
      <c r="K1480" s="365" t="s">
        <v>1229</v>
      </c>
      <c r="L1480" s="370">
        <v>45612.479479166665</v>
      </c>
    </row>
    <row r="1481" spans="1:12" s="365" customFormat="1">
      <c r="A1481" s="370">
        <v>45612.479745370372</v>
      </c>
      <c r="B1481" s="365" t="s">
        <v>6488</v>
      </c>
      <c r="C1481" s="365" t="s">
        <v>1990</v>
      </c>
      <c r="D1481" s="365" t="s">
        <v>6489</v>
      </c>
      <c r="E1481" s="365" t="s">
        <v>6490</v>
      </c>
      <c r="F1481" s="365" t="s">
        <v>6491</v>
      </c>
      <c r="G1481" s="370">
        <v>45595</v>
      </c>
      <c r="H1481" s="369">
        <v>71000</v>
      </c>
      <c r="I1481" s="365" t="s">
        <v>6492</v>
      </c>
      <c r="J1481" s="365" t="s">
        <v>1228</v>
      </c>
      <c r="K1481" s="365" t="s">
        <v>1229</v>
      </c>
      <c r="L1481" s="370">
        <v>45612.483043981483</v>
      </c>
    </row>
    <row r="1482" spans="1:12" s="365" customFormat="1">
      <c r="A1482" s="370">
        <v>45612.488344907404</v>
      </c>
      <c r="B1482" s="365" t="s">
        <v>6493</v>
      </c>
      <c r="C1482" s="365" t="s">
        <v>3213</v>
      </c>
      <c r="D1482" s="365" t="s">
        <v>3214</v>
      </c>
      <c r="E1482" s="365" t="s">
        <v>3215</v>
      </c>
      <c r="F1482" s="365" t="s">
        <v>6494</v>
      </c>
      <c r="G1482" s="370">
        <v>45621</v>
      </c>
      <c r="H1482" s="369">
        <v>24000</v>
      </c>
      <c r="I1482" s="365" t="s">
        <v>6495</v>
      </c>
      <c r="J1482" s="365" t="s">
        <v>1228</v>
      </c>
      <c r="K1482" s="365" t="s">
        <v>1229</v>
      </c>
      <c r="L1482" s="370">
        <v>45612.489803240744</v>
      </c>
    </row>
    <row r="1483" spans="1:12" s="365" customFormat="1">
      <c r="A1483" s="370">
        <v>45612.755219907405</v>
      </c>
      <c r="B1483" s="365" t="s">
        <v>6496</v>
      </c>
      <c r="C1483" s="365" t="s">
        <v>1766</v>
      </c>
      <c r="D1483" s="365" t="s">
        <v>1767</v>
      </c>
      <c r="E1483" s="365" t="s">
        <v>1768</v>
      </c>
      <c r="F1483" s="365" t="s">
        <v>6497</v>
      </c>
      <c r="G1483" s="370">
        <v>45595</v>
      </c>
      <c r="H1483" s="369">
        <v>23400</v>
      </c>
      <c r="I1483" s="365" t="s">
        <v>6498</v>
      </c>
      <c r="J1483" s="365" t="s">
        <v>1228</v>
      </c>
      <c r="K1483" s="365" t="s">
        <v>1229</v>
      </c>
      <c r="L1483" s="370">
        <v>45612.757430555554</v>
      </c>
    </row>
    <row r="1484" spans="1:12" s="365" customFormat="1">
      <c r="A1484" s="370">
        <v>45612.791921296295</v>
      </c>
      <c r="B1484" s="365" t="s">
        <v>6499</v>
      </c>
      <c r="C1484" s="365" t="s">
        <v>1313</v>
      </c>
      <c r="D1484" s="365" t="s">
        <v>6457</v>
      </c>
      <c r="E1484" s="365" t="s">
        <v>6458</v>
      </c>
      <c r="F1484" s="365" t="s">
        <v>6500</v>
      </c>
      <c r="G1484" s="370">
        <v>45621</v>
      </c>
      <c r="H1484" s="369">
        <v>20999</v>
      </c>
      <c r="I1484" s="365" t="s">
        <v>6501</v>
      </c>
      <c r="J1484" s="365" t="s">
        <v>1228</v>
      </c>
      <c r="K1484" s="365" t="s">
        <v>1229</v>
      </c>
      <c r="L1484" s="370">
        <v>45612.795497685183</v>
      </c>
    </row>
    <row r="1485" spans="1:12" s="365" customFormat="1">
      <c r="A1485" s="370">
        <v>45612.590798611112</v>
      </c>
      <c r="B1485" s="365" t="s">
        <v>6502</v>
      </c>
      <c r="C1485" s="365" t="s">
        <v>1317</v>
      </c>
      <c r="D1485" s="365" t="s">
        <v>3983</v>
      </c>
      <c r="E1485" s="365" t="s">
        <v>3984</v>
      </c>
      <c r="F1485" s="365" t="s">
        <v>6503</v>
      </c>
      <c r="G1485" s="370">
        <v>45595</v>
      </c>
      <c r="H1485" s="369">
        <v>15999</v>
      </c>
      <c r="I1485" s="365" t="s">
        <v>6504</v>
      </c>
      <c r="J1485" s="365" t="s">
        <v>1228</v>
      </c>
      <c r="K1485" s="365" t="s">
        <v>1229</v>
      </c>
      <c r="L1485" s="370">
        <v>45612.594097222223</v>
      </c>
    </row>
    <row r="1486" spans="1:12" s="365" customFormat="1">
      <c r="A1486" s="370">
        <v>45612.881863425922</v>
      </c>
      <c r="B1486" s="365" t="s">
        <v>6505</v>
      </c>
      <c r="C1486" s="365" t="s">
        <v>6506</v>
      </c>
      <c r="D1486" s="365" t="s">
        <v>3853</v>
      </c>
      <c r="E1486" s="365" t="s">
        <v>3854</v>
      </c>
      <c r="F1486" s="365" t="s">
        <v>6507</v>
      </c>
      <c r="G1486" s="370">
        <v>45621</v>
      </c>
      <c r="H1486" s="369">
        <v>48000</v>
      </c>
      <c r="I1486" s="365" t="s">
        <v>6508</v>
      </c>
      <c r="J1486" s="365" t="s">
        <v>1228</v>
      </c>
      <c r="K1486" s="365" t="s">
        <v>1229</v>
      </c>
      <c r="L1486" s="370">
        <v>45612.882314814815</v>
      </c>
    </row>
    <row r="1487" spans="1:12" s="365" customFormat="1">
      <c r="A1487" s="370">
        <v>45612.394016203703</v>
      </c>
      <c r="B1487" s="365" t="s">
        <v>6509</v>
      </c>
      <c r="C1487" s="365" t="s">
        <v>3843</v>
      </c>
      <c r="D1487" s="365" t="s">
        <v>3844</v>
      </c>
      <c r="E1487" s="365" t="s">
        <v>3845</v>
      </c>
      <c r="F1487" s="365" t="s">
        <v>6510</v>
      </c>
      <c r="G1487" s="370">
        <v>45595</v>
      </c>
      <c r="H1487" s="369">
        <v>48000</v>
      </c>
      <c r="I1487" s="365" t="s">
        <v>6511</v>
      </c>
      <c r="J1487" s="365" t="s">
        <v>1228</v>
      </c>
      <c r="K1487" s="365" t="s">
        <v>1229</v>
      </c>
      <c r="L1487" s="370">
        <v>45612.39603009259</v>
      </c>
    </row>
    <row r="1488" spans="1:12" s="365" customFormat="1">
      <c r="A1488" s="370">
        <v>45612.405370370368</v>
      </c>
      <c r="B1488" s="365" t="s">
        <v>6512</v>
      </c>
      <c r="C1488" s="365" t="s">
        <v>1385</v>
      </c>
      <c r="D1488" s="365" t="s">
        <v>3519</v>
      </c>
      <c r="E1488" s="365" t="s">
        <v>3520</v>
      </c>
      <c r="F1488" s="365" t="s">
        <v>6513</v>
      </c>
      <c r="G1488" s="370">
        <v>45621</v>
      </c>
      <c r="H1488" s="369">
        <v>95999</v>
      </c>
      <c r="I1488" s="365" t="s">
        <v>6514</v>
      </c>
      <c r="J1488" s="365" t="s">
        <v>1228</v>
      </c>
      <c r="K1488" s="365" t="s">
        <v>1229</v>
      </c>
      <c r="L1488" s="370">
        <v>45612.4065162037</v>
      </c>
    </row>
    <row r="1489" spans="1:12" s="365" customFormat="1">
      <c r="A1489" s="370">
        <v>45612.593865740739</v>
      </c>
      <c r="B1489" s="365" t="s">
        <v>6515</v>
      </c>
      <c r="C1489" s="365" t="s">
        <v>1317</v>
      </c>
      <c r="D1489" s="365" t="s">
        <v>1611</v>
      </c>
      <c r="E1489" s="365" t="s">
        <v>1612</v>
      </c>
      <c r="F1489" s="365" t="s">
        <v>6516</v>
      </c>
      <c r="G1489" s="370">
        <v>45595</v>
      </c>
      <c r="H1489" s="369">
        <v>20999</v>
      </c>
      <c r="I1489" s="365" t="s">
        <v>6517</v>
      </c>
      <c r="J1489" s="365" t="s">
        <v>1228</v>
      </c>
      <c r="K1489" s="365" t="s">
        <v>1229</v>
      </c>
      <c r="L1489" s="370">
        <v>45612.594282407408</v>
      </c>
    </row>
    <row r="1490" spans="1:12" s="365" customFormat="1">
      <c r="A1490" s="370">
        <v>45612.61996527778</v>
      </c>
      <c r="B1490" s="365" t="s">
        <v>6518</v>
      </c>
      <c r="C1490" s="365" t="s">
        <v>3560</v>
      </c>
      <c r="D1490" s="365" t="s">
        <v>1046</v>
      </c>
      <c r="E1490" s="365" t="s">
        <v>1047</v>
      </c>
      <c r="F1490" s="365" t="s">
        <v>6519</v>
      </c>
      <c r="G1490" s="370">
        <v>45621</v>
      </c>
      <c r="H1490" s="369">
        <v>23400</v>
      </c>
      <c r="I1490" s="365" t="s">
        <v>6520</v>
      </c>
      <c r="J1490" s="365" t="s">
        <v>1228</v>
      </c>
      <c r="K1490" s="365" t="s">
        <v>1229</v>
      </c>
      <c r="L1490" s="370">
        <v>45612.621840277781</v>
      </c>
    </row>
    <row r="1491" spans="1:12" s="365" customFormat="1">
      <c r="A1491" s="370">
        <v>45613.392129629632</v>
      </c>
      <c r="B1491" s="365" t="s">
        <v>6521</v>
      </c>
      <c r="C1491" s="365" t="s">
        <v>2225</v>
      </c>
      <c r="D1491" s="365" t="s">
        <v>2226</v>
      </c>
      <c r="E1491" s="365" t="s">
        <v>2227</v>
      </c>
      <c r="F1491" s="365" t="s">
        <v>6522</v>
      </c>
      <c r="G1491" s="370">
        <v>45621</v>
      </c>
      <c r="H1491" s="369">
        <v>15999</v>
      </c>
      <c r="I1491" s="365" t="s">
        <v>6523</v>
      </c>
      <c r="J1491" s="365" t="s">
        <v>1228</v>
      </c>
      <c r="K1491" s="365" t="s">
        <v>1229</v>
      </c>
      <c r="L1491" s="370">
        <v>45613.392812500002</v>
      </c>
    </row>
    <row r="1492" spans="1:12" s="365" customFormat="1">
      <c r="A1492" s="370">
        <v>45613.899398148147</v>
      </c>
      <c r="B1492" s="365" t="s">
        <v>6524</v>
      </c>
      <c r="C1492" s="365" t="s">
        <v>3879</v>
      </c>
      <c r="D1492" s="365" t="s">
        <v>3880</v>
      </c>
      <c r="E1492" s="365" t="s">
        <v>3881</v>
      </c>
      <c r="F1492" s="365" t="s">
        <v>6525</v>
      </c>
      <c r="G1492" s="370">
        <v>45595</v>
      </c>
      <c r="H1492" s="369">
        <v>15999</v>
      </c>
      <c r="I1492" s="365" t="s">
        <v>6526</v>
      </c>
      <c r="J1492" s="365" t="s">
        <v>1228</v>
      </c>
      <c r="K1492" s="365" t="s">
        <v>1229</v>
      </c>
      <c r="L1492" s="370">
        <v>45613.903078703705</v>
      </c>
    </row>
    <row r="1493" spans="1:12" s="365" customFormat="1">
      <c r="A1493" s="370">
        <v>45613.581203703703</v>
      </c>
      <c r="B1493" s="365" t="s">
        <v>6527</v>
      </c>
      <c r="C1493" s="365" t="s">
        <v>3038</v>
      </c>
      <c r="D1493" s="365" t="s">
        <v>1171</v>
      </c>
      <c r="E1493" s="365" t="s">
        <v>1172</v>
      </c>
      <c r="F1493" s="365" t="s">
        <v>6528</v>
      </c>
      <c r="G1493" s="370">
        <v>45595</v>
      </c>
      <c r="H1493" s="369">
        <v>21000</v>
      </c>
      <c r="I1493" s="365" t="s">
        <v>6529</v>
      </c>
      <c r="J1493" s="365" t="s">
        <v>1228</v>
      </c>
      <c r="K1493" s="365" t="s">
        <v>1229</v>
      </c>
      <c r="L1493" s="370">
        <v>45613.583379629628</v>
      </c>
    </row>
    <row r="1494" spans="1:12" s="365" customFormat="1">
      <c r="A1494" s="370">
        <v>45613.889386574076</v>
      </c>
      <c r="B1494" s="365" t="s">
        <v>6530</v>
      </c>
      <c r="C1494" s="365" t="s">
        <v>3317</v>
      </c>
      <c r="D1494" s="365" t="s">
        <v>1061</v>
      </c>
      <c r="E1494" s="365" t="s">
        <v>1062</v>
      </c>
      <c r="F1494" s="365" t="s">
        <v>6531</v>
      </c>
      <c r="G1494" s="370">
        <v>45621</v>
      </c>
      <c r="H1494" s="369">
        <v>49000</v>
      </c>
      <c r="I1494" s="365" t="s">
        <v>6532</v>
      </c>
      <c r="J1494" s="365" t="s">
        <v>1228</v>
      </c>
      <c r="K1494" s="365" t="s">
        <v>1229</v>
      </c>
      <c r="L1494" s="370">
        <v>45613.892754629633</v>
      </c>
    </row>
    <row r="1495" spans="1:12" s="365" customFormat="1">
      <c r="A1495" s="370">
        <v>45614.437141203707</v>
      </c>
      <c r="B1495" s="365" t="s">
        <v>6533</v>
      </c>
      <c r="C1495" s="365" t="s">
        <v>4335</v>
      </c>
      <c r="D1495" s="365" t="s">
        <v>4336</v>
      </c>
      <c r="E1495" s="365" t="s">
        <v>4337</v>
      </c>
      <c r="F1495" s="365" t="s">
        <v>6534</v>
      </c>
      <c r="G1495" s="370">
        <v>45595</v>
      </c>
      <c r="H1495" s="369">
        <v>11000</v>
      </c>
      <c r="I1495" s="365" t="s">
        <v>6535</v>
      </c>
      <c r="J1495" s="365" t="s">
        <v>1228</v>
      </c>
      <c r="K1495" s="365" t="s">
        <v>1229</v>
      </c>
      <c r="L1495" s="370">
        <v>45614.437754629631</v>
      </c>
    </row>
    <row r="1496" spans="1:12" s="365" customFormat="1">
      <c r="A1496" s="370">
        <v>45614.486250000002</v>
      </c>
      <c r="B1496" s="365" t="s">
        <v>6536</v>
      </c>
      <c r="C1496" s="365" t="s">
        <v>1282</v>
      </c>
      <c r="D1496" s="365" t="s">
        <v>1283</v>
      </c>
      <c r="E1496" s="365" t="s">
        <v>1284</v>
      </c>
      <c r="F1496" s="365" t="s">
        <v>6537</v>
      </c>
      <c r="G1496" s="370">
        <v>45621</v>
      </c>
      <c r="H1496" s="369">
        <v>23400</v>
      </c>
      <c r="I1496" s="365" t="s">
        <v>6538</v>
      </c>
      <c r="J1496" s="365" t="s">
        <v>1228</v>
      </c>
      <c r="K1496" s="365" t="s">
        <v>1229</v>
      </c>
      <c r="L1496" s="370">
        <v>45614.486493055556</v>
      </c>
    </row>
    <row r="1497" spans="1:12" s="365" customFormat="1">
      <c r="A1497" s="370">
        <v>45614.49145833333</v>
      </c>
      <c r="B1497" s="365" t="s">
        <v>6539</v>
      </c>
      <c r="C1497" s="365" t="s">
        <v>6540</v>
      </c>
      <c r="D1497" s="365" t="s">
        <v>6541</v>
      </c>
      <c r="E1497" s="365" t="s">
        <v>6542</v>
      </c>
      <c r="F1497" s="365" t="s">
        <v>6543</v>
      </c>
      <c r="G1497" s="370">
        <v>45560</v>
      </c>
      <c r="H1497" s="369">
        <v>15999</v>
      </c>
      <c r="I1497" s="365" t="s">
        <v>6544</v>
      </c>
      <c r="J1497" s="365" t="s">
        <v>1228</v>
      </c>
      <c r="K1497" s="365" t="s">
        <v>1229</v>
      </c>
      <c r="L1497" s="370">
        <v>45614.493263888886</v>
      </c>
    </row>
    <row r="1498" spans="1:12" s="365" customFormat="1">
      <c r="A1498" s="370">
        <v>45614.544189814813</v>
      </c>
      <c r="B1498" s="365" t="s">
        <v>6545</v>
      </c>
      <c r="C1498" s="365" t="s">
        <v>5659</v>
      </c>
      <c r="D1498" s="365" t="s">
        <v>5660</v>
      </c>
      <c r="E1498" s="365" t="s">
        <v>5661</v>
      </c>
      <c r="F1498" s="365" t="s">
        <v>6546</v>
      </c>
      <c r="G1498" s="370">
        <v>45621</v>
      </c>
      <c r="H1498" s="369">
        <v>14999</v>
      </c>
      <c r="I1498" s="365" t="s">
        <v>6547</v>
      </c>
      <c r="J1498" s="365" t="s">
        <v>1228</v>
      </c>
      <c r="K1498" s="365" t="s">
        <v>1229</v>
      </c>
      <c r="L1498" s="370">
        <v>45614.545601851853</v>
      </c>
    </row>
    <row r="1499" spans="1:12" s="365" customFormat="1">
      <c r="A1499" s="370">
        <v>45614.641736111109</v>
      </c>
      <c r="B1499" s="365" t="s">
        <v>6548</v>
      </c>
      <c r="C1499" s="365" t="s">
        <v>1691</v>
      </c>
      <c r="D1499" s="365" t="s">
        <v>1692</v>
      </c>
      <c r="E1499" s="365" t="s">
        <v>1693</v>
      </c>
      <c r="F1499" s="365" t="s">
        <v>6549</v>
      </c>
      <c r="G1499" s="370">
        <v>45621</v>
      </c>
      <c r="H1499" s="369">
        <v>15000</v>
      </c>
      <c r="I1499" s="365" t="s">
        <v>6550</v>
      </c>
      <c r="J1499" s="365" t="s">
        <v>1228</v>
      </c>
      <c r="K1499" s="365" t="s">
        <v>1229</v>
      </c>
      <c r="L1499" s="370">
        <v>45614.642766203702</v>
      </c>
    </row>
    <row r="1500" spans="1:12" s="365" customFormat="1">
      <c r="A1500" s="370">
        <v>45614.68409722222</v>
      </c>
      <c r="B1500" s="365" t="s">
        <v>6551</v>
      </c>
      <c r="C1500" s="365" t="s">
        <v>6540</v>
      </c>
      <c r="D1500" s="365" t="s">
        <v>6541</v>
      </c>
      <c r="E1500" s="365" t="s">
        <v>6542</v>
      </c>
      <c r="F1500" s="365" t="s">
        <v>6552</v>
      </c>
      <c r="G1500" s="370">
        <v>45595</v>
      </c>
      <c r="H1500" s="369">
        <v>15999</v>
      </c>
      <c r="I1500" s="365" t="s">
        <v>6553</v>
      </c>
      <c r="J1500" s="365" t="s">
        <v>1228</v>
      </c>
      <c r="K1500" s="365" t="s">
        <v>1229</v>
      </c>
      <c r="L1500" s="370">
        <v>45614.684421296297</v>
      </c>
    </row>
    <row r="1501" spans="1:12" s="365" customFormat="1">
      <c r="A1501" s="370">
        <v>45614.794432870367</v>
      </c>
      <c r="B1501" s="365" t="s">
        <v>6554</v>
      </c>
      <c r="C1501" s="365" t="s">
        <v>3333</v>
      </c>
      <c r="D1501" s="365" t="s">
        <v>3334</v>
      </c>
      <c r="E1501" s="365" t="s">
        <v>3335</v>
      </c>
      <c r="F1501" s="365" t="s">
        <v>6555</v>
      </c>
      <c r="G1501" s="370">
        <v>45621</v>
      </c>
      <c r="H1501" s="369">
        <v>15000</v>
      </c>
      <c r="I1501" s="365" t="s">
        <v>6556</v>
      </c>
      <c r="J1501" s="365" t="s">
        <v>1228</v>
      </c>
      <c r="K1501" s="365" t="s">
        <v>1229</v>
      </c>
      <c r="L1501" s="370">
        <v>45614.795486111114</v>
      </c>
    </row>
    <row r="1502" spans="1:12" s="365" customFormat="1">
      <c r="A1502" s="370">
        <v>45614.413032407407</v>
      </c>
      <c r="B1502" s="365" t="s">
        <v>6557</v>
      </c>
      <c r="C1502" s="365" t="s">
        <v>6558</v>
      </c>
      <c r="D1502" s="365" t="s">
        <v>1642</v>
      </c>
      <c r="E1502" s="365" t="s">
        <v>1643</v>
      </c>
      <c r="F1502" s="365" t="s">
        <v>6559</v>
      </c>
      <c r="G1502" s="370">
        <v>45595</v>
      </c>
      <c r="H1502" s="369">
        <v>15999</v>
      </c>
      <c r="I1502" s="365" t="s">
        <v>6560</v>
      </c>
      <c r="J1502" s="365" t="s">
        <v>1228</v>
      </c>
      <c r="K1502" s="365" t="s">
        <v>1229</v>
      </c>
      <c r="L1502" s="370">
        <v>45614.413518518515</v>
      </c>
    </row>
    <row r="1503" spans="1:12" s="365" customFormat="1">
      <c r="A1503" s="370">
        <v>45614.771122685182</v>
      </c>
      <c r="B1503" s="365" t="s">
        <v>6561</v>
      </c>
      <c r="C1503" s="365" t="s">
        <v>6562</v>
      </c>
      <c r="D1503" s="365" t="s">
        <v>3745</v>
      </c>
      <c r="E1503" s="365" t="s">
        <v>3746</v>
      </c>
      <c r="F1503" s="365" t="s">
        <v>6563</v>
      </c>
      <c r="G1503" s="370">
        <v>45621</v>
      </c>
      <c r="H1503" s="369">
        <v>15000</v>
      </c>
      <c r="I1503" s="365" t="s">
        <v>6564</v>
      </c>
      <c r="J1503" s="365" t="s">
        <v>1228</v>
      </c>
      <c r="K1503" s="365" t="s">
        <v>1229</v>
      </c>
      <c r="L1503" s="370">
        <v>45614.77484953704</v>
      </c>
    </row>
    <row r="1504" spans="1:12" s="365" customFormat="1">
      <c r="A1504" s="370">
        <v>45614.889432870368</v>
      </c>
      <c r="B1504" s="365" t="s">
        <v>6565</v>
      </c>
      <c r="C1504" s="365" t="s">
        <v>1250</v>
      </c>
      <c r="D1504" s="365" t="s">
        <v>1251</v>
      </c>
      <c r="E1504" s="365" t="s">
        <v>1252</v>
      </c>
      <c r="F1504" s="365" t="s">
        <v>6566</v>
      </c>
      <c r="G1504" s="370">
        <v>45621</v>
      </c>
      <c r="H1504" s="369">
        <v>15000</v>
      </c>
      <c r="I1504" s="365" t="s">
        <v>6567</v>
      </c>
      <c r="J1504" s="365" t="s">
        <v>1228</v>
      </c>
      <c r="K1504" s="365" t="s">
        <v>1229</v>
      </c>
      <c r="L1504" s="370">
        <v>45614.892476851855</v>
      </c>
    </row>
    <row r="1505" spans="1:12" s="365" customFormat="1">
      <c r="A1505" s="370">
        <v>45614.273761574077</v>
      </c>
      <c r="B1505" s="365" t="s">
        <v>6568</v>
      </c>
      <c r="C1505" s="365" t="s">
        <v>3782</v>
      </c>
      <c r="D1505" s="365" t="s">
        <v>3783</v>
      </c>
      <c r="E1505" s="365" t="s">
        <v>3784</v>
      </c>
      <c r="F1505" s="365" t="s">
        <v>6569</v>
      </c>
      <c r="G1505" s="370">
        <v>45621</v>
      </c>
      <c r="H1505" s="369">
        <v>24000</v>
      </c>
      <c r="I1505" s="365" t="s">
        <v>6570</v>
      </c>
      <c r="J1505" s="365" t="s">
        <v>1228</v>
      </c>
      <c r="K1505" s="365" t="s">
        <v>1229</v>
      </c>
      <c r="L1505" s="370">
        <v>45614.274675925924</v>
      </c>
    </row>
    <row r="1506" spans="1:12" s="365" customFormat="1">
      <c r="A1506" s="370">
        <v>45614.336412037039</v>
      </c>
      <c r="B1506" s="365" t="s">
        <v>6571</v>
      </c>
      <c r="C1506" s="365" t="s">
        <v>3440</v>
      </c>
      <c r="D1506" s="365" t="s">
        <v>3441</v>
      </c>
      <c r="E1506" s="365" t="s">
        <v>3442</v>
      </c>
      <c r="F1506" s="365" t="s">
        <v>6572</v>
      </c>
      <c r="G1506" s="370">
        <v>45595</v>
      </c>
      <c r="H1506" s="369">
        <v>71970</v>
      </c>
      <c r="I1506" s="365" t="s">
        <v>6573</v>
      </c>
      <c r="J1506" s="365" t="s">
        <v>1228</v>
      </c>
      <c r="K1506" s="365" t="s">
        <v>1229</v>
      </c>
      <c r="L1506" s="370">
        <v>45614.337326388886</v>
      </c>
    </row>
    <row r="1507" spans="1:12" s="365" customFormat="1">
      <c r="A1507" s="370">
        <v>45614.624178240738</v>
      </c>
      <c r="B1507" s="365" t="s">
        <v>6574</v>
      </c>
      <c r="C1507" s="365" t="s">
        <v>4845</v>
      </c>
      <c r="D1507" s="365" t="s">
        <v>4846</v>
      </c>
      <c r="E1507" s="365" t="s">
        <v>4847</v>
      </c>
      <c r="F1507" s="365" t="s">
        <v>6575</v>
      </c>
      <c r="G1507" s="370">
        <v>45621</v>
      </c>
      <c r="H1507" s="369">
        <v>30000</v>
      </c>
      <c r="I1507" s="365" t="s">
        <v>6576</v>
      </c>
      <c r="J1507" s="365" t="s">
        <v>1228</v>
      </c>
      <c r="K1507" s="365" t="s">
        <v>1229</v>
      </c>
      <c r="L1507" s="370">
        <v>45614.625335648147</v>
      </c>
    </row>
    <row r="1508" spans="1:12" s="365" customFormat="1">
      <c r="A1508" s="370">
        <v>45615.341273148151</v>
      </c>
      <c r="B1508" s="365" t="s">
        <v>6577</v>
      </c>
      <c r="C1508" s="365" t="s">
        <v>4706</v>
      </c>
      <c r="D1508" s="365" t="s">
        <v>4707</v>
      </c>
      <c r="E1508" s="365" t="s">
        <v>4708</v>
      </c>
      <c r="F1508" s="365" t="s">
        <v>6578</v>
      </c>
      <c r="G1508" s="370">
        <v>45621</v>
      </c>
      <c r="H1508" s="369">
        <v>10000</v>
      </c>
      <c r="I1508" s="365" t="s">
        <v>6579</v>
      </c>
      <c r="J1508" s="365" t="s">
        <v>1228</v>
      </c>
      <c r="K1508" s="365" t="s">
        <v>1229</v>
      </c>
      <c r="L1508" s="370">
        <v>45615.344097222223</v>
      </c>
    </row>
    <row r="1509" spans="1:12" s="365" customFormat="1">
      <c r="A1509" s="370">
        <v>45615.380578703705</v>
      </c>
      <c r="B1509" s="365" t="s">
        <v>6580</v>
      </c>
      <c r="C1509" s="365" t="s">
        <v>5583</v>
      </c>
      <c r="D1509" s="365" t="s">
        <v>5584</v>
      </c>
      <c r="E1509" s="365" t="s">
        <v>5585</v>
      </c>
      <c r="F1509" s="365" t="s">
        <v>6581</v>
      </c>
      <c r="G1509" s="370">
        <v>45621</v>
      </c>
      <c r="H1509" s="369">
        <v>30000</v>
      </c>
      <c r="I1509" s="365" t="s">
        <v>6582</v>
      </c>
      <c r="J1509" s="365" t="s">
        <v>1228</v>
      </c>
      <c r="K1509" s="365" t="s">
        <v>1229</v>
      </c>
      <c r="L1509" s="370">
        <v>45615.382268518515</v>
      </c>
    </row>
    <row r="1510" spans="1:12" s="365" customFormat="1">
      <c r="A1510" s="370">
        <v>45615.4921412037</v>
      </c>
      <c r="B1510" s="365" t="s">
        <v>6583</v>
      </c>
      <c r="C1510" s="365" t="s">
        <v>1932</v>
      </c>
      <c r="D1510" s="365" t="s">
        <v>1933</v>
      </c>
      <c r="E1510" s="365" t="s">
        <v>1934</v>
      </c>
      <c r="F1510" s="365" t="s">
        <v>6584</v>
      </c>
      <c r="G1510" s="370">
        <v>45621</v>
      </c>
      <c r="H1510" s="369">
        <v>15999</v>
      </c>
      <c r="I1510" s="365" t="s">
        <v>6585</v>
      </c>
      <c r="J1510" s="365" t="s">
        <v>1228</v>
      </c>
      <c r="K1510" s="365" t="s">
        <v>1229</v>
      </c>
      <c r="L1510" s="370">
        <v>45615.493495370371</v>
      </c>
    </row>
    <row r="1511" spans="1:12" s="365" customFormat="1">
      <c r="A1511" s="370">
        <v>45615.636886574073</v>
      </c>
      <c r="B1511" s="365" t="s">
        <v>6586</v>
      </c>
      <c r="C1511" s="365" t="s">
        <v>1343</v>
      </c>
      <c r="D1511" s="365" t="s">
        <v>1344</v>
      </c>
      <c r="E1511" s="365" t="s">
        <v>1345</v>
      </c>
      <c r="F1511" s="365" t="s">
        <v>6587</v>
      </c>
      <c r="G1511" s="370">
        <v>45621</v>
      </c>
      <c r="H1511" s="369">
        <v>30000</v>
      </c>
      <c r="I1511" s="365" t="s">
        <v>6588</v>
      </c>
      <c r="J1511" s="365" t="s">
        <v>1228</v>
      </c>
      <c r="K1511" s="365" t="s">
        <v>1229</v>
      </c>
      <c r="L1511" s="370">
        <v>45615.639444444445</v>
      </c>
    </row>
    <row r="1512" spans="1:12" s="365" customFormat="1">
      <c r="A1512" s="370">
        <v>45615.712905092594</v>
      </c>
      <c r="B1512" s="365" t="s">
        <v>6589</v>
      </c>
      <c r="C1512" s="365" t="s">
        <v>6590</v>
      </c>
      <c r="D1512" s="365" t="s">
        <v>6591</v>
      </c>
      <c r="E1512" s="365" t="s">
        <v>6592</v>
      </c>
      <c r="F1512" s="365" t="s">
        <v>6593</v>
      </c>
      <c r="G1512" s="370">
        <v>45621</v>
      </c>
      <c r="H1512" s="369">
        <v>15999</v>
      </c>
      <c r="I1512" s="365" t="s">
        <v>6594</v>
      </c>
      <c r="J1512" s="365" t="s">
        <v>1228</v>
      </c>
      <c r="K1512" s="365" t="s">
        <v>1229</v>
      </c>
      <c r="L1512" s="370">
        <v>45615.715648148151</v>
      </c>
    </row>
    <row r="1513" spans="1:12" s="365" customFormat="1">
      <c r="A1513" s="370">
        <v>45615.811099537037</v>
      </c>
      <c r="B1513" s="365" t="s">
        <v>6595</v>
      </c>
      <c r="C1513" s="365" t="s">
        <v>6596</v>
      </c>
      <c r="D1513" s="365" t="s">
        <v>6597</v>
      </c>
      <c r="E1513" s="365" t="s">
        <v>6598</v>
      </c>
      <c r="F1513" s="365" t="s">
        <v>6599</v>
      </c>
      <c r="G1513" s="370">
        <v>45621</v>
      </c>
      <c r="H1513" s="369">
        <v>27000</v>
      </c>
      <c r="I1513" s="365" t="s">
        <v>6600</v>
      </c>
      <c r="J1513" s="365" t="s">
        <v>1228</v>
      </c>
      <c r="K1513" s="365" t="s">
        <v>1229</v>
      </c>
      <c r="L1513" s="370">
        <v>45615.8128125</v>
      </c>
    </row>
    <row r="1514" spans="1:12" s="365" customFormat="1">
      <c r="A1514" s="370">
        <v>45615.909930555557</v>
      </c>
      <c r="B1514" s="365" t="s">
        <v>6601</v>
      </c>
      <c r="C1514" s="365" t="s">
        <v>1602</v>
      </c>
      <c r="D1514" s="365" t="s">
        <v>1603</v>
      </c>
      <c r="E1514" s="365" t="s">
        <v>1604</v>
      </c>
      <c r="F1514" s="365" t="s">
        <v>6602</v>
      </c>
      <c r="G1514" s="370">
        <v>45595</v>
      </c>
      <c r="H1514" s="369">
        <v>15999</v>
      </c>
      <c r="I1514" s="365" t="s">
        <v>6603</v>
      </c>
      <c r="J1514" s="365" t="s">
        <v>1228</v>
      </c>
      <c r="K1514" s="365" t="s">
        <v>1229</v>
      </c>
      <c r="L1514" s="370">
        <v>45618.376122685186</v>
      </c>
    </row>
    <row r="1515" spans="1:12" s="365" customFormat="1">
      <c r="A1515" s="370">
        <v>45615.310416666667</v>
      </c>
      <c r="B1515" s="365" t="s">
        <v>6604</v>
      </c>
      <c r="C1515" s="365" t="s">
        <v>4015</v>
      </c>
      <c r="D1515" s="365" t="s">
        <v>4016</v>
      </c>
      <c r="E1515" s="365" t="s">
        <v>4017</v>
      </c>
      <c r="F1515" s="365" t="s">
        <v>6605</v>
      </c>
      <c r="G1515" s="370">
        <v>45621</v>
      </c>
      <c r="H1515" s="369">
        <v>15000</v>
      </c>
      <c r="I1515" s="365" t="s">
        <v>6606</v>
      </c>
      <c r="J1515" s="365" t="s">
        <v>1228</v>
      </c>
      <c r="K1515" s="365" t="s">
        <v>1229</v>
      </c>
      <c r="L1515" s="370">
        <v>45615.312893518516</v>
      </c>
    </row>
    <row r="1516" spans="1:12" s="365" customFormat="1">
      <c r="A1516" s="370">
        <v>45615.448206018518</v>
      </c>
      <c r="B1516" s="365" t="s">
        <v>6607</v>
      </c>
      <c r="C1516" s="365" t="s">
        <v>4076</v>
      </c>
      <c r="D1516" s="365" t="s">
        <v>4077</v>
      </c>
      <c r="E1516" s="365" t="s">
        <v>4078</v>
      </c>
      <c r="F1516" s="365" t="s">
        <v>6608</v>
      </c>
      <c r="G1516" s="370">
        <v>45595</v>
      </c>
      <c r="H1516" s="369">
        <v>15000</v>
      </c>
      <c r="I1516" s="365" t="s">
        <v>6609</v>
      </c>
      <c r="J1516" s="365" t="s">
        <v>1228</v>
      </c>
      <c r="K1516" s="365" t="s">
        <v>1229</v>
      </c>
      <c r="L1516" s="370">
        <v>45615.451840277776</v>
      </c>
    </row>
    <row r="1517" spans="1:12" s="365" customFormat="1">
      <c r="A1517" s="370">
        <v>45615.435613425929</v>
      </c>
      <c r="B1517" s="365" t="s">
        <v>6610</v>
      </c>
      <c r="C1517" s="365" t="s">
        <v>1236</v>
      </c>
      <c r="D1517" s="365" t="s">
        <v>6611</v>
      </c>
      <c r="E1517" s="365" t="s">
        <v>6612</v>
      </c>
      <c r="F1517" s="365" t="s">
        <v>6613</v>
      </c>
      <c r="G1517" s="370">
        <v>45621</v>
      </c>
      <c r="H1517" s="369">
        <v>24000</v>
      </c>
      <c r="I1517" s="365" t="s">
        <v>6614</v>
      </c>
      <c r="J1517" s="365" t="s">
        <v>1228</v>
      </c>
      <c r="K1517" s="365" t="s">
        <v>1229</v>
      </c>
      <c r="L1517" s="370">
        <v>45615.437800925924</v>
      </c>
    </row>
    <row r="1518" spans="1:12" s="365" customFormat="1">
      <c r="A1518" s="370">
        <v>45615.441041666665</v>
      </c>
      <c r="B1518" s="365" t="s">
        <v>6615</v>
      </c>
      <c r="C1518" s="365" t="s">
        <v>1468</v>
      </c>
      <c r="D1518" s="365" t="s">
        <v>1469</v>
      </c>
      <c r="E1518" s="365" t="s">
        <v>1470</v>
      </c>
      <c r="F1518" s="365" t="s">
        <v>6616</v>
      </c>
      <c r="G1518" s="370">
        <v>45621</v>
      </c>
      <c r="H1518" s="369">
        <v>135000</v>
      </c>
      <c r="I1518" s="365" t="s">
        <v>6617</v>
      </c>
      <c r="J1518" s="365" t="s">
        <v>1228</v>
      </c>
      <c r="K1518" s="365" t="s">
        <v>1229</v>
      </c>
      <c r="L1518" s="370">
        <v>45615.441516203704</v>
      </c>
    </row>
    <row r="1519" spans="1:12" s="365" customFormat="1">
      <c r="A1519" s="370">
        <v>45615.460127314815</v>
      </c>
      <c r="B1519" s="365" t="s">
        <v>6618</v>
      </c>
      <c r="C1519" s="365" t="s">
        <v>1908</v>
      </c>
      <c r="D1519" s="365" t="s">
        <v>1909</v>
      </c>
      <c r="E1519" s="365" t="s">
        <v>1910</v>
      </c>
      <c r="F1519" s="365" t="s">
        <v>6619</v>
      </c>
      <c r="G1519" s="370">
        <v>45621</v>
      </c>
      <c r="H1519" s="369">
        <v>23400</v>
      </c>
      <c r="I1519" s="365" t="s">
        <v>6620</v>
      </c>
      <c r="J1519" s="365" t="s">
        <v>1228</v>
      </c>
      <c r="K1519" s="365" t="s">
        <v>1229</v>
      </c>
      <c r="L1519" s="370">
        <v>45615.462164351855</v>
      </c>
    </row>
    <row r="1520" spans="1:12" s="365" customFormat="1">
      <c r="A1520" s="370">
        <v>45615.481782407405</v>
      </c>
      <c r="B1520" s="365" t="s">
        <v>6621</v>
      </c>
      <c r="C1520" s="365" t="s">
        <v>1492</v>
      </c>
      <c r="D1520" s="365" t="s">
        <v>1493</v>
      </c>
      <c r="E1520" s="365" t="s">
        <v>1494</v>
      </c>
      <c r="F1520" s="365" t="s">
        <v>6622</v>
      </c>
      <c r="G1520" s="370">
        <v>45621</v>
      </c>
      <c r="H1520" s="369">
        <v>20499</v>
      </c>
      <c r="I1520" s="365" t="s">
        <v>6623</v>
      </c>
      <c r="J1520" s="365" t="s">
        <v>1228</v>
      </c>
      <c r="K1520" s="365" t="s">
        <v>1229</v>
      </c>
      <c r="L1520" s="370">
        <v>45615.483159722222</v>
      </c>
    </row>
    <row r="1521" spans="1:12" s="365" customFormat="1">
      <c r="A1521" s="370">
        <v>45615.634930555556</v>
      </c>
      <c r="B1521" s="365" t="s">
        <v>6624</v>
      </c>
      <c r="C1521" s="365" t="s">
        <v>6625</v>
      </c>
      <c r="D1521" s="365" t="s">
        <v>3613</v>
      </c>
      <c r="E1521" s="365" t="s">
        <v>3614</v>
      </c>
      <c r="F1521" s="365" t="s">
        <v>6626</v>
      </c>
      <c r="G1521" s="370">
        <v>45621</v>
      </c>
      <c r="H1521" s="369">
        <v>30000</v>
      </c>
      <c r="I1521" s="365" t="s">
        <v>6627</v>
      </c>
      <c r="J1521" s="365" t="s">
        <v>1228</v>
      </c>
      <c r="K1521" s="365" t="s">
        <v>1229</v>
      </c>
      <c r="L1521" s="370">
        <v>45615.635879629626</v>
      </c>
    </row>
    <row r="1522" spans="1:12" s="365" customFormat="1">
      <c r="A1522" s="370">
        <v>45615.693657407406</v>
      </c>
      <c r="B1522" s="365" t="s">
        <v>6628</v>
      </c>
      <c r="C1522" s="365" t="s">
        <v>1625</v>
      </c>
      <c r="D1522" s="365" t="s">
        <v>1626</v>
      </c>
      <c r="E1522" s="365" t="s">
        <v>1627</v>
      </c>
      <c r="F1522" s="365" t="s">
        <v>6629</v>
      </c>
      <c r="G1522" s="370">
        <v>45621</v>
      </c>
      <c r="H1522" s="369">
        <v>18000</v>
      </c>
      <c r="I1522" s="365" t="s">
        <v>6630</v>
      </c>
      <c r="J1522" s="365" t="s">
        <v>1228</v>
      </c>
      <c r="K1522" s="365" t="s">
        <v>1229</v>
      </c>
      <c r="L1522" s="370">
        <v>45615.694803240738</v>
      </c>
    </row>
    <row r="1523" spans="1:12" s="365" customFormat="1">
      <c r="A1523" s="370">
        <v>45615.713750000003</v>
      </c>
      <c r="B1523" s="365" t="s">
        <v>6631</v>
      </c>
      <c r="C1523" s="365" t="s">
        <v>2269</v>
      </c>
      <c r="D1523" s="365" t="s">
        <v>2270</v>
      </c>
      <c r="E1523" s="365" t="s">
        <v>2271</v>
      </c>
      <c r="F1523" s="365" t="s">
        <v>6632</v>
      </c>
      <c r="G1523" s="370">
        <v>45621</v>
      </c>
      <c r="H1523" s="369">
        <v>7500</v>
      </c>
      <c r="I1523" s="365" t="s">
        <v>6633</v>
      </c>
      <c r="J1523" s="365" t="s">
        <v>1228</v>
      </c>
      <c r="K1523" s="365" t="s">
        <v>1229</v>
      </c>
      <c r="L1523" s="370">
        <v>45615.715833333335</v>
      </c>
    </row>
    <row r="1524" spans="1:12" s="365" customFormat="1">
      <c r="A1524" s="370">
        <v>45615.91101851852</v>
      </c>
      <c r="B1524" s="365" t="s">
        <v>6634</v>
      </c>
      <c r="C1524" s="365" t="s">
        <v>1602</v>
      </c>
      <c r="D1524" s="365" t="s">
        <v>1603</v>
      </c>
      <c r="E1524" s="365" t="s">
        <v>1604</v>
      </c>
      <c r="F1524" s="365" t="s">
        <v>6635</v>
      </c>
      <c r="G1524" s="370">
        <v>45621</v>
      </c>
      <c r="H1524" s="369">
        <v>15999</v>
      </c>
      <c r="I1524" s="365" t="s">
        <v>6636</v>
      </c>
      <c r="J1524" s="365" t="s">
        <v>1228</v>
      </c>
      <c r="K1524" s="365" t="s">
        <v>1229</v>
      </c>
      <c r="L1524" s="370">
        <v>45618.38113425926</v>
      </c>
    </row>
    <row r="1525" spans="1:12" s="365" customFormat="1">
      <c r="A1525" s="370">
        <v>45616.333634259259</v>
      </c>
      <c r="B1525" s="365" t="s">
        <v>6637</v>
      </c>
      <c r="C1525" s="365" t="s">
        <v>3861</v>
      </c>
      <c r="D1525" s="365" t="s">
        <v>3862</v>
      </c>
      <c r="E1525" s="365" t="s">
        <v>3863</v>
      </c>
      <c r="F1525" s="365" t="s">
        <v>6638</v>
      </c>
      <c r="G1525" s="370">
        <v>45621</v>
      </c>
      <c r="H1525" s="369">
        <v>36000</v>
      </c>
      <c r="I1525" s="365" t="s">
        <v>6639</v>
      </c>
      <c r="J1525" s="365" t="s">
        <v>1228</v>
      </c>
      <c r="K1525" s="365" t="s">
        <v>1229</v>
      </c>
      <c r="L1525" s="370">
        <v>45618.376307870371</v>
      </c>
    </row>
    <row r="1526" spans="1:12" s="365" customFormat="1">
      <c r="A1526" s="370">
        <v>45616.341516203705</v>
      </c>
      <c r="B1526" s="365" t="s">
        <v>6640</v>
      </c>
      <c r="C1526" s="365" t="s">
        <v>3339</v>
      </c>
      <c r="D1526" s="365" t="s">
        <v>3340</v>
      </c>
      <c r="E1526" s="365" t="s">
        <v>3341</v>
      </c>
      <c r="F1526" s="365" t="s">
        <v>6641</v>
      </c>
      <c r="G1526" s="370">
        <v>45621</v>
      </c>
      <c r="H1526" s="369">
        <v>65400</v>
      </c>
      <c r="I1526" s="365" t="s">
        <v>6642</v>
      </c>
      <c r="J1526" s="365" t="s">
        <v>1228</v>
      </c>
      <c r="K1526" s="365" t="s">
        <v>1229</v>
      </c>
      <c r="L1526" s="370">
        <v>45618.376481481479</v>
      </c>
    </row>
    <row r="1527" spans="1:12" s="365" customFormat="1">
      <c r="A1527" s="370">
        <v>45616.392962962964</v>
      </c>
      <c r="B1527" s="365" t="s">
        <v>6643</v>
      </c>
      <c r="C1527" s="365" t="s">
        <v>4685</v>
      </c>
      <c r="D1527" s="365" t="s">
        <v>4686</v>
      </c>
      <c r="E1527" s="365" t="s">
        <v>4687</v>
      </c>
      <c r="F1527" s="365" t="s">
        <v>6644</v>
      </c>
      <c r="G1527" s="370">
        <v>45621</v>
      </c>
      <c r="H1527" s="369">
        <v>27000</v>
      </c>
      <c r="I1527" s="365" t="s">
        <v>6645</v>
      </c>
      <c r="J1527" s="365" t="s">
        <v>1228</v>
      </c>
      <c r="K1527" s="365" t="s">
        <v>1229</v>
      </c>
      <c r="L1527" s="370">
        <v>45618.37667824074</v>
      </c>
    </row>
    <row r="1528" spans="1:12" s="365" customFormat="1">
      <c r="A1528" s="370">
        <v>45616.492199074077</v>
      </c>
      <c r="B1528" s="365" t="s">
        <v>6646</v>
      </c>
      <c r="C1528" s="365" t="s">
        <v>1253</v>
      </c>
      <c r="D1528" s="365" t="s">
        <v>1254</v>
      </c>
      <c r="E1528" s="365" t="s">
        <v>1255</v>
      </c>
      <c r="F1528" s="365" t="s">
        <v>6647</v>
      </c>
      <c r="G1528" s="370">
        <v>45621</v>
      </c>
      <c r="H1528" s="369">
        <v>6000</v>
      </c>
      <c r="I1528" s="365" t="s">
        <v>6648</v>
      </c>
      <c r="J1528" s="365" t="s">
        <v>1228</v>
      </c>
      <c r="K1528" s="365" t="s">
        <v>1229</v>
      </c>
      <c r="L1528" s="370">
        <v>45618.376863425925</v>
      </c>
    </row>
    <row r="1529" spans="1:12" s="365" customFormat="1">
      <c r="A1529" s="370">
        <v>45616.595555555556</v>
      </c>
      <c r="B1529" s="365" t="s">
        <v>6649</v>
      </c>
      <c r="C1529" s="365" t="s">
        <v>4772</v>
      </c>
      <c r="D1529" s="365" t="s">
        <v>2385</v>
      </c>
      <c r="E1529" s="365" t="s">
        <v>2386</v>
      </c>
      <c r="F1529" s="365" t="s">
        <v>6650</v>
      </c>
      <c r="G1529" s="370">
        <v>45621</v>
      </c>
      <c r="H1529" s="369">
        <v>30000</v>
      </c>
      <c r="I1529" s="365" t="s">
        <v>6651</v>
      </c>
      <c r="J1529" s="365" t="s">
        <v>1228</v>
      </c>
      <c r="K1529" s="365" t="s">
        <v>1229</v>
      </c>
      <c r="L1529" s="370">
        <v>45618.37704861111</v>
      </c>
    </row>
    <row r="1530" spans="1:12" s="365" customFormat="1">
      <c r="A1530" s="370">
        <v>45616.629988425928</v>
      </c>
      <c r="B1530" s="365" t="s">
        <v>6652</v>
      </c>
      <c r="C1530" s="365" t="s">
        <v>1515</v>
      </c>
      <c r="D1530" s="365" t="s">
        <v>1516</v>
      </c>
      <c r="E1530" s="365" t="s">
        <v>1517</v>
      </c>
      <c r="F1530" s="365" t="s">
        <v>6653</v>
      </c>
      <c r="G1530" s="370">
        <v>45621</v>
      </c>
      <c r="H1530" s="369">
        <v>46000</v>
      </c>
      <c r="I1530" s="365" t="s">
        <v>6654</v>
      </c>
      <c r="J1530" s="365" t="s">
        <v>1228</v>
      </c>
      <c r="K1530" s="365" t="s">
        <v>1229</v>
      </c>
      <c r="L1530" s="370">
        <v>45618.377233796295</v>
      </c>
    </row>
    <row r="1531" spans="1:12" s="365" customFormat="1">
      <c r="A1531" s="370">
        <v>45616.822534722225</v>
      </c>
      <c r="B1531" s="365" t="s">
        <v>6655</v>
      </c>
      <c r="C1531" s="365" t="s">
        <v>1399</v>
      </c>
      <c r="D1531" s="365" t="s">
        <v>1400</v>
      </c>
      <c r="E1531" s="365" t="s">
        <v>1401</v>
      </c>
      <c r="F1531" s="365" t="s">
        <v>6656</v>
      </c>
      <c r="G1531" s="370">
        <v>45621</v>
      </c>
      <c r="H1531" s="369">
        <v>15999</v>
      </c>
      <c r="I1531" s="365" t="s">
        <v>6657</v>
      </c>
      <c r="J1531" s="365" t="s">
        <v>1228</v>
      </c>
      <c r="K1531" s="365" t="s">
        <v>1229</v>
      </c>
      <c r="L1531" s="370">
        <v>45618.37740740741</v>
      </c>
    </row>
    <row r="1532" spans="1:12" s="365" customFormat="1">
      <c r="A1532" s="370">
        <v>45616.839907407404</v>
      </c>
      <c r="B1532" s="365" t="s">
        <v>6658</v>
      </c>
      <c r="C1532" s="365" t="s">
        <v>2390</v>
      </c>
      <c r="D1532" s="365" t="s">
        <v>2391</v>
      </c>
      <c r="E1532" s="365" t="s">
        <v>2392</v>
      </c>
      <c r="F1532" s="365" t="s">
        <v>6659</v>
      </c>
      <c r="G1532" s="370">
        <v>45621</v>
      </c>
      <c r="H1532" s="369">
        <v>18000</v>
      </c>
      <c r="I1532" s="365" t="s">
        <v>6660</v>
      </c>
      <c r="J1532" s="365" t="s">
        <v>1228</v>
      </c>
      <c r="K1532" s="365" t="s">
        <v>1229</v>
      </c>
      <c r="L1532" s="370">
        <v>45618.377430555556</v>
      </c>
    </row>
    <row r="1533" spans="1:12" s="365" customFormat="1">
      <c r="A1533" s="370">
        <v>45616.404814814814</v>
      </c>
      <c r="B1533" s="365" t="s">
        <v>6661</v>
      </c>
      <c r="C1533" s="365" t="s">
        <v>1259</v>
      </c>
      <c r="D1533" s="365" t="s">
        <v>1260</v>
      </c>
      <c r="E1533" s="365" t="s">
        <v>1261</v>
      </c>
      <c r="F1533" s="365" t="s">
        <v>6662</v>
      </c>
      <c r="G1533" s="370">
        <v>45621</v>
      </c>
      <c r="H1533" s="369">
        <v>63500</v>
      </c>
      <c r="I1533" s="365" t="s">
        <v>6663</v>
      </c>
      <c r="J1533" s="365" t="s">
        <v>1228</v>
      </c>
      <c r="K1533" s="365" t="s">
        <v>1229</v>
      </c>
      <c r="L1533" s="370">
        <v>45618.380011574074</v>
      </c>
    </row>
    <row r="1534" spans="1:12" s="365" customFormat="1">
      <c r="A1534" s="370">
        <v>45616.413437499999</v>
      </c>
      <c r="B1534" s="365" t="s">
        <v>6664</v>
      </c>
      <c r="C1534" s="365" t="s">
        <v>2449</v>
      </c>
      <c r="D1534" s="365" t="s">
        <v>2450</v>
      </c>
      <c r="E1534" s="365" t="s">
        <v>2451</v>
      </c>
      <c r="F1534" s="365" t="s">
        <v>6665</v>
      </c>
      <c r="G1534" s="370">
        <v>45621</v>
      </c>
      <c r="H1534" s="369">
        <v>15999</v>
      </c>
      <c r="I1534" s="365" t="s">
        <v>6666</v>
      </c>
      <c r="J1534" s="365" t="s">
        <v>1228</v>
      </c>
      <c r="K1534" s="365" t="s">
        <v>1229</v>
      </c>
      <c r="L1534" s="370">
        <v>45618.380196759259</v>
      </c>
    </row>
    <row r="1535" spans="1:12" s="365" customFormat="1">
      <c r="A1535" s="370">
        <v>45616.636724537035</v>
      </c>
      <c r="B1535" s="365" t="s">
        <v>6667</v>
      </c>
      <c r="C1535" s="365" t="s">
        <v>4302</v>
      </c>
      <c r="D1535" s="365" t="s">
        <v>4303</v>
      </c>
      <c r="E1535" s="365" t="s">
        <v>4304</v>
      </c>
      <c r="F1535" s="365" t="s">
        <v>6668</v>
      </c>
      <c r="G1535" s="370">
        <v>45621</v>
      </c>
      <c r="H1535" s="369">
        <v>15999</v>
      </c>
      <c r="I1535" s="365" t="s">
        <v>6669</v>
      </c>
      <c r="J1535" s="365" t="s">
        <v>1228</v>
      </c>
      <c r="K1535" s="365" t="s">
        <v>1229</v>
      </c>
      <c r="L1535" s="370">
        <v>45618.380381944444</v>
      </c>
    </row>
    <row r="1536" spans="1:12" s="365" customFormat="1">
      <c r="A1536" s="370">
        <v>45616.389027777775</v>
      </c>
      <c r="B1536" s="365" t="s">
        <v>6670</v>
      </c>
      <c r="C1536" s="365" t="s">
        <v>4596</v>
      </c>
      <c r="D1536" s="365" t="s">
        <v>4597</v>
      </c>
      <c r="E1536" s="365" t="s">
        <v>6671</v>
      </c>
      <c r="F1536" s="365" t="s">
        <v>6672</v>
      </c>
      <c r="G1536" s="370">
        <v>45621</v>
      </c>
      <c r="H1536" s="369">
        <v>22205</v>
      </c>
      <c r="I1536" s="365" t="s">
        <v>6673</v>
      </c>
      <c r="J1536" s="365" t="s">
        <v>1228</v>
      </c>
      <c r="K1536" s="365" t="s">
        <v>1229</v>
      </c>
      <c r="L1536" s="370">
        <v>45618.381319444445</v>
      </c>
    </row>
    <row r="1537" spans="1:12" s="365" customFormat="1">
      <c r="A1537" s="370">
        <v>45616.414837962962</v>
      </c>
      <c r="B1537" s="365" t="s">
        <v>6674</v>
      </c>
      <c r="C1537" s="365" t="s">
        <v>3283</v>
      </c>
      <c r="D1537" s="365" t="s">
        <v>3284</v>
      </c>
      <c r="E1537" s="365" t="s">
        <v>3285</v>
      </c>
      <c r="F1537" s="365" t="s">
        <v>6675</v>
      </c>
      <c r="G1537" s="370">
        <v>45621</v>
      </c>
      <c r="H1537" s="369">
        <v>40000</v>
      </c>
      <c r="I1537" s="365" t="s">
        <v>6676</v>
      </c>
      <c r="J1537" s="365" t="s">
        <v>1228</v>
      </c>
      <c r="K1537" s="365" t="s">
        <v>1229</v>
      </c>
      <c r="L1537" s="370">
        <v>45618.381504629629</v>
      </c>
    </row>
    <row r="1538" spans="1:12" s="365" customFormat="1">
      <c r="A1538" s="370">
        <v>45616.622337962966</v>
      </c>
      <c r="B1538" s="365" t="s">
        <v>6677</v>
      </c>
      <c r="C1538" s="365" t="s">
        <v>6678</v>
      </c>
      <c r="D1538" s="365" t="s">
        <v>1850</v>
      </c>
      <c r="E1538" s="365" t="s">
        <v>1851</v>
      </c>
      <c r="F1538" s="365" t="s">
        <v>6679</v>
      </c>
      <c r="G1538" s="370">
        <v>45621</v>
      </c>
      <c r="H1538" s="369">
        <v>16500</v>
      </c>
      <c r="I1538" s="365" t="s">
        <v>6680</v>
      </c>
      <c r="J1538" s="365" t="s">
        <v>1228</v>
      </c>
      <c r="K1538" s="365" t="s">
        <v>1229</v>
      </c>
      <c r="L1538" s="370">
        <v>45618.381516203706</v>
      </c>
    </row>
    <row r="1539" spans="1:12" s="365" customFormat="1">
      <c r="A1539" s="370">
        <v>45616.933020833334</v>
      </c>
      <c r="B1539" s="365" t="s">
        <v>6681</v>
      </c>
      <c r="C1539" s="365" t="s">
        <v>1555</v>
      </c>
      <c r="D1539" s="365" t="s">
        <v>1556</v>
      </c>
      <c r="E1539" s="365" t="s">
        <v>1557</v>
      </c>
      <c r="F1539" s="365" t="s">
        <v>6682</v>
      </c>
      <c r="G1539" s="370">
        <v>45621</v>
      </c>
      <c r="H1539" s="369">
        <v>23400</v>
      </c>
      <c r="I1539" s="365" t="s">
        <v>6683</v>
      </c>
      <c r="J1539" s="365" t="s">
        <v>1228</v>
      </c>
      <c r="K1539" s="365" t="s">
        <v>1229</v>
      </c>
      <c r="L1539" s="370">
        <v>45618.381701388891</v>
      </c>
    </row>
    <row r="1540" spans="1:12" s="365" customFormat="1">
      <c r="A1540" s="370">
        <v>45616.964259259257</v>
      </c>
      <c r="B1540" s="365" t="s">
        <v>6684</v>
      </c>
      <c r="C1540" s="365" t="s">
        <v>4385</v>
      </c>
      <c r="D1540" s="365" t="s">
        <v>4386</v>
      </c>
      <c r="E1540" s="365" t="s">
        <v>4387</v>
      </c>
      <c r="F1540" s="365" t="s">
        <v>6685</v>
      </c>
      <c r="G1540" s="370">
        <v>45595</v>
      </c>
      <c r="H1540" s="369">
        <v>18000</v>
      </c>
      <c r="I1540" s="365" t="s">
        <v>6686</v>
      </c>
      <c r="J1540" s="365" t="s">
        <v>1228</v>
      </c>
      <c r="K1540" s="365" t="s">
        <v>1229</v>
      </c>
      <c r="L1540" s="370">
        <v>45618.377615740741</v>
      </c>
    </row>
    <row r="1541" spans="1:12" s="365" customFormat="1">
      <c r="A1541" s="370">
        <v>45617.196261574078</v>
      </c>
      <c r="B1541" s="365" t="s">
        <v>6687</v>
      </c>
      <c r="C1541" s="365" t="s">
        <v>2541</v>
      </c>
      <c r="D1541" s="365" t="s">
        <v>2542</v>
      </c>
      <c r="E1541" s="365" t="s">
        <v>2543</v>
      </c>
      <c r="F1541" s="365" t="s">
        <v>6688</v>
      </c>
      <c r="G1541" s="370">
        <v>45595</v>
      </c>
      <c r="H1541" s="369">
        <v>15999</v>
      </c>
      <c r="I1541" s="365" t="s">
        <v>6689</v>
      </c>
      <c r="J1541" s="365" t="s">
        <v>1228</v>
      </c>
      <c r="K1541" s="365" t="s">
        <v>1229</v>
      </c>
      <c r="L1541" s="370">
        <v>45618.377789351849</v>
      </c>
    </row>
    <row r="1542" spans="1:12" s="365" customFormat="1">
      <c r="A1542" s="370">
        <v>45617.325185185182</v>
      </c>
      <c r="B1542" s="365" t="s">
        <v>6690</v>
      </c>
      <c r="C1542" s="365" t="s">
        <v>1239</v>
      </c>
      <c r="D1542" s="365" t="s">
        <v>3057</v>
      </c>
      <c r="E1542" s="365" t="s">
        <v>3058</v>
      </c>
      <c r="F1542" s="365" t="s">
        <v>6691</v>
      </c>
      <c r="G1542" s="370">
        <v>45595</v>
      </c>
      <c r="H1542" s="369">
        <v>15999</v>
      </c>
      <c r="I1542" s="365" t="s">
        <v>6692</v>
      </c>
      <c r="J1542" s="365" t="s">
        <v>1228</v>
      </c>
      <c r="K1542" s="365" t="s">
        <v>1229</v>
      </c>
      <c r="L1542" s="370">
        <v>45618.377974537034</v>
      </c>
    </row>
    <row r="1543" spans="1:12" s="365" customFormat="1">
      <c r="A1543" s="370">
        <v>45617.329664351855</v>
      </c>
      <c r="B1543" s="365" t="s">
        <v>6693</v>
      </c>
      <c r="C1543" s="365" t="s">
        <v>1419</v>
      </c>
      <c r="D1543" s="365" t="s">
        <v>1420</v>
      </c>
      <c r="E1543" s="365" t="s">
        <v>1421</v>
      </c>
      <c r="F1543" s="365" t="s">
        <v>6694</v>
      </c>
      <c r="G1543" s="370">
        <v>45621</v>
      </c>
      <c r="H1543" s="369">
        <v>246000</v>
      </c>
      <c r="I1543" s="365" t="s">
        <v>6695</v>
      </c>
      <c r="J1543" s="365" t="s">
        <v>1228</v>
      </c>
      <c r="K1543" s="365" t="s">
        <v>1229</v>
      </c>
      <c r="L1543" s="370">
        <v>45618.378159722219</v>
      </c>
    </row>
    <row r="1544" spans="1:12" s="365" customFormat="1">
      <c r="A1544" s="370">
        <v>45617.330127314817</v>
      </c>
      <c r="B1544" s="365" t="s">
        <v>6696</v>
      </c>
      <c r="C1544" s="365" t="s">
        <v>1291</v>
      </c>
      <c r="D1544" s="365" t="s">
        <v>1292</v>
      </c>
      <c r="E1544" s="365" t="s">
        <v>1293</v>
      </c>
      <c r="F1544" s="365" t="s">
        <v>6697</v>
      </c>
      <c r="G1544" s="370">
        <v>45595</v>
      </c>
      <c r="H1544" s="369">
        <v>153000</v>
      </c>
      <c r="I1544" s="365" t="s">
        <v>6698</v>
      </c>
      <c r="J1544" s="365" t="s">
        <v>1228</v>
      </c>
      <c r="K1544" s="365" t="s">
        <v>1229</v>
      </c>
      <c r="L1544" s="370">
        <v>45618.378333333334</v>
      </c>
    </row>
    <row r="1545" spans="1:12" s="365" customFormat="1">
      <c r="A1545" s="370">
        <v>45617.453321759262</v>
      </c>
      <c r="B1545" s="365" t="s">
        <v>6699</v>
      </c>
      <c r="C1545" s="365" t="s">
        <v>4070</v>
      </c>
      <c r="D1545" s="365" t="s">
        <v>4071</v>
      </c>
      <c r="E1545" s="365" t="s">
        <v>4072</v>
      </c>
      <c r="F1545" s="365" t="s">
        <v>6700</v>
      </c>
      <c r="G1545" s="370">
        <v>45621</v>
      </c>
      <c r="H1545" s="369">
        <v>25000</v>
      </c>
      <c r="I1545" s="365" t="s">
        <v>6701</v>
      </c>
      <c r="J1545" s="365" t="s">
        <v>1228</v>
      </c>
      <c r="K1545" s="365" t="s">
        <v>1229</v>
      </c>
      <c r="L1545" s="370">
        <v>45618.378518518519</v>
      </c>
    </row>
    <row r="1546" spans="1:12" s="365" customFormat="1">
      <c r="A1546" s="370">
        <v>45617.667905092596</v>
      </c>
      <c r="B1546" s="365" t="s">
        <v>6702</v>
      </c>
      <c r="C1546" s="365" t="s">
        <v>6703</v>
      </c>
      <c r="D1546" s="365" t="s">
        <v>6704</v>
      </c>
      <c r="E1546" s="365" t="s">
        <v>6705</v>
      </c>
      <c r="F1546" s="365" t="s">
        <v>6706</v>
      </c>
      <c r="G1546" s="370">
        <v>45621</v>
      </c>
      <c r="H1546" s="369">
        <v>25000</v>
      </c>
      <c r="I1546" s="365" t="s">
        <v>6707</v>
      </c>
      <c r="J1546" s="365" t="s">
        <v>1228</v>
      </c>
      <c r="K1546" s="365" t="s">
        <v>1229</v>
      </c>
      <c r="L1546" s="370">
        <v>45618.37871527778</v>
      </c>
    </row>
    <row r="1547" spans="1:12" s="365" customFormat="1">
      <c r="A1547" s="370">
        <v>45617.670219907406</v>
      </c>
      <c r="B1547" s="365" t="s">
        <v>6708</v>
      </c>
      <c r="C1547" s="365" t="s">
        <v>6703</v>
      </c>
      <c r="D1547" s="365" t="s">
        <v>6704</v>
      </c>
      <c r="E1547" s="365" t="s">
        <v>6705</v>
      </c>
      <c r="F1547" s="365" t="s">
        <v>6709</v>
      </c>
      <c r="G1547" s="370">
        <v>45595</v>
      </c>
      <c r="H1547" s="369">
        <v>25000</v>
      </c>
      <c r="I1547" s="365" t="s">
        <v>6710</v>
      </c>
      <c r="J1547" s="365" t="s">
        <v>1228</v>
      </c>
      <c r="K1547" s="365" t="s">
        <v>1229</v>
      </c>
      <c r="L1547" s="370">
        <v>45618.378900462965</v>
      </c>
    </row>
    <row r="1548" spans="1:12" s="365" customFormat="1">
      <c r="A1548" s="370">
        <v>45617.704432870371</v>
      </c>
      <c r="B1548" s="365" t="s">
        <v>6711</v>
      </c>
      <c r="C1548" s="365" t="s">
        <v>1462</v>
      </c>
      <c r="D1548" s="365" t="s">
        <v>1463</v>
      </c>
      <c r="E1548" s="365" t="s">
        <v>1464</v>
      </c>
      <c r="F1548" s="365" t="s">
        <v>6712</v>
      </c>
      <c r="G1548" s="370">
        <v>45621</v>
      </c>
      <c r="H1548" s="369">
        <v>63999</v>
      </c>
      <c r="I1548" s="365" t="s">
        <v>6713</v>
      </c>
      <c r="J1548" s="365" t="s">
        <v>1228</v>
      </c>
      <c r="K1548" s="365" t="s">
        <v>1229</v>
      </c>
      <c r="L1548" s="370">
        <v>45618.379074074073</v>
      </c>
    </row>
    <row r="1549" spans="1:12" s="365" customFormat="1">
      <c r="A1549" s="370">
        <v>45617.728391203702</v>
      </c>
      <c r="B1549" s="365" t="s">
        <v>6714</v>
      </c>
      <c r="C1549" s="365" t="s">
        <v>1239</v>
      </c>
      <c r="D1549" s="365" t="s">
        <v>1567</v>
      </c>
      <c r="E1549" s="365" t="s">
        <v>1568</v>
      </c>
      <c r="F1549" s="365" t="s">
        <v>6715</v>
      </c>
      <c r="G1549" s="370">
        <v>45621</v>
      </c>
      <c r="H1549" s="369">
        <v>15999</v>
      </c>
      <c r="I1549" s="365" t="s">
        <v>6716</v>
      </c>
      <c r="J1549" s="365" t="s">
        <v>1228</v>
      </c>
      <c r="K1549" s="365" t="s">
        <v>1229</v>
      </c>
      <c r="L1549" s="370">
        <v>45618.379259259258</v>
      </c>
    </row>
    <row r="1550" spans="1:12" s="365" customFormat="1">
      <c r="A1550" s="370">
        <v>45617.748564814814</v>
      </c>
      <c r="B1550" s="365" t="s">
        <v>6717</v>
      </c>
      <c r="C1550" s="365" t="s">
        <v>6718</v>
      </c>
      <c r="D1550" s="365" t="s">
        <v>6719</v>
      </c>
      <c r="E1550" s="365" t="s">
        <v>6720</v>
      </c>
      <c r="F1550" s="365" t="s">
        <v>6721</v>
      </c>
      <c r="G1550" s="370">
        <v>45621</v>
      </c>
      <c r="H1550" s="369">
        <v>15999</v>
      </c>
      <c r="I1550" s="365" t="s">
        <v>6722</v>
      </c>
      <c r="J1550" s="365" t="s">
        <v>1228</v>
      </c>
      <c r="K1550" s="365" t="s">
        <v>1229</v>
      </c>
      <c r="L1550" s="370">
        <v>45618.379444444443</v>
      </c>
    </row>
    <row r="1551" spans="1:12" s="365" customFormat="1">
      <c r="A1551" s="370">
        <v>45617.765277777777</v>
      </c>
      <c r="B1551" s="365" t="s">
        <v>6723</v>
      </c>
      <c r="C1551" s="365" t="s">
        <v>6724</v>
      </c>
      <c r="D1551" s="365" t="s">
        <v>5648</v>
      </c>
      <c r="E1551" s="365" t="s">
        <v>5649</v>
      </c>
      <c r="F1551" s="365" t="s">
        <v>6725</v>
      </c>
      <c r="G1551" s="370">
        <v>45621</v>
      </c>
      <c r="H1551" s="369">
        <v>15000</v>
      </c>
      <c r="I1551" s="365" t="s">
        <v>6726</v>
      </c>
      <c r="J1551" s="365" t="s">
        <v>1228</v>
      </c>
      <c r="K1551" s="365" t="s">
        <v>1229</v>
      </c>
      <c r="L1551" s="370">
        <v>45618.379467592589</v>
      </c>
    </row>
    <row r="1552" spans="1:12" s="365" customFormat="1">
      <c r="A1552" s="370">
        <v>45617.777777777781</v>
      </c>
      <c r="B1552" s="365" t="s">
        <v>6727</v>
      </c>
      <c r="C1552" s="365" t="s">
        <v>5780</v>
      </c>
      <c r="D1552" s="365" t="s">
        <v>5781</v>
      </c>
      <c r="E1552" s="365" t="s">
        <v>5782</v>
      </c>
      <c r="F1552" s="365" t="s">
        <v>6728</v>
      </c>
      <c r="G1552" s="370">
        <v>45530</v>
      </c>
      <c r="H1552" s="369">
        <v>89000</v>
      </c>
      <c r="I1552" s="365" t="s">
        <v>6729</v>
      </c>
      <c r="J1552" s="365" t="s">
        <v>1228</v>
      </c>
      <c r="K1552" s="365" t="s">
        <v>1229</v>
      </c>
      <c r="L1552" s="370">
        <v>45618.379652777781</v>
      </c>
    </row>
    <row r="1553" spans="1:12" s="365" customFormat="1">
      <c r="A1553" s="370">
        <v>45617.284722222219</v>
      </c>
      <c r="B1553" s="365" t="s">
        <v>6730</v>
      </c>
      <c r="C1553" s="365" t="s">
        <v>1273</v>
      </c>
      <c r="D1553" s="365" t="s">
        <v>1274</v>
      </c>
      <c r="E1553" s="365" t="s">
        <v>1275</v>
      </c>
      <c r="F1553" s="365" t="s">
        <v>6731</v>
      </c>
      <c r="G1553" s="370">
        <v>45595</v>
      </c>
      <c r="H1553" s="369">
        <v>129600</v>
      </c>
      <c r="I1553" s="365" t="s">
        <v>6732</v>
      </c>
      <c r="J1553" s="365" t="s">
        <v>1228</v>
      </c>
      <c r="K1553" s="365" t="s">
        <v>1229</v>
      </c>
      <c r="L1553" s="370">
        <v>45618.380567129629</v>
      </c>
    </row>
    <row r="1554" spans="1:12" s="365" customFormat="1">
      <c r="A1554" s="370">
        <v>45617.438587962963</v>
      </c>
      <c r="B1554" s="365" t="s">
        <v>6733</v>
      </c>
      <c r="C1554" s="365" t="s">
        <v>5628</v>
      </c>
      <c r="D1554" s="365" t="s">
        <v>5629</v>
      </c>
      <c r="E1554" s="365" t="s">
        <v>5630</v>
      </c>
      <c r="F1554" s="365" t="s">
        <v>6734</v>
      </c>
      <c r="G1554" s="370">
        <v>45621</v>
      </c>
      <c r="H1554" s="369">
        <v>15001</v>
      </c>
      <c r="I1554" s="365" t="s">
        <v>6735</v>
      </c>
      <c r="J1554" s="365" t="s">
        <v>1228</v>
      </c>
      <c r="K1554" s="365" t="s">
        <v>1229</v>
      </c>
      <c r="L1554" s="370">
        <v>45618.380752314813</v>
      </c>
    </row>
    <row r="1555" spans="1:12" s="365" customFormat="1">
      <c r="A1555" s="370">
        <v>45617.755949074075</v>
      </c>
      <c r="B1555" s="365" t="s">
        <v>6736</v>
      </c>
      <c r="C1555" s="365" t="s">
        <v>1518</v>
      </c>
      <c r="D1555" s="365" t="s">
        <v>1519</v>
      </c>
      <c r="E1555" s="365" t="s">
        <v>6737</v>
      </c>
      <c r="F1555" s="365" t="s">
        <v>6738</v>
      </c>
      <c r="G1555" s="370">
        <v>45621</v>
      </c>
      <c r="H1555" s="369">
        <v>28000</v>
      </c>
      <c r="I1555" s="365" t="s">
        <v>6739</v>
      </c>
      <c r="J1555" s="365" t="s">
        <v>1228</v>
      </c>
      <c r="K1555" s="365" t="s">
        <v>1229</v>
      </c>
      <c r="L1555" s="370">
        <v>45618.38076388889</v>
      </c>
    </row>
    <row r="1556" spans="1:12" s="365" customFormat="1">
      <c r="A1556" s="370">
        <v>45617.954513888886</v>
      </c>
      <c r="B1556" s="365" t="s">
        <v>6740</v>
      </c>
      <c r="C1556" s="365" t="s">
        <v>4938</v>
      </c>
      <c r="D1556" s="365" t="s">
        <v>4939</v>
      </c>
      <c r="E1556" s="365" t="s">
        <v>4940</v>
      </c>
      <c r="F1556" s="365" t="s">
        <v>6741</v>
      </c>
      <c r="G1556" s="370">
        <v>45621</v>
      </c>
      <c r="H1556" s="369">
        <v>23000</v>
      </c>
      <c r="I1556" s="365" t="s">
        <v>6742</v>
      </c>
      <c r="J1556" s="365" t="s">
        <v>1228</v>
      </c>
      <c r="K1556" s="365" t="s">
        <v>1229</v>
      </c>
      <c r="L1556" s="370">
        <v>45618.380949074075</v>
      </c>
    </row>
    <row r="1557" spans="1:12" s="365" customFormat="1">
      <c r="A1557" s="370">
        <v>45617.327060185184</v>
      </c>
      <c r="B1557" s="365" t="s">
        <v>6743</v>
      </c>
      <c r="C1557" s="365" t="s">
        <v>1239</v>
      </c>
      <c r="D1557" s="365" t="s">
        <v>1761</v>
      </c>
      <c r="E1557" s="365" t="s">
        <v>1762</v>
      </c>
      <c r="F1557" s="365" t="s">
        <v>6744</v>
      </c>
      <c r="G1557" s="370">
        <v>45621</v>
      </c>
      <c r="H1557" s="369">
        <v>15999</v>
      </c>
      <c r="I1557" s="365" t="s">
        <v>6745</v>
      </c>
      <c r="J1557" s="365" t="s">
        <v>1228</v>
      </c>
      <c r="K1557" s="365" t="s">
        <v>1229</v>
      </c>
      <c r="L1557" s="370">
        <v>45618.381874999999</v>
      </c>
    </row>
    <row r="1558" spans="1:12" s="365" customFormat="1">
      <c r="A1558" s="370">
        <v>45617.359965277778</v>
      </c>
      <c r="B1558" s="365" t="s">
        <v>6746</v>
      </c>
      <c r="C1558" s="365" t="s">
        <v>1691</v>
      </c>
      <c r="D1558" s="365" t="s">
        <v>1692</v>
      </c>
      <c r="E1558" s="365" t="s">
        <v>1693</v>
      </c>
      <c r="F1558" s="365" t="s">
        <v>6747</v>
      </c>
      <c r="G1558" s="370">
        <v>45595</v>
      </c>
      <c r="H1558" s="369">
        <v>15000</v>
      </c>
      <c r="I1558" s="365" t="s">
        <v>6748</v>
      </c>
      <c r="J1558" s="365" t="s">
        <v>1228</v>
      </c>
      <c r="K1558" s="365" t="s">
        <v>1229</v>
      </c>
      <c r="L1558" s="370">
        <v>45618.382060185184</v>
      </c>
    </row>
    <row r="1559" spans="1:12" s="365" customFormat="1">
      <c r="A1559" s="370">
        <v>45617.391550925924</v>
      </c>
      <c r="B1559" s="365" t="s">
        <v>6749</v>
      </c>
      <c r="C1559" s="365" t="s">
        <v>2553</v>
      </c>
      <c r="D1559" s="365" t="s">
        <v>2554</v>
      </c>
      <c r="E1559" s="365" t="s">
        <v>2555</v>
      </c>
      <c r="F1559" s="365" t="s">
        <v>6750</v>
      </c>
      <c r="G1559" s="370">
        <v>45498</v>
      </c>
      <c r="H1559" s="369">
        <v>18000</v>
      </c>
      <c r="I1559" s="365" t="s">
        <v>6751</v>
      </c>
      <c r="J1559" s="365" t="s">
        <v>1228</v>
      </c>
      <c r="K1559" s="365" t="s">
        <v>1229</v>
      </c>
      <c r="L1559" s="370">
        <v>45618.382256944446</v>
      </c>
    </row>
    <row r="1560" spans="1:12" s="365" customFormat="1">
      <c r="A1560" s="370">
        <v>45617.445879629631</v>
      </c>
      <c r="B1560" s="365" t="s">
        <v>6752</v>
      </c>
      <c r="C1560" s="365" t="s">
        <v>4760</v>
      </c>
      <c r="D1560" s="365" t="s">
        <v>4761</v>
      </c>
      <c r="E1560" s="365" t="s">
        <v>4762</v>
      </c>
      <c r="F1560" s="365" t="s">
        <v>6753</v>
      </c>
      <c r="G1560" s="370">
        <v>45621</v>
      </c>
      <c r="H1560" s="369">
        <v>42000</v>
      </c>
      <c r="I1560" s="365" t="s">
        <v>6754</v>
      </c>
      <c r="J1560" s="365" t="s">
        <v>1228</v>
      </c>
      <c r="K1560" s="365" t="s">
        <v>1229</v>
      </c>
      <c r="L1560" s="370">
        <v>45618.382465277777</v>
      </c>
    </row>
    <row r="1561" spans="1:12" s="365" customFormat="1">
      <c r="A1561" s="370">
        <v>45617.706886574073</v>
      </c>
      <c r="B1561" s="365" t="s">
        <v>6755</v>
      </c>
      <c r="C1561" s="365" t="s">
        <v>1653</v>
      </c>
      <c r="D1561" s="365" t="s">
        <v>1654</v>
      </c>
      <c r="E1561" s="365" t="s">
        <v>1655</v>
      </c>
      <c r="F1561" s="365" t="s">
        <v>6756</v>
      </c>
      <c r="G1561" s="370">
        <v>45595</v>
      </c>
      <c r="H1561" s="369">
        <v>89000</v>
      </c>
      <c r="I1561" s="365" t="s">
        <v>6757</v>
      </c>
      <c r="J1561" s="365" t="s">
        <v>1228</v>
      </c>
      <c r="K1561" s="365" t="s">
        <v>1229</v>
      </c>
      <c r="L1561" s="370">
        <v>45618.382650462961</v>
      </c>
    </row>
    <row r="1562" spans="1:12" s="365" customFormat="1">
      <c r="A1562" s="370">
        <v>45617.714456018519</v>
      </c>
      <c r="B1562" s="365" t="s">
        <v>6758</v>
      </c>
      <c r="C1562" s="365" t="s">
        <v>3750</v>
      </c>
      <c r="D1562" s="365" t="s">
        <v>3751</v>
      </c>
      <c r="E1562" s="365" t="s">
        <v>3752</v>
      </c>
      <c r="F1562" s="365" t="s">
        <v>6759</v>
      </c>
      <c r="G1562" s="370">
        <v>45621</v>
      </c>
      <c r="H1562" s="369">
        <v>30000</v>
      </c>
      <c r="I1562" s="365" t="s">
        <v>6760</v>
      </c>
      <c r="J1562" s="365" t="s">
        <v>1228</v>
      </c>
      <c r="K1562" s="365" t="s">
        <v>1229</v>
      </c>
      <c r="L1562" s="370">
        <v>45618.382824074077</v>
      </c>
    </row>
    <row r="1563" spans="1:12" s="365" customFormat="1">
      <c r="A1563" s="370">
        <v>45617.727719907409</v>
      </c>
      <c r="B1563" s="365" t="s">
        <v>6761</v>
      </c>
      <c r="C1563" s="365" t="s">
        <v>1239</v>
      </c>
      <c r="D1563" s="365" t="s">
        <v>1567</v>
      </c>
      <c r="E1563" s="365" t="s">
        <v>1568</v>
      </c>
      <c r="F1563" s="365" t="s">
        <v>6762</v>
      </c>
      <c r="G1563" s="370">
        <v>45595</v>
      </c>
      <c r="H1563" s="369">
        <v>15999</v>
      </c>
      <c r="I1563" s="365" t="s">
        <v>6763</v>
      </c>
      <c r="J1563" s="365" t="s">
        <v>1228</v>
      </c>
      <c r="K1563" s="365" t="s">
        <v>1229</v>
      </c>
      <c r="L1563" s="370">
        <v>45618.383009259262</v>
      </c>
    </row>
    <row r="1564" spans="1:12" s="365" customFormat="1">
      <c r="A1564" s="370">
        <v>45618.307129629633</v>
      </c>
      <c r="B1564" s="365" t="s">
        <v>6764</v>
      </c>
      <c r="C1564" s="365" t="s">
        <v>3687</v>
      </c>
      <c r="D1564" s="365" t="s">
        <v>3688</v>
      </c>
      <c r="E1564" s="365" t="s">
        <v>3689</v>
      </c>
      <c r="F1564" s="365" t="s">
        <v>6765</v>
      </c>
      <c r="G1564" s="370">
        <v>45621</v>
      </c>
      <c r="H1564" s="369">
        <v>15999</v>
      </c>
      <c r="I1564" s="365" t="s">
        <v>6766</v>
      </c>
      <c r="J1564" s="365" t="s">
        <v>1228</v>
      </c>
      <c r="K1564" s="365" t="s">
        <v>1229</v>
      </c>
      <c r="L1564" s="370">
        <v>45618.379837962966</v>
      </c>
    </row>
    <row r="1565" spans="1:12" s="365" customFormat="1">
      <c r="A1565" s="370">
        <v>45618.457175925927</v>
      </c>
      <c r="B1565" s="365" t="s">
        <v>6767</v>
      </c>
      <c r="C1565" s="365" t="s">
        <v>6768</v>
      </c>
      <c r="D1565" s="365" t="s">
        <v>6769</v>
      </c>
      <c r="E1565" s="365" t="s">
        <v>6770</v>
      </c>
      <c r="F1565" s="365" t="s">
        <v>6771</v>
      </c>
      <c r="G1565" s="370">
        <v>45621</v>
      </c>
      <c r="H1565" s="369">
        <v>14201</v>
      </c>
      <c r="I1565" s="365" t="s">
        <v>6772</v>
      </c>
      <c r="J1565" s="365" t="s">
        <v>1228</v>
      </c>
      <c r="K1565" s="365" t="s">
        <v>1229</v>
      </c>
      <c r="L1565" s="370">
        <v>45618.459548611114</v>
      </c>
    </row>
    <row r="1566" spans="1:12" s="365" customFormat="1">
      <c r="A1566" s="370">
        <v>45618.472962962966</v>
      </c>
      <c r="B1566" s="365" t="s">
        <v>6773</v>
      </c>
      <c r="C1566" s="365" t="s">
        <v>4816</v>
      </c>
      <c r="D1566" s="365" t="s">
        <v>4817</v>
      </c>
      <c r="E1566" s="365" t="s">
        <v>4818</v>
      </c>
      <c r="F1566" s="365" t="s">
        <v>6774</v>
      </c>
      <c r="G1566" s="370">
        <v>45621</v>
      </c>
      <c r="H1566" s="369">
        <v>20999</v>
      </c>
      <c r="I1566" s="365" t="s">
        <v>6775</v>
      </c>
      <c r="J1566" s="365" t="s">
        <v>1228</v>
      </c>
      <c r="K1566" s="365" t="s">
        <v>1229</v>
      </c>
      <c r="L1566" s="370">
        <v>45618.473425925928</v>
      </c>
    </row>
    <row r="1567" spans="1:12" s="365" customFormat="1">
      <c r="A1567" s="370">
        <v>45618.477280092593</v>
      </c>
      <c r="B1567" s="365" t="s">
        <v>6776</v>
      </c>
      <c r="C1567" s="365" t="s">
        <v>3404</v>
      </c>
      <c r="D1567" s="365" t="s">
        <v>3405</v>
      </c>
      <c r="E1567" s="365" t="s">
        <v>3406</v>
      </c>
      <c r="F1567" s="365" t="s">
        <v>6777</v>
      </c>
      <c r="G1567" s="370">
        <v>45621</v>
      </c>
      <c r="H1567" s="369">
        <v>15999</v>
      </c>
      <c r="I1567" s="365" t="s">
        <v>6778</v>
      </c>
      <c r="J1567" s="365" t="s">
        <v>1228</v>
      </c>
      <c r="K1567" s="365" t="s">
        <v>1229</v>
      </c>
      <c r="L1567" s="370">
        <v>45618.480196759258</v>
      </c>
    </row>
    <row r="1568" spans="1:12" s="365" customFormat="1">
      <c r="A1568" s="370">
        <v>45618.482187499998</v>
      </c>
      <c r="B1568" s="365" t="s">
        <v>6779</v>
      </c>
      <c r="C1568" s="365" t="s">
        <v>4581</v>
      </c>
      <c r="D1568" s="365" t="s">
        <v>4582</v>
      </c>
      <c r="E1568" s="365" t="s">
        <v>4583</v>
      </c>
      <c r="F1568" s="365" t="s">
        <v>6780</v>
      </c>
      <c r="G1568" s="370">
        <v>45621</v>
      </c>
      <c r="H1568" s="369">
        <v>15999</v>
      </c>
      <c r="I1568" s="365" t="s">
        <v>6781</v>
      </c>
      <c r="J1568" s="365" t="s">
        <v>1228</v>
      </c>
      <c r="K1568" s="365" t="s">
        <v>1229</v>
      </c>
      <c r="L1568" s="370">
        <v>45618.483749999999</v>
      </c>
    </row>
    <row r="1569" spans="1:12" s="365" customFormat="1">
      <c r="A1569" s="370">
        <v>45618.485983796294</v>
      </c>
      <c r="B1569" s="365" t="s">
        <v>6782</v>
      </c>
      <c r="C1569" s="365" t="s">
        <v>1279</v>
      </c>
      <c r="D1569" s="365" t="s">
        <v>1280</v>
      </c>
      <c r="E1569" s="365" t="s">
        <v>1281</v>
      </c>
      <c r="F1569" s="365" t="s">
        <v>6783</v>
      </c>
      <c r="G1569" s="370">
        <v>45621</v>
      </c>
      <c r="H1569" s="369">
        <v>24000</v>
      </c>
      <c r="I1569" s="365" t="s">
        <v>6784</v>
      </c>
      <c r="J1569" s="365" t="s">
        <v>1228</v>
      </c>
      <c r="K1569" s="365" t="s">
        <v>1229</v>
      </c>
      <c r="L1569" s="370">
        <v>45618.487129629626</v>
      </c>
    </row>
    <row r="1570" spans="1:12" s="365" customFormat="1">
      <c r="A1570" s="370">
        <v>45618.512731481482</v>
      </c>
      <c r="B1570" s="365" t="s">
        <v>6785</v>
      </c>
      <c r="C1570" s="365" t="s">
        <v>3508</v>
      </c>
      <c r="D1570" s="365" t="s">
        <v>3509</v>
      </c>
      <c r="E1570" s="365" t="s">
        <v>3510</v>
      </c>
      <c r="F1570" s="365" t="s">
        <v>6786</v>
      </c>
      <c r="G1570" s="370">
        <v>45621</v>
      </c>
      <c r="H1570" s="369">
        <v>27000</v>
      </c>
      <c r="I1570" s="365" t="s">
        <v>6787</v>
      </c>
      <c r="J1570" s="365" t="s">
        <v>1228</v>
      </c>
      <c r="K1570" s="365" t="s">
        <v>1229</v>
      </c>
      <c r="L1570" s="370">
        <v>45618.515081018515</v>
      </c>
    </row>
    <row r="1571" spans="1:12" s="365" customFormat="1">
      <c r="A1571" s="370">
        <v>45618.582627314812</v>
      </c>
      <c r="B1571" s="365" t="s">
        <v>6788</v>
      </c>
      <c r="C1571" s="365" t="s">
        <v>1225</v>
      </c>
      <c r="D1571" s="365" t="s">
        <v>1226</v>
      </c>
      <c r="E1571" s="365" t="s">
        <v>1227</v>
      </c>
      <c r="F1571" s="365" t="s">
        <v>6789</v>
      </c>
      <c r="G1571" s="370">
        <v>45621</v>
      </c>
      <c r="H1571" s="369">
        <v>30999</v>
      </c>
      <c r="I1571" s="365" t="s">
        <v>6790</v>
      </c>
      <c r="J1571" s="365" t="s">
        <v>1228</v>
      </c>
      <c r="K1571" s="365" t="s">
        <v>1229</v>
      </c>
      <c r="L1571" s="370">
        <v>45618.584467592591</v>
      </c>
    </row>
    <row r="1572" spans="1:12" s="365" customFormat="1">
      <c r="A1572" s="370">
        <v>45618.615682870368</v>
      </c>
      <c r="B1572" s="365" t="s">
        <v>6791</v>
      </c>
      <c r="C1572" s="365" t="s">
        <v>4935</v>
      </c>
      <c r="D1572" s="365" t="s">
        <v>4936</v>
      </c>
      <c r="E1572" s="365" t="s">
        <v>4937</v>
      </c>
      <c r="F1572" s="365" t="s">
        <v>6792</v>
      </c>
      <c r="G1572" s="370">
        <v>45621</v>
      </c>
      <c r="H1572" s="369">
        <v>18000</v>
      </c>
      <c r="I1572" s="365" t="s">
        <v>6793</v>
      </c>
      <c r="J1572" s="365" t="s">
        <v>1228</v>
      </c>
      <c r="K1572" s="365" t="s">
        <v>1229</v>
      </c>
      <c r="L1572" s="370">
        <v>45618.618981481479</v>
      </c>
    </row>
    <row r="1573" spans="1:12" s="365" customFormat="1">
      <c r="A1573" s="370">
        <v>45618.626747685186</v>
      </c>
      <c r="B1573" s="365" t="s">
        <v>6794</v>
      </c>
      <c r="C1573" s="365" t="s">
        <v>4730</v>
      </c>
      <c r="D1573" s="365" t="s">
        <v>4731</v>
      </c>
      <c r="E1573" s="365" t="s">
        <v>4732</v>
      </c>
      <c r="F1573" s="365" t="s">
        <v>6795</v>
      </c>
      <c r="G1573" s="370">
        <v>45621</v>
      </c>
      <c r="H1573" s="369">
        <v>65000</v>
      </c>
      <c r="I1573" s="365" t="s">
        <v>6796</v>
      </c>
      <c r="J1573" s="365" t="s">
        <v>1228</v>
      </c>
      <c r="K1573" s="365" t="s">
        <v>1229</v>
      </c>
      <c r="L1573" s="370">
        <v>45618.629652777781</v>
      </c>
    </row>
    <row r="1574" spans="1:12" s="365" customFormat="1">
      <c r="A1574" s="370">
        <v>45618.661354166667</v>
      </c>
      <c r="B1574" s="365" t="s">
        <v>6797</v>
      </c>
      <c r="C1574" s="365" t="s">
        <v>3933</v>
      </c>
      <c r="D1574" s="365" t="s">
        <v>3934</v>
      </c>
      <c r="E1574" s="365" t="s">
        <v>3935</v>
      </c>
      <c r="F1574" s="365" t="s">
        <v>6798</v>
      </c>
      <c r="G1574" s="370">
        <v>45621</v>
      </c>
      <c r="H1574" s="369">
        <v>20999</v>
      </c>
      <c r="I1574" s="365" t="s">
        <v>6799</v>
      </c>
      <c r="J1574" s="365" t="s">
        <v>1228</v>
      </c>
      <c r="K1574" s="365" t="s">
        <v>1229</v>
      </c>
      <c r="L1574" s="370">
        <v>45618.664178240739</v>
      </c>
    </row>
    <row r="1575" spans="1:12" s="365" customFormat="1">
      <c r="A1575" s="370">
        <v>45618.69734953704</v>
      </c>
      <c r="B1575" s="365" t="s">
        <v>6800</v>
      </c>
      <c r="C1575" s="365" t="s">
        <v>4265</v>
      </c>
      <c r="D1575" s="365" t="s">
        <v>4266</v>
      </c>
      <c r="E1575" s="365" t="s">
        <v>4267</v>
      </c>
      <c r="F1575" s="365" t="s">
        <v>6801</v>
      </c>
      <c r="G1575" s="370">
        <v>45621</v>
      </c>
      <c r="H1575" s="369">
        <v>45000</v>
      </c>
      <c r="I1575" s="365" t="s">
        <v>6802</v>
      </c>
      <c r="J1575" s="365" t="s">
        <v>1228</v>
      </c>
      <c r="K1575" s="365" t="s">
        <v>1229</v>
      </c>
      <c r="L1575" s="370">
        <v>45618.698877314811</v>
      </c>
    </row>
    <row r="1576" spans="1:12" s="365" customFormat="1">
      <c r="A1576" s="370">
        <v>45618.702303240738</v>
      </c>
      <c r="B1576" s="365" t="s">
        <v>6803</v>
      </c>
      <c r="C1576" s="365" t="s">
        <v>3428</v>
      </c>
      <c r="D1576" s="365" t="s">
        <v>3429</v>
      </c>
      <c r="E1576" s="365" t="s">
        <v>3430</v>
      </c>
      <c r="F1576" s="365" t="s">
        <v>6804</v>
      </c>
      <c r="G1576" s="370">
        <v>45621</v>
      </c>
      <c r="H1576" s="369">
        <v>20999</v>
      </c>
      <c r="I1576" s="365" t="s">
        <v>6805</v>
      </c>
      <c r="J1576" s="365" t="s">
        <v>1228</v>
      </c>
      <c r="K1576" s="365" t="s">
        <v>1229</v>
      </c>
      <c r="L1576" s="370">
        <v>45618.702604166669</v>
      </c>
    </row>
    <row r="1577" spans="1:12" s="365" customFormat="1">
      <c r="A1577" s="370">
        <v>45618.719085648147</v>
      </c>
      <c r="B1577" s="365" t="s">
        <v>6806</v>
      </c>
      <c r="C1577" s="365" t="s">
        <v>1486</v>
      </c>
      <c r="D1577" s="365" t="s">
        <v>1487</v>
      </c>
      <c r="E1577" s="365" t="s">
        <v>1488</v>
      </c>
      <c r="F1577" s="365" t="s">
        <v>6807</v>
      </c>
      <c r="G1577" s="370">
        <v>45621</v>
      </c>
      <c r="H1577" s="369">
        <v>20000</v>
      </c>
      <c r="I1577" s="365" t="s">
        <v>6808</v>
      </c>
      <c r="J1577" s="365" t="s">
        <v>1228</v>
      </c>
      <c r="K1577" s="365" t="s">
        <v>1229</v>
      </c>
      <c r="L1577" s="370">
        <v>45618.719699074078</v>
      </c>
    </row>
    <row r="1578" spans="1:12" s="365" customFormat="1">
      <c r="A1578" s="370">
        <v>45618.817974537036</v>
      </c>
      <c r="B1578" s="365" t="s">
        <v>6809</v>
      </c>
      <c r="C1578" s="365" t="s">
        <v>1572</v>
      </c>
      <c r="D1578" s="365" t="s">
        <v>1573</v>
      </c>
      <c r="E1578" s="365" t="s">
        <v>1574</v>
      </c>
      <c r="F1578" s="365" t="s">
        <v>6810</v>
      </c>
      <c r="G1578" s="370">
        <v>45621</v>
      </c>
      <c r="H1578" s="369">
        <v>17501</v>
      </c>
      <c r="I1578" s="365" t="s">
        <v>6811</v>
      </c>
      <c r="J1578" s="365" t="s">
        <v>1228</v>
      </c>
      <c r="K1578" s="365" t="s">
        <v>1229</v>
      </c>
      <c r="L1578" s="370">
        <v>45618.820428240739</v>
      </c>
    </row>
    <row r="1579" spans="1:12" s="365" customFormat="1">
      <c r="A1579" s="370">
        <v>45618.825185185182</v>
      </c>
      <c r="B1579" s="365" t="s">
        <v>6812</v>
      </c>
      <c r="C1579" s="365" t="s">
        <v>4785</v>
      </c>
      <c r="D1579" s="365" t="s">
        <v>4786</v>
      </c>
      <c r="E1579" s="365" t="s">
        <v>4787</v>
      </c>
      <c r="F1579" s="365" t="s">
        <v>6813</v>
      </c>
      <c r="G1579" s="370">
        <v>45621</v>
      </c>
      <c r="H1579" s="369">
        <v>15999</v>
      </c>
      <c r="I1579" s="365" t="s">
        <v>6814</v>
      </c>
      <c r="J1579" s="365" t="s">
        <v>1228</v>
      </c>
      <c r="K1579" s="365" t="s">
        <v>1229</v>
      </c>
      <c r="L1579" s="370">
        <v>45618.827546296299</v>
      </c>
    </row>
    <row r="1580" spans="1:12" s="365" customFormat="1">
      <c r="A1580" s="370">
        <v>45618.910787037035</v>
      </c>
      <c r="B1580" s="365" t="s">
        <v>6815</v>
      </c>
      <c r="C1580" s="365" t="s">
        <v>1370</v>
      </c>
      <c r="D1580" s="365" t="s">
        <v>1371</v>
      </c>
      <c r="E1580" s="365" t="s">
        <v>1372</v>
      </c>
      <c r="F1580" s="365" t="s">
        <v>6816</v>
      </c>
      <c r="G1580" s="370">
        <v>45621</v>
      </c>
      <c r="H1580" s="369">
        <v>15999</v>
      </c>
      <c r="I1580" s="365" t="s">
        <v>6817</v>
      </c>
      <c r="J1580" s="365" t="s">
        <v>1228</v>
      </c>
      <c r="K1580" s="365" t="s">
        <v>1229</v>
      </c>
      <c r="L1580" s="370">
        <v>45618.914363425924</v>
      </c>
    </row>
    <row r="1581" spans="1:12" s="365" customFormat="1">
      <c r="A1581" s="370">
        <v>45618.439282407409</v>
      </c>
      <c r="B1581" s="365" t="s">
        <v>6818</v>
      </c>
      <c r="C1581" s="365" t="s">
        <v>1413</v>
      </c>
      <c r="D1581" s="365" t="s">
        <v>1414</v>
      </c>
      <c r="E1581" s="365" t="s">
        <v>1415</v>
      </c>
      <c r="F1581" s="365" t="s">
        <v>6819</v>
      </c>
      <c r="G1581" s="370">
        <v>45621</v>
      </c>
      <c r="H1581" s="369">
        <v>21000</v>
      </c>
      <c r="I1581" s="365" t="s">
        <v>6820</v>
      </c>
      <c r="J1581" s="365" t="s">
        <v>1228</v>
      </c>
      <c r="K1581" s="365" t="s">
        <v>1229</v>
      </c>
      <c r="L1581" s="370">
        <v>45618.442106481481</v>
      </c>
    </row>
    <row r="1582" spans="1:12" s="365" customFormat="1">
      <c r="A1582" s="370">
        <v>45618.710798611108</v>
      </c>
      <c r="B1582" s="365" t="s">
        <v>6821</v>
      </c>
      <c r="C1582" s="365" t="s">
        <v>4514</v>
      </c>
      <c r="D1582" s="365" t="s">
        <v>4515</v>
      </c>
      <c r="E1582" s="365" t="s">
        <v>4516</v>
      </c>
      <c r="F1582" s="365" t="s">
        <v>6822</v>
      </c>
      <c r="G1582" s="370">
        <v>45621</v>
      </c>
      <c r="H1582" s="369">
        <v>28000</v>
      </c>
      <c r="I1582" s="365" t="s">
        <v>6823</v>
      </c>
      <c r="J1582" s="365" t="s">
        <v>1228</v>
      </c>
      <c r="K1582" s="365" t="s">
        <v>1229</v>
      </c>
      <c r="L1582" s="370">
        <v>45618.71292824074</v>
      </c>
    </row>
    <row r="1583" spans="1:12" s="365" customFormat="1">
      <c r="A1583" s="370">
        <v>45618.343287037038</v>
      </c>
      <c r="B1583" s="365" t="s">
        <v>6824</v>
      </c>
      <c r="C1583" s="365" t="s">
        <v>1679</v>
      </c>
      <c r="D1583" s="365" t="s">
        <v>1680</v>
      </c>
      <c r="E1583" s="365" t="s">
        <v>1681</v>
      </c>
      <c r="F1583" s="365" t="s">
        <v>6825</v>
      </c>
      <c r="G1583" s="370">
        <v>45621</v>
      </c>
      <c r="H1583" s="369">
        <v>21000</v>
      </c>
      <c r="I1583" s="365" t="s">
        <v>6826</v>
      </c>
      <c r="J1583" s="365" t="s">
        <v>1228</v>
      </c>
      <c r="K1583" s="365" t="s">
        <v>1229</v>
      </c>
      <c r="L1583" s="370">
        <v>45618.383032407408</v>
      </c>
    </row>
    <row r="1584" spans="1:12" s="365" customFormat="1">
      <c r="A1584" s="370">
        <v>45618.354837962965</v>
      </c>
      <c r="B1584" s="365" t="s">
        <v>6827</v>
      </c>
      <c r="C1584" s="365" t="s">
        <v>4105</v>
      </c>
      <c r="D1584" s="365" t="s">
        <v>4106</v>
      </c>
      <c r="E1584" s="365" t="s">
        <v>4107</v>
      </c>
      <c r="F1584" s="365" t="s">
        <v>6828</v>
      </c>
      <c r="G1584" s="370">
        <v>45621</v>
      </c>
      <c r="H1584" s="369">
        <v>20999</v>
      </c>
      <c r="I1584" s="365" t="s">
        <v>6829</v>
      </c>
      <c r="J1584" s="365" t="s">
        <v>1228</v>
      </c>
      <c r="K1584" s="365" t="s">
        <v>1229</v>
      </c>
      <c r="L1584" s="370">
        <v>45618.383217592593</v>
      </c>
    </row>
    <row r="1585" spans="1:12" s="365" customFormat="1">
      <c r="A1585" s="370">
        <v>45618.39403935185</v>
      </c>
      <c r="B1585" s="365" t="s">
        <v>6830</v>
      </c>
      <c r="C1585" s="365" t="s">
        <v>1685</v>
      </c>
      <c r="D1585" s="365" t="s">
        <v>1686</v>
      </c>
      <c r="E1585" s="365" t="s">
        <v>1687</v>
      </c>
      <c r="F1585" s="365" t="s">
        <v>6831</v>
      </c>
      <c r="G1585" s="370">
        <v>45621</v>
      </c>
      <c r="H1585" s="369">
        <v>15000</v>
      </c>
      <c r="I1585" s="365" t="s">
        <v>6832</v>
      </c>
      <c r="J1585" s="365" t="s">
        <v>1228</v>
      </c>
      <c r="K1585" s="365" t="s">
        <v>1229</v>
      </c>
      <c r="L1585" s="370">
        <v>45618.39707175926</v>
      </c>
    </row>
    <row r="1586" spans="1:12" s="365" customFormat="1">
      <c r="A1586" s="370">
        <v>45618.492418981485</v>
      </c>
      <c r="B1586" s="365" t="s">
        <v>6833</v>
      </c>
      <c r="C1586" s="365" t="s">
        <v>1465</v>
      </c>
      <c r="D1586" s="365" t="s">
        <v>1466</v>
      </c>
      <c r="E1586" s="365" t="s">
        <v>1467</v>
      </c>
      <c r="F1586" s="365" t="s">
        <v>6834</v>
      </c>
      <c r="G1586" s="370">
        <v>45621</v>
      </c>
      <c r="H1586" s="369">
        <v>6000</v>
      </c>
      <c r="I1586" s="365" t="s">
        <v>6835</v>
      </c>
      <c r="J1586" s="365" t="s">
        <v>1228</v>
      </c>
      <c r="K1586" s="365" t="s">
        <v>1229</v>
      </c>
      <c r="L1586" s="370">
        <v>45618.493900462963</v>
      </c>
    </row>
    <row r="1587" spans="1:12" s="365" customFormat="1">
      <c r="A1587" s="370">
        <v>45618.596226851849</v>
      </c>
      <c r="B1587" s="365" t="s">
        <v>6836</v>
      </c>
      <c r="C1587" s="365" t="s">
        <v>1262</v>
      </c>
      <c r="D1587" s="365" t="s">
        <v>1263</v>
      </c>
      <c r="E1587" s="365" t="s">
        <v>1264</v>
      </c>
      <c r="F1587" s="365" t="s">
        <v>6837</v>
      </c>
      <c r="G1587" s="370">
        <v>45621</v>
      </c>
      <c r="H1587" s="369">
        <v>12000</v>
      </c>
      <c r="I1587" s="365" t="s">
        <v>6838</v>
      </c>
      <c r="J1587" s="365" t="s">
        <v>1228</v>
      </c>
      <c r="K1587" s="365" t="s">
        <v>1229</v>
      </c>
      <c r="L1587" s="370">
        <v>45618.598344907405</v>
      </c>
    </row>
    <row r="1588" spans="1:12" s="365" customFormat="1">
      <c r="A1588" s="370">
        <v>45618.64471064815</v>
      </c>
      <c r="B1588" s="365" t="s">
        <v>6839</v>
      </c>
      <c r="C1588" s="365" t="s">
        <v>1233</v>
      </c>
      <c r="D1588" s="365" t="s">
        <v>1245</v>
      </c>
      <c r="E1588" s="365" t="s">
        <v>1246</v>
      </c>
      <c r="F1588" s="365" t="s">
        <v>6840</v>
      </c>
      <c r="G1588" s="370">
        <v>45595</v>
      </c>
      <c r="H1588" s="369">
        <v>15999</v>
      </c>
      <c r="I1588" s="365" t="s">
        <v>6841</v>
      </c>
      <c r="J1588" s="365" t="s">
        <v>1228</v>
      </c>
      <c r="K1588" s="365" t="s">
        <v>1229</v>
      </c>
      <c r="L1588" s="370">
        <v>45618.646736111114</v>
      </c>
    </row>
    <row r="1589" spans="1:12" s="365" customFormat="1">
      <c r="A1589" s="370">
        <v>45618.656909722224</v>
      </c>
      <c r="B1589" s="365" t="s">
        <v>6842</v>
      </c>
      <c r="C1589" s="365" t="s">
        <v>4932</v>
      </c>
      <c r="D1589" s="365" t="s">
        <v>4933</v>
      </c>
      <c r="E1589" s="365" t="s">
        <v>4934</v>
      </c>
      <c r="F1589" s="365" t="s">
        <v>6843</v>
      </c>
      <c r="G1589" s="370">
        <v>45621</v>
      </c>
      <c r="H1589" s="369">
        <v>60999</v>
      </c>
      <c r="I1589" s="365" t="s">
        <v>6844</v>
      </c>
      <c r="J1589" s="365" t="s">
        <v>1228</v>
      </c>
      <c r="K1589" s="365" t="s">
        <v>1229</v>
      </c>
      <c r="L1589" s="370">
        <v>45618.657407407409</v>
      </c>
    </row>
    <row r="1590" spans="1:12" s="365" customFormat="1">
      <c r="A1590" s="370">
        <v>45618.857939814814</v>
      </c>
      <c r="B1590" s="365" t="s">
        <v>6845</v>
      </c>
      <c r="C1590" s="365" t="s">
        <v>1265</v>
      </c>
      <c r="D1590" s="365" t="s">
        <v>1271</v>
      </c>
      <c r="E1590" s="365" t="s">
        <v>1272</v>
      </c>
      <c r="F1590" s="365" t="s">
        <v>6846</v>
      </c>
      <c r="G1590" s="370">
        <v>45621</v>
      </c>
      <c r="H1590" s="369">
        <v>15999</v>
      </c>
      <c r="I1590" s="365" t="s">
        <v>6847</v>
      </c>
      <c r="J1590" s="365" t="s">
        <v>1228</v>
      </c>
      <c r="K1590" s="365" t="s">
        <v>1229</v>
      </c>
      <c r="L1590" s="370">
        <v>45618.858854166669</v>
      </c>
    </row>
    <row r="1591" spans="1:12" s="365" customFormat="1">
      <c r="A1591" s="370">
        <v>45618.941712962966</v>
      </c>
      <c r="B1591" s="365" t="s">
        <v>6848</v>
      </c>
      <c r="C1591" s="365" t="s">
        <v>4373</v>
      </c>
      <c r="D1591" s="365" t="s">
        <v>4374</v>
      </c>
      <c r="E1591" s="365" t="s">
        <v>4375</v>
      </c>
      <c r="F1591" s="365" t="s">
        <v>6849</v>
      </c>
      <c r="G1591" s="370">
        <v>45595</v>
      </c>
      <c r="H1591" s="369">
        <v>15999</v>
      </c>
      <c r="I1591" s="365" t="s">
        <v>6850</v>
      </c>
      <c r="J1591" s="365" t="s">
        <v>1228</v>
      </c>
      <c r="K1591" s="365" t="s">
        <v>1229</v>
      </c>
      <c r="L1591" s="370">
        <v>45618.942118055558</v>
      </c>
    </row>
    <row r="1592" spans="1:12" s="365" customFormat="1">
      <c r="A1592" s="370">
        <v>45619.332060185188</v>
      </c>
      <c r="B1592" s="365" t="s">
        <v>6851</v>
      </c>
      <c r="C1592" s="365" t="s">
        <v>6852</v>
      </c>
      <c r="D1592" s="365" t="s">
        <v>1301</v>
      </c>
      <c r="E1592" s="365" t="s">
        <v>1302</v>
      </c>
      <c r="F1592" s="365" t="s">
        <v>6853</v>
      </c>
      <c r="G1592" s="370">
        <v>45621</v>
      </c>
      <c r="H1592" s="369">
        <v>9000</v>
      </c>
      <c r="I1592" s="365" t="s">
        <v>6854</v>
      </c>
      <c r="J1592" s="365" t="s">
        <v>1228</v>
      </c>
      <c r="K1592" s="365" t="s">
        <v>1229</v>
      </c>
      <c r="L1592" s="370">
        <v>45619.333819444444</v>
      </c>
    </row>
    <row r="1593" spans="1:12" s="365" customFormat="1">
      <c r="A1593" s="370">
        <v>45619.169629629629</v>
      </c>
      <c r="B1593" s="365" t="s">
        <v>6855</v>
      </c>
      <c r="C1593" s="365" t="s">
        <v>3808</v>
      </c>
      <c r="D1593" s="365" t="s">
        <v>3809</v>
      </c>
      <c r="E1593" s="365" t="s">
        <v>3810</v>
      </c>
      <c r="F1593" s="365" t="s">
        <v>6856</v>
      </c>
      <c r="G1593" s="370">
        <v>45621</v>
      </c>
      <c r="H1593" s="369">
        <v>39000</v>
      </c>
      <c r="I1593" s="365" t="s">
        <v>6857</v>
      </c>
      <c r="J1593" s="365" t="s">
        <v>1228</v>
      </c>
      <c r="K1593" s="365" t="s">
        <v>1229</v>
      </c>
      <c r="L1593" s="370">
        <v>45619.170474537037</v>
      </c>
    </row>
    <row r="1594" spans="1:12" s="365" customFormat="1">
      <c r="A1594" s="370">
        <v>45619.512106481481</v>
      </c>
      <c r="B1594" s="365" t="s">
        <v>6858</v>
      </c>
      <c r="C1594" s="365" t="s">
        <v>1310</v>
      </c>
      <c r="D1594" s="365" t="s">
        <v>1311</v>
      </c>
      <c r="E1594" s="365" t="s">
        <v>1312</v>
      </c>
      <c r="F1594" s="365" t="s">
        <v>6859</v>
      </c>
      <c r="G1594" s="370">
        <v>45621</v>
      </c>
      <c r="H1594" s="369">
        <v>45000</v>
      </c>
      <c r="I1594" s="365" t="s">
        <v>6860</v>
      </c>
      <c r="J1594" s="365" t="s">
        <v>1228</v>
      </c>
      <c r="K1594" s="365" t="s">
        <v>1229</v>
      </c>
      <c r="L1594" s="370">
        <v>45619.514143518521</v>
      </c>
    </row>
    <row r="1595" spans="1:12" s="365" customFormat="1">
      <c r="A1595" s="370">
        <v>45619.851585648146</v>
      </c>
      <c r="B1595" s="365" t="s">
        <v>6861</v>
      </c>
      <c r="C1595" s="365" t="s">
        <v>1521</v>
      </c>
      <c r="D1595" s="365" t="s">
        <v>1522</v>
      </c>
      <c r="E1595" s="365" t="s">
        <v>1523</v>
      </c>
      <c r="F1595" s="365" t="s">
        <v>6862</v>
      </c>
      <c r="G1595" s="370">
        <v>45621</v>
      </c>
      <c r="H1595" s="369">
        <v>24999</v>
      </c>
      <c r="I1595" s="365" t="s">
        <v>6863</v>
      </c>
      <c r="J1595" s="365" t="s">
        <v>1228</v>
      </c>
      <c r="K1595" s="365" t="s">
        <v>1229</v>
      </c>
      <c r="L1595" s="370">
        <v>45619.854525462964</v>
      </c>
    </row>
    <row r="1596" spans="1:12" s="365" customFormat="1">
      <c r="A1596" s="370">
        <v>45620.304814814815</v>
      </c>
      <c r="B1596" s="365" t="s">
        <v>6864</v>
      </c>
      <c r="C1596" s="365" t="s">
        <v>1495</v>
      </c>
      <c r="D1596" s="365" t="s">
        <v>1498</v>
      </c>
      <c r="E1596" s="365" t="s">
        <v>1499</v>
      </c>
      <c r="F1596" s="365" t="s">
        <v>6865</v>
      </c>
      <c r="G1596" s="370">
        <v>45621</v>
      </c>
      <c r="H1596" s="369">
        <v>6000</v>
      </c>
      <c r="I1596" s="365" t="s">
        <v>6866</v>
      </c>
      <c r="J1596" s="365" t="s">
        <v>1228</v>
      </c>
      <c r="K1596" s="365" t="s">
        <v>1229</v>
      </c>
      <c r="L1596" s="370">
        <v>45620.305659722224</v>
      </c>
    </row>
    <row r="1597" spans="1:12" s="365" customFormat="1">
      <c r="A1597" s="370">
        <v>45620.717245370368</v>
      </c>
      <c r="B1597" s="365" t="s">
        <v>6867</v>
      </c>
      <c r="C1597" s="365" t="s">
        <v>1475</v>
      </c>
      <c r="D1597" s="365" t="s">
        <v>1476</v>
      </c>
      <c r="E1597" s="365" t="s">
        <v>1477</v>
      </c>
      <c r="F1597" s="365" t="s">
        <v>6868</v>
      </c>
      <c r="G1597" s="370">
        <v>45621</v>
      </c>
      <c r="H1597" s="369">
        <v>15000</v>
      </c>
      <c r="I1597" s="365" t="s">
        <v>6869</v>
      </c>
      <c r="J1597" s="365" t="s">
        <v>1228</v>
      </c>
      <c r="K1597" s="365" t="s">
        <v>1229</v>
      </c>
      <c r="L1597" s="370">
        <v>45620.719270833331</v>
      </c>
    </row>
    <row r="1598" spans="1:12" s="365" customFormat="1">
      <c r="A1598" s="370">
        <v>45620.5784375</v>
      </c>
      <c r="B1598" s="365" t="s">
        <v>6870</v>
      </c>
      <c r="C1598" s="365" t="s">
        <v>1622</v>
      </c>
      <c r="D1598" s="365" t="s">
        <v>1623</v>
      </c>
      <c r="E1598" s="365" t="s">
        <v>1624</v>
      </c>
      <c r="F1598" s="365" t="s">
        <v>6871</v>
      </c>
      <c r="G1598" s="370">
        <v>45621</v>
      </c>
      <c r="H1598" s="369">
        <v>42000</v>
      </c>
      <c r="I1598" s="365" t="s">
        <v>6872</v>
      </c>
      <c r="J1598" s="365" t="s">
        <v>1228</v>
      </c>
      <c r="K1598" s="365" t="s">
        <v>1229</v>
      </c>
      <c r="L1598" s="370">
        <v>45620.580312500002</v>
      </c>
    </row>
    <row r="1599" spans="1:12" s="365" customFormat="1">
      <c r="A1599" s="370">
        <v>45620.303749999999</v>
      </c>
      <c r="B1599" s="365" t="s">
        <v>6873</v>
      </c>
      <c r="C1599" s="365" t="s">
        <v>1495</v>
      </c>
      <c r="D1599" s="365" t="s">
        <v>1496</v>
      </c>
      <c r="E1599" s="365" t="s">
        <v>1497</v>
      </c>
      <c r="F1599" s="365" t="s">
        <v>6874</v>
      </c>
      <c r="G1599" s="370">
        <v>45621</v>
      </c>
      <c r="H1599" s="369">
        <v>34000</v>
      </c>
      <c r="I1599" s="365" t="s">
        <v>6875</v>
      </c>
      <c r="J1599" s="365" t="s">
        <v>1228</v>
      </c>
      <c r="K1599" s="365" t="s">
        <v>1229</v>
      </c>
      <c r="L1599" s="370">
        <v>45620.305844907409</v>
      </c>
    </row>
    <row r="1600" spans="1:12" s="365" customFormat="1">
      <c r="A1600" s="370">
        <v>45620.374976851854</v>
      </c>
      <c r="B1600" s="365" t="s">
        <v>6876</v>
      </c>
      <c r="C1600" s="365" t="s">
        <v>1441</v>
      </c>
      <c r="D1600" s="365" t="s">
        <v>1442</v>
      </c>
      <c r="E1600" s="365" t="s">
        <v>1443</v>
      </c>
      <c r="F1600" s="365" t="s">
        <v>6877</v>
      </c>
      <c r="G1600" s="370">
        <v>45621</v>
      </c>
      <c r="H1600" s="369">
        <v>47000</v>
      </c>
      <c r="I1600" s="365" t="s">
        <v>6878</v>
      </c>
      <c r="J1600" s="365" t="s">
        <v>1228</v>
      </c>
      <c r="K1600" s="365" t="s">
        <v>1229</v>
      </c>
      <c r="L1600" s="370">
        <v>45620.375543981485</v>
      </c>
    </row>
    <row r="1601" spans="1:12" s="365" customFormat="1">
      <c r="A1601" s="370">
        <v>45620.405092592591</v>
      </c>
      <c r="B1601" s="365" t="s">
        <v>6879</v>
      </c>
      <c r="C1601" s="365" t="s">
        <v>1601</v>
      </c>
      <c r="D1601" s="365" t="s">
        <v>1352</v>
      </c>
      <c r="E1601" s="365" t="s">
        <v>1353</v>
      </c>
      <c r="F1601" s="365" t="s">
        <v>6880</v>
      </c>
      <c r="G1601" s="370">
        <v>45621</v>
      </c>
      <c r="H1601" s="369">
        <v>15999</v>
      </c>
      <c r="I1601" s="365" t="s">
        <v>6881</v>
      </c>
      <c r="J1601" s="365" t="s">
        <v>1228</v>
      </c>
      <c r="K1601" s="365" t="s">
        <v>1229</v>
      </c>
      <c r="L1601" s="370">
        <v>45620.4065162037</v>
      </c>
    </row>
    <row r="1602" spans="1:12" s="365" customFormat="1">
      <c r="A1602" s="370">
        <v>45620.66202546296</v>
      </c>
      <c r="B1602" s="365" t="s">
        <v>6882</v>
      </c>
      <c r="C1602" s="365" t="s">
        <v>4058</v>
      </c>
      <c r="D1602" s="365" t="s">
        <v>4059</v>
      </c>
      <c r="E1602" s="365" t="s">
        <v>4060</v>
      </c>
      <c r="F1602" s="365" t="s">
        <v>6883</v>
      </c>
      <c r="G1602" s="370">
        <v>45621</v>
      </c>
      <c r="H1602" s="369">
        <v>10001</v>
      </c>
      <c r="I1602" s="365" t="s">
        <v>6884</v>
      </c>
      <c r="J1602" s="365" t="s">
        <v>1228</v>
      </c>
      <c r="K1602" s="365" t="s">
        <v>1229</v>
      </c>
      <c r="L1602" s="370">
        <v>45620.663425925923</v>
      </c>
    </row>
    <row r="1603" spans="1:12" s="365" customFormat="1">
      <c r="A1603" s="370">
        <v>45620.793668981481</v>
      </c>
      <c r="B1603" s="365" t="s">
        <v>6885</v>
      </c>
      <c r="C1603" s="365" t="s">
        <v>2640</v>
      </c>
      <c r="D1603" s="365" t="s">
        <v>1696</v>
      </c>
      <c r="E1603" s="365" t="s">
        <v>1697</v>
      </c>
      <c r="F1603" s="365" t="s">
        <v>6886</v>
      </c>
      <c r="G1603" s="370">
        <v>45595</v>
      </c>
      <c r="H1603" s="369">
        <v>20999</v>
      </c>
      <c r="I1603" s="365" t="s">
        <v>6887</v>
      </c>
      <c r="J1603" s="365" t="s">
        <v>1228</v>
      </c>
      <c r="K1603" s="365" t="s">
        <v>1229</v>
      </c>
      <c r="L1603" s="370">
        <v>45620.795428240737</v>
      </c>
    </row>
    <row r="1604" spans="1:12" s="365" customFormat="1">
      <c r="A1604" s="370">
        <v>45621.277060185188</v>
      </c>
      <c r="B1604" s="365" t="s">
        <v>6888</v>
      </c>
      <c r="C1604" s="365" t="s">
        <v>1410</v>
      </c>
      <c r="D1604" s="365" t="s">
        <v>1411</v>
      </c>
      <c r="E1604" s="365" t="s">
        <v>1412</v>
      </c>
      <c r="F1604" s="365" t="s">
        <v>6889</v>
      </c>
      <c r="G1604" s="370">
        <v>45621</v>
      </c>
      <c r="H1604" s="369">
        <v>15999</v>
      </c>
      <c r="I1604" s="365" t="s">
        <v>6890</v>
      </c>
      <c r="J1604" s="365" t="s">
        <v>1228</v>
      </c>
      <c r="K1604" s="365" t="s">
        <v>1229</v>
      </c>
      <c r="L1604" s="370">
        <v>45621.278310185182</v>
      </c>
    </row>
    <row r="1605" spans="1:12" s="365" customFormat="1">
      <c r="A1605" s="370">
        <v>45621.36141203704</v>
      </c>
      <c r="B1605" s="365" t="s">
        <v>6891</v>
      </c>
      <c r="C1605" s="365" t="s">
        <v>1639</v>
      </c>
      <c r="D1605" s="365" t="s">
        <v>1640</v>
      </c>
      <c r="E1605" s="365" t="s">
        <v>1641</v>
      </c>
      <c r="F1605" s="365" t="s">
        <v>6892</v>
      </c>
      <c r="G1605" s="370">
        <v>45621</v>
      </c>
      <c r="H1605" s="369">
        <v>58000</v>
      </c>
      <c r="I1605" s="365" t="s">
        <v>6893</v>
      </c>
      <c r="J1605" s="365" t="s">
        <v>1228</v>
      </c>
      <c r="K1605" s="365" t="s">
        <v>1229</v>
      </c>
      <c r="L1605" s="370">
        <v>45621.361620370371</v>
      </c>
    </row>
    <row r="1606" spans="1:12" s="365" customFormat="1">
      <c r="A1606" s="370">
        <v>45621.373379629629</v>
      </c>
      <c r="B1606" s="365" t="s">
        <v>6894</v>
      </c>
      <c r="C1606" s="365" t="s">
        <v>4134</v>
      </c>
      <c r="D1606" s="365" t="s">
        <v>4135</v>
      </c>
      <c r="E1606" s="365" t="s">
        <v>4136</v>
      </c>
      <c r="F1606" s="365" t="s">
        <v>6895</v>
      </c>
      <c r="G1606" s="370">
        <v>45595</v>
      </c>
      <c r="H1606" s="369">
        <v>73000</v>
      </c>
      <c r="I1606" s="365" t="s">
        <v>6896</v>
      </c>
      <c r="J1606" s="365" t="s">
        <v>1228</v>
      </c>
      <c r="K1606" s="365" t="s">
        <v>1229</v>
      </c>
      <c r="L1606" s="370">
        <v>45621.375520833331</v>
      </c>
    </row>
    <row r="1607" spans="1:12" s="365" customFormat="1">
      <c r="A1607" s="370">
        <v>45621.444988425923</v>
      </c>
      <c r="B1607" s="365" t="s">
        <v>6897</v>
      </c>
      <c r="C1607" s="365" t="s">
        <v>1256</v>
      </c>
      <c r="D1607" s="365" t="s">
        <v>1257</v>
      </c>
      <c r="E1607" s="365" t="s">
        <v>1258</v>
      </c>
      <c r="F1607" s="365" t="s">
        <v>6898</v>
      </c>
      <c r="G1607" s="370">
        <v>45595</v>
      </c>
      <c r="H1607" s="369">
        <v>72000</v>
      </c>
      <c r="I1607" s="365" t="s">
        <v>6899</v>
      </c>
      <c r="J1607" s="365" t="s">
        <v>1228</v>
      </c>
      <c r="K1607" s="365" t="s">
        <v>1229</v>
      </c>
      <c r="L1607" s="370">
        <v>45621.445659722223</v>
      </c>
    </row>
    <row r="1608" spans="1:12" s="365" customFormat="1">
      <c r="A1608" s="370">
        <v>45621.473425925928</v>
      </c>
      <c r="B1608" s="365" t="s">
        <v>6900</v>
      </c>
      <c r="C1608" s="365" t="s">
        <v>3249</v>
      </c>
      <c r="D1608" s="365" t="s">
        <v>3250</v>
      </c>
      <c r="E1608" s="365" t="s">
        <v>3251</v>
      </c>
      <c r="F1608" s="365" t="s">
        <v>6901</v>
      </c>
      <c r="G1608" s="370">
        <v>45595</v>
      </c>
      <c r="H1608" s="369">
        <v>32400</v>
      </c>
      <c r="I1608" s="365" t="s">
        <v>6902</v>
      </c>
      <c r="J1608" s="365" t="s">
        <v>1228</v>
      </c>
      <c r="K1608" s="365" t="s">
        <v>1229</v>
      </c>
      <c r="L1608" s="370">
        <v>45621.474108796298</v>
      </c>
    </row>
    <row r="1609" spans="1:12" s="365" customFormat="1">
      <c r="A1609" s="370">
        <v>45621.475393518522</v>
      </c>
      <c r="B1609" s="365" t="s">
        <v>6903</v>
      </c>
      <c r="C1609" s="365" t="s">
        <v>1558</v>
      </c>
      <c r="D1609" s="365" t="s">
        <v>1559</v>
      </c>
      <c r="E1609" s="365" t="s">
        <v>1560</v>
      </c>
      <c r="F1609" s="365" t="s">
        <v>6904</v>
      </c>
      <c r="G1609" s="370">
        <v>45621</v>
      </c>
      <c r="H1609" s="369">
        <v>23000</v>
      </c>
      <c r="I1609" s="365" t="s">
        <v>6905</v>
      </c>
      <c r="J1609" s="365" t="s">
        <v>1228</v>
      </c>
      <c r="K1609" s="365" t="s">
        <v>1229</v>
      </c>
      <c r="L1609" s="370">
        <v>45621.477314814816</v>
      </c>
    </row>
    <row r="1610" spans="1:12" s="365" customFormat="1">
      <c r="A1610" s="370">
        <v>45621.481249999997</v>
      </c>
      <c r="B1610" s="365" t="s">
        <v>6906</v>
      </c>
      <c r="C1610" s="365" t="s">
        <v>3530</v>
      </c>
      <c r="D1610" s="365" t="s">
        <v>3531</v>
      </c>
      <c r="E1610" s="365" t="s">
        <v>3532</v>
      </c>
      <c r="F1610" s="365" t="s">
        <v>6907</v>
      </c>
      <c r="G1610" s="370">
        <v>45621</v>
      </c>
      <c r="H1610" s="369">
        <v>15000</v>
      </c>
      <c r="I1610" s="365" t="s">
        <v>6908</v>
      </c>
      <c r="J1610" s="365" t="s">
        <v>1228</v>
      </c>
      <c r="K1610" s="365" t="s">
        <v>1229</v>
      </c>
      <c r="L1610" s="370">
        <v>45621.484432870369</v>
      </c>
    </row>
    <row r="1611" spans="1:12" s="365" customFormat="1">
      <c r="A1611" s="370">
        <v>45621.543981481482</v>
      </c>
      <c r="B1611" s="365" t="s">
        <v>6909</v>
      </c>
      <c r="C1611" s="365" t="s">
        <v>2069</v>
      </c>
      <c r="D1611" s="365" t="s">
        <v>2070</v>
      </c>
      <c r="E1611" s="365" t="s">
        <v>2071</v>
      </c>
      <c r="F1611" s="365" t="s">
        <v>6910</v>
      </c>
      <c r="G1611" s="370">
        <v>45621</v>
      </c>
      <c r="H1611" s="369">
        <v>12000</v>
      </c>
      <c r="I1611" s="365" t="s">
        <v>6911</v>
      </c>
      <c r="J1611" s="365" t="s">
        <v>1228</v>
      </c>
      <c r="K1611" s="365" t="s">
        <v>1229</v>
      </c>
      <c r="L1611" s="370">
        <v>45621.546597222223</v>
      </c>
    </row>
    <row r="1612" spans="1:12" s="365" customFormat="1">
      <c r="A1612" s="370">
        <v>45621.548587962963</v>
      </c>
      <c r="B1612" s="365" t="s">
        <v>6912</v>
      </c>
      <c r="C1612" s="365" t="s">
        <v>4657</v>
      </c>
      <c r="D1612" s="365" t="s">
        <v>4658</v>
      </c>
      <c r="E1612" s="365" t="s">
        <v>4659</v>
      </c>
      <c r="F1612" s="365" t="s">
        <v>6913</v>
      </c>
      <c r="G1612" s="370">
        <v>45595</v>
      </c>
      <c r="H1612" s="369">
        <v>30000</v>
      </c>
      <c r="I1612" s="365" t="s">
        <v>6914</v>
      </c>
      <c r="J1612" s="365" t="s">
        <v>1228</v>
      </c>
      <c r="K1612" s="365" t="s">
        <v>1229</v>
      </c>
      <c r="L1612" s="370">
        <v>45621.550300925926</v>
      </c>
    </row>
    <row r="1613" spans="1:12" s="365" customFormat="1">
      <c r="A1613" s="370">
        <v>45621.551655092589</v>
      </c>
      <c r="B1613" s="365" t="s">
        <v>6915</v>
      </c>
      <c r="C1613" s="365" t="s">
        <v>1580</v>
      </c>
      <c r="D1613" s="365" t="s">
        <v>1581</v>
      </c>
      <c r="E1613" s="365" t="s">
        <v>1582</v>
      </c>
      <c r="F1613" s="365" t="s">
        <v>6916</v>
      </c>
      <c r="G1613" s="370">
        <v>45595</v>
      </c>
      <c r="H1613" s="369">
        <v>49400</v>
      </c>
      <c r="I1613" s="365" t="s">
        <v>6917</v>
      </c>
      <c r="J1613" s="365" t="s">
        <v>1228</v>
      </c>
      <c r="K1613" s="365" t="s">
        <v>1229</v>
      </c>
      <c r="L1613" s="370">
        <v>45621.553865740738</v>
      </c>
    </row>
    <row r="1614" spans="1:12" s="365" customFormat="1">
      <c r="A1614" s="370">
        <v>45621.57236111111</v>
      </c>
      <c r="B1614" s="365" t="s">
        <v>6918</v>
      </c>
      <c r="C1614" s="365" t="s">
        <v>1509</v>
      </c>
      <c r="D1614" s="365" t="s">
        <v>1510</v>
      </c>
      <c r="E1614" s="365" t="s">
        <v>1511</v>
      </c>
      <c r="F1614" s="365" t="s">
        <v>6919</v>
      </c>
      <c r="G1614" s="370">
        <v>45621</v>
      </c>
      <c r="H1614" s="369">
        <v>20000</v>
      </c>
      <c r="I1614" s="365" t="s">
        <v>6920</v>
      </c>
      <c r="J1614" s="365" t="s">
        <v>1228</v>
      </c>
      <c r="K1614" s="365" t="s">
        <v>1229</v>
      </c>
      <c r="L1614" s="370">
        <v>45621.574340277781</v>
      </c>
    </row>
    <row r="1615" spans="1:12" s="365" customFormat="1">
      <c r="A1615" s="370">
        <v>45621.581979166665</v>
      </c>
      <c r="B1615" s="365" t="s">
        <v>6921</v>
      </c>
      <c r="C1615" s="365" t="s">
        <v>1564</v>
      </c>
      <c r="D1615" s="365" t="s">
        <v>1565</v>
      </c>
      <c r="E1615" s="365" t="s">
        <v>1566</v>
      </c>
      <c r="F1615" s="365" t="s">
        <v>6922</v>
      </c>
      <c r="G1615" s="370">
        <v>45621</v>
      </c>
      <c r="H1615" s="369">
        <v>15999</v>
      </c>
      <c r="I1615" s="365" t="s">
        <v>6923</v>
      </c>
      <c r="J1615" s="365" t="s">
        <v>1228</v>
      </c>
      <c r="K1615" s="365" t="s">
        <v>1229</v>
      </c>
      <c r="L1615" s="370">
        <v>45621.585185185184</v>
      </c>
    </row>
    <row r="1616" spans="1:12" s="365" customFormat="1">
      <c r="A1616" s="370">
        <v>45621.647743055553</v>
      </c>
      <c r="B1616" s="365" t="s">
        <v>6924</v>
      </c>
      <c r="C1616" s="365" t="s">
        <v>5604</v>
      </c>
      <c r="D1616" s="365" t="s">
        <v>5605</v>
      </c>
      <c r="E1616" s="365" t="s">
        <v>5606</v>
      </c>
      <c r="F1616" s="365" t="s">
        <v>6925</v>
      </c>
      <c r="G1616" s="370">
        <v>45621</v>
      </c>
      <c r="H1616" s="369">
        <v>30000</v>
      </c>
      <c r="I1616" s="365" t="s">
        <v>6926</v>
      </c>
      <c r="J1616" s="365" t="s">
        <v>1228</v>
      </c>
      <c r="K1616" s="365" t="s">
        <v>1229</v>
      </c>
      <c r="L1616" s="370">
        <v>45621.650879629633</v>
      </c>
    </row>
    <row r="1617" spans="1:12" s="365" customFormat="1">
      <c r="A1617" s="370">
        <v>45621.682037037041</v>
      </c>
      <c r="B1617" s="365" t="s">
        <v>6927</v>
      </c>
      <c r="C1617" s="365" t="s">
        <v>1317</v>
      </c>
      <c r="D1617" s="365" t="s">
        <v>1336</v>
      </c>
      <c r="E1617" s="365" t="s">
        <v>1337</v>
      </c>
      <c r="F1617" s="365" t="s">
        <v>6928</v>
      </c>
      <c r="G1617" s="370">
        <v>45595</v>
      </c>
      <c r="H1617" s="369">
        <v>15999</v>
      </c>
      <c r="I1617" s="365" t="s">
        <v>6929</v>
      </c>
      <c r="J1617" s="365" t="s">
        <v>1228</v>
      </c>
      <c r="K1617" s="365" t="s">
        <v>1229</v>
      </c>
      <c r="L1617" s="370">
        <v>45621.682395833333</v>
      </c>
    </row>
    <row r="1618" spans="1:12" s="365" customFormat="1">
      <c r="A1618" s="370">
        <v>45621.694074074076</v>
      </c>
      <c r="B1618" s="365" t="s">
        <v>6930</v>
      </c>
      <c r="C1618" s="365" t="s">
        <v>4275</v>
      </c>
      <c r="D1618" s="365" t="s">
        <v>4276</v>
      </c>
      <c r="E1618" s="365" t="s">
        <v>4277</v>
      </c>
      <c r="F1618" s="365" t="s">
        <v>6931</v>
      </c>
      <c r="G1618" s="370">
        <v>45595</v>
      </c>
      <c r="H1618" s="369">
        <v>32000</v>
      </c>
      <c r="I1618" s="365" t="s">
        <v>6932</v>
      </c>
      <c r="J1618" s="365" t="s">
        <v>1228</v>
      </c>
      <c r="K1618" s="365" t="s">
        <v>1229</v>
      </c>
      <c r="L1618" s="370">
        <v>45621.696956018517</v>
      </c>
    </row>
    <row r="1619" spans="1:12" s="365" customFormat="1">
      <c r="A1619" s="370">
        <v>45621.721666666665</v>
      </c>
      <c r="B1619" s="365" t="s">
        <v>6933</v>
      </c>
      <c r="C1619" s="365" t="s">
        <v>1325</v>
      </c>
      <c r="D1619" s="365" t="s">
        <v>1326</v>
      </c>
      <c r="E1619" s="365" t="s">
        <v>1327</v>
      </c>
      <c r="F1619" s="365" t="s">
        <v>6934</v>
      </c>
      <c r="G1619" s="370">
        <v>45595</v>
      </c>
      <c r="H1619" s="369">
        <v>48000</v>
      </c>
      <c r="I1619" s="365" t="s">
        <v>6935</v>
      </c>
      <c r="J1619" s="365" t="s">
        <v>1228</v>
      </c>
      <c r="K1619" s="365" t="s">
        <v>1229</v>
      </c>
      <c r="L1619" s="370">
        <v>45621.724745370368</v>
      </c>
    </row>
    <row r="1620" spans="1:12" s="365" customFormat="1">
      <c r="A1620" s="370">
        <v>45621.722754629627</v>
      </c>
      <c r="B1620" s="365" t="s">
        <v>6936</v>
      </c>
      <c r="C1620" s="365" t="s">
        <v>1317</v>
      </c>
      <c r="D1620" s="365" t="s">
        <v>6937</v>
      </c>
      <c r="E1620" s="365" t="s">
        <v>6938</v>
      </c>
      <c r="F1620" s="365" t="s">
        <v>6939</v>
      </c>
      <c r="G1620" s="370">
        <v>45595</v>
      </c>
      <c r="H1620" s="369">
        <v>15000</v>
      </c>
      <c r="I1620" s="365" t="s">
        <v>6940</v>
      </c>
      <c r="J1620" s="365" t="s">
        <v>1228</v>
      </c>
      <c r="K1620" s="365" t="s">
        <v>1229</v>
      </c>
      <c r="L1620" s="370">
        <v>45621.724930555552</v>
      </c>
    </row>
    <row r="1621" spans="1:12" s="365" customFormat="1">
      <c r="A1621" s="370">
        <v>45621.752534722225</v>
      </c>
      <c r="B1621" s="365" t="s">
        <v>6941</v>
      </c>
      <c r="C1621" s="365" t="s">
        <v>4623</v>
      </c>
      <c r="D1621" s="365" t="s">
        <v>1507</v>
      </c>
      <c r="E1621" s="365" t="s">
        <v>1508</v>
      </c>
      <c r="F1621" s="365" t="s">
        <v>6942</v>
      </c>
      <c r="G1621" s="370">
        <v>45621</v>
      </c>
      <c r="H1621" s="369">
        <v>15999</v>
      </c>
      <c r="I1621" s="365" t="s">
        <v>6943</v>
      </c>
      <c r="J1621" s="365" t="s">
        <v>1228</v>
      </c>
      <c r="K1621" s="365" t="s">
        <v>1229</v>
      </c>
      <c r="L1621" s="370">
        <v>45621.756064814814</v>
      </c>
    </row>
    <row r="1622" spans="1:12" s="365" customFormat="1">
      <c r="A1622" s="370">
        <v>45621.765057870369</v>
      </c>
      <c r="B1622" s="365" t="s">
        <v>6944</v>
      </c>
      <c r="C1622" s="365" t="s">
        <v>1230</v>
      </c>
      <c r="D1622" s="365" t="s">
        <v>1393</v>
      </c>
      <c r="E1622" s="365" t="s">
        <v>1394</v>
      </c>
      <c r="F1622" s="365" t="s">
        <v>6945</v>
      </c>
      <c r="G1622" s="370">
        <v>45595</v>
      </c>
      <c r="H1622" s="369">
        <v>15000</v>
      </c>
      <c r="I1622" s="365" t="s">
        <v>6946</v>
      </c>
      <c r="J1622" s="365" t="s">
        <v>1228</v>
      </c>
      <c r="K1622" s="365" t="s">
        <v>1229</v>
      </c>
      <c r="L1622" s="370">
        <v>45621.766423611109</v>
      </c>
    </row>
    <row r="1623" spans="1:12" s="365" customFormat="1">
      <c r="A1623" s="370">
        <v>45621.766944444447</v>
      </c>
      <c r="B1623" s="365" t="s">
        <v>6947</v>
      </c>
      <c r="C1623" s="365" t="s">
        <v>1230</v>
      </c>
      <c r="D1623" s="365" t="s">
        <v>3469</v>
      </c>
      <c r="E1623" s="365" t="s">
        <v>3470</v>
      </c>
      <c r="F1623" s="365" t="s">
        <v>6948</v>
      </c>
      <c r="G1623" s="370">
        <v>45595</v>
      </c>
      <c r="H1623" s="369">
        <v>15000</v>
      </c>
      <c r="I1623" s="365" t="s">
        <v>6949</v>
      </c>
      <c r="J1623" s="365" t="s">
        <v>1228</v>
      </c>
      <c r="K1623" s="365" t="s">
        <v>1229</v>
      </c>
      <c r="L1623" s="370">
        <v>45621.770729166667</v>
      </c>
    </row>
    <row r="1624" spans="1:12" s="365" customFormat="1">
      <c r="A1624" s="370">
        <v>45621.76834490741</v>
      </c>
      <c r="B1624" s="365" t="s">
        <v>6950</v>
      </c>
      <c r="C1624" s="365" t="s">
        <v>1230</v>
      </c>
      <c r="D1624" s="365" t="s">
        <v>4167</v>
      </c>
      <c r="E1624" s="365" t="s">
        <v>4168</v>
      </c>
      <c r="F1624" s="365" t="s">
        <v>6951</v>
      </c>
      <c r="G1624" s="370">
        <v>45595</v>
      </c>
      <c r="H1624" s="369">
        <v>15000</v>
      </c>
      <c r="I1624" s="365" t="s">
        <v>6952</v>
      </c>
      <c r="J1624" s="365" t="s">
        <v>1228</v>
      </c>
      <c r="K1624" s="365" t="s">
        <v>1229</v>
      </c>
      <c r="L1624" s="370">
        <v>45621.770914351851</v>
      </c>
    </row>
    <row r="1625" spans="1:12" s="365" customFormat="1">
      <c r="A1625" s="370">
        <v>45621.768703703703</v>
      </c>
      <c r="B1625" s="365" t="s">
        <v>6953</v>
      </c>
      <c r="C1625" s="365" t="s">
        <v>1230</v>
      </c>
      <c r="D1625" s="365" t="s">
        <v>1500</v>
      </c>
      <c r="E1625" s="365" t="s">
        <v>1501</v>
      </c>
      <c r="F1625" s="365" t="s">
        <v>6954</v>
      </c>
      <c r="G1625" s="370">
        <v>45595</v>
      </c>
      <c r="H1625" s="369">
        <v>15000</v>
      </c>
      <c r="I1625" s="365" t="s">
        <v>6955</v>
      </c>
      <c r="J1625" s="365" t="s">
        <v>1228</v>
      </c>
      <c r="K1625" s="365" t="s">
        <v>1229</v>
      </c>
      <c r="L1625" s="370">
        <v>45621.771099537036</v>
      </c>
    </row>
    <row r="1626" spans="1:12" s="365" customFormat="1">
      <c r="A1626" s="370">
        <v>45621.769814814812</v>
      </c>
      <c r="B1626" s="365" t="s">
        <v>6956</v>
      </c>
      <c r="C1626" s="365" t="s">
        <v>1230</v>
      </c>
      <c r="D1626" s="365" t="s">
        <v>1402</v>
      </c>
      <c r="E1626" s="365" t="s">
        <v>1403</v>
      </c>
      <c r="F1626" s="365" t="s">
        <v>6957</v>
      </c>
      <c r="G1626" s="370">
        <v>45595</v>
      </c>
      <c r="H1626" s="369">
        <v>15000</v>
      </c>
      <c r="I1626" s="365" t="s">
        <v>6958</v>
      </c>
      <c r="J1626" s="365" t="s">
        <v>1228</v>
      </c>
      <c r="K1626" s="365" t="s">
        <v>1229</v>
      </c>
      <c r="L1626" s="370">
        <v>45621.771284722221</v>
      </c>
    </row>
    <row r="1627" spans="1:12" s="365" customFormat="1">
      <c r="A1627" s="370">
        <v>45621.778680555559</v>
      </c>
      <c r="B1627" s="365" t="s">
        <v>6959</v>
      </c>
      <c r="C1627" s="365" t="s">
        <v>1524</v>
      </c>
      <c r="D1627" s="365" t="s">
        <v>1525</v>
      </c>
      <c r="E1627" s="365" t="s">
        <v>1526</v>
      </c>
      <c r="F1627" s="365" t="s">
        <v>6960</v>
      </c>
      <c r="G1627" s="370">
        <v>45621</v>
      </c>
      <c r="H1627" s="369">
        <v>18000</v>
      </c>
      <c r="I1627" s="365" t="s">
        <v>6961</v>
      </c>
      <c r="J1627" s="365" t="s">
        <v>1228</v>
      </c>
      <c r="K1627" s="365" t="s">
        <v>1229</v>
      </c>
      <c r="L1627" s="370">
        <v>45621.782384259262</v>
      </c>
    </row>
    <row r="1628" spans="1:12" s="365" customFormat="1">
      <c r="A1628" s="370">
        <v>45621.787754629629</v>
      </c>
      <c r="B1628" s="365" t="s">
        <v>6962</v>
      </c>
      <c r="C1628" s="365" t="s">
        <v>1230</v>
      </c>
      <c r="D1628" s="365" t="s">
        <v>3593</v>
      </c>
      <c r="E1628" s="365" t="s">
        <v>3594</v>
      </c>
      <c r="F1628" s="365" t="s">
        <v>6963</v>
      </c>
      <c r="G1628" s="370">
        <v>45595</v>
      </c>
      <c r="H1628" s="369">
        <v>18000</v>
      </c>
      <c r="I1628" s="365" t="s">
        <v>6964</v>
      </c>
      <c r="J1628" s="365" t="s">
        <v>1228</v>
      </c>
      <c r="K1628" s="365" t="s">
        <v>1229</v>
      </c>
      <c r="L1628" s="370">
        <v>45621.789131944446</v>
      </c>
    </row>
    <row r="1629" spans="1:12" s="365" customFormat="1">
      <c r="A1629" s="370">
        <v>45621.789930555555</v>
      </c>
      <c r="B1629" s="365" t="s">
        <v>6965</v>
      </c>
      <c r="C1629" s="365" t="s">
        <v>1230</v>
      </c>
      <c r="D1629" s="365" t="s">
        <v>3907</v>
      </c>
      <c r="E1629" s="365" t="s">
        <v>3908</v>
      </c>
      <c r="F1629" s="365" t="s">
        <v>6966</v>
      </c>
      <c r="G1629" s="370">
        <v>45595</v>
      </c>
      <c r="H1629" s="369">
        <v>20999</v>
      </c>
      <c r="I1629" s="365" t="s">
        <v>6967</v>
      </c>
      <c r="J1629" s="365" t="s">
        <v>1228</v>
      </c>
      <c r="K1629" s="365" t="s">
        <v>1229</v>
      </c>
      <c r="L1629" s="370">
        <v>45621.792708333334</v>
      </c>
    </row>
    <row r="1630" spans="1:12" s="365" customFormat="1">
      <c r="A1630" s="370">
        <v>45621.791481481479</v>
      </c>
      <c r="B1630" s="365" t="s">
        <v>6968</v>
      </c>
      <c r="C1630" s="365" t="s">
        <v>1230</v>
      </c>
      <c r="D1630" s="365" t="s">
        <v>3541</v>
      </c>
      <c r="E1630" s="365" t="s">
        <v>3542</v>
      </c>
      <c r="F1630" s="365" t="s">
        <v>6969</v>
      </c>
      <c r="G1630" s="370">
        <v>45595</v>
      </c>
      <c r="H1630" s="369">
        <v>21000</v>
      </c>
      <c r="I1630" s="365" t="s">
        <v>6970</v>
      </c>
      <c r="J1630" s="365" t="s">
        <v>1228</v>
      </c>
      <c r="K1630" s="365" t="s">
        <v>1229</v>
      </c>
      <c r="L1630" s="370">
        <v>45621.792893518519</v>
      </c>
    </row>
    <row r="1631" spans="1:12" s="365" customFormat="1">
      <c r="A1631" s="370">
        <v>45621.793333333335</v>
      </c>
      <c r="B1631" s="365" t="s">
        <v>6971</v>
      </c>
      <c r="C1631" s="365" t="s">
        <v>1230</v>
      </c>
      <c r="D1631" s="365" t="s">
        <v>1308</v>
      </c>
      <c r="E1631" s="365" t="s">
        <v>1309</v>
      </c>
      <c r="F1631" s="365" t="s">
        <v>6972</v>
      </c>
      <c r="G1631" s="370">
        <v>45595</v>
      </c>
      <c r="H1631" s="369">
        <v>30000</v>
      </c>
      <c r="I1631" s="365" t="s">
        <v>6973</v>
      </c>
      <c r="J1631" s="365" t="s">
        <v>1228</v>
      </c>
      <c r="K1631" s="365" t="s">
        <v>1229</v>
      </c>
      <c r="L1631" s="370">
        <v>45621.796319444446</v>
      </c>
    </row>
    <row r="1632" spans="1:12" s="365" customFormat="1">
      <c r="A1632" s="370">
        <v>45621.795370370368</v>
      </c>
      <c r="B1632" s="365" t="s">
        <v>6974</v>
      </c>
      <c r="C1632" s="365" t="s">
        <v>1530</v>
      </c>
      <c r="D1632" s="365" t="s">
        <v>1531</v>
      </c>
      <c r="E1632" s="365" t="s">
        <v>1532</v>
      </c>
      <c r="F1632" s="365" t="s">
        <v>6975</v>
      </c>
      <c r="G1632" s="370">
        <v>45621</v>
      </c>
      <c r="H1632" s="369">
        <v>28000</v>
      </c>
      <c r="I1632" s="365" t="s">
        <v>6976</v>
      </c>
      <c r="J1632" s="365" t="s">
        <v>1228</v>
      </c>
      <c r="K1632" s="365" t="s">
        <v>1229</v>
      </c>
      <c r="L1632" s="370">
        <v>45621.79650462963</v>
      </c>
    </row>
    <row r="1633" spans="1:12" s="365" customFormat="1">
      <c r="A1633" s="370">
        <v>45621.800416666665</v>
      </c>
      <c r="B1633" s="365" t="s">
        <v>6977</v>
      </c>
      <c r="C1633" s="365" t="s">
        <v>1230</v>
      </c>
      <c r="D1633" s="365" t="s">
        <v>4236</v>
      </c>
      <c r="E1633" s="365" t="s">
        <v>4237</v>
      </c>
      <c r="F1633" s="365" t="s">
        <v>6978</v>
      </c>
      <c r="G1633" s="370">
        <v>45595</v>
      </c>
      <c r="H1633" s="369">
        <v>39000</v>
      </c>
      <c r="I1633" s="365" t="s">
        <v>6979</v>
      </c>
      <c r="J1633" s="365" t="s">
        <v>1228</v>
      </c>
      <c r="K1633" s="365" t="s">
        <v>1229</v>
      </c>
      <c r="L1633" s="370">
        <v>45621.803761574076</v>
      </c>
    </row>
    <row r="1634" spans="1:12" s="365" customFormat="1">
      <c r="A1634" s="370">
        <v>45621.803449074076</v>
      </c>
      <c r="B1634" s="365" t="s">
        <v>6980</v>
      </c>
      <c r="C1634" s="365" t="s">
        <v>1230</v>
      </c>
      <c r="D1634" s="365" t="s">
        <v>3823</v>
      </c>
      <c r="E1634" s="365" t="s">
        <v>3824</v>
      </c>
      <c r="F1634" s="365" t="s">
        <v>6981</v>
      </c>
      <c r="G1634" s="370">
        <v>45595</v>
      </c>
      <c r="H1634" s="369">
        <v>56999</v>
      </c>
      <c r="I1634" s="365" t="s">
        <v>6982</v>
      </c>
      <c r="J1634" s="365" t="s">
        <v>1228</v>
      </c>
      <c r="K1634" s="365" t="s">
        <v>1229</v>
      </c>
      <c r="L1634" s="370">
        <v>45621.803946759261</v>
      </c>
    </row>
    <row r="1635" spans="1:12" s="365" customFormat="1">
      <c r="A1635" s="370">
        <v>45621.812696759262</v>
      </c>
      <c r="B1635" s="365" t="s">
        <v>6983</v>
      </c>
      <c r="C1635" s="365" t="s">
        <v>1230</v>
      </c>
      <c r="D1635" s="365" t="s">
        <v>2310</v>
      </c>
      <c r="E1635" s="365" t="s">
        <v>2311</v>
      </c>
      <c r="F1635" s="365" t="s">
        <v>6984</v>
      </c>
      <c r="G1635" s="370">
        <v>45595</v>
      </c>
      <c r="H1635" s="369">
        <v>261500</v>
      </c>
      <c r="I1635" s="365" t="s">
        <v>6985</v>
      </c>
      <c r="J1635" s="365" t="s">
        <v>1228</v>
      </c>
      <c r="K1635" s="365" t="s">
        <v>1229</v>
      </c>
      <c r="L1635" s="370">
        <v>45621.814398148148</v>
      </c>
    </row>
    <row r="1636" spans="1:12" s="365" customFormat="1">
      <c r="A1636" s="370">
        <v>45621.821400462963</v>
      </c>
      <c r="B1636" s="365" t="s">
        <v>6986</v>
      </c>
      <c r="C1636" s="365" t="s">
        <v>1547</v>
      </c>
      <c r="D1636" s="365" t="s">
        <v>1548</v>
      </c>
      <c r="E1636" s="365" t="s">
        <v>1549</v>
      </c>
      <c r="F1636" s="365" t="s">
        <v>6987</v>
      </c>
      <c r="G1636" s="370">
        <v>45621</v>
      </c>
      <c r="H1636" s="369">
        <v>54000</v>
      </c>
      <c r="I1636" s="365" t="s">
        <v>6988</v>
      </c>
      <c r="J1636" s="365" t="s">
        <v>1228</v>
      </c>
      <c r="K1636" s="365" t="s">
        <v>1229</v>
      </c>
      <c r="L1636" s="370">
        <v>45621.82472222222</v>
      </c>
    </row>
    <row r="1637" spans="1:12" s="365" customFormat="1">
      <c r="A1637" s="370">
        <v>45621.873564814814</v>
      </c>
      <c r="B1637" s="365" t="s">
        <v>6989</v>
      </c>
      <c r="C1637" s="365" t="s">
        <v>3005</v>
      </c>
      <c r="D1637" s="365" t="s">
        <v>3006</v>
      </c>
      <c r="E1637" s="365" t="s">
        <v>3007</v>
      </c>
      <c r="F1637" s="365" t="s">
        <v>6990</v>
      </c>
      <c r="G1637" s="370">
        <v>45595</v>
      </c>
      <c r="H1637" s="369">
        <v>15999</v>
      </c>
      <c r="I1637" s="365" t="s">
        <v>6991</v>
      </c>
      <c r="J1637" s="365" t="s">
        <v>1228</v>
      </c>
      <c r="K1637" s="365" t="s">
        <v>1229</v>
      </c>
      <c r="L1637" s="370">
        <v>45621.876666666663</v>
      </c>
    </row>
    <row r="1638" spans="1:12" s="365" customFormat="1">
      <c r="A1638" s="370">
        <v>45621.914965277778</v>
      </c>
      <c r="B1638" s="365" t="s">
        <v>6992</v>
      </c>
      <c r="C1638" s="365" t="s">
        <v>4510</v>
      </c>
      <c r="D1638" s="365" t="s">
        <v>1553</v>
      </c>
      <c r="E1638" s="365" t="s">
        <v>1554</v>
      </c>
      <c r="F1638" s="365" t="s">
        <v>6993</v>
      </c>
      <c r="G1638" s="370">
        <v>45621</v>
      </c>
      <c r="H1638" s="369">
        <v>15999</v>
      </c>
      <c r="I1638" s="365" t="s">
        <v>6994</v>
      </c>
      <c r="J1638" s="365" t="s">
        <v>1228</v>
      </c>
      <c r="K1638" s="365" t="s">
        <v>1229</v>
      </c>
      <c r="L1638" s="370">
        <v>45621.918298611112</v>
      </c>
    </row>
    <row r="1639" spans="1:12" s="365" customFormat="1">
      <c r="A1639" s="370">
        <v>45621.947245370371</v>
      </c>
      <c r="B1639" s="365" t="s">
        <v>6995</v>
      </c>
      <c r="C1639" s="365" t="s">
        <v>2958</v>
      </c>
      <c r="D1639" s="365" t="s">
        <v>2959</v>
      </c>
      <c r="E1639" s="365" t="s">
        <v>2960</v>
      </c>
      <c r="F1639" s="365" t="s">
        <v>6996</v>
      </c>
      <c r="G1639" s="370">
        <v>45621</v>
      </c>
      <c r="H1639" s="369">
        <v>83999</v>
      </c>
      <c r="I1639" s="365" t="s">
        <v>6997</v>
      </c>
      <c r="J1639" s="365" t="s">
        <v>1228</v>
      </c>
      <c r="K1639" s="365" t="s">
        <v>1229</v>
      </c>
      <c r="L1639" s="370">
        <v>45621.949606481481</v>
      </c>
    </row>
    <row r="1640" spans="1:12" s="365" customFormat="1">
      <c r="A1640" s="370">
        <v>45621.425717592596</v>
      </c>
      <c r="B1640" s="365" t="s">
        <v>6998</v>
      </c>
      <c r="C1640" s="365" t="s">
        <v>3756</v>
      </c>
      <c r="D1640" s="365" t="s">
        <v>3757</v>
      </c>
      <c r="E1640" s="365" t="s">
        <v>3758</v>
      </c>
      <c r="F1640" s="365" t="s">
        <v>6999</v>
      </c>
      <c r="G1640" s="370">
        <v>45595</v>
      </c>
      <c r="H1640" s="369">
        <v>19500</v>
      </c>
      <c r="I1640" s="365" t="s">
        <v>7000</v>
      </c>
      <c r="J1640" s="365" t="s">
        <v>1228</v>
      </c>
      <c r="K1640" s="365" t="s">
        <v>1229</v>
      </c>
      <c r="L1640" s="370">
        <v>45621.428194444445</v>
      </c>
    </row>
    <row r="1641" spans="1:12" s="365" customFormat="1">
      <c r="A1641" s="370">
        <v>45621.44390046296</v>
      </c>
      <c r="B1641" s="365" t="s">
        <v>7001</v>
      </c>
      <c r="C1641" s="365" t="s">
        <v>1357</v>
      </c>
      <c r="D1641" s="365" t="s">
        <v>1358</v>
      </c>
      <c r="E1641" s="365" t="s">
        <v>1359</v>
      </c>
      <c r="F1641" s="365" t="s">
        <v>7002</v>
      </c>
      <c r="G1641" s="370">
        <v>45595</v>
      </c>
      <c r="H1641" s="369">
        <v>135000</v>
      </c>
      <c r="I1641" s="365" t="s">
        <v>7003</v>
      </c>
      <c r="J1641" s="365" t="s">
        <v>1228</v>
      </c>
      <c r="K1641" s="365" t="s">
        <v>1229</v>
      </c>
      <c r="L1641" s="370">
        <v>45621.445844907408</v>
      </c>
    </row>
    <row r="1642" spans="1:12" s="365" customFormat="1">
      <c r="A1642" s="370">
        <v>45621.500775462962</v>
      </c>
      <c r="B1642" s="365" t="s">
        <v>7004</v>
      </c>
      <c r="C1642" s="365" t="s">
        <v>4391</v>
      </c>
      <c r="D1642" s="365" t="s">
        <v>4392</v>
      </c>
      <c r="E1642" s="365" t="s">
        <v>4393</v>
      </c>
      <c r="F1642" s="365" t="s">
        <v>7005</v>
      </c>
      <c r="G1642" s="370">
        <v>45595</v>
      </c>
      <c r="H1642" s="369">
        <v>31999</v>
      </c>
      <c r="I1642" s="365" t="s">
        <v>7006</v>
      </c>
      <c r="J1642" s="365" t="s">
        <v>1228</v>
      </c>
      <c r="K1642" s="365" t="s">
        <v>1229</v>
      </c>
      <c r="L1642" s="370">
        <v>45621.501875000002</v>
      </c>
    </row>
    <row r="1643" spans="1:12" s="365" customFormat="1">
      <c r="A1643" s="370">
        <v>45621.574641203704</v>
      </c>
      <c r="B1643" s="365" t="s">
        <v>7007</v>
      </c>
      <c r="C1643" s="365" t="s">
        <v>1435</v>
      </c>
      <c r="D1643" s="365" t="s">
        <v>1436</v>
      </c>
      <c r="E1643" s="365" t="s">
        <v>1437</v>
      </c>
      <c r="F1643" s="365" t="s">
        <v>7008</v>
      </c>
      <c r="G1643" s="370">
        <v>45621</v>
      </c>
      <c r="H1643" s="369">
        <v>17000</v>
      </c>
      <c r="I1643" s="365" t="s">
        <v>7009</v>
      </c>
      <c r="J1643" s="365" t="s">
        <v>1228</v>
      </c>
      <c r="K1643" s="365" t="s">
        <v>1229</v>
      </c>
      <c r="L1643" s="370">
        <v>45621.577905092592</v>
      </c>
    </row>
    <row r="1644" spans="1:12" s="365" customFormat="1">
      <c r="A1644" s="370">
        <v>45621.69767361111</v>
      </c>
      <c r="B1644" s="365" t="s">
        <v>7010</v>
      </c>
      <c r="C1644" s="365" t="s">
        <v>7011</v>
      </c>
      <c r="D1644" s="365" t="s">
        <v>7012</v>
      </c>
      <c r="E1644" s="365" t="s">
        <v>7013</v>
      </c>
      <c r="F1644" s="365" t="s">
        <v>7014</v>
      </c>
      <c r="G1644" s="370">
        <v>45595</v>
      </c>
      <c r="H1644" s="369">
        <v>234546</v>
      </c>
      <c r="I1644" s="365" t="s">
        <v>7015</v>
      </c>
      <c r="J1644" s="365" t="s">
        <v>1228</v>
      </c>
      <c r="K1644" s="365" t="s">
        <v>1229</v>
      </c>
      <c r="L1644" s="370">
        <v>45621.700520833336</v>
      </c>
    </row>
    <row r="1645" spans="1:12" s="365" customFormat="1">
      <c r="A1645" s="370">
        <v>45621.710370370369</v>
      </c>
      <c r="B1645" s="365" t="s">
        <v>7016</v>
      </c>
      <c r="C1645" s="365" t="s">
        <v>3921</v>
      </c>
      <c r="D1645" s="365" t="s">
        <v>3922</v>
      </c>
      <c r="E1645" s="365" t="s">
        <v>3923</v>
      </c>
      <c r="F1645" s="365" t="s">
        <v>7017</v>
      </c>
      <c r="G1645" s="370">
        <v>45595</v>
      </c>
      <c r="H1645" s="369">
        <v>135000</v>
      </c>
      <c r="I1645" s="365" t="s">
        <v>7018</v>
      </c>
      <c r="J1645" s="365" t="s">
        <v>1228</v>
      </c>
      <c r="K1645" s="365" t="s">
        <v>1229</v>
      </c>
      <c r="L1645" s="370">
        <v>45621.710844907408</v>
      </c>
    </row>
    <row r="1646" spans="1:12" s="365" customFormat="1">
      <c r="A1646" s="370">
        <v>45621.76152777778</v>
      </c>
      <c r="B1646" s="365" t="s">
        <v>7019</v>
      </c>
      <c r="C1646" s="365" t="s">
        <v>1230</v>
      </c>
      <c r="D1646" s="365" t="s">
        <v>1366</v>
      </c>
      <c r="E1646" s="365" t="s">
        <v>1367</v>
      </c>
      <c r="F1646" s="365" t="s">
        <v>7020</v>
      </c>
      <c r="G1646" s="370">
        <v>45595</v>
      </c>
      <c r="H1646" s="369">
        <v>9000</v>
      </c>
      <c r="I1646" s="365" t="s">
        <v>7021</v>
      </c>
      <c r="J1646" s="365" t="s">
        <v>1228</v>
      </c>
      <c r="K1646" s="365" t="s">
        <v>1229</v>
      </c>
      <c r="L1646" s="370">
        <v>45621.76284722222</v>
      </c>
    </row>
    <row r="1647" spans="1:12" s="365" customFormat="1">
      <c r="A1647" s="370">
        <v>45621.766504629632</v>
      </c>
      <c r="B1647" s="365" t="s">
        <v>7022</v>
      </c>
      <c r="C1647" s="365" t="s">
        <v>1230</v>
      </c>
      <c r="D1647" s="365" t="s">
        <v>1578</v>
      </c>
      <c r="E1647" s="365" t="s">
        <v>1579</v>
      </c>
      <c r="F1647" s="365" t="s">
        <v>7023</v>
      </c>
      <c r="G1647" s="370">
        <v>45595</v>
      </c>
      <c r="H1647" s="369">
        <v>15000</v>
      </c>
      <c r="I1647" s="365" t="s">
        <v>7024</v>
      </c>
      <c r="J1647" s="365" t="s">
        <v>1228</v>
      </c>
      <c r="K1647" s="365" t="s">
        <v>1229</v>
      </c>
      <c r="L1647" s="370">
        <v>45621.771458333336</v>
      </c>
    </row>
    <row r="1648" spans="1:12" s="365" customFormat="1">
      <c r="A1648" s="370">
        <v>45621.793888888889</v>
      </c>
      <c r="B1648" s="365" t="s">
        <v>7025</v>
      </c>
      <c r="C1648" s="365" t="s">
        <v>1230</v>
      </c>
      <c r="D1648" s="365" t="s">
        <v>3546</v>
      </c>
      <c r="E1648" s="365" t="s">
        <v>3547</v>
      </c>
      <c r="F1648" s="365" t="s">
        <v>7026</v>
      </c>
      <c r="G1648" s="370">
        <v>45595</v>
      </c>
      <c r="H1648" s="369">
        <v>30000</v>
      </c>
      <c r="I1648" s="365" t="s">
        <v>7027</v>
      </c>
      <c r="J1648" s="365" t="s">
        <v>1228</v>
      </c>
      <c r="K1648" s="365" t="s">
        <v>1229</v>
      </c>
      <c r="L1648" s="370">
        <v>45621.796689814815</v>
      </c>
    </row>
    <row r="1649" spans="1:12" s="365" customFormat="1">
      <c r="A1649" s="370">
        <v>45621.795300925929</v>
      </c>
      <c r="B1649" s="365" t="s">
        <v>7028</v>
      </c>
      <c r="C1649" s="365" t="s">
        <v>1230</v>
      </c>
      <c r="D1649" s="365" t="s">
        <v>3491</v>
      </c>
      <c r="E1649" s="365" t="s">
        <v>3492</v>
      </c>
      <c r="F1649" s="365" t="s">
        <v>7029</v>
      </c>
      <c r="G1649" s="370">
        <v>45595</v>
      </c>
      <c r="H1649" s="369">
        <v>30501</v>
      </c>
      <c r="I1649" s="365" t="s">
        <v>7030</v>
      </c>
      <c r="J1649" s="365" t="s">
        <v>1228</v>
      </c>
      <c r="K1649" s="365" t="s">
        <v>1229</v>
      </c>
      <c r="L1649" s="370">
        <v>45621.796875</v>
      </c>
    </row>
    <row r="1650" spans="1:12" s="365" customFormat="1">
      <c r="A1650" s="370">
        <v>45621.797800925924</v>
      </c>
      <c r="B1650" s="365" t="s">
        <v>7031</v>
      </c>
      <c r="C1650" s="365" t="s">
        <v>1230</v>
      </c>
      <c r="D1650" s="365" t="s">
        <v>2052</v>
      </c>
      <c r="E1650" s="365" t="s">
        <v>2053</v>
      </c>
      <c r="F1650" s="365" t="s">
        <v>7032</v>
      </c>
      <c r="G1650" s="370">
        <v>45595</v>
      </c>
      <c r="H1650" s="369">
        <v>34999</v>
      </c>
      <c r="I1650" s="365" t="s">
        <v>7033</v>
      </c>
      <c r="J1650" s="365" t="s">
        <v>1228</v>
      </c>
      <c r="K1650" s="365" t="s">
        <v>1229</v>
      </c>
      <c r="L1650" s="370">
        <v>45621.800520833334</v>
      </c>
    </row>
    <row r="1651" spans="1:12" s="365" customFormat="1">
      <c r="A1651" s="370">
        <v>45621.808240740742</v>
      </c>
      <c r="B1651" s="365" t="s">
        <v>7034</v>
      </c>
      <c r="C1651" s="365" t="s">
        <v>2315</v>
      </c>
      <c r="D1651" s="365" t="s">
        <v>2316</v>
      </c>
      <c r="E1651" s="365" t="s">
        <v>2317</v>
      </c>
      <c r="F1651" s="365" t="s">
        <v>7035</v>
      </c>
      <c r="G1651" s="370">
        <v>45621</v>
      </c>
      <c r="H1651" s="369">
        <v>12000</v>
      </c>
      <c r="I1651" s="365" t="s">
        <v>7036</v>
      </c>
      <c r="J1651" s="365" t="s">
        <v>1228</v>
      </c>
      <c r="K1651" s="365" t="s">
        <v>1229</v>
      </c>
      <c r="L1651" s="370">
        <v>45621.810868055552</v>
      </c>
    </row>
    <row r="1652" spans="1:12" s="365" customFormat="1">
      <c r="A1652" s="370">
        <v>45621.841481481482</v>
      </c>
      <c r="B1652" s="365" t="s">
        <v>7037</v>
      </c>
      <c r="C1652" s="365" t="s">
        <v>7038</v>
      </c>
      <c r="D1652" s="365" t="s">
        <v>2674</v>
      </c>
      <c r="E1652" s="365" t="s">
        <v>2675</v>
      </c>
      <c r="F1652" s="365" t="s">
        <v>7039</v>
      </c>
      <c r="G1652" s="370">
        <v>45595</v>
      </c>
      <c r="H1652" s="369">
        <v>9000</v>
      </c>
      <c r="I1652" s="365" t="s">
        <v>7040</v>
      </c>
      <c r="J1652" s="365" t="s">
        <v>1228</v>
      </c>
      <c r="K1652" s="365" t="s">
        <v>1229</v>
      </c>
      <c r="L1652" s="370">
        <v>45621.842152777775</v>
      </c>
    </row>
    <row r="1653" spans="1:12" s="365" customFormat="1">
      <c r="A1653" s="370">
        <v>45621.333657407406</v>
      </c>
      <c r="B1653" s="365" t="s">
        <v>7041</v>
      </c>
      <c r="C1653" s="365" t="s">
        <v>1338</v>
      </c>
      <c r="D1653" s="365" t="s">
        <v>1339</v>
      </c>
      <c r="E1653" s="365" t="s">
        <v>1340</v>
      </c>
      <c r="F1653" s="365" t="s">
        <v>7042</v>
      </c>
      <c r="G1653" s="370">
        <v>45621</v>
      </c>
      <c r="H1653" s="369">
        <v>12000</v>
      </c>
      <c r="I1653" s="365" t="s">
        <v>7043</v>
      </c>
      <c r="J1653" s="365" t="s">
        <v>1228</v>
      </c>
      <c r="K1653" s="365" t="s">
        <v>1229</v>
      </c>
      <c r="L1653" s="370">
        <v>45621.337060185186</v>
      </c>
    </row>
    <row r="1654" spans="1:12" s="365" customFormat="1">
      <c r="A1654" s="370">
        <v>45621.36619212963</v>
      </c>
      <c r="B1654" s="365" t="s">
        <v>7044</v>
      </c>
      <c r="C1654" s="365" t="s">
        <v>4697</v>
      </c>
      <c r="D1654" s="365" t="s">
        <v>4698</v>
      </c>
      <c r="E1654" s="365" t="s">
        <v>4699</v>
      </c>
      <c r="F1654" s="365" t="s">
        <v>7045</v>
      </c>
      <c r="G1654" s="370">
        <v>45621</v>
      </c>
      <c r="H1654" s="369">
        <v>15000</v>
      </c>
      <c r="I1654" s="365" t="s">
        <v>7046</v>
      </c>
      <c r="J1654" s="365" t="s">
        <v>1228</v>
      </c>
      <c r="K1654" s="365" t="s">
        <v>1229</v>
      </c>
      <c r="L1654" s="370">
        <v>45621.368402777778</v>
      </c>
    </row>
    <row r="1655" spans="1:12" s="365" customFormat="1">
      <c r="A1655" s="370">
        <v>45621.371759259258</v>
      </c>
      <c r="B1655" s="365" t="s">
        <v>7047</v>
      </c>
      <c r="C1655" s="365" t="s">
        <v>7048</v>
      </c>
      <c r="D1655" s="365" t="s">
        <v>1962</v>
      </c>
      <c r="E1655" s="365" t="s">
        <v>1963</v>
      </c>
      <c r="F1655" s="365" t="s">
        <v>7049</v>
      </c>
      <c r="G1655" s="370">
        <v>45595</v>
      </c>
      <c r="H1655" s="369">
        <v>22500</v>
      </c>
      <c r="I1655" s="365" t="s">
        <v>7050</v>
      </c>
      <c r="J1655" s="365" t="s">
        <v>1228</v>
      </c>
      <c r="K1655" s="365" t="s">
        <v>1229</v>
      </c>
      <c r="L1655" s="370">
        <v>45621.375706018516</v>
      </c>
    </row>
    <row r="1656" spans="1:12" s="365" customFormat="1">
      <c r="A1656" s="370">
        <v>45621.449733796297</v>
      </c>
      <c r="B1656" s="365" t="s">
        <v>7051</v>
      </c>
      <c r="C1656" s="365" t="s">
        <v>4836</v>
      </c>
      <c r="D1656" s="365" t="s">
        <v>4837</v>
      </c>
      <c r="E1656" s="365" t="s">
        <v>4838</v>
      </c>
      <c r="F1656" s="365" t="s">
        <v>7052</v>
      </c>
      <c r="G1656" s="370">
        <v>45621</v>
      </c>
      <c r="H1656" s="369">
        <v>15999</v>
      </c>
      <c r="I1656" s="365" t="s">
        <v>7053</v>
      </c>
      <c r="J1656" s="365" t="s">
        <v>1228</v>
      </c>
      <c r="K1656" s="365" t="s">
        <v>1229</v>
      </c>
      <c r="L1656" s="370">
        <v>45621.453101851854</v>
      </c>
    </row>
    <row r="1657" spans="1:12" s="365" customFormat="1">
      <c r="A1657" s="370">
        <v>45621.466469907406</v>
      </c>
      <c r="B1657" s="365" t="s">
        <v>7054</v>
      </c>
      <c r="C1657" s="365" t="s">
        <v>1583</v>
      </c>
      <c r="D1657" s="365" t="s">
        <v>1584</v>
      </c>
      <c r="E1657" s="365" t="s">
        <v>1585</v>
      </c>
      <c r="F1657" s="365" t="s">
        <v>7055</v>
      </c>
      <c r="G1657" s="370">
        <v>45621</v>
      </c>
      <c r="H1657" s="369">
        <v>25999</v>
      </c>
      <c r="I1657" s="365" t="s">
        <v>7056</v>
      </c>
      <c r="J1657" s="365" t="s">
        <v>1228</v>
      </c>
      <c r="K1657" s="365" t="s">
        <v>1229</v>
      </c>
      <c r="L1657" s="370">
        <v>45621.466990740744</v>
      </c>
    </row>
    <row r="1658" spans="1:12" s="365" customFormat="1">
      <c r="A1658" s="370">
        <v>45621.513645833336</v>
      </c>
      <c r="B1658" s="365" t="s">
        <v>7057</v>
      </c>
      <c r="C1658" s="365" t="s">
        <v>4391</v>
      </c>
      <c r="D1658" s="365" t="s">
        <v>4392</v>
      </c>
      <c r="E1658" s="365" t="s">
        <v>4393</v>
      </c>
      <c r="F1658" s="365" t="s">
        <v>7058</v>
      </c>
      <c r="G1658" s="370">
        <v>45621</v>
      </c>
      <c r="H1658" s="369">
        <v>31999</v>
      </c>
      <c r="I1658" s="365" t="s">
        <v>7059</v>
      </c>
      <c r="J1658" s="365" t="s">
        <v>1228</v>
      </c>
      <c r="K1658" s="365" t="s">
        <v>1229</v>
      </c>
      <c r="L1658" s="370">
        <v>45621.515775462962</v>
      </c>
    </row>
    <row r="1659" spans="1:12" s="365" customFormat="1">
      <c r="A1659" s="370">
        <v>45621.546469907407</v>
      </c>
      <c r="B1659" s="365" t="s">
        <v>7060</v>
      </c>
      <c r="C1659" s="365" t="s">
        <v>2832</v>
      </c>
      <c r="D1659" s="365" t="s">
        <v>2833</v>
      </c>
      <c r="E1659" s="365" t="s">
        <v>2834</v>
      </c>
      <c r="F1659" s="365" t="s">
        <v>7061</v>
      </c>
      <c r="G1659" s="370">
        <v>45595</v>
      </c>
      <c r="H1659" s="369">
        <v>65900</v>
      </c>
      <c r="I1659" s="365" t="s">
        <v>7062</v>
      </c>
      <c r="J1659" s="365" t="s">
        <v>1228</v>
      </c>
      <c r="K1659" s="365" t="s">
        <v>1229</v>
      </c>
      <c r="L1659" s="370">
        <v>45621.546782407408</v>
      </c>
    </row>
    <row r="1660" spans="1:12" s="365" customFormat="1">
      <c r="A1660" s="370">
        <v>45621.592916666668</v>
      </c>
      <c r="B1660" s="365" t="s">
        <v>7063</v>
      </c>
      <c r="C1660" s="365" t="s">
        <v>2730</v>
      </c>
      <c r="D1660" s="365" t="s">
        <v>2731</v>
      </c>
      <c r="E1660" s="365" t="s">
        <v>2732</v>
      </c>
      <c r="F1660" s="365" t="s">
        <v>7064</v>
      </c>
      <c r="G1660" s="370">
        <v>45595</v>
      </c>
      <c r="H1660" s="369">
        <v>79999</v>
      </c>
      <c r="I1660" s="365" t="s">
        <v>7065</v>
      </c>
      <c r="J1660" s="365" t="s">
        <v>1228</v>
      </c>
      <c r="K1660" s="365" t="s">
        <v>1229</v>
      </c>
      <c r="L1660" s="370">
        <v>45621.595509259256</v>
      </c>
    </row>
    <row r="1661" spans="1:12" s="365" customFormat="1">
      <c r="A1661" s="370">
        <v>45621.610706018517</v>
      </c>
      <c r="B1661" s="365" t="s">
        <v>7066</v>
      </c>
      <c r="C1661" s="365" t="s">
        <v>3837</v>
      </c>
      <c r="D1661" s="365" t="s">
        <v>3838</v>
      </c>
      <c r="E1661" s="365" t="s">
        <v>3839</v>
      </c>
      <c r="F1661" s="365" t="s">
        <v>7067</v>
      </c>
      <c r="G1661" s="370">
        <v>45621</v>
      </c>
      <c r="H1661" s="369">
        <v>43000</v>
      </c>
      <c r="I1661" s="365" t="s">
        <v>7068</v>
      </c>
      <c r="J1661" s="365" t="s">
        <v>1228</v>
      </c>
      <c r="K1661" s="365" t="s">
        <v>1229</v>
      </c>
      <c r="L1661" s="370">
        <v>45621.612951388888</v>
      </c>
    </row>
    <row r="1662" spans="1:12" s="365" customFormat="1">
      <c r="A1662" s="370">
        <v>45621.636874999997</v>
      </c>
      <c r="B1662" s="365" t="s">
        <v>7069</v>
      </c>
      <c r="C1662" s="365" t="s">
        <v>3873</v>
      </c>
      <c r="D1662" s="365" t="s">
        <v>3874</v>
      </c>
      <c r="E1662" s="365" t="s">
        <v>3875</v>
      </c>
      <c r="F1662" s="365" t="s">
        <v>7070</v>
      </c>
      <c r="G1662" s="370">
        <v>45621</v>
      </c>
      <c r="H1662" s="369">
        <v>15000</v>
      </c>
      <c r="I1662" s="365" t="s">
        <v>7071</v>
      </c>
      <c r="J1662" s="365" t="s">
        <v>1228</v>
      </c>
      <c r="K1662" s="365" t="s">
        <v>1229</v>
      </c>
      <c r="L1662" s="370">
        <v>45621.637164351851</v>
      </c>
    </row>
    <row r="1663" spans="1:12" s="365" customFormat="1">
      <c r="A1663" s="370">
        <v>45621.680439814816</v>
      </c>
      <c r="B1663" s="365" t="s">
        <v>7072</v>
      </c>
      <c r="C1663" s="365" t="s">
        <v>1422</v>
      </c>
      <c r="D1663" s="365" t="s">
        <v>1423</v>
      </c>
      <c r="E1663" s="365" t="s">
        <v>1424</v>
      </c>
      <c r="F1663" s="365" t="s">
        <v>7073</v>
      </c>
      <c r="G1663" s="370">
        <v>45595</v>
      </c>
      <c r="H1663" s="369">
        <v>36000</v>
      </c>
      <c r="I1663" s="365" t="s">
        <v>7074</v>
      </c>
      <c r="J1663" s="365" t="s">
        <v>1228</v>
      </c>
      <c r="K1663" s="365" t="s">
        <v>1229</v>
      </c>
      <c r="L1663" s="370">
        <v>45621.682673611111</v>
      </c>
    </row>
    <row r="1664" spans="1:12" s="365" customFormat="1">
      <c r="A1664" s="370">
        <v>45621.689143518517</v>
      </c>
      <c r="B1664" s="365" t="s">
        <v>7075</v>
      </c>
      <c r="C1664" s="365" t="s">
        <v>4275</v>
      </c>
      <c r="D1664" s="365" t="s">
        <v>4276</v>
      </c>
      <c r="E1664" s="365" t="s">
        <v>4277</v>
      </c>
      <c r="F1664" s="365" t="s">
        <v>7076</v>
      </c>
      <c r="G1664" s="370">
        <v>45621</v>
      </c>
      <c r="H1664" s="369">
        <v>32000</v>
      </c>
      <c r="I1664" s="365" t="s">
        <v>7077</v>
      </c>
      <c r="J1664" s="365" t="s">
        <v>1228</v>
      </c>
      <c r="K1664" s="365" t="s">
        <v>1229</v>
      </c>
      <c r="L1664" s="370">
        <v>45621.689837962964</v>
      </c>
    </row>
    <row r="1665" spans="1:12" s="365" customFormat="1">
      <c r="A1665" s="370">
        <v>45621.756018518521</v>
      </c>
      <c r="B1665" s="365" t="s">
        <v>7078</v>
      </c>
      <c r="C1665" s="365" t="s">
        <v>1230</v>
      </c>
      <c r="D1665" s="365" t="s">
        <v>1368</v>
      </c>
      <c r="E1665" s="365" t="s">
        <v>1369</v>
      </c>
      <c r="F1665" s="365" t="s">
        <v>7079</v>
      </c>
      <c r="G1665" s="370">
        <v>45595</v>
      </c>
      <c r="H1665" s="369">
        <v>9000</v>
      </c>
      <c r="I1665" s="365" t="s">
        <v>7080</v>
      </c>
      <c r="J1665" s="365" t="s">
        <v>1228</v>
      </c>
      <c r="K1665" s="365" t="s">
        <v>1229</v>
      </c>
      <c r="L1665" s="370">
        <v>45621.759270833332</v>
      </c>
    </row>
    <row r="1666" spans="1:12" s="365" customFormat="1">
      <c r="A1666" s="370">
        <v>45621.76221064815</v>
      </c>
      <c r="B1666" s="365" t="s">
        <v>7081</v>
      </c>
      <c r="C1666" s="365" t="s">
        <v>1230</v>
      </c>
      <c r="D1666" s="365" t="s">
        <v>1303</v>
      </c>
      <c r="E1666" s="365" t="s">
        <v>1304</v>
      </c>
      <c r="F1666" s="365" t="s">
        <v>7082</v>
      </c>
      <c r="G1666" s="370">
        <v>45595</v>
      </c>
      <c r="H1666" s="369">
        <v>12000</v>
      </c>
      <c r="I1666" s="365" t="s">
        <v>7083</v>
      </c>
      <c r="J1666" s="365" t="s">
        <v>1228</v>
      </c>
      <c r="K1666" s="365" t="s">
        <v>1229</v>
      </c>
      <c r="L1666" s="370">
        <v>45621.763032407405</v>
      </c>
    </row>
    <row r="1667" spans="1:12" s="365" customFormat="1">
      <c r="A1667" s="370">
        <v>45621.763333333336</v>
      </c>
      <c r="B1667" s="365" t="s">
        <v>7084</v>
      </c>
      <c r="C1667" s="365" t="s">
        <v>1456</v>
      </c>
      <c r="D1667" s="365" t="s">
        <v>1457</v>
      </c>
      <c r="E1667" s="365" t="s">
        <v>1458</v>
      </c>
      <c r="F1667" s="365" t="s">
        <v>7085</v>
      </c>
      <c r="G1667" s="370">
        <v>45621</v>
      </c>
      <c r="H1667" s="369">
        <v>69000</v>
      </c>
      <c r="I1667" s="365" t="s">
        <v>7086</v>
      </c>
      <c r="J1667" s="365" t="s">
        <v>1228</v>
      </c>
      <c r="K1667" s="365" t="s">
        <v>1229</v>
      </c>
      <c r="L1667" s="370">
        <v>45621.766608796293</v>
      </c>
    </row>
    <row r="1668" spans="1:12" s="365" customFormat="1">
      <c r="A1668" s="370">
        <v>45621.765659722223</v>
      </c>
      <c r="B1668" s="365" t="s">
        <v>7087</v>
      </c>
      <c r="C1668" s="365" t="s">
        <v>1230</v>
      </c>
      <c r="D1668" s="365" t="s">
        <v>1502</v>
      </c>
      <c r="E1668" s="365" t="s">
        <v>1503</v>
      </c>
      <c r="F1668" s="365" t="s">
        <v>7088</v>
      </c>
      <c r="G1668" s="370">
        <v>45595</v>
      </c>
      <c r="H1668" s="369">
        <v>15000</v>
      </c>
      <c r="I1668" s="365" t="s">
        <v>7089</v>
      </c>
      <c r="J1668" s="365" t="s">
        <v>1228</v>
      </c>
      <c r="K1668" s="365" t="s">
        <v>1229</v>
      </c>
      <c r="L1668" s="370">
        <v>45621.766793981478</v>
      </c>
    </row>
    <row r="1669" spans="1:12" s="365" customFormat="1">
      <c r="A1669" s="370">
        <v>45621.767384259256</v>
      </c>
      <c r="B1669" s="365" t="s">
        <v>7090</v>
      </c>
      <c r="C1669" s="365" t="s">
        <v>1230</v>
      </c>
      <c r="D1669" s="365" t="s">
        <v>3536</v>
      </c>
      <c r="E1669" s="365" t="s">
        <v>3537</v>
      </c>
      <c r="F1669" s="365" t="s">
        <v>7091</v>
      </c>
      <c r="G1669" s="370">
        <v>45595</v>
      </c>
      <c r="H1669" s="369">
        <v>15000</v>
      </c>
      <c r="I1669" s="365" t="s">
        <v>7092</v>
      </c>
      <c r="J1669" s="365" t="s">
        <v>1228</v>
      </c>
      <c r="K1669" s="365" t="s">
        <v>1229</v>
      </c>
      <c r="L1669" s="370">
        <v>45621.771643518521</v>
      </c>
    </row>
    <row r="1670" spans="1:12" s="365" customFormat="1">
      <c r="A1670" s="370">
        <v>45621.779189814813</v>
      </c>
      <c r="B1670" s="365" t="s">
        <v>7093</v>
      </c>
      <c r="C1670" s="365" t="s">
        <v>1230</v>
      </c>
      <c r="D1670" s="365" t="s">
        <v>3474</v>
      </c>
      <c r="E1670" s="365" t="s">
        <v>3475</v>
      </c>
      <c r="F1670" s="365" t="s">
        <v>7094</v>
      </c>
      <c r="G1670" s="370">
        <v>45595</v>
      </c>
      <c r="H1670" s="369">
        <v>15999</v>
      </c>
      <c r="I1670" s="365" t="s">
        <v>7095</v>
      </c>
      <c r="J1670" s="365" t="s">
        <v>1228</v>
      </c>
      <c r="K1670" s="365" t="s">
        <v>1229</v>
      </c>
      <c r="L1670" s="370">
        <v>45621.782569444447</v>
      </c>
    </row>
    <row r="1671" spans="1:12" s="365" customFormat="1">
      <c r="A1671" s="370">
        <v>45621.792627314811</v>
      </c>
      <c r="B1671" s="365" t="s">
        <v>7096</v>
      </c>
      <c r="C1671" s="365" t="s">
        <v>1230</v>
      </c>
      <c r="D1671" s="365" t="s">
        <v>1299</v>
      </c>
      <c r="E1671" s="365" t="s">
        <v>1300</v>
      </c>
      <c r="F1671" s="365" t="s">
        <v>7097</v>
      </c>
      <c r="G1671" s="370">
        <v>45595</v>
      </c>
      <c r="H1671" s="369">
        <v>27000</v>
      </c>
      <c r="I1671" s="365" t="s">
        <v>7098</v>
      </c>
      <c r="J1671" s="365" t="s">
        <v>1228</v>
      </c>
      <c r="K1671" s="365" t="s">
        <v>1229</v>
      </c>
      <c r="L1671" s="370">
        <v>45621.797060185185</v>
      </c>
    </row>
    <row r="1672" spans="1:12" s="365" customFormat="1">
      <c r="A1672" s="370">
        <v>45621.800983796296</v>
      </c>
      <c r="B1672" s="365" t="s">
        <v>7099</v>
      </c>
      <c r="C1672" s="365" t="s">
        <v>1230</v>
      </c>
      <c r="D1672" s="365" t="s">
        <v>3957</v>
      </c>
      <c r="E1672" s="365" t="s">
        <v>3958</v>
      </c>
      <c r="F1672" s="365" t="s">
        <v>7100</v>
      </c>
      <c r="G1672" s="370">
        <v>45595</v>
      </c>
      <c r="H1672" s="369">
        <v>40000</v>
      </c>
      <c r="I1672" s="365" t="s">
        <v>7101</v>
      </c>
      <c r="J1672" s="365" t="s">
        <v>1228</v>
      </c>
      <c r="K1672" s="365" t="s">
        <v>1229</v>
      </c>
      <c r="L1672" s="370">
        <v>45621.804120370369</v>
      </c>
    </row>
    <row r="1673" spans="1:12" s="365" customFormat="1">
      <c r="A1673" s="370">
        <v>45621.80678240741</v>
      </c>
      <c r="B1673" s="365" t="s">
        <v>7102</v>
      </c>
      <c r="C1673" s="365" t="s">
        <v>1230</v>
      </c>
      <c r="D1673" s="365" t="s">
        <v>3800</v>
      </c>
      <c r="E1673" s="365" t="s">
        <v>3801</v>
      </c>
      <c r="F1673" s="365" t="s">
        <v>7103</v>
      </c>
      <c r="G1673" s="370">
        <v>45595</v>
      </c>
      <c r="H1673" s="369">
        <v>72501</v>
      </c>
      <c r="I1673" s="365" t="s">
        <v>7104</v>
      </c>
      <c r="J1673" s="365" t="s">
        <v>1228</v>
      </c>
      <c r="K1673" s="365" t="s">
        <v>1229</v>
      </c>
      <c r="L1673" s="370">
        <v>45621.807280092595</v>
      </c>
    </row>
    <row r="1674" spans="1:12" s="365" customFormat="1">
      <c r="A1674" s="370">
        <v>45621.820555555554</v>
      </c>
      <c r="B1674" s="365" t="s">
        <v>7105</v>
      </c>
      <c r="C1674" s="365" t="s">
        <v>1547</v>
      </c>
      <c r="D1674" s="365" t="s">
        <v>1548</v>
      </c>
      <c r="E1674" s="365" t="s">
        <v>1549</v>
      </c>
      <c r="F1674" s="365" t="s">
        <v>7106</v>
      </c>
      <c r="G1674" s="370">
        <v>45595</v>
      </c>
      <c r="H1674" s="369">
        <v>54000</v>
      </c>
      <c r="I1674" s="365" t="s">
        <v>7107</v>
      </c>
      <c r="J1674" s="365" t="s">
        <v>1228</v>
      </c>
      <c r="K1674" s="365" t="s">
        <v>1229</v>
      </c>
      <c r="L1674" s="370">
        <v>45621.821168981478</v>
      </c>
    </row>
    <row r="1675" spans="1:12" s="365" customFormat="1">
      <c r="A1675" s="370">
        <v>45622.38853009259</v>
      </c>
      <c r="B1675" s="365" t="s">
        <v>7108</v>
      </c>
      <c r="C1675" s="365" t="s">
        <v>7109</v>
      </c>
      <c r="D1675" s="365" t="s">
        <v>7110</v>
      </c>
      <c r="E1675" s="365" t="s">
        <v>7111</v>
      </c>
      <c r="F1675" s="365" t="s">
        <v>7112</v>
      </c>
      <c r="G1675" s="370">
        <v>45595</v>
      </c>
      <c r="H1675" s="369">
        <v>15999</v>
      </c>
      <c r="I1675" s="365" t="s">
        <v>7113</v>
      </c>
      <c r="J1675" s="365" t="s">
        <v>1228</v>
      </c>
      <c r="K1675" s="365" t="s">
        <v>1229</v>
      </c>
      <c r="L1675" s="370">
        <v>45622.389386574076</v>
      </c>
    </row>
    <row r="1676" spans="1:12" s="365" customFormat="1">
      <c r="A1676" s="370">
        <v>45622.412430555552</v>
      </c>
      <c r="B1676" s="365" t="s">
        <v>7114</v>
      </c>
      <c r="C1676" s="365" t="s">
        <v>1478</v>
      </c>
      <c r="D1676" s="365" t="s">
        <v>1479</v>
      </c>
      <c r="E1676" s="365" t="s">
        <v>1480</v>
      </c>
      <c r="F1676" s="365" t="s">
        <v>7115</v>
      </c>
      <c r="G1676" s="370">
        <v>45595</v>
      </c>
      <c r="H1676" s="369">
        <v>20999</v>
      </c>
      <c r="I1676" s="365" t="s">
        <v>7116</v>
      </c>
      <c r="J1676" s="365" t="s">
        <v>1228</v>
      </c>
      <c r="K1676" s="365" t="s">
        <v>1229</v>
      </c>
      <c r="L1676" s="370">
        <v>45622.413599537038</v>
      </c>
    </row>
    <row r="1677" spans="1:12" s="365" customFormat="1">
      <c r="A1677" s="370">
        <v>45622.416481481479</v>
      </c>
      <c r="B1677" s="365" t="s">
        <v>7117</v>
      </c>
      <c r="C1677" s="365" t="s">
        <v>7118</v>
      </c>
      <c r="D1677" s="365" t="s">
        <v>7119</v>
      </c>
      <c r="E1677" s="365" t="s">
        <v>7120</v>
      </c>
      <c r="F1677" s="365" t="s">
        <v>7121</v>
      </c>
      <c r="G1677" s="370">
        <v>45621</v>
      </c>
      <c r="H1677" s="369">
        <v>15000</v>
      </c>
      <c r="I1677" s="365" t="s">
        <v>7122</v>
      </c>
      <c r="J1677" s="365" t="s">
        <v>1228</v>
      </c>
      <c r="K1677" s="365" t="s">
        <v>1229</v>
      </c>
      <c r="L1677" s="370">
        <v>45622.417164351849</v>
      </c>
    </row>
    <row r="1678" spans="1:12" s="365" customFormat="1">
      <c r="A1678" s="370">
        <v>45622.419548611113</v>
      </c>
      <c r="B1678" s="365" t="s">
        <v>7123</v>
      </c>
      <c r="C1678" s="365" t="s">
        <v>7118</v>
      </c>
      <c r="D1678" s="365" t="s">
        <v>7119</v>
      </c>
      <c r="E1678" s="365" t="s">
        <v>7120</v>
      </c>
      <c r="F1678" s="365" t="s">
        <v>7124</v>
      </c>
      <c r="G1678" s="370">
        <v>45595</v>
      </c>
      <c r="H1678" s="369">
        <v>15000</v>
      </c>
      <c r="I1678" s="365" t="s">
        <v>7125</v>
      </c>
      <c r="J1678" s="365" t="s">
        <v>1228</v>
      </c>
      <c r="K1678" s="365" t="s">
        <v>1229</v>
      </c>
      <c r="L1678" s="370">
        <v>45622.420370370368</v>
      </c>
    </row>
    <row r="1679" spans="1:12" s="365" customFormat="1">
      <c r="A1679" s="370">
        <v>45622.454594907409</v>
      </c>
      <c r="B1679" s="365" t="s">
        <v>7126</v>
      </c>
      <c r="C1679" s="365" t="s">
        <v>3351</v>
      </c>
      <c r="D1679" s="365" t="s">
        <v>1052</v>
      </c>
      <c r="E1679" s="365" t="s">
        <v>1053</v>
      </c>
      <c r="F1679" s="365" t="s">
        <v>7127</v>
      </c>
      <c r="G1679" s="370">
        <v>45621</v>
      </c>
      <c r="H1679" s="369">
        <v>55000</v>
      </c>
      <c r="I1679" s="365" t="s">
        <v>7128</v>
      </c>
      <c r="J1679" s="365" t="s">
        <v>1228</v>
      </c>
      <c r="K1679" s="365" t="s">
        <v>1229</v>
      </c>
      <c r="L1679" s="370">
        <v>45622.455254629633</v>
      </c>
    </row>
    <row r="1680" spans="1:12" s="365" customFormat="1">
      <c r="A1680" s="370">
        <v>45622.484594907408</v>
      </c>
      <c r="B1680" s="365" t="s">
        <v>7129</v>
      </c>
      <c r="C1680" s="365" t="s">
        <v>1527</v>
      </c>
      <c r="D1680" s="365" t="s">
        <v>1528</v>
      </c>
      <c r="E1680" s="365" t="s">
        <v>1529</v>
      </c>
      <c r="F1680" s="365" t="s">
        <v>7130</v>
      </c>
      <c r="G1680" s="370">
        <v>45621</v>
      </c>
      <c r="H1680" s="369">
        <v>23400</v>
      </c>
      <c r="I1680" s="365" t="s">
        <v>7131</v>
      </c>
      <c r="J1680" s="365" t="s">
        <v>1228</v>
      </c>
      <c r="K1680" s="365" t="s">
        <v>1229</v>
      </c>
      <c r="L1680" s="370">
        <v>45622.486585648148</v>
      </c>
    </row>
    <row r="1681" spans="1:12" s="365" customFormat="1">
      <c r="A1681" s="370">
        <v>45622.487916666665</v>
      </c>
      <c r="B1681" s="365" t="s">
        <v>7132</v>
      </c>
      <c r="C1681" s="365" t="s">
        <v>1450</v>
      </c>
      <c r="D1681" s="365" t="s">
        <v>1451</v>
      </c>
      <c r="E1681" s="365" t="s">
        <v>1452</v>
      </c>
      <c r="F1681" s="365" t="s">
        <v>7133</v>
      </c>
      <c r="G1681" s="370">
        <v>45621</v>
      </c>
      <c r="H1681" s="369">
        <v>15999</v>
      </c>
      <c r="I1681" s="365" t="s">
        <v>7134</v>
      </c>
      <c r="J1681" s="365" t="s">
        <v>1228</v>
      </c>
      <c r="K1681" s="365" t="s">
        <v>1229</v>
      </c>
      <c r="L1681" s="370">
        <v>45622.489791666667</v>
      </c>
    </row>
    <row r="1682" spans="1:12" s="365" customFormat="1">
      <c r="A1682" s="370">
        <v>45622.52449074074</v>
      </c>
      <c r="B1682" s="365" t="s">
        <v>7135</v>
      </c>
      <c r="C1682" s="365" t="s">
        <v>1575</v>
      </c>
      <c r="D1682" s="365" t="s">
        <v>1576</v>
      </c>
      <c r="E1682" s="365" t="s">
        <v>1577</v>
      </c>
      <c r="F1682" s="365" t="s">
        <v>7136</v>
      </c>
      <c r="G1682" s="370">
        <v>45621</v>
      </c>
      <c r="H1682" s="369">
        <v>27000</v>
      </c>
      <c r="I1682" s="365" t="s">
        <v>7137</v>
      </c>
      <c r="J1682" s="365" t="s">
        <v>1228</v>
      </c>
      <c r="K1682" s="365" t="s">
        <v>1229</v>
      </c>
      <c r="L1682" s="370">
        <v>45622.528252314813</v>
      </c>
    </row>
    <row r="1683" spans="1:12" s="365" customFormat="1">
      <c r="A1683" s="370">
        <v>45622.709479166668</v>
      </c>
      <c r="B1683" s="365" t="s">
        <v>7138</v>
      </c>
      <c r="C1683" s="365" t="s">
        <v>1837</v>
      </c>
      <c r="D1683" s="365" t="s">
        <v>1838</v>
      </c>
      <c r="E1683" s="365" t="s">
        <v>1839</v>
      </c>
      <c r="F1683" s="365" t="s">
        <v>7139</v>
      </c>
      <c r="G1683" s="370">
        <v>45621</v>
      </c>
      <c r="H1683" s="369">
        <v>32000</v>
      </c>
      <c r="I1683" s="365" t="s">
        <v>7140</v>
      </c>
      <c r="J1683" s="365" t="s">
        <v>1228</v>
      </c>
      <c r="K1683" s="365" t="s">
        <v>1229</v>
      </c>
      <c r="L1683" s="370">
        <v>45622.71230324074</v>
      </c>
    </row>
    <row r="1684" spans="1:12" s="365" customFormat="1">
      <c r="A1684" s="370">
        <v>45622.715717592589</v>
      </c>
      <c r="B1684" s="365" t="s">
        <v>7141</v>
      </c>
      <c r="C1684" s="365" t="s">
        <v>1541</v>
      </c>
      <c r="D1684" s="365" t="s">
        <v>1542</v>
      </c>
      <c r="E1684" s="365" t="s">
        <v>1543</v>
      </c>
      <c r="F1684" s="365" t="s">
        <v>7142</v>
      </c>
      <c r="G1684" s="370">
        <v>45621</v>
      </c>
      <c r="H1684" s="369">
        <v>15000</v>
      </c>
      <c r="I1684" s="365" t="s">
        <v>7143</v>
      </c>
      <c r="J1684" s="365" t="s">
        <v>1228</v>
      </c>
      <c r="K1684" s="365" t="s">
        <v>1229</v>
      </c>
      <c r="L1684" s="370">
        <v>45622.719074074077</v>
      </c>
    </row>
    <row r="1685" spans="1:12" s="365" customFormat="1">
      <c r="A1685" s="370">
        <v>45622.731469907405</v>
      </c>
      <c r="B1685" s="365" t="s">
        <v>7144</v>
      </c>
      <c r="C1685" s="365" t="s">
        <v>4290</v>
      </c>
      <c r="D1685" s="365" t="s">
        <v>4291</v>
      </c>
      <c r="E1685" s="365" t="s">
        <v>4292</v>
      </c>
      <c r="F1685" s="365" t="s">
        <v>7145</v>
      </c>
      <c r="G1685" s="370">
        <v>45621</v>
      </c>
      <c r="H1685" s="369">
        <v>20000</v>
      </c>
      <c r="I1685" s="365" t="s">
        <v>7146</v>
      </c>
      <c r="J1685" s="365" t="s">
        <v>1228</v>
      </c>
      <c r="K1685" s="365" t="s">
        <v>1229</v>
      </c>
      <c r="L1685" s="370">
        <v>45622.73296296296</v>
      </c>
    </row>
    <row r="1686" spans="1:12" s="365" customFormat="1">
      <c r="A1686" s="370">
        <v>45622.763657407406</v>
      </c>
      <c r="B1686" s="365" t="s">
        <v>7147</v>
      </c>
      <c r="C1686" s="365" t="s">
        <v>1276</v>
      </c>
      <c r="D1686" s="365" t="s">
        <v>1277</v>
      </c>
      <c r="E1686" s="365" t="s">
        <v>1278</v>
      </c>
      <c r="F1686" s="365" t="s">
        <v>7148</v>
      </c>
      <c r="G1686" s="370">
        <v>45621</v>
      </c>
      <c r="H1686" s="369">
        <v>12000</v>
      </c>
      <c r="I1686" s="365" t="s">
        <v>7149</v>
      </c>
      <c r="J1686" s="365" t="s">
        <v>1228</v>
      </c>
      <c r="K1686" s="365" t="s">
        <v>1229</v>
      </c>
      <c r="L1686" s="370">
        <v>45622.764282407406</v>
      </c>
    </row>
    <row r="1687" spans="1:12" s="365" customFormat="1">
      <c r="A1687" s="370">
        <v>45622.804155092592</v>
      </c>
      <c r="B1687" s="365" t="s">
        <v>7150</v>
      </c>
      <c r="C1687" s="365" t="s">
        <v>5589</v>
      </c>
      <c r="D1687" s="365" t="s">
        <v>5590</v>
      </c>
      <c r="E1687" s="365" t="s">
        <v>5591</v>
      </c>
      <c r="F1687" s="365" t="s">
        <v>7151</v>
      </c>
      <c r="G1687" s="370">
        <v>45621</v>
      </c>
      <c r="H1687" s="369">
        <v>33000</v>
      </c>
      <c r="I1687" s="365" t="s">
        <v>7152</v>
      </c>
      <c r="J1687" s="365" t="s">
        <v>1228</v>
      </c>
      <c r="K1687" s="365" t="s">
        <v>1229</v>
      </c>
      <c r="L1687" s="370">
        <v>45622.805925925924</v>
      </c>
    </row>
    <row r="1688" spans="1:12" s="365" customFormat="1">
      <c r="A1688" s="370">
        <v>45622.806817129633</v>
      </c>
      <c r="B1688" s="365" t="s">
        <v>7153</v>
      </c>
      <c r="C1688" s="365" t="s">
        <v>3991</v>
      </c>
      <c r="D1688" s="365" t="s">
        <v>3992</v>
      </c>
      <c r="E1688" s="365" t="s">
        <v>3993</v>
      </c>
      <c r="F1688" s="365" t="s">
        <v>7154</v>
      </c>
      <c r="G1688" s="370">
        <v>45621</v>
      </c>
      <c r="H1688" s="369">
        <v>94000</v>
      </c>
      <c r="I1688" s="365" t="s">
        <v>7155</v>
      </c>
      <c r="J1688" s="365" t="s">
        <v>1228</v>
      </c>
      <c r="K1688" s="365" t="s">
        <v>1229</v>
      </c>
      <c r="L1688" s="370">
        <v>45622.809525462966</v>
      </c>
    </row>
    <row r="1689" spans="1:12" s="365" customFormat="1">
      <c r="A1689" s="370">
        <v>45622.244675925926</v>
      </c>
      <c r="B1689" s="365" t="s">
        <v>7156</v>
      </c>
      <c r="C1689" s="365" t="s">
        <v>1459</v>
      </c>
      <c r="D1689" s="365" t="s">
        <v>1460</v>
      </c>
      <c r="E1689" s="365" t="s">
        <v>1461</v>
      </c>
      <c r="F1689" s="365" t="s">
        <v>7157</v>
      </c>
      <c r="G1689" s="370">
        <v>45621</v>
      </c>
      <c r="H1689" s="369">
        <v>9000</v>
      </c>
      <c r="I1689" s="365" t="s">
        <v>7158</v>
      </c>
      <c r="J1689" s="365" t="s">
        <v>1228</v>
      </c>
      <c r="K1689" s="365" t="s">
        <v>1229</v>
      </c>
      <c r="L1689" s="370">
        <v>45622.247013888889</v>
      </c>
    </row>
    <row r="1690" spans="1:12" s="365" customFormat="1">
      <c r="A1690" s="370">
        <v>45622.293263888889</v>
      </c>
      <c r="B1690" s="365" t="s">
        <v>7159</v>
      </c>
      <c r="C1690" s="365" t="s">
        <v>2402</v>
      </c>
      <c r="D1690" s="365" t="s">
        <v>2403</v>
      </c>
      <c r="E1690" s="365" t="s">
        <v>2404</v>
      </c>
      <c r="F1690" s="365" t="s">
        <v>7160</v>
      </c>
      <c r="G1690" s="370">
        <v>45621</v>
      </c>
      <c r="H1690" s="369">
        <v>23001</v>
      </c>
      <c r="I1690" s="365" t="s">
        <v>7161</v>
      </c>
      <c r="J1690" s="365" t="s">
        <v>1228</v>
      </c>
      <c r="K1690" s="365" t="s">
        <v>1229</v>
      </c>
      <c r="L1690" s="370">
        <v>45622.295405092591</v>
      </c>
    </row>
    <row r="1691" spans="1:12" s="365" customFormat="1">
      <c r="A1691" s="370">
        <v>45622.30736111111</v>
      </c>
      <c r="B1691" s="365" t="s">
        <v>7162</v>
      </c>
      <c r="C1691" s="365" t="s">
        <v>1483</v>
      </c>
      <c r="D1691" s="365" t="s">
        <v>1484</v>
      </c>
      <c r="E1691" s="365" t="s">
        <v>1485</v>
      </c>
      <c r="F1691" s="365" t="s">
        <v>7163</v>
      </c>
      <c r="G1691" s="370">
        <v>45621</v>
      </c>
      <c r="H1691" s="369">
        <v>8001</v>
      </c>
      <c r="I1691" s="365" t="s">
        <v>7164</v>
      </c>
      <c r="J1691" s="365" t="s">
        <v>1228</v>
      </c>
      <c r="K1691" s="365" t="s">
        <v>1229</v>
      </c>
      <c r="L1691" s="370">
        <v>45622.309293981481</v>
      </c>
    </row>
    <row r="1692" spans="1:12" s="365" customFormat="1">
      <c r="A1692" s="370">
        <v>45622.519895833335</v>
      </c>
      <c r="B1692" s="365" t="s">
        <v>7165</v>
      </c>
      <c r="C1692" s="365" t="s">
        <v>4205</v>
      </c>
      <c r="D1692" s="365" t="s">
        <v>4206</v>
      </c>
      <c r="E1692" s="365" t="s">
        <v>4207</v>
      </c>
      <c r="F1692" s="365" t="s">
        <v>7166</v>
      </c>
      <c r="G1692" s="370">
        <v>45595</v>
      </c>
      <c r="H1692" s="369">
        <v>144000</v>
      </c>
      <c r="I1692" s="365" t="s">
        <v>7167</v>
      </c>
      <c r="J1692" s="365" t="s">
        <v>1228</v>
      </c>
      <c r="K1692" s="365" t="s">
        <v>1229</v>
      </c>
      <c r="L1692" s="370">
        <v>45622.521134259259</v>
      </c>
    </row>
    <row r="1693" spans="1:12" s="365" customFormat="1">
      <c r="A1693" s="370">
        <v>45622.809016203704</v>
      </c>
      <c r="B1693" s="365" t="s">
        <v>7168</v>
      </c>
      <c r="C1693" s="365" t="s">
        <v>2662</v>
      </c>
      <c r="D1693" s="365" t="s">
        <v>2663</v>
      </c>
      <c r="E1693" s="365" t="s">
        <v>2664</v>
      </c>
      <c r="F1693" s="365" t="s">
        <v>7169</v>
      </c>
      <c r="G1693" s="370">
        <v>45595</v>
      </c>
      <c r="H1693" s="369">
        <v>9000</v>
      </c>
      <c r="I1693" s="365" t="s">
        <v>7170</v>
      </c>
      <c r="J1693" s="365" t="s">
        <v>1228</v>
      </c>
      <c r="K1693" s="365" t="s">
        <v>1229</v>
      </c>
      <c r="L1693" s="370">
        <v>45622.809710648151</v>
      </c>
    </row>
    <row r="1694" spans="1:12" s="365" customFormat="1">
      <c r="A1694" s="370">
        <v>45622.274733796294</v>
      </c>
      <c r="B1694" s="365" t="s">
        <v>7171</v>
      </c>
      <c r="C1694" s="365" t="s">
        <v>7172</v>
      </c>
      <c r="D1694" s="365" t="s">
        <v>1614</v>
      </c>
      <c r="E1694" s="365" t="s">
        <v>1615</v>
      </c>
      <c r="F1694" s="365" t="s">
        <v>7173</v>
      </c>
      <c r="G1694" s="370">
        <v>45621</v>
      </c>
      <c r="H1694" s="369">
        <v>36000</v>
      </c>
      <c r="I1694" s="365" t="s">
        <v>7174</v>
      </c>
      <c r="J1694" s="365" t="s">
        <v>1228</v>
      </c>
      <c r="K1694" s="365" t="s">
        <v>1229</v>
      </c>
      <c r="L1694" s="370">
        <v>45622.278321759259</v>
      </c>
    </row>
    <row r="1695" spans="1:12" s="365" customFormat="1">
      <c r="A1695" s="370">
        <v>45622.328900462962</v>
      </c>
      <c r="B1695" s="365" t="s">
        <v>7175</v>
      </c>
      <c r="C1695" s="365" t="s">
        <v>2644</v>
      </c>
      <c r="D1695" s="365" t="s">
        <v>2645</v>
      </c>
      <c r="E1695" s="365" t="s">
        <v>2646</v>
      </c>
      <c r="F1695" s="365" t="s">
        <v>7176</v>
      </c>
      <c r="G1695" s="370">
        <v>45595</v>
      </c>
      <c r="H1695" s="369">
        <v>30000</v>
      </c>
      <c r="I1695" s="365" t="s">
        <v>7177</v>
      </c>
      <c r="J1695" s="365" t="s">
        <v>1228</v>
      </c>
      <c r="K1695" s="365" t="s">
        <v>1229</v>
      </c>
      <c r="L1695" s="370">
        <v>45622.330289351848</v>
      </c>
    </row>
    <row r="1696" spans="1:12" s="365" customFormat="1">
      <c r="A1696" s="370">
        <v>45622.382777777777</v>
      </c>
      <c r="B1696" s="365" t="s">
        <v>7178</v>
      </c>
      <c r="C1696" s="365" t="s">
        <v>2031</v>
      </c>
      <c r="D1696" s="365" t="s">
        <v>2032</v>
      </c>
      <c r="E1696" s="365" t="s">
        <v>2033</v>
      </c>
      <c r="F1696" s="365" t="s">
        <v>7179</v>
      </c>
      <c r="G1696" s="370">
        <v>45621</v>
      </c>
      <c r="H1696" s="369">
        <v>15999</v>
      </c>
      <c r="I1696" s="365" t="s">
        <v>7180</v>
      </c>
      <c r="J1696" s="365" t="s">
        <v>1228</v>
      </c>
      <c r="K1696" s="365" t="s">
        <v>1229</v>
      </c>
      <c r="L1696" s="370">
        <v>45622.385833333334</v>
      </c>
    </row>
    <row r="1697" spans="1:12" s="365" customFormat="1">
      <c r="A1697" s="370">
        <v>45622.572743055556</v>
      </c>
      <c r="B1697" s="365" t="s">
        <v>7181</v>
      </c>
      <c r="C1697" s="365" t="s">
        <v>2198</v>
      </c>
      <c r="D1697" s="365" t="s">
        <v>2199</v>
      </c>
      <c r="E1697" s="365" t="s">
        <v>2200</v>
      </c>
      <c r="F1697" s="365" t="s">
        <v>7182</v>
      </c>
      <c r="G1697" s="370">
        <v>45595</v>
      </c>
      <c r="H1697" s="369">
        <v>12000</v>
      </c>
      <c r="I1697" s="365" t="s">
        <v>7183</v>
      </c>
      <c r="J1697" s="365" t="s">
        <v>1228</v>
      </c>
      <c r="K1697" s="365" t="s">
        <v>1229</v>
      </c>
      <c r="L1697" s="370">
        <v>45622.573460648149</v>
      </c>
    </row>
    <row r="1698" spans="1:12" s="365" customFormat="1">
      <c r="A1698" s="370">
        <v>45622.573252314818</v>
      </c>
      <c r="B1698" s="365" t="s">
        <v>7184</v>
      </c>
      <c r="C1698" s="365" t="s">
        <v>2198</v>
      </c>
      <c r="D1698" s="365" t="s">
        <v>2199</v>
      </c>
      <c r="E1698" s="365" t="s">
        <v>2200</v>
      </c>
      <c r="F1698" s="365" t="s">
        <v>7185</v>
      </c>
      <c r="G1698" s="370">
        <v>45621</v>
      </c>
      <c r="H1698" s="369">
        <v>12000</v>
      </c>
      <c r="I1698" s="365" t="s">
        <v>7186</v>
      </c>
      <c r="J1698" s="365" t="s">
        <v>1228</v>
      </c>
      <c r="K1698" s="365" t="s">
        <v>1229</v>
      </c>
      <c r="L1698" s="370">
        <v>45622.576666666668</v>
      </c>
    </row>
    <row r="1699" spans="1:12" s="365" customFormat="1">
      <c r="A1699" s="370">
        <v>45622.594641203701</v>
      </c>
      <c r="B1699" s="365" t="s">
        <v>7187</v>
      </c>
      <c r="C1699" s="365" t="s">
        <v>1704</v>
      </c>
      <c r="D1699" s="365" t="s">
        <v>1705</v>
      </c>
      <c r="E1699" s="365" t="s">
        <v>1706</v>
      </c>
      <c r="F1699" s="365" t="s">
        <v>7188</v>
      </c>
      <c r="G1699" s="370">
        <v>45595</v>
      </c>
      <c r="H1699" s="369">
        <v>29999</v>
      </c>
      <c r="I1699" s="365" t="s">
        <v>7189</v>
      </c>
      <c r="J1699" s="365" t="s">
        <v>1228</v>
      </c>
      <c r="K1699" s="365" t="s">
        <v>1229</v>
      </c>
      <c r="L1699" s="370">
        <v>45622.597662037035</v>
      </c>
    </row>
    <row r="1700" spans="1:12" s="365" customFormat="1">
      <c r="A1700" s="370">
        <v>45622.652175925927</v>
      </c>
      <c r="B1700" s="365" t="s">
        <v>7190</v>
      </c>
      <c r="C1700" s="365" t="s">
        <v>7191</v>
      </c>
      <c r="D1700" s="365" t="s">
        <v>2011</v>
      </c>
      <c r="E1700" s="365" t="s">
        <v>2012</v>
      </c>
      <c r="F1700" s="365" t="s">
        <v>7192</v>
      </c>
      <c r="G1700" s="370">
        <v>45595</v>
      </c>
      <c r="H1700" s="369">
        <v>99000</v>
      </c>
      <c r="I1700" s="365" t="s">
        <v>7193</v>
      </c>
      <c r="J1700" s="365" t="s">
        <v>1228</v>
      </c>
      <c r="K1700" s="365" t="s">
        <v>1229</v>
      </c>
      <c r="L1700" s="370">
        <v>45622.653194444443</v>
      </c>
    </row>
    <row r="1701" spans="1:12" s="365" customFormat="1">
      <c r="A1701" s="370">
        <v>45622.735150462962</v>
      </c>
      <c r="B1701" s="365" t="s">
        <v>7194</v>
      </c>
      <c r="C1701" s="365" t="s">
        <v>1322</v>
      </c>
      <c r="D1701" s="365" t="s">
        <v>1167</v>
      </c>
      <c r="E1701" s="365" t="s">
        <v>1168</v>
      </c>
      <c r="F1701" s="365" t="s">
        <v>7195</v>
      </c>
      <c r="G1701" s="370">
        <v>45621</v>
      </c>
      <c r="H1701" s="369">
        <v>61500</v>
      </c>
      <c r="I1701" s="365" t="s">
        <v>7196</v>
      </c>
      <c r="J1701" s="365" t="s">
        <v>1228</v>
      </c>
      <c r="K1701" s="365" t="s">
        <v>1229</v>
      </c>
      <c r="L1701" s="370">
        <v>45622.736354166664</v>
      </c>
    </row>
    <row r="1702" spans="1:12" s="365" customFormat="1">
      <c r="A1702" s="370">
        <v>45622.808125000003</v>
      </c>
      <c r="B1702" s="365" t="s">
        <v>7197</v>
      </c>
      <c r="C1702" s="365" t="s">
        <v>1708</v>
      </c>
      <c r="D1702" s="365" t="s">
        <v>1709</v>
      </c>
      <c r="E1702" s="365" t="s">
        <v>1710</v>
      </c>
      <c r="F1702" s="365" t="s">
        <v>7198</v>
      </c>
      <c r="G1702" s="370">
        <v>45621</v>
      </c>
      <c r="H1702" s="369">
        <v>20999</v>
      </c>
      <c r="I1702" s="365" t="s">
        <v>7199</v>
      </c>
      <c r="J1702" s="365" t="s">
        <v>1228</v>
      </c>
      <c r="K1702" s="365" t="s">
        <v>1229</v>
      </c>
      <c r="L1702" s="370">
        <v>45622.809884259259</v>
      </c>
    </row>
    <row r="1703" spans="1:12" s="365" customFormat="1">
      <c r="A1703" s="370">
        <v>45623.274131944447</v>
      </c>
      <c r="B1703" s="365" t="s">
        <v>7200</v>
      </c>
      <c r="C1703" s="365" t="s">
        <v>4143</v>
      </c>
      <c r="D1703" s="365" t="s">
        <v>4144</v>
      </c>
      <c r="E1703" s="365" t="s">
        <v>4145</v>
      </c>
      <c r="F1703" s="365" t="s">
        <v>7201</v>
      </c>
      <c r="G1703" s="370">
        <v>45621</v>
      </c>
      <c r="H1703" s="369">
        <v>15999</v>
      </c>
      <c r="I1703" s="365" t="s">
        <v>7202</v>
      </c>
      <c r="J1703" s="365" t="s">
        <v>1228</v>
      </c>
      <c r="K1703" s="365" t="s">
        <v>1229</v>
      </c>
      <c r="L1703" s="370">
        <v>45623.274710648147</v>
      </c>
    </row>
    <row r="1704" spans="1:12" s="365" customFormat="1">
      <c r="A1704" s="370">
        <v>45623.348495370374</v>
      </c>
      <c r="B1704" s="365" t="s">
        <v>7203</v>
      </c>
      <c r="C1704" s="365" t="s">
        <v>2512</v>
      </c>
      <c r="D1704" s="365" t="s">
        <v>2513</v>
      </c>
      <c r="E1704" s="365" t="s">
        <v>2514</v>
      </c>
      <c r="F1704" s="365" t="s">
        <v>7204</v>
      </c>
      <c r="G1704" s="370">
        <v>45621</v>
      </c>
      <c r="H1704" s="369">
        <v>12501</v>
      </c>
      <c r="I1704" s="365" t="s">
        <v>7205</v>
      </c>
      <c r="J1704" s="365" t="s">
        <v>1228</v>
      </c>
      <c r="K1704" s="365" t="s">
        <v>1229</v>
      </c>
      <c r="L1704" s="370">
        <v>45623.351261574076</v>
      </c>
    </row>
    <row r="1705" spans="1:12" s="365" customFormat="1">
      <c r="A1705" s="370">
        <v>45623.350451388891</v>
      </c>
      <c r="B1705" s="365" t="s">
        <v>7206</v>
      </c>
      <c r="C1705" s="365" t="s">
        <v>2512</v>
      </c>
      <c r="D1705" s="365" t="s">
        <v>2513</v>
      </c>
      <c r="E1705" s="365" t="s">
        <v>2514</v>
      </c>
      <c r="F1705" s="365" t="s">
        <v>7207</v>
      </c>
      <c r="G1705" s="370">
        <v>45595</v>
      </c>
      <c r="H1705" s="369">
        <v>12501</v>
      </c>
      <c r="I1705" s="365" t="s">
        <v>7208</v>
      </c>
      <c r="J1705" s="365" t="s">
        <v>1228</v>
      </c>
      <c r="K1705" s="365" t="s">
        <v>1229</v>
      </c>
      <c r="L1705" s="370">
        <v>45623.351446759261</v>
      </c>
    </row>
    <row r="1706" spans="1:12" s="365" customFormat="1">
      <c r="A1706" s="370">
        <v>45623.356909722221</v>
      </c>
      <c r="B1706" s="365" t="s">
        <v>7209</v>
      </c>
      <c r="C1706" s="365" t="s">
        <v>1678</v>
      </c>
      <c r="D1706" s="365" t="s">
        <v>2113</v>
      </c>
      <c r="E1706" s="365" t="s">
        <v>2114</v>
      </c>
      <c r="F1706" s="365" t="s">
        <v>7210</v>
      </c>
      <c r="G1706" s="370">
        <v>45595</v>
      </c>
      <c r="H1706" s="369">
        <v>15999</v>
      </c>
      <c r="I1706" s="365" t="s">
        <v>7211</v>
      </c>
      <c r="J1706" s="365" t="s">
        <v>1228</v>
      </c>
      <c r="K1706" s="365" t="s">
        <v>1229</v>
      </c>
      <c r="L1706" s="370">
        <v>45623.358726851853</v>
      </c>
    </row>
    <row r="1707" spans="1:12" s="365" customFormat="1">
      <c r="A1707" s="370">
        <v>45623.35733796296</v>
      </c>
      <c r="B1707" s="365" t="s">
        <v>7212</v>
      </c>
      <c r="C1707" s="365" t="s">
        <v>1230</v>
      </c>
      <c r="D1707" s="365" t="s">
        <v>1294</v>
      </c>
      <c r="E1707" s="365" t="s">
        <v>1295</v>
      </c>
      <c r="F1707" s="365" t="s">
        <v>7213</v>
      </c>
      <c r="G1707" s="370">
        <v>45595</v>
      </c>
      <c r="H1707" s="369">
        <v>445004</v>
      </c>
      <c r="I1707" s="365" t="s">
        <v>7214</v>
      </c>
      <c r="J1707" s="365" t="s">
        <v>1228</v>
      </c>
      <c r="K1707" s="365" t="s">
        <v>1229</v>
      </c>
      <c r="L1707" s="370">
        <v>45623.358912037038</v>
      </c>
    </row>
    <row r="1708" spans="1:12" s="365" customFormat="1">
      <c r="A1708" s="370">
        <v>45623.385393518518</v>
      </c>
      <c r="B1708" s="365" t="s">
        <v>7215</v>
      </c>
      <c r="C1708" s="365" t="s">
        <v>1667</v>
      </c>
      <c r="D1708" s="365" t="s">
        <v>1668</v>
      </c>
      <c r="E1708" s="365" t="s">
        <v>1669</v>
      </c>
      <c r="F1708" s="365" t="s">
        <v>7216</v>
      </c>
      <c r="G1708" s="370">
        <v>45621</v>
      </c>
      <c r="H1708" s="369">
        <v>48000</v>
      </c>
      <c r="I1708" s="365" t="s">
        <v>7217</v>
      </c>
      <c r="J1708" s="365" t="s">
        <v>1228</v>
      </c>
      <c r="K1708" s="365" t="s">
        <v>1229</v>
      </c>
      <c r="L1708" s="370">
        <v>45623.386469907404</v>
      </c>
    </row>
    <row r="1709" spans="1:12" s="365" customFormat="1">
      <c r="A1709" s="370">
        <v>45623.386678240742</v>
      </c>
      <c r="B1709" s="365" t="s">
        <v>7218</v>
      </c>
      <c r="C1709" s="365" t="s">
        <v>7219</v>
      </c>
      <c r="D1709" s="365" t="s">
        <v>7220</v>
      </c>
      <c r="E1709" s="365" t="s">
        <v>7221</v>
      </c>
      <c r="F1709" s="365" t="s">
        <v>7222</v>
      </c>
      <c r="G1709" s="370">
        <v>45621</v>
      </c>
      <c r="H1709" s="369">
        <v>15999</v>
      </c>
      <c r="I1709" s="365" t="s">
        <v>7223</v>
      </c>
      <c r="J1709" s="365" t="s">
        <v>1228</v>
      </c>
      <c r="K1709" s="365" t="s">
        <v>1229</v>
      </c>
      <c r="L1709" s="370">
        <v>45623.390034722222</v>
      </c>
    </row>
    <row r="1710" spans="1:12" s="365" customFormat="1">
      <c r="A1710" s="370">
        <v>45623.392824074072</v>
      </c>
      <c r="B1710" s="365" t="s">
        <v>7224</v>
      </c>
      <c r="C1710" s="365" t="s">
        <v>1658</v>
      </c>
      <c r="D1710" s="365" t="s">
        <v>1659</v>
      </c>
      <c r="E1710" s="365" t="s">
        <v>1660</v>
      </c>
      <c r="F1710" s="365" t="s">
        <v>7225</v>
      </c>
      <c r="G1710" s="370">
        <v>45595</v>
      </c>
      <c r="H1710" s="369">
        <v>31000</v>
      </c>
      <c r="I1710" s="365" t="s">
        <v>7226</v>
      </c>
      <c r="J1710" s="365" t="s">
        <v>1228</v>
      </c>
      <c r="K1710" s="365" t="s">
        <v>1229</v>
      </c>
      <c r="L1710" s="370">
        <v>45623.393587962964</v>
      </c>
    </row>
    <row r="1711" spans="1:12" s="365" customFormat="1">
      <c r="A1711" s="370">
        <v>45623.459907407407</v>
      </c>
      <c r="B1711" s="365" t="s">
        <v>7227</v>
      </c>
      <c r="C1711" s="365" t="s">
        <v>4927</v>
      </c>
      <c r="D1711" s="365" t="s">
        <v>4928</v>
      </c>
      <c r="E1711" s="365" t="s">
        <v>4929</v>
      </c>
      <c r="F1711" s="365" t="s">
        <v>7228</v>
      </c>
      <c r="G1711" s="370">
        <v>45621</v>
      </c>
      <c r="H1711" s="369">
        <v>27000</v>
      </c>
      <c r="I1711" s="365" t="s">
        <v>7229</v>
      </c>
      <c r="J1711" s="365" t="s">
        <v>1228</v>
      </c>
      <c r="K1711" s="365" t="s">
        <v>1229</v>
      </c>
      <c r="L1711" s="370">
        <v>45623.46303240741</v>
      </c>
    </row>
    <row r="1712" spans="1:12" s="365" customFormat="1">
      <c r="A1712" s="370">
        <v>45623.481747685182</v>
      </c>
      <c r="B1712" s="365" t="s">
        <v>7230</v>
      </c>
      <c r="C1712" s="365" t="s">
        <v>7231</v>
      </c>
      <c r="D1712" s="365" t="s">
        <v>7232</v>
      </c>
      <c r="E1712" s="365" t="s">
        <v>7233</v>
      </c>
      <c r="F1712" s="365" t="s">
        <v>7234</v>
      </c>
      <c r="G1712" s="370">
        <v>45621</v>
      </c>
      <c r="H1712" s="369">
        <v>15001</v>
      </c>
      <c r="I1712" s="365" t="s">
        <v>7235</v>
      </c>
      <c r="J1712" s="365" t="s">
        <v>1228</v>
      </c>
      <c r="K1712" s="365" t="s">
        <v>1229</v>
      </c>
      <c r="L1712" s="370">
        <v>45623.484363425923</v>
      </c>
    </row>
    <row r="1713" spans="1:12" s="365" customFormat="1">
      <c r="A1713" s="370">
        <v>45623.516250000001</v>
      </c>
      <c r="B1713" s="365" t="s">
        <v>7236</v>
      </c>
      <c r="C1713" s="365" t="s">
        <v>3042</v>
      </c>
      <c r="D1713" s="365" t="s">
        <v>3043</v>
      </c>
      <c r="E1713" s="365" t="s">
        <v>3044</v>
      </c>
      <c r="F1713" s="365" t="s">
        <v>7237</v>
      </c>
      <c r="G1713" s="370">
        <v>45621</v>
      </c>
      <c r="H1713" s="369">
        <v>15999</v>
      </c>
      <c r="I1713" s="365" t="s">
        <v>7238</v>
      </c>
      <c r="J1713" s="365" t="s">
        <v>1228</v>
      </c>
      <c r="K1713" s="365" t="s">
        <v>1229</v>
      </c>
      <c r="L1713" s="370">
        <v>45623.519247685188</v>
      </c>
    </row>
    <row r="1714" spans="1:12" s="365" customFormat="1">
      <c r="A1714" s="370">
        <v>45623.564131944448</v>
      </c>
      <c r="B1714" s="365" t="s">
        <v>7239</v>
      </c>
      <c r="C1714" s="365" t="s">
        <v>1586</v>
      </c>
      <c r="D1714" s="365" t="s">
        <v>1587</v>
      </c>
      <c r="E1714" s="365" t="s">
        <v>1588</v>
      </c>
      <c r="F1714" s="365" t="s">
        <v>7240</v>
      </c>
      <c r="G1714" s="370">
        <v>45621</v>
      </c>
      <c r="H1714" s="369">
        <v>25000</v>
      </c>
      <c r="I1714" s="365" t="s">
        <v>7241</v>
      </c>
      <c r="J1714" s="365" t="s">
        <v>1228</v>
      </c>
      <c r="K1714" s="365" t="s">
        <v>1229</v>
      </c>
      <c r="L1714" s="370">
        <v>45623.567488425928</v>
      </c>
    </row>
    <row r="1715" spans="1:12" s="365" customFormat="1">
      <c r="A1715" s="370">
        <v>45623.846851851849</v>
      </c>
      <c r="B1715" s="365" t="s">
        <v>7242</v>
      </c>
      <c r="C1715" s="365" t="s">
        <v>1432</v>
      </c>
      <c r="D1715" s="365" t="s">
        <v>1433</v>
      </c>
      <c r="E1715" s="365" t="s">
        <v>1434</v>
      </c>
      <c r="F1715" s="365" t="s">
        <v>7243</v>
      </c>
      <c r="G1715" s="370">
        <v>45595</v>
      </c>
      <c r="H1715" s="369">
        <v>10000</v>
      </c>
      <c r="I1715" s="365" t="s">
        <v>7244</v>
      </c>
      <c r="J1715" s="365" t="s">
        <v>1228</v>
      </c>
      <c r="K1715" s="365" t="s">
        <v>1229</v>
      </c>
      <c r="L1715" s="370">
        <v>45623.848854166667</v>
      </c>
    </row>
    <row r="1716" spans="1:12" s="365" customFormat="1">
      <c r="A1716" s="370">
        <v>45623.287233796298</v>
      </c>
      <c r="B1716" s="365" t="s">
        <v>7245</v>
      </c>
      <c r="C1716" s="365" t="s">
        <v>1704</v>
      </c>
      <c r="D1716" s="365" t="s">
        <v>1705</v>
      </c>
      <c r="E1716" s="365" t="s">
        <v>1706</v>
      </c>
      <c r="F1716" s="365" t="s">
        <v>7246</v>
      </c>
      <c r="G1716" s="370">
        <v>45621</v>
      </c>
      <c r="H1716" s="369">
        <v>29999</v>
      </c>
      <c r="I1716" s="365" t="s">
        <v>7247</v>
      </c>
      <c r="J1716" s="365" t="s">
        <v>1228</v>
      </c>
      <c r="K1716" s="365" t="s">
        <v>1229</v>
      </c>
      <c r="L1716" s="370">
        <v>45623.288576388892</v>
      </c>
    </row>
    <row r="1717" spans="1:12" s="365" customFormat="1">
      <c r="A1717" s="370">
        <v>45623.659710648149</v>
      </c>
      <c r="B1717" s="365" t="s">
        <v>7248</v>
      </c>
      <c r="C1717" s="365" t="s">
        <v>7249</v>
      </c>
      <c r="D1717" s="365" t="s">
        <v>4908</v>
      </c>
      <c r="E1717" s="365" t="s">
        <v>4909</v>
      </c>
      <c r="F1717" s="365" t="s">
        <v>7250</v>
      </c>
      <c r="G1717" s="370">
        <v>45621</v>
      </c>
      <c r="H1717" s="369">
        <v>20999</v>
      </c>
      <c r="I1717" s="365" t="s">
        <v>7251</v>
      </c>
      <c r="J1717" s="365" t="s">
        <v>1228</v>
      </c>
      <c r="K1717" s="365" t="s">
        <v>1229</v>
      </c>
      <c r="L1717" s="370">
        <v>45623.661631944444</v>
      </c>
    </row>
    <row r="1718" spans="1:12" s="365" customFormat="1">
      <c r="A1718" s="370">
        <v>45623.782326388886</v>
      </c>
      <c r="B1718" s="365" t="s">
        <v>7252</v>
      </c>
      <c r="C1718" s="365" t="s">
        <v>1725</v>
      </c>
      <c r="D1718" s="365" t="s">
        <v>1726</v>
      </c>
      <c r="E1718" s="365" t="s">
        <v>1727</v>
      </c>
      <c r="F1718" s="365" t="s">
        <v>7253</v>
      </c>
      <c r="G1718" s="370">
        <v>45621</v>
      </c>
      <c r="H1718" s="369">
        <v>15000</v>
      </c>
      <c r="I1718" s="365" t="s">
        <v>7254</v>
      </c>
      <c r="J1718" s="365" t="s">
        <v>1228</v>
      </c>
      <c r="K1718" s="365" t="s">
        <v>1229</v>
      </c>
      <c r="L1718" s="370">
        <v>45623.783055555556</v>
      </c>
    </row>
    <row r="1719" spans="1:12" s="365" customFormat="1">
      <c r="A1719" s="370">
        <v>45623.291458333333</v>
      </c>
      <c r="B1719" s="365" t="s">
        <v>7255</v>
      </c>
      <c r="C1719" s="365" t="s">
        <v>1682</v>
      </c>
      <c r="D1719" s="365" t="s">
        <v>1683</v>
      </c>
      <c r="E1719" s="365" t="s">
        <v>1684</v>
      </c>
      <c r="F1719" s="365" t="s">
        <v>7256</v>
      </c>
      <c r="G1719" s="370">
        <v>45621</v>
      </c>
      <c r="H1719" s="369">
        <v>21000</v>
      </c>
      <c r="I1719" s="365" t="s">
        <v>7257</v>
      </c>
      <c r="J1719" s="365" t="s">
        <v>1228</v>
      </c>
      <c r="K1719" s="365" t="s">
        <v>1229</v>
      </c>
      <c r="L1719" s="370">
        <v>45623.291967592595</v>
      </c>
    </row>
    <row r="1720" spans="1:12" s="365" customFormat="1">
      <c r="A1720" s="370">
        <v>45623.296249999999</v>
      </c>
      <c r="B1720" s="365" t="s">
        <v>7258</v>
      </c>
      <c r="C1720" s="365" t="s">
        <v>1714</v>
      </c>
      <c r="D1720" s="365" t="s">
        <v>1715</v>
      </c>
      <c r="E1720" s="365" t="s">
        <v>1716</v>
      </c>
      <c r="F1720" s="365" t="s">
        <v>7259</v>
      </c>
      <c r="G1720" s="370">
        <v>45621</v>
      </c>
      <c r="H1720" s="369">
        <v>23400</v>
      </c>
      <c r="I1720" s="365" t="s">
        <v>7260</v>
      </c>
      <c r="J1720" s="365" t="s">
        <v>1228</v>
      </c>
      <c r="K1720" s="365" t="s">
        <v>1229</v>
      </c>
      <c r="L1720" s="370">
        <v>45623.298900462964</v>
      </c>
    </row>
    <row r="1721" spans="1:12" s="365" customFormat="1">
      <c r="A1721" s="370">
        <v>45623.322835648149</v>
      </c>
      <c r="B1721" s="365" t="s">
        <v>7261</v>
      </c>
      <c r="C1721" s="365" t="s">
        <v>2876</v>
      </c>
      <c r="D1721" s="365" t="s">
        <v>2877</v>
      </c>
      <c r="E1721" s="365" t="s">
        <v>2878</v>
      </c>
      <c r="F1721" s="365" t="s">
        <v>7262</v>
      </c>
      <c r="G1721" s="370">
        <v>45621</v>
      </c>
      <c r="H1721" s="369">
        <v>57500</v>
      </c>
      <c r="I1721" s="365" t="s">
        <v>7263</v>
      </c>
      <c r="J1721" s="365" t="s">
        <v>1228</v>
      </c>
      <c r="K1721" s="365" t="s">
        <v>1229</v>
      </c>
      <c r="L1721" s="370">
        <v>45623.323472222219</v>
      </c>
    </row>
    <row r="1722" spans="1:12" s="365" customFormat="1">
      <c r="A1722" s="370">
        <v>45623.341354166667</v>
      </c>
      <c r="B1722" s="365" t="s">
        <v>7264</v>
      </c>
      <c r="C1722" s="365" t="s">
        <v>7265</v>
      </c>
      <c r="D1722" s="365" t="s">
        <v>1341</v>
      </c>
      <c r="E1722" s="365" t="s">
        <v>1342</v>
      </c>
      <c r="F1722" s="365" t="s">
        <v>7266</v>
      </c>
      <c r="G1722" s="370">
        <v>45621</v>
      </c>
      <c r="H1722" s="369">
        <v>21999</v>
      </c>
      <c r="I1722" s="365" t="s">
        <v>7267</v>
      </c>
      <c r="J1722" s="365" t="s">
        <v>1228</v>
      </c>
      <c r="K1722" s="365" t="s">
        <v>1229</v>
      </c>
      <c r="L1722" s="370">
        <v>45623.34412037037</v>
      </c>
    </row>
    <row r="1723" spans="1:12" s="365" customFormat="1">
      <c r="A1723" s="370">
        <v>45623.382465277777</v>
      </c>
      <c r="B1723" s="365" t="s">
        <v>7268</v>
      </c>
      <c r="C1723" s="365" t="s">
        <v>5613</v>
      </c>
      <c r="D1723" s="365" t="s">
        <v>5614</v>
      </c>
      <c r="E1723" s="365" t="s">
        <v>5615</v>
      </c>
      <c r="F1723" s="365" t="s">
        <v>7269</v>
      </c>
      <c r="G1723" s="370">
        <v>45621</v>
      </c>
      <c r="H1723" s="369">
        <v>110000</v>
      </c>
      <c r="I1723" s="365" t="s">
        <v>7270</v>
      </c>
      <c r="J1723" s="365" t="s">
        <v>1228</v>
      </c>
      <c r="K1723" s="365" t="s">
        <v>1229</v>
      </c>
      <c r="L1723" s="370">
        <v>45623.382754629631</v>
      </c>
    </row>
    <row r="1724" spans="1:12" s="365" customFormat="1">
      <c r="A1724" s="370">
        <v>45623.431585648148</v>
      </c>
      <c r="B1724" s="365" t="s">
        <v>7271</v>
      </c>
      <c r="C1724" s="365" t="s">
        <v>1675</v>
      </c>
      <c r="D1724" s="365" t="s">
        <v>1676</v>
      </c>
      <c r="E1724" s="365" t="s">
        <v>1677</v>
      </c>
      <c r="F1724" s="365" t="s">
        <v>7272</v>
      </c>
      <c r="G1724" s="370">
        <v>45595</v>
      </c>
      <c r="H1724" s="369">
        <v>24999</v>
      </c>
      <c r="I1724" s="365" t="s">
        <v>7273</v>
      </c>
      <c r="J1724" s="365" t="s">
        <v>1228</v>
      </c>
      <c r="K1724" s="365" t="s">
        <v>1229</v>
      </c>
      <c r="L1724" s="370">
        <v>45623.435243055559</v>
      </c>
    </row>
    <row r="1725" spans="1:12" s="365" customFormat="1">
      <c r="A1725" s="370">
        <v>45623.442858796298</v>
      </c>
      <c r="B1725" s="365" t="s">
        <v>7274</v>
      </c>
      <c r="C1725" s="365" t="s">
        <v>4779</v>
      </c>
      <c r="D1725" s="365" t="s">
        <v>4780</v>
      </c>
      <c r="E1725" s="365" t="s">
        <v>4781</v>
      </c>
      <c r="F1725" s="365" t="s">
        <v>7275</v>
      </c>
      <c r="G1725" s="370">
        <v>45621</v>
      </c>
      <c r="H1725" s="369">
        <v>108000</v>
      </c>
      <c r="I1725" s="365" t="s">
        <v>7276</v>
      </c>
      <c r="J1725" s="365" t="s">
        <v>1228</v>
      </c>
      <c r="K1725" s="365" t="s">
        <v>1229</v>
      </c>
      <c r="L1725" s="370">
        <v>45623.445567129631</v>
      </c>
    </row>
    <row r="1726" spans="1:12" s="365" customFormat="1">
      <c r="A1726" s="370">
        <v>45623.453414351854</v>
      </c>
      <c r="B1726" s="365" t="s">
        <v>7277</v>
      </c>
      <c r="C1726" s="365" t="s">
        <v>1605</v>
      </c>
      <c r="D1726" s="365" t="s">
        <v>1606</v>
      </c>
      <c r="E1726" s="365" t="s">
        <v>1607</v>
      </c>
      <c r="F1726" s="365" t="s">
        <v>7278</v>
      </c>
      <c r="G1726" s="370">
        <v>45621</v>
      </c>
      <c r="H1726" s="369">
        <v>16500</v>
      </c>
      <c r="I1726" s="365" t="s">
        <v>7279</v>
      </c>
      <c r="J1726" s="365" t="s">
        <v>1228</v>
      </c>
      <c r="K1726" s="365" t="s">
        <v>1229</v>
      </c>
      <c r="L1726" s="370">
        <v>45623.45590277778</v>
      </c>
    </row>
    <row r="1727" spans="1:12" s="365" customFormat="1">
      <c r="A1727" s="370">
        <v>45623.461076388892</v>
      </c>
      <c r="B1727" s="365" t="s">
        <v>7280</v>
      </c>
      <c r="C1727" s="365" t="s">
        <v>1661</v>
      </c>
      <c r="D1727" s="365" t="s">
        <v>1662</v>
      </c>
      <c r="E1727" s="365" t="s">
        <v>1663</v>
      </c>
      <c r="F1727" s="365" t="s">
        <v>7281</v>
      </c>
      <c r="G1727" s="370">
        <v>45621</v>
      </c>
      <c r="H1727" s="369">
        <v>35000</v>
      </c>
      <c r="I1727" s="365" t="s">
        <v>7282</v>
      </c>
      <c r="J1727" s="365" t="s">
        <v>1228</v>
      </c>
      <c r="K1727" s="365" t="s">
        <v>1229</v>
      </c>
      <c r="L1727" s="370">
        <v>45623.463217592594</v>
      </c>
    </row>
    <row r="1728" spans="1:12" s="365" customFormat="1">
      <c r="A1728" s="370">
        <v>45623.464768518519</v>
      </c>
      <c r="B1728" s="365" t="s">
        <v>7283</v>
      </c>
      <c r="C1728" s="365" t="s">
        <v>7284</v>
      </c>
      <c r="D1728" s="365" t="s">
        <v>5572</v>
      </c>
      <c r="E1728" s="365" t="s">
        <v>5573</v>
      </c>
      <c r="F1728" s="365" t="s">
        <v>7285</v>
      </c>
      <c r="G1728" s="370">
        <v>45621</v>
      </c>
      <c r="H1728" s="369">
        <v>4500</v>
      </c>
      <c r="I1728" s="365" t="s">
        <v>7286</v>
      </c>
      <c r="J1728" s="365" t="s">
        <v>1228</v>
      </c>
      <c r="K1728" s="365" t="s">
        <v>1229</v>
      </c>
      <c r="L1728" s="370">
        <v>45623.46675925926</v>
      </c>
    </row>
    <row r="1729" spans="1:12" s="365" customFormat="1">
      <c r="A1729" s="370">
        <v>45623.472384259258</v>
      </c>
      <c r="B1729" s="365" t="s">
        <v>7287</v>
      </c>
      <c r="C1729" s="365" t="s">
        <v>7288</v>
      </c>
      <c r="D1729" s="365" t="s">
        <v>2433</v>
      </c>
      <c r="E1729" s="365" t="s">
        <v>2434</v>
      </c>
      <c r="F1729" s="365" t="s">
        <v>7289</v>
      </c>
      <c r="G1729" s="370">
        <v>45621</v>
      </c>
      <c r="H1729" s="369">
        <v>93000</v>
      </c>
      <c r="I1729" s="365" t="s">
        <v>7290</v>
      </c>
      <c r="J1729" s="365" t="s">
        <v>1228</v>
      </c>
      <c r="K1729" s="365" t="s">
        <v>1229</v>
      </c>
      <c r="L1729" s="370">
        <v>45623.473877314813</v>
      </c>
    </row>
    <row r="1730" spans="1:12" s="365" customFormat="1">
      <c r="A1730" s="370">
        <v>45623.525509259256</v>
      </c>
      <c r="B1730" s="365" t="s">
        <v>7291</v>
      </c>
      <c r="C1730" s="365" t="s">
        <v>1650</v>
      </c>
      <c r="D1730" s="365" t="s">
        <v>1651</v>
      </c>
      <c r="E1730" s="365" t="s">
        <v>1652</v>
      </c>
      <c r="F1730" s="365" t="s">
        <v>7292</v>
      </c>
      <c r="G1730" s="370">
        <v>45621</v>
      </c>
      <c r="H1730" s="369">
        <v>10000</v>
      </c>
      <c r="I1730" s="365" t="s">
        <v>7293</v>
      </c>
      <c r="J1730" s="365" t="s">
        <v>1228</v>
      </c>
      <c r="K1730" s="365" t="s">
        <v>1229</v>
      </c>
      <c r="L1730" s="370">
        <v>45623.52584490741</v>
      </c>
    </row>
    <row r="1731" spans="1:12" s="365" customFormat="1">
      <c r="A1731" s="370">
        <v>45623.563310185185</v>
      </c>
      <c r="B1731" s="365" t="s">
        <v>7294</v>
      </c>
      <c r="C1731" s="365" t="s">
        <v>1819</v>
      </c>
      <c r="D1731" s="365" t="s">
        <v>1820</v>
      </c>
      <c r="E1731" s="365" t="s">
        <v>1821</v>
      </c>
      <c r="F1731" s="365" t="s">
        <v>7295</v>
      </c>
      <c r="G1731" s="370">
        <v>45595</v>
      </c>
      <c r="H1731" s="369">
        <v>89000</v>
      </c>
      <c r="I1731" s="365" t="s">
        <v>7296</v>
      </c>
      <c r="J1731" s="365" t="s">
        <v>1228</v>
      </c>
      <c r="K1731" s="365" t="s">
        <v>1229</v>
      </c>
      <c r="L1731" s="370">
        <v>45623.564097222225</v>
      </c>
    </row>
    <row r="1732" spans="1:12" s="365" customFormat="1">
      <c r="A1732" s="370">
        <v>45623.634768518517</v>
      </c>
      <c r="B1732" s="365" t="s">
        <v>7297</v>
      </c>
      <c r="C1732" s="365" t="s">
        <v>1807</v>
      </c>
      <c r="D1732" s="365" t="s">
        <v>1808</v>
      </c>
      <c r="E1732" s="365" t="s">
        <v>1809</v>
      </c>
      <c r="F1732" s="365" t="s">
        <v>7298</v>
      </c>
      <c r="G1732" s="370">
        <v>45621</v>
      </c>
      <c r="H1732" s="369">
        <v>39000</v>
      </c>
      <c r="I1732" s="365" t="s">
        <v>7299</v>
      </c>
      <c r="J1732" s="365" t="s">
        <v>1228</v>
      </c>
      <c r="K1732" s="365" t="s">
        <v>1229</v>
      </c>
      <c r="L1732" s="370">
        <v>45623.637071759258</v>
      </c>
    </row>
    <row r="1733" spans="1:12" s="365" customFormat="1">
      <c r="A1733" s="370">
        <v>45623.840717592589</v>
      </c>
      <c r="B1733" s="365" t="s">
        <v>7300</v>
      </c>
      <c r="C1733" s="365" t="s">
        <v>1595</v>
      </c>
      <c r="D1733" s="365" t="s">
        <v>1596</v>
      </c>
      <c r="E1733" s="365" t="s">
        <v>1597</v>
      </c>
      <c r="F1733" s="365" t="s">
        <v>7301</v>
      </c>
      <c r="G1733" s="370">
        <v>45621</v>
      </c>
      <c r="H1733" s="369">
        <v>39000</v>
      </c>
      <c r="I1733" s="365" t="s">
        <v>7302</v>
      </c>
      <c r="J1733" s="365" t="s">
        <v>1228</v>
      </c>
      <c r="K1733" s="365" t="s">
        <v>1229</v>
      </c>
      <c r="L1733" s="370">
        <v>45623.842094907406</v>
      </c>
    </row>
    <row r="1734" spans="1:12" s="365" customFormat="1">
      <c r="A1734" s="370">
        <v>45624.331469907411</v>
      </c>
      <c r="B1734" s="365" t="s">
        <v>7303</v>
      </c>
      <c r="C1734" s="365" t="s">
        <v>7304</v>
      </c>
      <c r="D1734" s="365" t="s">
        <v>3815</v>
      </c>
      <c r="E1734" s="365" t="s">
        <v>3816</v>
      </c>
      <c r="F1734" s="365" t="s">
        <v>7305</v>
      </c>
      <c r="G1734" s="370">
        <v>45595</v>
      </c>
      <c r="H1734" s="369">
        <v>75499</v>
      </c>
      <c r="I1734" s="365" t="s">
        <v>7306</v>
      </c>
      <c r="J1734" s="365" t="s">
        <v>1228</v>
      </c>
      <c r="K1734" s="365" t="s">
        <v>1229</v>
      </c>
      <c r="L1734" s="370">
        <v>45624.333854166667</v>
      </c>
    </row>
    <row r="1735" spans="1:12" s="365" customFormat="1">
      <c r="A1735" s="370">
        <v>45624.466331018521</v>
      </c>
      <c r="B1735" s="365" t="s">
        <v>7307</v>
      </c>
      <c r="C1735" s="365" t="s">
        <v>1561</v>
      </c>
      <c r="D1735" s="365" t="s">
        <v>1562</v>
      </c>
      <c r="E1735" s="365" t="s">
        <v>1563</v>
      </c>
      <c r="F1735" s="365" t="s">
        <v>7308</v>
      </c>
      <c r="G1735" s="370">
        <v>45595</v>
      </c>
      <c r="H1735" s="369">
        <v>123000</v>
      </c>
      <c r="I1735" s="365" t="s">
        <v>7309</v>
      </c>
      <c r="J1735" s="365" t="s">
        <v>1228</v>
      </c>
      <c r="K1735" s="365" t="s">
        <v>1229</v>
      </c>
      <c r="L1735" s="370">
        <v>45624.469884259262</v>
      </c>
    </row>
    <row r="1736" spans="1:12" s="365" customFormat="1">
      <c r="A1736" s="370">
        <v>45624.477314814816</v>
      </c>
      <c r="B1736" s="365" t="s">
        <v>7310</v>
      </c>
      <c r="C1736" s="365" t="s">
        <v>1739</v>
      </c>
      <c r="D1736" s="365" t="s">
        <v>1740</v>
      </c>
      <c r="E1736" s="365" t="s">
        <v>1741</v>
      </c>
      <c r="F1736" s="365" t="s">
        <v>7311</v>
      </c>
      <c r="G1736" s="370">
        <v>45621</v>
      </c>
      <c r="H1736" s="369">
        <v>35000</v>
      </c>
      <c r="I1736" s="365" t="s">
        <v>7312</v>
      </c>
      <c r="J1736" s="365" t="s">
        <v>1228</v>
      </c>
      <c r="K1736" s="365" t="s">
        <v>1229</v>
      </c>
      <c r="L1736" s="370">
        <v>45624.480231481481</v>
      </c>
    </row>
    <row r="1737" spans="1:12" s="365" customFormat="1">
      <c r="A1737" s="370">
        <v>45624.486666666664</v>
      </c>
      <c r="B1737" s="365" t="s">
        <v>7313</v>
      </c>
      <c r="C1737" s="365" t="s">
        <v>1550</v>
      </c>
      <c r="D1737" s="365" t="s">
        <v>1551</v>
      </c>
      <c r="E1737" s="365" t="s">
        <v>1552</v>
      </c>
      <c r="F1737" s="365" t="s">
        <v>7314</v>
      </c>
      <c r="G1737" s="370">
        <v>45621</v>
      </c>
      <c r="H1737" s="369">
        <v>35000</v>
      </c>
      <c r="I1737" s="365" t="s">
        <v>7315</v>
      </c>
      <c r="J1737" s="365" t="s">
        <v>1228</v>
      </c>
      <c r="K1737" s="365" t="s">
        <v>1229</v>
      </c>
      <c r="L1737" s="370">
        <v>45624.487349537034</v>
      </c>
    </row>
    <row r="1738" spans="1:12" s="365" customFormat="1">
      <c r="A1738" s="370">
        <v>45624.490891203706</v>
      </c>
      <c r="B1738" s="365" t="s">
        <v>7316</v>
      </c>
      <c r="C1738" s="365" t="s">
        <v>3885</v>
      </c>
      <c r="D1738" s="365" t="s">
        <v>3886</v>
      </c>
      <c r="E1738" s="365" t="s">
        <v>3887</v>
      </c>
      <c r="F1738" s="365" t="s">
        <v>7317</v>
      </c>
      <c r="G1738" s="370">
        <v>45621</v>
      </c>
      <c r="H1738" s="369">
        <v>44999</v>
      </c>
      <c r="I1738" s="365" t="s">
        <v>7318</v>
      </c>
      <c r="J1738" s="365" t="s">
        <v>1228</v>
      </c>
      <c r="K1738" s="365" t="s">
        <v>1229</v>
      </c>
      <c r="L1738" s="370">
        <v>45624.494108796294</v>
      </c>
    </row>
    <row r="1739" spans="1:12" s="365" customFormat="1">
      <c r="A1739" s="370">
        <v>45624.532141203701</v>
      </c>
      <c r="B1739" s="365" t="s">
        <v>7319</v>
      </c>
      <c r="C1739" s="365" t="s">
        <v>4193</v>
      </c>
      <c r="D1739" s="365" t="s">
        <v>4194</v>
      </c>
      <c r="E1739" s="365" t="s">
        <v>4195</v>
      </c>
      <c r="F1739" s="365" t="s">
        <v>7320</v>
      </c>
      <c r="G1739" s="370">
        <v>45621</v>
      </c>
      <c r="H1739" s="369">
        <v>18000</v>
      </c>
      <c r="I1739" s="365" t="s">
        <v>7321</v>
      </c>
      <c r="J1739" s="365" t="s">
        <v>1228</v>
      </c>
      <c r="K1739" s="365" t="s">
        <v>1229</v>
      </c>
      <c r="L1739" s="370">
        <v>45624.535810185182</v>
      </c>
    </row>
    <row r="1740" spans="1:12" s="365" customFormat="1">
      <c r="A1740" s="370">
        <v>45624.570509259262</v>
      </c>
      <c r="B1740" s="365" t="s">
        <v>7322</v>
      </c>
      <c r="C1740" s="365" t="s">
        <v>1242</v>
      </c>
      <c r="D1740" s="365" t="s">
        <v>1243</v>
      </c>
      <c r="E1740" s="365" t="s">
        <v>1244</v>
      </c>
      <c r="F1740" s="365" t="s">
        <v>7323</v>
      </c>
      <c r="G1740" s="370">
        <v>45621</v>
      </c>
      <c r="H1740" s="369">
        <v>15000</v>
      </c>
      <c r="I1740" s="365" t="s">
        <v>7324</v>
      </c>
      <c r="J1740" s="365" t="s">
        <v>1228</v>
      </c>
      <c r="K1740" s="365" t="s">
        <v>1229</v>
      </c>
      <c r="L1740" s="370">
        <v>45624.573865740742</v>
      </c>
    </row>
    <row r="1741" spans="1:12" s="365" customFormat="1">
      <c r="A1741" s="370">
        <v>45624.578101851854</v>
      </c>
      <c r="B1741" s="365" t="s">
        <v>7325</v>
      </c>
      <c r="C1741" s="365" t="s">
        <v>1230</v>
      </c>
      <c r="D1741" s="365" t="s">
        <v>1481</v>
      </c>
      <c r="E1741" s="365" t="s">
        <v>1482</v>
      </c>
      <c r="F1741" s="365" t="s">
        <v>7326</v>
      </c>
      <c r="G1741" s="370">
        <v>45595</v>
      </c>
      <c r="H1741" s="369">
        <v>25000</v>
      </c>
      <c r="I1741" s="365" t="s">
        <v>7327</v>
      </c>
      <c r="J1741" s="365" t="s">
        <v>1228</v>
      </c>
      <c r="K1741" s="365" t="s">
        <v>1229</v>
      </c>
      <c r="L1741" s="370">
        <v>45624.581018518518</v>
      </c>
    </row>
    <row r="1742" spans="1:12" s="365" customFormat="1">
      <c r="A1742" s="370">
        <v>45624.578460648147</v>
      </c>
      <c r="B1742" s="365" t="s">
        <v>7328</v>
      </c>
      <c r="C1742" s="365" t="s">
        <v>1230</v>
      </c>
      <c r="D1742" s="365" t="s">
        <v>1481</v>
      </c>
      <c r="E1742" s="365" t="s">
        <v>1482</v>
      </c>
      <c r="F1742" s="365" t="s">
        <v>7329</v>
      </c>
      <c r="G1742" s="370">
        <v>45621</v>
      </c>
      <c r="H1742" s="369">
        <v>25000</v>
      </c>
      <c r="I1742" s="365" t="s">
        <v>7330</v>
      </c>
      <c r="J1742" s="365" t="s">
        <v>1228</v>
      </c>
      <c r="K1742" s="365" t="s">
        <v>1229</v>
      </c>
      <c r="L1742" s="370">
        <v>45624.581203703703</v>
      </c>
    </row>
    <row r="1743" spans="1:12" s="365" customFormat="1">
      <c r="A1743" s="370">
        <v>45624.664571759262</v>
      </c>
      <c r="B1743" s="365" t="s">
        <v>7331</v>
      </c>
      <c r="C1743" s="365" t="s">
        <v>7332</v>
      </c>
      <c r="D1743" s="365" t="s">
        <v>1665</v>
      </c>
      <c r="E1743" s="365" t="s">
        <v>1666</v>
      </c>
      <c r="F1743" s="365" t="s">
        <v>7333</v>
      </c>
      <c r="G1743" s="370">
        <v>45621</v>
      </c>
      <c r="H1743" s="369">
        <v>9000</v>
      </c>
      <c r="I1743" s="365" t="s">
        <v>7334</v>
      </c>
      <c r="J1743" s="365" t="s">
        <v>1228</v>
      </c>
      <c r="K1743" s="365" t="s">
        <v>1229</v>
      </c>
      <c r="L1743" s="370">
        <v>45624.664803240739</v>
      </c>
    </row>
    <row r="1744" spans="1:12" s="365" customFormat="1">
      <c r="A1744" s="370">
        <v>45624.695636574077</v>
      </c>
      <c r="B1744" s="365" t="s">
        <v>7335</v>
      </c>
      <c r="C1744" s="365" t="s">
        <v>2275</v>
      </c>
      <c r="D1744" s="365" t="s">
        <v>2276</v>
      </c>
      <c r="E1744" s="365" t="s">
        <v>2277</v>
      </c>
      <c r="F1744" s="365" t="s">
        <v>7336</v>
      </c>
      <c r="G1744" s="370">
        <v>45621</v>
      </c>
      <c r="H1744" s="369">
        <v>37999</v>
      </c>
      <c r="I1744" s="365" t="s">
        <v>7337</v>
      </c>
      <c r="J1744" s="365" t="s">
        <v>1228</v>
      </c>
      <c r="K1744" s="365" t="s">
        <v>1229</v>
      </c>
      <c r="L1744" s="370">
        <v>45624.696296296293</v>
      </c>
    </row>
    <row r="1745" spans="1:12" s="365" customFormat="1">
      <c r="A1745" s="370">
        <v>45624.777650462966</v>
      </c>
      <c r="B1745" s="365" t="s">
        <v>7338</v>
      </c>
      <c r="C1745" s="365" t="s">
        <v>7339</v>
      </c>
      <c r="D1745" s="365" t="s">
        <v>4897</v>
      </c>
      <c r="E1745" s="365" t="s">
        <v>4898</v>
      </c>
      <c r="F1745" s="365" t="s">
        <v>7340</v>
      </c>
      <c r="G1745" s="370">
        <v>45621</v>
      </c>
      <c r="H1745" s="369">
        <v>3250</v>
      </c>
      <c r="I1745" s="365" t="s">
        <v>7341</v>
      </c>
      <c r="J1745" s="365" t="s">
        <v>1228</v>
      </c>
      <c r="K1745" s="365" t="s">
        <v>1229</v>
      </c>
      <c r="L1745" s="370">
        <v>45624.779432870368</v>
      </c>
    </row>
    <row r="1746" spans="1:12" s="365" customFormat="1">
      <c r="A1746" s="370">
        <v>45624.309942129628</v>
      </c>
      <c r="B1746" s="365" t="s">
        <v>7342</v>
      </c>
      <c r="C1746" s="365" t="s">
        <v>2005</v>
      </c>
      <c r="D1746" s="365" t="s">
        <v>2006</v>
      </c>
      <c r="E1746" s="365" t="s">
        <v>2007</v>
      </c>
      <c r="F1746" s="365" t="s">
        <v>7343</v>
      </c>
      <c r="G1746" s="370">
        <v>45621</v>
      </c>
      <c r="H1746" s="369">
        <v>18000</v>
      </c>
      <c r="I1746" s="365" t="s">
        <v>7344</v>
      </c>
      <c r="J1746" s="365" t="s">
        <v>1228</v>
      </c>
      <c r="K1746" s="365" t="s">
        <v>1229</v>
      </c>
      <c r="L1746" s="370">
        <v>45624.312858796293</v>
      </c>
    </row>
    <row r="1747" spans="1:12" s="365" customFormat="1">
      <c r="A1747" s="370">
        <v>45624.451354166667</v>
      </c>
      <c r="B1747" s="365" t="s">
        <v>7345</v>
      </c>
      <c r="C1747" s="365" t="s">
        <v>1790</v>
      </c>
      <c r="D1747" s="365" t="s">
        <v>1791</v>
      </c>
      <c r="E1747" s="365" t="s">
        <v>1792</v>
      </c>
      <c r="F1747" s="365" t="s">
        <v>7346</v>
      </c>
      <c r="G1747" s="370">
        <v>45621</v>
      </c>
      <c r="H1747" s="369">
        <v>25000</v>
      </c>
      <c r="I1747" s="365" t="s">
        <v>7347</v>
      </c>
      <c r="J1747" s="365" t="s">
        <v>1228</v>
      </c>
      <c r="K1747" s="365" t="s">
        <v>1229</v>
      </c>
      <c r="L1747" s="370">
        <v>45624.452418981484</v>
      </c>
    </row>
    <row r="1748" spans="1:12" s="365" customFormat="1">
      <c r="A1748" s="370">
        <v>45624.543530092589</v>
      </c>
      <c r="B1748" s="365" t="s">
        <v>7348</v>
      </c>
      <c r="C1748" s="365" t="s">
        <v>1230</v>
      </c>
      <c r="D1748" s="365" t="s">
        <v>3902</v>
      </c>
      <c r="E1748" s="365" t="s">
        <v>3903</v>
      </c>
      <c r="F1748" s="365" t="s">
        <v>7349</v>
      </c>
      <c r="G1748" s="370">
        <v>45595</v>
      </c>
      <c r="H1748" s="369">
        <v>18000</v>
      </c>
      <c r="I1748" s="365" t="s">
        <v>7350</v>
      </c>
      <c r="J1748" s="365" t="s">
        <v>1228</v>
      </c>
      <c r="K1748" s="365" t="s">
        <v>1229</v>
      </c>
      <c r="L1748" s="370">
        <v>45624.546122685184</v>
      </c>
    </row>
    <row r="1749" spans="1:12" s="365" customFormat="1">
      <c r="A1749" s="370">
        <v>45624.56459490741</v>
      </c>
      <c r="B1749" s="365" t="s">
        <v>7351</v>
      </c>
      <c r="C1749" s="365" t="s">
        <v>3603</v>
      </c>
      <c r="D1749" s="365" t="s">
        <v>3604</v>
      </c>
      <c r="E1749" s="365" t="s">
        <v>3605</v>
      </c>
      <c r="F1749" s="365" t="s">
        <v>7352</v>
      </c>
      <c r="G1749" s="370">
        <v>45621</v>
      </c>
      <c r="H1749" s="369">
        <v>52000</v>
      </c>
      <c r="I1749" s="365" t="s">
        <v>7353</v>
      </c>
      <c r="J1749" s="365" t="s">
        <v>1228</v>
      </c>
      <c r="K1749" s="365" t="s">
        <v>1229</v>
      </c>
      <c r="L1749" s="370">
        <v>45624.567094907405</v>
      </c>
    </row>
    <row r="1750" spans="1:12" s="365" customFormat="1">
      <c r="A1750" s="370">
        <v>45624.578865740739</v>
      </c>
      <c r="B1750" s="365" t="s">
        <v>7354</v>
      </c>
      <c r="C1750" s="365" t="s">
        <v>1230</v>
      </c>
      <c r="D1750" s="365" t="s">
        <v>1473</v>
      </c>
      <c r="E1750" s="365" t="s">
        <v>1474</v>
      </c>
      <c r="F1750" s="365" t="s">
        <v>7355</v>
      </c>
      <c r="G1750" s="370">
        <v>45595</v>
      </c>
      <c r="H1750" s="369">
        <v>15000</v>
      </c>
      <c r="I1750" s="365" t="s">
        <v>7356</v>
      </c>
      <c r="J1750" s="365" t="s">
        <v>1228</v>
      </c>
      <c r="K1750" s="365" t="s">
        <v>1229</v>
      </c>
      <c r="L1750" s="370">
        <v>45624.581388888888</v>
      </c>
    </row>
    <row r="1751" spans="1:12" s="365" customFormat="1">
      <c r="A1751" s="370">
        <v>45624.627638888887</v>
      </c>
      <c r="B1751" s="365" t="s">
        <v>7357</v>
      </c>
      <c r="C1751" s="365" t="s">
        <v>1373</v>
      </c>
      <c r="D1751" s="365" t="s">
        <v>1374</v>
      </c>
      <c r="E1751" s="365" t="s">
        <v>1375</v>
      </c>
      <c r="F1751" s="365" t="s">
        <v>7358</v>
      </c>
      <c r="G1751" s="370">
        <v>45621</v>
      </c>
      <c r="H1751" s="369">
        <v>36999</v>
      </c>
      <c r="I1751" s="365" t="s">
        <v>7359</v>
      </c>
      <c r="J1751" s="365" t="s">
        <v>1228</v>
      </c>
      <c r="K1751" s="365" t="s">
        <v>1229</v>
      </c>
      <c r="L1751" s="370">
        <v>45624.63009259259</v>
      </c>
    </row>
    <row r="1752" spans="1:12" s="365" customFormat="1">
      <c r="A1752" s="370">
        <v>45624.647858796299</v>
      </c>
      <c r="B1752" s="365" t="s">
        <v>7360</v>
      </c>
      <c r="C1752" s="365" t="s">
        <v>3651</v>
      </c>
      <c r="D1752" s="365" t="s">
        <v>3652</v>
      </c>
      <c r="E1752" s="365" t="s">
        <v>3653</v>
      </c>
      <c r="F1752" s="365" t="s">
        <v>7361</v>
      </c>
      <c r="G1752" s="370">
        <v>45621</v>
      </c>
      <c r="H1752" s="369">
        <v>9000</v>
      </c>
      <c r="I1752" s="365" t="s">
        <v>7362</v>
      </c>
      <c r="J1752" s="365" t="s">
        <v>1228</v>
      </c>
      <c r="K1752" s="365" t="s">
        <v>1229</v>
      </c>
      <c r="L1752" s="370">
        <v>45624.651087962964</v>
      </c>
    </row>
    <row r="1753" spans="1:12" s="365" customFormat="1">
      <c r="A1753" s="370">
        <v>45624.828402777777</v>
      </c>
      <c r="B1753" s="365" t="s">
        <v>7363</v>
      </c>
      <c r="C1753" s="365" t="s">
        <v>4751</v>
      </c>
      <c r="D1753" s="365" t="s">
        <v>4752</v>
      </c>
      <c r="E1753" s="365" t="s">
        <v>4753</v>
      </c>
      <c r="F1753" s="365" t="s">
        <v>7364</v>
      </c>
      <c r="G1753" s="370">
        <v>45621</v>
      </c>
      <c r="H1753" s="369">
        <v>25000</v>
      </c>
      <c r="I1753" s="365" t="s">
        <v>7365</v>
      </c>
      <c r="J1753" s="365" t="s">
        <v>1228</v>
      </c>
      <c r="K1753" s="365" t="s">
        <v>1229</v>
      </c>
      <c r="L1753" s="370">
        <v>45624.83153935185</v>
      </c>
    </row>
    <row r="1754" spans="1:12" s="365" customFormat="1">
      <c r="A1754" s="370">
        <v>45624.33289351852</v>
      </c>
      <c r="B1754" s="365" t="s">
        <v>7366</v>
      </c>
      <c r="C1754" s="365" t="s">
        <v>7304</v>
      </c>
      <c r="D1754" s="365" t="s">
        <v>3815</v>
      </c>
      <c r="E1754" s="365" t="s">
        <v>3816</v>
      </c>
      <c r="F1754" s="365" t="s">
        <v>7367</v>
      </c>
      <c r="G1754" s="370">
        <v>45621</v>
      </c>
      <c r="H1754" s="369">
        <v>76999</v>
      </c>
      <c r="I1754" s="365" t="s">
        <v>7368</v>
      </c>
      <c r="J1754" s="365" t="s">
        <v>1228</v>
      </c>
      <c r="K1754" s="365" t="s">
        <v>1229</v>
      </c>
      <c r="L1754" s="370">
        <v>45624.334039351852</v>
      </c>
    </row>
    <row r="1755" spans="1:12" s="365" customFormat="1">
      <c r="A1755" s="370">
        <v>45624.543020833335</v>
      </c>
      <c r="B1755" s="365" t="s">
        <v>7369</v>
      </c>
      <c r="C1755" s="365" t="s">
        <v>1230</v>
      </c>
      <c r="D1755" s="365" t="s">
        <v>4362</v>
      </c>
      <c r="E1755" s="365" t="s">
        <v>4363</v>
      </c>
      <c r="F1755" s="365" t="s">
        <v>7370</v>
      </c>
      <c r="G1755" s="370">
        <v>45595</v>
      </c>
      <c r="H1755" s="369">
        <v>24000</v>
      </c>
      <c r="I1755" s="365" t="s">
        <v>7371</v>
      </c>
      <c r="J1755" s="365" t="s">
        <v>1228</v>
      </c>
      <c r="K1755" s="365" t="s">
        <v>1229</v>
      </c>
      <c r="L1755" s="370">
        <v>45624.546307870369</v>
      </c>
    </row>
    <row r="1756" spans="1:12" s="365" customFormat="1">
      <c r="A1756" s="370">
        <v>45624.763657407406</v>
      </c>
      <c r="B1756" s="365" t="s">
        <v>7372</v>
      </c>
      <c r="C1756" s="365" t="s">
        <v>1678</v>
      </c>
      <c r="D1756" s="365" t="s">
        <v>4223</v>
      </c>
      <c r="E1756" s="365" t="s">
        <v>4224</v>
      </c>
      <c r="F1756" s="365" t="s">
        <v>7373</v>
      </c>
      <c r="G1756" s="370">
        <v>45595</v>
      </c>
      <c r="H1756" s="369">
        <v>15999</v>
      </c>
      <c r="I1756" s="365" t="s">
        <v>7374</v>
      </c>
      <c r="J1756" s="365" t="s">
        <v>1228</v>
      </c>
      <c r="K1756" s="365" t="s">
        <v>1229</v>
      </c>
      <c r="L1756" s="370">
        <v>45624.765717592592</v>
      </c>
    </row>
    <row r="1757" spans="1:12" s="365" customFormat="1">
      <c r="A1757" s="370">
        <v>45625.442731481482</v>
      </c>
      <c r="B1757" s="365" t="s">
        <v>7375</v>
      </c>
      <c r="C1757" s="365" t="s">
        <v>7376</v>
      </c>
      <c r="D1757" s="365" t="s">
        <v>7377</v>
      </c>
      <c r="E1757" s="365" t="s">
        <v>7378</v>
      </c>
      <c r="F1757" s="365" t="s">
        <v>7379</v>
      </c>
      <c r="G1757" s="370">
        <v>45595</v>
      </c>
      <c r="H1757" s="369">
        <v>38500</v>
      </c>
      <c r="I1757" s="365" t="s">
        <v>7380</v>
      </c>
      <c r="J1757" s="365" t="s">
        <v>1228</v>
      </c>
      <c r="K1757" s="365" t="s">
        <v>1229</v>
      </c>
      <c r="L1757" s="370">
        <v>45625.444872685184</v>
      </c>
    </row>
    <row r="1758" spans="1:12" s="365" customFormat="1">
      <c r="A1758" s="370">
        <v>45625.377534722225</v>
      </c>
      <c r="B1758" s="365" t="s">
        <v>7381</v>
      </c>
      <c r="C1758" s="365" t="s">
        <v>7382</v>
      </c>
      <c r="D1758" s="365" t="s">
        <v>1673</v>
      </c>
      <c r="E1758" s="365" t="s">
        <v>1674</v>
      </c>
      <c r="F1758" s="365" t="s">
        <v>7383</v>
      </c>
      <c r="G1758" s="370">
        <v>45595</v>
      </c>
      <c r="H1758" s="369">
        <v>31999</v>
      </c>
      <c r="I1758" s="365" t="s">
        <v>7384</v>
      </c>
      <c r="J1758" s="365" t="s">
        <v>1228</v>
      </c>
      <c r="K1758" s="365" t="s">
        <v>1229</v>
      </c>
      <c r="L1758" s="370">
        <v>45625.379027777781</v>
      </c>
    </row>
    <row r="1759" spans="1:12" s="365" customFormat="1">
      <c r="A1759" s="370">
        <v>45625.593032407407</v>
      </c>
      <c r="B1759" s="365" t="s">
        <v>7385</v>
      </c>
      <c r="C1759" s="365" t="s">
        <v>7386</v>
      </c>
      <c r="D1759" s="365" t="s">
        <v>1886</v>
      </c>
      <c r="E1759" s="365" t="s">
        <v>1887</v>
      </c>
      <c r="F1759" s="365" t="s">
        <v>7387</v>
      </c>
      <c r="G1759" s="370">
        <v>45595</v>
      </c>
      <c r="H1759" s="369">
        <v>15999</v>
      </c>
      <c r="I1759" s="365" t="s">
        <v>7388</v>
      </c>
      <c r="J1759" s="365" t="s">
        <v>1228</v>
      </c>
      <c r="K1759" s="365" t="s">
        <v>1229</v>
      </c>
      <c r="L1759" s="370">
        <v>45625.594050925924</v>
      </c>
    </row>
    <row r="1760" spans="1:12" s="365" customFormat="1">
      <c r="A1760" s="370">
        <v>45625.621111111112</v>
      </c>
      <c r="B1760" s="365" t="s">
        <v>7389</v>
      </c>
      <c r="C1760" s="365" t="s">
        <v>7390</v>
      </c>
      <c r="D1760" s="365" t="s">
        <v>1734</v>
      </c>
      <c r="E1760" s="365" t="s">
        <v>1735</v>
      </c>
      <c r="F1760" s="365" t="s">
        <v>7391</v>
      </c>
      <c r="G1760" s="370">
        <v>45621</v>
      </c>
      <c r="H1760" s="369">
        <v>19501</v>
      </c>
      <c r="I1760" s="365" t="s">
        <v>7392</v>
      </c>
      <c r="J1760" s="365" t="s">
        <v>1228</v>
      </c>
      <c r="K1760" s="365" t="s">
        <v>1229</v>
      </c>
      <c r="L1760" s="370">
        <v>45625.621793981481</v>
      </c>
    </row>
    <row r="1761" spans="1:12" s="365" customFormat="1">
      <c r="A1761" s="370">
        <v>45625.625520833331</v>
      </c>
      <c r="B1761" s="365" t="s">
        <v>7393</v>
      </c>
      <c r="C1761" s="365" t="s">
        <v>7394</v>
      </c>
      <c r="D1761" s="365" t="s">
        <v>2698</v>
      </c>
      <c r="E1761" s="365" t="s">
        <v>2699</v>
      </c>
      <c r="F1761" s="365" t="s">
        <v>7395</v>
      </c>
      <c r="G1761" s="370">
        <v>45621</v>
      </c>
      <c r="H1761" s="369">
        <v>15999</v>
      </c>
      <c r="I1761" s="365" t="s">
        <v>7396</v>
      </c>
      <c r="J1761" s="365" t="s">
        <v>1228</v>
      </c>
      <c r="K1761" s="365" t="s">
        <v>1229</v>
      </c>
      <c r="L1761" s="370">
        <v>45625.628900462965</v>
      </c>
    </row>
    <row r="1762" spans="1:12" s="365" customFormat="1">
      <c r="A1762" s="370">
        <v>45625.669386574074</v>
      </c>
      <c r="B1762" s="365" t="s">
        <v>7397</v>
      </c>
      <c r="C1762" s="365" t="s">
        <v>7398</v>
      </c>
      <c r="D1762" s="365" t="s">
        <v>4828</v>
      </c>
      <c r="E1762" s="365" t="s">
        <v>4829</v>
      </c>
      <c r="F1762" s="365" t="s">
        <v>7399</v>
      </c>
      <c r="G1762" s="370">
        <v>45621</v>
      </c>
      <c r="H1762" s="369">
        <v>58000</v>
      </c>
      <c r="I1762" s="365" t="s">
        <v>7400</v>
      </c>
      <c r="J1762" s="365" t="s">
        <v>1228</v>
      </c>
      <c r="K1762" s="365" t="s">
        <v>1229</v>
      </c>
      <c r="L1762" s="370">
        <v>45625.670555555553</v>
      </c>
    </row>
    <row r="1763" spans="1:12" s="365" customFormat="1">
      <c r="A1763" s="370">
        <v>45625.73033564815</v>
      </c>
      <c r="B1763" s="365" t="s">
        <v>7401</v>
      </c>
      <c r="C1763" s="365" t="s">
        <v>7402</v>
      </c>
      <c r="D1763" s="365" t="s">
        <v>3868</v>
      </c>
      <c r="E1763" s="365" t="s">
        <v>3869</v>
      </c>
      <c r="F1763" s="365" t="s">
        <v>7403</v>
      </c>
      <c r="G1763" s="370">
        <v>45595</v>
      </c>
      <c r="H1763" s="369">
        <v>15000</v>
      </c>
      <c r="I1763" s="365" t="s">
        <v>7404</v>
      </c>
      <c r="J1763" s="365" t="s">
        <v>1228</v>
      </c>
      <c r="K1763" s="365" t="s">
        <v>1229</v>
      </c>
      <c r="L1763" s="370">
        <v>45625.732858796298</v>
      </c>
    </row>
    <row r="1764" spans="1:12" s="365" customFormat="1">
      <c r="A1764" s="370">
        <v>45625.855937499997</v>
      </c>
      <c r="B1764" s="365" t="s">
        <v>7405</v>
      </c>
      <c r="C1764" s="365" t="s">
        <v>7406</v>
      </c>
      <c r="D1764" s="365" t="s">
        <v>1248</v>
      </c>
      <c r="E1764" s="365" t="s">
        <v>1249</v>
      </c>
      <c r="F1764" s="365" t="s">
        <v>7407</v>
      </c>
      <c r="G1764" s="370">
        <v>45621</v>
      </c>
      <c r="H1764" s="369">
        <v>37501</v>
      </c>
      <c r="I1764" s="365" t="s">
        <v>7408</v>
      </c>
      <c r="J1764" s="365" t="s">
        <v>1228</v>
      </c>
      <c r="K1764" s="365" t="s">
        <v>1229</v>
      </c>
      <c r="L1764" s="370">
        <v>45625.858136574076</v>
      </c>
    </row>
    <row r="1765" spans="1:12" s="365" customFormat="1">
      <c r="A1765" s="370">
        <v>45625.348703703705</v>
      </c>
      <c r="B1765" s="365" t="s">
        <v>7409</v>
      </c>
      <c r="C1765" s="365" t="s">
        <v>7410</v>
      </c>
      <c r="D1765" s="365" t="s">
        <v>2143</v>
      </c>
      <c r="E1765" s="365" t="s">
        <v>2144</v>
      </c>
      <c r="F1765" s="365" t="s">
        <v>7411</v>
      </c>
      <c r="G1765" s="370">
        <v>45621</v>
      </c>
      <c r="H1765" s="369">
        <v>17500</v>
      </c>
      <c r="I1765" s="365" t="s">
        <v>7412</v>
      </c>
      <c r="J1765" s="365" t="s">
        <v>1228</v>
      </c>
      <c r="K1765" s="365" t="s">
        <v>1229</v>
      </c>
      <c r="L1765" s="370">
        <v>45625.350914351853</v>
      </c>
    </row>
    <row r="1766" spans="1:12" s="365" customFormat="1">
      <c r="A1766" s="370">
        <v>45625.409351851849</v>
      </c>
      <c r="B1766" s="365" t="s">
        <v>7413</v>
      </c>
      <c r="C1766" s="365" t="s">
        <v>7414</v>
      </c>
      <c r="D1766" s="365" t="s">
        <v>1593</v>
      </c>
      <c r="E1766" s="365" t="s">
        <v>1594</v>
      </c>
      <c r="F1766" s="365" t="s">
        <v>7415</v>
      </c>
      <c r="G1766" s="370">
        <v>45621</v>
      </c>
      <c r="H1766" s="369">
        <v>85000</v>
      </c>
      <c r="I1766" s="365" t="s">
        <v>7416</v>
      </c>
      <c r="J1766" s="365" t="s">
        <v>1228</v>
      </c>
      <c r="K1766" s="365" t="s">
        <v>1229</v>
      </c>
      <c r="L1766" s="370">
        <v>45625.409988425927</v>
      </c>
    </row>
    <row r="1767" spans="1:12" s="365" customFormat="1">
      <c r="A1767" s="370">
        <v>45625.522881944446</v>
      </c>
      <c r="B1767" s="365" t="s">
        <v>7417</v>
      </c>
      <c r="C1767" s="365" t="s">
        <v>7418</v>
      </c>
      <c r="D1767" s="365" t="s">
        <v>1968</v>
      </c>
      <c r="E1767" s="365" t="s">
        <v>1969</v>
      </c>
      <c r="F1767" s="365" t="s">
        <v>7419</v>
      </c>
      <c r="G1767" s="370">
        <v>45621</v>
      </c>
      <c r="H1767" s="369">
        <v>15999</v>
      </c>
      <c r="I1767" s="365" t="s">
        <v>7420</v>
      </c>
      <c r="J1767" s="365" t="s">
        <v>1228</v>
      </c>
      <c r="K1767" s="365" t="s">
        <v>1229</v>
      </c>
      <c r="L1767" s="370">
        <v>45625.524629629632</v>
      </c>
    </row>
    <row r="1768" spans="1:12" s="365" customFormat="1">
      <c r="A1768" s="370">
        <v>45625.556863425925</v>
      </c>
      <c r="B1768" s="365" t="s">
        <v>7421</v>
      </c>
      <c r="C1768" s="365" t="s">
        <v>7422</v>
      </c>
      <c r="D1768" s="365" t="s">
        <v>1898</v>
      </c>
      <c r="E1768" s="365" t="s">
        <v>1899</v>
      </c>
      <c r="F1768" s="365" t="s">
        <v>7423</v>
      </c>
      <c r="G1768" s="370">
        <v>45621</v>
      </c>
      <c r="H1768" s="369">
        <v>51709</v>
      </c>
      <c r="I1768" s="365" t="s">
        <v>7424</v>
      </c>
      <c r="J1768" s="365" t="s">
        <v>1228</v>
      </c>
      <c r="K1768" s="365" t="s">
        <v>1229</v>
      </c>
      <c r="L1768" s="370">
        <v>45625.559502314813</v>
      </c>
    </row>
    <row r="1769" spans="1:12" s="365" customFormat="1">
      <c r="A1769" s="370">
        <v>45625.592060185183</v>
      </c>
      <c r="B1769" s="365" t="s">
        <v>7425</v>
      </c>
      <c r="C1769" s="365" t="s">
        <v>7426</v>
      </c>
      <c r="D1769" s="365" t="s">
        <v>2088</v>
      </c>
      <c r="E1769" s="365" t="s">
        <v>2089</v>
      </c>
      <c r="F1769" s="365" t="s">
        <v>7427</v>
      </c>
      <c r="G1769" s="370">
        <v>45621</v>
      </c>
      <c r="H1769" s="369">
        <v>47999</v>
      </c>
      <c r="I1769" s="365" t="s">
        <v>7428</v>
      </c>
      <c r="J1769" s="365" t="s">
        <v>1228</v>
      </c>
      <c r="K1769" s="365" t="s">
        <v>1229</v>
      </c>
      <c r="L1769" s="370">
        <v>45625.594236111108</v>
      </c>
    </row>
    <row r="1770" spans="1:12" s="365" customFormat="1">
      <c r="A1770" s="370">
        <v>45625.676249999997</v>
      </c>
      <c r="B1770" s="365" t="s">
        <v>7429</v>
      </c>
      <c r="C1770" s="365" t="s">
        <v>7430</v>
      </c>
      <c r="D1770" s="365" t="s">
        <v>1445</v>
      </c>
      <c r="E1770" s="365" t="s">
        <v>1446</v>
      </c>
      <c r="F1770" s="365" t="s">
        <v>7431</v>
      </c>
      <c r="G1770" s="370">
        <v>45621</v>
      </c>
      <c r="H1770" s="369">
        <v>25000</v>
      </c>
      <c r="I1770" s="365" t="s">
        <v>7432</v>
      </c>
      <c r="J1770" s="365" t="s">
        <v>1228</v>
      </c>
      <c r="K1770" s="365" t="s">
        <v>1229</v>
      </c>
      <c r="L1770" s="370">
        <v>45625.67732638889</v>
      </c>
    </row>
    <row r="1771" spans="1:12" s="365" customFormat="1">
      <c r="A1771" s="370">
        <v>45625.697777777779</v>
      </c>
      <c r="B1771" s="365" t="s">
        <v>7433</v>
      </c>
      <c r="C1771" s="365" t="s">
        <v>7434</v>
      </c>
      <c r="D1771" s="365" t="s">
        <v>1671</v>
      </c>
      <c r="E1771" s="365" t="s">
        <v>1672</v>
      </c>
      <c r="F1771" s="365" t="s">
        <v>7435</v>
      </c>
      <c r="G1771" s="370">
        <v>45621</v>
      </c>
      <c r="H1771" s="369">
        <v>15000</v>
      </c>
      <c r="I1771" s="365" t="s">
        <v>7436</v>
      </c>
      <c r="J1771" s="365" t="s">
        <v>1228</v>
      </c>
      <c r="K1771" s="365" t="s">
        <v>1229</v>
      </c>
      <c r="L1771" s="370">
        <v>45625.698321759257</v>
      </c>
    </row>
    <row r="1772" spans="1:12" s="365" customFormat="1">
      <c r="A1772" s="370">
        <v>45625.700949074075</v>
      </c>
      <c r="B1772" s="365" t="s">
        <v>7437</v>
      </c>
      <c r="C1772" s="365" t="s">
        <v>7438</v>
      </c>
      <c r="D1772" s="365" t="s">
        <v>1732</v>
      </c>
      <c r="E1772" s="365" t="s">
        <v>1733</v>
      </c>
      <c r="F1772" s="365" t="s">
        <v>7439</v>
      </c>
      <c r="G1772" s="370">
        <v>45621</v>
      </c>
      <c r="H1772" s="369">
        <v>15999</v>
      </c>
      <c r="I1772" s="365" t="s">
        <v>7440</v>
      </c>
      <c r="J1772" s="365" t="s">
        <v>1228</v>
      </c>
      <c r="K1772" s="365" t="s">
        <v>1229</v>
      </c>
      <c r="L1772" s="370">
        <v>45625.701886574076</v>
      </c>
    </row>
    <row r="1773" spans="1:12" s="365" customFormat="1">
      <c r="A1773" s="370">
        <v>45625.707939814813</v>
      </c>
      <c r="B1773" s="365" t="s">
        <v>7441</v>
      </c>
      <c r="C1773" s="365" t="s">
        <v>7442</v>
      </c>
      <c r="D1773" s="365" t="s">
        <v>1737</v>
      </c>
      <c r="E1773" s="365" t="s">
        <v>1738</v>
      </c>
      <c r="F1773" s="365" t="s">
        <v>7443</v>
      </c>
      <c r="G1773" s="370">
        <v>45621</v>
      </c>
      <c r="H1773" s="369">
        <v>25000</v>
      </c>
      <c r="I1773" s="365" t="s">
        <v>7444</v>
      </c>
      <c r="J1773" s="365" t="s">
        <v>1228</v>
      </c>
      <c r="K1773" s="365" t="s">
        <v>1229</v>
      </c>
      <c r="L1773" s="370">
        <v>45625.708657407406</v>
      </c>
    </row>
    <row r="1774" spans="1:12" s="365" customFormat="1">
      <c r="A1774" s="370">
        <v>45625.814884259256</v>
      </c>
      <c r="B1774" s="365" t="s">
        <v>7445</v>
      </c>
      <c r="C1774" s="365" t="s">
        <v>7446</v>
      </c>
      <c r="D1774" s="365" t="s">
        <v>1892</v>
      </c>
      <c r="E1774" s="365" t="s">
        <v>1893</v>
      </c>
      <c r="F1774" s="365" t="s">
        <v>7447</v>
      </c>
      <c r="G1774" s="370">
        <v>45621</v>
      </c>
      <c r="H1774" s="369">
        <v>22000</v>
      </c>
      <c r="I1774" s="365" t="s">
        <v>7448</v>
      </c>
      <c r="J1774" s="365" t="s">
        <v>1228</v>
      </c>
      <c r="K1774" s="365" t="s">
        <v>1229</v>
      </c>
      <c r="L1774" s="370">
        <v>45625.816516203704</v>
      </c>
    </row>
    <row r="1775" spans="1:12" s="365" customFormat="1">
      <c r="A1775" s="370">
        <v>45625.915162037039</v>
      </c>
      <c r="B1775" s="365" t="s">
        <v>7449</v>
      </c>
      <c r="C1775" s="365" t="s">
        <v>7450</v>
      </c>
      <c r="D1775" s="365" t="s">
        <v>1689</v>
      </c>
      <c r="E1775" s="365" t="s">
        <v>1690</v>
      </c>
      <c r="F1775" s="365" t="s">
        <v>7451</v>
      </c>
      <c r="G1775" s="370">
        <v>45621</v>
      </c>
      <c r="H1775" s="369">
        <v>27000</v>
      </c>
      <c r="I1775" s="365" t="s">
        <v>7452</v>
      </c>
      <c r="J1775" s="365" t="s">
        <v>1228</v>
      </c>
      <c r="K1775" s="365" t="s">
        <v>1229</v>
      </c>
      <c r="L1775" s="370">
        <v>45625.917210648149</v>
      </c>
    </row>
    <row r="1776" spans="1:12" s="365" customFormat="1">
      <c r="A1776" s="370">
        <v>45626.401377314818</v>
      </c>
      <c r="B1776" s="365" t="s">
        <v>7453</v>
      </c>
      <c r="C1776" s="365" t="s">
        <v>7454</v>
      </c>
      <c r="D1776" s="365" t="s">
        <v>2912</v>
      </c>
      <c r="E1776" s="365" t="s">
        <v>2913</v>
      </c>
      <c r="F1776" s="365" t="s">
        <v>7455</v>
      </c>
      <c r="G1776" s="370">
        <v>45621</v>
      </c>
      <c r="H1776" s="369">
        <v>158000</v>
      </c>
      <c r="I1776" s="365" t="s">
        <v>7456</v>
      </c>
      <c r="J1776" s="365" t="s">
        <v>1228</v>
      </c>
      <c r="K1776" s="365" t="s">
        <v>1229</v>
      </c>
      <c r="L1776" s="370">
        <v>45626.403032407405</v>
      </c>
    </row>
    <row r="1777" spans="1:12" s="365" customFormat="1">
      <c r="A1777" s="370">
        <v>45626.671944444446</v>
      </c>
      <c r="B1777" s="365" t="s">
        <v>7457</v>
      </c>
      <c r="C1777" s="365" t="s">
        <v>7458</v>
      </c>
      <c r="D1777" s="365" t="s">
        <v>1880</v>
      </c>
      <c r="E1777" s="365" t="s">
        <v>1881</v>
      </c>
      <c r="F1777" s="365" t="s">
        <v>7459</v>
      </c>
      <c r="G1777" s="370">
        <v>45621</v>
      </c>
      <c r="H1777" s="369">
        <v>25000</v>
      </c>
      <c r="I1777" s="365" t="s">
        <v>7460</v>
      </c>
      <c r="J1777" s="365" t="s">
        <v>1228</v>
      </c>
      <c r="K1777" s="365" t="s">
        <v>1229</v>
      </c>
      <c r="L1777" s="370">
        <v>45626.674074074072</v>
      </c>
    </row>
    <row r="1778" spans="1:12" s="365" customFormat="1">
      <c r="A1778" s="370">
        <v>45626.779328703706</v>
      </c>
      <c r="B1778" s="365" t="s">
        <v>7461</v>
      </c>
      <c r="C1778" s="365" t="s">
        <v>7462</v>
      </c>
      <c r="D1778" s="365" t="s">
        <v>1862</v>
      </c>
      <c r="E1778" s="365" t="s">
        <v>1863</v>
      </c>
      <c r="F1778" s="365" t="s">
        <v>7463</v>
      </c>
      <c r="G1778" s="370">
        <v>45621</v>
      </c>
      <c r="H1778" s="369">
        <v>9000</v>
      </c>
      <c r="I1778" s="365" t="s">
        <v>7464</v>
      </c>
      <c r="J1778" s="365" t="s">
        <v>1228</v>
      </c>
      <c r="K1778" s="365" t="s">
        <v>1229</v>
      </c>
      <c r="L1778" s="370">
        <v>45626.781574074077</v>
      </c>
    </row>
    <row r="1779" spans="1:12" s="365" customFormat="1">
      <c r="A1779" s="370">
        <v>45626.828553240739</v>
      </c>
      <c r="B1779" s="365" t="s">
        <v>7465</v>
      </c>
      <c r="C1779" s="365" t="s">
        <v>7466</v>
      </c>
      <c r="D1779" s="365" t="s">
        <v>2751</v>
      </c>
      <c r="E1779" s="365" t="s">
        <v>2752</v>
      </c>
      <c r="F1779" s="365" t="s">
        <v>7467</v>
      </c>
      <c r="G1779" s="370">
        <v>45621</v>
      </c>
      <c r="H1779" s="369">
        <v>27000</v>
      </c>
      <c r="I1779" s="365" t="s">
        <v>7468</v>
      </c>
      <c r="J1779" s="365" t="s">
        <v>1228</v>
      </c>
      <c r="K1779" s="365" t="s">
        <v>1229</v>
      </c>
      <c r="L1779" s="370">
        <v>45626.830324074072</v>
      </c>
    </row>
    <row r="1780" spans="1:12" s="365" customFormat="1">
      <c r="A1780" s="370">
        <v>45626.378159722219</v>
      </c>
      <c r="B1780" s="365" t="s">
        <v>7469</v>
      </c>
      <c r="C1780" s="365" t="s">
        <v>7470</v>
      </c>
      <c r="D1780" s="365" t="s">
        <v>4536</v>
      </c>
      <c r="E1780" s="365" t="s">
        <v>4537</v>
      </c>
      <c r="F1780" s="365" t="s">
        <v>7471</v>
      </c>
      <c r="G1780" s="370">
        <v>45621</v>
      </c>
      <c r="H1780" s="369">
        <v>24000</v>
      </c>
      <c r="I1780" s="365" t="s">
        <v>7472</v>
      </c>
      <c r="J1780" s="365" t="s">
        <v>1228</v>
      </c>
      <c r="K1780" s="365" t="s">
        <v>1229</v>
      </c>
      <c r="L1780" s="370">
        <v>45626.378993055558</v>
      </c>
    </row>
    <row r="1781" spans="1:12" s="365" customFormat="1">
      <c r="A1781" s="370">
        <v>45626.481041666666</v>
      </c>
      <c r="B1781" s="365" t="s">
        <v>7473</v>
      </c>
      <c r="C1781" s="365" t="s">
        <v>7474</v>
      </c>
      <c r="D1781" s="365" t="s">
        <v>6591</v>
      </c>
      <c r="E1781" s="365" t="s">
        <v>6592</v>
      </c>
      <c r="F1781" s="365" t="s">
        <v>7475</v>
      </c>
      <c r="G1781" s="370">
        <v>45595</v>
      </c>
      <c r="H1781" s="369">
        <v>15999</v>
      </c>
      <c r="I1781" s="365" t="s">
        <v>7476</v>
      </c>
      <c r="J1781" s="365" t="s">
        <v>1228</v>
      </c>
      <c r="K1781" s="365" t="s">
        <v>1229</v>
      </c>
      <c r="L1781" s="370">
        <v>45626.482939814814</v>
      </c>
    </row>
    <row r="1782" spans="1:12" s="365" customFormat="1">
      <c r="A1782" s="370">
        <v>45626.558923611112</v>
      </c>
      <c r="B1782" s="365" t="s">
        <v>7477</v>
      </c>
      <c r="C1782" s="365" t="s">
        <v>7478</v>
      </c>
      <c r="D1782" s="365" t="s">
        <v>1694</v>
      </c>
      <c r="E1782" s="365" t="s">
        <v>1695</v>
      </c>
      <c r="F1782" s="365" t="s">
        <v>7479</v>
      </c>
      <c r="G1782" s="370">
        <v>45621</v>
      </c>
      <c r="H1782" s="369">
        <v>24000</v>
      </c>
      <c r="I1782" s="365" t="s">
        <v>7480</v>
      </c>
      <c r="J1782" s="365" t="s">
        <v>1228</v>
      </c>
      <c r="K1782" s="365" t="s">
        <v>1229</v>
      </c>
      <c r="L1782" s="370">
        <v>45626.559479166666</v>
      </c>
    </row>
    <row r="1783" spans="1:12" s="365" customFormat="1">
      <c r="A1783" s="370">
        <v>45626.583796296298</v>
      </c>
      <c r="B1783" s="365" t="s">
        <v>7481</v>
      </c>
      <c r="C1783" s="365" t="s">
        <v>7482</v>
      </c>
      <c r="D1783" s="365" t="s">
        <v>2483</v>
      </c>
      <c r="E1783" s="365" t="s">
        <v>2484</v>
      </c>
      <c r="F1783" s="365" t="s">
        <v>7483</v>
      </c>
      <c r="G1783" s="370">
        <v>45595</v>
      </c>
      <c r="H1783" s="369">
        <v>15999</v>
      </c>
      <c r="I1783" s="365" t="s">
        <v>7484</v>
      </c>
      <c r="J1783" s="365" t="s">
        <v>1228</v>
      </c>
      <c r="K1783" s="365" t="s">
        <v>1229</v>
      </c>
      <c r="L1783" s="370">
        <v>45626.587245370371</v>
      </c>
    </row>
    <row r="1784" spans="1:12" s="365" customFormat="1">
      <c r="A1784" s="370">
        <v>45626.657418981478</v>
      </c>
      <c r="B1784" s="365" t="s">
        <v>7485</v>
      </c>
      <c r="C1784" s="365" t="s">
        <v>7486</v>
      </c>
      <c r="D1784" s="365" t="s">
        <v>2000</v>
      </c>
      <c r="E1784" s="365" t="s">
        <v>2001</v>
      </c>
      <c r="F1784" s="365" t="s">
        <v>7487</v>
      </c>
      <c r="G1784" s="370">
        <v>45621</v>
      </c>
      <c r="H1784" s="369">
        <v>15999</v>
      </c>
      <c r="I1784" s="365" t="s">
        <v>7488</v>
      </c>
      <c r="J1784" s="365" t="s">
        <v>1228</v>
      </c>
      <c r="K1784" s="365" t="s">
        <v>1229</v>
      </c>
      <c r="L1784" s="370">
        <v>45626.660196759258</v>
      </c>
    </row>
    <row r="1785" spans="1:12" s="365" customFormat="1">
      <c r="A1785" s="370">
        <v>45626.893645833334</v>
      </c>
      <c r="B1785" s="365" t="s">
        <v>7489</v>
      </c>
      <c r="C1785" s="365" t="s">
        <v>7490</v>
      </c>
      <c r="D1785" s="365" t="s">
        <v>1921</v>
      </c>
      <c r="E1785" s="365" t="s">
        <v>1922</v>
      </c>
      <c r="F1785" s="365" t="s">
        <v>7491</v>
      </c>
      <c r="G1785" s="370">
        <v>45621</v>
      </c>
      <c r="H1785" s="369">
        <v>9000</v>
      </c>
      <c r="I1785" s="365" t="s">
        <v>7492</v>
      </c>
      <c r="J1785" s="365" t="s">
        <v>1228</v>
      </c>
      <c r="K1785" s="365" t="s">
        <v>1229</v>
      </c>
      <c r="L1785" s="370">
        <v>45626.896157407406</v>
      </c>
    </row>
    <row r="1786" spans="1:12" s="365" customFormat="1">
      <c r="A1786" s="370">
        <v>45626.949560185189</v>
      </c>
      <c r="B1786" s="365" t="s">
        <v>7493</v>
      </c>
      <c r="C1786" s="365" t="s">
        <v>7474</v>
      </c>
      <c r="D1786" s="365" t="s">
        <v>6591</v>
      </c>
      <c r="E1786" s="365" t="s">
        <v>6592</v>
      </c>
      <c r="F1786" s="365" t="s">
        <v>7494</v>
      </c>
      <c r="G1786" s="370">
        <v>45560</v>
      </c>
      <c r="H1786" s="369">
        <v>15999</v>
      </c>
      <c r="I1786" s="365" t="s">
        <v>7495</v>
      </c>
      <c r="J1786" s="365" t="s">
        <v>1228</v>
      </c>
      <c r="K1786" s="365" t="s">
        <v>1229</v>
      </c>
      <c r="L1786" s="370">
        <v>45626.951678240737</v>
      </c>
    </row>
    <row r="1787" spans="1:12" s="365" customFormat="1">
      <c r="A1787" s="365" t="s">
        <v>4941</v>
      </c>
      <c r="B1787" s="365" t="s">
        <v>4942</v>
      </c>
      <c r="C1787" s="371">
        <v>45630</v>
      </c>
      <c r="D1787" s="365" t="s">
        <v>4943</v>
      </c>
      <c r="E1787" s="365" t="s">
        <v>4944</v>
      </c>
      <c r="F1787" s="366">
        <v>1</v>
      </c>
      <c r="G1787" s="365" t="s">
        <v>4945</v>
      </c>
      <c r="H1787" s="367">
        <f>SUBTOTAL(9,H1212:H1786)</f>
        <v>18950620</v>
      </c>
    </row>
    <row r="1788" spans="1:12" s="365" customFormat="1" ht="12.75" customHeight="1"/>
    <row r="1789" spans="1:12" s="365" customFormat="1" ht="12.75" customHeight="1"/>
    <row r="1792" spans="1:12">
      <c r="D1792" t="s">
        <v>7496</v>
      </c>
      <c r="E1792" s="418">
        <f>+H1787+F544+B42+B35+B6</f>
        <v>859646113</v>
      </c>
    </row>
  </sheetData>
  <autoFilter ref="A53:L542">
    <filterColumn colId="0">
      <filters>
        <filter val="AVO"/>
        <filter val="TEM"/>
      </filters>
    </filterColumn>
  </autoFilter>
  <sortState ref="A319:L1213">
    <sortCondition ref="A319:A1213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G13" sqref="G13"/>
    </sheetView>
  </sheetViews>
  <sheetFormatPr baseColWidth="10" defaultColWidth="10.90625" defaultRowHeight="13.5"/>
  <cols>
    <col min="1" max="2" width="27.1796875" style="188" bestFit="1" customWidth="1"/>
    <col min="3" max="3" width="26.36328125" style="188" bestFit="1" customWidth="1"/>
    <col min="4" max="5" width="20.81640625" style="188" bestFit="1" customWidth="1"/>
    <col min="6" max="6" width="19.6328125" style="188" bestFit="1" customWidth="1"/>
    <col min="7" max="7" width="14" style="188" bestFit="1" customWidth="1"/>
    <col min="8" max="16384" width="10.90625" style="188"/>
  </cols>
  <sheetData>
    <row r="1" spans="1:7" ht="14.5">
      <c r="D1" s="193"/>
      <c r="E1" s="193"/>
      <c r="F1" s="193"/>
    </row>
    <row r="3" spans="1:7">
      <c r="A3" s="417"/>
    </row>
    <row r="5" spans="1:7" ht="14.5">
      <c r="A5" s="194"/>
      <c r="B5" s="194"/>
      <c r="C5" s="194"/>
      <c r="D5" s="426"/>
      <c r="E5" s="426"/>
      <c r="F5" s="426"/>
      <c r="G5" s="426"/>
    </row>
    <row r="6" spans="1:7">
      <c r="A6" s="194"/>
      <c r="B6" s="195" t="s">
        <v>931</v>
      </c>
      <c r="C6" s="194"/>
      <c r="D6" s="195" t="s">
        <v>930</v>
      </c>
      <c r="E6" s="195" t="s">
        <v>931</v>
      </c>
      <c r="F6" s="195" t="s">
        <v>932</v>
      </c>
      <c r="G6" s="195" t="s">
        <v>933</v>
      </c>
    </row>
    <row r="7" spans="1:7">
      <c r="A7" s="196" t="s">
        <v>934</v>
      </c>
      <c r="B7" s="195">
        <v>2290100000072</v>
      </c>
      <c r="C7" s="196" t="s">
        <v>935</v>
      </c>
      <c r="D7" s="195" t="s">
        <v>9508</v>
      </c>
      <c r="E7" s="195">
        <v>2290100000072</v>
      </c>
      <c r="F7" s="197">
        <v>20631424</v>
      </c>
      <c r="G7" s="197">
        <v>3285534650</v>
      </c>
    </row>
    <row r="8" spans="1:7">
      <c r="A8" s="196" t="s">
        <v>934</v>
      </c>
      <c r="B8" s="195">
        <v>2290100000073</v>
      </c>
      <c r="C8" s="196" t="s">
        <v>936</v>
      </c>
      <c r="D8" s="195" t="s">
        <v>9508</v>
      </c>
      <c r="E8" s="195">
        <v>2290100000073</v>
      </c>
      <c r="F8" s="197">
        <v>1974042</v>
      </c>
      <c r="G8" s="197">
        <v>341676825</v>
      </c>
    </row>
    <row r="9" spans="1:7">
      <c r="A9" s="196" t="s">
        <v>934</v>
      </c>
      <c r="B9" s="195">
        <v>2290100000071</v>
      </c>
      <c r="C9" s="196" t="s">
        <v>937</v>
      </c>
      <c r="D9" s="195" t="s">
        <v>9508</v>
      </c>
      <c r="E9" s="195">
        <v>2290100000071</v>
      </c>
      <c r="F9" s="197">
        <v>5201155</v>
      </c>
      <c r="G9" s="197">
        <v>1629836360</v>
      </c>
    </row>
    <row r="10" spans="1:7">
      <c r="A10" s="196" t="s">
        <v>934</v>
      </c>
      <c r="B10" s="195">
        <v>2290100000074</v>
      </c>
      <c r="C10" s="196" t="s">
        <v>938</v>
      </c>
      <c r="D10" s="195" t="s">
        <v>9508</v>
      </c>
      <c r="E10" s="195">
        <v>2290100000074</v>
      </c>
      <c r="F10" s="197">
        <v>853504</v>
      </c>
      <c r="G10" s="197">
        <v>371189445</v>
      </c>
    </row>
    <row r="11" spans="1:7">
      <c r="A11" s="194"/>
      <c r="B11" s="194"/>
      <c r="C11" s="194"/>
      <c r="D11" s="194"/>
      <c r="E11" s="194"/>
      <c r="F11" s="194"/>
      <c r="G11" s="194"/>
    </row>
    <row r="12" spans="1:7">
      <c r="A12" s="194"/>
      <c r="B12" s="194"/>
      <c r="C12" s="194"/>
      <c r="D12" s="194"/>
      <c r="E12" s="194"/>
      <c r="F12" s="194"/>
      <c r="G12" s="194"/>
    </row>
    <row r="13" spans="1:7">
      <c r="G13" s="516">
        <f>SUM(G7:G12)</f>
        <v>5628237280</v>
      </c>
    </row>
    <row r="14" spans="1:7">
      <c r="A14" s="194"/>
      <c r="B14" s="194"/>
      <c r="C14" s="194"/>
      <c r="D14" s="194"/>
      <c r="E14" s="194"/>
      <c r="F14" s="189"/>
      <c r="G14" s="18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G10" sqref="G10"/>
    </sheetView>
  </sheetViews>
  <sheetFormatPr baseColWidth="10" defaultRowHeight="14.5"/>
  <cols>
    <col min="4" max="4" width="16.6328125" bestFit="1" customWidth="1"/>
    <col min="6" max="6" width="17.1796875" customWidth="1"/>
    <col min="7" max="7" width="12.6328125" bestFit="1" customWidth="1"/>
  </cols>
  <sheetData>
    <row r="1" spans="1:7" ht="15.65" customHeight="1"/>
    <row r="2" spans="1:7">
      <c r="G2" s="194"/>
    </row>
    <row r="3" spans="1:7">
      <c r="G3" s="194"/>
    </row>
    <row r="4" spans="1:7">
      <c r="A4" s="417"/>
      <c r="B4" s="194"/>
      <c r="C4" s="194"/>
      <c r="D4" s="194"/>
      <c r="E4" s="194"/>
      <c r="F4" s="194"/>
      <c r="G4" s="198" t="s">
        <v>1193</v>
      </c>
    </row>
    <row r="5" spans="1:7">
      <c r="A5" s="194"/>
      <c r="B5" s="194"/>
      <c r="C5" s="194"/>
      <c r="D5" s="194"/>
      <c r="E5" s="183"/>
      <c r="F5" s="183"/>
      <c r="G5" s="194"/>
    </row>
    <row r="6" spans="1:7" s="188" customFormat="1" ht="13.5">
      <c r="A6" s="194"/>
      <c r="B6" s="194"/>
      <c r="C6" s="194"/>
      <c r="D6" s="194"/>
      <c r="E6" s="189"/>
      <c r="F6" s="189"/>
      <c r="G6" s="198" t="s">
        <v>1193</v>
      </c>
    </row>
    <row r="7" spans="1:7" s="188" customFormat="1" ht="14">
      <c r="A7" s="194"/>
      <c r="B7" s="194"/>
      <c r="C7" s="194"/>
      <c r="D7" s="194"/>
      <c r="E7" s="183"/>
      <c r="F7" s="183"/>
      <c r="G7" s="194"/>
    </row>
    <row r="10" spans="1:7" s="188" customFormat="1" ht="13.5">
      <c r="A10" s="194" t="s">
        <v>939</v>
      </c>
      <c r="B10" s="195"/>
      <c r="C10" s="195" t="s">
        <v>940</v>
      </c>
      <c r="D10" s="195" t="s">
        <v>9508</v>
      </c>
      <c r="E10" s="195"/>
      <c r="F10" s="197">
        <v>2792369</v>
      </c>
      <c r="G10" s="197">
        <v>913333660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5:I408"/>
  <sheetViews>
    <sheetView workbookViewId="0">
      <selection activeCell="A13" sqref="A13:XFD13"/>
    </sheetView>
  </sheetViews>
  <sheetFormatPr baseColWidth="10" defaultColWidth="11.54296875" defaultRowHeight="14.5"/>
  <cols>
    <col min="1" max="1" width="17.6328125" style="193" bestFit="1" customWidth="1"/>
    <col min="2" max="2" width="61" style="193" customWidth="1"/>
    <col min="3" max="3" width="23.36328125" style="193" customWidth="1"/>
    <col min="4" max="4" width="21" style="193" bestFit="1" customWidth="1"/>
    <col min="5" max="5" width="23.453125" style="193" bestFit="1" customWidth="1"/>
    <col min="6" max="6" width="16.36328125" style="193" customWidth="1"/>
    <col min="7" max="16384" width="11.54296875" style="193"/>
  </cols>
  <sheetData>
    <row r="5" spans="1:9" ht="26">
      <c r="B5" s="564" t="s">
        <v>4950</v>
      </c>
      <c r="C5" s="564"/>
    </row>
    <row r="6" spans="1:9" hidden="1"/>
    <row r="7" spans="1:9" ht="20" hidden="1">
      <c r="B7" s="23" t="s">
        <v>4951</v>
      </c>
      <c r="C7" s="565" t="s">
        <v>46</v>
      </c>
      <c r="D7" s="566"/>
      <c r="E7" s="565" t="s">
        <v>47</v>
      </c>
      <c r="F7" s="567"/>
      <c r="G7" s="568" t="s">
        <v>48</v>
      </c>
    </row>
    <row r="8" spans="1:9" ht="30.5" hidden="1">
      <c r="B8" s="23"/>
      <c r="C8" s="25" t="s">
        <v>49</v>
      </c>
      <c r="D8" s="26" t="s">
        <v>50</v>
      </c>
      <c r="E8" s="27" t="s">
        <v>51</v>
      </c>
      <c r="F8" s="28" t="s">
        <v>52</v>
      </c>
      <c r="G8" s="569"/>
    </row>
    <row r="9" spans="1:9" ht="21" hidden="1">
      <c r="A9" s="34"/>
      <c r="B9" s="30"/>
      <c r="C9" s="31"/>
      <c r="D9" s="4"/>
      <c r="E9" s="31"/>
      <c r="F9" s="31"/>
      <c r="G9" s="32"/>
    </row>
    <row r="10" spans="1:9" ht="21" hidden="1">
      <c r="A10" s="34">
        <v>45555</v>
      </c>
      <c r="B10" s="29" t="s">
        <v>474</v>
      </c>
      <c r="C10" s="59">
        <v>1190000</v>
      </c>
      <c r="D10" s="29"/>
      <c r="E10" s="59"/>
      <c r="F10" s="59"/>
      <c r="G10" s="61" t="s">
        <v>57</v>
      </c>
      <c r="I10" s="44"/>
    </row>
    <row r="11" spans="1:9" ht="21.75" hidden="1" customHeight="1">
      <c r="A11" s="34"/>
      <c r="B11" s="67" t="s">
        <v>1075</v>
      </c>
      <c r="C11" s="68">
        <v>20763830</v>
      </c>
      <c r="D11" s="67"/>
      <c r="E11" s="68"/>
      <c r="F11" s="68"/>
      <c r="G11" s="69" t="s">
        <v>57</v>
      </c>
    </row>
    <row r="12" spans="1:9" ht="21.75" hidden="1" customHeight="1">
      <c r="A12" s="34"/>
      <c r="B12" s="67" t="s">
        <v>1075</v>
      </c>
      <c r="C12" s="68">
        <v>26232160</v>
      </c>
      <c r="D12" s="67"/>
      <c r="E12" s="68"/>
      <c r="F12" s="68"/>
      <c r="G12" s="69" t="s">
        <v>57</v>
      </c>
    </row>
    <row r="13" spans="1:9" ht="21">
      <c r="A13" s="34"/>
      <c r="B13" s="168" t="s">
        <v>1078</v>
      </c>
      <c r="C13" s="169">
        <v>26504544</v>
      </c>
      <c r="D13" s="168"/>
      <c r="E13" s="31"/>
      <c r="F13" s="31"/>
      <c r="G13" s="32" t="s">
        <v>54</v>
      </c>
    </row>
    <row r="14" spans="1:9" ht="21" hidden="1">
      <c r="A14" s="34"/>
      <c r="B14" s="29" t="s">
        <v>116</v>
      </c>
      <c r="C14" s="59">
        <v>105600</v>
      </c>
      <c r="D14" s="29"/>
      <c r="E14" s="59"/>
      <c r="F14" s="59"/>
      <c r="G14" s="61" t="s">
        <v>56</v>
      </c>
      <c r="I14" s="44"/>
    </row>
    <row r="15" spans="1:9" ht="21" hidden="1">
      <c r="A15" s="34"/>
      <c r="B15" s="29" t="s">
        <v>4952</v>
      </c>
      <c r="C15" s="59">
        <v>450000</v>
      </c>
      <c r="D15" s="29"/>
      <c r="E15" s="59"/>
      <c r="F15" s="59"/>
      <c r="G15" s="61" t="s">
        <v>56</v>
      </c>
      <c r="I15" s="44"/>
    </row>
    <row r="16" spans="1:9" ht="21" hidden="1">
      <c r="A16" s="34">
        <v>45558</v>
      </c>
      <c r="B16" s="67" t="s">
        <v>450</v>
      </c>
      <c r="C16" s="68">
        <v>632008</v>
      </c>
      <c r="D16" s="67"/>
      <c r="E16" s="68"/>
      <c r="F16" s="68"/>
      <c r="G16" s="69" t="s">
        <v>57</v>
      </c>
    </row>
    <row r="17" spans="1:9" ht="21" hidden="1">
      <c r="A17" s="34"/>
      <c r="B17" s="67" t="s">
        <v>450</v>
      </c>
      <c r="C17" s="68">
        <v>3258949</v>
      </c>
      <c r="D17" s="67"/>
      <c r="E17" s="68"/>
      <c r="F17" s="68"/>
      <c r="G17" s="69" t="s">
        <v>57</v>
      </c>
    </row>
    <row r="18" spans="1:9" ht="21" hidden="1">
      <c r="A18" s="34"/>
      <c r="B18" s="33" t="s">
        <v>4953</v>
      </c>
      <c r="C18" s="77">
        <v>171208294</v>
      </c>
      <c r="D18" s="33"/>
      <c r="E18" s="77"/>
      <c r="F18" s="77"/>
      <c r="G18" s="79"/>
      <c r="I18" s="44"/>
    </row>
    <row r="19" spans="1:9" ht="21" hidden="1">
      <c r="A19" s="34"/>
      <c r="B19" s="29" t="s">
        <v>4954</v>
      </c>
      <c r="C19" s="59">
        <v>396000</v>
      </c>
      <c r="D19" s="29"/>
      <c r="E19" s="59"/>
      <c r="F19" s="59"/>
      <c r="G19" s="61" t="s">
        <v>56</v>
      </c>
      <c r="I19" s="44"/>
    </row>
    <row r="20" spans="1:9" ht="21" hidden="1">
      <c r="A20" s="34"/>
      <c r="B20" s="29" t="s">
        <v>4955</v>
      </c>
      <c r="C20" s="59">
        <v>624360</v>
      </c>
      <c r="D20" s="29"/>
      <c r="E20" s="59"/>
      <c r="F20" s="59"/>
      <c r="G20" s="61" t="s">
        <v>56</v>
      </c>
      <c r="I20" s="44"/>
    </row>
    <row r="21" spans="1:9" ht="21" hidden="1">
      <c r="A21" s="34"/>
      <c r="B21" s="29" t="s">
        <v>4956</v>
      </c>
      <c r="C21" s="59">
        <v>708000</v>
      </c>
      <c r="D21" s="29"/>
      <c r="E21" s="59"/>
      <c r="F21" s="59"/>
      <c r="G21" s="61" t="s">
        <v>56</v>
      </c>
    </row>
    <row r="22" spans="1:9" ht="21" hidden="1">
      <c r="A22" s="34"/>
      <c r="B22" s="29" t="s">
        <v>156</v>
      </c>
      <c r="C22" s="59">
        <v>451280</v>
      </c>
      <c r="D22" s="29"/>
      <c r="E22" s="59"/>
      <c r="F22" s="59"/>
      <c r="G22" s="61" t="s">
        <v>55</v>
      </c>
      <c r="I22" s="44"/>
    </row>
    <row r="23" spans="1:9" ht="21" hidden="1">
      <c r="A23" s="34"/>
      <c r="B23" s="29" t="s">
        <v>156</v>
      </c>
      <c r="C23" s="59">
        <v>309150</v>
      </c>
      <c r="D23" s="29"/>
      <c r="E23" s="59"/>
      <c r="F23" s="59"/>
      <c r="G23" s="61" t="s">
        <v>55</v>
      </c>
    </row>
    <row r="24" spans="1:9" ht="21.75" hidden="1" customHeight="1">
      <c r="A24" s="34">
        <v>45559</v>
      </c>
      <c r="B24" s="29" t="s">
        <v>4957</v>
      </c>
      <c r="C24" s="59">
        <v>396000</v>
      </c>
      <c r="D24" s="29"/>
      <c r="E24" s="59"/>
      <c r="F24" s="59"/>
      <c r="G24" s="61" t="s">
        <v>56</v>
      </c>
    </row>
    <row r="25" spans="1:9" ht="21.75" hidden="1" customHeight="1">
      <c r="A25" s="34"/>
      <c r="B25" s="29" t="s">
        <v>624</v>
      </c>
      <c r="C25" s="59">
        <v>624360</v>
      </c>
      <c r="D25" s="29"/>
      <c r="E25" s="59"/>
      <c r="F25" s="59"/>
      <c r="G25" s="61" t="s">
        <v>56</v>
      </c>
    </row>
    <row r="26" spans="1:9" ht="21.75" hidden="1" customHeight="1">
      <c r="A26" s="34"/>
      <c r="B26" s="29" t="s">
        <v>4956</v>
      </c>
      <c r="C26" s="59">
        <v>708000</v>
      </c>
      <c r="D26" s="29"/>
      <c r="E26" s="59"/>
      <c r="F26" s="59"/>
      <c r="G26" s="61" t="s">
        <v>56</v>
      </c>
    </row>
    <row r="27" spans="1:9" ht="21.75" hidden="1" customHeight="1">
      <c r="A27" s="34"/>
      <c r="B27" s="29" t="s">
        <v>1077</v>
      </c>
      <c r="D27" s="59">
        <v>829909</v>
      </c>
      <c r="E27" s="59"/>
      <c r="F27" s="59"/>
      <c r="G27" s="61" t="s">
        <v>56</v>
      </c>
    </row>
    <row r="28" spans="1:9" ht="21.75" hidden="1" customHeight="1">
      <c r="A28" s="34"/>
      <c r="B28" s="29" t="s">
        <v>4958</v>
      </c>
      <c r="C28" s="59">
        <v>15749276</v>
      </c>
      <c r="D28" s="29"/>
      <c r="E28" s="59"/>
      <c r="F28" s="59"/>
      <c r="G28" s="61" t="s">
        <v>154</v>
      </c>
    </row>
    <row r="29" spans="1:9" ht="21.75" hidden="1" customHeight="1">
      <c r="A29" s="34"/>
      <c r="B29" s="29" t="s">
        <v>713</v>
      </c>
      <c r="C29" s="59">
        <v>8882255</v>
      </c>
      <c r="D29" s="29"/>
      <c r="E29" s="59"/>
      <c r="F29" s="59"/>
      <c r="G29" s="61" t="s">
        <v>58</v>
      </c>
    </row>
    <row r="30" spans="1:9" ht="21.75" hidden="1" customHeight="1">
      <c r="A30" s="34"/>
      <c r="B30" s="29" t="s">
        <v>4959</v>
      </c>
      <c r="C30" s="59">
        <v>3549600</v>
      </c>
      <c r="D30" s="29"/>
      <c r="E30" s="59"/>
      <c r="F30" s="59"/>
      <c r="G30" s="61" t="s">
        <v>60</v>
      </c>
    </row>
    <row r="31" spans="1:9" ht="21.75" hidden="1" customHeight="1">
      <c r="A31" s="34"/>
      <c r="B31" s="29" t="s">
        <v>4960</v>
      </c>
      <c r="C31" s="59">
        <v>7415522</v>
      </c>
      <c r="D31" s="29"/>
      <c r="E31" s="59"/>
      <c r="F31" s="59"/>
      <c r="G31" s="61" t="s">
        <v>60</v>
      </c>
    </row>
    <row r="32" spans="1:9" ht="21.75" hidden="1" customHeight="1">
      <c r="A32" s="34">
        <v>45560</v>
      </c>
      <c r="B32" s="29" t="s">
        <v>314</v>
      </c>
      <c r="C32" s="59">
        <v>258511856</v>
      </c>
      <c r="D32" s="29">
        <v>1</v>
      </c>
      <c r="E32" s="59"/>
      <c r="F32" s="59"/>
      <c r="G32" s="61" t="s">
        <v>154</v>
      </c>
    </row>
    <row r="33" spans="1:7" ht="21.75" hidden="1" customHeight="1">
      <c r="A33" s="34"/>
      <c r="B33" s="29" t="s">
        <v>93</v>
      </c>
      <c r="C33" s="59">
        <v>136000000</v>
      </c>
      <c r="D33" s="29">
        <v>2</v>
      </c>
      <c r="E33" s="59"/>
      <c r="F33" s="59"/>
      <c r="G33" s="61" t="s">
        <v>154</v>
      </c>
    </row>
    <row r="34" spans="1:7" ht="21.75" hidden="1" customHeight="1">
      <c r="A34" s="34"/>
      <c r="B34" s="29" t="s">
        <v>1191</v>
      </c>
      <c r="D34" s="59">
        <v>112093048</v>
      </c>
      <c r="E34" s="59"/>
      <c r="F34" s="59"/>
      <c r="G34" s="61" t="s">
        <v>58</v>
      </c>
    </row>
    <row r="35" spans="1:7" ht="21.75" hidden="1" customHeight="1">
      <c r="A35" s="34">
        <v>45561</v>
      </c>
      <c r="B35" s="29" t="s">
        <v>4961</v>
      </c>
      <c r="C35" s="59">
        <v>3186000</v>
      </c>
      <c r="D35" s="29"/>
      <c r="E35" s="59"/>
      <c r="F35" s="59"/>
      <c r="G35" s="61" t="s">
        <v>57</v>
      </c>
    </row>
    <row r="36" spans="1:7" ht="21.75" hidden="1" customHeight="1">
      <c r="A36" s="34"/>
      <c r="B36" s="29" t="s">
        <v>4962</v>
      </c>
      <c r="C36" s="59">
        <v>4356000</v>
      </c>
      <c r="D36" s="29"/>
      <c r="E36" s="59"/>
      <c r="F36" s="59"/>
      <c r="G36" s="61" t="s">
        <v>57</v>
      </c>
    </row>
    <row r="37" spans="1:7" ht="21.75" hidden="1" customHeight="1">
      <c r="A37" s="34"/>
      <c r="B37" s="29" t="s">
        <v>379</v>
      </c>
      <c r="C37" s="59">
        <v>1061775</v>
      </c>
      <c r="D37" s="29"/>
      <c r="E37" s="59"/>
      <c r="F37" s="59"/>
      <c r="G37" s="61" t="s">
        <v>57</v>
      </c>
    </row>
    <row r="38" spans="1:7" ht="21.75" hidden="1" customHeight="1">
      <c r="A38" s="34"/>
      <c r="B38" s="29" t="s">
        <v>893</v>
      </c>
      <c r="C38" s="59">
        <v>17509645</v>
      </c>
      <c r="D38" s="29">
        <v>10</v>
      </c>
      <c r="E38" s="59"/>
      <c r="F38" s="59"/>
      <c r="G38" s="61" t="s">
        <v>154</v>
      </c>
    </row>
    <row r="39" spans="1:7" ht="21.75" hidden="1" customHeight="1">
      <c r="A39" s="34"/>
      <c r="B39" s="29" t="s">
        <v>4963</v>
      </c>
      <c r="C39" s="59">
        <v>2761630</v>
      </c>
      <c r="D39" s="29"/>
      <c r="E39" s="59"/>
      <c r="F39" s="59"/>
      <c r="G39" s="61" t="s">
        <v>154</v>
      </c>
    </row>
    <row r="40" spans="1:7" ht="21.75" hidden="1" customHeight="1">
      <c r="A40" s="34"/>
      <c r="B40" s="29" t="s">
        <v>524</v>
      </c>
      <c r="C40" s="59">
        <v>2962204</v>
      </c>
      <c r="D40" s="29"/>
      <c r="E40" s="59"/>
      <c r="F40" s="59"/>
      <c r="G40" s="61" t="s">
        <v>154</v>
      </c>
    </row>
    <row r="41" spans="1:7" ht="21.75" hidden="1" customHeight="1">
      <c r="A41" s="34"/>
      <c r="B41" s="29" t="s">
        <v>4964</v>
      </c>
      <c r="C41" s="59">
        <v>2328000</v>
      </c>
      <c r="D41" s="29"/>
      <c r="E41" s="59"/>
      <c r="F41" s="59"/>
      <c r="G41" s="61" t="s">
        <v>154</v>
      </c>
    </row>
    <row r="42" spans="1:7" ht="21.75" hidden="1" customHeight="1">
      <c r="A42" s="34"/>
      <c r="B42" s="56" t="s">
        <v>4963</v>
      </c>
      <c r="C42" s="63">
        <v>33451171</v>
      </c>
      <c r="D42" s="56">
        <v>7</v>
      </c>
      <c r="E42" s="63"/>
      <c r="F42" s="63"/>
      <c r="G42" s="64" t="s">
        <v>154</v>
      </c>
    </row>
    <row r="43" spans="1:7" ht="21.75" hidden="1" customHeight="1">
      <c r="A43" s="34"/>
      <c r="B43" s="29" t="s">
        <v>4965</v>
      </c>
      <c r="C43" s="59">
        <v>6600000</v>
      </c>
      <c r="D43" s="29"/>
      <c r="E43" s="59"/>
      <c r="F43" s="59"/>
      <c r="G43" s="61" t="s">
        <v>311</v>
      </c>
    </row>
    <row r="44" spans="1:7" ht="21.75" hidden="1" customHeight="1">
      <c r="A44" s="34"/>
      <c r="B44" s="29" t="s">
        <v>4966</v>
      </c>
      <c r="C44" s="59">
        <v>862500</v>
      </c>
      <c r="D44" s="29"/>
      <c r="E44" s="59"/>
      <c r="F44" s="59"/>
      <c r="G44" s="61" t="s">
        <v>311</v>
      </c>
    </row>
    <row r="45" spans="1:7" ht="21.75" hidden="1" customHeight="1">
      <c r="A45" s="34"/>
      <c r="B45" s="29" t="s">
        <v>4967</v>
      </c>
      <c r="C45" s="59">
        <v>25759903</v>
      </c>
      <c r="D45" s="29">
        <v>9</v>
      </c>
      <c r="E45" s="59"/>
      <c r="F45" s="59"/>
      <c r="G45" s="61" t="s">
        <v>58</v>
      </c>
    </row>
    <row r="46" spans="1:7" ht="21.75" hidden="1" customHeight="1">
      <c r="A46" s="34"/>
      <c r="B46" s="29" t="s">
        <v>4968</v>
      </c>
      <c r="C46" s="59">
        <v>4968000</v>
      </c>
      <c r="D46" s="29"/>
      <c r="E46" s="59"/>
      <c r="F46" s="59"/>
      <c r="G46" s="61" t="s">
        <v>58</v>
      </c>
    </row>
    <row r="47" spans="1:7" ht="21.75" hidden="1" customHeight="1">
      <c r="A47" s="34">
        <v>45562</v>
      </c>
      <c r="B47" s="29" t="s">
        <v>1077</v>
      </c>
      <c r="D47" s="59">
        <v>110483625</v>
      </c>
      <c r="E47" s="59"/>
      <c r="F47" s="59"/>
      <c r="G47" s="61" t="s">
        <v>64</v>
      </c>
    </row>
    <row r="48" spans="1:7" ht="21.75" hidden="1" customHeight="1">
      <c r="A48" s="34"/>
      <c r="B48" s="29" t="s">
        <v>4969</v>
      </c>
      <c r="C48" s="59">
        <v>798600</v>
      </c>
      <c r="D48" s="29"/>
      <c r="E48" s="59"/>
      <c r="F48" s="59"/>
      <c r="G48" s="61" t="s">
        <v>57</v>
      </c>
    </row>
    <row r="49" spans="1:7" ht="21.75" hidden="1" customHeight="1">
      <c r="A49" s="34"/>
      <c r="B49" s="33" t="s">
        <v>480</v>
      </c>
      <c r="C49" s="77">
        <v>1520000</v>
      </c>
      <c r="D49" s="33"/>
      <c r="E49" s="77"/>
      <c r="F49" s="77"/>
      <c r="G49" s="79" t="s">
        <v>57</v>
      </c>
    </row>
    <row r="50" spans="1:7" ht="21.75" hidden="1" customHeight="1">
      <c r="A50" s="34"/>
      <c r="B50" s="29" t="s">
        <v>237</v>
      </c>
      <c r="C50" s="59">
        <v>31067132</v>
      </c>
      <c r="D50" s="29">
        <v>8</v>
      </c>
      <c r="E50" s="59"/>
      <c r="F50" s="59"/>
      <c r="G50" s="61" t="s">
        <v>154</v>
      </c>
    </row>
    <row r="51" spans="1:7" ht="21.75" hidden="1" customHeight="1">
      <c r="A51" s="34"/>
      <c r="B51" s="29" t="s">
        <v>124</v>
      </c>
      <c r="C51" s="59">
        <v>65207614</v>
      </c>
      <c r="D51" s="29">
        <v>6</v>
      </c>
      <c r="E51" s="59"/>
      <c r="F51" s="59"/>
      <c r="G51" s="61" t="s">
        <v>154</v>
      </c>
    </row>
    <row r="52" spans="1:7" ht="21.75" hidden="1" customHeight="1">
      <c r="A52" s="34"/>
      <c r="B52" s="29" t="s">
        <v>310</v>
      </c>
      <c r="C52" s="59">
        <v>2568471</v>
      </c>
      <c r="D52" s="29"/>
      <c r="E52" s="59"/>
      <c r="F52" s="59"/>
      <c r="G52" s="61" t="s">
        <v>311</v>
      </c>
    </row>
    <row r="53" spans="1:7" ht="21.75" hidden="1" customHeight="1">
      <c r="A53" s="34"/>
      <c r="B53" s="29" t="s">
        <v>4970</v>
      </c>
      <c r="C53" s="59">
        <v>1005800</v>
      </c>
      <c r="D53" s="29"/>
      <c r="E53" s="59"/>
      <c r="F53" s="59"/>
      <c r="G53" s="61" t="s">
        <v>311</v>
      </c>
    </row>
    <row r="54" spans="1:7" ht="21.75" hidden="1" customHeight="1">
      <c r="A54" s="34"/>
      <c r="B54" s="29" t="s">
        <v>4971</v>
      </c>
      <c r="C54" s="59">
        <v>4033395</v>
      </c>
      <c r="D54" s="29"/>
      <c r="E54" s="59"/>
      <c r="F54" s="59"/>
      <c r="G54" s="61" t="s">
        <v>60</v>
      </c>
    </row>
    <row r="55" spans="1:7" ht="21.75" hidden="1" customHeight="1">
      <c r="A55" s="34">
        <v>45565</v>
      </c>
      <c r="B55" s="29" t="s">
        <v>465</v>
      </c>
      <c r="C55" s="59">
        <v>300204</v>
      </c>
      <c r="D55" s="29"/>
      <c r="E55" s="59"/>
      <c r="F55" s="59"/>
      <c r="G55" s="61" t="s">
        <v>57</v>
      </c>
    </row>
    <row r="56" spans="1:7" ht="21.75" hidden="1" customHeight="1">
      <c r="A56" s="34"/>
      <c r="B56" s="67" t="s">
        <v>449</v>
      </c>
      <c r="C56" s="68">
        <v>10593764</v>
      </c>
      <c r="D56" s="67"/>
      <c r="E56" s="68"/>
      <c r="F56" s="68"/>
      <c r="G56" s="69" t="s">
        <v>154</v>
      </c>
    </row>
    <row r="57" spans="1:7" ht="21.75" hidden="1" customHeight="1">
      <c r="A57" s="34"/>
      <c r="B57" s="29" t="s">
        <v>4972</v>
      </c>
      <c r="C57" s="59">
        <v>418605</v>
      </c>
      <c r="D57" s="29"/>
      <c r="E57" s="59"/>
      <c r="F57" s="59"/>
      <c r="G57" s="61" t="s">
        <v>154</v>
      </c>
    </row>
    <row r="58" spans="1:7" ht="21.75" hidden="1" customHeight="1">
      <c r="A58" s="34"/>
      <c r="B58" s="29" t="s">
        <v>110</v>
      </c>
      <c r="C58" s="59">
        <v>92253000</v>
      </c>
      <c r="D58" s="29">
        <v>5</v>
      </c>
      <c r="E58" s="59"/>
      <c r="F58" s="59"/>
      <c r="G58" s="61" t="s">
        <v>154</v>
      </c>
    </row>
    <row r="59" spans="1:7" ht="21.75" hidden="1" customHeight="1">
      <c r="A59" s="34"/>
      <c r="B59" s="29" t="s">
        <v>4973</v>
      </c>
      <c r="C59" s="59">
        <v>2914662</v>
      </c>
      <c r="D59" s="29"/>
      <c r="E59" s="59"/>
      <c r="F59" s="59"/>
      <c r="G59" s="61" t="s">
        <v>154</v>
      </c>
    </row>
    <row r="60" spans="1:7" ht="21" hidden="1">
      <c r="A60" s="34">
        <v>45566</v>
      </c>
      <c r="B60" s="29" t="s">
        <v>4974</v>
      </c>
      <c r="C60" s="59">
        <v>25466335</v>
      </c>
      <c r="D60" s="29"/>
      <c r="E60" s="59"/>
      <c r="F60" s="59"/>
      <c r="G60" s="61" t="s">
        <v>57</v>
      </c>
    </row>
    <row r="61" spans="1:7" ht="21" hidden="1">
      <c r="A61" s="34"/>
      <c r="B61" s="165" t="s">
        <v>62</v>
      </c>
      <c r="C61" s="166">
        <v>250000</v>
      </c>
      <c r="D61" s="165"/>
      <c r="E61" s="166"/>
      <c r="F61" s="166"/>
      <c r="G61" s="167" t="s">
        <v>57</v>
      </c>
    </row>
    <row r="62" spans="1:7" ht="21" hidden="1">
      <c r="A62" s="34"/>
      <c r="B62" s="165" t="s">
        <v>4975</v>
      </c>
      <c r="C62" s="166">
        <v>2340000</v>
      </c>
      <c r="D62" s="165"/>
      <c r="E62" s="166"/>
      <c r="F62" s="166"/>
      <c r="G62" s="167" t="s">
        <v>57</v>
      </c>
    </row>
    <row r="63" spans="1:7" ht="21" hidden="1">
      <c r="A63" s="34"/>
      <c r="B63" s="29" t="s">
        <v>4976</v>
      </c>
      <c r="C63" s="59">
        <v>185365</v>
      </c>
      <c r="D63" s="29"/>
      <c r="E63" s="59"/>
      <c r="F63" s="59"/>
      <c r="G63" s="61" t="s">
        <v>154</v>
      </c>
    </row>
    <row r="64" spans="1:7" ht="21" hidden="1">
      <c r="A64" s="34"/>
      <c r="B64" s="29" t="s">
        <v>69</v>
      </c>
      <c r="C64" s="59">
        <v>1130450</v>
      </c>
      <c r="D64" s="29"/>
      <c r="E64" s="59"/>
      <c r="F64" s="59"/>
      <c r="G64" s="61" t="s">
        <v>311</v>
      </c>
    </row>
    <row r="65" spans="1:9" ht="21" hidden="1">
      <c r="A65" s="34"/>
      <c r="B65" s="29" t="s">
        <v>4976</v>
      </c>
      <c r="C65" s="59">
        <v>185365</v>
      </c>
      <c r="D65" s="29"/>
      <c r="E65" s="59"/>
      <c r="F65" s="59"/>
      <c r="G65" s="61" t="s">
        <v>154</v>
      </c>
    </row>
    <row r="66" spans="1:9" ht="21" hidden="1">
      <c r="A66" s="34">
        <v>45567</v>
      </c>
      <c r="B66" s="29" t="s">
        <v>460</v>
      </c>
      <c r="C66" s="59">
        <v>660000</v>
      </c>
      <c r="D66" s="29"/>
      <c r="E66" s="59"/>
      <c r="F66" s="59"/>
      <c r="G66" s="61" t="s">
        <v>57</v>
      </c>
    </row>
    <row r="67" spans="1:9" ht="21" hidden="1">
      <c r="A67" s="34"/>
      <c r="B67" s="29" t="s">
        <v>4977</v>
      </c>
      <c r="C67" s="59">
        <v>6000000</v>
      </c>
      <c r="D67" s="29"/>
      <c r="E67" s="59"/>
      <c r="F67" s="59"/>
      <c r="G67" s="61" t="s">
        <v>57</v>
      </c>
    </row>
    <row r="68" spans="1:9" ht="21" hidden="1">
      <c r="A68" s="34"/>
      <c r="B68" s="29" t="s">
        <v>1189</v>
      </c>
      <c r="C68" s="59">
        <v>913583</v>
      </c>
      <c r="D68" s="29"/>
      <c r="E68" s="59"/>
      <c r="F68" s="59"/>
      <c r="G68" s="61" t="s">
        <v>58</v>
      </c>
    </row>
    <row r="69" spans="1:9" ht="21" hidden="1">
      <c r="A69" s="34"/>
      <c r="B69" s="56" t="s">
        <v>158</v>
      </c>
      <c r="C69" s="63">
        <v>50967359</v>
      </c>
      <c r="D69" s="56"/>
      <c r="E69" s="63"/>
      <c r="F69" s="63"/>
      <c r="G69" s="64" t="s">
        <v>58</v>
      </c>
    </row>
    <row r="70" spans="1:9" ht="21" hidden="1">
      <c r="A70" s="34">
        <v>45568</v>
      </c>
      <c r="B70" s="33" t="s">
        <v>4978</v>
      </c>
      <c r="C70" s="77">
        <v>1340776</v>
      </c>
      <c r="D70" s="33"/>
      <c r="E70" s="77"/>
      <c r="F70" s="77"/>
      <c r="G70" s="79" t="s">
        <v>154</v>
      </c>
    </row>
    <row r="71" spans="1:9" ht="21" hidden="1">
      <c r="A71" s="34"/>
      <c r="B71" s="33" t="s">
        <v>4979</v>
      </c>
      <c r="C71" s="77">
        <v>2011164</v>
      </c>
      <c r="D71" s="33"/>
      <c r="E71" s="77"/>
      <c r="F71" s="77"/>
      <c r="G71" s="79" t="s">
        <v>154</v>
      </c>
    </row>
    <row r="72" spans="1:9" ht="21" hidden="1">
      <c r="A72" s="34"/>
      <c r="B72" s="33" t="s">
        <v>4980</v>
      </c>
      <c r="C72" s="77">
        <v>837264</v>
      </c>
      <c r="D72" s="33"/>
      <c r="E72" s="77"/>
      <c r="F72" s="77"/>
      <c r="G72" s="79" t="s">
        <v>154</v>
      </c>
    </row>
    <row r="73" spans="1:9" ht="23.5" hidden="1">
      <c r="A73" s="34">
        <v>45569</v>
      </c>
      <c r="B73" s="165" t="s">
        <v>4981</v>
      </c>
      <c r="C73" s="166">
        <v>373360053</v>
      </c>
      <c r="D73" s="165"/>
      <c r="E73" s="166"/>
      <c r="F73" s="166"/>
      <c r="G73" s="167" t="s">
        <v>53</v>
      </c>
      <c r="I73" s="111"/>
    </row>
    <row r="74" spans="1:9" ht="23.5" hidden="1">
      <c r="A74" s="34"/>
      <c r="B74" s="165" t="s">
        <v>4982</v>
      </c>
      <c r="C74" s="166">
        <v>100000000</v>
      </c>
      <c r="D74" s="165"/>
      <c r="E74" s="166"/>
      <c r="F74" s="166"/>
      <c r="G74" s="167" t="s">
        <v>57</v>
      </c>
      <c r="I74" s="111"/>
    </row>
    <row r="75" spans="1:9" ht="23.5" hidden="1">
      <c r="A75" s="34"/>
      <c r="B75" s="33" t="s">
        <v>4983</v>
      </c>
      <c r="C75" s="77">
        <v>837264</v>
      </c>
      <c r="D75" s="33"/>
      <c r="E75" s="77"/>
      <c r="F75" s="77"/>
      <c r="G75" s="79" t="s">
        <v>154</v>
      </c>
      <c r="I75" s="111"/>
    </row>
    <row r="76" spans="1:9" ht="23.5" hidden="1">
      <c r="A76" s="34"/>
      <c r="B76" s="165" t="s">
        <v>4984</v>
      </c>
      <c r="C76" s="166">
        <v>270000000</v>
      </c>
      <c r="D76" s="165"/>
      <c r="E76" s="166"/>
      <c r="F76" s="166"/>
      <c r="G76" s="167" t="s">
        <v>311</v>
      </c>
      <c r="I76" s="111"/>
    </row>
    <row r="77" spans="1:9" ht="23.5" hidden="1">
      <c r="A77" s="34"/>
      <c r="B77" s="29" t="s">
        <v>4967</v>
      </c>
      <c r="C77" s="59">
        <v>44932725</v>
      </c>
      <c r="D77" s="29"/>
      <c r="E77" s="59"/>
      <c r="F77" s="59"/>
      <c r="G77" s="61" t="s">
        <v>58</v>
      </c>
      <c r="I77" s="111"/>
    </row>
    <row r="78" spans="1:9" ht="23.5" hidden="1">
      <c r="A78" s="34">
        <v>45572</v>
      </c>
      <c r="B78" s="33" t="s">
        <v>4985</v>
      </c>
      <c r="C78" s="77">
        <v>4000000</v>
      </c>
      <c r="D78" s="33"/>
      <c r="E78" s="77"/>
      <c r="F78" s="77"/>
      <c r="G78" s="79" t="s">
        <v>154</v>
      </c>
      <c r="I78" s="111"/>
    </row>
    <row r="79" spans="1:9" ht="21" hidden="1">
      <c r="A79" s="34"/>
      <c r="B79" s="56" t="s">
        <v>158</v>
      </c>
      <c r="C79" s="63">
        <v>43214053</v>
      </c>
      <c r="D79" s="56"/>
      <c r="E79" s="63"/>
      <c r="F79" s="63"/>
      <c r="G79" s="64" t="s">
        <v>58</v>
      </c>
      <c r="I79" s="34"/>
    </row>
    <row r="80" spans="1:9" ht="21" hidden="1">
      <c r="A80" s="34">
        <v>45573</v>
      </c>
      <c r="B80" s="67" t="s">
        <v>4986</v>
      </c>
      <c r="D80" s="68">
        <v>339388780</v>
      </c>
      <c r="E80" s="68"/>
      <c r="F80" s="68"/>
      <c r="G80" s="69" t="s">
        <v>154</v>
      </c>
      <c r="I80" s="34"/>
    </row>
    <row r="81" spans="1:9" ht="23.5" hidden="1">
      <c r="A81" s="121"/>
      <c r="B81" s="29" t="s">
        <v>61</v>
      </c>
      <c r="C81" s="59">
        <v>250000000</v>
      </c>
      <c r="D81" s="29"/>
      <c r="E81" s="59"/>
      <c r="F81" s="59"/>
      <c r="G81" s="61" t="s">
        <v>154</v>
      </c>
      <c r="I81" s="121"/>
    </row>
    <row r="82" spans="1:9" ht="23.5" hidden="1">
      <c r="A82" s="111"/>
      <c r="B82" s="67" t="s">
        <v>376</v>
      </c>
      <c r="C82" s="68">
        <v>418299</v>
      </c>
      <c r="D82" s="67"/>
      <c r="E82" s="68"/>
      <c r="F82" s="68"/>
      <c r="G82" s="69" t="s">
        <v>57</v>
      </c>
      <c r="I82" s="111"/>
    </row>
    <row r="83" spans="1:9" ht="21" hidden="1">
      <c r="A83" s="34"/>
      <c r="B83" s="67" t="s">
        <v>376</v>
      </c>
      <c r="C83" s="68">
        <v>58226</v>
      </c>
      <c r="D83" s="67"/>
      <c r="E83" s="68"/>
      <c r="F83" s="68"/>
      <c r="G83" s="69" t="s">
        <v>57</v>
      </c>
      <c r="I83" s="34"/>
    </row>
    <row r="84" spans="1:9" ht="21" hidden="1">
      <c r="A84" s="34"/>
      <c r="B84" s="67" t="s">
        <v>4987</v>
      </c>
      <c r="D84" s="68">
        <v>983744504</v>
      </c>
      <c r="E84" s="68"/>
      <c r="F84" s="68"/>
      <c r="G84" s="69" t="s">
        <v>58</v>
      </c>
      <c r="I84" s="34"/>
    </row>
    <row r="85" spans="1:9" ht="23.5" hidden="1">
      <c r="A85" s="34">
        <v>45574</v>
      </c>
      <c r="B85" s="67" t="s">
        <v>4988</v>
      </c>
      <c r="C85" s="68">
        <v>141915278</v>
      </c>
      <c r="D85" s="67"/>
      <c r="E85" s="68"/>
      <c r="F85" s="68"/>
      <c r="G85" s="69" t="s">
        <v>154</v>
      </c>
      <c r="I85" s="111"/>
    </row>
    <row r="86" spans="1:9" ht="21" hidden="1">
      <c r="A86" s="34"/>
      <c r="B86" s="67" t="s">
        <v>450</v>
      </c>
      <c r="C86" s="68">
        <v>1519580</v>
      </c>
      <c r="D86" s="67"/>
      <c r="E86" s="68"/>
      <c r="F86" s="68"/>
      <c r="G86" s="69" t="s">
        <v>57</v>
      </c>
      <c r="I86" s="34"/>
    </row>
    <row r="87" spans="1:9" ht="23.5" hidden="1">
      <c r="A87" s="34"/>
      <c r="B87" s="56" t="s">
        <v>4989</v>
      </c>
      <c r="C87" s="63">
        <v>3000000</v>
      </c>
      <c r="D87" s="56"/>
      <c r="E87" s="63"/>
      <c r="F87" s="63"/>
      <c r="G87" s="64" t="s">
        <v>57</v>
      </c>
      <c r="I87" s="121"/>
    </row>
    <row r="88" spans="1:9" ht="23.5" hidden="1">
      <c r="A88" s="34"/>
      <c r="B88" s="67" t="s">
        <v>4990</v>
      </c>
      <c r="D88" s="68">
        <v>148015125</v>
      </c>
      <c r="E88" s="68"/>
      <c r="F88" s="68"/>
      <c r="G88" s="69"/>
      <c r="I88" s="111"/>
    </row>
    <row r="89" spans="1:9" ht="23.5" hidden="1">
      <c r="A89" s="34">
        <v>45575</v>
      </c>
      <c r="B89" s="67" t="s">
        <v>4991</v>
      </c>
      <c r="C89" s="68">
        <v>11200000</v>
      </c>
      <c r="D89" s="67"/>
      <c r="E89" s="68"/>
      <c r="F89" s="68"/>
      <c r="G89" s="69" t="s">
        <v>1074</v>
      </c>
      <c r="I89" s="121"/>
    </row>
    <row r="90" spans="1:9" ht="23.5" hidden="1">
      <c r="A90" s="34"/>
      <c r="B90" s="67" t="s">
        <v>4992</v>
      </c>
      <c r="C90" s="68">
        <v>26154000</v>
      </c>
      <c r="D90" s="67"/>
      <c r="E90" s="68"/>
      <c r="F90" s="68"/>
      <c r="G90" s="69" t="s">
        <v>1074</v>
      </c>
      <c r="I90" s="111"/>
    </row>
    <row r="91" spans="1:9" ht="21" hidden="1">
      <c r="A91" s="34"/>
      <c r="B91" s="29" t="s">
        <v>4993</v>
      </c>
      <c r="C91" s="59">
        <v>6850001</v>
      </c>
      <c r="D91" s="29"/>
      <c r="E91" s="59"/>
      <c r="F91" s="59"/>
      <c r="G91" s="61" t="s">
        <v>154</v>
      </c>
      <c r="I91" s="34"/>
    </row>
    <row r="92" spans="1:9" ht="21" hidden="1">
      <c r="A92" s="34"/>
      <c r="B92" s="33" t="s">
        <v>4994</v>
      </c>
      <c r="C92" s="77">
        <v>1188000</v>
      </c>
      <c r="D92" s="33"/>
      <c r="E92" s="77"/>
      <c r="F92" s="77"/>
      <c r="G92" s="79" t="s">
        <v>57</v>
      </c>
      <c r="I92" s="34"/>
    </row>
    <row r="93" spans="1:9" ht="23.5" hidden="1">
      <c r="A93" s="34"/>
      <c r="B93" s="33" t="s">
        <v>4994</v>
      </c>
      <c r="C93" s="77">
        <v>1400000</v>
      </c>
      <c r="D93" s="33"/>
      <c r="E93" s="77"/>
      <c r="F93" s="77"/>
      <c r="G93" s="79" t="s">
        <v>57</v>
      </c>
      <c r="I93" s="121"/>
    </row>
    <row r="94" spans="1:9" ht="23.5" hidden="1">
      <c r="A94" s="34"/>
      <c r="B94" s="29" t="s">
        <v>102</v>
      </c>
      <c r="C94" s="59">
        <v>1089209</v>
      </c>
      <c r="D94" s="29"/>
      <c r="E94" s="59"/>
      <c r="F94" s="59"/>
      <c r="G94" s="61" t="s">
        <v>57</v>
      </c>
      <c r="I94" s="111"/>
    </row>
    <row r="95" spans="1:9" ht="23.5" hidden="1">
      <c r="A95" s="34"/>
      <c r="B95" s="67" t="s">
        <v>376</v>
      </c>
      <c r="C95" s="68">
        <v>126137</v>
      </c>
      <c r="D95" s="67"/>
      <c r="E95" s="68"/>
      <c r="F95" s="68"/>
      <c r="G95" s="69" t="s">
        <v>57</v>
      </c>
      <c r="I95" s="111"/>
    </row>
    <row r="96" spans="1:9" ht="23.5" hidden="1">
      <c r="A96" s="34"/>
      <c r="B96" s="29" t="s">
        <v>4995</v>
      </c>
      <c r="C96" s="59">
        <v>63213167</v>
      </c>
      <c r="D96" s="29"/>
      <c r="E96" s="59"/>
      <c r="F96" s="59"/>
      <c r="G96" s="61" t="s">
        <v>58</v>
      </c>
      <c r="I96" s="111"/>
    </row>
    <row r="97" spans="1:9" ht="23.5" hidden="1">
      <c r="A97" s="34"/>
      <c r="B97" s="29" t="s">
        <v>114</v>
      </c>
      <c r="C97" s="59">
        <v>32332354</v>
      </c>
      <c r="D97" s="29"/>
      <c r="E97" s="59"/>
      <c r="F97" s="59"/>
      <c r="G97" s="61" t="s">
        <v>58</v>
      </c>
      <c r="I97" s="111"/>
    </row>
    <row r="98" spans="1:9" ht="23.5" hidden="1">
      <c r="A98" s="34"/>
      <c r="B98" s="30" t="s">
        <v>487</v>
      </c>
      <c r="C98" s="31">
        <v>96955555</v>
      </c>
      <c r="D98" s="4"/>
      <c r="E98" s="31"/>
      <c r="F98" s="31"/>
      <c r="G98" s="32" t="s">
        <v>58</v>
      </c>
      <c r="I98" s="111"/>
    </row>
    <row r="99" spans="1:9" ht="21" hidden="1">
      <c r="A99" s="34"/>
      <c r="B99" s="29" t="s">
        <v>1072</v>
      </c>
      <c r="D99" s="59">
        <v>154985217</v>
      </c>
      <c r="E99" s="59"/>
      <c r="F99" s="59"/>
      <c r="G99" s="61" t="s">
        <v>58</v>
      </c>
      <c r="I99" s="34"/>
    </row>
    <row r="100" spans="1:9" ht="23.5" hidden="1">
      <c r="A100" s="34">
        <v>45576</v>
      </c>
      <c r="B100" s="29" t="s">
        <v>1073</v>
      </c>
      <c r="C100" s="59">
        <v>43840000</v>
      </c>
      <c r="D100" s="29"/>
      <c r="E100" s="59"/>
      <c r="F100" s="59"/>
      <c r="G100" s="61" t="s">
        <v>154</v>
      </c>
      <c r="I100" s="121"/>
    </row>
    <row r="101" spans="1:9" ht="23.5" hidden="1">
      <c r="A101" s="34"/>
      <c r="B101" s="72" t="s">
        <v>63</v>
      </c>
      <c r="C101" s="73">
        <v>274843271</v>
      </c>
      <c r="D101" s="72"/>
      <c r="E101" s="73"/>
      <c r="F101" s="73"/>
      <c r="G101" s="75" t="s">
        <v>154</v>
      </c>
      <c r="I101" s="111"/>
    </row>
    <row r="102" spans="1:9" ht="23.5" hidden="1">
      <c r="A102" s="34"/>
      <c r="B102" s="29" t="s">
        <v>1073</v>
      </c>
      <c r="C102" s="59">
        <v>102785364</v>
      </c>
      <c r="D102" s="29"/>
      <c r="E102" s="59"/>
      <c r="F102" s="59"/>
      <c r="G102" s="61" t="s">
        <v>154</v>
      </c>
      <c r="I102" s="111"/>
    </row>
    <row r="103" spans="1:9" ht="23.5" hidden="1">
      <c r="A103" s="34">
        <v>45579</v>
      </c>
      <c r="B103" s="29" t="s">
        <v>132</v>
      </c>
      <c r="C103" s="59">
        <v>201000</v>
      </c>
      <c r="D103" s="29"/>
      <c r="E103" s="59"/>
      <c r="F103" s="59"/>
      <c r="G103" s="61" t="s">
        <v>54</v>
      </c>
      <c r="I103" s="111"/>
    </row>
    <row r="104" spans="1:9" ht="21" hidden="1">
      <c r="A104" s="34"/>
      <c r="B104" s="29" t="s">
        <v>4996</v>
      </c>
      <c r="C104" s="59">
        <v>84438</v>
      </c>
      <c r="D104" s="29"/>
      <c r="E104" s="59"/>
      <c r="F104" s="59"/>
      <c r="G104" s="61" t="s">
        <v>58</v>
      </c>
      <c r="I104" s="34"/>
    </row>
    <row r="105" spans="1:9" ht="21" hidden="1">
      <c r="A105" s="34">
        <v>45581</v>
      </c>
      <c r="B105" s="29" t="s">
        <v>951</v>
      </c>
      <c r="C105" s="59">
        <v>35400170</v>
      </c>
      <c r="D105" s="29"/>
      <c r="E105" s="59"/>
      <c r="F105" s="59"/>
      <c r="G105" s="61" t="s">
        <v>55</v>
      </c>
      <c r="I105" s="34"/>
    </row>
    <row r="106" spans="1:9" ht="21" hidden="1">
      <c r="A106" s="34"/>
      <c r="B106" s="165" t="s">
        <v>473</v>
      </c>
      <c r="C106" s="166">
        <v>98631423</v>
      </c>
      <c r="D106" s="165"/>
      <c r="E106" s="166"/>
      <c r="F106" s="166"/>
      <c r="G106" s="167" t="s">
        <v>57</v>
      </c>
      <c r="I106" s="34"/>
    </row>
    <row r="107" spans="1:9" ht="21" hidden="1">
      <c r="A107" s="34"/>
      <c r="B107" s="29" t="s">
        <v>4997</v>
      </c>
      <c r="D107" s="59">
        <v>763985</v>
      </c>
      <c r="E107" s="59"/>
      <c r="F107" s="59"/>
      <c r="G107" s="61" t="s">
        <v>56</v>
      </c>
      <c r="I107" s="34"/>
    </row>
    <row r="108" spans="1:9" ht="21" hidden="1">
      <c r="A108" s="34"/>
      <c r="B108" s="29" t="s">
        <v>1192</v>
      </c>
      <c r="D108" s="59">
        <v>127297941</v>
      </c>
      <c r="E108" s="59"/>
      <c r="F108" s="59"/>
      <c r="G108" s="61" t="s">
        <v>56</v>
      </c>
      <c r="I108" s="34"/>
    </row>
    <row r="109" spans="1:9" ht="21" hidden="1">
      <c r="A109" s="34">
        <v>45582</v>
      </c>
      <c r="B109" s="29" t="s">
        <v>780</v>
      </c>
      <c r="C109" s="59">
        <v>4726810</v>
      </c>
      <c r="D109" s="29"/>
      <c r="E109" s="59"/>
      <c r="F109" s="59"/>
      <c r="G109" s="61" t="s">
        <v>58</v>
      </c>
      <c r="I109" s="34"/>
    </row>
    <row r="110" spans="1:9" ht="21" hidden="1">
      <c r="A110" s="34"/>
      <c r="B110" s="29" t="s">
        <v>4998</v>
      </c>
      <c r="C110" s="59">
        <v>117500</v>
      </c>
      <c r="D110" s="29"/>
      <c r="E110" s="59"/>
      <c r="F110" s="59"/>
      <c r="G110" s="61" t="s">
        <v>1074</v>
      </c>
      <c r="I110" s="34"/>
    </row>
    <row r="111" spans="1:9" ht="21" hidden="1">
      <c r="A111" s="34"/>
      <c r="B111" s="29" t="s">
        <v>351</v>
      </c>
      <c r="C111" s="59">
        <v>638880</v>
      </c>
      <c r="D111" s="29"/>
      <c r="E111" s="59"/>
      <c r="F111" s="59"/>
      <c r="G111" s="61" t="s">
        <v>1074</v>
      </c>
      <c r="I111" s="34"/>
    </row>
    <row r="112" spans="1:9" ht="21" hidden="1">
      <c r="A112" s="34"/>
      <c r="B112" s="29" t="s">
        <v>145</v>
      </c>
      <c r="C112" s="59">
        <v>2352240</v>
      </c>
      <c r="D112" s="29"/>
      <c r="E112" s="59"/>
      <c r="F112" s="59"/>
      <c r="G112" s="61" t="s">
        <v>54</v>
      </c>
      <c r="I112" s="34"/>
    </row>
    <row r="113" spans="1:9" ht="21" hidden="1">
      <c r="A113" s="34"/>
      <c r="B113" s="29" t="s">
        <v>415</v>
      </c>
      <c r="C113" s="59">
        <v>580800</v>
      </c>
      <c r="D113" s="29"/>
      <c r="E113" s="59"/>
      <c r="F113" s="59"/>
      <c r="G113" s="61" t="s">
        <v>54</v>
      </c>
      <c r="I113" s="34"/>
    </row>
    <row r="114" spans="1:9" ht="21" hidden="1">
      <c r="A114" s="34"/>
      <c r="B114" s="29" t="s">
        <v>153</v>
      </c>
      <c r="C114" s="59">
        <v>580800</v>
      </c>
      <c r="D114" s="29"/>
      <c r="E114" s="59"/>
      <c r="F114" s="59"/>
      <c r="G114" s="61" t="s">
        <v>55</v>
      </c>
      <c r="I114" s="34"/>
    </row>
    <row r="115" spans="1:9" ht="21" hidden="1">
      <c r="A115" s="34"/>
      <c r="B115" s="29" t="s">
        <v>950</v>
      </c>
      <c r="C115" s="59">
        <v>2080302</v>
      </c>
      <c r="D115" s="29"/>
      <c r="E115" s="59"/>
      <c r="F115" s="59"/>
      <c r="G115" s="61" t="s">
        <v>55</v>
      </c>
      <c r="I115" s="34"/>
    </row>
    <row r="116" spans="1:9" ht="21" hidden="1">
      <c r="A116" s="34"/>
      <c r="B116" s="29" t="s">
        <v>1076</v>
      </c>
      <c r="C116" s="59">
        <v>889130</v>
      </c>
      <c r="D116" s="29"/>
      <c r="E116" s="59"/>
      <c r="F116" s="59"/>
      <c r="G116" s="61" t="s">
        <v>55</v>
      </c>
      <c r="I116" s="34"/>
    </row>
    <row r="117" spans="1:9" ht="21" hidden="1">
      <c r="A117" s="34"/>
      <c r="B117" s="29" t="s">
        <v>4999</v>
      </c>
      <c r="C117" s="59">
        <v>1227050</v>
      </c>
      <c r="D117" s="29"/>
      <c r="E117" s="59"/>
      <c r="F117" s="59"/>
      <c r="G117" s="61" t="s">
        <v>55</v>
      </c>
      <c r="I117" s="34"/>
    </row>
    <row r="118" spans="1:9" ht="21" hidden="1">
      <c r="A118" s="34"/>
      <c r="B118" s="29" t="s">
        <v>100</v>
      </c>
      <c r="C118" s="59">
        <v>14904616</v>
      </c>
      <c r="D118" s="29"/>
      <c r="E118" s="59"/>
      <c r="F118" s="59"/>
      <c r="G118" s="61" t="s">
        <v>55</v>
      </c>
      <c r="I118" s="34"/>
    </row>
    <row r="119" spans="1:9" ht="21" hidden="1">
      <c r="A119" s="34"/>
      <c r="B119" s="29" t="s">
        <v>5000</v>
      </c>
      <c r="C119" s="59">
        <v>11442500</v>
      </c>
      <c r="D119" s="29"/>
      <c r="E119" s="59"/>
      <c r="F119" s="59"/>
      <c r="G119" s="61" t="s">
        <v>55</v>
      </c>
      <c r="I119" s="34"/>
    </row>
    <row r="120" spans="1:9" ht="21" hidden="1">
      <c r="A120" s="34"/>
      <c r="B120" s="56" t="s">
        <v>522</v>
      </c>
      <c r="C120" s="63">
        <v>6810095</v>
      </c>
      <c r="D120" s="56"/>
      <c r="E120" s="63"/>
      <c r="F120" s="63"/>
      <c r="G120" s="64" t="s">
        <v>55</v>
      </c>
      <c r="I120" s="34"/>
    </row>
    <row r="121" spans="1:9" ht="21" hidden="1">
      <c r="A121" s="34"/>
      <c r="B121" s="29" t="s">
        <v>719</v>
      </c>
      <c r="C121" s="59">
        <v>900610</v>
      </c>
      <c r="D121" s="29"/>
      <c r="E121" s="59"/>
      <c r="F121" s="59"/>
      <c r="G121" s="61" t="s">
        <v>55</v>
      </c>
      <c r="I121" s="34"/>
    </row>
    <row r="122" spans="1:9" ht="21" hidden="1">
      <c r="A122" s="34"/>
      <c r="B122" s="29" t="s">
        <v>235</v>
      </c>
      <c r="C122" s="59">
        <v>726000</v>
      </c>
      <c r="D122" s="29"/>
      <c r="E122" s="59"/>
      <c r="F122" s="59"/>
      <c r="G122" s="61" t="s">
        <v>55</v>
      </c>
      <c r="I122" s="34"/>
    </row>
    <row r="123" spans="1:9" ht="21" hidden="1">
      <c r="A123" s="34"/>
      <c r="B123" s="29" t="s">
        <v>482</v>
      </c>
      <c r="C123" s="59">
        <v>435600</v>
      </c>
      <c r="D123" s="29"/>
      <c r="E123" s="59"/>
      <c r="F123" s="59"/>
      <c r="G123" s="61" t="s">
        <v>55</v>
      </c>
      <c r="I123" s="34"/>
    </row>
    <row r="124" spans="1:9" ht="21" hidden="1">
      <c r="A124" s="34"/>
      <c r="B124" s="29" t="s">
        <v>5001</v>
      </c>
      <c r="C124" s="59">
        <v>900000</v>
      </c>
      <c r="D124" s="29"/>
      <c r="E124" s="59"/>
      <c r="F124" s="59"/>
      <c r="G124" s="61" t="s">
        <v>55</v>
      </c>
      <c r="I124" s="34"/>
    </row>
    <row r="125" spans="1:9" ht="21" hidden="1">
      <c r="A125" s="34"/>
      <c r="B125" s="29" t="s">
        <v>5002</v>
      </c>
      <c r="C125" s="59">
        <v>2112000</v>
      </c>
      <c r="D125" s="29"/>
      <c r="E125" s="59"/>
      <c r="F125" s="59"/>
      <c r="G125" s="61" t="s">
        <v>57</v>
      </c>
      <c r="I125" s="34"/>
    </row>
    <row r="126" spans="1:9" ht="21" hidden="1">
      <c r="A126" s="34"/>
      <c r="B126" s="29" t="s">
        <v>5003</v>
      </c>
      <c r="C126" s="59">
        <v>1800000</v>
      </c>
      <c r="D126" s="29"/>
      <c r="E126" s="59"/>
      <c r="F126" s="59"/>
      <c r="G126" s="61" t="s">
        <v>57</v>
      </c>
      <c r="I126" s="34"/>
    </row>
    <row r="127" spans="1:9" ht="21" hidden="1">
      <c r="A127" s="34"/>
      <c r="B127" s="67" t="s">
        <v>826</v>
      </c>
      <c r="C127" s="68">
        <v>868950</v>
      </c>
      <c r="D127" s="67"/>
      <c r="E127" s="68"/>
      <c r="F127" s="68"/>
      <c r="G127" s="69" t="s">
        <v>57</v>
      </c>
      <c r="I127" s="34"/>
    </row>
    <row r="128" spans="1:9" ht="21" hidden="1">
      <c r="A128" s="34"/>
      <c r="B128" s="29" t="s">
        <v>4997</v>
      </c>
      <c r="D128" s="59">
        <v>32798</v>
      </c>
      <c r="E128" s="59"/>
      <c r="F128" s="59"/>
      <c r="G128" s="61" t="s">
        <v>56</v>
      </c>
      <c r="I128" s="34"/>
    </row>
    <row r="129" spans="1:9" ht="21" hidden="1">
      <c r="A129" s="34"/>
      <c r="B129" s="29" t="s">
        <v>784</v>
      </c>
      <c r="C129" s="59">
        <v>300000</v>
      </c>
      <c r="D129" s="29"/>
      <c r="E129" s="59"/>
      <c r="F129" s="59"/>
      <c r="G129" s="61" t="s">
        <v>56</v>
      </c>
      <c r="I129" s="34"/>
    </row>
    <row r="130" spans="1:9" ht="21" hidden="1">
      <c r="A130" s="34"/>
      <c r="B130" s="29" t="s">
        <v>5004</v>
      </c>
      <c r="C130" s="59">
        <v>450000</v>
      </c>
      <c r="D130" s="29"/>
      <c r="E130" s="59"/>
      <c r="F130" s="59"/>
      <c r="G130" s="61" t="s">
        <v>56</v>
      </c>
      <c r="I130" s="34"/>
    </row>
    <row r="131" spans="1:9" ht="21" hidden="1">
      <c r="A131" s="34"/>
      <c r="B131" s="29" t="s">
        <v>5005</v>
      </c>
      <c r="C131" s="59">
        <v>450000</v>
      </c>
      <c r="D131" s="29"/>
      <c r="E131" s="59"/>
      <c r="F131" s="59"/>
      <c r="G131" s="61" t="s">
        <v>56</v>
      </c>
      <c r="I131" s="34"/>
    </row>
    <row r="132" spans="1:9" ht="21" hidden="1">
      <c r="A132" s="34"/>
      <c r="B132" s="29" t="s">
        <v>5006</v>
      </c>
      <c r="C132" s="59">
        <v>871200</v>
      </c>
      <c r="D132" s="29"/>
      <c r="E132" s="59"/>
      <c r="F132" s="59"/>
      <c r="G132" s="61" t="s">
        <v>56</v>
      </c>
      <c r="I132" s="34"/>
    </row>
    <row r="133" spans="1:9" ht="21" hidden="1">
      <c r="A133" s="34"/>
      <c r="B133" s="29" t="s">
        <v>404</v>
      </c>
      <c r="C133" s="59">
        <v>1016400</v>
      </c>
      <c r="D133" s="29"/>
      <c r="E133" s="59"/>
      <c r="F133" s="59"/>
      <c r="G133" s="61" t="s">
        <v>56</v>
      </c>
      <c r="I133" s="34"/>
    </row>
    <row r="134" spans="1:9" ht="21" hidden="1">
      <c r="A134" s="34"/>
      <c r="B134" s="33" t="s">
        <v>634</v>
      </c>
      <c r="C134" s="77">
        <v>16233781</v>
      </c>
      <c r="D134" s="33"/>
      <c r="E134" s="77"/>
      <c r="F134" s="77"/>
      <c r="G134" s="79" t="s">
        <v>56</v>
      </c>
      <c r="I134" s="34"/>
    </row>
    <row r="135" spans="1:9" ht="21" hidden="1">
      <c r="A135" s="34"/>
      <c r="B135" s="29" t="s">
        <v>780</v>
      </c>
      <c r="C135" s="59">
        <v>4726810</v>
      </c>
      <c r="D135" s="29"/>
      <c r="E135" s="59"/>
      <c r="F135" s="59"/>
      <c r="G135" s="61" t="s">
        <v>58</v>
      </c>
      <c r="I135" s="34"/>
    </row>
    <row r="136" spans="1:9" ht="21" hidden="1">
      <c r="A136" s="34"/>
      <c r="B136" s="29" t="s">
        <v>517</v>
      </c>
      <c r="C136" s="59">
        <v>396000</v>
      </c>
      <c r="D136" s="29"/>
      <c r="E136" s="59"/>
      <c r="F136" s="59"/>
      <c r="G136" s="61" t="s">
        <v>60</v>
      </c>
      <c r="I136" s="34"/>
    </row>
    <row r="137" spans="1:9" ht="21" hidden="1">
      <c r="A137" s="34"/>
      <c r="B137" s="29" t="s">
        <v>5007</v>
      </c>
      <c r="C137" s="59">
        <v>1056000</v>
      </c>
      <c r="D137" s="29"/>
      <c r="E137" s="59"/>
      <c r="F137" s="59"/>
      <c r="G137" s="61" t="s">
        <v>60</v>
      </c>
      <c r="I137" s="34"/>
    </row>
    <row r="138" spans="1:9" ht="21" hidden="1">
      <c r="A138" s="34"/>
      <c r="B138" s="29" t="s">
        <v>5008</v>
      </c>
      <c r="C138" s="59">
        <v>792000</v>
      </c>
      <c r="D138" s="29"/>
      <c r="E138" s="59"/>
      <c r="F138" s="59"/>
      <c r="G138" s="61" t="s">
        <v>60</v>
      </c>
      <c r="I138" s="34"/>
    </row>
    <row r="139" spans="1:9" ht="21" hidden="1">
      <c r="A139" s="34">
        <v>45583</v>
      </c>
      <c r="B139" s="29" t="s">
        <v>238</v>
      </c>
      <c r="C139" s="59">
        <v>3006113</v>
      </c>
      <c r="D139" s="29"/>
      <c r="E139" s="59"/>
      <c r="F139" s="59"/>
      <c r="G139" s="61" t="s">
        <v>54</v>
      </c>
      <c r="I139" s="34"/>
    </row>
    <row r="140" spans="1:9" ht="21" hidden="1">
      <c r="A140" s="34"/>
      <c r="B140" s="56" t="s">
        <v>553</v>
      </c>
      <c r="C140" s="63">
        <v>22100882</v>
      </c>
      <c r="D140" s="56"/>
      <c r="E140" s="63"/>
      <c r="F140" s="63"/>
      <c r="G140" s="64" t="s">
        <v>55</v>
      </c>
      <c r="I140" s="34"/>
    </row>
    <row r="141" spans="1:9" ht="21" hidden="1">
      <c r="A141" s="34"/>
      <c r="B141" s="29" t="s">
        <v>5009</v>
      </c>
      <c r="C141" s="59">
        <v>1017880</v>
      </c>
      <c r="D141" s="29"/>
      <c r="E141" s="59"/>
      <c r="F141" s="59"/>
      <c r="G141" s="61" t="s">
        <v>55</v>
      </c>
      <c r="I141" s="34"/>
    </row>
    <row r="142" spans="1:9" ht="21" hidden="1">
      <c r="A142" s="34"/>
      <c r="B142" s="29" t="s">
        <v>67</v>
      </c>
      <c r="C142" s="59">
        <v>4793510</v>
      </c>
      <c r="D142" s="29"/>
      <c r="E142" s="59"/>
      <c r="F142" s="59"/>
      <c r="G142" s="61" t="s">
        <v>55</v>
      </c>
      <c r="I142" s="34"/>
    </row>
    <row r="143" spans="1:9" ht="21" hidden="1">
      <c r="A143" s="34"/>
      <c r="B143" s="29" t="s">
        <v>5010</v>
      </c>
      <c r="C143" s="59">
        <v>130720566</v>
      </c>
      <c r="D143" s="29"/>
      <c r="E143" s="59"/>
      <c r="F143" s="59"/>
      <c r="G143" s="61" t="s">
        <v>55</v>
      </c>
      <c r="I143" s="34"/>
    </row>
    <row r="144" spans="1:9" ht="21" hidden="1">
      <c r="A144" s="34"/>
      <c r="B144" s="29" t="s">
        <v>194</v>
      </c>
      <c r="C144" s="59">
        <v>1123087</v>
      </c>
      <c r="D144" s="29"/>
      <c r="E144" s="59"/>
      <c r="F144" s="59"/>
      <c r="G144" s="61" t="s">
        <v>55</v>
      </c>
      <c r="I144" s="34"/>
    </row>
    <row r="145" spans="1:9" ht="21" hidden="1">
      <c r="A145" s="34"/>
      <c r="B145" s="67" t="s">
        <v>826</v>
      </c>
      <c r="C145" s="68">
        <v>1145000</v>
      </c>
      <c r="D145" s="67"/>
      <c r="E145" s="68"/>
      <c r="F145" s="68"/>
      <c r="G145" s="69" t="s">
        <v>57</v>
      </c>
      <c r="I145" s="34"/>
    </row>
    <row r="146" spans="1:9" ht="21" hidden="1">
      <c r="A146" s="34"/>
      <c r="B146" s="67" t="s">
        <v>826</v>
      </c>
      <c r="C146" s="68">
        <v>763620</v>
      </c>
      <c r="D146" s="67"/>
      <c r="E146" s="68"/>
      <c r="F146" s="68"/>
      <c r="G146" s="69" t="s">
        <v>57</v>
      </c>
      <c r="I146" s="34"/>
    </row>
    <row r="147" spans="1:9" ht="21" hidden="1">
      <c r="A147" s="34"/>
      <c r="B147" s="67" t="s">
        <v>826</v>
      </c>
      <c r="C147" s="68">
        <v>677100</v>
      </c>
      <c r="D147" s="67"/>
      <c r="E147" s="68"/>
      <c r="F147" s="68"/>
      <c r="G147" s="69" t="s">
        <v>57</v>
      </c>
      <c r="I147" s="34"/>
    </row>
    <row r="148" spans="1:9" ht="21" hidden="1">
      <c r="A148" s="34"/>
      <c r="B148" s="29" t="s">
        <v>1190</v>
      </c>
      <c r="C148" s="59">
        <v>287969</v>
      </c>
      <c r="D148" s="29"/>
      <c r="E148" s="59"/>
      <c r="F148" s="59"/>
      <c r="G148" s="61" t="s">
        <v>57</v>
      </c>
      <c r="I148" s="34"/>
    </row>
    <row r="149" spans="1:9" ht="21" hidden="1">
      <c r="A149" s="34"/>
      <c r="B149" s="29" t="s">
        <v>461</v>
      </c>
      <c r="C149" s="59">
        <v>580800</v>
      </c>
      <c r="D149" s="29"/>
      <c r="E149" s="59"/>
      <c r="F149" s="59"/>
      <c r="G149" s="61" t="s">
        <v>57</v>
      </c>
      <c r="I149" s="34"/>
    </row>
    <row r="150" spans="1:9" ht="21" hidden="1">
      <c r="A150" s="34"/>
      <c r="B150" s="29" t="s">
        <v>89</v>
      </c>
      <c r="C150" s="59">
        <v>1728209</v>
      </c>
      <c r="D150" s="29"/>
      <c r="E150" s="59"/>
      <c r="F150" s="59"/>
      <c r="G150" s="61" t="s">
        <v>90</v>
      </c>
      <c r="I150" s="34"/>
    </row>
    <row r="151" spans="1:9" ht="21" hidden="1">
      <c r="A151" s="34"/>
      <c r="B151" s="29" t="s">
        <v>287</v>
      </c>
      <c r="C151" s="59">
        <v>528000</v>
      </c>
      <c r="D151" s="29"/>
      <c r="E151" s="59"/>
      <c r="F151" s="59"/>
      <c r="G151" s="61" t="s">
        <v>58</v>
      </c>
      <c r="I151" s="34"/>
    </row>
    <row r="152" spans="1:9" ht="21" hidden="1">
      <c r="A152" s="34"/>
      <c r="B152" s="165" t="s">
        <v>473</v>
      </c>
      <c r="C152" s="166">
        <v>500000000</v>
      </c>
      <c r="D152" s="165"/>
      <c r="E152" s="166"/>
      <c r="F152" s="166"/>
      <c r="G152" s="167" t="s">
        <v>58</v>
      </c>
      <c r="I152" s="34"/>
    </row>
    <row r="153" spans="1:9" ht="21" hidden="1">
      <c r="A153" s="34"/>
      <c r="B153" s="56" t="s">
        <v>5011</v>
      </c>
      <c r="C153" s="63">
        <v>2164622</v>
      </c>
      <c r="D153" s="56"/>
      <c r="E153" s="63"/>
      <c r="F153" s="63"/>
      <c r="G153" s="64"/>
      <c r="I153" s="34"/>
    </row>
    <row r="154" spans="1:9" ht="21" hidden="1">
      <c r="A154" s="34">
        <v>45586</v>
      </c>
      <c r="B154" s="33" t="s">
        <v>4994</v>
      </c>
      <c r="C154" s="77">
        <v>2379000</v>
      </c>
      <c r="D154" s="33"/>
      <c r="E154" s="77"/>
      <c r="F154" s="77"/>
      <c r="G154" s="79" t="s">
        <v>57</v>
      </c>
      <c r="I154" s="34"/>
    </row>
    <row r="155" spans="1:9" ht="21" hidden="1">
      <c r="A155" s="34"/>
      <c r="B155" s="33" t="s">
        <v>4994</v>
      </c>
      <c r="C155" s="77">
        <v>979000</v>
      </c>
      <c r="D155" s="33"/>
      <c r="E155" s="77"/>
      <c r="F155" s="77"/>
      <c r="G155" s="79" t="s">
        <v>57</v>
      </c>
      <c r="I155" s="34"/>
    </row>
    <row r="156" spans="1:9" ht="21" hidden="1">
      <c r="A156" s="34"/>
      <c r="B156" s="29" t="s">
        <v>306</v>
      </c>
      <c r="C156" s="59">
        <v>1800000</v>
      </c>
      <c r="D156" s="29"/>
      <c r="E156" s="59"/>
      <c r="F156" s="59"/>
      <c r="G156" s="61" t="s">
        <v>53</v>
      </c>
      <c r="I156" s="34"/>
    </row>
    <row r="157" spans="1:9" ht="21" hidden="1">
      <c r="A157" s="34"/>
      <c r="B157" s="165" t="s">
        <v>473</v>
      </c>
      <c r="C157" s="166">
        <v>1600000000</v>
      </c>
      <c r="D157" s="165"/>
      <c r="E157" s="166"/>
      <c r="F157" s="166"/>
      <c r="G157" s="167"/>
      <c r="I157" s="34"/>
    </row>
    <row r="158" spans="1:9" ht="21" hidden="1">
      <c r="A158" s="34">
        <v>45587</v>
      </c>
      <c r="B158" s="67" t="s">
        <v>376</v>
      </c>
      <c r="C158" s="68">
        <v>27043929</v>
      </c>
      <c r="D158" s="67"/>
      <c r="E158" s="68"/>
      <c r="F158" s="68"/>
      <c r="G158" s="69" t="s">
        <v>57</v>
      </c>
      <c r="I158" s="34"/>
    </row>
    <row r="159" spans="1:9" ht="21" hidden="1">
      <c r="A159" s="34"/>
      <c r="B159" s="29" t="s">
        <v>61</v>
      </c>
      <c r="C159" s="59">
        <v>76906697</v>
      </c>
      <c r="D159" s="29"/>
      <c r="E159" s="59"/>
      <c r="F159" s="59"/>
      <c r="G159" s="61" t="s">
        <v>154</v>
      </c>
      <c r="I159" s="34"/>
    </row>
    <row r="160" spans="1:9" ht="21" hidden="1">
      <c r="A160" s="34"/>
      <c r="B160" s="29" t="s">
        <v>61</v>
      </c>
      <c r="C160" s="59">
        <v>60899659</v>
      </c>
      <c r="D160" s="29"/>
      <c r="E160" s="59"/>
      <c r="F160" s="59"/>
      <c r="G160" s="61" t="s">
        <v>154</v>
      </c>
      <c r="I160" s="34"/>
    </row>
    <row r="161" spans="1:9" ht="21" hidden="1">
      <c r="A161" s="34">
        <v>45588</v>
      </c>
      <c r="B161" s="29" t="s">
        <v>4966</v>
      </c>
      <c r="C161" s="59">
        <v>431250</v>
      </c>
      <c r="D161" s="29"/>
      <c r="E161" s="59"/>
      <c r="F161" s="59"/>
      <c r="G161" s="61" t="s">
        <v>1074</v>
      </c>
      <c r="I161" s="34"/>
    </row>
    <row r="162" spans="1:9" ht="21" hidden="1">
      <c r="A162" s="34"/>
      <c r="B162" s="67" t="s">
        <v>5012</v>
      </c>
      <c r="C162" s="68">
        <v>4069200</v>
      </c>
      <c r="D162" s="67"/>
      <c r="E162" s="68"/>
      <c r="F162" s="68"/>
      <c r="G162" s="69" t="s">
        <v>1074</v>
      </c>
      <c r="I162" s="34"/>
    </row>
    <row r="163" spans="1:9" ht="21" hidden="1">
      <c r="A163" s="34"/>
      <c r="B163" s="67" t="s">
        <v>5013</v>
      </c>
      <c r="C163" s="68">
        <v>8892000</v>
      </c>
      <c r="D163" s="67"/>
      <c r="E163" s="68"/>
      <c r="F163" s="68"/>
      <c r="G163" s="69" t="s">
        <v>1074</v>
      </c>
      <c r="I163" s="34"/>
    </row>
    <row r="164" spans="1:9" ht="21" hidden="1">
      <c r="A164" s="34"/>
      <c r="B164" s="67" t="s">
        <v>5014</v>
      </c>
      <c r="C164" s="68">
        <v>6934000</v>
      </c>
      <c r="D164" s="67"/>
      <c r="E164" s="68"/>
      <c r="F164" s="68"/>
      <c r="G164" s="69" t="s">
        <v>1074</v>
      </c>
      <c r="I164" s="34"/>
    </row>
    <row r="165" spans="1:9" ht="21" hidden="1">
      <c r="A165" s="34"/>
      <c r="B165" s="67" t="s">
        <v>5015</v>
      </c>
      <c r="C165" s="68">
        <v>7000000</v>
      </c>
      <c r="D165" s="67"/>
      <c r="E165" s="68"/>
      <c r="F165" s="68"/>
      <c r="G165" s="69" t="s">
        <v>1074</v>
      </c>
      <c r="I165" s="34"/>
    </row>
    <row r="166" spans="1:9" ht="21" hidden="1">
      <c r="A166" s="34"/>
      <c r="B166" s="29" t="s">
        <v>5016</v>
      </c>
      <c r="C166" s="59">
        <v>528000</v>
      </c>
      <c r="D166" s="29"/>
      <c r="E166" s="59"/>
      <c r="F166" s="59"/>
      <c r="G166" s="61" t="s">
        <v>1074</v>
      </c>
      <c r="I166" s="34"/>
    </row>
    <row r="167" spans="1:9" ht="21" hidden="1">
      <c r="A167" s="34"/>
      <c r="B167" s="29" t="s">
        <v>5017</v>
      </c>
      <c r="C167" s="59">
        <v>528000</v>
      </c>
      <c r="D167" s="29"/>
      <c r="E167" s="59"/>
      <c r="F167" s="59"/>
      <c r="G167" s="61" t="s">
        <v>1074</v>
      </c>
      <c r="I167" s="34"/>
    </row>
    <row r="168" spans="1:9" ht="21" hidden="1">
      <c r="A168" s="34"/>
      <c r="B168" s="29" t="s">
        <v>105</v>
      </c>
      <c r="C168" s="59">
        <v>2283969</v>
      </c>
      <c r="D168" s="29"/>
      <c r="E168" s="59"/>
      <c r="F168" s="59"/>
      <c r="G168" s="61" t="s">
        <v>54</v>
      </c>
      <c r="I168" s="34"/>
    </row>
    <row r="169" spans="1:9" ht="21" hidden="1">
      <c r="A169" s="34"/>
      <c r="B169" s="29" t="s">
        <v>5018</v>
      </c>
      <c r="C169" s="59">
        <v>633600</v>
      </c>
      <c r="D169" s="29"/>
      <c r="E169" s="59"/>
      <c r="F169" s="59"/>
      <c r="G169" s="61" t="s">
        <v>1071</v>
      </c>
      <c r="I169" s="34"/>
    </row>
    <row r="170" spans="1:9" ht="21" hidden="1">
      <c r="A170" s="34"/>
      <c r="B170" s="29" t="s">
        <v>5019</v>
      </c>
      <c r="C170" s="59">
        <v>600000</v>
      </c>
      <c r="D170" s="29"/>
      <c r="E170" s="59"/>
      <c r="F170" s="59"/>
      <c r="G170" s="61" t="s">
        <v>60</v>
      </c>
      <c r="I170" s="34"/>
    </row>
    <row r="171" spans="1:9" ht="21" hidden="1">
      <c r="A171" s="34"/>
      <c r="B171" s="29" t="s">
        <v>5020</v>
      </c>
      <c r="C171" s="59">
        <v>6478200</v>
      </c>
      <c r="D171" s="29"/>
      <c r="E171" s="59"/>
      <c r="F171" s="59"/>
      <c r="G171" s="61" t="s">
        <v>60</v>
      </c>
      <c r="I171" s="34"/>
    </row>
    <row r="172" spans="1:9" ht="21" hidden="1">
      <c r="A172" s="34"/>
      <c r="B172" s="29" t="s">
        <v>5021</v>
      </c>
      <c r="C172" s="59">
        <v>396000</v>
      </c>
      <c r="D172" s="29"/>
      <c r="E172" s="59"/>
      <c r="F172" s="59"/>
      <c r="G172" s="61" t="s">
        <v>56</v>
      </c>
      <c r="I172" s="34"/>
    </row>
    <row r="173" spans="1:9" ht="21" hidden="1">
      <c r="A173" s="34"/>
      <c r="B173" s="29" t="s">
        <v>5022</v>
      </c>
      <c r="C173" s="59">
        <v>450000</v>
      </c>
      <c r="D173" s="29"/>
      <c r="E173" s="59"/>
      <c r="F173" s="59"/>
      <c r="G173" s="61" t="s">
        <v>56</v>
      </c>
      <c r="I173" s="34"/>
    </row>
    <row r="174" spans="1:9" ht="21" hidden="1">
      <c r="A174" s="34"/>
      <c r="B174" s="29" t="s">
        <v>5023</v>
      </c>
      <c r="C174" s="59">
        <v>528000</v>
      </c>
      <c r="D174" s="29"/>
      <c r="E174" s="59"/>
      <c r="F174" s="59"/>
      <c r="G174" s="61" t="s">
        <v>56</v>
      </c>
      <c r="I174" s="34"/>
    </row>
    <row r="175" spans="1:9" ht="21" hidden="1">
      <c r="A175" s="34"/>
      <c r="B175" s="29" t="s">
        <v>166</v>
      </c>
      <c r="C175" s="59">
        <v>726000</v>
      </c>
      <c r="D175" s="29"/>
      <c r="E175" s="59"/>
      <c r="F175" s="59"/>
      <c r="G175" s="61" t="s">
        <v>56</v>
      </c>
      <c r="I175" s="34"/>
    </row>
    <row r="176" spans="1:9" ht="21" hidden="1">
      <c r="A176" s="34"/>
      <c r="B176" s="29" t="s">
        <v>228</v>
      </c>
      <c r="C176" s="59">
        <v>726000</v>
      </c>
      <c r="D176" s="29"/>
      <c r="E176" s="59"/>
      <c r="F176" s="59"/>
      <c r="G176" s="61" t="s">
        <v>56</v>
      </c>
      <c r="I176" s="34"/>
    </row>
    <row r="177" spans="1:9" ht="21" hidden="1">
      <c r="A177" s="34"/>
      <c r="B177" s="29" t="s">
        <v>485</v>
      </c>
      <c r="C177" s="59">
        <v>792000</v>
      </c>
      <c r="D177" s="29"/>
      <c r="E177" s="59"/>
      <c r="F177" s="59"/>
      <c r="G177" s="61" t="s">
        <v>56</v>
      </c>
      <c r="I177" s="34"/>
    </row>
    <row r="178" spans="1:9" ht="21" hidden="1">
      <c r="A178" s="34"/>
      <c r="B178" s="165" t="s">
        <v>62</v>
      </c>
      <c r="C178" s="166">
        <v>2000000</v>
      </c>
      <c r="D178" s="165"/>
      <c r="E178" s="166"/>
      <c r="F178" s="166"/>
      <c r="G178" s="167" t="s">
        <v>57</v>
      </c>
      <c r="I178" s="34"/>
    </row>
    <row r="179" spans="1:9" ht="21" hidden="1">
      <c r="A179" s="34"/>
      <c r="B179" s="29" t="s">
        <v>4163</v>
      </c>
      <c r="C179" s="59">
        <v>2841469</v>
      </c>
      <c r="D179" s="29"/>
      <c r="E179" s="59"/>
      <c r="F179" s="59"/>
      <c r="G179" s="61" t="s">
        <v>57</v>
      </c>
      <c r="I179" s="34"/>
    </row>
    <row r="180" spans="1:9" ht="21" hidden="1">
      <c r="A180" s="34"/>
      <c r="B180" s="67" t="s">
        <v>5024</v>
      </c>
      <c r="C180" s="68">
        <v>1179528</v>
      </c>
      <c r="D180" s="67"/>
      <c r="E180" s="68"/>
      <c r="F180" s="68"/>
      <c r="G180" s="69" t="s">
        <v>57</v>
      </c>
      <c r="I180" s="34"/>
    </row>
    <row r="181" spans="1:9" ht="21" hidden="1">
      <c r="A181" s="34"/>
      <c r="B181" s="67" t="s">
        <v>376</v>
      </c>
      <c r="C181" s="68">
        <v>1960615</v>
      </c>
      <c r="D181" s="67"/>
      <c r="E181" s="68"/>
      <c r="F181" s="68"/>
      <c r="G181" s="69" t="s">
        <v>57</v>
      </c>
      <c r="I181" s="34"/>
    </row>
    <row r="182" spans="1:9" ht="21" hidden="1">
      <c r="A182" s="34"/>
      <c r="B182" s="29" t="s">
        <v>5025</v>
      </c>
      <c r="C182" s="59">
        <v>345000</v>
      </c>
      <c r="D182" s="29"/>
      <c r="E182" s="59"/>
      <c r="F182" s="59"/>
      <c r="G182" s="61" t="s">
        <v>154</v>
      </c>
      <c r="I182" s="34"/>
    </row>
    <row r="183" spans="1:9" ht="21" hidden="1">
      <c r="A183" s="34"/>
      <c r="B183" s="29" t="s">
        <v>5026</v>
      </c>
      <c r="C183" s="59">
        <v>528000</v>
      </c>
      <c r="D183" s="29"/>
      <c r="E183" s="59"/>
      <c r="F183" s="59"/>
      <c r="G183" s="61" t="s">
        <v>154</v>
      </c>
      <c r="I183" s="34"/>
    </row>
    <row r="184" spans="1:9" ht="21" hidden="1">
      <c r="A184" s="34"/>
      <c r="B184" s="67" t="s">
        <v>376</v>
      </c>
      <c r="C184" s="68">
        <v>50713598</v>
      </c>
      <c r="D184" s="67"/>
      <c r="E184" s="68"/>
      <c r="F184" s="68"/>
      <c r="G184" s="69" t="s">
        <v>154</v>
      </c>
      <c r="I184" s="34"/>
    </row>
    <row r="185" spans="1:9" ht="21" hidden="1">
      <c r="A185" s="34"/>
      <c r="B185" s="33" t="s">
        <v>5027</v>
      </c>
      <c r="C185" s="77">
        <v>167778222</v>
      </c>
      <c r="D185" s="33"/>
      <c r="E185" s="77"/>
      <c r="F185" s="77"/>
      <c r="G185" s="79"/>
      <c r="I185" s="34"/>
    </row>
    <row r="186" spans="1:9" ht="21" hidden="1">
      <c r="A186" s="34">
        <v>45589</v>
      </c>
      <c r="B186" s="29" t="s">
        <v>5028</v>
      </c>
      <c r="C186" s="59">
        <v>1650000</v>
      </c>
      <c r="D186" s="29"/>
      <c r="E186" s="59"/>
      <c r="F186" s="59"/>
      <c r="G186" s="61" t="s">
        <v>56</v>
      </c>
      <c r="H186" s="60"/>
      <c r="I186" s="34"/>
    </row>
    <row r="187" spans="1:9" ht="21" hidden="1">
      <c r="A187" s="34"/>
      <c r="B187" s="29" t="s">
        <v>5029</v>
      </c>
      <c r="C187" s="59">
        <v>2962204</v>
      </c>
      <c r="D187" s="29"/>
      <c r="E187" s="59"/>
      <c r="F187" s="59"/>
      <c r="G187" s="61" t="s">
        <v>154</v>
      </c>
      <c r="H187" s="60"/>
      <c r="I187" s="34"/>
    </row>
    <row r="188" spans="1:9" ht="21" hidden="1">
      <c r="A188" s="34"/>
      <c r="B188" s="29" t="s">
        <v>68</v>
      </c>
      <c r="C188" s="59">
        <v>37848265</v>
      </c>
      <c r="D188" s="29"/>
      <c r="E188" s="59"/>
      <c r="F188" s="59"/>
      <c r="G188" s="61" t="s">
        <v>154</v>
      </c>
      <c r="H188" s="60"/>
      <c r="I188" s="34"/>
    </row>
    <row r="189" spans="1:9" ht="21" hidden="1">
      <c r="A189" s="34"/>
      <c r="B189" s="29" t="s">
        <v>124</v>
      </c>
      <c r="C189" s="59">
        <v>65976135</v>
      </c>
      <c r="D189" s="29"/>
      <c r="E189" s="59"/>
      <c r="F189" s="59"/>
      <c r="G189" s="61" t="s">
        <v>154</v>
      </c>
      <c r="H189" s="60"/>
      <c r="I189" s="34"/>
    </row>
    <row r="190" spans="1:9" ht="21" hidden="1">
      <c r="A190" s="34">
        <v>45590</v>
      </c>
      <c r="B190" s="29" t="s">
        <v>5030</v>
      </c>
      <c r="C190" s="59">
        <v>3622500</v>
      </c>
      <c r="D190" s="29"/>
      <c r="E190" s="59"/>
      <c r="F190" s="59"/>
      <c r="G190" s="61" t="s">
        <v>1074</v>
      </c>
      <c r="H190" s="60"/>
      <c r="I190" s="34"/>
    </row>
    <row r="191" spans="1:9" ht="21" hidden="1">
      <c r="A191" s="34"/>
      <c r="B191" s="29" t="s">
        <v>5030</v>
      </c>
      <c r="C191" s="59">
        <v>3622000</v>
      </c>
      <c r="D191" s="29"/>
      <c r="E191" s="59"/>
      <c r="F191" s="59"/>
      <c r="G191" s="61" t="s">
        <v>1074</v>
      </c>
      <c r="H191" s="60"/>
      <c r="I191" s="34"/>
    </row>
    <row r="192" spans="1:9" ht="21" hidden="1">
      <c r="A192" s="34"/>
      <c r="B192" s="29" t="s">
        <v>238</v>
      </c>
      <c r="C192" s="59">
        <v>827792</v>
      </c>
      <c r="D192" s="29"/>
      <c r="E192" s="59"/>
      <c r="F192" s="59"/>
      <c r="G192" s="61" t="s">
        <v>54</v>
      </c>
      <c r="H192" s="60"/>
      <c r="I192" s="34"/>
    </row>
    <row r="193" spans="1:9" ht="21" hidden="1">
      <c r="A193" s="34"/>
      <c r="B193" s="29" t="s">
        <v>547</v>
      </c>
      <c r="C193" s="59">
        <v>4999999</v>
      </c>
      <c r="D193" s="29"/>
      <c r="E193" s="59"/>
      <c r="F193" s="59"/>
      <c r="G193" s="61" t="s">
        <v>54</v>
      </c>
      <c r="H193" s="60"/>
      <c r="I193" s="34"/>
    </row>
    <row r="194" spans="1:9" ht="21" hidden="1">
      <c r="A194" s="34"/>
      <c r="B194" s="29" t="s">
        <v>780</v>
      </c>
      <c r="C194" s="59">
        <v>3299940</v>
      </c>
      <c r="D194" s="29"/>
      <c r="E194" s="59"/>
      <c r="F194" s="59"/>
      <c r="G194" s="61" t="s">
        <v>58</v>
      </c>
      <c r="H194" s="60"/>
      <c r="I194" s="34"/>
    </row>
    <row r="195" spans="1:9" ht="21" hidden="1">
      <c r="A195" s="34">
        <v>45593</v>
      </c>
      <c r="B195" s="56" t="s">
        <v>98</v>
      </c>
      <c r="C195" s="63">
        <v>45898881</v>
      </c>
      <c r="D195" s="56"/>
      <c r="E195" s="63"/>
      <c r="F195" s="63"/>
      <c r="G195" s="64" t="s">
        <v>154</v>
      </c>
      <c r="H195" s="60"/>
      <c r="I195" s="34"/>
    </row>
    <row r="196" spans="1:9" ht="21" hidden="1">
      <c r="A196" s="34"/>
      <c r="B196" s="56" t="s">
        <v>98</v>
      </c>
      <c r="C196" s="63">
        <v>34099875</v>
      </c>
      <c r="D196" s="56"/>
      <c r="E196" s="63"/>
      <c r="F196" s="63"/>
      <c r="G196" s="64" t="s">
        <v>154</v>
      </c>
      <c r="H196" s="60"/>
      <c r="I196" s="34"/>
    </row>
    <row r="197" spans="1:9" ht="21" hidden="1">
      <c r="A197" s="34"/>
      <c r="B197" s="29" t="s">
        <v>893</v>
      </c>
      <c r="C197" s="59">
        <v>16966090</v>
      </c>
      <c r="D197" s="29"/>
      <c r="E197" s="59"/>
      <c r="F197" s="59"/>
      <c r="G197" s="61" t="s">
        <v>154</v>
      </c>
      <c r="H197" s="60"/>
      <c r="I197" s="34"/>
    </row>
    <row r="198" spans="1:9" ht="21" hidden="1">
      <c r="A198" s="34"/>
      <c r="B198" s="29" t="s">
        <v>694</v>
      </c>
      <c r="C198" s="59">
        <v>5750000</v>
      </c>
      <c r="D198" s="29"/>
      <c r="E198" s="59"/>
      <c r="F198" s="59"/>
      <c r="G198" s="61" t="s">
        <v>57</v>
      </c>
      <c r="H198" s="60"/>
      <c r="I198" s="34"/>
    </row>
    <row r="199" spans="1:9" ht="21" hidden="1">
      <c r="A199" s="34"/>
      <c r="B199" s="29" t="s">
        <v>549</v>
      </c>
      <c r="C199" s="59">
        <v>7780888</v>
      </c>
      <c r="D199" s="29"/>
      <c r="E199" s="59"/>
      <c r="F199" s="59"/>
      <c r="G199" s="61" t="s">
        <v>57</v>
      </c>
      <c r="H199" s="60"/>
      <c r="I199" s="34"/>
    </row>
    <row r="200" spans="1:9" ht="21" hidden="1">
      <c r="A200" s="34"/>
      <c r="B200" s="56" t="s">
        <v>5031</v>
      </c>
      <c r="C200" s="63">
        <v>17445629</v>
      </c>
      <c r="D200" s="56"/>
      <c r="E200" s="63"/>
      <c r="F200" s="63"/>
      <c r="G200" s="64" t="s">
        <v>57</v>
      </c>
      <c r="I200" s="34"/>
    </row>
    <row r="201" spans="1:9" ht="21" hidden="1">
      <c r="A201" s="34">
        <v>45594</v>
      </c>
      <c r="B201" s="29" t="s">
        <v>107</v>
      </c>
      <c r="C201" s="59">
        <v>8104050</v>
      </c>
      <c r="D201" s="29"/>
      <c r="E201" s="59"/>
      <c r="F201" s="59"/>
      <c r="G201" s="61" t="s">
        <v>54</v>
      </c>
      <c r="I201" s="34"/>
    </row>
    <row r="202" spans="1:9" ht="21" hidden="1">
      <c r="A202" s="34"/>
      <c r="B202" s="29" t="s">
        <v>275</v>
      </c>
      <c r="C202" s="59">
        <v>4125280</v>
      </c>
      <c r="D202" s="29"/>
      <c r="E202" s="59"/>
      <c r="F202" s="59"/>
      <c r="G202" s="61" t="s">
        <v>54</v>
      </c>
      <c r="I202" s="34"/>
    </row>
    <row r="203" spans="1:9" ht="21" hidden="1">
      <c r="A203" s="34"/>
      <c r="B203" s="29" t="s">
        <v>5032</v>
      </c>
      <c r="C203" s="59">
        <v>828000</v>
      </c>
      <c r="D203" s="29"/>
      <c r="E203" s="59"/>
      <c r="F203" s="59"/>
      <c r="G203" s="61" t="s">
        <v>154</v>
      </c>
      <c r="I203" s="34"/>
    </row>
    <row r="204" spans="1:9" ht="21" hidden="1">
      <c r="A204" s="34"/>
      <c r="B204" s="56" t="s">
        <v>522</v>
      </c>
      <c r="C204" s="63">
        <v>25949189</v>
      </c>
      <c r="D204" s="56"/>
      <c r="E204" s="63"/>
      <c r="F204" s="63"/>
      <c r="G204" s="64" t="s">
        <v>154</v>
      </c>
      <c r="I204" s="34"/>
    </row>
    <row r="205" spans="1:9" ht="21" hidden="1">
      <c r="A205" s="34"/>
      <c r="B205" s="56" t="s">
        <v>522</v>
      </c>
      <c r="C205" s="63">
        <v>56576291</v>
      </c>
      <c r="D205" s="56"/>
      <c r="E205" s="63"/>
      <c r="F205" s="63"/>
      <c r="G205" s="64" t="s">
        <v>154</v>
      </c>
      <c r="I205" s="34"/>
    </row>
    <row r="206" spans="1:9" ht="21" hidden="1">
      <c r="A206" s="34"/>
      <c r="B206" s="56" t="s">
        <v>522</v>
      </c>
      <c r="C206" s="63">
        <v>94568565</v>
      </c>
      <c r="D206" s="56"/>
      <c r="E206" s="63"/>
      <c r="F206" s="63"/>
      <c r="G206" s="64" t="s">
        <v>154</v>
      </c>
      <c r="I206" s="34"/>
    </row>
    <row r="207" spans="1:9" ht="21" hidden="1">
      <c r="A207" s="34"/>
      <c r="B207" s="67" t="s">
        <v>376</v>
      </c>
      <c r="C207" s="68">
        <v>716663</v>
      </c>
      <c r="D207" s="67"/>
      <c r="E207" s="68"/>
      <c r="F207" s="68"/>
      <c r="G207" s="69" t="s">
        <v>57</v>
      </c>
      <c r="I207" s="34"/>
    </row>
    <row r="208" spans="1:9" ht="21" hidden="1">
      <c r="A208" s="34"/>
      <c r="B208" s="67" t="s">
        <v>376</v>
      </c>
      <c r="C208" s="68">
        <v>85563</v>
      </c>
      <c r="D208" s="67"/>
      <c r="E208" s="68"/>
      <c r="F208" s="68"/>
      <c r="G208" s="69" t="s">
        <v>57</v>
      </c>
      <c r="I208" s="34"/>
    </row>
    <row r="209" spans="1:9" ht="21" hidden="1">
      <c r="A209" s="34"/>
      <c r="B209" s="67" t="s">
        <v>376</v>
      </c>
      <c r="C209" s="68">
        <v>85563</v>
      </c>
      <c r="D209" s="67"/>
      <c r="E209" s="68"/>
      <c r="F209" s="68"/>
      <c r="G209" s="69" t="s">
        <v>57</v>
      </c>
      <c r="I209" s="34"/>
    </row>
    <row r="210" spans="1:9" ht="21" hidden="1">
      <c r="A210" s="34">
        <v>45595</v>
      </c>
      <c r="B210" s="56" t="s">
        <v>98</v>
      </c>
      <c r="C210" s="63">
        <v>88856386</v>
      </c>
      <c r="D210" s="56"/>
      <c r="E210" s="63"/>
      <c r="F210" s="56"/>
      <c r="G210" s="63" t="s">
        <v>154</v>
      </c>
      <c r="I210" s="34"/>
    </row>
    <row r="211" spans="1:9" ht="21" hidden="1">
      <c r="A211" s="34"/>
      <c r="B211" s="29" t="s">
        <v>5033</v>
      </c>
      <c r="C211" s="59">
        <v>396000</v>
      </c>
      <c r="D211" s="29"/>
      <c r="E211" s="59"/>
      <c r="F211" s="29"/>
      <c r="G211" s="59" t="s">
        <v>57</v>
      </c>
      <c r="I211" s="34"/>
    </row>
    <row r="212" spans="1:9" ht="21" hidden="1">
      <c r="A212" s="34"/>
      <c r="B212" s="29" t="s">
        <v>5034</v>
      </c>
      <c r="C212" s="59">
        <v>726000</v>
      </c>
      <c r="D212" s="29"/>
      <c r="E212" s="59"/>
      <c r="F212" s="29"/>
      <c r="G212" s="59" t="s">
        <v>57</v>
      </c>
      <c r="I212" s="34"/>
    </row>
    <row r="213" spans="1:9" ht="21" hidden="1">
      <c r="A213" s="34"/>
      <c r="B213" s="35"/>
      <c r="C213" s="36"/>
      <c r="D213" s="4"/>
      <c r="E213" s="31"/>
      <c r="F213" s="155"/>
      <c r="G213" s="32"/>
    </row>
    <row r="214" spans="1:9" ht="21" hidden="1">
      <c r="A214" s="34"/>
      <c r="B214" s="35"/>
      <c r="C214" s="36"/>
      <c r="D214" s="4"/>
      <c r="E214" s="31"/>
      <c r="F214" s="155"/>
      <c r="G214" s="32"/>
    </row>
    <row r="215" spans="1:9" ht="18.5" hidden="1">
      <c r="A215" s="34"/>
      <c r="B215" s="37"/>
      <c r="C215" s="38">
        <f>SUM(C8:C212)</f>
        <v>6449138463</v>
      </c>
      <c r="D215" s="4"/>
      <c r="E215" s="38">
        <f>SUM(E9:E212)</f>
        <v>0</v>
      </c>
      <c r="F215" s="38"/>
      <c r="G215" s="4"/>
    </row>
    <row r="216" spans="1:9" hidden="1"/>
    <row r="217" spans="1:9" hidden="1"/>
    <row r="218" spans="1:9" ht="19" hidden="1" thickBot="1">
      <c r="B218" s="39" t="s">
        <v>71</v>
      </c>
      <c r="C218" s="39"/>
      <c r="D218" s="39" t="s">
        <v>580</v>
      </c>
    </row>
    <row r="219" spans="1:9" hidden="1"/>
    <row r="220" spans="1:9" hidden="1">
      <c r="E220" s="90"/>
      <c r="F220" s="90"/>
    </row>
    <row r="221" spans="1:9" ht="26">
      <c r="B221" s="40" t="s">
        <v>72</v>
      </c>
      <c r="E221" s="90"/>
      <c r="F221" s="90"/>
    </row>
    <row r="222" spans="1:9" hidden="1">
      <c r="E222" s="90"/>
      <c r="F222" s="90"/>
    </row>
    <row r="223" spans="1:9" hidden="1"/>
    <row r="224" spans="1:9" hidden="1"/>
    <row r="225" spans="2:5" hidden="1"/>
    <row r="226" spans="2:5" ht="18.5" hidden="1">
      <c r="B226" s="570" t="s">
        <v>73</v>
      </c>
      <c r="C226" s="571"/>
    </row>
    <row r="227" spans="2:5" hidden="1"/>
    <row r="228" spans="2:5" ht="18.5" hidden="1">
      <c r="B228" s="41" t="s">
        <v>74</v>
      </c>
      <c r="C228" s="41" t="s">
        <v>51</v>
      </c>
    </row>
    <row r="229" spans="2:5" ht="21" hidden="1">
      <c r="B229" s="42">
        <v>45587</v>
      </c>
      <c r="C229" s="43">
        <v>164850285</v>
      </c>
    </row>
    <row r="230" spans="2:5" ht="21" hidden="1">
      <c r="B230" s="42">
        <v>45588</v>
      </c>
      <c r="C230" s="43">
        <v>269342651</v>
      </c>
    </row>
    <row r="231" spans="2:5" ht="21" hidden="1">
      <c r="B231" s="42">
        <v>45589</v>
      </c>
      <c r="C231" s="43">
        <v>108436604</v>
      </c>
    </row>
    <row r="232" spans="2:5" ht="21" hidden="1">
      <c r="B232" s="42">
        <v>45590</v>
      </c>
      <c r="C232" s="43">
        <v>16372231</v>
      </c>
      <c r="E232" s="156"/>
    </row>
    <row r="233" spans="2:5" ht="21" hidden="1">
      <c r="B233" s="42">
        <v>45593</v>
      </c>
      <c r="C233" s="43"/>
      <c r="E233" s="156"/>
    </row>
    <row r="234" spans="2:5" ht="21" hidden="1">
      <c r="B234" s="41" t="s">
        <v>75</v>
      </c>
      <c r="C234" s="43">
        <f>C229+C230+C231+C232+C233</f>
        <v>559001771</v>
      </c>
    </row>
    <row r="235" spans="2:5" hidden="1">
      <c r="E235" s="21"/>
    </row>
    <row r="236" spans="2:5" hidden="1">
      <c r="C236" s="44"/>
      <c r="E236" s="21"/>
    </row>
    <row r="237" spans="2:5" hidden="1">
      <c r="C237" s="44"/>
      <c r="E237" s="21"/>
    </row>
    <row r="238" spans="2:5" hidden="1">
      <c r="C238" s="44"/>
      <c r="E238" s="21"/>
    </row>
    <row r="239" spans="2:5" hidden="1">
      <c r="C239" s="44"/>
    </row>
    <row r="240" spans="2:5" ht="21" hidden="1">
      <c r="B240" s="45"/>
      <c r="C240" s="44"/>
    </row>
    <row r="241" spans="2:3" ht="21" hidden="1">
      <c r="B241" s="45"/>
      <c r="C241" s="44"/>
    </row>
    <row r="242" spans="2:3" ht="21" hidden="1">
      <c r="B242" s="45"/>
      <c r="C242" s="44"/>
    </row>
    <row r="243" spans="2:3" hidden="1">
      <c r="C243" s="44"/>
    </row>
    <row r="244" spans="2:3" ht="21" hidden="1">
      <c r="B244" s="45"/>
      <c r="C244" s="44"/>
    </row>
    <row r="245" spans="2:3" ht="21" hidden="1">
      <c r="B245" s="45"/>
      <c r="C245" s="44"/>
    </row>
    <row r="246" spans="2:3" ht="21" hidden="1">
      <c r="B246" s="45"/>
      <c r="C246" s="44"/>
    </row>
    <row r="247" spans="2:3" ht="21" hidden="1">
      <c r="B247" s="45"/>
      <c r="C247" s="44"/>
    </row>
    <row r="248" spans="2:3" ht="21" hidden="1">
      <c r="B248" s="45"/>
      <c r="C248" s="44"/>
    </row>
    <row r="249" spans="2:3" ht="21" hidden="1">
      <c r="B249" s="45"/>
      <c r="C249" s="44"/>
    </row>
    <row r="250" spans="2:3" hidden="1">
      <c r="C250" s="44"/>
    </row>
    <row r="251" spans="2:3" hidden="1">
      <c r="C251" s="44"/>
    </row>
    <row r="252" spans="2:3" hidden="1">
      <c r="C252" s="44"/>
    </row>
    <row r="253" spans="2:3" ht="21" hidden="1">
      <c r="B253" s="45"/>
      <c r="C253" s="44"/>
    </row>
    <row r="254" spans="2:3" ht="21" hidden="1">
      <c r="B254" s="45"/>
      <c r="C254" s="44"/>
    </row>
    <row r="255" spans="2:3" hidden="1">
      <c r="C255" s="44"/>
    </row>
    <row r="256" spans="2:3" ht="21" hidden="1">
      <c r="B256" s="46"/>
      <c r="C256" s="44"/>
    </row>
    <row r="257" spans="2:3" ht="18.5" hidden="1">
      <c r="B257" s="47" t="s">
        <v>76</v>
      </c>
    </row>
    <row r="258" spans="2:3" hidden="1"/>
    <row r="259" spans="2:3" ht="15.5" hidden="1">
      <c r="B259" s="48"/>
      <c r="C259" s="49"/>
    </row>
    <row r="260" spans="2:3" ht="15.5" hidden="1">
      <c r="B260" s="48"/>
      <c r="C260" s="49"/>
    </row>
    <row r="261" spans="2:3" ht="15.5" hidden="1">
      <c r="B261" s="50" t="s">
        <v>77</v>
      </c>
    </row>
    <row r="262" spans="2:3" ht="21" hidden="1">
      <c r="B262" s="30"/>
      <c r="C262" s="31"/>
    </row>
    <row r="263" spans="2:3" ht="21" hidden="1">
      <c r="B263" s="30"/>
      <c r="C263" s="31"/>
    </row>
    <row r="264" spans="2:3" ht="21" hidden="1">
      <c r="B264" s="30"/>
      <c r="C264" s="31"/>
    </row>
    <row r="265" spans="2:3" ht="21" hidden="1">
      <c r="B265" s="30"/>
      <c r="C265" s="31"/>
    </row>
    <row r="266" spans="2:3" ht="21" hidden="1">
      <c r="B266" s="30"/>
      <c r="C266" s="31"/>
    </row>
    <row r="267" spans="2:3" ht="21" hidden="1">
      <c r="B267" s="30"/>
      <c r="C267" s="31"/>
    </row>
    <row r="268" spans="2:3" ht="21" hidden="1">
      <c r="B268" s="30"/>
      <c r="C268" s="31"/>
    </row>
    <row r="269" spans="2:3" ht="21" hidden="1">
      <c r="B269" s="30"/>
      <c r="C269" s="31"/>
    </row>
    <row r="270" spans="2:3" ht="21" hidden="1">
      <c r="B270" s="30"/>
      <c r="C270" s="31"/>
    </row>
    <row r="271" spans="2:3" ht="21" hidden="1">
      <c r="B271" s="30"/>
      <c r="C271" s="31"/>
    </row>
    <row r="272" spans="2:3" ht="21" hidden="1">
      <c r="B272" s="30"/>
      <c r="C272" s="31"/>
    </row>
    <row r="273" spans="2:6" ht="21" hidden="1">
      <c r="B273" s="30"/>
      <c r="C273" s="31"/>
    </row>
    <row r="274" spans="2:6" ht="21" hidden="1">
      <c r="B274" s="30"/>
      <c r="C274" s="31"/>
    </row>
    <row r="275" spans="2:6" ht="21" hidden="1">
      <c r="B275" s="30"/>
      <c r="C275" s="31"/>
    </row>
    <row r="276" spans="2:6" ht="21" hidden="1">
      <c r="B276" s="30"/>
      <c r="C276" s="31"/>
    </row>
    <row r="277" spans="2:6" ht="21" hidden="1">
      <c r="B277" s="30"/>
      <c r="C277" s="31"/>
    </row>
    <row r="278" spans="2:6" ht="21" hidden="1">
      <c r="B278" s="30"/>
      <c r="C278" s="31"/>
    </row>
    <row r="279" spans="2:6" ht="21" hidden="1">
      <c r="B279" s="30"/>
      <c r="C279" s="31"/>
    </row>
    <row r="280" spans="2:6" ht="21" hidden="1">
      <c r="B280" s="51"/>
      <c r="C280" s="31"/>
    </row>
    <row r="281" spans="2:6" ht="15.5" hidden="1">
      <c r="B281" s="48" t="s">
        <v>75</v>
      </c>
      <c r="C281" s="49">
        <f>C275+C274+C273+C272+C271+C270+C269+C268+C267+C266+C265+C264+C263+C262</f>
        <v>0</v>
      </c>
    </row>
    <row r="282" spans="2:6" ht="15.5" hidden="1">
      <c r="B282" s="48"/>
      <c r="C282" s="49"/>
    </row>
    <row r="283" spans="2:6" ht="15.5" hidden="1">
      <c r="B283" s="48"/>
      <c r="C283" s="49"/>
    </row>
    <row r="284" spans="2:6" ht="15.5" hidden="1">
      <c r="B284" s="48"/>
      <c r="C284" s="49"/>
    </row>
    <row r="285" spans="2:6" ht="15.5" hidden="1">
      <c r="B285" s="50" t="s">
        <v>78</v>
      </c>
    </row>
    <row r="286" spans="2:6" ht="21" hidden="1">
      <c r="B286" s="30" t="s">
        <v>376</v>
      </c>
      <c r="C286" s="31">
        <v>27043929</v>
      </c>
      <c r="F286" s="156"/>
    </row>
    <row r="287" spans="2:6" ht="21" hidden="1">
      <c r="B287" s="30" t="s">
        <v>5024</v>
      </c>
      <c r="C287" s="31">
        <v>1179528</v>
      </c>
    </row>
    <row r="288" spans="2:6" ht="21" hidden="1">
      <c r="B288" s="30" t="s">
        <v>376</v>
      </c>
      <c r="C288" s="31">
        <v>1960615</v>
      </c>
    </row>
    <row r="289" spans="2:6" ht="21" hidden="1">
      <c r="B289" s="30" t="s">
        <v>376</v>
      </c>
      <c r="C289" s="31">
        <v>50713598</v>
      </c>
    </row>
    <row r="290" spans="2:6" ht="21" hidden="1">
      <c r="B290" s="30"/>
      <c r="C290" s="31"/>
    </row>
    <row r="291" spans="2:6" ht="21" hidden="1">
      <c r="B291" s="30"/>
      <c r="C291" s="31"/>
    </row>
    <row r="292" spans="2:6" ht="21" hidden="1">
      <c r="B292" s="30"/>
      <c r="C292" s="31"/>
    </row>
    <row r="293" spans="2:6" ht="21" hidden="1">
      <c r="B293" s="30"/>
      <c r="C293" s="31"/>
    </row>
    <row r="294" spans="2:6" ht="21" hidden="1">
      <c r="B294" s="30"/>
      <c r="C294" s="31"/>
    </row>
    <row r="295" spans="2:6" ht="21" hidden="1">
      <c r="B295" s="30"/>
      <c r="C295" s="31"/>
    </row>
    <row r="296" spans="2:6" ht="21" hidden="1">
      <c r="B296" s="30"/>
      <c r="C296" s="31"/>
    </row>
    <row r="297" spans="2:6" ht="21" hidden="1">
      <c r="B297" s="30"/>
      <c r="C297" s="31"/>
    </row>
    <row r="298" spans="2:6" ht="21" hidden="1">
      <c r="B298" s="31"/>
      <c r="C298" s="31"/>
    </row>
    <row r="299" spans="2:6" ht="21" hidden="1">
      <c r="B299" s="31"/>
      <c r="C299" s="31"/>
    </row>
    <row r="300" spans="2:6" ht="21" hidden="1">
      <c r="B300" s="31"/>
      <c r="C300" s="31"/>
    </row>
    <row r="301" spans="2:6" ht="21" hidden="1">
      <c r="B301" s="30"/>
      <c r="C301" s="31"/>
      <c r="E301" s="44"/>
    </row>
    <row r="302" spans="2:6" ht="15.5" hidden="1">
      <c r="B302" s="48" t="s">
        <v>75</v>
      </c>
      <c r="C302" s="49">
        <f>C286+C289+C288+C287</f>
        <v>80897670</v>
      </c>
    </row>
    <row r="303" spans="2:6" ht="15.5" hidden="1">
      <c r="B303" s="48"/>
      <c r="C303" s="49"/>
      <c r="F303" s="44"/>
    </row>
    <row r="304" spans="2:6" ht="15.5" hidden="1">
      <c r="B304" s="48"/>
      <c r="C304" s="49"/>
    </row>
    <row r="305" spans="2:3" ht="15.5" hidden="1">
      <c r="B305" s="48"/>
      <c r="C305" s="49"/>
    </row>
    <row r="306" spans="2:3" ht="15.5" hidden="1">
      <c r="B306" s="50" t="s">
        <v>79</v>
      </c>
    </row>
    <row r="307" spans="2:3" ht="21" hidden="1">
      <c r="B307" s="30" t="s">
        <v>5027</v>
      </c>
      <c r="C307" s="31">
        <v>167778222</v>
      </c>
    </row>
    <row r="308" spans="2:3" ht="21" hidden="1">
      <c r="B308" s="30"/>
      <c r="C308" s="31"/>
    </row>
    <row r="309" spans="2:3" ht="21" hidden="1">
      <c r="B309" s="30"/>
      <c r="C309" s="31"/>
    </row>
    <row r="310" spans="2:3" ht="21" hidden="1">
      <c r="B310" s="30"/>
      <c r="C310" s="31"/>
    </row>
    <row r="311" spans="2:3" ht="21" hidden="1">
      <c r="B311" s="30"/>
      <c r="C311" s="31"/>
    </row>
    <row r="312" spans="2:3" ht="21" hidden="1">
      <c r="B312" s="30"/>
      <c r="C312" s="31"/>
    </row>
    <row r="313" spans="2:3" ht="21" hidden="1">
      <c r="B313" s="30"/>
      <c r="C313" s="31"/>
    </row>
    <row r="314" spans="2:3" ht="21" hidden="1">
      <c r="B314" s="30"/>
      <c r="C314" s="31"/>
    </row>
    <row r="315" spans="2:3" ht="21" hidden="1">
      <c r="B315" s="30"/>
      <c r="C315" s="31"/>
    </row>
    <row r="316" spans="2:3" ht="15.5" hidden="1">
      <c r="B316" s="48" t="s">
        <v>75</v>
      </c>
      <c r="C316" s="49">
        <f>C310+C309+C308+C307</f>
        <v>167778222</v>
      </c>
    </row>
    <row r="317" spans="2:3" ht="15.5" hidden="1">
      <c r="B317" s="48"/>
      <c r="C317" s="49"/>
    </row>
    <row r="318" spans="2:3" ht="15.5" hidden="1">
      <c r="B318" s="48"/>
      <c r="C318" s="49"/>
    </row>
    <row r="319" spans="2:3" ht="15.5" hidden="1">
      <c r="B319" s="48"/>
      <c r="C319" s="49"/>
    </row>
    <row r="320" spans="2:3" hidden="1">
      <c r="C320" s="44"/>
    </row>
    <row r="321" spans="2:3" ht="15.5" hidden="1">
      <c r="B321" s="50" t="s">
        <v>80</v>
      </c>
    </row>
    <row r="322" spans="2:3" ht="21" hidden="1">
      <c r="B322" s="30" t="s">
        <v>61</v>
      </c>
      <c r="C322" s="31">
        <v>76906697</v>
      </c>
    </row>
    <row r="323" spans="2:3" ht="21.75" hidden="1" customHeight="1">
      <c r="B323" s="30" t="s">
        <v>61</v>
      </c>
      <c r="C323" s="31">
        <v>60899659</v>
      </c>
    </row>
    <row r="324" spans="2:3" ht="21.75" hidden="1" customHeight="1">
      <c r="B324" s="30" t="s">
        <v>4966</v>
      </c>
      <c r="C324" s="31">
        <v>431250</v>
      </c>
    </row>
    <row r="325" spans="2:3" ht="21.75" hidden="1" customHeight="1">
      <c r="B325" s="30" t="s">
        <v>5012</v>
      </c>
      <c r="C325" s="31">
        <v>4069200</v>
      </c>
    </row>
    <row r="326" spans="2:3" ht="21.75" hidden="1" customHeight="1">
      <c r="B326" s="30" t="s">
        <v>5013</v>
      </c>
      <c r="C326" s="31">
        <v>8892000</v>
      </c>
    </row>
    <row r="327" spans="2:3" ht="21.75" hidden="1" customHeight="1">
      <c r="B327" s="30" t="s">
        <v>5014</v>
      </c>
      <c r="C327" s="31">
        <v>6934000</v>
      </c>
    </row>
    <row r="328" spans="2:3" ht="21.75" hidden="1" customHeight="1">
      <c r="B328" s="30" t="s">
        <v>5015</v>
      </c>
      <c r="C328" s="31">
        <v>7000000</v>
      </c>
    </row>
    <row r="329" spans="2:3" ht="21.75" hidden="1" customHeight="1">
      <c r="B329" s="30" t="s">
        <v>5016</v>
      </c>
      <c r="C329" s="31">
        <v>528000</v>
      </c>
    </row>
    <row r="330" spans="2:3" ht="21.75" hidden="1" customHeight="1">
      <c r="B330" s="30" t="s">
        <v>5017</v>
      </c>
      <c r="C330" s="31">
        <v>528000</v>
      </c>
    </row>
    <row r="331" spans="2:3" ht="21.75" hidden="1" customHeight="1">
      <c r="B331" s="30" t="s">
        <v>105</v>
      </c>
      <c r="C331" s="31">
        <v>2283969</v>
      </c>
    </row>
    <row r="332" spans="2:3" ht="21.75" hidden="1" customHeight="1">
      <c r="B332" s="30" t="s">
        <v>5018</v>
      </c>
      <c r="C332" s="31">
        <v>633600</v>
      </c>
    </row>
    <row r="333" spans="2:3" ht="21.75" hidden="1" customHeight="1">
      <c r="B333" s="30" t="s">
        <v>5019</v>
      </c>
      <c r="C333" s="31">
        <v>600000</v>
      </c>
    </row>
    <row r="334" spans="2:3" ht="21.75" hidden="1" customHeight="1">
      <c r="B334" s="30" t="s">
        <v>5020</v>
      </c>
      <c r="C334" s="31">
        <v>6478200</v>
      </c>
    </row>
    <row r="335" spans="2:3" ht="21.75" hidden="1" customHeight="1">
      <c r="B335" s="30" t="s">
        <v>5021</v>
      </c>
      <c r="C335" s="31">
        <v>396000</v>
      </c>
    </row>
    <row r="336" spans="2:3" ht="21.75" hidden="1" customHeight="1">
      <c r="B336" s="30" t="s">
        <v>5022</v>
      </c>
      <c r="C336" s="31">
        <v>450000</v>
      </c>
    </row>
    <row r="337" spans="2:3" ht="21.75" hidden="1" customHeight="1">
      <c r="B337" s="30" t="s">
        <v>5023</v>
      </c>
      <c r="C337" s="31">
        <v>528000</v>
      </c>
    </row>
    <row r="338" spans="2:3" ht="21.75" hidden="1" customHeight="1">
      <c r="B338" s="30" t="s">
        <v>166</v>
      </c>
      <c r="C338" s="31">
        <v>726000</v>
      </c>
    </row>
    <row r="339" spans="2:3" ht="21.75" hidden="1" customHeight="1">
      <c r="B339" s="30" t="s">
        <v>228</v>
      </c>
      <c r="C339" s="31">
        <v>726000</v>
      </c>
    </row>
    <row r="340" spans="2:3" ht="21.75" hidden="1" customHeight="1">
      <c r="B340" s="30" t="s">
        <v>485</v>
      </c>
      <c r="C340" s="31">
        <v>792000</v>
      </c>
    </row>
    <row r="341" spans="2:3" ht="21.75" hidden="1" customHeight="1">
      <c r="B341" s="30" t="s">
        <v>62</v>
      </c>
      <c r="C341" s="31">
        <v>2000000</v>
      </c>
    </row>
    <row r="342" spans="2:3" ht="21.75" hidden="1" customHeight="1">
      <c r="B342" s="30" t="s">
        <v>4163</v>
      </c>
      <c r="C342" s="31">
        <v>2841469</v>
      </c>
    </row>
    <row r="343" spans="2:3" ht="21.75" hidden="1" customHeight="1">
      <c r="B343" s="30" t="s">
        <v>5025</v>
      </c>
      <c r="C343" s="31">
        <v>345000</v>
      </c>
    </row>
    <row r="344" spans="2:3" ht="21.75" hidden="1" customHeight="1">
      <c r="B344" s="30" t="s">
        <v>5026</v>
      </c>
      <c r="C344" s="31">
        <v>528000</v>
      </c>
    </row>
    <row r="345" spans="2:3" ht="21.75" hidden="1" customHeight="1">
      <c r="B345" s="30" t="s">
        <v>5028</v>
      </c>
      <c r="C345" s="31">
        <v>1650000</v>
      </c>
    </row>
    <row r="346" spans="2:3" ht="21.75" hidden="1" customHeight="1">
      <c r="B346" s="30" t="s">
        <v>5029</v>
      </c>
      <c r="C346" s="31">
        <v>2962204</v>
      </c>
    </row>
    <row r="347" spans="2:3" ht="21.75" hidden="1" customHeight="1">
      <c r="B347" s="30" t="s">
        <v>68</v>
      </c>
      <c r="C347" s="31">
        <v>37848265</v>
      </c>
    </row>
    <row r="348" spans="2:3" ht="21.75" hidden="1" customHeight="1">
      <c r="B348" s="30" t="s">
        <v>124</v>
      </c>
      <c r="C348" s="31">
        <v>65976135</v>
      </c>
    </row>
    <row r="349" spans="2:3" ht="21.75" hidden="1" customHeight="1">
      <c r="B349" s="30" t="s">
        <v>5030</v>
      </c>
      <c r="C349" s="31">
        <v>3622500</v>
      </c>
    </row>
    <row r="350" spans="2:3" ht="21.75" hidden="1" customHeight="1">
      <c r="B350" s="30" t="s">
        <v>5030</v>
      </c>
      <c r="C350" s="31">
        <v>3622000</v>
      </c>
    </row>
    <row r="351" spans="2:3" ht="21.75" hidden="1" customHeight="1">
      <c r="B351" s="30" t="s">
        <v>238</v>
      </c>
      <c r="C351" s="31">
        <v>827792</v>
      </c>
    </row>
    <row r="352" spans="2:3" ht="21.75" hidden="1" customHeight="1">
      <c r="B352" s="30" t="s">
        <v>547</v>
      </c>
      <c r="C352" s="31">
        <v>4999999</v>
      </c>
    </row>
    <row r="353" spans="2:3" ht="21.75" hidden="1" customHeight="1">
      <c r="B353" s="30" t="s">
        <v>780</v>
      </c>
      <c r="C353" s="31">
        <v>3299940</v>
      </c>
    </row>
    <row r="354" spans="2:3" ht="21.75" hidden="1" customHeight="1">
      <c r="B354" s="30"/>
      <c r="C354" s="31"/>
    </row>
    <row r="355" spans="2:3" ht="21.75" hidden="1" customHeight="1">
      <c r="B355" s="30"/>
      <c r="C355" s="31"/>
    </row>
    <row r="356" spans="2:3" ht="21.75" hidden="1" customHeight="1">
      <c r="B356" s="30"/>
      <c r="C356" s="31"/>
    </row>
    <row r="357" spans="2:3" ht="21.75" hidden="1" customHeight="1">
      <c r="B357" s="30"/>
      <c r="C357" s="31"/>
    </row>
    <row r="358" spans="2:3" ht="21.75" hidden="1" customHeight="1">
      <c r="B358" s="30"/>
      <c r="C358" s="31"/>
    </row>
    <row r="359" spans="2:3" ht="21.75" hidden="1" customHeight="1">
      <c r="B359" s="30"/>
      <c r="C359" s="31"/>
    </row>
    <row r="360" spans="2:3" ht="21.75" hidden="1" customHeight="1">
      <c r="B360" s="30"/>
      <c r="C360" s="31"/>
    </row>
    <row r="361" spans="2:3" ht="21.75" hidden="1" customHeight="1">
      <c r="B361" s="30"/>
      <c r="C361" s="31"/>
    </row>
    <row r="362" spans="2:3" ht="21.75" hidden="1" customHeight="1">
      <c r="B362" s="30"/>
      <c r="C362" s="31"/>
    </row>
    <row r="363" spans="2:3" ht="21.75" hidden="1" customHeight="1">
      <c r="B363" s="30"/>
      <c r="C363" s="31"/>
    </row>
    <row r="364" spans="2:3" ht="21.75" hidden="1" customHeight="1">
      <c r="B364" s="30"/>
      <c r="C364" s="31"/>
    </row>
    <row r="365" spans="2:3" ht="21.75" hidden="1" customHeight="1">
      <c r="B365" s="30"/>
      <c r="C365" s="31"/>
    </row>
    <row r="366" spans="2:3" ht="21.75" hidden="1" customHeight="1">
      <c r="B366" s="30"/>
      <c r="C366" s="31"/>
    </row>
    <row r="367" spans="2:3" ht="21.75" hidden="1" customHeight="1">
      <c r="B367" s="30"/>
      <c r="C367" s="31"/>
    </row>
    <row r="368" spans="2:3" ht="21.75" hidden="1" customHeight="1">
      <c r="B368" s="30"/>
      <c r="C368" s="31"/>
    </row>
    <row r="369" spans="2:3" ht="21.75" hidden="1" customHeight="1">
      <c r="B369" s="30"/>
      <c r="C369" s="31"/>
    </row>
    <row r="370" spans="2:3" ht="21.75" hidden="1" customHeight="1">
      <c r="B370" s="30"/>
      <c r="C370" s="31"/>
    </row>
    <row r="371" spans="2:3" ht="21.75" hidden="1" customHeight="1">
      <c r="B371" s="30"/>
      <c r="C371" s="31"/>
    </row>
    <row r="372" spans="2:3" ht="21.75" hidden="1" customHeight="1">
      <c r="B372" s="30"/>
      <c r="C372" s="31"/>
    </row>
    <row r="373" spans="2:3" ht="21.75" hidden="1" customHeight="1">
      <c r="B373" s="30"/>
      <c r="C373" s="31"/>
    </row>
    <row r="374" spans="2:3" ht="21.75" hidden="1" customHeight="1">
      <c r="B374" s="30"/>
      <c r="C374" s="31"/>
    </row>
    <row r="375" spans="2:3" ht="21.75" hidden="1" customHeight="1">
      <c r="B375" s="30"/>
      <c r="C375" s="31"/>
    </row>
    <row r="376" spans="2:3" ht="21.75" hidden="1" customHeight="1">
      <c r="B376" s="30"/>
      <c r="C376" s="31"/>
    </row>
    <row r="377" spans="2:3" ht="21.75" hidden="1" customHeight="1">
      <c r="B377" s="30"/>
      <c r="C377" s="31"/>
    </row>
    <row r="378" spans="2:3" ht="21.75" hidden="1" customHeight="1">
      <c r="B378" s="30"/>
      <c r="C378" s="31"/>
    </row>
    <row r="379" spans="2:3" ht="21.75" hidden="1" customHeight="1">
      <c r="B379" s="30"/>
      <c r="C379" s="31"/>
    </row>
    <row r="380" spans="2:3" ht="21.75" hidden="1" customHeight="1">
      <c r="B380" s="30"/>
      <c r="C380" s="31"/>
    </row>
    <row r="381" spans="2:3" ht="21.75" hidden="1" customHeight="1">
      <c r="B381" s="30"/>
      <c r="C381" s="31"/>
    </row>
    <row r="382" spans="2:3" ht="21.75" hidden="1" customHeight="1">
      <c r="B382" s="30"/>
      <c r="C382" s="31"/>
    </row>
    <row r="383" spans="2:3" ht="21.75" hidden="1" customHeight="1">
      <c r="B383" s="30"/>
      <c r="C383" s="31"/>
    </row>
    <row r="384" spans="2:3" ht="21.75" hidden="1" customHeight="1">
      <c r="B384" s="30"/>
      <c r="C384" s="31"/>
    </row>
    <row r="385" spans="2:3" ht="21.75" hidden="1" customHeight="1">
      <c r="B385" s="30"/>
      <c r="C385" s="31"/>
    </row>
    <row r="386" spans="2:3" ht="21.75" hidden="1" customHeight="1">
      <c r="B386" s="30"/>
      <c r="C386" s="31"/>
    </row>
    <row r="387" spans="2:3" ht="21.75" hidden="1" customHeight="1">
      <c r="B387" s="30"/>
      <c r="C387" s="31"/>
    </row>
    <row r="388" spans="2:3" ht="21.75" hidden="1" customHeight="1">
      <c r="B388" s="30"/>
      <c r="C388" s="31"/>
    </row>
    <row r="389" spans="2:3" ht="21.75" hidden="1" customHeight="1">
      <c r="B389" s="30"/>
      <c r="C389" s="31"/>
    </row>
    <row r="390" spans="2:3" ht="21.75" hidden="1" customHeight="1">
      <c r="B390" s="30"/>
      <c r="C390" s="31"/>
    </row>
    <row r="391" spans="2:3" ht="21.75" hidden="1" customHeight="1">
      <c r="B391" s="30"/>
      <c r="C391" s="31"/>
    </row>
    <row r="392" spans="2:3" ht="21.75" hidden="1" customHeight="1">
      <c r="B392" s="30"/>
      <c r="C392" s="31"/>
    </row>
    <row r="393" spans="2:3" ht="21.75" hidden="1" customHeight="1">
      <c r="B393" s="30"/>
      <c r="C393" s="31"/>
    </row>
    <row r="394" spans="2:3" ht="21.75" hidden="1" customHeight="1">
      <c r="B394" s="30"/>
      <c r="C394" s="31"/>
    </row>
    <row r="395" spans="2:3" ht="21.75" hidden="1" customHeight="1">
      <c r="B395" s="30"/>
      <c r="C395" s="31"/>
    </row>
    <row r="396" spans="2:3" ht="21.75" hidden="1" customHeight="1">
      <c r="B396" s="30"/>
      <c r="C396" s="31"/>
    </row>
    <row r="397" spans="2:3" ht="21.75" hidden="1" customHeight="1">
      <c r="B397" s="30"/>
      <c r="C397" s="31"/>
    </row>
    <row r="398" spans="2:3" ht="21.75" hidden="1" customHeight="1">
      <c r="B398" s="30"/>
      <c r="C398" s="31"/>
    </row>
    <row r="399" spans="2:3" ht="21.75" hidden="1" customHeight="1">
      <c r="B399" s="30"/>
      <c r="C399" s="31"/>
    </row>
    <row r="400" spans="2:3" ht="21.75" hidden="1" customHeight="1">
      <c r="B400" s="30"/>
      <c r="C400" s="31"/>
    </row>
    <row r="401" spans="2:4" ht="21.75" hidden="1" customHeight="1">
      <c r="B401" s="30"/>
      <c r="C401" s="31"/>
    </row>
    <row r="402" spans="2:4" ht="21" hidden="1">
      <c r="B402" s="30"/>
      <c r="C402" s="31"/>
    </row>
    <row r="403" spans="2:4" ht="21" hidden="1">
      <c r="B403" s="53"/>
      <c r="C403" s="43"/>
    </row>
    <row r="404" spans="2:4" ht="15.5" hidden="1">
      <c r="B404" s="54" t="s">
        <v>75</v>
      </c>
      <c r="C404" s="49">
        <f>SUM(C322:C353)</f>
        <v>310325879</v>
      </c>
    </row>
    <row r="405" spans="2:4" hidden="1"/>
    <row r="408" spans="2:4">
      <c r="C408" s="21">
        <f>SUBTOTAL(9,C10:C212)</f>
        <v>26504544</v>
      </c>
      <c r="D408" s="21">
        <f>SUBTOTAL(9,D10:D212)</f>
        <v>0</v>
      </c>
    </row>
  </sheetData>
  <autoFilter ref="B5:B405">
    <filterColumn colId="0">
      <colorFilter dxfId="2"/>
    </filterColumn>
  </autoFilter>
  <mergeCells count="5">
    <mergeCell ref="B5:C5"/>
    <mergeCell ref="C7:D7"/>
    <mergeCell ref="E7:F7"/>
    <mergeCell ref="G7:G8"/>
    <mergeCell ref="B226:C22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6:G350"/>
  <sheetViews>
    <sheetView topLeftCell="A4" workbookViewId="0">
      <selection activeCell="D350" sqref="D350"/>
    </sheetView>
  </sheetViews>
  <sheetFormatPr baseColWidth="10" defaultColWidth="11.54296875" defaultRowHeight="14.5"/>
  <cols>
    <col min="1" max="1" width="11.54296875" style="193"/>
    <col min="2" max="2" width="61.90625" style="193" bestFit="1" customWidth="1"/>
    <col min="3" max="3" width="23.453125" style="193" bestFit="1" customWidth="1"/>
    <col min="4" max="4" width="23.36328125" style="193" customWidth="1"/>
    <col min="5" max="5" width="24.54296875" style="193" customWidth="1"/>
    <col min="6" max="6" width="16.08984375" style="193" customWidth="1"/>
    <col min="7" max="7" width="15.54296875" style="193" customWidth="1"/>
    <col min="8" max="16384" width="11.54296875" style="193"/>
  </cols>
  <sheetData>
    <row r="6" spans="1:7" ht="26">
      <c r="B6" s="564" t="s">
        <v>9555</v>
      </c>
      <c r="C6" s="564"/>
    </row>
    <row r="7" spans="1:7" hidden="1"/>
    <row r="8" spans="1:7" ht="20" hidden="1">
      <c r="B8" s="23" t="s">
        <v>9556</v>
      </c>
      <c r="C8" s="565" t="s">
        <v>46</v>
      </c>
      <c r="D8" s="566"/>
      <c r="E8" s="565" t="s">
        <v>47</v>
      </c>
      <c r="F8" s="567"/>
      <c r="G8" s="568" t="s">
        <v>48</v>
      </c>
    </row>
    <row r="9" spans="1:7" ht="30.5" hidden="1">
      <c r="B9" s="23"/>
      <c r="C9" s="25" t="s">
        <v>49</v>
      </c>
      <c r="D9" s="26" t="s">
        <v>50</v>
      </c>
      <c r="E9" s="27" t="s">
        <v>51</v>
      </c>
      <c r="F9" s="28" t="s">
        <v>52</v>
      </c>
      <c r="G9" s="569"/>
    </row>
    <row r="10" spans="1:7" ht="21" hidden="1">
      <c r="A10" s="34">
        <v>45691</v>
      </c>
      <c r="B10" s="67" t="s">
        <v>450</v>
      </c>
      <c r="C10" s="68">
        <v>821988</v>
      </c>
      <c r="D10" s="67"/>
      <c r="E10" s="68"/>
      <c r="F10" s="68"/>
      <c r="G10" s="69" t="s">
        <v>57</v>
      </c>
    </row>
    <row r="11" spans="1:7" ht="21" hidden="1">
      <c r="A11" s="34"/>
      <c r="B11" s="67" t="s">
        <v>450</v>
      </c>
      <c r="C11" s="68">
        <v>821563</v>
      </c>
      <c r="D11" s="67"/>
      <c r="E11" s="68"/>
      <c r="F11" s="68"/>
      <c r="G11" s="69" t="s">
        <v>57</v>
      </c>
    </row>
    <row r="12" spans="1:7" ht="21" hidden="1">
      <c r="A12" s="34"/>
      <c r="B12" s="67" t="s">
        <v>450</v>
      </c>
      <c r="C12" s="68">
        <v>409507</v>
      </c>
      <c r="D12" s="67"/>
      <c r="E12" s="68"/>
      <c r="F12" s="68"/>
      <c r="G12" s="69" t="s">
        <v>57</v>
      </c>
    </row>
    <row r="13" spans="1:7" ht="21" hidden="1">
      <c r="A13" s="34"/>
      <c r="B13" s="67" t="s">
        <v>450</v>
      </c>
      <c r="C13" s="68">
        <v>411206</v>
      </c>
      <c r="D13" s="67"/>
      <c r="E13" s="68"/>
      <c r="F13" s="68"/>
      <c r="G13" s="69" t="s">
        <v>57</v>
      </c>
    </row>
    <row r="14" spans="1:7" ht="21" hidden="1">
      <c r="A14" s="34"/>
      <c r="B14" s="29" t="s">
        <v>793</v>
      </c>
      <c r="C14" s="59">
        <v>1056232</v>
      </c>
      <c r="D14" s="29"/>
      <c r="E14" s="59"/>
      <c r="F14" s="59"/>
      <c r="G14" s="61" t="s">
        <v>58</v>
      </c>
    </row>
    <row r="15" spans="1:7" ht="21" hidden="1">
      <c r="A15" s="34"/>
      <c r="B15" s="521" t="s">
        <v>7823</v>
      </c>
      <c r="C15" s="522">
        <v>50477803</v>
      </c>
      <c r="D15" s="521"/>
      <c r="E15" s="522"/>
      <c r="F15" s="522"/>
      <c r="G15" s="523" t="s">
        <v>58</v>
      </c>
    </row>
    <row r="16" spans="1:7" ht="21" hidden="1">
      <c r="A16" s="34"/>
      <c r="B16" s="29" t="s">
        <v>793</v>
      </c>
      <c r="C16" s="59">
        <v>1042321</v>
      </c>
      <c r="D16" s="29"/>
      <c r="E16" s="59"/>
      <c r="F16" s="59"/>
      <c r="G16" s="61" t="s">
        <v>58</v>
      </c>
    </row>
    <row r="17" spans="1:7" ht="21" hidden="1">
      <c r="A17" s="34"/>
      <c r="B17" s="29" t="s">
        <v>793</v>
      </c>
      <c r="C17" s="59">
        <v>1027183</v>
      </c>
      <c r="D17" s="29"/>
      <c r="E17" s="59"/>
      <c r="F17" s="59"/>
      <c r="G17" s="61" t="s">
        <v>58</v>
      </c>
    </row>
    <row r="18" spans="1:7" ht="21" hidden="1">
      <c r="A18" s="34"/>
      <c r="B18" s="521" t="s">
        <v>7824</v>
      </c>
      <c r="C18" s="522">
        <v>20059925</v>
      </c>
      <c r="D18" s="521"/>
      <c r="E18" s="522"/>
      <c r="F18" s="522"/>
      <c r="G18" s="523" t="s">
        <v>58</v>
      </c>
    </row>
    <row r="19" spans="1:7" ht="21" hidden="1">
      <c r="A19" s="34">
        <v>45692</v>
      </c>
      <c r="B19" s="29" t="s">
        <v>829</v>
      </c>
      <c r="C19" s="59">
        <v>91045500</v>
      </c>
      <c r="D19" s="29"/>
      <c r="E19" s="59"/>
      <c r="F19" s="59"/>
      <c r="G19" s="61" t="s">
        <v>154</v>
      </c>
    </row>
    <row r="20" spans="1:7" ht="21" hidden="1">
      <c r="A20" s="34"/>
      <c r="B20" s="521" t="s">
        <v>98</v>
      </c>
      <c r="C20" s="522">
        <v>20062433</v>
      </c>
      <c r="D20" s="521"/>
      <c r="E20" s="522"/>
      <c r="F20" s="522"/>
      <c r="G20" s="523" t="s">
        <v>154</v>
      </c>
    </row>
    <row r="21" spans="1:7" ht="21" hidden="1">
      <c r="A21" s="34"/>
      <c r="B21" s="29" t="s">
        <v>9557</v>
      </c>
      <c r="C21" s="59">
        <v>46514457</v>
      </c>
      <c r="D21" s="29"/>
      <c r="E21" s="59"/>
      <c r="F21" s="59"/>
      <c r="G21" s="61" t="s">
        <v>154</v>
      </c>
    </row>
    <row r="22" spans="1:7" ht="21" hidden="1">
      <c r="A22" s="34">
        <v>45693</v>
      </c>
      <c r="B22" s="29" t="s">
        <v>870</v>
      </c>
      <c r="C22" s="59">
        <v>718980</v>
      </c>
      <c r="D22" s="29"/>
      <c r="E22" s="59"/>
      <c r="F22" s="59"/>
      <c r="G22" s="61" t="s">
        <v>60</v>
      </c>
    </row>
    <row r="23" spans="1:7" ht="21" hidden="1">
      <c r="A23" s="34"/>
      <c r="B23" s="560" t="s">
        <v>754</v>
      </c>
      <c r="C23" s="561">
        <v>10184080</v>
      </c>
      <c r="D23" s="560"/>
      <c r="E23" s="561"/>
      <c r="F23" s="561"/>
      <c r="G23" s="562" t="s">
        <v>56</v>
      </c>
    </row>
    <row r="24" spans="1:7" ht="21" hidden="1">
      <c r="A24" s="34"/>
      <c r="B24" s="72" t="s">
        <v>9558</v>
      </c>
      <c r="C24" s="73">
        <v>2547540</v>
      </c>
      <c r="D24" s="72"/>
      <c r="E24" s="73"/>
      <c r="F24" s="73"/>
      <c r="G24" s="75" t="s">
        <v>57</v>
      </c>
    </row>
    <row r="25" spans="1:7" ht="21" hidden="1">
      <c r="A25" s="34"/>
      <c r="B25" s="72" t="s">
        <v>9558</v>
      </c>
      <c r="C25" s="73">
        <v>860050</v>
      </c>
      <c r="D25" s="72"/>
      <c r="E25" s="73"/>
      <c r="F25" s="73"/>
      <c r="G25" s="75" t="s">
        <v>57</v>
      </c>
    </row>
    <row r="26" spans="1:7" ht="21" hidden="1">
      <c r="A26" s="34"/>
      <c r="B26" s="67" t="s">
        <v>376</v>
      </c>
      <c r="C26" s="68">
        <v>18205494</v>
      </c>
      <c r="D26" s="67"/>
      <c r="E26" s="68"/>
      <c r="F26" s="68"/>
      <c r="G26" s="69" t="s">
        <v>57</v>
      </c>
    </row>
    <row r="27" spans="1:7" ht="21" hidden="1">
      <c r="A27" s="34"/>
      <c r="B27" s="560" t="s">
        <v>7819</v>
      </c>
      <c r="C27" s="561">
        <v>118712781</v>
      </c>
      <c r="D27" s="560"/>
      <c r="E27" s="561"/>
      <c r="F27" s="561"/>
      <c r="G27" s="562" t="s">
        <v>154</v>
      </c>
    </row>
    <row r="28" spans="1:7" ht="21" hidden="1">
      <c r="A28" s="34"/>
      <c r="B28" s="33" t="s">
        <v>9559</v>
      </c>
      <c r="C28" s="77">
        <v>761506495</v>
      </c>
      <c r="D28" s="33"/>
      <c r="E28" s="77"/>
      <c r="F28" s="77"/>
      <c r="G28" s="79" t="s">
        <v>53</v>
      </c>
    </row>
    <row r="29" spans="1:7" ht="21" hidden="1">
      <c r="A29" s="34">
        <v>45694</v>
      </c>
      <c r="B29" s="33" t="s">
        <v>62</v>
      </c>
      <c r="C29" s="77">
        <v>7200000</v>
      </c>
      <c r="D29" s="33"/>
      <c r="E29" s="77"/>
      <c r="F29" s="77"/>
      <c r="G29" s="79" t="s">
        <v>1074</v>
      </c>
    </row>
    <row r="30" spans="1:7" ht="21" hidden="1">
      <c r="A30" s="34"/>
      <c r="B30" s="560" t="s">
        <v>4994</v>
      </c>
      <c r="C30" s="561">
        <v>1400000</v>
      </c>
      <c r="D30" s="560"/>
      <c r="E30" s="561"/>
      <c r="F30" s="561"/>
      <c r="G30" s="562" t="s">
        <v>57</v>
      </c>
    </row>
    <row r="31" spans="1:7" ht="21" hidden="1">
      <c r="A31" s="34"/>
      <c r="B31" s="67" t="s">
        <v>376</v>
      </c>
      <c r="C31" s="68">
        <v>360605</v>
      </c>
      <c r="D31" s="67"/>
      <c r="E31" s="68"/>
      <c r="F31" s="68"/>
      <c r="G31" s="69" t="s">
        <v>57</v>
      </c>
    </row>
    <row r="32" spans="1:7" ht="21" hidden="1">
      <c r="A32" s="34"/>
      <c r="B32" s="29" t="s">
        <v>556</v>
      </c>
      <c r="C32" s="59">
        <v>498584</v>
      </c>
      <c r="D32" s="29"/>
      <c r="E32" s="59"/>
      <c r="F32" s="59"/>
      <c r="G32" s="61" t="s">
        <v>57</v>
      </c>
    </row>
    <row r="33" spans="1:7" ht="21" hidden="1">
      <c r="A33" s="34"/>
      <c r="B33" s="29" t="s">
        <v>465</v>
      </c>
      <c r="C33" s="59">
        <v>250000000</v>
      </c>
      <c r="D33" s="29"/>
      <c r="E33" s="59"/>
      <c r="F33" s="59"/>
      <c r="G33" s="61" t="s">
        <v>154</v>
      </c>
    </row>
    <row r="34" spans="1:7" ht="21" hidden="1">
      <c r="A34" s="34">
        <v>45695</v>
      </c>
      <c r="B34" s="29" t="s">
        <v>9560</v>
      </c>
      <c r="C34" s="59">
        <v>6831296</v>
      </c>
      <c r="D34" s="29"/>
      <c r="E34" s="59"/>
      <c r="F34" s="59"/>
      <c r="G34" s="61" t="s">
        <v>1074</v>
      </c>
    </row>
    <row r="35" spans="1:7" ht="21" hidden="1">
      <c r="A35" s="34"/>
      <c r="B35" s="29" t="s">
        <v>386</v>
      </c>
      <c r="C35" s="59">
        <v>142647635</v>
      </c>
      <c r="D35" s="29"/>
      <c r="E35" s="59"/>
      <c r="F35" s="59"/>
      <c r="G35" s="61" t="s">
        <v>58</v>
      </c>
    </row>
    <row r="36" spans="1:7" ht="21" hidden="1">
      <c r="A36" s="34"/>
      <c r="B36" s="67" t="s">
        <v>376</v>
      </c>
      <c r="C36" s="68">
        <v>8093958</v>
      </c>
      <c r="D36" s="67"/>
      <c r="E36" s="68"/>
      <c r="F36" s="68"/>
      <c r="G36" s="69" t="s">
        <v>57</v>
      </c>
    </row>
    <row r="37" spans="1:7" ht="21" hidden="1">
      <c r="A37" s="34">
        <v>45698</v>
      </c>
      <c r="B37" s="29" t="s">
        <v>9561</v>
      </c>
      <c r="C37" s="59">
        <v>1056000</v>
      </c>
      <c r="D37" s="29"/>
      <c r="E37" s="59"/>
      <c r="F37" s="59"/>
      <c r="G37" s="61" t="s">
        <v>1071</v>
      </c>
    </row>
    <row r="38" spans="1:7" ht="21" hidden="1">
      <c r="A38" s="34"/>
      <c r="B38" s="521" t="s">
        <v>7818</v>
      </c>
      <c r="C38" s="522">
        <v>73199212</v>
      </c>
      <c r="D38" s="521"/>
      <c r="E38" s="522"/>
      <c r="F38" s="522"/>
      <c r="G38" s="523" t="s">
        <v>58</v>
      </c>
    </row>
    <row r="39" spans="1:7" ht="21" hidden="1">
      <c r="A39" s="34"/>
      <c r="B39" s="72" t="s">
        <v>826</v>
      </c>
      <c r="C39" s="73">
        <v>11432940</v>
      </c>
      <c r="D39" s="72"/>
      <c r="E39" s="73"/>
      <c r="F39" s="73"/>
      <c r="G39" s="75" t="s">
        <v>58</v>
      </c>
    </row>
    <row r="40" spans="1:7" ht="21" hidden="1">
      <c r="A40" s="34"/>
      <c r="B40" s="72" t="s">
        <v>826</v>
      </c>
      <c r="C40" s="73">
        <v>2454520</v>
      </c>
      <c r="D40" s="72"/>
      <c r="E40" s="73"/>
      <c r="F40" s="73"/>
      <c r="G40" s="75" t="s">
        <v>58</v>
      </c>
    </row>
    <row r="41" spans="1:7" ht="21" hidden="1">
      <c r="A41" s="34"/>
      <c r="B41" s="72" t="s">
        <v>826</v>
      </c>
      <c r="C41" s="73">
        <v>118379</v>
      </c>
      <c r="D41" s="72"/>
      <c r="E41" s="73"/>
      <c r="F41" s="73"/>
      <c r="G41" s="75" t="s">
        <v>58</v>
      </c>
    </row>
    <row r="42" spans="1:7" ht="21" hidden="1">
      <c r="A42" s="34"/>
      <c r="B42" s="72" t="s">
        <v>826</v>
      </c>
      <c r="C42" s="73">
        <v>34780430</v>
      </c>
      <c r="D42" s="72"/>
      <c r="E42" s="73"/>
      <c r="F42" s="73"/>
      <c r="G42" s="75" t="s">
        <v>58</v>
      </c>
    </row>
    <row r="43" spans="1:7" ht="21" hidden="1">
      <c r="A43" s="34"/>
      <c r="B43" s="72" t="s">
        <v>826</v>
      </c>
      <c r="C43" s="73">
        <v>95895993</v>
      </c>
      <c r="D43" s="72"/>
      <c r="E43" s="73"/>
      <c r="F43" s="73"/>
      <c r="G43" s="75" t="s">
        <v>58</v>
      </c>
    </row>
    <row r="44" spans="1:7" ht="21" hidden="1">
      <c r="A44" s="34"/>
      <c r="B44" s="72" t="s">
        <v>826</v>
      </c>
      <c r="C44" s="73">
        <v>1236361743</v>
      </c>
      <c r="D44" s="72"/>
      <c r="E44" s="73"/>
      <c r="F44" s="73"/>
      <c r="G44" s="75" t="s">
        <v>58</v>
      </c>
    </row>
    <row r="45" spans="1:7" ht="21" hidden="1">
      <c r="A45" s="34"/>
      <c r="B45" s="72" t="s">
        <v>826</v>
      </c>
      <c r="C45" s="73">
        <v>4320000</v>
      </c>
      <c r="D45" s="72"/>
      <c r="E45" s="73"/>
      <c r="F45" s="73"/>
      <c r="G45" s="75" t="s">
        <v>58</v>
      </c>
    </row>
    <row r="46" spans="1:7" ht="21" hidden="1">
      <c r="A46" s="34"/>
      <c r="B46" s="29" t="s">
        <v>9562</v>
      </c>
      <c r="D46" s="59">
        <v>250287416</v>
      </c>
      <c r="E46" s="59"/>
      <c r="F46" s="59"/>
      <c r="G46" s="61" t="s">
        <v>58</v>
      </c>
    </row>
    <row r="47" spans="1:7" ht="21" hidden="1">
      <c r="A47" s="34"/>
      <c r="B47" s="29" t="s">
        <v>372</v>
      </c>
      <c r="C47" s="59">
        <v>1242000</v>
      </c>
      <c r="D47" s="29"/>
      <c r="E47" s="59"/>
      <c r="F47" s="59"/>
      <c r="G47" s="61"/>
    </row>
    <row r="48" spans="1:7" ht="21" hidden="1">
      <c r="A48" s="34">
        <v>45699</v>
      </c>
      <c r="B48" s="67" t="s">
        <v>450</v>
      </c>
      <c r="C48" s="68">
        <v>1964291</v>
      </c>
      <c r="D48" s="67"/>
      <c r="E48" s="68"/>
      <c r="F48" s="68"/>
      <c r="G48" s="69" t="s">
        <v>57</v>
      </c>
    </row>
    <row r="49" spans="1:7" ht="21" hidden="1">
      <c r="A49" s="34"/>
      <c r="B49" s="521" t="s">
        <v>9563</v>
      </c>
      <c r="C49" s="522">
        <v>739200</v>
      </c>
      <c r="D49" s="521"/>
      <c r="E49" s="522"/>
      <c r="F49" s="522"/>
      <c r="G49" s="523" t="s">
        <v>57</v>
      </c>
    </row>
    <row r="50" spans="1:7" ht="21" hidden="1">
      <c r="A50" s="34"/>
      <c r="B50" s="67" t="s">
        <v>376</v>
      </c>
      <c r="C50" s="68">
        <v>19250375</v>
      </c>
      <c r="D50" s="67"/>
      <c r="E50" s="68"/>
      <c r="F50" s="68"/>
      <c r="G50" s="69" t="s">
        <v>57</v>
      </c>
    </row>
    <row r="51" spans="1:7" ht="21" hidden="1">
      <c r="A51" s="34"/>
      <c r="B51" s="29" t="s">
        <v>93</v>
      </c>
      <c r="C51" s="59">
        <v>140000000</v>
      </c>
      <c r="D51" s="29"/>
      <c r="E51" s="59"/>
      <c r="F51" s="59"/>
      <c r="G51" s="61" t="s">
        <v>154</v>
      </c>
    </row>
    <row r="52" spans="1:7" ht="21" hidden="1">
      <c r="A52" s="34"/>
      <c r="B52" s="29" t="s">
        <v>1073</v>
      </c>
      <c r="C52" s="59">
        <v>61650000</v>
      </c>
      <c r="D52" s="29"/>
      <c r="E52" s="59"/>
      <c r="F52" s="59"/>
      <c r="G52" s="61" t="s">
        <v>154</v>
      </c>
    </row>
    <row r="53" spans="1:7" ht="21" hidden="1">
      <c r="A53" s="34"/>
      <c r="B53" s="29" t="s">
        <v>7820</v>
      </c>
      <c r="C53" s="59">
        <v>12400744</v>
      </c>
      <c r="D53" s="29"/>
      <c r="E53" s="59"/>
      <c r="F53" s="59"/>
      <c r="G53" s="61" t="s">
        <v>58</v>
      </c>
    </row>
    <row r="54" spans="1:7" ht="21" hidden="1">
      <c r="A54" s="34">
        <v>45700</v>
      </c>
      <c r="B54" s="29" t="s">
        <v>243</v>
      </c>
      <c r="C54" s="59">
        <v>878460</v>
      </c>
      <c r="D54" s="29"/>
      <c r="E54" s="59"/>
      <c r="F54" s="59"/>
      <c r="G54" s="61" t="s">
        <v>54</v>
      </c>
    </row>
    <row r="55" spans="1:7" ht="21" hidden="1">
      <c r="A55" s="34"/>
      <c r="B55" s="29" t="s">
        <v>9564</v>
      </c>
      <c r="C55" s="59">
        <v>689990</v>
      </c>
      <c r="D55" s="29"/>
      <c r="E55" s="59"/>
      <c r="F55" s="59"/>
      <c r="G55" s="61" t="s">
        <v>60</v>
      </c>
    </row>
    <row r="56" spans="1:7" ht="21" hidden="1">
      <c r="A56" s="34"/>
      <c r="B56" s="29" t="s">
        <v>9565</v>
      </c>
      <c r="C56" s="59">
        <v>1367203</v>
      </c>
      <c r="D56" s="29"/>
      <c r="E56" s="59"/>
      <c r="F56" s="59"/>
      <c r="G56" s="61" t="s">
        <v>60</v>
      </c>
    </row>
    <row r="57" spans="1:7" ht="21" hidden="1">
      <c r="A57" s="34"/>
      <c r="B57" s="29" t="s">
        <v>222</v>
      </c>
      <c r="C57" s="59">
        <v>38943325</v>
      </c>
      <c r="D57" s="29"/>
      <c r="E57" s="59"/>
      <c r="F57" s="59"/>
      <c r="G57" s="61" t="s">
        <v>60</v>
      </c>
    </row>
    <row r="58" spans="1:7" ht="21" hidden="1">
      <c r="A58" s="34"/>
      <c r="B58" s="29" t="s">
        <v>9566</v>
      </c>
      <c r="C58" s="59">
        <v>726000</v>
      </c>
      <c r="D58" s="29"/>
      <c r="E58" s="59"/>
      <c r="F58" s="59"/>
      <c r="G58" s="61" t="s">
        <v>57</v>
      </c>
    </row>
    <row r="59" spans="1:7" ht="21" hidden="1">
      <c r="A59" s="34"/>
      <c r="B59" s="29" t="s">
        <v>298</v>
      </c>
      <c r="C59" s="59">
        <v>1164000</v>
      </c>
      <c r="D59" s="29"/>
      <c r="E59" s="59"/>
      <c r="F59" s="59"/>
      <c r="G59" s="61" t="s">
        <v>57</v>
      </c>
    </row>
    <row r="60" spans="1:7" ht="21" hidden="1">
      <c r="A60" s="34"/>
      <c r="B60" s="29" t="s">
        <v>9567</v>
      </c>
      <c r="C60" s="59">
        <v>660000</v>
      </c>
      <c r="D60" s="29"/>
      <c r="E60" s="59"/>
      <c r="F60" s="59"/>
      <c r="G60" s="61" t="s">
        <v>57</v>
      </c>
    </row>
    <row r="61" spans="1:7" ht="21" hidden="1">
      <c r="A61" s="34"/>
      <c r="B61" s="29" t="s">
        <v>302</v>
      </c>
      <c r="C61" s="59">
        <v>450000</v>
      </c>
      <c r="D61" s="29"/>
      <c r="E61" s="59"/>
      <c r="F61" s="59"/>
      <c r="G61" s="61" t="s">
        <v>57</v>
      </c>
    </row>
    <row r="62" spans="1:7" ht="21" hidden="1">
      <c r="A62" s="34"/>
      <c r="B62" s="29" t="s">
        <v>9568</v>
      </c>
      <c r="C62" s="59">
        <v>972840</v>
      </c>
      <c r="D62" s="29"/>
      <c r="E62" s="59"/>
      <c r="F62" s="59"/>
      <c r="G62" s="61" t="s">
        <v>57</v>
      </c>
    </row>
    <row r="63" spans="1:7" ht="21" hidden="1">
      <c r="A63" s="34"/>
      <c r="B63" s="29" t="s">
        <v>9569</v>
      </c>
      <c r="C63" s="59">
        <v>587150</v>
      </c>
      <c r="D63" s="29"/>
      <c r="E63" s="59"/>
      <c r="F63" s="59"/>
      <c r="G63" s="61" t="s">
        <v>154</v>
      </c>
    </row>
    <row r="64" spans="1:7" ht="21" hidden="1">
      <c r="A64" s="34"/>
      <c r="B64" s="29" t="s">
        <v>67</v>
      </c>
      <c r="C64" s="59">
        <v>4793510</v>
      </c>
      <c r="D64" s="29"/>
      <c r="E64" s="59"/>
      <c r="F64" s="59"/>
      <c r="G64" s="61" t="s">
        <v>154</v>
      </c>
    </row>
    <row r="65" spans="1:7" ht="21" hidden="1">
      <c r="A65" s="34"/>
      <c r="B65" s="29" t="s">
        <v>9570</v>
      </c>
      <c r="C65" s="59">
        <v>1722090</v>
      </c>
      <c r="D65" s="29"/>
      <c r="E65" s="59"/>
      <c r="F65" s="59"/>
      <c r="G65" s="61" t="s">
        <v>154</v>
      </c>
    </row>
    <row r="66" spans="1:7" ht="21" hidden="1">
      <c r="A66" s="34"/>
      <c r="B66" s="29" t="s">
        <v>100</v>
      </c>
      <c r="C66" s="59">
        <v>5225042</v>
      </c>
      <c r="D66" s="29"/>
      <c r="E66" s="59"/>
      <c r="F66" s="59"/>
      <c r="G66" s="61" t="s">
        <v>154</v>
      </c>
    </row>
    <row r="67" spans="1:7" ht="21" hidden="1">
      <c r="A67" s="34"/>
      <c r="B67" s="29" t="s">
        <v>9571</v>
      </c>
      <c r="C67" s="59">
        <v>450305</v>
      </c>
      <c r="D67" s="29"/>
      <c r="E67" s="59"/>
      <c r="F67" s="59"/>
      <c r="G67" s="61" t="s">
        <v>154</v>
      </c>
    </row>
    <row r="68" spans="1:7" ht="21" hidden="1">
      <c r="A68" s="34"/>
      <c r="B68" s="29" t="s">
        <v>9572</v>
      </c>
      <c r="C68" s="59">
        <v>528000</v>
      </c>
      <c r="D68" s="29"/>
      <c r="E68" s="59"/>
      <c r="F68" s="59"/>
      <c r="G68" s="61" t="s">
        <v>154</v>
      </c>
    </row>
    <row r="69" spans="1:7" ht="21" hidden="1">
      <c r="A69" s="34"/>
      <c r="B69" s="29" t="s">
        <v>9573</v>
      </c>
      <c r="C69" s="59">
        <v>726000</v>
      </c>
      <c r="D69" s="29"/>
      <c r="E69" s="59"/>
      <c r="F69" s="59"/>
      <c r="G69" s="61" t="s">
        <v>154</v>
      </c>
    </row>
    <row r="70" spans="1:7" ht="21" hidden="1">
      <c r="A70" s="34"/>
      <c r="B70" s="29" t="s">
        <v>814</v>
      </c>
      <c r="C70" s="59">
        <v>660000</v>
      </c>
      <c r="D70" s="29"/>
      <c r="E70" s="59"/>
      <c r="F70" s="59"/>
      <c r="G70" s="61" t="s">
        <v>154</v>
      </c>
    </row>
    <row r="71" spans="1:7" ht="21" hidden="1">
      <c r="A71" s="34"/>
      <c r="B71" s="29" t="s">
        <v>884</v>
      </c>
      <c r="C71" s="59">
        <v>2007380</v>
      </c>
      <c r="D71" s="29"/>
      <c r="E71" s="59"/>
      <c r="F71" s="59"/>
      <c r="G71" s="61" t="s">
        <v>1074</v>
      </c>
    </row>
    <row r="72" spans="1:7" ht="21" hidden="1">
      <c r="A72" s="34"/>
      <c r="B72" s="29" t="s">
        <v>9574</v>
      </c>
      <c r="C72" s="59">
        <v>798600</v>
      </c>
      <c r="D72" s="29"/>
      <c r="E72" s="59"/>
      <c r="F72" s="59"/>
      <c r="G72" s="61" t="s">
        <v>1074</v>
      </c>
    </row>
    <row r="73" spans="1:7" ht="21" hidden="1">
      <c r="A73" s="34"/>
      <c r="B73" s="29" t="s">
        <v>9575</v>
      </c>
      <c r="C73" s="59">
        <v>924000</v>
      </c>
      <c r="D73" s="29"/>
      <c r="E73" s="59"/>
      <c r="F73" s="59"/>
      <c r="G73" s="61" t="s">
        <v>1074</v>
      </c>
    </row>
    <row r="74" spans="1:7" ht="21" hidden="1">
      <c r="A74" s="34"/>
      <c r="B74" s="29" t="s">
        <v>9576</v>
      </c>
      <c r="C74" s="59">
        <v>376740</v>
      </c>
      <c r="D74" s="29"/>
      <c r="E74" s="59"/>
      <c r="F74" s="59"/>
      <c r="G74" s="61" t="s">
        <v>58</v>
      </c>
    </row>
    <row r="75" spans="1:7" ht="21" hidden="1">
      <c r="A75" s="34"/>
      <c r="B75" s="29" t="s">
        <v>9577</v>
      </c>
      <c r="C75" s="59">
        <v>696960</v>
      </c>
      <c r="D75" s="29"/>
      <c r="E75" s="59"/>
      <c r="F75" s="59"/>
      <c r="G75" s="61" t="s">
        <v>54</v>
      </c>
    </row>
    <row r="76" spans="1:7" ht="21" hidden="1">
      <c r="A76" s="34">
        <v>45701</v>
      </c>
      <c r="B76" s="67" t="s">
        <v>376</v>
      </c>
      <c r="C76" s="68">
        <v>374705</v>
      </c>
      <c r="D76" s="67"/>
      <c r="E76" s="68"/>
      <c r="F76" s="68"/>
      <c r="G76" s="69" t="s">
        <v>57</v>
      </c>
    </row>
    <row r="77" spans="1:7" ht="21" hidden="1">
      <c r="A77" s="34"/>
      <c r="B77" s="29" t="s">
        <v>9578</v>
      </c>
      <c r="C77" s="59">
        <v>2810720</v>
      </c>
      <c r="D77" s="29"/>
      <c r="E77" s="59"/>
      <c r="F77" s="59"/>
      <c r="G77" s="61" t="s">
        <v>57</v>
      </c>
    </row>
    <row r="78" spans="1:7" ht="21" hidden="1">
      <c r="A78" s="34"/>
      <c r="B78" s="29" t="s">
        <v>7817</v>
      </c>
      <c r="C78" s="59">
        <v>817281</v>
      </c>
      <c r="D78" s="29"/>
      <c r="E78" s="59"/>
      <c r="F78" s="59"/>
      <c r="G78" s="61" t="s">
        <v>154</v>
      </c>
    </row>
    <row r="79" spans="1:7" ht="21" hidden="1">
      <c r="A79" s="34"/>
      <c r="B79" s="29" t="s">
        <v>9579</v>
      </c>
      <c r="C79" s="59">
        <v>110000</v>
      </c>
      <c r="D79" s="29"/>
      <c r="E79" s="59"/>
      <c r="F79" s="59"/>
      <c r="G79" s="61" t="s">
        <v>58</v>
      </c>
    </row>
    <row r="80" spans="1:7" ht="21" hidden="1">
      <c r="A80" s="34"/>
      <c r="B80" s="29" t="s">
        <v>574</v>
      </c>
      <c r="C80" s="59">
        <v>56729080</v>
      </c>
      <c r="D80" s="29"/>
      <c r="E80" s="59"/>
      <c r="F80" s="59"/>
      <c r="G80" s="61" t="s">
        <v>58</v>
      </c>
    </row>
    <row r="81" spans="1:7" ht="21" hidden="1">
      <c r="A81" s="34">
        <v>45702</v>
      </c>
      <c r="B81" s="29" t="s">
        <v>4972</v>
      </c>
      <c r="C81" s="59">
        <v>3543319</v>
      </c>
      <c r="D81" s="29"/>
      <c r="E81" s="59"/>
      <c r="F81" s="59"/>
      <c r="G81" s="61" t="s">
        <v>154</v>
      </c>
    </row>
    <row r="82" spans="1:7" ht="21" hidden="1">
      <c r="A82" s="34"/>
      <c r="B82" s="29" t="s">
        <v>223</v>
      </c>
      <c r="C82" s="59">
        <v>22494742</v>
      </c>
      <c r="D82" s="29"/>
      <c r="E82" s="59"/>
      <c r="F82" s="59"/>
      <c r="G82" s="61" t="s">
        <v>58</v>
      </c>
    </row>
    <row r="83" spans="1:7" ht="21" hidden="1">
      <c r="A83" s="34">
        <v>45705</v>
      </c>
      <c r="B83" s="29" t="s">
        <v>9580</v>
      </c>
      <c r="C83" s="59">
        <v>67505055</v>
      </c>
      <c r="D83" s="29"/>
      <c r="E83" s="59"/>
      <c r="F83" s="59"/>
      <c r="G83" s="61" t="s">
        <v>58</v>
      </c>
    </row>
    <row r="84" spans="1:7" ht="21" hidden="1">
      <c r="A84" s="34"/>
      <c r="B84" s="521" t="s">
        <v>98</v>
      </c>
      <c r="C84" s="522">
        <v>14104068</v>
      </c>
      <c r="D84" s="521"/>
      <c r="E84" s="522"/>
      <c r="F84" s="522"/>
      <c r="G84" s="523" t="s">
        <v>57</v>
      </c>
    </row>
    <row r="85" spans="1:7" ht="21" hidden="1">
      <c r="A85" s="34"/>
      <c r="B85" s="521" t="s">
        <v>98</v>
      </c>
      <c r="C85" s="522">
        <v>3074315</v>
      </c>
      <c r="D85" s="521"/>
      <c r="E85" s="522"/>
      <c r="F85" s="522"/>
      <c r="G85" s="523" t="s">
        <v>58</v>
      </c>
    </row>
    <row r="86" spans="1:7" ht="21" hidden="1">
      <c r="A86" s="34"/>
      <c r="B86" s="521" t="s">
        <v>98</v>
      </c>
      <c r="C86" s="522">
        <v>2453781</v>
      </c>
      <c r="D86" s="521"/>
      <c r="E86" s="522"/>
      <c r="F86" s="522"/>
      <c r="G86" s="523" t="s">
        <v>58</v>
      </c>
    </row>
    <row r="87" spans="1:7" ht="21" hidden="1">
      <c r="A87" s="34"/>
      <c r="B87" s="521" t="s">
        <v>98</v>
      </c>
      <c r="C87" s="522">
        <v>7785533</v>
      </c>
      <c r="D87" s="521"/>
      <c r="E87" s="522"/>
      <c r="F87" s="522"/>
      <c r="G87" s="523" t="s">
        <v>58</v>
      </c>
    </row>
    <row r="88" spans="1:7" ht="21" hidden="1">
      <c r="A88" s="34"/>
      <c r="B88" s="521" t="s">
        <v>98</v>
      </c>
      <c r="C88" s="522">
        <v>69635910</v>
      </c>
      <c r="D88" s="521"/>
      <c r="E88" s="522"/>
      <c r="F88" s="522"/>
      <c r="G88" s="523" t="s">
        <v>58</v>
      </c>
    </row>
    <row r="89" spans="1:7" ht="21" hidden="1">
      <c r="A89" s="34"/>
      <c r="B89" s="521" t="s">
        <v>98</v>
      </c>
      <c r="C89" s="522">
        <v>2708106</v>
      </c>
      <c r="D89" s="521"/>
      <c r="E89" s="522"/>
      <c r="F89" s="522"/>
      <c r="G89" s="523" t="s">
        <v>58</v>
      </c>
    </row>
    <row r="90" spans="1:7" ht="21" hidden="1">
      <c r="A90" s="34"/>
      <c r="B90" s="29" t="s">
        <v>250</v>
      </c>
      <c r="C90" s="59">
        <v>49772465</v>
      </c>
      <c r="D90" s="29"/>
      <c r="E90" s="59"/>
      <c r="F90" s="59"/>
      <c r="G90" s="61" t="s">
        <v>154</v>
      </c>
    </row>
    <row r="91" spans="1:7" ht="21" hidden="1">
      <c r="A91" s="34"/>
      <c r="B91" s="29" t="s">
        <v>61</v>
      </c>
      <c r="C91" s="59">
        <v>670608</v>
      </c>
      <c r="D91" s="29"/>
      <c r="E91" s="59"/>
      <c r="F91" s="59"/>
      <c r="G91" s="61" t="s">
        <v>154</v>
      </c>
    </row>
    <row r="92" spans="1:7" ht="21" hidden="1">
      <c r="A92" s="34">
        <v>45706</v>
      </c>
      <c r="B92" s="29" t="s">
        <v>926</v>
      </c>
      <c r="C92" s="59">
        <v>469600</v>
      </c>
      <c r="D92" s="29"/>
      <c r="E92" s="59"/>
      <c r="F92" s="59"/>
      <c r="G92" s="61" t="s">
        <v>54</v>
      </c>
    </row>
    <row r="93" spans="1:7" ht="21" hidden="1">
      <c r="A93" s="34"/>
      <c r="B93" s="29" t="s">
        <v>870</v>
      </c>
      <c r="C93" s="59">
        <v>28182245</v>
      </c>
      <c r="D93" s="29"/>
      <c r="E93" s="59"/>
      <c r="F93" s="59"/>
      <c r="G93" s="61" t="s">
        <v>60</v>
      </c>
    </row>
    <row r="94" spans="1:7" ht="21" hidden="1">
      <c r="A94" s="34"/>
      <c r="B94" s="560" t="s">
        <v>4994</v>
      </c>
      <c r="C94" s="561">
        <v>1400000</v>
      </c>
      <c r="D94" s="560"/>
      <c r="E94" s="561"/>
      <c r="F94" s="561"/>
      <c r="G94" s="562" t="s">
        <v>57</v>
      </c>
    </row>
    <row r="95" spans="1:7" ht="21" hidden="1">
      <c r="A95" s="34"/>
      <c r="B95" s="560" t="s">
        <v>4994</v>
      </c>
      <c r="C95" s="561">
        <v>904000</v>
      </c>
      <c r="D95" s="560"/>
      <c r="E95" s="561"/>
      <c r="F95" s="561"/>
      <c r="G95" s="562" t="s">
        <v>57</v>
      </c>
    </row>
    <row r="96" spans="1:7" ht="21" hidden="1">
      <c r="A96" s="34"/>
      <c r="B96" s="67" t="s">
        <v>376</v>
      </c>
      <c r="C96" s="68">
        <v>41564645</v>
      </c>
      <c r="D96" s="67"/>
      <c r="E96" s="68"/>
      <c r="F96" s="68"/>
      <c r="G96" s="69" t="s">
        <v>57</v>
      </c>
    </row>
    <row r="97" spans="1:7" ht="21" hidden="1">
      <c r="A97" s="34"/>
      <c r="B97" s="29" t="s">
        <v>9581</v>
      </c>
      <c r="C97" s="59">
        <v>1450150</v>
      </c>
      <c r="D97" s="29"/>
      <c r="E97" s="59"/>
      <c r="F97" s="59"/>
      <c r="G97" s="61" t="s">
        <v>154</v>
      </c>
    </row>
    <row r="98" spans="1:7" ht="21" hidden="1">
      <c r="A98" s="34"/>
      <c r="B98" s="29" t="s">
        <v>9582</v>
      </c>
      <c r="C98" s="59">
        <v>14932750</v>
      </c>
      <c r="D98" s="29"/>
      <c r="E98" s="59"/>
      <c r="F98" s="59"/>
      <c r="G98" s="61"/>
    </row>
    <row r="99" spans="1:7" ht="21" hidden="1">
      <c r="A99" s="34"/>
      <c r="B99" s="29" t="s">
        <v>556</v>
      </c>
      <c r="C99" s="59">
        <v>6792475</v>
      </c>
      <c r="D99" s="29"/>
      <c r="E99" s="59"/>
      <c r="F99" s="59"/>
      <c r="G99" s="61" t="s">
        <v>154</v>
      </c>
    </row>
    <row r="100" spans="1:7" ht="21" hidden="1">
      <c r="A100" s="34"/>
      <c r="B100" s="29" t="s">
        <v>301</v>
      </c>
      <c r="C100" s="59">
        <v>8500000</v>
      </c>
      <c r="D100" s="29"/>
      <c r="E100" s="59"/>
      <c r="F100" s="59"/>
      <c r="G100" s="61" t="s">
        <v>154</v>
      </c>
    </row>
    <row r="101" spans="1:7" ht="21" hidden="1">
      <c r="A101" s="34"/>
      <c r="B101" s="29" t="s">
        <v>9583</v>
      </c>
      <c r="C101" s="59">
        <v>450000</v>
      </c>
      <c r="D101" s="29"/>
      <c r="E101" s="59"/>
      <c r="F101" s="59"/>
      <c r="G101" s="61"/>
    </row>
    <row r="102" spans="1:7" ht="21" hidden="1">
      <c r="A102" s="34"/>
      <c r="B102" s="29" t="s">
        <v>61</v>
      </c>
      <c r="C102" s="59">
        <v>127905716</v>
      </c>
      <c r="D102" s="29"/>
      <c r="E102" s="59"/>
      <c r="F102" s="59"/>
      <c r="G102" s="61" t="s">
        <v>154</v>
      </c>
    </row>
    <row r="103" spans="1:7" ht="21" hidden="1">
      <c r="A103" s="34"/>
      <c r="B103" s="29" t="s">
        <v>9584</v>
      </c>
      <c r="C103" s="59">
        <v>3450000</v>
      </c>
      <c r="D103" s="29"/>
      <c r="E103" s="59"/>
      <c r="F103" s="59"/>
      <c r="G103" s="61" t="s">
        <v>154</v>
      </c>
    </row>
    <row r="104" spans="1:7" ht="21" hidden="1">
      <c r="A104" s="34"/>
      <c r="B104" s="29" t="s">
        <v>544</v>
      </c>
      <c r="C104" s="59">
        <v>792000</v>
      </c>
      <c r="D104" s="29"/>
      <c r="E104" s="59"/>
      <c r="F104" s="59"/>
      <c r="G104" s="61" t="s">
        <v>154</v>
      </c>
    </row>
    <row r="105" spans="1:7" ht="21" hidden="1">
      <c r="A105" s="34">
        <v>45707</v>
      </c>
      <c r="B105" s="67" t="s">
        <v>376</v>
      </c>
      <c r="C105" s="68">
        <v>4723221</v>
      </c>
      <c r="D105" s="67"/>
      <c r="E105" s="68"/>
      <c r="F105" s="68"/>
      <c r="G105" s="69" t="s">
        <v>57</v>
      </c>
    </row>
    <row r="106" spans="1:7" ht="21" hidden="1">
      <c r="A106" s="34"/>
      <c r="B106" s="67" t="s">
        <v>450</v>
      </c>
      <c r="C106" s="68">
        <v>1427369</v>
      </c>
      <c r="D106" s="67"/>
      <c r="E106" s="68"/>
      <c r="F106" s="68"/>
      <c r="G106" s="69" t="s">
        <v>57</v>
      </c>
    </row>
    <row r="107" spans="1:7" ht="21" hidden="1">
      <c r="A107" s="34"/>
      <c r="B107" s="67" t="s">
        <v>376</v>
      </c>
      <c r="C107" s="68">
        <v>251890</v>
      </c>
      <c r="D107" s="67"/>
      <c r="E107" s="68"/>
      <c r="F107" s="68"/>
      <c r="G107" s="69" t="s">
        <v>57</v>
      </c>
    </row>
    <row r="108" spans="1:7" ht="21" hidden="1">
      <c r="A108" s="34"/>
      <c r="B108" s="67" t="s">
        <v>376</v>
      </c>
      <c r="C108" s="68">
        <v>3593973</v>
      </c>
      <c r="D108" s="67"/>
      <c r="E108" s="68"/>
      <c r="F108" s="68"/>
      <c r="G108" s="69" t="s">
        <v>57</v>
      </c>
    </row>
    <row r="109" spans="1:7" ht="21" hidden="1">
      <c r="A109" s="34"/>
      <c r="B109" s="29" t="s">
        <v>81</v>
      </c>
      <c r="C109" s="59">
        <v>570631</v>
      </c>
      <c r="D109" s="29"/>
      <c r="E109" s="59"/>
      <c r="F109" s="59"/>
      <c r="G109" s="61" t="s">
        <v>56</v>
      </c>
    </row>
    <row r="110" spans="1:7" ht="21" hidden="1">
      <c r="A110" s="34"/>
      <c r="B110" s="29" t="s">
        <v>287</v>
      </c>
      <c r="C110" s="59">
        <v>528000</v>
      </c>
      <c r="D110" s="29"/>
      <c r="E110" s="59"/>
      <c r="F110" s="59"/>
      <c r="G110" s="61" t="s">
        <v>58</v>
      </c>
    </row>
    <row r="111" spans="1:7" ht="21" hidden="1">
      <c r="A111" s="34"/>
      <c r="B111" s="29" t="s">
        <v>134</v>
      </c>
      <c r="C111" s="59">
        <v>18457500</v>
      </c>
      <c r="D111" s="29"/>
      <c r="E111" s="59"/>
      <c r="F111" s="59"/>
      <c r="G111" s="61" t="s">
        <v>58</v>
      </c>
    </row>
    <row r="112" spans="1:7" ht="21" hidden="1">
      <c r="A112" s="34"/>
      <c r="B112" s="29" t="s">
        <v>780</v>
      </c>
      <c r="C112" s="59">
        <v>1824570</v>
      </c>
      <c r="D112" s="29"/>
      <c r="E112" s="59"/>
      <c r="F112" s="59"/>
      <c r="G112" s="61" t="s">
        <v>58</v>
      </c>
    </row>
    <row r="113" spans="1:7" ht="21" hidden="1">
      <c r="A113" s="34"/>
      <c r="B113" s="30" t="s">
        <v>9585</v>
      </c>
      <c r="C113" s="31">
        <v>2464165</v>
      </c>
      <c r="D113" s="4"/>
      <c r="E113" s="31"/>
      <c r="F113" s="31"/>
      <c r="G113" s="32" t="s">
        <v>58</v>
      </c>
    </row>
    <row r="114" spans="1:7" ht="21" hidden="1">
      <c r="A114" s="34"/>
      <c r="B114" s="29" t="s">
        <v>9586</v>
      </c>
      <c r="C114" s="59">
        <v>600000</v>
      </c>
      <c r="D114" s="29"/>
      <c r="E114" s="59"/>
      <c r="F114" s="59"/>
      <c r="G114" s="61" t="s">
        <v>58</v>
      </c>
    </row>
    <row r="115" spans="1:7" ht="21" hidden="1">
      <c r="A115" s="34"/>
      <c r="B115" s="29" t="s">
        <v>7821</v>
      </c>
      <c r="C115" s="59">
        <v>20149881</v>
      </c>
      <c r="D115" s="29"/>
      <c r="E115" s="59"/>
      <c r="F115" s="59"/>
      <c r="G115" s="61" t="s">
        <v>58</v>
      </c>
    </row>
    <row r="116" spans="1:7" ht="21" hidden="1">
      <c r="A116" s="34"/>
      <c r="B116" s="29" t="s">
        <v>7821</v>
      </c>
      <c r="C116" s="59">
        <v>16527158</v>
      </c>
      <c r="D116" s="29"/>
      <c r="E116" s="59"/>
      <c r="F116" s="59"/>
      <c r="G116" s="61" t="s">
        <v>58</v>
      </c>
    </row>
    <row r="117" spans="1:7" ht="21" hidden="1">
      <c r="A117" s="34">
        <v>45708</v>
      </c>
      <c r="B117" s="560" t="s">
        <v>4994</v>
      </c>
      <c r="C117" s="561">
        <v>1223000</v>
      </c>
      <c r="D117" s="560"/>
      <c r="E117" s="561"/>
      <c r="F117" s="561"/>
      <c r="G117" s="562" t="s">
        <v>57</v>
      </c>
    </row>
    <row r="118" spans="1:7" ht="21" hidden="1">
      <c r="A118" s="34"/>
      <c r="B118" s="29" t="s">
        <v>9587</v>
      </c>
      <c r="C118" s="59">
        <v>396000</v>
      </c>
      <c r="D118" s="29"/>
      <c r="E118" s="59"/>
      <c r="F118" s="59"/>
      <c r="G118" s="61" t="s">
        <v>57</v>
      </c>
    </row>
    <row r="119" spans="1:7" ht="21" hidden="1">
      <c r="A119" s="34"/>
      <c r="B119" s="29" t="s">
        <v>9588</v>
      </c>
      <c r="C119" s="59">
        <v>580800</v>
      </c>
      <c r="D119" s="29"/>
      <c r="E119" s="59"/>
      <c r="F119" s="59"/>
      <c r="G119" s="61" t="s">
        <v>57</v>
      </c>
    </row>
    <row r="120" spans="1:7" ht="21" hidden="1">
      <c r="A120" s="34"/>
      <c r="B120" s="29" t="s">
        <v>9589</v>
      </c>
      <c r="C120" s="59">
        <v>528000</v>
      </c>
      <c r="D120" s="29"/>
      <c r="E120" s="59"/>
      <c r="F120" s="59"/>
      <c r="G120" s="61" t="s">
        <v>57</v>
      </c>
    </row>
    <row r="121" spans="1:7" ht="21" hidden="1">
      <c r="A121" s="34"/>
      <c r="B121" s="29" t="s">
        <v>9590</v>
      </c>
      <c r="C121" s="59">
        <v>808970</v>
      </c>
      <c r="D121" s="29"/>
      <c r="E121" s="59"/>
      <c r="F121" s="59"/>
      <c r="G121" s="61" t="s">
        <v>57</v>
      </c>
    </row>
    <row r="122" spans="1:7" ht="21" hidden="1">
      <c r="A122" s="34"/>
      <c r="B122" s="560" t="s">
        <v>406</v>
      </c>
      <c r="C122" s="561">
        <v>14490750</v>
      </c>
      <c r="D122" s="560"/>
      <c r="E122" s="561"/>
      <c r="F122" s="561"/>
      <c r="G122" s="562" t="s">
        <v>57</v>
      </c>
    </row>
    <row r="123" spans="1:7" ht="21" hidden="1">
      <c r="A123" s="34"/>
      <c r="B123" s="29" t="s">
        <v>9591</v>
      </c>
      <c r="C123" s="59">
        <v>899300</v>
      </c>
      <c r="D123" s="29"/>
      <c r="E123" s="59"/>
      <c r="F123" s="59"/>
      <c r="G123" s="61" t="s">
        <v>57</v>
      </c>
    </row>
    <row r="124" spans="1:7" ht="21" hidden="1">
      <c r="A124" s="34"/>
      <c r="B124" s="29" t="s">
        <v>9592</v>
      </c>
      <c r="C124" s="59">
        <v>266925</v>
      </c>
      <c r="D124" s="29"/>
      <c r="E124" s="59"/>
      <c r="F124" s="59"/>
      <c r="G124" s="61" t="s">
        <v>53</v>
      </c>
    </row>
    <row r="125" spans="1:7" ht="21" hidden="1">
      <c r="A125" s="34"/>
      <c r="B125" s="29" t="s">
        <v>9593</v>
      </c>
      <c r="C125" s="59">
        <v>2650000</v>
      </c>
      <c r="D125" s="29"/>
      <c r="E125" s="59"/>
      <c r="F125" s="59"/>
      <c r="G125" s="61" t="s">
        <v>53</v>
      </c>
    </row>
    <row r="126" spans="1:7" ht="21" hidden="1">
      <c r="A126" s="34"/>
      <c r="B126" s="29" t="s">
        <v>7821</v>
      </c>
      <c r="C126" s="59">
        <v>62770158</v>
      </c>
      <c r="D126" s="29"/>
      <c r="E126" s="59"/>
      <c r="F126" s="59"/>
      <c r="G126" s="61" t="s">
        <v>58</v>
      </c>
    </row>
    <row r="127" spans="1:7" ht="21" hidden="1">
      <c r="A127" s="34"/>
      <c r="B127" s="29" t="s">
        <v>7821</v>
      </c>
      <c r="C127" s="59">
        <v>16527158</v>
      </c>
      <c r="D127" s="29"/>
      <c r="E127" s="59"/>
      <c r="F127" s="59"/>
      <c r="G127" s="61" t="s">
        <v>58</v>
      </c>
    </row>
    <row r="128" spans="1:7" ht="21" hidden="1">
      <c r="A128" s="34">
        <v>45709</v>
      </c>
      <c r="B128" s="29" t="s">
        <v>5030</v>
      </c>
      <c r="C128" s="59">
        <v>13972500</v>
      </c>
      <c r="D128" s="29"/>
      <c r="E128" s="59"/>
      <c r="F128" s="59"/>
      <c r="G128" s="61" t="s">
        <v>1074</v>
      </c>
    </row>
    <row r="129" spans="1:7" ht="21" hidden="1">
      <c r="A129" s="34"/>
      <c r="B129" s="67" t="s">
        <v>7822</v>
      </c>
      <c r="C129" s="68">
        <v>1794039</v>
      </c>
      <c r="D129" s="67"/>
      <c r="E129" s="68"/>
      <c r="F129" s="68"/>
      <c r="G129" s="69" t="s">
        <v>57</v>
      </c>
    </row>
    <row r="130" spans="1:7" ht="21" hidden="1">
      <c r="A130" s="34"/>
      <c r="B130" s="67" t="s">
        <v>7822</v>
      </c>
      <c r="C130" s="68">
        <v>2989695</v>
      </c>
      <c r="D130" s="67"/>
      <c r="E130" s="68"/>
      <c r="F130" s="68"/>
      <c r="G130" s="69" t="s">
        <v>57</v>
      </c>
    </row>
    <row r="131" spans="1:7" ht="21" hidden="1">
      <c r="A131" s="34"/>
      <c r="B131" s="67" t="s">
        <v>376</v>
      </c>
      <c r="C131" s="68">
        <v>332544</v>
      </c>
      <c r="D131" s="67"/>
      <c r="E131" s="68"/>
      <c r="F131" s="68"/>
      <c r="G131" s="69" t="s">
        <v>57</v>
      </c>
    </row>
    <row r="132" spans="1:7" ht="21" hidden="1">
      <c r="A132" s="34"/>
      <c r="B132" s="67" t="s">
        <v>376</v>
      </c>
      <c r="C132" s="68">
        <v>2481076</v>
      </c>
      <c r="D132" s="67"/>
      <c r="E132" s="68"/>
      <c r="F132" s="68"/>
      <c r="G132" s="69" t="s">
        <v>57</v>
      </c>
    </row>
    <row r="133" spans="1:7" ht="21" hidden="1">
      <c r="A133" s="34"/>
      <c r="B133" s="29" t="s">
        <v>101</v>
      </c>
      <c r="C133" s="59">
        <v>4971996</v>
      </c>
      <c r="D133" s="29"/>
      <c r="E133" s="59"/>
      <c r="F133" s="59"/>
      <c r="G133" s="61" t="s">
        <v>58</v>
      </c>
    </row>
    <row r="134" spans="1:7" ht="21" hidden="1">
      <c r="A134" s="34"/>
      <c r="B134" s="29" t="s">
        <v>7821</v>
      </c>
      <c r="C134" s="59">
        <v>46254801</v>
      </c>
      <c r="D134" s="29"/>
      <c r="E134" s="59"/>
      <c r="F134" s="59"/>
      <c r="G134" s="61" t="s">
        <v>58</v>
      </c>
    </row>
    <row r="135" spans="1:7" ht="21" hidden="1">
      <c r="A135" s="34"/>
      <c r="B135" s="521" t="s">
        <v>757</v>
      </c>
      <c r="C135" s="522">
        <v>3883172</v>
      </c>
      <c r="D135" s="521"/>
      <c r="E135" s="522"/>
      <c r="F135" s="522"/>
      <c r="G135" s="523" t="s">
        <v>58</v>
      </c>
    </row>
    <row r="136" spans="1:7" ht="21" hidden="1">
      <c r="A136" s="34"/>
      <c r="B136" s="29" t="s">
        <v>7821</v>
      </c>
      <c r="C136" s="59">
        <v>46254801</v>
      </c>
      <c r="D136" s="29"/>
      <c r="E136" s="59"/>
      <c r="F136" s="59"/>
      <c r="G136" s="61" t="s">
        <v>58</v>
      </c>
    </row>
    <row r="137" spans="1:7" ht="21" hidden="1">
      <c r="A137" s="34">
        <v>45712</v>
      </c>
      <c r="B137" s="29" t="s">
        <v>9594</v>
      </c>
      <c r="C137" s="59">
        <v>396000</v>
      </c>
      <c r="D137" s="29"/>
      <c r="E137" s="59"/>
      <c r="F137" s="59"/>
      <c r="G137" s="61" t="s">
        <v>56</v>
      </c>
    </row>
    <row r="138" spans="1:7" ht="21" hidden="1">
      <c r="A138" s="34"/>
      <c r="B138" s="29" t="s">
        <v>9595</v>
      </c>
      <c r="C138" s="59">
        <v>450000</v>
      </c>
      <c r="D138" s="29"/>
      <c r="E138" s="59"/>
      <c r="F138" s="59"/>
      <c r="G138" s="61" t="s">
        <v>56</v>
      </c>
    </row>
    <row r="139" spans="1:7" ht="21" hidden="1">
      <c r="A139" s="34"/>
      <c r="B139" s="29" t="s">
        <v>9596</v>
      </c>
      <c r="C139" s="59">
        <v>493680</v>
      </c>
      <c r="D139" s="29"/>
      <c r="E139" s="59"/>
      <c r="F139" s="59"/>
      <c r="G139" s="61" t="s">
        <v>56</v>
      </c>
    </row>
    <row r="140" spans="1:7" ht="21" hidden="1">
      <c r="A140" s="34"/>
      <c r="B140" s="29" t="s">
        <v>9597</v>
      </c>
      <c r="C140" s="59">
        <v>528000</v>
      </c>
      <c r="D140" s="29"/>
      <c r="E140" s="59"/>
      <c r="F140" s="59"/>
      <c r="G140" s="61" t="s">
        <v>56</v>
      </c>
    </row>
    <row r="141" spans="1:7" ht="21" hidden="1">
      <c r="A141" s="34"/>
      <c r="B141" s="29" t="s">
        <v>9598</v>
      </c>
      <c r="C141" s="59">
        <v>528000</v>
      </c>
      <c r="D141" s="29"/>
      <c r="E141" s="59"/>
      <c r="F141" s="59"/>
      <c r="G141" s="61" t="s">
        <v>56</v>
      </c>
    </row>
    <row r="142" spans="1:7" ht="21" hidden="1">
      <c r="A142" s="34"/>
      <c r="B142" s="29" t="s">
        <v>5023</v>
      </c>
      <c r="C142" s="59">
        <v>528000</v>
      </c>
      <c r="D142" s="29"/>
      <c r="E142" s="59"/>
      <c r="F142" s="59"/>
      <c r="G142" s="61" t="s">
        <v>56</v>
      </c>
    </row>
    <row r="143" spans="1:7" ht="21" hidden="1">
      <c r="A143" s="34"/>
      <c r="B143" s="29" t="s">
        <v>9599</v>
      </c>
      <c r="C143" s="59">
        <v>588000</v>
      </c>
      <c r="D143" s="29"/>
      <c r="E143" s="59"/>
      <c r="F143" s="59"/>
      <c r="G143" s="61" t="s">
        <v>56</v>
      </c>
    </row>
    <row r="144" spans="1:7" ht="21" hidden="1">
      <c r="A144" s="34"/>
      <c r="B144" s="29" t="s">
        <v>9600</v>
      </c>
      <c r="C144" s="59">
        <v>600000</v>
      </c>
      <c r="D144" s="29"/>
      <c r="E144" s="59"/>
      <c r="F144" s="59"/>
      <c r="G144" s="61" t="s">
        <v>56</v>
      </c>
    </row>
    <row r="145" spans="1:7" ht="21" hidden="1">
      <c r="A145" s="34"/>
      <c r="B145" s="29" t="s">
        <v>9601</v>
      </c>
      <c r="C145" s="59">
        <v>726000</v>
      </c>
      <c r="D145" s="29"/>
      <c r="E145" s="59"/>
      <c r="F145" s="59"/>
      <c r="G145" s="61" t="s">
        <v>56</v>
      </c>
    </row>
    <row r="146" spans="1:7" ht="21" hidden="1">
      <c r="A146" s="34"/>
      <c r="B146" s="29" t="s">
        <v>409</v>
      </c>
      <c r="C146" s="59">
        <v>726000</v>
      </c>
      <c r="D146" s="29"/>
      <c r="E146" s="59"/>
      <c r="F146" s="59"/>
      <c r="G146" s="61" t="s">
        <v>56</v>
      </c>
    </row>
    <row r="147" spans="1:7" ht="21" hidden="1">
      <c r="A147" s="34"/>
      <c r="B147" s="29" t="s">
        <v>9602</v>
      </c>
      <c r="C147" s="59">
        <v>726000</v>
      </c>
      <c r="D147" s="29"/>
      <c r="E147" s="59"/>
      <c r="F147" s="59"/>
      <c r="G147" s="61" t="s">
        <v>56</v>
      </c>
    </row>
    <row r="148" spans="1:7" ht="21" hidden="1">
      <c r="A148" s="34"/>
      <c r="B148" s="29" t="s">
        <v>228</v>
      </c>
      <c r="C148" s="59">
        <v>726000</v>
      </c>
      <c r="D148" s="29"/>
      <c r="E148" s="59"/>
      <c r="F148" s="59"/>
      <c r="G148" s="61" t="s">
        <v>56</v>
      </c>
    </row>
    <row r="149" spans="1:7" ht="21" hidden="1">
      <c r="A149" s="34"/>
      <c r="B149" s="29" t="s">
        <v>485</v>
      </c>
      <c r="C149" s="59">
        <v>792000</v>
      </c>
      <c r="D149" s="29"/>
      <c r="E149" s="59"/>
      <c r="F149" s="59"/>
      <c r="G149" s="61" t="s">
        <v>56</v>
      </c>
    </row>
    <row r="150" spans="1:7" ht="21" hidden="1">
      <c r="A150" s="34"/>
      <c r="B150" s="29" t="s">
        <v>9603</v>
      </c>
      <c r="C150" s="59">
        <v>792000</v>
      </c>
      <c r="D150" s="29"/>
      <c r="E150" s="59"/>
      <c r="F150" s="59"/>
      <c r="G150" s="61" t="s">
        <v>56</v>
      </c>
    </row>
    <row r="151" spans="1:7" ht="21" hidden="1">
      <c r="A151" s="34"/>
      <c r="B151" s="29" t="s">
        <v>280</v>
      </c>
      <c r="C151" s="59">
        <v>871200</v>
      </c>
      <c r="D151" s="29"/>
      <c r="E151" s="59"/>
      <c r="F151" s="59"/>
      <c r="G151" s="61" t="s">
        <v>56</v>
      </c>
    </row>
    <row r="152" spans="1:7" ht="21" hidden="1">
      <c r="A152" s="34"/>
      <c r="B152" s="29" t="s">
        <v>9604</v>
      </c>
      <c r="C152" s="59">
        <v>1016400</v>
      </c>
      <c r="D152" s="29"/>
      <c r="E152" s="59"/>
      <c r="F152" s="59"/>
      <c r="G152" s="61" t="s">
        <v>56</v>
      </c>
    </row>
    <row r="153" spans="1:7" ht="21" hidden="1">
      <c r="A153" s="34"/>
      <c r="B153" s="29" t="s">
        <v>868</v>
      </c>
      <c r="C153" s="59">
        <v>1054152</v>
      </c>
      <c r="D153" s="29"/>
      <c r="E153" s="59"/>
      <c r="F153" s="59"/>
      <c r="G153" s="61" t="s">
        <v>56</v>
      </c>
    </row>
    <row r="154" spans="1:7" ht="21" hidden="1">
      <c r="A154" s="34"/>
      <c r="B154" s="29" t="s">
        <v>179</v>
      </c>
      <c r="C154" s="59">
        <v>1056000</v>
      </c>
      <c r="D154" s="29"/>
      <c r="E154" s="59"/>
      <c r="F154" s="59"/>
      <c r="G154" s="61" t="s">
        <v>56</v>
      </c>
    </row>
    <row r="155" spans="1:7" ht="21" hidden="1">
      <c r="A155" s="34"/>
      <c r="B155" s="29" t="s">
        <v>774</v>
      </c>
      <c r="C155" s="59">
        <v>11512936</v>
      </c>
      <c r="D155" s="29"/>
      <c r="E155" s="59"/>
      <c r="F155" s="59"/>
      <c r="G155" s="61" t="s">
        <v>56</v>
      </c>
    </row>
    <row r="156" spans="1:7" ht="21" hidden="1">
      <c r="A156" s="34"/>
      <c r="B156" s="175" t="s">
        <v>9605</v>
      </c>
      <c r="C156" s="176">
        <v>258658436</v>
      </c>
      <c r="D156" s="175"/>
      <c r="E156" s="176"/>
      <c r="F156" s="176"/>
      <c r="G156" s="178" t="s">
        <v>154</v>
      </c>
    </row>
    <row r="157" spans="1:7" ht="21" hidden="1">
      <c r="A157" s="34"/>
      <c r="B157" s="175" t="s">
        <v>9605</v>
      </c>
      <c r="C157" s="176">
        <v>258658463</v>
      </c>
      <c r="D157" s="175"/>
      <c r="E157" s="176"/>
      <c r="F157" s="176"/>
      <c r="G157" s="178" t="s">
        <v>154</v>
      </c>
    </row>
    <row r="158" spans="1:7" ht="21" hidden="1">
      <c r="A158" s="34"/>
      <c r="B158" s="560" t="s">
        <v>9606</v>
      </c>
      <c r="C158" s="561">
        <v>169722859</v>
      </c>
      <c r="D158" s="560"/>
      <c r="E158" s="561"/>
      <c r="F158" s="561"/>
      <c r="G158" s="562"/>
    </row>
    <row r="159" spans="1:7" ht="21" hidden="1">
      <c r="B159" s="560" t="s">
        <v>9607</v>
      </c>
      <c r="C159" s="561">
        <v>120500000</v>
      </c>
      <c r="D159" s="560"/>
      <c r="E159" s="561"/>
      <c r="F159" s="561"/>
      <c r="G159" s="562"/>
    </row>
    <row r="160" spans="1:7" ht="21" hidden="1">
      <c r="A160" s="91">
        <v>45714</v>
      </c>
      <c r="B160" s="67" t="s">
        <v>376</v>
      </c>
      <c r="C160" s="68">
        <v>1352277</v>
      </c>
      <c r="D160" s="67"/>
      <c r="E160" s="68"/>
      <c r="F160" s="68"/>
      <c r="G160" s="69" t="s">
        <v>57</v>
      </c>
    </row>
    <row r="161" spans="1:7" ht="21" hidden="1">
      <c r="B161" s="29" t="s">
        <v>515</v>
      </c>
      <c r="C161" s="59">
        <v>2300000</v>
      </c>
      <c r="D161" s="29"/>
      <c r="E161" s="59"/>
      <c r="F161" s="59"/>
      <c r="G161" s="61" t="s">
        <v>154</v>
      </c>
    </row>
    <row r="162" spans="1:7" ht="21" hidden="1">
      <c r="A162" s="91">
        <v>45715</v>
      </c>
      <c r="B162" s="521" t="s">
        <v>9608</v>
      </c>
      <c r="C162" s="522">
        <v>13866670</v>
      </c>
      <c r="D162" s="521"/>
      <c r="E162" s="522"/>
      <c r="F162" s="522"/>
      <c r="G162" s="523" t="s">
        <v>58</v>
      </c>
    </row>
    <row r="163" spans="1:7" ht="21" hidden="1">
      <c r="B163" s="29" t="s">
        <v>68</v>
      </c>
      <c r="C163" s="59">
        <v>30870009</v>
      </c>
      <c r="D163" s="29"/>
      <c r="E163" s="59"/>
      <c r="F163" s="59"/>
      <c r="G163" s="61" t="s">
        <v>56</v>
      </c>
    </row>
    <row r="164" spans="1:7" ht="21" hidden="1">
      <c r="B164" s="29" t="s">
        <v>124</v>
      </c>
      <c r="C164" s="59">
        <v>64631876</v>
      </c>
      <c r="D164" s="29"/>
      <c r="E164" s="59"/>
      <c r="F164" s="59"/>
      <c r="G164" s="61" t="s">
        <v>56</v>
      </c>
    </row>
    <row r="165" spans="1:7" ht="21" hidden="1">
      <c r="B165" s="29" t="s">
        <v>893</v>
      </c>
      <c r="C165" s="59">
        <v>8852295</v>
      </c>
      <c r="D165" s="29"/>
      <c r="E165" s="59"/>
      <c r="F165" s="59"/>
      <c r="G165" s="61" t="s">
        <v>154</v>
      </c>
    </row>
    <row r="166" spans="1:7" ht="21" hidden="1">
      <c r="B166" s="29" t="s">
        <v>100</v>
      </c>
      <c r="C166" s="59">
        <v>8627111</v>
      </c>
      <c r="D166" s="29"/>
      <c r="E166" s="59"/>
      <c r="F166" s="59"/>
      <c r="G166" s="61" t="s">
        <v>154</v>
      </c>
    </row>
    <row r="167" spans="1:7" ht="21" hidden="1">
      <c r="B167" s="29" t="s">
        <v>100</v>
      </c>
      <c r="C167" s="59">
        <v>9609511</v>
      </c>
      <c r="D167" s="29"/>
      <c r="E167" s="59"/>
      <c r="F167" s="59"/>
      <c r="G167" s="61" t="s">
        <v>154</v>
      </c>
    </row>
    <row r="168" spans="1:7" ht="21" hidden="1">
      <c r="B168" s="29" t="s">
        <v>9609</v>
      </c>
      <c r="C168" s="59">
        <v>2962204</v>
      </c>
      <c r="D168" s="29"/>
      <c r="E168" s="59"/>
      <c r="F168" s="59"/>
      <c r="G168" s="61" t="s">
        <v>1071</v>
      </c>
    </row>
    <row r="169" spans="1:7" ht="21" hidden="1">
      <c r="B169" s="29" t="s">
        <v>7821</v>
      </c>
      <c r="C169" s="59">
        <v>132134658</v>
      </c>
      <c r="D169" s="29"/>
      <c r="E169" s="59"/>
      <c r="F169" s="59"/>
      <c r="G169" s="61" t="s">
        <v>58</v>
      </c>
    </row>
    <row r="170" spans="1:7" ht="21" hidden="1">
      <c r="A170" s="91">
        <v>45716</v>
      </c>
      <c r="B170" s="29" t="s">
        <v>9610</v>
      </c>
      <c r="C170" s="59">
        <v>1000000</v>
      </c>
      <c r="D170" s="29"/>
      <c r="E170" s="59"/>
      <c r="F170" s="59"/>
      <c r="G170" s="61" t="s">
        <v>53</v>
      </c>
    </row>
    <row r="171" spans="1:7" ht="21" hidden="1">
      <c r="B171" s="29" t="s">
        <v>9611</v>
      </c>
      <c r="C171" s="59">
        <v>9600000</v>
      </c>
      <c r="D171" s="29"/>
      <c r="E171" s="59"/>
      <c r="F171" s="59"/>
      <c r="G171" s="61" t="s">
        <v>90</v>
      </c>
    </row>
    <row r="172" spans="1:7" ht="21" hidden="1">
      <c r="B172" s="29" t="s">
        <v>107</v>
      </c>
      <c r="C172" s="59">
        <v>3415500</v>
      </c>
      <c r="D172" s="29"/>
      <c r="E172" s="59"/>
      <c r="F172" s="59"/>
      <c r="G172" s="61" t="s">
        <v>54</v>
      </c>
    </row>
    <row r="173" spans="1:7" ht="21" hidden="1">
      <c r="B173" s="29" t="s">
        <v>9612</v>
      </c>
      <c r="C173" s="59">
        <v>762300</v>
      </c>
      <c r="D173" s="29"/>
      <c r="E173" s="59"/>
      <c r="F173" s="59"/>
      <c r="G173" s="61" t="s">
        <v>56</v>
      </c>
    </row>
    <row r="174" spans="1:7" ht="21" hidden="1">
      <c r="B174" s="29" t="s">
        <v>465</v>
      </c>
      <c r="C174" s="59">
        <v>356468</v>
      </c>
      <c r="D174" s="29"/>
      <c r="E174" s="59"/>
      <c r="F174" s="59"/>
      <c r="G174" s="61" t="s">
        <v>57</v>
      </c>
    </row>
    <row r="175" spans="1:7" ht="21" hidden="1">
      <c r="B175" s="72" t="s">
        <v>826</v>
      </c>
      <c r="C175" s="73">
        <v>58864</v>
      </c>
      <c r="D175" s="72"/>
      <c r="E175" s="73"/>
      <c r="F175" s="73"/>
      <c r="G175" s="75" t="s">
        <v>57</v>
      </c>
    </row>
    <row r="176" spans="1:7" ht="21" hidden="1">
      <c r="B176" s="29" t="s">
        <v>314</v>
      </c>
      <c r="C176" s="59">
        <v>293977198</v>
      </c>
      <c r="D176" s="29"/>
      <c r="E176" s="59"/>
      <c r="F176" s="59"/>
      <c r="G176" s="61" t="s">
        <v>154</v>
      </c>
    </row>
    <row r="177" spans="1:7" ht="21" hidden="1">
      <c r="B177" s="29" t="s">
        <v>9613</v>
      </c>
      <c r="C177" s="59">
        <v>1552500</v>
      </c>
      <c r="D177" s="29"/>
      <c r="E177" s="59"/>
      <c r="F177" s="59"/>
      <c r="G177" s="61" t="s">
        <v>154</v>
      </c>
    </row>
    <row r="178" spans="1:7" ht="21" hidden="1">
      <c r="B178" s="29" t="s">
        <v>870</v>
      </c>
      <c r="C178" s="59">
        <v>17250000</v>
      </c>
      <c r="D178" s="29"/>
      <c r="E178" s="59"/>
      <c r="F178" s="59"/>
      <c r="G178" s="61" t="s">
        <v>60</v>
      </c>
    </row>
    <row r="179" spans="1:7" ht="21" hidden="1">
      <c r="A179" s="91">
        <v>45719</v>
      </c>
      <c r="B179" s="29" t="s">
        <v>549</v>
      </c>
      <c r="C179" s="59">
        <v>8986107</v>
      </c>
      <c r="D179" s="29"/>
      <c r="E179" s="59"/>
      <c r="F179" s="59"/>
      <c r="G179" s="61" t="s">
        <v>57</v>
      </c>
    </row>
    <row r="180" spans="1:7" ht="21" hidden="1">
      <c r="B180" s="29" t="s">
        <v>951</v>
      </c>
      <c r="C180" s="59">
        <v>28376250</v>
      </c>
      <c r="D180" s="29"/>
      <c r="E180" s="59"/>
      <c r="F180" s="59"/>
      <c r="G180" s="61" t="s">
        <v>57</v>
      </c>
    </row>
    <row r="181" spans="1:7" ht="21" hidden="1">
      <c r="B181" s="29" t="s">
        <v>951</v>
      </c>
      <c r="C181" s="59">
        <v>28376250</v>
      </c>
      <c r="D181" s="29"/>
      <c r="E181" s="59"/>
      <c r="F181" s="59"/>
      <c r="G181" s="61" t="s">
        <v>57</v>
      </c>
    </row>
    <row r="182" spans="1:7" ht="21" hidden="1">
      <c r="B182" s="29" t="s">
        <v>9614</v>
      </c>
      <c r="C182" s="59">
        <v>1841645</v>
      </c>
      <c r="D182" s="29"/>
      <c r="E182" s="59"/>
      <c r="F182" s="59"/>
      <c r="G182" s="61" t="s">
        <v>57</v>
      </c>
    </row>
    <row r="183" spans="1:7" ht="21" hidden="1">
      <c r="B183" s="67" t="s">
        <v>7822</v>
      </c>
      <c r="C183" s="68">
        <v>822832</v>
      </c>
      <c r="D183" s="67"/>
      <c r="E183" s="68"/>
      <c r="F183" s="68"/>
      <c r="G183" s="69" t="s">
        <v>57</v>
      </c>
    </row>
    <row r="184" spans="1:7" ht="21" hidden="1">
      <c r="B184" s="67" t="s">
        <v>7822</v>
      </c>
      <c r="C184" s="68">
        <v>582330</v>
      </c>
      <c r="D184" s="67"/>
      <c r="E184" s="68"/>
      <c r="F184" s="68"/>
      <c r="G184" s="69" t="s">
        <v>57</v>
      </c>
    </row>
    <row r="185" spans="1:7" ht="21" hidden="1">
      <c r="B185" s="67" t="s">
        <v>376</v>
      </c>
      <c r="C185" s="68">
        <v>10702799</v>
      </c>
      <c r="D185" s="67"/>
      <c r="E185" s="68"/>
      <c r="F185" s="68"/>
      <c r="G185" s="69" t="s">
        <v>57</v>
      </c>
    </row>
    <row r="186" spans="1:7" ht="21" hidden="1">
      <c r="B186" s="67" t="s">
        <v>376</v>
      </c>
      <c r="C186" s="68">
        <v>52546922</v>
      </c>
      <c r="D186" s="67"/>
      <c r="E186" s="68"/>
      <c r="F186" s="68"/>
      <c r="G186" s="69" t="s">
        <v>57</v>
      </c>
    </row>
    <row r="187" spans="1:7" ht="21" hidden="1">
      <c r="B187" s="67" t="s">
        <v>376</v>
      </c>
      <c r="C187" s="68">
        <v>10446922</v>
      </c>
      <c r="D187" s="67"/>
      <c r="E187" s="68"/>
      <c r="F187" s="68"/>
      <c r="G187" s="69" t="s">
        <v>57</v>
      </c>
    </row>
    <row r="188" spans="1:7" ht="21" hidden="1">
      <c r="B188" s="29" t="s">
        <v>9615</v>
      </c>
      <c r="C188" s="59">
        <v>3900000</v>
      </c>
      <c r="D188" s="29"/>
      <c r="E188" s="59"/>
      <c r="F188" s="59"/>
      <c r="G188" s="61" t="s">
        <v>57</v>
      </c>
    </row>
    <row r="189" spans="1:7" ht="18.5">
      <c r="B189" s="37"/>
      <c r="C189" s="38">
        <f>SUM(C9:C159)</f>
        <v>4993958476</v>
      </c>
      <c r="D189" s="4"/>
      <c r="E189" s="38">
        <f>SUM(E10:E159)</f>
        <v>0</v>
      </c>
      <c r="F189" s="38"/>
      <c r="G189" s="4"/>
    </row>
    <row r="190" spans="1:7" hidden="1"/>
    <row r="191" spans="1:7" hidden="1"/>
    <row r="192" spans="1:7" ht="19" thickBot="1">
      <c r="B192" s="39" t="s">
        <v>71</v>
      </c>
      <c r="C192" s="39"/>
      <c r="D192" s="39"/>
    </row>
    <row r="193" spans="2:3" hidden="1"/>
    <row r="194" spans="2:3" hidden="1"/>
    <row r="195" spans="2:3" hidden="1"/>
    <row r="196" spans="2:3" hidden="1"/>
    <row r="197" spans="2:3" ht="18.5" hidden="1">
      <c r="B197" s="570" t="s">
        <v>73</v>
      </c>
      <c r="C197" s="571"/>
    </row>
    <row r="198" spans="2:3" hidden="1"/>
    <row r="199" spans="2:3" ht="18.5" hidden="1">
      <c r="B199" s="41" t="s">
        <v>74</v>
      </c>
      <c r="C199" s="41" t="s">
        <v>51</v>
      </c>
    </row>
    <row r="200" spans="2:3" ht="21" hidden="1">
      <c r="B200" s="42">
        <v>45713</v>
      </c>
      <c r="C200" s="43">
        <v>0</v>
      </c>
    </row>
    <row r="201" spans="2:3" ht="21" hidden="1">
      <c r="B201" s="42">
        <v>45714</v>
      </c>
      <c r="C201" s="43">
        <v>3652277</v>
      </c>
    </row>
    <row r="202" spans="2:3" ht="21" hidden="1">
      <c r="B202" s="42">
        <v>45715</v>
      </c>
      <c r="C202" s="43">
        <v>271554334</v>
      </c>
    </row>
    <row r="203" spans="2:3" ht="21" hidden="1">
      <c r="B203" s="42">
        <v>45716</v>
      </c>
      <c r="C203" s="43">
        <v>327972830</v>
      </c>
    </row>
    <row r="204" spans="2:3" ht="21" hidden="1">
      <c r="B204" s="42">
        <v>45719</v>
      </c>
      <c r="C204" s="43">
        <v>146582057</v>
      </c>
    </row>
    <row r="205" spans="2:3" ht="21" hidden="1">
      <c r="B205" s="41" t="s">
        <v>75</v>
      </c>
      <c r="C205" s="43">
        <f>+C204+C203+C202+C201+C200</f>
        <v>749761498</v>
      </c>
    </row>
    <row r="206" spans="2:3" hidden="1"/>
    <row r="207" spans="2:3" hidden="1">
      <c r="C207" s="44"/>
    </row>
    <row r="208" spans="2:3" hidden="1">
      <c r="C208" s="44"/>
    </row>
    <row r="209" spans="2:3" ht="21" hidden="1">
      <c r="B209" s="46"/>
      <c r="C209" s="44"/>
    </row>
    <row r="210" spans="2:3" ht="18.5" hidden="1">
      <c r="B210" s="47" t="s">
        <v>76</v>
      </c>
    </row>
    <row r="211" spans="2:3" hidden="1">
      <c r="C211" s="44"/>
    </row>
    <row r="212" spans="2:3" ht="15.5" hidden="1">
      <c r="B212" s="48"/>
      <c r="C212" s="49"/>
    </row>
    <row r="213" spans="2:3" ht="15.5" hidden="1">
      <c r="B213" s="48"/>
      <c r="C213" s="49"/>
    </row>
    <row r="214" spans="2:3" ht="15.5" hidden="1">
      <c r="B214" s="50" t="s">
        <v>77</v>
      </c>
    </row>
    <row r="215" spans="2:3" ht="21" hidden="1">
      <c r="B215" s="30"/>
      <c r="C215" s="31"/>
    </row>
    <row r="216" spans="2:3" ht="21" hidden="1">
      <c r="B216" s="30"/>
      <c r="C216" s="31"/>
    </row>
    <row r="217" spans="2:3" ht="21" hidden="1">
      <c r="B217" s="30"/>
      <c r="C217" s="31"/>
    </row>
    <row r="218" spans="2:3" ht="21" hidden="1">
      <c r="B218" s="30"/>
      <c r="C218" s="31"/>
    </row>
    <row r="219" spans="2:3" ht="21" hidden="1">
      <c r="B219" s="30"/>
      <c r="C219" s="31"/>
    </row>
    <row r="220" spans="2:3" ht="21" hidden="1">
      <c r="B220" s="30"/>
      <c r="C220" s="31"/>
    </row>
    <row r="221" spans="2:3" ht="21" hidden="1">
      <c r="B221" s="30"/>
      <c r="C221" s="31"/>
    </row>
    <row r="222" spans="2:3" ht="21" hidden="1">
      <c r="B222" s="30"/>
      <c r="C222" s="31"/>
    </row>
    <row r="223" spans="2:3" ht="21" hidden="1">
      <c r="B223" s="30"/>
      <c r="C223" s="31"/>
    </row>
    <row r="224" spans="2:3" ht="21" hidden="1">
      <c r="B224" s="30"/>
      <c r="C224" s="31"/>
    </row>
    <row r="225" spans="2:3" ht="21" hidden="1">
      <c r="B225" s="30"/>
      <c r="C225" s="31"/>
    </row>
    <row r="226" spans="2:3" ht="21" hidden="1">
      <c r="B226" s="30"/>
      <c r="C226" s="31"/>
    </row>
    <row r="227" spans="2:3" ht="21" hidden="1">
      <c r="B227" s="30"/>
      <c r="C227" s="31"/>
    </row>
    <row r="228" spans="2:3" ht="21" hidden="1">
      <c r="B228" s="30"/>
      <c r="C228" s="31"/>
    </row>
    <row r="229" spans="2:3" ht="21" hidden="1">
      <c r="B229" s="30"/>
      <c r="C229" s="31"/>
    </row>
    <row r="230" spans="2:3" ht="21" hidden="1">
      <c r="B230" s="30"/>
      <c r="C230" s="31"/>
    </row>
    <row r="231" spans="2:3" ht="21" hidden="1">
      <c r="B231" s="30"/>
      <c r="C231" s="31"/>
    </row>
    <row r="232" spans="2:3" ht="21" hidden="1">
      <c r="B232" s="30"/>
      <c r="C232" s="31"/>
    </row>
    <row r="233" spans="2:3" ht="21" hidden="1">
      <c r="B233" s="51"/>
      <c r="C233" s="31"/>
    </row>
    <row r="234" spans="2:3" ht="15.5" hidden="1">
      <c r="B234" s="48" t="s">
        <v>75</v>
      </c>
      <c r="C234" s="49">
        <f>C228+C227+C226+C225+C224+C223+C222+C221+C220+C219+C218+C217+C216+C215</f>
        <v>0</v>
      </c>
    </row>
    <row r="235" spans="2:3" ht="15.5" hidden="1">
      <c r="B235" s="48"/>
      <c r="C235" s="49"/>
    </row>
    <row r="236" spans="2:3" ht="15.5" hidden="1">
      <c r="B236" s="48"/>
      <c r="C236" s="49"/>
    </row>
    <row r="237" spans="2:3" ht="15.5" hidden="1">
      <c r="B237" s="48"/>
      <c r="C237" s="49"/>
    </row>
    <row r="238" spans="2:3" ht="15.5" hidden="1">
      <c r="B238" s="50" t="s">
        <v>78</v>
      </c>
    </row>
    <row r="239" spans="2:3" ht="21" hidden="1">
      <c r="B239" s="35" t="s">
        <v>376</v>
      </c>
      <c r="C239" s="31">
        <v>1352277</v>
      </c>
    </row>
    <row r="240" spans="2:3" ht="21" hidden="1">
      <c r="B240" s="35" t="s">
        <v>826</v>
      </c>
      <c r="C240" s="31">
        <v>58864</v>
      </c>
    </row>
    <row r="241" spans="2:3" ht="21" hidden="1">
      <c r="B241" s="35" t="s">
        <v>7822</v>
      </c>
      <c r="C241" s="31">
        <v>822832</v>
      </c>
    </row>
    <row r="242" spans="2:3" ht="21" hidden="1">
      <c r="B242" s="35" t="s">
        <v>7822</v>
      </c>
      <c r="C242" s="31">
        <v>582330</v>
      </c>
    </row>
    <row r="243" spans="2:3" ht="21" hidden="1">
      <c r="B243" s="35" t="s">
        <v>376</v>
      </c>
      <c r="C243" s="31">
        <v>10702799</v>
      </c>
    </row>
    <row r="244" spans="2:3" ht="21" hidden="1">
      <c r="B244" s="35" t="s">
        <v>376</v>
      </c>
      <c r="C244" s="31">
        <v>52546922</v>
      </c>
    </row>
    <row r="245" spans="2:3" ht="21" hidden="1">
      <c r="B245" s="35" t="s">
        <v>376</v>
      </c>
      <c r="C245" s="31">
        <v>10446922</v>
      </c>
    </row>
    <row r="246" spans="2:3" ht="21" hidden="1">
      <c r="B246" s="30"/>
      <c r="C246" s="31"/>
    </row>
    <row r="247" spans="2:3" ht="21" hidden="1">
      <c r="B247" s="30"/>
      <c r="C247" s="31"/>
    </row>
    <row r="248" spans="2:3" ht="21" hidden="1">
      <c r="B248" s="30"/>
      <c r="C248" s="31"/>
    </row>
    <row r="249" spans="2:3" ht="21" hidden="1">
      <c r="B249" s="30"/>
      <c r="C249" s="31"/>
    </row>
    <row r="250" spans="2:3" ht="21" hidden="1">
      <c r="B250" s="30"/>
      <c r="C250" s="31"/>
    </row>
    <row r="251" spans="2:3" ht="21" hidden="1">
      <c r="B251" s="31"/>
      <c r="C251" s="31"/>
    </row>
    <row r="252" spans="2:3" ht="21" hidden="1">
      <c r="B252" s="31"/>
      <c r="C252" s="31"/>
    </row>
    <row r="253" spans="2:3" ht="21" hidden="1">
      <c r="B253" s="31"/>
      <c r="C253" s="31"/>
    </row>
    <row r="254" spans="2:3" ht="21" hidden="1">
      <c r="B254" s="30"/>
      <c r="C254" s="31"/>
    </row>
    <row r="255" spans="2:3" ht="15.5" hidden="1">
      <c r="B255" s="48" t="s">
        <v>75</v>
      </c>
      <c r="C255" s="49">
        <f>+C250+C249+C248+C247+C246+C245+C244+C243+C242+C241+C240+C239</f>
        <v>76512946</v>
      </c>
    </row>
    <row r="256" spans="2:3" ht="15.5" hidden="1">
      <c r="B256" s="48"/>
      <c r="C256" s="49"/>
    </row>
    <row r="257" spans="2:3" ht="15.5" hidden="1">
      <c r="B257" s="48"/>
      <c r="C257" s="49"/>
    </row>
    <row r="258" spans="2:3" ht="15.5" hidden="1">
      <c r="B258" s="48"/>
      <c r="C258" s="49"/>
    </row>
    <row r="259" spans="2:3" ht="15.5" hidden="1">
      <c r="B259" s="50" t="s">
        <v>79</v>
      </c>
    </row>
    <row r="260" spans="2:3" ht="21" hidden="1">
      <c r="B260" s="30"/>
      <c r="C260" s="31"/>
    </row>
    <row r="261" spans="2:3" ht="21" hidden="1">
      <c r="B261" s="30"/>
      <c r="C261" s="31"/>
    </row>
    <row r="262" spans="2:3" ht="21" hidden="1">
      <c r="B262" s="30"/>
      <c r="C262" s="31"/>
    </row>
    <row r="263" spans="2:3" ht="21" hidden="1">
      <c r="B263" s="30"/>
      <c r="C263" s="31"/>
    </row>
    <row r="264" spans="2:3" ht="21" hidden="1">
      <c r="B264" s="30"/>
      <c r="C264" s="31"/>
    </row>
    <row r="265" spans="2:3" ht="21" hidden="1">
      <c r="B265" s="35"/>
      <c r="C265" s="31"/>
    </row>
    <row r="266" spans="2:3" ht="21" hidden="1">
      <c r="B266" s="30"/>
      <c r="C266" s="31"/>
    </row>
    <row r="267" spans="2:3" ht="21" hidden="1">
      <c r="B267" s="30"/>
      <c r="C267" s="31"/>
    </row>
    <row r="268" spans="2:3" ht="21" hidden="1">
      <c r="B268" s="30" t="s">
        <v>75</v>
      </c>
      <c r="C268" s="31">
        <f>SUM(C260:C267)</f>
        <v>0</v>
      </c>
    </row>
    <row r="269" spans="2:3" ht="15.5" hidden="1">
      <c r="B269" s="48"/>
      <c r="C269" s="49"/>
    </row>
    <row r="270" spans="2:3" ht="15.5" hidden="1">
      <c r="B270" s="48"/>
      <c r="C270" s="49"/>
    </row>
    <row r="271" spans="2:3" ht="15.5" hidden="1">
      <c r="B271" s="48"/>
      <c r="C271" s="49"/>
    </row>
    <row r="272" spans="2:3" ht="15.5" hidden="1">
      <c r="B272" s="48"/>
      <c r="C272" s="49"/>
    </row>
    <row r="273" spans="2:3" hidden="1">
      <c r="C273" s="44"/>
    </row>
    <row r="274" spans="2:3" ht="15.5" hidden="1">
      <c r="B274" s="50" t="s">
        <v>80</v>
      </c>
    </row>
    <row r="275" spans="2:3" ht="21" hidden="1">
      <c r="B275" s="35" t="s">
        <v>515</v>
      </c>
      <c r="C275" s="31">
        <v>2300000</v>
      </c>
    </row>
    <row r="276" spans="2:3" ht="21" hidden="1">
      <c r="B276" s="35" t="s">
        <v>9608</v>
      </c>
      <c r="C276" s="31">
        <v>13866670</v>
      </c>
    </row>
    <row r="277" spans="2:3" ht="21" hidden="1">
      <c r="B277" s="35" t="s">
        <v>68</v>
      </c>
      <c r="C277" s="31">
        <v>30870009</v>
      </c>
    </row>
    <row r="278" spans="2:3" ht="21" hidden="1">
      <c r="B278" s="35" t="s">
        <v>124</v>
      </c>
      <c r="C278" s="31">
        <v>64631876</v>
      </c>
    </row>
    <row r="279" spans="2:3" ht="21" hidden="1">
      <c r="B279" s="35" t="s">
        <v>893</v>
      </c>
      <c r="C279" s="31">
        <v>8852295</v>
      </c>
    </row>
    <row r="280" spans="2:3" ht="21" hidden="1">
      <c r="B280" s="35" t="s">
        <v>100</v>
      </c>
      <c r="C280" s="31">
        <v>8627111</v>
      </c>
    </row>
    <row r="281" spans="2:3" ht="21" hidden="1">
      <c r="B281" s="35" t="s">
        <v>100</v>
      </c>
      <c r="C281" s="31">
        <v>9609511</v>
      </c>
    </row>
    <row r="282" spans="2:3" ht="21" hidden="1">
      <c r="B282" s="35" t="s">
        <v>9609</v>
      </c>
      <c r="C282" s="31">
        <v>2962204</v>
      </c>
    </row>
    <row r="283" spans="2:3" ht="21" hidden="1">
      <c r="B283" s="35" t="s">
        <v>9610</v>
      </c>
      <c r="C283" s="31">
        <v>1000000</v>
      </c>
    </row>
    <row r="284" spans="2:3" ht="21" hidden="1">
      <c r="B284" s="35" t="s">
        <v>9611</v>
      </c>
      <c r="C284" s="31">
        <v>9600000</v>
      </c>
    </row>
    <row r="285" spans="2:3" ht="21" hidden="1">
      <c r="B285" s="35" t="s">
        <v>107</v>
      </c>
      <c r="C285" s="31">
        <v>3415500</v>
      </c>
    </row>
    <row r="286" spans="2:3" ht="21" hidden="1">
      <c r="B286" s="35" t="s">
        <v>9612</v>
      </c>
      <c r="C286" s="31">
        <v>762300</v>
      </c>
    </row>
    <row r="287" spans="2:3" ht="21" hidden="1">
      <c r="B287" s="35" t="s">
        <v>465</v>
      </c>
      <c r="C287" s="31">
        <v>356468</v>
      </c>
    </row>
    <row r="288" spans="2:3" ht="21" hidden="1">
      <c r="B288" s="35" t="s">
        <v>314</v>
      </c>
      <c r="C288" s="31">
        <v>293977198</v>
      </c>
    </row>
    <row r="289" spans="2:3" ht="21" hidden="1">
      <c r="B289" s="35" t="s">
        <v>9613</v>
      </c>
      <c r="C289" s="31">
        <v>1552500</v>
      </c>
    </row>
    <row r="290" spans="2:3" ht="21" hidden="1">
      <c r="B290" s="35" t="s">
        <v>870</v>
      </c>
      <c r="C290" s="31">
        <v>17250000</v>
      </c>
    </row>
    <row r="291" spans="2:3" ht="21" hidden="1">
      <c r="B291" s="35" t="s">
        <v>549</v>
      </c>
      <c r="C291" s="31">
        <v>8986107</v>
      </c>
    </row>
    <row r="292" spans="2:3" ht="21" hidden="1">
      <c r="B292" s="35" t="s">
        <v>951</v>
      </c>
      <c r="C292" s="31">
        <v>28376250</v>
      </c>
    </row>
    <row r="293" spans="2:3" ht="21" hidden="1">
      <c r="B293" s="35" t="s">
        <v>951</v>
      </c>
      <c r="C293" s="31">
        <v>28376250</v>
      </c>
    </row>
    <row r="294" spans="2:3" ht="21" hidden="1">
      <c r="B294" s="35" t="s">
        <v>9614</v>
      </c>
      <c r="C294" s="31">
        <v>1841645</v>
      </c>
    </row>
    <row r="295" spans="2:3" ht="21" hidden="1">
      <c r="B295" s="35" t="s">
        <v>9615</v>
      </c>
      <c r="C295" s="31">
        <v>3900000</v>
      </c>
    </row>
    <row r="296" spans="2:3" ht="21" hidden="1">
      <c r="B296" s="35" t="s">
        <v>7821</v>
      </c>
      <c r="C296" s="31">
        <v>132134658</v>
      </c>
    </row>
    <row r="297" spans="2:3" ht="21" hidden="1">
      <c r="B297" s="30"/>
      <c r="C297" s="31"/>
    </row>
    <row r="298" spans="2:3" ht="21" hidden="1">
      <c r="B298" s="30"/>
      <c r="C298" s="31"/>
    </row>
    <row r="299" spans="2:3" ht="21" hidden="1">
      <c r="B299" s="30"/>
      <c r="C299" s="31"/>
    </row>
    <row r="300" spans="2:3" ht="21" hidden="1">
      <c r="B300" s="30"/>
      <c r="C300" s="31"/>
    </row>
    <row r="301" spans="2:3" ht="21" hidden="1">
      <c r="B301" s="30"/>
      <c r="C301" s="31"/>
    </row>
    <row r="302" spans="2:3" ht="21" hidden="1">
      <c r="B302" s="30"/>
      <c r="C302" s="31"/>
    </row>
    <row r="303" spans="2:3" ht="21" hidden="1">
      <c r="B303" s="30"/>
      <c r="C303" s="31"/>
    </row>
    <row r="304" spans="2:3" ht="21" hidden="1">
      <c r="B304" s="30"/>
      <c r="C304" s="31"/>
    </row>
    <row r="305" spans="2:3" ht="21" hidden="1">
      <c r="B305" s="30"/>
      <c r="C305" s="31"/>
    </row>
    <row r="306" spans="2:3" ht="21" hidden="1">
      <c r="B306" s="30"/>
      <c r="C306" s="31"/>
    </row>
    <row r="307" spans="2:3" ht="21" hidden="1">
      <c r="B307" s="30"/>
      <c r="C307" s="31"/>
    </row>
    <row r="308" spans="2:3" ht="21" hidden="1">
      <c r="B308" s="30"/>
      <c r="C308" s="31"/>
    </row>
    <row r="309" spans="2:3" ht="21" hidden="1">
      <c r="B309" s="30"/>
      <c r="C309" s="31"/>
    </row>
    <row r="310" spans="2:3" ht="21" hidden="1">
      <c r="B310" s="30"/>
      <c r="C310" s="31"/>
    </row>
    <row r="311" spans="2:3" ht="21" hidden="1">
      <c r="B311" s="30"/>
      <c r="C311" s="31"/>
    </row>
    <row r="312" spans="2:3" ht="21" hidden="1">
      <c r="B312" s="30"/>
      <c r="C312" s="31"/>
    </row>
    <row r="313" spans="2:3" ht="21" hidden="1">
      <c r="B313" s="30"/>
      <c r="C313" s="31"/>
    </row>
    <row r="314" spans="2:3" ht="21" hidden="1">
      <c r="B314" s="30"/>
      <c r="C314" s="31"/>
    </row>
    <row r="315" spans="2:3" ht="21" hidden="1">
      <c r="B315" s="30"/>
      <c r="C315" s="31"/>
    </row>
    <row r="316" spans="2:3" ht="21" hidden="1">
      <c r="B316" s="30"/>
      <c r="C316" s="31"/>
    </row>
    <row r="317" spans="2:3" ht="21" hidden="1">
      <c r="B317" s="30"/>
      <c r="C317" s="31"/>
    </row>
    <row r="318" spans="2:3" ht="21" hidden="1">
      <c r="B318" s="30"/>
      <c r="C318" s="31"/>
    </row>
    <row r="319" spans="2:3" ht="21" hidden="1">
      <c r="B319" s="30"/>
      <c r="C319" s="31"/>
    </row>
    <row r="320" spans="2:3" ht="21" hidden="1">
      <c r="B320" s="30"/>
      <c r="C320" s="31"/>
    </row>
    <row r="321" spans="2:3" ht="21" hidden="1">
      <c r="B321" s="30"/>
      <c r="C321" s="31"/>
    </row>
    <row r="322" spans="2:3" ht="21" hidden="1">
      <c r="B322" s="30"/>
      <c r="C322" s="31"/>
    </row>
    <row r="323" spans="2:3" ht="21" hidden="1">
      <c r="B323" s="30"/>
      <c r="C323" s="31"/>
    </row>
    <row r="324" spans="2:3" ht="21" hidden="1">
      <c r="B324" s="30"/>
      <c r="C324" s="31"/>
    </row>
    <row r="325" spans="2:3" ht="21" hidden="1">
      <c r="B325" s="30"/>
      <c r="C325" s="31"/>
    </row>
    <row r="326" spans="2:3" ht="21" hidden="1">
      <c r="B326" s="30"/>
      <c r="C326" s="31"/>
    </row>
    <row r="327" spans="2:3" ht="21" hidden="1">
      <c r="B327" s="30"/>
      <c r="C327" s="31"/>
    </row>
    <row r="328" spans="2:3" ht="21" hidden="1">
      <c r="B328" s="30"/>
      <c r="C328" s="31"/>
    </row>
    <row r="329" spans="2:3" ht="21" hidden="1">
      <c r="B329" s="30"/>
      <c r="C329" s="31"/>
    </row>
    <row r="330" spans="2:3" ht="21" hidden="1">
      <c r="B330" s="30"/>
      <c r="C330" s="31"/>
    </row>
    <row r="331" spans="2:3" ht="21" hidden="1">
      <c r="B331" s="30"/>
      <c r="C331" s="31"/>
    </row>
    <row r="332" spans="2:3" ht="21" hidden="1">
      <c r="B332" s="30"/>
      <c r="C332" s="31"/>
    </row>
    <row r="333" spans="2:3" ht="21" hidden="1">
      <c r="B333" s="30"/>
      <c r="C333" s="31"/>
    </row>
    <row r="334" spans="2:3" ht="21" hidden="1">
      <c r="B334" s="30"/>
      <c r="C334" s="31"/>
    </row>
    <row r="335" spans="2:3" ht="21" hidden="1">
      <c r="B335" s="30"/>
      <c r="C335" s="31"/>
    </row>
    <row r="336" spans="2:3" ht="21" hidden="1">
      <c r="B336" s="30"/>
      <c r="C336" s="31"/>
    </row>
    <row r="337" spans="2:4" ht="21" hidden="1">
      <c r="B337" s="30"/>
      <c r="C337" s="31"/>
    </row>
    <row r="338" spans="2:4" ht="21" hidden="1">
      <c r="B338" s="30"/>
      <c r="C338" s="31"/>
    </row>
    <row r="339" spans="2:4" ht="21" hidden="1">
      <c r="B339" s="30"/>
      <c r="C339" s="31"/>
    </row>
    <row r="340" spans="2:4" ht="21" hidden="1">
      <c r="B340" s="30"/>
      <c r="C340" s="31"/>
    </row>
    <row r="341" spans="2:4" ht="21" hidden="1">
      <c r="B341" s="30"/>
      <c r="C341" s="31"/>
    </row>
    <row r="342" spans="2:4" ht="21" hidden="1">
      <c r="B342" s="30"/>
      <c r="C342" s="31"/>
    </row>
    <row r="343" spans="2:4" ht="21" hidden="1">
      <c r="B343" s="53"/>
      <c r="C343" s="43">
        <f>SUM(C275:C342)</f>
        <v>673248552</v>
      </c>
    </row>
    <row r="346" spans="2:4">
      <c r="C346" s="21">
        <f>SUBTOTAL(9,C10:C188)</f>
        <v>0</v>
      </c>
    </row>
    <row r="347" spans="2:4">
      <c r="D347" s="44">
        <f>+C346-C348-D349</f>
        <v>-1388830459</v>
      </c>
    </row>
    <row r="348" spans="2:4">
      <c r="C348" s="44">
        <f>+C45+C44+C43+C42+C40+C39</f>
        <v>1385245626</v>
      </c>
    </row>
    <row r="349" spans="2:4">
      <c r="C349" s="21">
        <v>1385245617</v>
      </c>
      <c r="D349" s="44">
        <f>+C24+C25+C41+C175</f>
        <v>3584833</v>
      </c>
    </row>
    <row r="350" spans="2:4">
      <c r="C350" s="22">
        <f>+C348-C349</f>
        <v>9</v>
      </c>
    </row>
  </sheetData>
  <autoFilter ref="B6:B343">
    <filterColumn colId="0">
      <colorFilter dxfId="1"/>
    </filterColumn>
  </autoFilter>
  <mergeCells count="5">
    <mergeCell ref="B6:C6"/>
    <mergeCell ref="C8:D8"/>
    <mergeCell ref="E8:F8"/>
    <mergeCell ref="G8:G9"/>
    <mergeCell ref="B197:C19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18"/>
  <sheetViews>
    <sheetView workbookViewId="0">
      <selection activeCell="G30" sqref="G30"/>
    </sheetView>
  </sheetViews>
  <sheetFormatPr baseColWidth="10" defaultRowHeight="14.5"/>
  <cols>
    <col min="1" max="1" width="49.1796875" bestFit="1" customWidth="1"/>
    <col min="2" max="2" width="55.54296875" bestFit="1" customWidth="1"/>
    <col min="3" max="4" width="18.1796875" bestFit="1" customWidth="1"/>
    <col min="5" max="5" width="24.6328125" customWidth="1"/>
    <col min="6" max="6" width="14.6328125" bestFit="1" customWidth="1"/>
    <col min="7" max="7" width="18.1796875" bestFit="1" customWidth="1"/>
    <col min="9" max="9" width="30" bestFit="1" customWidth="1"/>
    <col min="10" max="10" width="24.453125" bestFit="1" customWidth="1"/>
  </cols>
  <sheetData>
    <row r="3" spans="1:11" s="200" customFormat="1" ht="12.5">
      <c r="A3" s="199" t="s">
        <v>952</v>
      </c>
      <c r="B3" s="199" t="s">
        <v>953</v>
      </c>
      <c r="C3" s="199" t="s">
        <v>954</v>
      </c>
      <c r="D3" s="199" t="s">
        <v>955</v>
      </c>
      <c r="E3" s="199" t="s">
        <v>956</v>
      </c>
      <c r="F3" s="199" t="s">
        <v>957</v>
      </c>
      <c r="G3" s="199" t="s">
        <v>934</v>
      </c>
    </row>
    <row r="4" spans="1:11" s="513" customFormat="1">
      <c r="A4" s="549">
        <v>45698</v>
      </c>
      <c r="B4" s="550" t="s">
        <v>7763</v>
      </c>
      <c r="C4" s="550" t="s">
        <v>7815</v>
      </c>
      <c r="D4" s="550" t="s">
        <v>7814</v>
      </c>
      <c r="E4" s="549">
        <v>45698</v>
      </c>
      <c r="F4" s="551">
        <v>0</v>
      </c>
      <c r="G4" s="558">
        <v>-22000</v>
      </c>
    </row>
    <row r="5" spans="1:11" s="513" customFormat="1">
      <c r="A5" s="549">
        <v>45698</v>
      </c>
      <c r="B5" s="550" t="s">
        <v>7763</v>
      </c>
      <c r="C5" s="550" t="s">
        <v>7815</v>
      </c>
      <c r="D5" s="550" t="s">
        <v>7814</v>
      </c>
      <c r="E5" s="549">
        <v>45698</v>
      </c>
      <c r="F5" s="551">
        <v>0</v>
      </c>
      <c r="G5" s="558">
        <v>-17700</v>
      </c>
    </row>
    <row r="6" spans="1:11" s="514" customFormat="1">
      <c r="A6" s="549">
        <v>45698</v>
      </c>
      <c r="B6" s="550" t="s">
        <v>7813</v>
      </c>
      <c r="C6" s="550" t="s">
        <v>9539</v>
      </c>
      <c r="D6" s="550" t="s">
        <v>7814</v>
      </c>
      <c r="E6" s="549">
        <v>45698</v>
      </c>
      <c r="F6" s="551">
        <v>0</v>
      </c>
      <c r="G6" s="558">
        <v>-250287416</v>
      </c>
    </row>
    <row r="7" spans="1:11" s="513" customFormat="1" ht="37.25" customHeight="1">
      <c r="A7" s="552">
        <v>45709</v>
      </c>
      <c r="B7" s="553" t="s">
        <v>9540</v>
      </c>
      <c r="C7" s="554" t="s">
        <v>9541</v>
      </c>
      <c r="D7" s="554"/>
      <c r="E7" s="554"/>
      <c r="F7" s="554"/>
      <c r="G7" s="559">
        <v>-55000</v>
      </c>
      <c r="H7" s="554"/>
      <c r="I7" s="555">
        <v>55000</v>
      </c>
      <c r="J7" s="555"/>
      <c r="K7" s="555"/>
    </row>
    <row r="8" spans="1:11" s="514" customFormat="1" ht="22.25" customHeight="1">
      <c r="A8" s="552">
        <v>45709</v>
      </c>
      <c r="B8" s="553" t="s">
        <v>9540</v>
      </c>
      <c r="C8" s="554" t="s">
        <v>9541</v>
      </c>
      <c r="D8" s="554"/>
      <c r="E8" s="554"/>
      <c r="F8" s="554"/>
      <c r="G8" s="559">
        <v>-175489</v>
      </c>
      <c r="H8" s="554"/>
      <c r="I8" s="555">
        <v>175489</v>
      </c>
      <c r="J8" s="555"/>
      <c r="K8" s="555"/>
    </row>
    <row r="9" spans="1:11" s="514" customFormat="1">
      <c r="A9" s="552">
        <v>45709</v>
      </c>
      <c r="B9" s="553" t="s">
        <v>9542</v>
      </c>
      <c r="C9" s="554" t="s">
        <v>9543</v>
      </c>
      <c r="D9" s="554"/>
      <c r="E9" s="554"/>
      <c r="F9" s="554"/>
      <c r="G9" s="559">
        <v>-29281002</v>
      </c>
      <c r="H9" s="554"/>
      <c r="I9" s="555">
        <v>29281002</v>
      </c>
      <c r="J9" s="555"/>
      <c r="K9" s="555"/>
    </row>
    <row r="10" spans="1:11" s="514" customFormat="1">
      <c r="A10" s="547">
        <v>45712</v>
      </c>
      <c r="B10" s="372" t="s">
        <v>7763</v>
      </c>
      <c r="C10" s="372" t="s">
        <v>9549</v>
      </c>
      <c r="D10" s="372" t="s">
        <v>7814</v>
      </c>
      <c r="E10" s="547">
        <v>45712</v>
      </c>
      <c r="F10" s="373">
        <v>0</v>
      </c>
      <c r="G10" s="373">
        <v>-368595</v>
      </c>
    </row>
    <row r="11" spans="1:11" s="172" customFormat="1">
      <c r="A11" s="547">
        <v>45712</v>
      </c>
      <c r="B11" s="372" t="s">
        <v>7763</v>
      </c>
      <c r="C11" s="372" t="s">
        <v>9549</v>
      </c>
      <c r="D11" s="372" t="s">
        <v>7814</v>
      </c>
      <c r="E11" s="547">
        <v>45712</v>
      </c>
      <c r="F11" s="373">
        <v>0</v>
      </c>
      <c r="G11" s="373">
        <v>-67576</v>
      </c>
    </row>
    <row r="12" spans="1:11" s="172" customFormat="1">
      <c r="A12" s="547">
        <v>45712</v>
      </c>
      <c r="B12" s="372" t="s">
        <v>9550</v>
      </c>
      <c r="C12" s="372" t="s">
        <v>9551</v>
      </c>
      <c r="D12" s="372" t="s">
        <v>7814</v>
      </c>
      <c r="E12" s="547">
        <v>45709</v>
      </c>
      <c r="F12" s="373">
        <v>0</v>
      </c>
      <c r="G12" s="373">
        <v>-61432538</v>
      </c>
    </row>
    <row r="13" spans="1:11" s="172" customFormat="1">
      <c r="A13" s="547">
        <v>45712</v>
      </c>
      <c r="B13" s="372" t="s">
        <v>9552</v>
      </c>
      <c r="C13" s="372" t="s">
        <v>9553</v>
      </c>
      <c r="D13" s="372" t="s">
        <v>7814</v>
      </c>
      <c r="E13" s="547">
        <v>45712</v>
      </c>
      <c r="F13" s="373">
        <v>0</v>
      </c>
      <c r="G13" s="373">
        <v>-6560</v>
      </c>
    </row>
    <row r="14" spans="1:11" s="420" customFormat="1">
      <c r="A14" s="377"/>
      <c r="B14" s="378" t="s">
        <v>7816</v>
      </c>
      <c r="C14" s="378"/>
      <c r="D14" s="378"/>
      <c r="E14" s="377"/>
      <c r="F14" s="379"/>
      <c r="G14" s="419"/>
    </row>
    <row r="15" spans="1:11" s="420" customFormat="1">
      <c r="A15" s="377"/>
      <c r="B15" s="378"/>
      <c r="C15" s="378"/>
      <c r="D15" s="378"/>
      <c r="E15" s="377"/>
      <c r="F15" s="379"/>
      <c r="G15" s="419"/>
    </row>
    <row r="16" spans="1:11" s="172" customFormat="1">
      <c r="A16" s="377"/>
      <c r="B16" s="378"/>
      <c r="G16" s="419"/>
    </row>
    <row r="17" spans="1:8" s="172" customFormat="1">
      <c r="A17" s="377"/>
      <c r="B17" s="378"/>
      <c r="G17" s="419"/>
    </row>
    <row r="18" spans="1:8" s="172" customFormat="1">
      <c r="B18" s="378"/>
      <c r="G18" s="419"/>
    </row>
    <row r="19" spans="1:8" s="172" customFormat="1">
      <c r="G19" s="419"/>
    </row>
    <row r="20" spans="1:8" s="172" customFormat="1">
      <c r="G20" s="419"/>
    </row>
    <row r="21" spans="1:8" s="172" customFormat="1">
      <c r="G21" s="419"/>
    </row>
    <row r="22" spans="1:8" s="172" customFormat="1">
      <c r="G22" s="421"/>
    </row>
    <row r="23" spans="1:8" s="172" customFormat="1">
      <c r="G23" s="421"/>
    </row>
    <row r="24" spans="1:8" s="172" customFormat="1">
      <c r="G24" s="419"/>
    </row>
    <row r="25" spans="1:8" s="172" customFormat="1">
      <c r="G25" s="419"/>
    </row>
    <row r="26" spans="1:8" s="172" customFormat="1">
      <c r="B26" s="378"/>
      <c r="G26" s="419"/>
      <c r="H26" s="512"/>
    </row>
    <row r="27" spans="1:8" s="172" customFormat="1">
      <c r="G27" s="419"/>
    </row>
    <row r="28" spans="1:8" s="172" customFormat="1">
      <c r="G28" s="419"/>
    </row>
    <row r="29" spans="1:8" s="172" customFormat="1">
      <c r="G29" s="419"/>
    </row>
    <row r="30" spans="1:8" s="193" customFormat="1">
      <c r="G30" s="419"/>
    </row>
    <row r="31" spans="1:8">
      <c r="A31" s="584" t="s">
        <v>1070</v>
      </c>
      <c r="B31" s="584"/>
      <c r="C31" s="584"/>
      <c r="D31" s="584"/>
      <c r="E31" s="584"/>
      <c r="G31" s="380">
        <f>SUM(G4:G30)</f>
        <v>-341713876</v>
      </c>
    </row>
    <row r="35" spans="1:9" ht="17.399999999999999" customHeight="1">
      <c r="A35" s="548" t="s">
        <v>9537</v>
      </c>
      <c r="B35" s="548" t="s">
        <v>9538</v>
      </c>
      <c r="C35" s="548" t="s">
        <v>952</v>
      </c>
      <c r="D35" s="548" t="s">
        <v>953</v>
      </c>
      <c r="E35" s="548" t="s">
        <v>954</v>
      </c>
      <c r="F35" s="548" t="s">
        <v>955</v>
      </c>
      <c r="G35" s="548" t="s">
        <v>956</v>
      </c>
      <c r="H35" s="548" t="s">
        <v>957</v>
      </c>
      <c r="I35" s="548" t="s">
        <v>934</v>
      </c>
    </row>
    <row r="36" spans="1:9" s="514" customFormat="1">
      <c r="A36" s="372" t="s">
        <v>9509</v>
      </c>
      <c r="B36" s="372" t="s">
        <v>9510</v>
      </c>
      <c r="C36" s="547">
        <v>45691</v>
      </c>
      <c r="D36" s="372" t="s">
        <v>9511</v>
      </c>
      <c r="E36" s="372" t="s">
        <v>9512</v>
      </c>
      <c r="F36" s="372" t="s">
        <v>7814</v>
      </c>
      <c r="G36" s="547">
        <v>45691</v>
      </c>
      <c r="H36" s="373">
        <v>54288754</v>
      </c>
      <c r="I36" s="373">
        <v>0</v>
      </c>
    </row>
    <row r="37" spans="1:9" s="513" customFormat="1">
      <c r="A37" s="372" t="s">
        <v>9509</v>
      </c>
      <c r="B37" s="372" t="s">
        <v>9510</v>
      </c>
      <c r="C37" s="547">
        <v>45691</v>
      </c>
      <c r="D37" s="372" t="s">
        <v>9513</v>
      </c>
      <c r="E37" s="372" t="s">
        <v>9514</v>
      </c>
      <c r="F37" s="372" t="s">
        <v>7814</v>
      </c>
      <c r="G37" s="547">
        <v>45691</v>
      </c>
      <c r="H37" s="373">
        <v>655935855</v>
      </c>
      <c r="I37" s="373">
        <v>0</v>
      </c>
    </row>
    <row r="38" spans="1:9" s="514" customFormat="1">
      <c r="A38" s="372" t="s">
        <v>9509</v>
      </c>
      <c r="B38" s="372" t="s">
        <v>9510</v>
      </c>
      <c r="C38" s="547">
        <v>45691</v>
      </c>
      <c r="D38" s="372" t="s">
        <v>9515</v>
      </c>
      <c r="E38" s="372" t="s">
        <v>9516</v>
      </c>
      <c r="F38" s="372" t="s">
        <v>7814</v>
      </c>
      <c r="G38" s="547">
        <v>45691</v>
      </c>
      <c r="H38" s="373">
        <v>63554451</v>
      </c>
      <c r="I38" s="373">
        <v>0</v>
      </c>
    </row>
    <row r="39" spans="1:9" s="513" customFormat="1">
      <c r="A39" s="372" t="s">
        <v>9509</v>
      </c>
      <c r="B39" s="372" t="s">
        <v>9510</v>
      </c>
      <c r="C39" s="547">
        <v>45691</v>
      </c>
      <c r="D39" s="372" t="s">
        <v>9517</v>
      </c>
      <c r="E39" s="372" t="s">
        <v>9518</v>
      </c>
      <c r="F39" s="372" t="s">
        <v>7814</v>
      </c>
      <c r="G39" s="547">
        <v>45691</v>
      </c>
      <c r="H39" s="373">
        <v>44542945</v>
      </c>
      <c r="I39" s="373">
        <v>0</v>
      </c>
    </row>
    <row r="40" spans="1:9" s="513" customFormat="1">
      <c r="A40" s="372" t="s">
        <v>9509</v>
      </c>
      <c r="B40" s="372" t="s">
        <v>9510</v>
      </c>
      <c r="C40" s="547">
        <v>45691</v>
      </c>
      <c r="D40" s="372" t="s">
        <v>9519</v>
      </c>
      <c r="E40" s="372" t="s">
        <v>9520</v>
      </c>
      <c r="F40" s="372" t="s">
        <v>7814</v>
      </c>
      <c r="G40" s="547">
        <v>45691</v>
      </c>
      <c r="H40" s="373">
        <v>49560667</v>
      </c>
      <c r="I40" s="373">
        <v>0</v>
      </c>
    </row>
    <row r="41" spans="1:9" s="514" customFormat="1">
      <c r="A41" s="372" t="s">
        <v>9509</v>
      </c>
      <c r="B41" s="372" t="s">
        <v>9510</v>
      </c>
      <c r="C41" s="547">
        <v>45691</v>
      </c>
      <c r="D41" s="372" t="s">
        <v>9521</v>
      </c>
      <c r="E41" s="372" t="s">
        <v>9522</v>
      </c>
      <c r="F41" s="372" t="s">
        <v>7814</v>
      </c>
      <c r="G41" s="547">
        <v>45691</v>
      </c>
      <c r="H41" s="373">
        <v>54902629</v>
      </c>
      <c r="I41" s="373">
        <v>0</v>
      </c>
    </row>
    <row r="42" spans="1:9" s="514" customFormat="1">
      <c r="A42" s="372" t="s">
        <v>9509</v>
      </c>
      <c r="B42" s="372" t="s">
        <v>9510</v>
      </c>
      <c r="C42" s="547">
        <v>45694</v>
      </c>
      <c r="D42" s="372" t="s">
        <v>9523</v>
      </c>
      <c r="E42" s="372" t="s">
        <v>9524</v>
      </c>
      <c r="F42" s="372" t="s">
        <v>7814</v>
      </c>
      <c r="G42" s="547">
        <v>45694</v>
      </c>
      <c r="H42" s="373">
        <v>55753652</v>
      </c>
      <c r="I42" s="373">
        <v>0</v>
      </c>
    </row>
    <row r="43" spans="1:9" s="514" customFormat="1">
      <c r="A43" s="372" t="s">
        <v>9509</v>
      </c>
      <c r="B43" s="372" t="s">
        <v>9510</v>
      </c>
      <c r="C43" s="547">
        <v>45700</v>
      </c>
      <c r="D43" s="372" t="s">
        <v>9525</v>
      </c>
      <c r="E43" s="372" t="s">
        <v>9526</v>
      </c>
      <c r="F43" s="372" t="s">
        <v>7814</v>
      </c>
      <c r="G43" s="547">
        <v>45700</v>
      </c>
      <c r="H43" s="373">
        <v>39889002</v>
      </c>
      <c r="I43" s="373">
        <v>0</v>
      </c>
    </row>
    <row r="44" spans="1:9" s="514" customFormat="1">
      <c r="A44" s="372" t="s">
        <v>9509</v>
      </c>
      <c r="B44" s="372" t="s">
        <v>9510</v>
      </c>
      <c r="C44" s="547">
        <v>45700</v>
      </c>
      <c r="D44" s="372" t="s">
        <v>9527</v>
      </c>
      <c r="E44" s="372" t="s">
        <v>9528</v>
      </c>
      <c r="F44" s="372" t="s">
        <v>7814</v>
      </c>
      <c r="G44" s="547">
        <v>45700</v>
      </c>
      <c r="H44" s="373">
        <v>61500565</v>
      </c>
      <c r="I44" s="373">
        <v>0</v>
      </c>
    </row>
    <row r="45" spans="1:9" s="514" customFormat="1">
      <c r="A45" s="372" t="s">
        <v>9509</v>
      </c>
      <c r="B45" s="372" t="s">
        <v>9510</v>
      </c>
      <c r="C45" s="547">
        <v>45700</v>
      </c>
      <c r="D45" s="372" t="s">
        <v>9529</v>
      </c>
      <c r="E45" s="372" t="s">
        <v>9530</v>
      </c>
      <c r="F45" s="372" t="s">
        <v>7814</v>
      </c>
      <c r="G45" s="547">
        <v>45700</v>
      </c>
      <c r="H45" s="373">
        <v>494292155</v>
      </c>
      <c r="I45" s="373">
        <v>0</v>
      </c>
    </row>
    <row r="46" spans="1:9" s="514" customFormat="1">
      <c r="A46" s="372" t="s">
        <v>9509</v>
      </c>
      <c r="B46" s="372" t="s">
        <v>9510</v>
      </c>
      <c r="C46" s="547">
        <v>45706</v>
      </c>
      <c r="D46" s="372" t="s">
        <v>9531</v>
      </c>
      <c r="E46" s="372" t="s">
        <v>9532</v>
      </c>
      <c r="F46" s="372" t="s">
        <v>7814</v>
      </c>
      <c r="G46" s="547">
        <v>45706</v>
      </c>
      <c r="H46" s="373">
        <v>60135819</v>
      </c>
      <c r="I46" s="373">
        <v>0</v>
      </c>
    </row>
    <row r="47" spans="1:9" s="514" customFormat="1">
      <c r="A47" s="372" t="s">
        <v>9509</v>
      </c>
      <c r="B47" s="372" t="s">
        <v>9510</v>
      </c>
      <c r="C47" s="547">
        <v>45706</v>
      </c>
      <c r="D47" s="372" t="s">
        <v>9533</v>
      </c>
      <c r="E47" s="372" t="s">
        <v>9534</v>
      </c>
      <c r="F47" s="372" t="s">
        <v>7814</v>
      </c>
      <c r="G47" s="547">
        <v>45706</v>
      </c>
      <c r="H47" s="373">
        <v>55926036</v>
      </c>
      <c r="I47" s="373">
        <v>0</v>
      </c>
    </row>
    <row r="48" spans="1:9" s="513" customFormat="1">
      <c r="A48" s="372" t="s">
        <v>9509</v>
      </c>
      <c r="B48" s="372" t="s">
        <v>9510</v>
      </c>
      <c r="C48" s="547">
        <v>45715</v>
      </c>
      <c r="D48" s="372" t="s">
        <v>9535</v>
      </c>
      <c r="E48" s="372" t="s">
        <v>9536</v>
      </c>
      <c r="F48" s="372" t="s">
        <v>7814</v>
      </c>
      <c r="G48" s="547">
        <v>45715</v>
      </c>
      <c r="H48" s="373">
        <v>58522332</v>
      </c>
      <c r="I48" s="373">
        <v>0</v>
      </c>
    </row>
    <row r="49" spans="1:7" s="420" customFormat="1">
      <c r="A49" s="377"/>
      <c r="B49" s="378"/>
      <c r="C49" s="378"/>
      <c r="D49" s="378"/>
      <c r="E49" s="377"/>
      <c r="F49" s="419"/>
      <c r="G49" s="379"/>
    </row>
    <row r="50" spans="1:7" s="420" customFormat="1">
      <c r="A50" s="377"/>
      <c r="B50" s="378"/>
      <c r="C50" s="378"/>
      <c r="D50" s="378"/>
      <c r="E50" s="377"/>
      <c r="F50" s="419"/>
      <c r="G50" s="379"/>
    </row>
    <row r="51" spans="1:7" s="420" customFormat="1">
      <c r="A51" s="377"/>
      <c r="B51" s="378"/>
      <c r="C51" s="378"/>
      <c r="D51" s="378"/>
      <c r="E51" s="377"/>
      <c r="F51" s="419"/>
      <c r="G51" s="379"/>
    </row>
    <row r="52" spans="1:7" s="420" customFormat="1">
      <c r="A52" s="377"/>
      <c r="B52" s="378"/>
      <c r="C52" s="378"/>
      <c r="D52" s="378"/>
      <c r="E52" s="377"/>
      <c r="F52" s="419"/>
      <c r="G52" s="379">
        <v>0</v>
      </c>
    </row>
    <row r="53" spans="1:7" s="420" customFormat="1">
      <c r="A53" s="377"/>
      <c r="B53" s="378"/>
      <c r="C53" s="378"/>
      <c r="D53" s="378"/>
      <c r="E53" s="377"/>
      <c r="F53" s="419"/>
      <c r="G53" s="379">
        <v>0</v>
      </c>
    </row>
    <row r="54" spans="1:7">
      <c r="F54" s="21"/>
    </row>
    <row r="55" spans="1:7">
      <c r="B55" s="422" t="s">
        <v>4946</v>
      </c>
      <c r="F55" s="21"/>
    </row>
    <row r="58" spans="1:7">
      <c r="A58" s="584" t="s">
        <v>1069</v>
      </c>
      <c r="B58" s="584"/>
      <c r="C58" s="584"/>
      <c r="D58" s="584"/>
      <c r="E58" s="381"/>
      <c r="F58" s="380">
        <f>SUM(H36:H48)</f>
        <v>1748804862</v>
      </c>
    </row>
    <row r="59" spans="1:7">
      <c r="E59" s="21"/>
    </row>
    <row r="68" spans="1:10">
      <c r="A68" s="201" t="s">
        <v>958</v>
      </c>
    </row>
    <row r="70" spans="1:10" s="172" customFormat="1">
      <c r="A70" s="377"/>
      <c r="B70" s="378"/>
      <c r="C70" s="378"/>
      <c r="D70" s="378"/>
      <c r="E70" s="377"/>
      <c r="F70" s="379"/>
      <c r="G70" s="379"/>
    </row>
    <row r="71" spans="1:10">
      <c r="A71" s="374"/>
      <c r="B71" s="375"/>
      <c r="C71" s="375"/>
      <c r="D71" s="375"/>
      <c r="E71" s="374"/>
      <c r="F71" s="376"/>
      <c r="G71" s="376"/>
      <c r="H71" s="326"/>
    </row>
    <row r="72" spans="1:10">
      <c r="B72" s="375"/>
      <c r="G72" s="21"/>
      <c r="H72" t="s">
        <v>56</v>
      </c>
      <c r="I72" s="21"/>
      <c r="J72" t="s">
        <v>4949</v>
      </c>
    </row>
    <row r="73" spans="1:10">
      <c r="G73" s="21"/>
      <c r="H73" s="193" t="s">
        <v>56</v>
      </c>
    </row>
    <row r="74" spans="1:10" s="193" customFormat="1">
      <c r="G74" s="21"/>
    </row>
    <row r="75" spans="1:10" s="193" customFormat="1">
      <c r="G75" s="21"/>
    </row>
    <row r="76" spans="1:10" s="193" customFormat="1">
      <c r="G76" s="21"/>
    </row>
    <row r="77" spans="1:10" s="193" customFormat="1">
      <c r="G77" s="21"/>
    </row>
    <row r="78" spans="1:10" s="193" customFormat="1">
      <c r="G78" s="21"/>
    </row>
    <row r="79" spans="1:10" s="193" customFormat="1">
      <c r="G79" s="21"/>
    </row>
    <row r="80" spans="1:10" s="193" customFormat="1">
      <c r="G80" s="21"/>
    </row>
    <row r="81" spans="1:9" s="193" customFormat="1">
      <c r="G81" s="21"/>
    </row>
    <row r="82" spans="1:9" s="193" customFormat="1">
      <c r="G82" s="21"/>
    </row>
    <row r="84" spans="1:9">
      <c r="G84" s="381">
        <f>SUM(G70:G83)</f>
        <v>0</v>
      </c>
    </row>
    <row r="96" spans="1:9" s="327" customFormat="1">
      <c r="A96" s="554" t="s">
        <v>9544</v>
      </c>
      <c r="B96" s="554"/>
      <c r="C96" s="554"/>
      <c r="D96" s="554"/>
      <c r="E96" s="554"/>
      <c r="F96" s="554"/>
      <c r="G96" s="555">
        <v>-43112</v>
      </c>
      <c r="H96" s="555"/>
      <c r="I96" s="555"/>
    </row>
    <row r="97" spans="1:9" s="327" customFormat="1">
      <c r="A97" s="554" t="s">
        <v>9545</v>
      </c>
      <c r="B97" s="554"/>
      <c r="C97" s="554"/>
      <c r="D97" s="554"/>
      <c r="E97" s="554"/>
      <c r="F97" s="554"/>
      <c r="G97" s="555">
        <v>-1000</v>
      </c>
      <c r="H97" s="555"/>
      <c r="I97" s="555"/>
    </row>
    <row r="98" spans="1:9" s="327" customFormat="1">
      <c r="A98" s="554" t="s">
        <v>9546</v>
      </c>
      <c r="B98" s="554"/>
      <c r="C98" s="554"/>
      <c r="D98" s="554"/>
      <c r="E98" s="554"/>
      <c r="F98" s="554"/>
      <c r="G98" s="555">
        <v>-4311</v>
      </c>
      <c r="H98" s="555"/>
      <c r="I98" s="555"/>
    </row>
    <row r="99" spans="1:9" s="327" customFormat="1">
      <c r="A99" s="554" t="s">
        <v>9547</v>
      </c>
      <c r="B99" s="554"/>
      <c r="C99" s="554"/>
      <c r="D99" s="554"/>
      <c r="E99" s="554"/>
      <c r="F99" s="554"/>
      <c r="G99" s="555">
        <v>-1501358</v>
      </c>
      <c r="H99" s="555"/>
      <c r="I99" s="555"/>
    </row>
    <row r="100" spans="1:9" s="327" customFormat="1">
      <c r="A100" s="554" t="s">
        <v>9548</v>
      </c>
      <c r="B100" s="554"/>
      <c r="C100" s="554"/>
      <c r="D100" s="554"/>
      <c r="E100" s="554"/>
      <c r="F100" s="554"/>
      <c r="G100" s="555">
        <v>-15013587</v>
      </c>
      <c r="H100" s="555"/>
      <c r="I100" s="555"/>
    </row>
    <row r="101" spans="1:9" s="327" customFormat="1">
      <c r="A101" s="377"/>
      <c r="B101" s="515"/>
      <c r="C101" s="515"/>
      <c r="D101" s="515"/>
      <c r="E101" s="377"/>
      <c r="F101" s="379"/>
      <c r="G101" s="379"/>
    </row>
    <row r="102" spans="1:9">
      <c r="G102" s="373"/>
    </row>
    <row r="103" spans="1:9">
      <c r="B103" s="372"/>
      <c r="G103" s="21"/>
    </row>
    <row r="106" spans="1:9">
      <c r="G106" s="90">
        <f>SUM(G96:G105)</f>
        <v>-16563368</v>
      </c>
    </row>
    <row r="109" spans="1:9">
      <c r="A109" s="423"/>
      <c r="B109" s="424"/>
      <c r="C109" s="424"/>
      <c r="D109" s="424"/>
      <c r="E109" s="423"/>
      <c r="F109" s="425"/>
      <c r="G109" s="376">
        <v>0</v>
      </c>
    </row>
    <row r="110" spans="1:9">
      <c r="A110" s="423"/>
      <c r="B110" s="424"/>
      <c r="C110" s="424"/>
      <c r="D110" s="424"/>
      <c r="E110" s="423"/>
      <c r="F110" s="425"/>
      <c r="G110" s="376">
        <v>0</v>
      </c>
    </row>
    <row r="111" spans="1:9">
      <c r="A111" s="327"/>
      <c r="B111" s="327"/>
      <c r="C111" s="327"/>
      <c r="D111" s="327"/>
      <c r="E111" s="327"/>
      <c r="F111" s="327"/>
      <c r="G111" s="327"/>
    </row>
    <row r="113" spans="1:7">
      <c r="F113" s="90">
        <f>SUM(F109:F112)</f>
        <v>0</v>
      </c>
    </row>
    <row r="115" spans="1:7">
      <c r="A115" s="468"/>
      <c r="B115" s="469"/>
      <c r="G115" s="21"/>
    </row>
    <row r="116" spans="1:7">
      <c r="A116" s="468"/>
      <c r="B116" s="469"/>
      <c r="G116" s="21"/>
    </row>
    <row r="118" spans="1:7">
      <c r="G118" s="21">
        <f>SUM(G115:G117)</f>
        <v>0</v>
      </c>
    </row>
  </sheetData>
  <mergeCells count="2">
    <mergeCell ref="A58:D58"/>
    <mergeCell ref="A31:E3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64"/>
  <sheetViews>
    <sheetView workbookViewId="0">
      <pane xSplit="2" ySplit="4" topLeftCell="O26" activePane="bottomRight" state="frozen"/>
      <selection pane="topRight" activeCell="C1" sqref="C1"/>
      <selection pane="bottomLeft" activeCell="A5" sqref="A5"/>
      <selection pane="bottomRight" activeCell="E64" sqref="E64:U64"/>
    </sheetView>
  </sheetViews>
  <sheetFormatPr baseColWidth="10" defaultRowHeight="14.5"/>
  <cols>
    <col min="1" max="1" width="7" bestFit="1" customWidth="1"/>
    <col min="2" max="2" width="14.36328125" bestFit="1" customWidth="1"/>
    <col min="3" max="3" width="12.90625" bestFit="1" customWidth="1"/>
    <col min="4" max="4" width="15.453125" bestFit="1" customWidth="1"/>
    <col min="5" max="5" width="15.1796875" bestFit="1" customWidth="1"/>
    <col min="6" max="6" width="15.453125" bestFit="1" customWidth="1"/>
    <col min="7" max="7" width="15.1796875" bestFit="1" customWidth="1"/>
    <col min="8" max="8" width="15.453125" bestFit="1" customWidth="1"/>
    <col min="9" max="9" width="15.1796875" bestFit="1" customWidth="1"/>
    <col min="10" max="10" width="15.453125" bestFit="1" customWidth="1"/>
    <col min="11" max="11" width="15.1796875" bestFit="1" customWidth="1"/>
    <col min="12" max="12" width="15.453125" bestFit="1" customWidth="1"/>
    <col min="13" max="13" width="15.1796875" bestFit="1" customWidth="1"/>
    <col min="14" max="14" width="15.453125" bestFit="1" customWidth="1"/>
    <col min="15" max="15" width="15.1796875" bestFit="1" customWidth="1"/>
    <col min="16" max="16" width="15.453125" bestFit="1" customWidth="1"/>
    <col min="17" max="17" width="15.1796875" bestFit="1" customWidth="1"/>
    <col min="18" max="18" width="15.453125" bestFit="1" customWidth="1"/>
    <col min="19" max="19" width="15.1796875" bestFit="1" customWidth="1"/>
    <col min="20" max="20" width="15.453125" bestFit="1" customWidth="1"/>
    <col min="21" max="21" width="15.1796875" bestFit="1" customWidth="1"/>
    <col min="22" max="23" width="19.36328125" bestFit="1" customWidth="1"/>
    <col min="24" max="24" width="14.81640625" bestFit="1" customWidth="1"/>
  </cols>
  <sheetData>
    <row r="2" spans="1:23" ht="15" thickBot="1">
      <c r="A2" s="193"/>
      <c r="B2" s="193"/>
      <c r="C2" s="193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02"/>
      <c r="W2" s="202"/>
    </row>
    <row r="3" spans="1:23">
      <c r="A3" s="193"/>
      <c r="B3" s="193"/>
      <c r="C3" s="193"/>
      <c r="D3" s="599">
        <v>45292</v>
      </c>
      <c r="E3" s="600"/>
      <c r="F3" s="599">
        <v>45323</v>
      </c>
      <c r="G3" s="600"/>
      <c r="H3" s="599">
        <v>45352</v>
      </c>
      <c r="I3" s="600"/>
      <c r="J3" s="599">
        <v>45383</v>
      </c>
      <c r="K3" s="600"/>
      <c r="L3" s="599">
        <v>45413</v>
      </c>
      <c r="M3" s="600"/>
      <c r="N3" s="599">
        <v>45444</v>
      </c>
      <c r="O3" s="600"/>
      <c r="P3" s="599">
        <v>45474</v>
      </c>
      <c r="Q3" s="600"/>
      <c r="R3" s="599">
        <v>45505</v>
      </c>
      <c r="S3" s="600"/>
      <c r="T3" s="599">
        <v>45536</v>
      </c>
      <c r="U3" s="600"/>
      <c r="V3" s="601" t="s">
        <v>1010</v>
      </c>
      <c r="W3" s="602"/>
    </row>
    <row r="4" spans="1:23" ht="15" thickBot="1">
      <c r="A4" s="193"/>
      <c r="B4" s="193"/>
      <c r="C4" s="193"/>
      <c r="D4" s="203" t="s">
        <v>1011</v>
      </c>
      <c r="E4" s="203" t="s">
        <v>956</v>
      </c>
      <c r="F4" s="203" t="s">
        <v>1011</v>
      </c>
      <c r="G4" s="203" t="s">
        <v>956</v>
      </c>
      <c r="H4" s="203" t="s">
        <v>1011</v>
      </c>
      <c r="I4" s="203" t="s">
        <v>956</v>
      </c>
      <c r="J4" s="203" t="s">
        <v>1011</v>
      </c>
      <c r="K4" s="203" t="s">
        <v>956</v>
      </c>
      <c r="L4" s="203" t="s">
        <v>1011</v>
      </c>
      <c r="M4" s="203" t="s">
        <v>956</v>
      </c>
      <c r="N4" s="203" t="s">
        <v>1011</v>
      </c>
      <c r="O4" s="203" t="s">
        <v>956</v>
      </c>
      <c r="P4" s="203" t="s">
        <v>1011</v>
      </c>
      <c r="Q4" s="203" t="s">
        <v>956</v>
      </c>
      <c r="R4" s="203" t="s">
        <v>1011</v>
      </c>
      <c r="S4" s="203" t="s">
        <v>956</v>
      </c>
      <c r="T4" s="203" t="s">
        <v>1011</v>
      </c>
      <c r="U4" s="203" t="s">
        <v>956</v>
      </c>
      <c r="V4" s="204" t="s">
        <v>1011</v>
      </c>
      <c r="W4" s="204" t="s">
        <v>956</v>
      </c>
    </row>
    <row r="5" spans="1:23" ht="15" thickBot="1">
      <c r="A5" s="193"/>
      <c r="B5" s="193"/>
      <c r="C5" s="193"/>
      <c r="D5" s="205"/>
      <c r="E5" s="205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02"/>
      <c r="W5" s="202"/>
    </row>
    <row r="6" spans="1:23">
      <c r="A6" s="593" t="s">
        <v>1012</v>
      </c>
      <c r="B6" s="596" t="s">
        <v>1013</v>
      </c>
      <c r="C6" s="206" t="s">
        <v>1014</v>
      </c>
      <c r="D6" s="207">
        <v>79884</v>
      </c>
      <c r="E6" s="207">
        <v>2509429015</v>
      </c>
      <c r="F6" s="207">
        <v>83792</v>
      </c>
      <c r="G6" s="207">
        <v>2608217469</v>
      </c>
      <c r="H6" s="207">
        <v>96780</v>
      </c>
      <c r="I6" s="207">
        <v>3085981543</v>
      </c>
      <c r="J6" s="207">
        <v>98131</v>
      </c>
      <c r="K6" s="207">
        <v>3031850660</v>
      </c>
      <c r="L6" s="207">
        <v>104347</v>
      </c>
      <c r="M6" s="207">
        <v>3335440240</v>
      </c>
      <c r="N6" s="207">
        <v>112462</v>
      </c>
      <c r="O6" s="208">
        <v>3542398771</v>
      </c>
      <c r="P6" s="207">
        <v>113867</v>
      </c>
      <c r="Q6" s="208">
        <v>3640846823</v>
      </c>
      <c r="R6" s="207">
        <v>110930</v>
      </c>
      <c r="S6" s="207">
        <v>3440933383</v>
      </c>
      <c r="T6" s="207">
        <f>'[1]Donnes mois encours'!D18</f>
        <v>87246</v>
      </c>
      <c r="U6" s="207">
        <f>'[1]Donnes mois encours'!E18</f>
        <v>2808045332</v>
      </c>
      <c r="V6" s="209">
        <f>D6+F6+H6+J6+L6+N6+P6</f>
        <v>689263</v>
      </c>
      <c r="W6" s="209">
        <f>E6+G6+I6+K6+M6+O6+Q6</f>
        <v>21754164521</v>
      </c>
    </row>
    <row r="7" spans="1:23" ht="15" thickBot="1">
      <c r="A7" s="594"/>
      <c r="B7" s="597"/>
      <c r="C7" s="9" t="s">
        <v>1015</v>
      </c>
      <c r="D7" s="6">
        <v>82873</v>
      </c>
      <c r="E7" s="6">
        <v>2390755351</v>
      </c>
      <c r="F7" s="6">
        <v>83098</v>
      </c>
      <c r="G7" s="6">
        <v>2512911561</v>
      </c>
      <c r="H7" s="6">
        <v>94303</v>
      </c>
      <c r="I7" s="6">
        <v>2733876493</v>
      </c>
      <c r="J7" s="6">
        <v>88592</v>
      </c>
      <c r="K7" s="6">
        <v>2556632309</v>
      </c>
      <c r="L7" s="6">
        <v>90905</v>
      </c>
      <c r="M7" s="6">
        <v>2591667833</v>
      </c>
      <c r="N7" s="6">
        <v>91582</v>
      </c>
      <c r="O7" s="210">
        <v>2527924325</v>
      </c>
      <c r="P7" s="6">
        <v>93937</v>
      </c>
      <c r="Q7" s="210">
        <v>2673989697</v>
      </c>
      <c r="R7" s="6">
        <v>92980</v>
      </c>
      <c r="S7" s="6">
        <v>2476080197</v>
      </c>
      <c r="T7" s="6">
        <f>'[1]Donnes mois encours'!D7</f>
        <v>106191</v>
      </c>
      <c r="U7" s="6">
        <f>'[1]Donnes mois encours'!E7</f>
        <v>3040931885</v>
      </c>
      <c r="V7" s="211">
        <f>D7+F7+H7+J7+L7+N7+P7</f>
        <v>625290</v>
      </c>
      <c r="W7" s="211">
        <f>E7+G7+I7+K7+M7+O7+Q7</f>
        <v>17987757569</v>
      </c>
    </row>
    <row r="8" spans="1:23" ht="4.5" customHeight="1" thickBot="1">
      <c r="A8" s="594"/>
      <c r="B8" s="16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4"/>
      <c r="P8" s="213"/>
      <c r="Q8" s="214"/>
      <c r="R8" s="213"/>
      <c r="S8" s="213"/>
      <c r="T8" s="213"/>
      <c r="U8" s="213"/>
      <c r="V8" s="215"/>
      <c r="W8" s="215"/>
    </row>
    <row r="9" spans="1:23">
      <c r="A9" s="594"/>
      <c r="B9" s="597" t="s">
        <v>1016</v>
      </c>
      <c r="C9" s="9" t="s">
        <v>1014</v>
      </c>
      <c r="D9" s="216">
        <v>268</v>
      </c>
      <c r="E9" s="216">
        <v>5223574</v>
      </c>
      <c r="F9" s="216">
        <v>307</v>
      </c>
      <c r="G9" s="216">
        <v>7835031</v>
      </c>
      <c r="H9" s="216">
        <v>303</v>
      </c>
      <c r="I9" s="216">
        <v>8227110</v>
      </c>
      <c r="J9" s="216">
        <v>298</v>
      </c>
      <c r="K9" s="216">
        <v>7206066</v>
      </c>
      <c r="L9" s="216">
        <v>234</v>
      </c>
      <c r="M9" s="216">
        <v>8926243</v>
      </c>
      <c r="N9" s="216">
        <v>288</v>
      </c>
      <c r="O9" s="217">
        <v>7859624</v>
      </c>
      <c r="P9" s="216">
        <v>309</v>
      </c>
      <c r="Q9" s="217">
        <v>6400071</v>
      </c>
      <c r="R9" s="216">
        <v>263</v>
      </c>
      <c r="S9" s="216">
        <v>7568952</v>
      </c>
      <c r="T9" s="216">
        <f>'[1]Donnes mois encours'!D49</f>
        <v>184</v>
      </c>
      <c r="U9" s="216">
        <f>'[1]Donnes mois encours'!E49</f>
        <v>5618217</v>
      </c>
      <c r="V9" s="218">
        <f t="shared" ref="V9:W10" si="0">D9+F9+H9+J9+L9+N9+P9</f>
        <v>2007</v>
      </c>
      <c r="W9" s="209">
        <f t="shared" si="0"/>
        <v>51677719</v>
      </c>
    </row>
    <row r="10" spans="1:23" ht="15" thickBot="1">
      <c r="A10" s="595"/>
      <c r="B10" s="598"/>
      <c r="C10" s="219" t="s">
        <v>1015</v>
      </c>
      <c r="D10" s="220">
        <v>368</v>
      </c>
      <c r="E10" s="220">
        <v>9170324</v>
      </c>
      <c r="F10" s="220">
        <v>292</v>
      </c>
      <c r="G10" s="220">
        <v>9652077</v>
      </c>
      <c r="H10" s="220">
        <v>293</v>
      </c>
      <c r="I10" s="220">
        <v>6135809</v>
      </c>
      <c r="J10" s="220">
        <v>281</v>
      </c>
      <c r="K10" s="220">
        <v>5857653</v>
      </c>
      <c r="L10" s="220">
        <v>293</v>
      </c>
      <c r="M10" s="220">
        <v>7418352</v>
      </c>
      <c r="N10" s="220">
        <v>274</v>
      </c>
      <c r="O10" s="221">
        <v>7217727</v>
      </c>
      <c r="P10" s="220">
        <v>337</v>
      </c>
      <c r="Q10" s="221">
        <v>7191057</v>
      </c>
      <c r="R10" s="220">
        <v>256</v>
      </c>
      <c r="S10" s="220">
        <v>4449058</v>
      </c>
      <c r="T10" s="220">
        <f>'[1]Donnes mois encours'!D30</f>
        <v>302</v>
      </c>
      <c r="U10" s="220">
        <f>'[1]Donnes mois encours'!E30</f>
        <v>6851133</v>
      </c>
      <c r="V10" s="222">
        <f t="shared" si="0"/>
        <v>2138</v>
      </c>
      <c r="W10" s="211">
        <f t="shared" si="0"/>
        <v>52642999</v>
      </c>
    </row>
    <row r="11" spans="1:23" ht="15" thickBot="1">
      <c r="A11" s="193"/>
      <c r="B11" s="193"/>
      <c r="C11" s="19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02"/>
      <c r="W11" s="202"/>
    </row>
    <row r="12" spans="1:23" ht="15" thickBot="1">
      <c r="A12" s="587" t="s">
        <v>1017</v>
      </c>
      <c r="B12" s="588"/>
      <c r="C12" s="588"/>
      <c r="D12" s="223">
        <f>+(D6-D9)-(D7-D10)</f>
        <v>-2889</v>
      </c>
      <c r="E12" s="223">
        <f t="shared" ref="E12:O12" si="1">+(E6-E9)-(E7-E10)</f>
        <v>122620414</v>
      </c>
      <c r="F12" s="223">
        <f>+(F6-F9)-(F7-F10)</f>
        <v>679</v>
      </c>
      <c r="G12" s="223">
        <f t="shared" si="1"/>
        <v>97122954</v>
      </c>
      <c r="H12" s="223">
        <f t="shared" si="1"/>
        <v>2467</v>
      </c>
      <c r="I12" s="223">
        <f t="shared" si="1"/>
        <v>350013749</v>
      </c>
      <c r="J12" s="223">
        <f t="shared" si="1"/>
        <v>9522</v>
      </c>
      <c r="K12" s="223">
        <f t="shared" si="1"/>
        <v>473869938</v>
      </c>
      <c r="L12" s="223">
        <f t="shared" si="1"/>
        <v>13501</v>
      </c>
      <c r="M12" s="223">
        <f t="shared" si="1"/>
        <v>742264516</v>
      </c>
      <c r="N12" s="223">
        <f t="shared" si="1"/>
        <v>20866</v>
      </c>
      <c r="O12" s="223">
        <f t="shared" si="1"/>
        <v>1013832549</v>
      </c>
      <c r="P12" s="223">
        <f>+(P6-P9)-(P7-P10)</f>
        <v>19958</v>
      </c>
      <c r="Q12" s="223">
        <f t="shared" ref="Q12:S12" si="2">+(Q6-Q9)-(Q7-Q10)</f>
        <v>967648112</v>
      </c>
      <c r="R12" s="223">
        <f>+(R6-R9)-(R7-R10)</f>
        <v>17943</v>
      </c>
      <c r="S12" s="223">
        <f t="shared" si="2"/>
        <v>961733292</v>
      </c>
      <c r="T12" s="223">
        <f>+(T6-T9)-(T7-T10)</f>
        <v>-18827</v>
      </c>
      <c r="U12" s="223">
        <f t="shared" ref="U12" si="3">+(U6-U9)-(U7-U10)</f>
        <v>-231653637</v>
      </c>
      <c r="V12" s="224">
        <f>D12+F12+H12+J12+L12+N12+P12</f>
        <v>64104</v>
      </c>
      <c r="W12" s="225">
        <f>E12+G12+I12+K12+M12+O12+Q12</f>
        <v>3767372232</v>
      </c>
    </row>
    <row r="13" spans="1:23" ht="15" thickBot="1">
      <c r="A13" s="587" t="s">
        <v>1018</v>
      </c>
      <c r="B13" s="588"/>
      <c r="C13" s="589"/>
      <c r="D13" s="590">
        <v>122620414</v>
      </c>
      <c r="E13" s="591"/>
      <c r="F13" s="591">
        <f>+G12</f>
        <v>97122954</v>
      </c>
      <c r="G13" s="591"/>
      <c r="H13" s="591">
        <f>+I12</f>
        <v>350013749</v>
      </c>
      <c r="I13" s="591"/>
      <c r="J13" s="591">
        <f>+K12</f>
        <v>473869938</v>
      </c>
      <c r="K13" s="591"/>
      <c r="L13" s="591">
        <f>+M12</f>
        <v>742264516</v>
      </c>
      <c r="M13" s="591"/>
      <c r="N13" s="591"/>
      <c r="O13" s="592"/>
      <c r="P13" s="591"/>
      <c r="Q13" s="592"/>
      <c r="R13" s="591"/>
      <c r="S13" s="592"/>
      <c r="T13" s="591"/>
      <c r="U13" s="592"/>
      <c r="V13" s="585"/>
      <c r="W13" s="586"/>
    </row>
    <row r="15" spans="1:23" ht="15" thickBot="1">
      <c r="A15" s="193"/>
      <c r="B15" s="193"/>
      <c r="C15" s="19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02"/>
      <c r="W15" s="202"/>
    </row>
    <row r="16" spans="1:23">
      <c r="A16" s="593" t="s">
        <v>1019</v>
      </c>
      <c r="B16" s="596" t="s">
        <v>1013</v>
      </c>
      <c r="C16" s="206" t="s">
        <v>1014</v>
      </c>
      <c r="D16" s="207">
        <v>31147</v>
      </c>
      <c r="E16" s="207">
        <v>671133926</v>
      </c>
      <c r="F16" s="207">
        <v>40882</v>
      </c>
      <c r="G16" s="207">
        <v>883200233</v>
      </c>
      <c r="H16" s="207">
        <v>65716</v>
      </c>
      <c r="I16" s="207">
        <v>1321288625</v>
      </c>
      <c r="J16" s="207">
        <v>58493</v>
      </c>
      <c r="K16" s="207">
        <v>1182950601</v>
      </c>
      <c r="L16" s="207">
        <v>80398</v>
      </c>
      <c r="M16" s="207">
        <v>1602703082</v>
      </c>
      <c r="N16" s="207">
        <v>77760</v>
      </c>
      <c r="O16" s="208">
        <v>1478558058</v>
      </c>
      <c r="P16" s="207">
        <v>57663</v>
      </c>
      <c r="Q16" s="208">
        <v>1192316954</v>
      </c>
      <c r="R16" s="207">
        <v>59237</v>
      </c>
      <c r="S16" s="207">
        <v>1218109305</v>
      </c>
      <c r="T16" s="207">
        <f>'[1]Donnes mois encours'!D19</f>
        <v>46209</v>
      </c>
      <c r="U16" s="207">
        <f>'[1]Donnes mois encours'!E19</f>
        <v>1029434119</v>
      </c>
      <c r="V16" s="209">
        <f t="shared" ref="V16:W17" si="4">D16+F16+H16+J16+L16+N16+P16</f>
        <v>412059</v>
      </c>
      <c r="W16" s="209">
        <f t="shared" si="4"/>
        <v>8332151479</v>
      </c>
    </row>
    <row r="17" spans="1:23" ht="15" thickBot="1">
      <c r="A17" s="594"/>
      <c r="B17" s="597"/>
      <c r="C17" s="9" t="s">
        <v>1015</v>
      </c>
      <c r="D17" s="6">
        <v>4328</v>
      </c>
      <c r="E17" s="6">
        <v>154939856</v>
      </c>
      <c r="F17" s="6">
        <v>4879</v>
      </c>
      <c r="G17" s="6">
        <v>178381559</v>
      </c>
      <c r="H17" s="6">
        <v>6795</v>
      </c>
      <c r="I17" s="6">
        <v>227942172</v>
      </c>
      <c r="J17" s="6">
        <v>6056</v>
      </c>
      <c r="K17" s="6">
        <v>200391179</v>
      </c>
      <c r="L17" s="6">
        <v>6389</v>
      </c>
      <c r="M17" s="6">
        <v>217304993</v>
      </c>
      <c r="N17" s="6">
        <v>5953</v>
      </c>
      <c r="O17" s="210">
        <v>213648163</v>
      </c>
      <c r="P17" s="6">
        <v>5844</v>
      </c>
      <c r="Q17" s="210">
        <v>222621504</v>
      </c>
      <c r="R17" s="6">
        <v>6753</v>
      </c>
      <c r="S17" s="6">
        <v>253812684</v>
      </c>
      <c r="T17" s="6">
        <f>'[1]Donnes mois encours'!D9</f>
        <v>6578</v>
      </c>
      <c r="U17" s="6">
        <f>'[1]Donnes mois encours'!E9</f>
        <v>230483565</v>
      </c>
      <c r="V17" s="211">
        <f t="shared" si="4"/>
        <v>40244</v>
      </c>
      <c r="W17" s="211">
        <f t="shared" si="4"/>
        <v>1415229426</v>
      </c>
    </row>
    <row r="18" spans="1:23" ht="7.5" customHeight="1" thickBot="1">
      <c r="A18" s="594"/>
      <c r="B18" s="16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4"/>
      <c r="P18" s="213"/>
      <c r="Q18" s="214"/>
      <c r="R18" s="213"/>
      <c r="S18" s="213"/>
      <c r="T18" s="213"/>
      <c r="U18" s="213"/>
      <c r="V18" s="215"/>
      <c r="W18" s="215"/>
    </row>
    <row r="19" spans="1:23">
      <c r="A19" s="594"/>
      <c r="B19" s="597" t="s">
        <v>1016</v>
      </c>
      <c r="C19" s="9" t="s">
        <v>1014</v>
      </c>
      <c r="D19" s="216">
        <v>26</v>
      </c>
      <c r="E19" s="216">
        <v>882600</v>
      </c>
      <c r="F19" s="216">
        <v>22</v>
      </c>
      <c r="G19" s="216">
        <v>861700</v>
      </c>
      <c r="H19" s="216">
        <v>43</v>
      </c>
      <c r="I19" s="216">
        <v>2418100</v>
      </c>
      <c r="J19" s="216">
        <v>48</v>
      </c>
      <c r="K19" s="216">
        <v>1973600</v>
      </c>
      <c r="L19" s="216">
        <v>55</v>
      </c>
      <c r="M19" s="216">
        <v>2352300</v>
      </c>
      <c r="N19" s="216">
        <v>56</v>
      </c>
      <c r="O19" s="217">
        <v>2353710</v>
      </c>
      <c r="P19" s="216">
        <v>51</v>
      </c>
      <c r="Q19" s="217">
        <v>1917500</v>
      </c>
      <c r="R19" s="216">
        <v>58</v>
      </c>
      <c r="S19" s="216">
        <v>2436915</v>
      </c>
      <c r="T19" s="216">
        <f>'[1]Donnes mois encours'!D51</f>
        <v>39</v>
      </c>
      <c r="U19" s="216">
        <f>'[1]Donnes mois encours'!E51</f>
        <v>1611790</v>
      </c>
      <c r="V19" s="218">
        <f t="shared" ref="V19:W20" si="5">D19+F19+H19+J19+L19+N19+P19</f>
        <v>301</v>
      </c>
      <c r="W19" s="209">
        <f t="shared" si="5"/>
        <v>12759510</v>
      </c>
    </row>
    <row r="20" spans="1:23" ht="15" thickBot="1">
      <c r="A20" s="595"/>
      <c r="B20" s="598"/>
      <c r="C20" s="219" t="s">
        <v>1015</v>
      </c>
      <c r="D20" s="220">
        <v>10</v>
      </c>
      <c r="E20" s="220">
        <v>717590</v>
      </c>
      <c r="F20" s="220">
        <v>18</v>
      </c>
      <c r="G20" s="220">
        <v>559400</v>
      </c>
      <c r="H20" s="220">
        <v>24</v>
      </c>
      <c r="I20" s="220">
        <v>1400100</v>
      </c>
      <c r="J20" s="220">
        <v>23</v>
      </c>
      <c r="K20" s="220">
        <v>648772</v>
      </c>
      <c r="L20" s="220">
        <v>12</v>
      </c>
      <c r="M20" s="220">
        <v>180500</v>
      </c>
      <c r="N20" s="220">
        <v>11</v>
      </c>
      <c r="O20" s="221">
        <v>563900</v>
      </c>
      <c r="P20" s="220">
        <v>10</v>
      </c>
      <c r="Q20" s="221">
        <v>296500</v>
      </c>
      <c r="R20" s="220">
        <v>22</v>
      </c>
      <c r="S20" s="220">
        <v>480800</v>
      </c>
      <c r="T20" s="220">
        <f>'[1]Donnes mois encours'!D31</f>
        <v>6</v>
      </c>
      <c r="U20" s="220">
        <f>'[1]Donnes mois encours'!E31</f>
        <v>6755000</v>
      </c>
      <c r="V20" s="222">
        <f t="shared" si="5"/>
        <v>108</v>
      </c>
      <c r="W20" s="211">
        <f t="shared" si="5"/>
        <v>4366762</v>
      </c>
    </row>
    <row r="21" spans="1:23" ht="15" thickBot="1">
      <c r="A21" s="193"/>
      <c r="B21" s="193"/>
      <c r="C21" s="19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02"/>
      <c r="W21" s="202"/>
    </row>
    <row r="22" spans="1:23" ht="15" thickBot="1">
      <c r="A22" s="587" t="s">
        <v>1017</v>
      </c>
      <c r="B22" s="588"/>
      <c r="C22" s="588"/>
      <c r="D22" s="223">
        <f>+(D16-D19)-(D17-D20)</f>
        <v>26803</v>
      </c>
      <c r="E22" s="223">
        <f t="shared" ref="E22:U22" si="6">+(E16-E19)-(E17-E20)</f>
        <v>516029060</v>
      </c>
      <c r="F22" s="223">
        <f>+(F16-F19)-(F17-F20)</f>
        <v>35999</v>
      </c>
      <c r="G22" s="223">
        <f t="shared" si="6"/>
        <v>704516374</v>
      </c>
      <c r="H22" s="223">
        <f t="shared" si="6"/>
        <v>58902</v>
      </c>
      <c r="I22" s="223">
        <f t="shared" si="6"/>
        <v>1092328453</v>
      </c>
      <c r="J22" s="223">
        <f t="shared" si="6"/>
        <v>52412</v>
      </c>
      <c r="K22" s="223">
        <f t="shared" si="6"/>
        <v>981234594</v>
      </c>
      <c r="L22" s="223">
        <f t="shared" si="6"/>
        <v>73966</v>
      </c>
      <c r="M22" s="223">
        <f t="shared" si="6"/>
        <v>1383226289</v>
      </c>
      <c r="N22" s="223">
        <f t="shared" si="6"/>
        <v>71762</v>
      </c>
      <c r="O22" s="223">
        <f t="shared" si="6"/>
        <v>1263120085</v>
      </c>
      <c r="P22" s="223">
        <f t="shared" si="6"/>
        <v>51778</v>
      </c>
      <c r="Q22" s="223">
        <f t="shared" si="6"/>
        <v>968074450</v>
      </c>
      <c r="R22" s="223">
        <f t="shared" si="6"/>
        <v>52448</v>
      </c>
      <c r="S22" s="223">
        <f t="shared" si="6"/>
        <v>962340506</v>
      </c>
      <c r="T22" s="223">
        <f t="shared" si="6"/>
        <v>39598</v>
      </c>
      <c r="U22" s="223">
        <f t="shared" si="6"/>
        <v>804093764</v>
      </c>
      <c r="V22" s="224">
        <f>D22+F22+H22+J22+L22+N22+P22</f>
        <v>371622</v>
      </c>
      <c r="W22" s="225">
        <f>E22+G22+I22+K22+M22+O22+Q22</f>
        <v>6908529305</v>
      </c>
    </row>
    <row r="23" spans="1:23" ht="15" thickBot="1">
      <c r="A23" s="587" t="s">
        <v>1018</v>
      </c>
      <c r="B23" s="588"/>
      <c r="C23" s="589"/>
      <c r="D23" s="590">
        <f>+E22</f>
        <v>516029060</v>
      </c>
      <c r="E23" s="591"/>
      <c r="F23" s="591">
        <f>+G22</f>
        <v>704516374</v>
      </c>
      <c r="G23" s="591"/>
      <c r="H23" s="591">
        <f>+I22</f>
        <v>1092328453</v>
      </c>
      <c r="I23" s="591"/>
      <c r="J23" s="591">
        <f>+K22</f>
        <v>981234594</v>
      </c>
      <c r="K23" s="591"/>
      <c r="L23" s="591"/>
      <c r="M23" s="591"/>
      <c r="N23" s="591"/>
      <c r="O23" s="592"/>
      <c r="P23" s="591"/>
      <c r="Q23" s="592"/>
      <c r="R23" s="591"/>
      <c r="S23" s="592"/>
      <c r="T23" s="591"/>
      <c r="U23" s="592"/>
      <c r="V23" s="585"/>
      <c r="W23" s="586"/>
    </row>
    <row r="26" spans="1:23" ht="15" thickBot="1">
      <c r="A26" s="193"/>
      <c r="B26" s="193"/>
      <c r="C26" s="19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02"/>
      <c r="W26" s="202"/>
    </row>
    <row r="27" spans="1:23">
      <c r="A27" s="593" t="s">
        <v>1020</v>
      </c>
      <c r="B27" s="596" t="s">
        <v>1013</v>
      </c>
      <c r="C27" s="206" t="s">
        <v>1014</v>
      </c>
      <c r="D27" s="207">
        <v>11448</v>
      </c>
      <c r="E27" s="207">
        <v>527395246</v>
      </c>
      <c r="F27" s="207">
        <v>11858</v>
      </c>
      <c r="G27" s="207">
        <v>581249632</v>
      </c>
      <c r="H27" s="207">
        <v>13722</v>
      </c>
      <c r="I27" s="207">
        <v>622985306</v>
      </c>
      <c r="J27" s="207">
        <v>12830</v>
      </c>
      <c r="K27" s="207">
        <v>560447944</v>
      </c>
      <c r="L27" s="207">
        <v>13550</v>
      </c>
      <c r="M27" s="207">
        <v>612391045</v>
      </c>
      <c r="N27" s="207">
        <v>13218</v>
      </c>
      <c r="O27" s="208">
        <v>558824282</v>
      </c>
      <c r="P27" s="207">
        <v>13090</v>
      </c>
      <c r="Q27" s="208">
        <v>628941244</v>
      </c>
      <c r="R27" s="207">
        <v>12860</v>
      </c>
      <c r="S27" s="207">
        <v>618626373</v>
      </c>
      <c r="T27" s="207">
        <f>'[1]Donnes mois encours'!D21</f>
        <v>11313</v>
      </c>
      <c r="U27" s="207">
        <f>'[1]Donnes mois encours'!E21</f>
        <v>577841370</v>
      </c>
      <c r="V27" s="209">
        <f t="shared" ref="V27:W28" si="7">D27+F27+H27+J27+L27+N27+P27</f>
        <v>89716</v>
      </c>
      <c r="W27" s="209">
        <f t="shared" si="7"/>
        <v>4092234699</v>
      </c>
    </row>
    <row r="28" spans="1:23" ht="15" thickBot="1">
      <c r="A28" s="594"/>
      <c r="B28" s="597"/>
      <c r="C28" s="9" t="s">
        <v>1015</v>
      </c>
      <c r="D28" s="6">
        <v>2026</v>
      </c>
      <c r="E28" s="6">
        <v>70647552</v>
      </c>
      <c r="F28" s="6">
        <v>1859</v>
      </c>
      <c r="G28" s="6">
        <v>77430218</v>
      </c>
      <c r="H28" s="6">
        <v>2241</v>
      </c>
      <c r="I28" s="6">
        <v>79812753</v>
      </c>
      <c r="J28" s="6">
        <v>2099</v>
      </c>
      <c r="K28" s="6">
        <v>78294451</v>
      </c>
      <c r="L28" s="6">
        <v>2072</v>
      </c>
      <c r="M28" s="6">
        <v>80804297</v>
      </c>
      <c r="N28" s="6">
        <v>1931</v>
      </c>
      <c r="O28" s="210">
        <v>75362129</v>
      </c>
      <c r="P28" s="6">
        <v>2005</v>
      </c>
      <c r="Q28" s="210">
        <v>67621193</v>
      </c>
      <c r="R28" s="6">
        <v>1963</v>
      </c>
      <c r="S28" s="6">
        <v>61709766</v>
      </c>
      <c r="T28" s="6">
        <f>'[1]Donnes mois encours'!D10</f>
        <v>2217</v>
      </c>
      <c r="U28" s="6">
        <f>'[1]Donnes mois encours'!E10</f>
        <v>82630281</v>
      </c>
      <c r="V28" s="211">
        <f t="shared" si="7"/>
        <v>14233</v>
      </c>
      <c r="W28" s="211">
        <f t="shared" si="7"/>
        <v>529972593</v>
      </c>
    </row>
    <row r="29" spans="1:23" ht="6.75" customHeight="1" thickBot="1">
      <c r="A29" s="594"/>
      <c r="B29" s="16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4"/>
      <c r="P29" s="213"/>
      <c r="Q29" s="214"/>
      <c r="R29" s="213"/>
      <c r="S29" s="213"/>
      <c r="T29" s="213"/>
      <c r="U29" s="213"/>
      <c r="V29" s="215"/>
      <c r="W29" s="215"/>
    </row>
    <row r="30" spans="1:23">
      <c r="A30" s="594"/>
      <c r="B30" s="597" t="s">
        <v>1016</v>
      </c>
      <c r="C30" s="9" t="s">
        <v>1014</v>
      </c>
      <c r="D30" s="216">
        <v>52</v>
      </c>
      <c r="E30" s="216">
        <v>1624525</v>
      </c>
      <c r="F30" s="216">
        <v>34</v>
      </c>
      <c r="G30" s="216">
        <v>1258984</v>
      </c>
      <c r="H30" s="216">
        <v>37</v>
      </c>
      <c r="I30" s="216">
        <v>1318200</v>
      </c>
      <c r="J30" s="216">
        <v>33</v>
      </c>
      <c r="K30" s="216">
        <v>1116400</v>
      </c>
      <c r="L30" s="216">
        <v>50</v>
      </c>
      <c r="M30" s="216">
        <v>2156798</v>
      </c>
      <c r="N30" s="216">
        <v>35</v>
      </c>
      <c r="O30" s="217">
        <v>1520400</v>
      </c>
      <c r="P30" s="216">
        <v>56</v>
      </c>
      <c r="Q30" s="217">
        <v>1872296</v>
      </c>
      <c r="R30" s="216">
        <v>32</v>
      </c>
      <c r="S30" s="216">
        <v>1258460</v>
      </c>
      <c r="T30" s="216">
        <f>'[1]Donnes mois encours'!D52</f>
        <v>28</v>
      </c>
      <c r="U30" s="216">
        <f>'[1]Donnes mois encours'!E52</f>
        <v>1056034</v>
      </c>
      <c r="V30" s="218">
        <f t="shared" ref="V30:W31" si="8">D30+F30+H30+J30+L30+N30+P30</f>
        <v>297</v>
      </c>
      <c r="W30" s="209">
        <f t="shared" si="8"/>
        <v>10867603</v>
      </c>
    </row>
    <row r="31" spans="1:23" ht="15" thickBot="1">
      <c r="A31" s="595"/>
      <c r="B31" s="598"/>
      <c r="C31" s="219" t="s">
        <v>1015</v>
      </c>
      <c r="D31" s="220">
        <v>2</v>
      </c>
      <c r="E31" s="220">
        <v>104900</v>
      </c>
      <c r="F31" s="220">
        <v>7</v>
      </c>
      <c r="G31" s="220">
        <v>260310</v>
      </c>
      <c r="H31" s="220">
        <v>4</v>
      </c>
      <c r="I31" s="220">
        <v>168738</v>
      </c>
      <c r="J31" s="220">
        <v>4</v>
      </c>
      <c r="K31" s="220">
        <v>77600</v>
      </c>
      <c r="L31" s="220">
        <v>5</v>
      </c>
      <c r="M31" s="220">
        <v>239000</v>
      </c>
      <c r="N31" s="220">
        <v>3</v>
      </c>
      <c r="O31" s="221">
        <v>90000</v>
      </c>
      <c r="P31" s="220">
        <v>3</v>
      </c>
      <c r="Q31" s="221">
        <v>65100</v>
      </c>
      <c r="R31" s="220">
        <v>3</v>
      </c>
      <c r="S31" s="220">
        <v>57000</v>
      </c>
      <c r="T31" s="220">
        <f>'[1]Donnes mois encours'!D34</f>
        <v>9</v>
      </c>
      <c r="U31" s="220">
        <f>'[1]Donnes mois encours'!E34</f>
        <v>381200</v>
      </c>
      <c r="V31" s="222">
        <f t="shared" si="8"/>
        <v>28</v>
      </c>
      <c r="W31" s="211">
        <f t="shared" si="8"/>
        <v>1005648</v>
      </c>
    </row>
    <row r="32" spans="1:23" ht="15" thickBot="1">
      <c r="A32" s="193"/>
      <c r="B32" s="193"/>
      <c r="C32" s="19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02"/>
      <c r="W32" s="202"/>
    </row>
    <row r="33" spans="1:24" ht="15" thickBot="1">
      <c r="A33" s="587" t="s">
        <v>1017</v>
      </c>
      <c r="B33" s="588"/>
      <c r="C33" s="588"/>
      <c r="D33" s="223">
        <f>+(D27-D30)-(D28-D31)</f>
        <v>9372</v>
      </c>
      <c r="E33" s="223">
        <f t="shared" ref="E33:U33" si="9">+(E27-E30)-(E28-E31)</f>
        <v>455228069</v>
      </c>
      <c r="F33" s="223">
        <f>+(F27-F30)-(F28-F31)</f>
        <v>9972</v>
      </c>
      <c r="G33" s="223">
        <f t="shared" si="9"/>
        <v>502820740</v>
      </c>
      <c r="H33" s="223">
        <f t="shared" si="9"/>
        <v>11448</v>
      </c>
      <c r="I33" s="223">
        <f t="shared" si="9"/>
        <v>542023091</v>
      </c>
      <c r="J33" s="223">
        <f t="shared" si="9"/>
        <v>10702</v>
      </c>
      <c r="K33" s="223">
        <f t="shared" si="9"/>
        <v>481114693</v>
      </c>
      <c r="L33" s="223">
        <f t="shared" si="9"/>
        <v>11433</v>
      </c>
      <c r="M33" s="223">
        <f t="shared" si="9"/>
        <v>529668950</v>
      </c>
      <c r="N33" s="223">
        <f t="shared" si="9"/>
        <v>11255</v>
      </c>
      <c r="O33" s="223">
        <f t="shared" si="9"/>
        <v>482031753</v>
      </c>
      <c r="P33" s="223">
        <f t="shared" si="9"/>
        <v>11032</v>
      </c>
      <c r="Q33" s="223">
        <f t="shared" si="9"/>
        <v>559512855</v>
      </c>
      <c r="R33" s="223">
        <f t="shared" si="9"/>
        <v>10868</v>
      </c>
      <c r="S33" s="223">
        <f t="shared" si="9"/>
        <v>555715147</v>
      </c>
      <c r="T33" s="223">
        <f t="shared" si="9"/>
        <v>9077</v>
      </c>
      <c r="U33" s="223">
        <f t="shared" si="9"/>
        <v>494536255</v>
      </c>
      <c r="V33" s="224">
        <f>D33+F33+H33+J33+L33+N33+P33</f>
        <v>75214</v>
      </c>
      <c r="W33" s="225">
        <f>E33+G33+I33+K33+M33+O33+Q33</f>
        <v>3552400151</v>
      </c>
      <c r="X33" s="193"/>
    </row>
    <row r="34" spans="1:24" ht="15" thickBot="1">
      <c r="A34" s="587" t="s">
        <v>1018</v>
      </c>
      <c r="B34" s="588"/>
      <c r="C34" s="589"/>
      <c r="D34" s="590">
        <f>+E33</f>
        <v>455228069</v>
      </c>
      <c r="E34" s="591"/>
      <c r="F34" s="591">
        <f>+G33</f>
        <v>502820740</v>
      </c>
      <c r="G34" s="591"/>
      <c r="H34" s="591">
        <f>+I33</f>
        <v>542023091</v>
      </c>
      <c r="I34" s="591"/>
      <c r="J34" s="591">
        <f>+K33</f>
        <v>481114693</v>
      </c>
      <c r="K34" s="591"/>
      <c r="L34" s="591" t="s">
        <v>1021</v>
      </c>
      <c r="M34" s="591"/>
      <c r="N34" s="591"/>
      <c r="O34" s="592"/>
      <c r="P34" s="591"/>
      <c r="Q34" s="592"/>
      <c r="R34" s="591"/>
      <c r="S34" s="592"/>
      <c r="T34" s="591"/>
      <c r="U34" s="592"/>
      <c r="V34" s="585"/>
      <c r="W34" s="586"/>
      <c r="X34" s="193"/>
    </row>
    <row r="36" spans="1:24" ht="15" thickBot="1">
      <c r="A36" s="193"/>
      <c r="B36" s="193"/>
      <c r="C36" s="19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02"/>
      <c r="W36" s="202"/>
      <c r="X36" s="193"/>
    </row>
    <row r="37" spans="1:24">
      <c r="A37" s="593" t="s">
        <v>1022</v>
      </c>
      <c r="B37" s="596" t="s">
        <v>1013</v>
      </c>
      <c r="C37" s="206" t="s">
        <v>1014</v>
      </c>
      <c r="D37" s="207">
        <v>22137</v>
      </c>
      <c r="E37" s="207">
        <v>935317882</v>
      </c>
      <c r="F37" s="207">
        <v>22663</v>
      </c>
      <c r="G37" s="207">
        <v>854274855</v>
      </c>
      <c r="H37" s="207">
        <v>28001</v>
      </c>
      <c r="I37" s="207">
        <v>1036382269</v>
      </c>
      <c r="J37" s="207">
        <v>35861</v>
      </c>
      <c r="K37" s="207">
        <v>1272588369</v>
      </c>
      <c r="L37" s="207">
        <v>38204</v>
      </c>
      <c r="M37" s="207">
        <v>1317242016</v>
      </c>
      <c r="N37" s="207">
        <v>32521</v>
      </c>
      <c r="O37" s="208">
        <v>1112365389</v>
      </c>
      <c r="P37" s="207">
        <v>31579</v>
      </c>
      <c r="Q37" s="208">
        <v>1160491600</v>
      </c>
      <c r="R37" s="207">
        <v>31112</v>
      </c>
      <c r="S37" s="207">
        <v>1114417538</v>
      </c>
      <c r="T37" s="207">
        <f>'[1]Donnes mois encours'!D20</f>
        <v>22780</v>
      </c>
      <c r="U37" s="207">
        <f>'[1]Donnes mois encours'!E20</f>
        <v>951986234</v>
      </c>
      <c r="V37" s="209">
        <f t="shared" ref="V37:W38" si="10">D37+F37+H37+J37+L37+N37+P37</f>
        <v>210966</v>
      </c>
      <c r="W37" s="209">
        <f t="shared" si="10"/>
        <v>7688662380</v>
      </c>
      <c r="X37" s="193"/>
    </row>
    <row r="38" spans="1:24" ht="15" thickBot="1">
      <c r="A38" s="594"/>
      <c r="B38" s="597"/>
      <c r="C38" s="9" t="s">
        <v>1015</v>
      </c>
      <c r="D38" s="6">
        <v>13096</v>
      </c>
      <c r="E38" s="6">
        <v>439795878</v>
      </c>
      <c r="F38" s="6">
        <v>13748</v>
      </c>
      <c r="G38" s="6">
        <v>470889133</v>
      </c>
      <c r="H38" s="6">
        <v>14213</v>
      </c>
      <c r="I38" s="6">
        <v>482291656</v>
      </c>
      <c r="J38" s="6">
        <v>13847</v>
      </c>
      <c r="K38" s="6">
        <v>462848231</v>
      </c>
      <c r="L38" s="6">
        <v>13367</v>
      </c>
      <c r="M38" s="6">
        <v>415524131</v>
      </c>
      <c r="N38" s="6">
        <v>11839</v>
      </c>
      <c r="O38" s="210">
        <v>356648224</v>
      </c>
      <c r="P38" s="6">
        <v>11626</v>
      </c>
      <c r="Q38" s="210">
        <v>380759045</v>
      </c>
      <c r="R38" s="6">
        <v>8786</v>
      </c>
      <c r="S38" s="6">
        <v>294731098</v>
      </c>
      <c r="T38" s="6">
        <f>'[1]Donnes mois encours'!D8</f>
        <v>13212</v>
      </c>
      <c r="U38" s="6">
        <f>'[1]Donnes mois encours'!E8</f>
        <v>462996782</v>
      </c>
      <c r="V38" s="211">
        <f t="shared" si="10"/>
        <v>91736</v>
      </c>
      <c r="W38" s="211">
        <f t="shared" si="10"/>
        <v>3008756298</v>
      </c>
      <c r="X38" s="193"/>
    </row>
    <row r="39" spans="1:24" ht="7.5" customHeight="1" thickBot="1">
      <c r="A39" s="594"/>
      <c r="B39" s="16"/>
      <c r="C39" s="212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4"/>
      <c r="P39" s="213"/>
      <c r="Q39" s="214"/>
      <c r="R39" s="213"/>
      <c r="S39" s="213"/>
      <c r="T39" s="213"/>
      <c r="U39" s="213"/>
      <c r="V39" s="215"/>
      <c r="W39" s="215"/>
      <c r="X39" s="193"/>
    </row>
    <row r="40" spans="1:24">
      <c r="A40" s="594"/>
      <c r="B40" s="597" t="s">
        <v>1016</v>
      </c>
      <c r="C40" s="9" t="s">
        <v>1014</v>
      </c>
      <c r="D40" s="216">
        <v>62</v>
      </c>
      <c r="E40" s="216">
        <v>1360908</v>
      </c>
      <c r="F40" s="216">
        <v>75</v>
      </c>
      <c r="G40" s="216">
        <v>1717976</v>
      </c>
      <c r="H40" s="216">
        <v>75</v>
      </c>
      <c r="I40" s="216">
        <v>2237956</v>
      </c>
      <c r="J40" s="216">
        <v>100</v>
      </c>
      <c r="K40" s="216">
        <v>2957877</v>
      </c>
      <c r="L40" s="216">
        <v>108</v>
      </c>
      <c r="M40" s="216">
        <v>2026130</v>
      </c>
      <c r="N40" s="216">
        <v>65</v>
      </c>
      <c r="O40" s="217">
        <v>3837396</v>
      </c>
      <c r="P40" s="216">
        <v>101</v>
      </c>
      <c r="Q40" s="217">
        <v>3171344</v>
      </c>
      <c r="R40" s="216">
        <v>103</v>
      </c>
      <c r="S40" s="216">
        <v>3190900</v>
      </c>
      <c r="T40" s="216">
        <f>'[1]Donnes mois encours'!D50</f>
        <v>39</v>
      </c>
      <c r="U40" s="216">
        <f>'[1]Donnes mois encours'!E50</f>
        <v>1653300</v>
      </c>
      <c r="V40" s="218">
        <f t="shared" ref="V40:W41" si="11">D40+F40+H40+J40+L40+N40+P40</f>
        <v>586</v>
      </c>
      <c r="W40" s="209">
        <f t="shared" si="11"/>
        <v>17309587</v>
      </c>
      <c r="X40" s="193"/>
    </row>
    <row r="41" spans="1:24" ht="15" thickBot="1">
      <c r="A41" s="595"/>
      <c r="B41" s="598"/>
      <c r="C41" s="219" t="s">
        <v>1015</v>
      </c>
      <c r="D41" s="220">
        <v>29</v>
      </c>
      <c r="E41" s="220">
        <v>728035</v>
      </c>
      <c r="F41" s="220">
        <v>23</v>
      </c>
      <c r="G41" s="220">
        <v>323315</v>
      </c>
      <c r="H41" s="220">
        <v>19</v>
      </c>
      <c r="I41" s="220">
        <v>576300</v>
      </c>
      <c r="J41" s="220">
        <v>37</v>
      </c>
      <c r="K41" s="220">
        <v>692148</v>
      </c>
      <c r="L41" s="220">
        <v>25</v>
      </c>
      <c r="M41" s="220">
        <v>482450</v>
      </c>
      <c r="N41" s="220">
        <v>24</v>
      </c>
      <c r="O41" s="221">
        <v>763550</v>
      </c>
      <c r="P41" s="220">
        <v>22</v>
      </c>
      <c r="Q41" s="221">
        <v>446990</v>
      </c>
      <c r="R41" s="220">
        <v>17</v>
      </c>
      <c r="S41" s="220">
        <v>850300</v>
      </c>
      <c r="T41" s="220">
        <f>'[1]Donnes mois encours'!D32</f>
        <v>10</v>
      </c>
      <c r="U41" s="220">
        <f>'[1]Donnes mois encours'!E32</f>
        <v>3312650</v>
      </c>
      <c r="V41" s="222">
        <f t="shared" si="11"/>
        <v>179</v>
      </c>
      <c r="W41" s="211">
        <f t="shared" si="11"/>
        <v>4012788</v>
      </c>
      <c r="X41" s="193"/>
    </row>
    <row r="42" spans="1:24" ht="15" thickBot="1">
      <c r="A42" s="193"/>
      <c r="B42" s="193"/>
      <c r="C42" s="19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02"/>
      <c r="W42" s="202"/>
      <c r="X42" s="193"/>
    </row>
    <row r="43" spans="1:24" ht="15" thickBot="1">
      <c r="A43" s="587" t="s">
        <v>1017</v>
      </c>
      <c r="B43" s="588"/>
      <c r="C43" s="588"/>
      <c r="D43" s="223">
        <f>+(D37-D40)-(D38-D41)</f>
        <v>9008</v>
      </c>
      <c r="E43" s="223">
        <f t="shared" ref="E43:U43" si="12">+(E37-E40)-(E38-E41)</f>
        <v>494889131</v>
      </c>
      <c r="F43" s="223">
        <f>+(F37-F40)-(F38-F41)</f>
        <v>8863</v>
      </c>
      <c r="G43" s="223">
        <f t="shared" si="12"/>
        <v>381991061</v>
      </c>
      <c r="H43" s="223">
        <f t="shared" si="12"/>
        <v>13732</v>
      </c>
      <c r="I43" s="223">
        <f t="shared" si="12"/>
        <v>552428957</v>
      </c>
      <c r="J43" s="223">
        <f t="shared" si="12"/>
        <v>21951</v>
      </c>
      <c r="K43" s="223">
        <f t="shared" si="12"/>
        <v>807474409</v>
      </c>
      <c r="L43" s="223">
        <f t="shared" si="12"/>
        <v>24754</v>
      </c>
      <c r="M43" s="223">
        <f t="shared" si="12"/>
        <v>900174205</v>
      </c>
      <c r="N43" s="223">
        <f t="shared" si="12"/>
        <v>20641</v>
      </c>
      <c r="O43" s="223">
        <f t="shared" si="12"/>
        <v>752643319</v>
      </c>
      <c r="P43" s="223">
        <f t="shared" si="12"/>
        <v>19874</v>
      </c>
      <c r="Q43" s="223">
        <f t="shared" si="12"/>
        <v>777008201</v>
      </c>
      <c r="R43" s="223">
        <f t="shared" si="12"/>
        <v>22240</v>
      </c>
      <c r="S43" s="223">
        <f t="shared" si="12"/>
        <v>817345840</v>
      </c>
      <c r="T43" s="223">
        <f t="shared" si="12"/>
        <v>9539</v>
      </c>
      <c r="U43" s="223">
        <f t="shared" si="12"/>
        <v>490648802</v>
      </c>
      <c r="V43" s="224">
        <f>D43+F43+H43+J43+L43+N43+P43</f>
        <v>118823</v>
      </c>
      <c r="W43" s="225">
        <f>E43+G43+I43+K43+M43+O43+Q43</f>
        <v>4666609283</v>
      </c>
      <c r="X43" s="193"/>
    </row>
    <row r="44" spans="1:24" ht="15" thickBot="1">
      <c r="A44" s="587" t="s">
        <v>1018</v>
      </c>
      <c r="B44" s="588"/>
      <c r="C44" s="589"/>
      <c r="D44" s="590" t="s">
        <v>1021</v>
      </c>
      <c r="E44" s="591"/>
      <c r="F44" s="591" t="s">
        <v>1021</v>
      </c>
      <c r="G44" s="591"/>
      <c r="H44" s="591" t="s">
        <v>1021</v>
      </c>
      <c r="I44" s="591"/>
      <c r="J44" s="591" t="s">
        <v>1021</v>
      </c>
      <c r="K44" s="591"/>
      <c r="L44" s="591" t="s">
        <v>1021</v>
      </c>
      <c r="M44" s="591"/>
      <c r="N44" s="591"/>
      <c r="O44" s="592"/>
      <c r="P44" s="591"/>
      <c r="Q44" s="592"/>
      <c r="R44" s="591"/>
      <c r="S44" s="592"/>
      <c r="T44" s="591"/>
      <c r="U44" s="592"/>
      <c r="V44" s="585"/>
      <c r="W44" s="586"/>
      <c r="X44" s="193"/>
    </row>
    <row r="46" spans="1:24" ht="15" thickBot="1">
      <c r="A46" s="193"/>
      <c r="B46" s="193"/>
      <c r="C46" s="19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02"/>
      <c r="W46" s="202"/>
      <c r="X46" s="193"/>
    </row>
    <row r="47" spans="1:24">
      <c r="A47" s="593" t="s">
        <v>1079</v>
      </c>
      <c r="B47" s="596" t="s">
        <v>1013</v>
      </c>
      <c r="C47" s="206" t="s">
        <v>1014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>
        <v>0</v>
      </c>
      <c r="O47" s="208">
        <v>0</v>
      </c>
      <c r="P47" s="207">
        <v>0</v>
      </c>
      <c r="Q47" s="208">
        <v>0</v>
      </c>
      <c r="R47" s="207">
        <v>0</v>
      </c>
      <c r="S47" s="207"/>
      <c r="T47" s="207">
        <f>'[1]Donnes mois encours'!D22</f>
        <v>1221</v>
      </c>
      <c r="U47" s="207">
        <f>'[1]Donnes mois encours'!E22</f>
        <v>21620520</v>
      </c>
      <c r="V47" s="209">
        <f>D47+F47+H47+J47+L47+N47+P47+R47+T47</f>
        <v>1221</v>
      </c>
      <c r="W47" s="209">
        <f>E47+G47+I47+K47+M47+O47+Q47+S47+U47</f>
        <v>21620520</v>
      </c>
      <c r="X47" s="90">
        <v>1411340816</v>
      </c>
    </row>
    <row r="48" spans="1:24" ht="15" thickBot="1">
      <c r="A48" s="594"/>
      <c r="B48" s="597"/>
      <c r="C48" s="9" t="s">
        <v>1015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v>43</v>
      </c>
      <c r="O48" s="210">
        <v>467784</v>
      </c>
      <c r="P48" s="6">
        <v>155</v>
      </c>
      <c r="Q48" s="210">
        <v>3125200</v>
      </c>
      <c r="R48" s="6">
        <v>0</v>
      </c>
      <c r="S48" s="6">
        <v>2196825</v>
      </c>
      <c r="T48" s="6">
        <f>'[1]Donnes mois encours'!D11</f>
        <v>327</v>
      </c>
      <c r="U48" s="6">
        <f>'[1]Donnes mois encours'!E11</f>
        <v>6179003</v>
      </c>
      <c r="V48" s="211">
        <f>D48+F48+H48+J48+L48+N48+P48+R48+T48</f>
        <v>525</v>
      </c>
      <c r="W48" s="211">
        <f>E48+G48+I48+K48+M48+O48+Q48+S48+U48</f>
        <v>11968812</v>
      </c>
      <c r="X48" s="193"/>
    </row>
    <row r="49" spans="1:24" ht="7.5" customHeight="1" thickBot="1">
      <c r="A49" s="594"/>
      <c r="B49" s="16"/>
      <c r="C49" s="212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4"/>
      <c r="P49" s="213"/>
      <c r="Q49" s="214"/>
      <c r="R49" s="213"/>
      <c r="S49" s="213"/>
      <c r="T49" s="213"/>
      <c r="U49" s="213"/>
      <c r="V49" s="215"/>
      <c r="W49" s="215"/>
      <c r="X49" s="193"/>
    </row>
    <row r="50" spans="1:24">
      <c r="A50" s="594"/>
      <c r="B50" s="597" t="s">
        <v>1016</v>
      </c>
      <c r="C50" s="9" t="s">
        <v>1014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>
        <v>0</v>
      </c>
      <c r="O50" s="217">
        <v>0</v>
      </c>
      <c r="P50" s="216"/>
      <c r="Q50" s="217"/>
      <c r="R50" s="216">
        <v>0</v>
      </c>
      <c r="S50" s="216"/>
      <c r="T50" s="216"/>
      <c r="U50" s="216"/>
      <c r="V50" s="218">
        <f>D50+F50+H50+J50+L50+N50+P50+R50+T50</f>
        <v>0</v>
      </c>
      <c r="W50" s="209">
        <f t="shared" ref="W50:W51" si="13">E50+G50+I50+K50+M50+O50+Q50+S50+U50</f>
        <v>0</v>
      </c>
      <c r="X50" s="193"/>
    </row>
    <row r="51" spans="1:24" ht="15" thickBot="1">
      <c r="A51" s="595"/>
      <c r="B51" s="598"/>
      <c r="C51" s="219" t="s">
        <v>1015</v>
      </c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>
        <v>0</v>
      </c>
      <c r="O51" s="221">
        <v>0</v>
      </c>
      <c r="P51" s="220"/>
      <c r="Q51" s="221"/>
      <c r="R51" s="220">
        <v>9</v>
      </c>
      <c r="S51" s="220">
        <v>109300</v>
      </c>
      <c r="T51" s="220">
        <f>+'[1]Donnes mois encours'!D33</f>
        <v>29</v>
      </c>
      <c r="U51" s="220">
        <f>+'[1]Donnes mois encours'!E33</f>
        <v>1560087</v>
      </c>
      <c r="V51" s="222">
        <f>D51+F51+H51+J51+L51+N51+P51+R51+T51</f>
        <v>38</v>
      </c>
      <c r="W51" s="211">
        <f t="shared" si="13"/>
        <v>1669387</v>
      </c>
      <c r="X51" s="193"/>
    </row>
    <row r="52" spans="1:24" ht="15" thickBot="1">
      <c r="A52" s="193"/>
      <c r="B52" s="193"/>
      <c r="C52" s="19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02"/>
      <c r="W52" s="202"/>
      <c r="X52" s="193"/>
    </row>
    <row r="53" spans="1:24" ht="15" thickBot="1">
      <c r="A53" s="587" t="s">
        <v>1017</v>
      </c>
      <c r="B53" s="588"/>
      <c r="C53" s="588"/>
      <c r="D53" s="223">
        <f>+(D47-D50)-(D48-D51)</f>
        <v>0</v>
      </c>
      <c r="E53" s="223">
        <f t="shared" ref="E53" si="14">+(E47-E50)-(E48-E51)</f>
        <v>0</v>
      </c>
      <c r="F53" s="223">
        <f>+(F47-F50)-(F48-F51)</f>
        <v>0</v>
      </c>
      <c r="G53" s="223">
        <f t="shared" ref="G53:U53" si="15">+(G47-G50)-(G48-G51)</f>
        <v>0</v>
      </c>
      <c r="H53" s="223">
        <f t="shared" si="15"/>
        <v>0</v>
      </c>
      <c r="I53" s="223">
        <f t="shared" si="15"/>
        <v>0</v>
      </c>
      <c r="J53" s="223">
        <f t="shared" si="15"/>
        <v>0</v>
      </c>
      <c r="K53" s="223">
        <f t="shared" si="15"/>
        <v>0</v>
      </c>
      <c r="L53" s="223">
        <f t="shared" si="15"/>
        <v>0</v>
      </c>
      <c r="M53" s="223">
        <f t="shared" si="15"/>
        <v>0</v>
      </c>
      <c r="N53" s="223">
        <f>+(N47-N50)-(N48-N51)</f>
        <v>-43</v>
      </c>
      <c r="O53" s="223">
        <f t="shared" si="15"/>
        <v>-467784</v>
      </c>
      <c r="P53" s="223">
        <f t="shared" si="15"/>
        <v>-155</v>
      </c>
      <c r="Q53" s="223">
        <f t="shared" si="15"/>
        <v>-3125200</v>
      </c>
      <c r="R53" s="223">
        <f t="shared" si="15"/>
        <v>9</v>
      </c>
      <c r="S53" s="223">
        <f t="shared" si="15"/>
        <v>-2087525</v>
      </c>
      <c r="T53" s="223">
        <f t="shared" si="15"/>
        <v>923</v>
      </c>
      <c r="U53" s="223">
        <f t="shared" si="15"/>
        <v>17001604</v>
      </c>
      <c r="V53" s="224">
        <f>D53+F53+H53+J53+L53+N53+P53+R53+T53</f>
        <v>734</v>
      </c>
      <c r="W53" s="225">
        <f>E53+G53+I53+K53+M53+O53+Q53+S53+U53</f>
        <v>11321095</v>
      </c>
      <c r="X53" s="22">
        <f>+X47-W48+W51</f>
        <v>1401041391</v>
      </c>
    </row>
    <row r="54" spans="1:24" ht="15" thickBot="1">
      <c r="A54" s="587" t="s">
        <v>1018</v>
      </c>
      <c r="B54" s="588"/>
      <c r="C54" s="589"/>
      <c r="D54" s="590" t="s">
        <v>1021</v>
      </c>
      <c r="E54" s="591"/>
      <c r="F54" s="591" t="s">
        <v>1021</v>
      </c>
      <c r="G54" s="591"/>
      <c r="H54" s="591" t="s">
        <v>1021</v>
      </c>
      <c r="I54" s="591"/>
      <c r="J54" s="591" t="s">
        <v>1021</v>
      </c>
      <c r="K54" s="591"/>
      <c r="L54" s="591" t="s">
        <v>1021</v>
      </c>
      <c r="M54" s="591"/>
      <c r="N54" s="591"/>
      <c r="O54" s="592"/>
      <c r="P54" s="591"/>
      <c r="Q54" s="592"/>
      <c r="R54" s="591"/>
      <c r="S54" s="592"/>
      <c r="T54" s="591"/>
      <c r="U54" s="592"/>
      <c r="V54" s="585"/>
      <c r="W54" s="586"/>
      <c r="X54" s="193"/>
    </row>
    <row r="55" spans="1:24">
      <c r="A55" s="193"/>
      <c r="B55" s="193"/>
      <c r="C55" s="19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>
        <v>1405660307</v>
      </c>
      <c r="V55" s="202"/>
      <c r="W55" s="202"/>
      <c r="X55" s="193"/>
    </row>
    <row r="57" spans="1:24" hidden="1">
      <c r="A57" s="193"/>
      <c r="B57" s="193"/>
      <c r="C57" s="193"/>
      <c r="D57" s="21"/>
      <c r="E57" s="21">
        <f>+E6+E16+E27+E37</f>
        <v>4643276069</v>
      </c>
      <c r="F57" s="21"/>
      <c r="G57" s="21">
        <f t="shared" ref="G57:S57" si="16">+G6+G16+G27+G37</f>
        <v>4926942189</v>
      </c>
      <c r="H57" s="21"/>
      <c r="I57" s="21">
        <f t="shared" si="16"/>
        <v>6066637743</v>
      </c>
      <c r="J57" s="21"/>
      <c r="K57" s="21">
        <f t="shared" si="16"/>
        <v>6047837574</v>
      </c>
      <c r="L57" s="21"/>
      <c r="M57" s="21">
        <f t="shared" si="16"/>
        <v>6867776383</v>
      </c>
      <c r="N57" s="21"/>
      <c r="O57" s="21">
        <f t="shared" si="16"/>
        <v>6692146500</v>
      </c>
      <c r="P57" s="21"/>
      <c r="Q57" s="21">
        <f t="shared" si="16"/>
        <v>6622596621</v>
      </c>
      <c r="R57" s="21"/>
      <c r="S57" s="21">
        <f t="shared" si="16"/>
        <v>6392086599</v>
      </c>
      <c r="T57" s="21"/>
      <c r="U57" s="21">
        <f t="shared" ref="U57" si="17">+U6+U16+U27+U37</f>
        <v>5367307055</v>
      </c>
      <c r="V57" s="202"/>
      <c r="W57" s="202"/>
      <c r="X57" s="193"/>
    </row>
    <row r="58" spans="1:24" hidden="1">
      <c r="A58" s="193"/>
      <c r="B58" s="193"/>
      <c r="C58" s="19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02"/>
      <c r="W58" s="202"/>
      <c r="X58" s="193"/>
    </row>
    <row r="59" spans="1:24" hidden="1">
      <c r="A59" s="193"/>
      <c r="B59" s="193"/>
      <c r="C59" s="193"/>
      <c r="D59" s="21"/>
      <c r="E59" s="21">
        <f>+AVERAGE(E57,G57,I57,K57,M57,O57,Q57,S57)</f>
        <v>6032412459.75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02"/>
      <c r="W59" s="202"/>
      <c r="X59" s="193"/>
    </row>
    <row r="60" spans="1:24">
      <c r="A60" s="193"/>
      <c r="B60" s="193"/>
      <c r="C60" s="193"/>
      <c r="D60" s="21">
        <f t="shared" ref="D60:R60" si="18">+D6-D7+D16-D17+D27-D28+D37-D38</f>
        <v>42293</v>
      </c>
      <c r="E60" s="21">
        <f t="shared" si="18"/>
        <v>1587137432</v>
      </c>
      <c r="F60" s="21">
        <f t="shared" si="18"/>
        <v>55611</v>
      </c>
      <c r="G60" s="21">
        <f t="shared" si="18"/>
        <v>1687329718</v>
      </c>
      <c r="H60" s="21">
        <f t="shared" si="18"/>
        <v>86667</v>
      </c>
      <c r="I60" s="21">
        <f t="shared" si="18"/>
        <v>2542714669</v>
      </c>
      <c r="J60" s="21">
        <f t="shared" si="18"/>
        <v>94721</v>
      </c>
      <c r="K60" s="21">
        <f t="shared" si="18"/>
        <v>2749671404</v>
      </c>
      <c r="L60" s="21">
        <f t="shared" si="18"/>
        <v>123766</v>
      </c>
      <c r="M60" s="21">
        <f t="shared" si="18"/>
        <v>3562475129</v>
      </c>
      <c r="N60" s="21">
        <f t="shared" si="18"/>
        <v>124656</v>
      </c>
      <c r="O60" s="21">
        <f t="shared" si="18"/>
        <v>3518563659</v>
      </c>
      <c r="P60" s="21">
        <f t="shared" si="18"/>
        <v>102787</v>
      </c>
      <c r="Q60" s="21">
        <f t="shared" si="18"/>
        <v>3277605182</v>
      </c>
      <c r="R60" s="21">
        <f t="shared" si="18"/>
        <v>103657</v>
      </c>
      <c r="S60" s="21">
        <f>+S6-S7+S16-S17+S27-S28+S37-S38</f>
        <v>3305752854</v>
      </c>
      <c r="T60" s="21">
        <f t="shared" ref="T60" si="19">+T6-T7+T16-T17+T27-T28+T37-T38</f>
        <v>39350</v>
      </c>
      <c r="U60" s="21">
        <f>+U6-U7+U16-U17+U27-U28+U37-U38</f>
        <v>1550264542</v>
      </c>
      <c r="V60" s="202"/>
      <c r="W60" s="202"/>
      <c r="X60" s="193"/>
    </row>
    <row r="61" spans="1:24">
      <c r="A61" s="193"/>
      <c r="B61" s="193"/>
      <c r="C61" s="19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02"/>
      <c r="W61" s="202"/>
      <c r="X61" s="193"/>
    </row>
    <row r="64" spans="1:24">
      <c r="E64" s="22">
        <f>+E60-E62</f>
        <v>1587137432</v>
      </c>
      <c r="F64" s="22"/>
      <c r="G64" s="22">
        <f t="shared" ref="G64:U64" si="20">+G60-G62</f>
        <v>1687329718</v>
      </c>
      <c r="H64" s="22"/>
      <c r="I64" s="22">
        <f t="shared" si="20"/>
        <v>2542714669</v>
      </c>
      <c r="J64" s="22"/>
      <c r="K64" s="22">
        <f t="shared" si="20"/>
        <v>2749671404</v>
      </c>
      <c r="L64" s="22"/>
      <c r="M64" s="22">
        <f t="shared" si="20"/>
        <v>3562475129</v>
      </c>
      <c r="N64" s="22"/>
      <c r="O64" s="22">
        <f t="shared" si="20"/>
        <v>3518563659</v>
      </c>
      <c r="P64" s="22"/>
      <c r="Q64" s="22">
        <f t="shared" si="20"/>
        <v>3277605182</v>
      </c>
      <c r="R64" s="22"/>
      <c r="S64" s="22">
        <f t="shared" si="20"/>
        <v>3305752854</v>
      </c>
      <c r="T64" s="22"/>
      <c r="U64" s="22">
        <f t="shared" si="20"/>
        <v>1550264542</v>
      </c>
    </row>
  </sheetData>
  <mergeCells count="85">
    <mergeCell ref="P3:Q3"/>
    <mergeCell ref="R3:S3"/>
    <mergeCell ref="T3:U3"/>
    <mergeCell ref="V3:W3"/>
    <mergeCell ref="A6:A10"/>
    <mergeCell ref="B6:B7"/>
    <mergeCell ref="B9:B10"/>
    <mergeCell ref="D3:E3"/>
    <mergeCell ref="F3:G3"/>
    <mergeCell ref="H3:I3"/>
    <mergeCell ref="J3:K3"/>
    <mergeCell ref="L3:M3"/>
    <mergeCell ref="N3:O3"/>
    <mergeCell ref="V13:W13"/>
    <mergeCell ref="A12:C12"/>
    <mergeCell ref="A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A16:A20"/>
    <mergeCell ref="B16:B17"/>
    <mergeCell ref="B19:B20"/>
    <mergeCell ref="A22:C22"/>
    <mergeCell ref="A23:C23"/>
    <mergeCell ref="R23:S23"/>
    <mergeCell ref="T23:U23"/>
    <mergeCell ref="V23:W23"/>
    <mergeCell ref="A27:A31"/>
    <mergeCell ref="B27:B28"/>
    <mergeCell ref="B30:B31"/>
    <mergeCell ref="F23:G23"/>
    <mergeCell ref="H23:I23"/>
    <mergeCell ref="J23:K23"/>
    <mergeCell ref="L23:M23"/>
    <mergeCell ref="N23:O23"/>
    <mergeCell ref="P23:Q23"/>
    <mergeCell ref="D23:E23"/>
    <mergeCell ref="V34:W34"/>
    <mergeCell ref="A33:C33"/>
    <mergeCell ref="A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A37:A41"/>
    <mergeCell ref="B37:B38"/>
    <mergeCell ref="B40:B41"/>
    <mergeCell ref="A43:C43"/>
    <mergeCell ref="A44:C44"/>
    <mergeCell ref="R44:S44"/>
    <mergeCell ref="T44:U44"/>
    <mergeCell ref="V44:W44"/>
    <mergeCell ref="A47:A51"/>
    <mergeCell ref="B47:B48"/>
    <mergeCell ref="B50:B51"/>
    <mergeCell ref="F44:G44"/>
    <mergeCell ref="H44:I44"/>
    <mergeCell ref="J44:K44"/>
    <mergeCell ref="L44:M44"/>
    <mergeCell ref="N44:O44"/>
    <mergeCell ref="P44:Q44"/>
    <mergeCell ref="D44:E44"/>
    <mergeCell ref="V54:W54"/>
    <mergeCell ref="A53:C53"/>
    <mergeCell ref="A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71"/>
  <sheetViews>
    <sheetView workbookViewId="0">
      <pane xSplit="2" ySplit="4" topLeftCell="C51" activePane="bottomRight" state="frozen"/>
      <selection pane="topRight" activeCell="C1" sqref="C1"/>
      <selection pane="bottomLeft" activeCell="A5" sqref="A5"/>
      <selection pane="bottomRight" activeCell="K63" sqref="K63:AA63"/>
    </sheetView>
  </sheetViews>
  <sheetFormatPr baseColWidth="10" defaultRowHeight="14.5"/>
  <cols>
    <col min="1" max="1" width="7" bestFit="1" customWidth="1"/>
    <col min="2" max="2" width="17.90625" customWidth="1"/>
    <col min="3" max="3" width="12.90625" bestFit="1" customWidth="1"/>
    <col min="4" max="4" width="15.453125" bestFit="1" customWidth="1"/>
    <col min="5" max="5" width="15.1796875" bestFit="1" customWidth="1"/>
    <col min="6" max="6" width="15.453125" bestFit="1" customWidth="1"/>
    <col min="7" max="7" width="15.1796875" bestFit="1" customWidth="1"/>
    <col min="8" max="8" width="15.453125" bestFit="1" customWidth="1"/>
    <col min="9" max="9" width="15.1796875" bestFit="1" customWidth="1"/>
    <col min="10" max="10" width="15.453125" bestFit="1" customWidth="1"/>
    <col min="11" max="11" width="16.1796875" bestFit="1" customWidth="1"/>
    <col min="12" max="12" width="15.453125" bestFit="1" customWidth="1"/>
    <col min="13" max="13" width="16.1796875" bestFit="1" customWidth="1"/>
    <col min="14" max="14" width="15.453125" bestFit="1" customWidth="1"/>
    <col min="15" max="15" width="16.1796875" bestFit="1" customWidth="1"/>
    <col min="16" max="16" width="15.453125" bestFit="1" customWidth="1"/>
    <col min="17" max="17" width="16.1796875" bestFit="1" customWidth="1"/>
    <col min="18" max="18" width="15.453125" bestFit="1" customWidth="1"/>
    <col min="19" max="19" width="16.1796875" bestFit="1" customWidth="1"/>
    <col min="20" max="20" width="15.453125" bestFit="1" customWidth="1"/>
    <col min="21" max="21" width="16.1796875" bestFit="1" customWidth="1"/>
    <col min="22" max="22" width="15.453125" bestFit="1" customWidth="1"/>
    <col min="23" max="23" width="16.1796875" bestFit="1" customWidth="1"/>
    <col min="24" max="24" width="15.453125" bestFit="1" customWidth="1"/>
    <col min="25" max="25" width="16.1796875" bestFit="1" customWidth="1"/>
    <col min="26" max="26" width="15.453125" bestFit="1" customWidth="1"/>
    <col min="27" max="27" width="16.1796875" bestFit="1" customWidth="1"/>
    <col min="28" max="28" width="15.453125" bestFit="1" customWidth="1"/>
    <col min="29" max="29" width="15.1796875" bestFit="1" customWidth="1"/>
    <col min="30" max="31" width="19.36328125" bestFit="1" customWidth="1"/>
    <col min="32" max="32" width="14.81640625" bestFit="1" customWidth="1"/>
  </cols>
  <sheetData>
    <row r="2" spans="1:31" ht="15" thickBot="1">
      <c r="A2" s="193"/>
      <c r="B2" s="193"/>
      <c r="C2" s="193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02"/>
      <c r="AE2" s="202"/>
    </row>
    <row r="3" spans="1:31">
      <c r="A3" s="193"/>
      <c r="B3" s="193"/>
      <c r="C3" s="193"/>
      <c r="D3" s="599">
        <v>45200</v>
      </c>
      <c r="E3" s="600"/>
      <c r="F3" s="599">
        <v>45231</v>
      </c>
      <c r="G3" s="600"/>
      <c r="H3" s="599">
        <v>45261</v>
      </c>
      <c r="I3" s="600"/>
      <c r="J3" s="599">
        <v>45292</v>
      </c>
      <c r="K3" s="600"/>
      <c r="L3" s="599">
        <v>45323</v>
      </c>
      <c r="M3" s="600"/>
      <c r="N3" s="599">
        <v>45352</v>
      </c>
      <c r="O3" s="600"/>
      <c r="P3" s="599">
        <v>45383</v>
      </c>
      <c r="Q3" s="600"/>
      <c r="R3" s="599">
        <v>45413</v>
      </c>
      <c r="S3" s="600"/>
      <c r="T3" s="599">
        <v>45444</v>
      </c>
      <c r="U3" s="600"/>
      <c r="V3" s="599">
        <v>45474</v>
      </c>
      <c r="W3" s="600"/>
      <c r="X3" s="599">
        <v>45505</v>
      </c>
      <c r="Y3" s="600"/>
      <c r="Z3" s="599">
        <v>45536</v>
      </c>
      <c r="AA3" s="600"/>
      <c r="AB3" s="599">
        <v>45566</v>
      </c>
      <c r="AC3" s="600"/>
      <c r="AD3" s="601" t="s">
        <v>1010</v>
      </c>
      <c r="AE3" s="602"/>
    </row>
    <row r="4" spans="1:31" ht="15" thickBot="1">
      <c r="A4" s="193"/>
      <c r="B4" s="193"/>
      <c r="C4" s="193"/>
      <c r="D4" s="203" t="s">
        <v>1011</v>
      </c>
      <c r="E4" s="203" t="s">
        <v>956</v>
      </c>
      <c r="F4" s="203" t="s">
        <v>1011</v>
      </c>
      <c r="G4" s="203" t="s">
        <v>956</v>
      </c>
      <c r="H4" s="203" t="s">
        <v>1011</v>
      </c>
      <c r="I4" s="203" t="s">
        <v>956</v>
      </c>
      <c r="J4" s="203" t="s">
        <v>1011</v>
      </c>
      <c r="K4" s="203" t="s">
        <v>956</v>
      </c>
      <c r="L4" s="203" t="s">
        <v>1011</v>
      </c>
      <c r="M4" s="203" t="s">
        <v>956</v>
      </c>
      <c r="N4" s="203" t="s">
        <v>1011</v>
      </c>
      <c r="O4" s="203" t="s">
        <v>956</v>
      </c>
      <c r="P4" s="203" t="s">
        <v>1011</v>
      </c>
      <c r="Q4" s="203" t="s">
        <v>956</v>
      </c>
      <c r="R4" s="203" t="s">
        <v>1011</v>
      </c>
      <c r="S4" s="203" t="s">
        <v>956</v>
      </c>
      <c r="T4" s="203" t="s">
        <v>1011</v>
      </c>
      <c r="U4" s="203" t="s">
        <v>956</v>
      </c>
      <c r="V4" s="203" t="s">
        <v>1011</v>
      </c>
      <c r="W4" s="203" t="s">
        <v>956</v>
      </c>
      <c r="X4" s="203" t="s">
        <v>1011</v>
      </c>
      <c r="Y4" s="203" t="s">
        <v>956</v>
      </c>
      <c r="Z4" s="203" t="s">
        <v>1011</v>
      </c>
      <c r="AA4" s="203" t="s">
        <v>956</v>
      </c>
      <c r="AB4" s="203" t="s">
        <v>1011</v>
      </c>
      <c r="AC4" s="203" t="s">
        <v>956</v>
      </c>
      <c r="AD4" s="204" t="s">
        <v>1011</v>
      </c>
      <c r="AE4" s="204" t="s">
        <v>956</v>
      </c>
    </row>
    <row r="5" spans="1:31" ht="15" thickBot="1">
      <c r="A5" s="193"/>
      <c r="B5" s="193"/>
      <c r="C5" s="193"/>
      <c r="D5" s="205"/>
      <c r="E5" s="205"/>
      <c r="F5" s="205"/>
      <c r="G5" s="205"/>
      <c r="H5" s="205"/>
      <c r="I5" s="205"/>
      <c r="J5" s="205"/>
      <c r="K5" s="205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02"/>
      <c r="AE5" s="202"/>
    </row>
    <row r="6" spans="1:31" ht="15" thickBot="1">
      <c r="A6" s="593" t="s">
        <v>1012</v>
      </c>
      <c r="B6" s="596" t="s">
        <v>1013</v>
      </c>
      <c r="C6" s="206" t="s">
        <v>1014</v>
      </c>
      <c r="D6" s="207">
        <v>56513</v>
      </c>
      <c r="E6" s="207">
        <v>1655793240</v>
      </c>
      <c r="F6" s="207">
        <v>50667</v>
      </c>
      <c r="G6" s="207">
        <v>1502103993</v>
      </c>
      <c r="H6" s="207">
        <v>94312</v>
      </c>
      <c r="I6" s="207">
        <v>3017108152</v>
      </c>
      <c r="J6" s="207">
        <v>79884</v>
      </c>
      <c r="K6" s="207">
        <v>2509429015</v>
      </c>
      <c r="L6" s="207">
        <v>83792</v>
      </c>
      <c r="M6" s="207">
        <v>2608217469</v>
      </c>
      <c r="N6" s="207">
        <v>96780</v>
      </c>
      <c r="O6" s="207">
        <v>3085981543</v>
      </c>
      <c r="P6" s="207">
        <v>98131</v>
      </c>
      <c r="Q6" s="207">
        <v>3031850660</v>
      </c>
      <c r="R6" s="207">
        <v>104347</v>
      </c>
      <c r="S6" s="207">
        <v>3335440240</v>
      </c>
      <c r="T6" s="207">
        <v>112462</v>
      </c>
      <c r="U6" s="208">
        <v>3542398771</v>
      </c>
      <c r="V6" s="207">
        <v>113867</v>
      </c>
      <c r="W6" s="208">
        <v>3640846823</v>
      </c>
      <c r="X6" s="207">
        <v>110930</v>
      </c>
      <c r="Y6" s="207">
        <v>3440933383</v>
      </c>
      <c r="Z6" s="207">
        <v>101530</v>
      </c>
      <c r="AA6" s="207">
        <v>3173058544</v>
      </c>
      <c r="AB6" s="207" t="e">
        <f>#REF!</f>
        <v>#REF!</v>
      </c>
      <c r="AC6" s="207" t="e">
        <f>#REF!</f>
        <v>#REF!</v>
      </c>
      <c r="AD6" s="209" t="e">
        <f>J6+L6+N6+P6+R6+T6+V6+X6+Z6+AB6</f>
        <v>#REF!</v>
      </c>
      <c r="AE6" s="209" t="e">
        <f>K6+M6+O6+Q6+S6+U6+W6+Y6+AA6+AC6</f>
        <v>#REF!</v>
      </c>
    </row>
    <row r="7" spans="1:31" ht="15" thickBot="1">
      <c r="A7" s="594"/>
      <c r="B7" s="597"/>
      <c r="C7" s="9" t="s">
        <v>1015</v>
      </c>
      <c r="D7" s="6">
        <v>56269</v>
      </c>
      <c r="E7" s="6">
        <v>1484445290</v>
      </c>
      <c r="F7" s="6">
        <v>74503</v>
      </c>
      <c r="G7" s="6">
        <v>1818901580</v>
      </c>
      <c r="H7" s="6">
        <v>98134</v>
      </c>
      <c r="I7" s="6">
        <v>2571642068</v>
      </c>
      <c r="J7" s="6">
        <v>82873</v>
      </c>
      <c r="K7" s="6">
        <v>2390755351</v>
      </c>
      <c r="L7" s="6">
        <v>83098</v>
      </c>
      <c r="M7" s="6">
        <v>2512911561</v>
      </c>
      <c r="N7" s="6">
        <v>94303</v>
      </c>
      <c r="O7" s="6">
        <v>2733876493</v>
      </c>
      <c r="P7" s="6">
        <v>88592</v>
      </c>
      <c r="Q7" s="6">
        <v>2556632309</v>
      </c>
      <c r="R7" s="6">
        <v>90905</v>
      </c>
      <c r="S7" s="6">
        <v>2591667833</v>
      </c>
      <c r="T7" s="6">
        <v>91582</v>
      </c>
      <c r="U7" s="210">
        <v>2527924325</v>
      </c>
      <c r="V7" s="6">
        <v>93937</v>
      </c>
      <c r="W7" s="210">
        <v>2673989697</v>
      </c>
      <c r="X7" s="6">
        <v>92980</v>
      </c>
      <c r="Y7" s="6">
        <v>2476080197</v>
      </c>
      <c r="Z7" s="6">
        <v>90883</v>
      </c>
      <c r="AA7" s="6">
        <v>2493042077</v>
      </c>
      <c r="AB7" s="6" t="e">
        <f>#REF!</f>
        <v>#REF!</v>
      </c>
      <c r="AC7" s="6" t="e">
        <f>#REF!</f>
        <v>#REF!</v>
      </c>
      <c r="AD7" s="209" t="e">
        <f>J7+L7+N7+P7+R7+T7+V7+X7+Z7+AB7</f>
        <v>#REF!</v>
      </c>
      <c r="AE7" s="211" t="e">
        <f>K7+M7+O7+Q7+S7+U7+W7+Y7+AA7+AC7</f>
        <v>#REF!</v>
      </c>
    </row>
    <row r="8" spans="1:31" ht="4.5" customHeight="1" thickBot="1">
      <c r="A8" s="594"/>
      <c r="B8" s="16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4"/>
      <c r="V8" s="213"/>
      <c r="W8" s="214"/>
      <c r="X8" s="213"/>
      <c r="Y8" s="213"/>
      <c r="Z8" s="213"/>
      <c r="AA8" s="213"/>
      <c r="AB8" s="213"/>
      <c r="AC8" s="213"/>
      <c r="AD8" s="215"/>
      <c r="AE8" s="215"/>
    </row>
    <row r="9" spans="1:31">
      <c r="A9" s="594"/>
      <c r="B9" s="597" t="s">
        <v>1016</v>
      </c>
      <c r="C9" s="9" t="s">
        <v>1014</v>
      </c>
      <c r="D9" s="216">
        <v>177</v>
      </c>
      <c r="E9" s="216">
        <v>4057121</v>
      </c>
      <c r="F9" s="216">
        <v>130</v>
      </c>
      <c r="G9" s="216">
        <v>2982391</v>
      </c>
      <c r="H9" s="216">
        <v>329</v>
      </c>
      <c r="I9" s="216">
        <v>8586752</v>
      </c>
      <c r="J9" s="216">
        <v>268</v>
      </c>
      <c r="K9" s="216">
        <v>5223574</v>
      </c>
      <c r="L9" s="216">
        <v>307</v>
      </c>
      <c r="M9" s="216">
        <v>7835031</v>
      </c>
      <c r="N9" s="216">
        <v>303</v>
      </c>
      <c r="O9" s="216">
        <v>8227110</v>
      </c>
      <c r="P9" s="216">
        <v>298</v>
      </c>
      <c r="Q9" s="216">
        <v>7206066</v>
      </c>
      <c r="R9" s="216">
        <v>234</v>
      </c>
      <c r="S9" s="216">
        <v>8926243</v>
      </c>
      <c r="T9" s="216">
        <v>288</v>
      </c>
      <c r="U9" s="217">
        <v>7859624</v>
      </c>
      <c r="V9" s="216">
        <v>309</v>
      </c>
      <c r="W9" s="217">
        <v>6400071</v>
      </c>
      <c r="X9" s="216">
        <v>263</v>
      </c>
      <c r="Y9" s="216">
        <v>7568952</v>
      </c>
      <c r="Z9" s="216">
        <v>239</v>
      </c>
      <c r="AA9" s="216">
        <v>7378874</v>
      </c>
      <c r="AB9" s="216" t="e">
        <f>#REF!</f>
        <v>#REF!</v>
      </c>
      <c r="AC9" s="216" t="e">
        <f>#REF!</f>
        <v>#REF!</v>
      </c>
      <c r="AD9" s="218" t="e">
        <f>J9+L9+N9+P9+R9+T9+V9+X9+Z9+AB9</f>
        <v>#REF!</v>
      </c>
      <c r="AE9" s="209" t="e">
        <f>K9+M9+O9+Q9+S9+U9+W9+Y9+AA9+AC9</f>
        <v>#REF!</v>
      </c>
    </row>
    <row r="10" spans="1:31" ht="15" thickBot="1">
      <c r="A10" s="595"/>
      <c r="B10" s="598"/>
      <c r="C10" s="219" t="s">
        <v>1015</v>
      </c>
      <c r="D10" s="220">
        <v>170</v>
      </c>
      <c r="E10" s="220">
        <v>4805141</v>
      </c>
      <c r="F10" s="220">
        <v>237</v>
      </c>
      <c r="G10" s="220">
        <v>4500124</v>
      </c>
      <c r="H10" s="220">
        <v>321</v>
      </c>
      <c r="I10" s="220">
        <v>6397233</v>
      </c>
      <c r="J10" s="220">
        <v>368</v>
      </c>
      <c r="K10" s="220">
        <v>9170324</v>
      </c>
      <c r="L10" s="220">
        <v>292</v>
      </c>
      <c r="M10" s="220">
        <v>9652077</v>
      </c>
      <c r="N10" s="220">
        <v>293</v>
      </c>
      <c r="O10" s="220">
        <v>6135809</v>
      </c>
      <c r="P10" s="220">
        <v>281</v>
      </c>
      <c r="Q10" s="220">
        <v>5857653</v>
      </c>
      <c r="R10" s="220">
        <v>293</v>
      </c>
      <c r="S10" s="220">
        <v>7418352</v>
      </c>
      <c r="T10" s="220">
        <v>274</v>
      </c>
      <c r="U10" s="221">
        <v>7217727</v>
      </c>
      <c r="V10" s="220">
        <v>337</v>
      </c>
      <c r="W10" s="221">
        <v>7191057</v>
      </c>
      <c r="X10" s="220">
        <v>256</v>
      </c>
      <c r="Y10" s="220">
        <v>4449058</v>
      </c>
      <c r="Z10" s="220">
        <v>333</v>
      </c>
      <c r="AA10" s="220">
        <v>7469236</v>
      </c>
      <c r="AB10" s="220" t="e">
        <f>#REF!-#REF!</f>
        <v>#REF!</v>
      </c>
      <c r="AC10" s="220" t="e">
        <f>#REF!-#REF!</f>
        <v>#REF!</v>
      </c>
      <c r="AD10" s="222" t="e">
        <f>J10+L10+N10+P10+R10+T10+V10+X10+Z10+AB10</f>
        <v>#REF!</v>
      </c>
      <c r="AE10" s="211" t="e">
        <f>K10+M10+O10+Q10+S10+U10+W10+Y10+AA10+AC10</f>
        <v>#REF!</v>
      </c>
    </row>
    <row r="11" spans="1:31" ht="15" thickBot="1">
      <c r="A11" s="193"/>
      <c r="B11" s="193"/>
      <c r="C11" s="19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02"/>
      <c r="AE11" s="202"/>
    </row>
    <row r="12" spans="1:31" ht="15" thickBot="1">
      <c r="A12" s="587" t="s">
        <v>1017</v>
      </c>
      <c r="B12" s="588"/>
      <c r="C12" s="588"/>
      <c r="D12" s="223">
        <f t="shared" ref="D12:AC12" si="0">+(D6-D9)-(D7-D10)</f>
        <v>237</v>
      </c>
      <c r="E12" s="223">
        <f t="shared" si="0"/>
        <v>172095970</v>
      </c>
      <c r="F12" s="416">
        <f t="shared" si="0"/>
        <v>-23729</v>
      </c>
      <c r="G12" s="416">
        <f t="shared" si="0"/>
        <v>-315279854</v>
      </c>
      <c r="H12" s="223">
        <f t="shared" si="0"/>
        <v>-3830</v>
      </c>
      <c r="I12" s="223">
        <f t="shared" si="0"/>
        <v>443276565</v>
      </c>
      <c r="J12" s="223">
        <f t="shared" si="0"/>
        <v>-2889</v>
      </c>
      <c r="K12" s="223">
        <f t="shared" si="0"/>
        <v>122620414</v>
      </c>
      <c r="L12" s="223">
        <f>+(L6-L9)-(L7-L10)</f>
        <v>679</v>
      </c>
      <c r="M12" s="223">
        <f t="shared" si="0"/>
        <v>97122954</v>
      </c>
      <c r="N12" s="223">
        <f t="shared" si="0"/>
        <v>2467</v>
      </c>
      <c r="O12" s="223">
        <f t="shared" si="0"/>
        <v>350013749</v>
      </c>
      <c r="P12" s="223">
        <f t="shared" si="0"/>
        <v>9522</v>
      </c>
      <c r="Q12" s="223">
        <f t="shared" si="0"/>
        <v>473869938</v>
      </c>
      <c r="R12" s="223">
        <f t="shared" si="0"/>
        <v>13501</v>
      </c>
      <c r="S12" s="223">
        <f t="shared" si="0"/>
        <v>742264516</v>
      </c>
      <c r="T12" s="223">
        <f t="shared" si="0"/>
        <v>20866</v>
      </c>
      <c r="U12" s="223">
        <f t="shared" si="0"/>
        <v>1013832549</v>
      </c>
      <c r="V12" s="223">
        <f t="shared" si="0"/>
        <v>19958</v>
      </c>
      <c r="W12" s="223">
        <f t="shared" si="0"/>
        <v>967648112</v>
      </c>
      <c r="X12" s="223">
        <f t="shared" si="0"/>
        <v>17943</v>
      </c>
      <c r="Y12" s="223">
        <f t="shared" si="0"/>
        <v>961733292</v>
      </c>
      <c r="Z12" s="223">
        <f t="shared" si="0"/>
        <v>10741</v>
      </c>
      <c r="AA12" s="223">
        <f t="shared" si="0"/>
        <v>680106829</v>
      </c>
      <c r="AB12" s="223" t="e">
        <f t="shared" si="0"/>
        <v>#REF!</v>
      </c>
      <c r="AC12" s="223" t="e">
        <f t="shared" si="0"/>
        <v>#REF!</v>
      </c>
      <c r="AD12" s="224" t="e">
        <f>J12+L12+N12+P12+R12+T12+V12+X12+Z12+AB12</f>
        <v>#REF!</v>
      </c>
      <c r="AE12" s="225" t="e">
        <f>K12+M12+O12+Q12+S12+U12+W12+Y12+AA12+AC12</f>
        <v>#REF!</v>
      </c>
    </row>
    <row r="13" spans="1:31" ht="15" thickBot="1">
      <c r="A13" s="587" t="s">
        <v>1018</v>
      </c>
      <c r="B13" s="588"/>
      <c r="C13" s="589"/>
      <c r="D13" s="590">
        <v>122620414</v>
      </c>
      <c r="E13" s="591"/>
      <c r="F13" s="590">
        <v>122620414</v>
      </c>
      <c r="G13" s="591"/>
      <c r="H13" s="590">
        <v>122620414</v>
      </c>
      <c r="I13" s="591"/>
      <c r="J13" s="590">
        <v>122620414</v>
      </c>
      <c r="K13" s="591"/>
      <c r="L13" s="591">
        <f>+M12</f>
        <v>97122954</v>
      </c>
      <c r="M13" s="591"/>
      <c r="N13" s="591">
        <f>+O12</f>
        <v>350013749</v>
      </c>
      <c r="O13" s="591"/>
      <c r="P13" s="591">
        <f>+Q12</f>
        <v>473869938</v>
      </c>
      <c r="Q13" s="591"/>
      <c r="R13" s="591">
        <f>+S12</f>
        <v>742264516</v>
      </c>
      <c r="S13" s="591"/>
      <c r="T13" s="591"/>
      <c r="U13" s="592"/>
      <c r="V13" s="591"/>
      <c r="W13" s="592"/>
      <c r="X13" s="591"/>
      <c r="Y13" s="592"/>
      <c r="Z13" s="591"/>
      <c r="AA13" s="592"/>
      <c r="AB13" s="591"/>
      <c r="AC13" s="592"/>
      <c r="AD13" s="585"/>
      <c r="AE13" s="586"/>
    </row>
    <row r="15" spans="1:31" ht="15" thickBot="1">
      <c r="A15" s="193"/>
      <c r="B15" s="193"/>
      <c r="C15" s="19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02"/>
      <c r="AE15" s="202"/>
    </row>
    <row r="16" spans="1:31">
      <c r="A16" s="593" t="s">
        <v>1019</v>
      </c>
      <c r="B16" s="596" t="s">
        <v>1013</v>
      </c>
      <c r="C16" s="206" t="s">
        <v>1014</v>
      </c>
      <c r="D16" s="207">
        <v>40996</v>
      </c>
      <c r="E16" s="207">
        <v>837537359</v>
      </c>
      <c r="F16" s="207">
        <v>39228</v>
      </c>
      <c r="G16" s="207">
        <v>808384715</v>
      </c>
      <c r="H16" s="207">
        <v>44516</v>
      </c>
      <c r="I16" s="207">
        <v>962493099</v>
      </c>
      <c r="J16" s="207">
        <v>31147</v>
      </c>
      <c r="K16" s="207">
        <v>671133926</v>
      </c>
      <c r="L16" s="207">
        <v>40882</v>
      </c>
      <c r="M16" s="207">
        <v>883200233</v>
      </c>
      <c r="N16" s="207">
        <v>65716</v>
      </c>
      <c r="O16" s="207">
        <v>1321288625</v>
      </c>
      <c r="P16" s="207">
        <v>58493</v>
      </c>
      <c r="Q16" s="207">
        <v>1182950601</v>
      </c>
      <c r="R16" s="207">
        <v>80398</v>
      </c>
      <c r="S16" s="207">
        <v>1602703082</v>
      </c>
      <c r="T16" s="207">
        <v>77760</v>
      </c>
      <c r="U16" s="208">
        <v>1478558058</v>
      </c>
      <c r="V16" s="207">
        <v>57663</v>
      </c>
      <c r="W16" s="208">
        <v>1192316954</v>
      </c>
      <c r="X16" s="207">
        <v>59237</v>
      </c>
      <c r="Y16" s="207">
        <v>1218109305</v>
      </c>
      <c r="Z16" s="207">
        <v>52875</v>
      </c>
      <c r="AA16" s="207">
        <v>1140917711</v>
      </c>
      <c r="AB16" s="207" t="e">
        <f>#REF!</f>
        <v>#REF!</v>
      </c>
      <c r="AC16" s="207" t="e">
        <f>#REF!</f>
        <v>#REF!</v>
      </c>
      <c r="AD16" s="209" t="e">
        <f>J16+L16+N16+P16+R16+T16+V16+X16+Z16+AB16</f>
        <v>#REF!</v>
      </c>
      <c r="AE16" s="209" t="e">
        <f>K16+M16+O16+Q16+S16+U16+W16+Y16+AA16+AC16</f>
        <v>#REF!</v>
      </c>
    </row>
    <row r="17" spans="1:31" ht="15" thickBot="1">
      <c r="A17" s="594"/>
      <c r="B17" s="597"/>
      <c r="C17" s="9" t="s">
        <v>1015</v>
      </c>
      <c r="D17" s="6">
        <v>5633</v>
      </c>
      <c r="E17" s="6">
        <v>210356654</v>
      </c>
      <c r="F17" s="6">
        <v>5084</v>
      </c>
      <c r="G17" s="6">
        <v>179725066</v>
      </c>
      <c r="H17" s="6">
        <v>5563</v>
      </c>
      <c r="I17" s="6">
        <v>203675837</v>
      </c>
      <c r="J17" s="6">
        <v>4328</v>
      </c>
      <c r="K17" s="6">
        <v>154939856</v>
      </c>
      <c r="L17" s="6">
        <v>4879</v>
      </c>
      <c r="M17" s="6">
        <v>178381559</v>
      </c>
      <c r="N17" s="6">
        <v>6795</v>
      </c>
      <c r="O17" s="6">
        <v>227942172</v>
      </c>
      <c r="P17" s="6">
        <v>6056</v>
      </c>
      <c r="Q17" s="6">
        <v>200391179</v>
      </c>
      <c r="R17" s="6">
        <v>6389</v>
      </c>
      <c r="S17" s="6">
        <v>217304993</v>
      </c>
      <c r="T17" s="6">
        <v>5953</v>
      </c>
      <c r="U17" s="210">
        <v>213648163</v>
      </c>
      <c r="V17" s="6">
        <v>5844</v>
      </c>
      <c r="W17" s="210">
        <v>222621504</v>
      </c>
      <c r="X17" s="6">
        <v>6753</v>
      </c>
      <c r="Y17" s="6">
        <v>253812684</v>
      </c>
      <c r="Z17" s="6">
        <v>5960</v>
      </c>
      <c r="AA17" s="6">
        <v>242724943</v>
      </c>
      <c r="AB17" s="6" t="e">
        <f>#REF!</f>
        <v>#REF!</v>
      </c>
      <c r="AC17" s="6" t="e">
        <f>#REF!</f>
        <v>#REF!</v>
      </c>
      <c r="AD17" s="211" t="e">
        <f>J17+L17+N17+P17+R17+T17+V17+X17+Z17+AB17</f>
        <v>#REF!</v>
      </c>
      <c r="AE17" s="211" t="e">
        <f>K17+M17+O17+Q17+S17+U17+W17+Y17+AA17+AC17</f>
        <v>#REF!</v>
      </c>
    </row>
    <row r="18" spans="1:31" ht="7.5" customHeight="1" thickBot="1">
      <c r="A18" s="594"/>
      <c r="B18" s="16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4"/>
      <c r="V18" s="213"/>
      <c r="W18" s="214"/>
      <c r="X18" s="213"/>
      <c r="Y18" s="213"/>
      <c r="Z18" s="213"/>
      <c r="AA18" s="213"/>
      <c r="AB18" s="213"/>
      <c r="AC18" s="213"/>
      <c r="AD18" s="215"/>
      <c r="AE18" s="215"/>
    </row>
    <row r="19" spans="1:31">
      <c r="A19" s="594"/>
      <c r="B19" s="597" t="s">
        <v>1016</v>
      </c>
      <c r="C19" s="9" t="s">
        <v>1014</v>
      </c>
      <c r="D19" s="216">
        <v>39</v>
      </c>
      <c r="E19" s="216">
        <v>2048630</v>
      </c>
      <c r="F19" s="216">
        <v>19</v>
      </c>
      <c r="G19" s="216">
        <v>844500</v>
      </c>
      <c r="H19" s="216">
        <v>31</v>
      </c>
      <c r="I19" s="216">
        <v>1968000</v>
      </c>
      <c r="J19" s="216">
        <v>26</v>
      </c>
      <c r="K19" s="216">
        <v>882600</v>
      </c>
      <c r="L19" s="216">
        <v>22</v>
      </c>
      <c r="M19" s="216">
        <v>861700</v>
      </c>
      <c r="N19" s="216">
        <v>43</v>
      </c>
      <c r="O19" s="216">
        <v>2418100</v>
      </c>
      <c r="P19" s="216">
        <v>48</v>
      </c>
      <c r="Q19" s="216">
        <v>1973600</v>
      </c>
      <c r="R19" s="216">
        <v>55</v>
      </c>
      <c r="S19" s="216">
        <v>2352300</v>
      </c>
      <c r="T19" s="216">
        <v>56</v>
      </c>
      <c r="U19" s="217">
        <v>2353710</v>
      </c>
      <c r="V19" s="216">
        <v>51</v>
      </c>
      <c r="W19" s="217">
        <v>1917500</v>
      </c>
      <c r="X19" s="216">
        <v>58</v>
      </c>
      <c r="Y19" s="216">
        <v>2436915</v>
      </c>
      <c r="Z19" s="216">
        <v>57</v>
      </c>
      <c r="AA19" s="216">
        <v>2783750</v>
      </c>
      <c r="AB19" s="216" t="e">
        <f>#REF!</f>
        <v>#REF!</v>
      </c>
      <c r="AC19" s="216" t="e">
        <f>#REF!</f>
        <v>#REF!</v>
      </c>
      <c r="AD19" s="218" t="e">
        <f>J19+L19+N19+P19+R19+T19+V19+X19+Z19+AB19</f>
        <v>#REF!</v>
      </c>
      <c r="AE19" s="209" t="e">
        <f>K19+M19+O19+Q19+S19+U19+W19+Y19+AA19+AC19</f>
        <v>#REF!</v>
      </c>
    </row>
    <row r="20" spans="1:31" ht="15" thickBot="1">
      <c r="A20" s="595"/>
      <c r="B20" s="598"/>
      <c r="C20" s="219" t="s">
        <v>1015</v>
      </c>
      <c r="D20" s="220">
        <v>16</v>
      </c>
      <c r="E20" s="220">
        <v>666183</v>
      </c>
      <c r="F20" s="220">
        <v>20</v>
      </c>
      <c r="G20" s="220">
        <v>623938</v>
      </c>
      <c r="H20" s="220">
        <v>12</v>
      </c>
      <c r="I20" s="220">
        <v>574450</v>
      </c>
      <c r="J20" s="220">
        <v>10</v>
      </c>
      <c r="K20" s="220">
        <v>717590</v>
      </c>
      <c r="L20" s="220">
        <v>18</v>
      </c>
      <c r="M20" s="220">
        <v>559400</v>
      </c>
      <c r="N20" s="220">
        <v>24</v>
      </c>
      <c r="O20" s="220">
        <v>1400100</v>
      </c>
      <c r="P20" s="220">
        <v>23</v>
      </c>
      <c r="Q20" s="220">
        <v>648772</v>
      </c>
      <c r="R20" s="220">
        <v>12</v>
      </c>
      <c r="S20" s="220">
        <v>180500</v>
      </c>
      <c r="T20" s="220">
        <v>11</v>
      </c>
      <c r="U20" s="221">
        <v>563900</v>
      </c>
      <c r="V20" s="220">
        <v>10</v>
      </c>
      <c r="W20" s="221">
        <v>296500</v>
      </c>
      <c r="X20" s="220">
        <v>22</v>
      </c>
      <c r="Y20" s="220">
        <v>480800</v>
      </c>
      <c r="Z20" s="220">
        <v>26</v>
      </c>
      <c r="AA20" s="220">
        <v>867550</v>
      </c>
      <c r="AB20" s="220" t="e">
        <f>#REF!</f>
        <v>#REF!</v>
      </c>
      <c r="AC20" s="220" t="e">
        <f>#REF!</f>
        <v>#REF!</v>
      </c>
      <c r="AD20" s="222" t="e">
        <f>J20+L20+N20+P20+R20+T20+V20+X20+Z20+AB20</f>
        <v>#REF!</v>
      </c>
      <c r="AE20" s="211" t="e">
        <f>K20+M20+O20+Q20+S20+U20+W20+Y20+AA20+AC20</f>
        <v>#REF!</v>
      </c>
    </row>
    <row r="21" spans="1:31" ht="15" thickBot="1">
      <c r="A21" s="193"/>
      <c r="B21" s="193"/>
      <c r="C21" s="19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02"/>
      <c r="AE21" s="202"/>
    </row>
    <row r="22" spans="1:31" ht="15" thickBot="1">
      <c r="A22" s="587" t="s">
        <v>1017</v>
      </c>
      <c r="B22" s="588"/>
      <c r="C22" s="588"/>
      <c r="D22" s="223">
        <f t="shared" ref="D22:AC22" si="1">+(D16-D19)-(D17-D20)</f>
        <v>35340</v>
      </c>
      <c r="E22" s="223">
        <f t="shared" si="1"/>
        <v>625798258</v>
      </c>
      <c r="F22" s="223">
        <f t="shared" si="1"/>
        <v>34145</v>
      </c>
      <c r="G22" s="223">
        <f t="shared" si="1"/>
        <v>628439087</v>
      </c>
      <c r="H22" s="223">
        <f t="shared" si="1"/>
        <v>38934</v>
      </c>
      <c r="I22" s="223">
        <f t="shared" si="1"/>
        <v>757423712</v>
      </c>
      <c r="J22" s="223">
        <f t="shared" si="1"/>
        <v>26803</v>
      </c>
      <c r="K22" s="223">
        <f t="shared" si="1"/>
        <v>516029060</v>
      </c>
      <c r="L22" s="223">
        <f>+(L16-L19)-(L17-L20)</f>
        <v>35999</v>
      </c>
      <c r="M22" s="223">
        <f t="shared" si="1"/>
        <v>704516374</v>
      </c>
      <c r="N22" s="223">
        <f t="shared" si="1"/>
        <v>58902</v>
      </c>
      <c r="O22" s="223">
        <f t="shared" si="1"/>
        <v>1092328453</v>
      </c>
      <c r="P22" s="223">
        <f t="shared" si="1"/>
        <v>52412</v>
      </c>
      <c r="Q22" s="223">
        <f t="shared" si="1"/>
        <v>981234594</v>
      </c>
      <c r="R22" s="223">
        <f t="shared" si="1"/>
        <v>73966</v>
      </c>
      <c r="S22" s="223">
        <f t="shared" si="1"/>
        <v>1383226289</v>
      </c>
      <c r="T22" s="223">
        <f t="shared" si="1"/>
        <v>71762</v>
      </c>
      <c r="U22" s="223">
        <f t="shared" si="1"/>
        <v>1263120085</v>
      </c>
      <c r="V22" s="223">
        <f t="shared" si="1"/>
        <v>51778</v>
      </c>
      <c r="W22" s="223">
        <f t="shared" si="1"/>
        <v>968074450</v>
      </c>
      <c r="X22" s="223">
        <f t="shared" si="1"/>
        <v>52448</v>
      </c>
      <c r="Y22" s="223">
        <f t="shared" si="1"/>
        <v>962340506</v>
      </c>
      <c r="Z22" s="223">
        <f t="shared" si="1"/>
        <v>46884</v>
      </c>
      <c r="AA22" s="223">
        <f t="shared" si="1"/>
        <v>896276568</v>
      </c>
      <c r="AB22" s="223" t="e">
        <f t="shared" si="1"/>
        <v>#REF!</v>
      </c>
      <c r="AC22" s="223" t="e">
        <f t="shared" si="1"/>
        <v>#REF!</v>
      </c>
      <c r="AD22" s="224" t="e">
        <f>J22+L22+N22+P22+R22+T22+V22+X22+Z22+AB22</f>
        <v>#REF!</v>
      </c>
      <c r="AE22" s="225" t="e">
        <f>K22+M22+O22+Q22+S22+U22+W22+Y22+AA22+AC22</f>
        <v>#REF!</v>
      </c>
    </row>
    <row r="23" spans="1:31" ht="15" thickBot="1">
      <c r="A23" s="587" t="s">
        <v>1018</v>
      </c>
      <c r="B23" s="588"/>
      <c r="C23" s="589"/>
      <c r="D23" s="590">
        <f>+E22</f>
        <v>625798258</v>
      </c>
      <c r="E23" s="591"/>
      <c r="F23" s="590">
        <f>+G22</f>
        <v>628439087</v>
      </c>
      <c r="G23" s="591"/>
      <c r="H23" s="590">
        <f>+I22</f>
        <v>757423712</v>
      </c>
      <c r="I23" s="591"/>
      <c r="J23" s="590">
        <f>+K22</f>
        <v>516029060</v>
      </c>
      <c r="K23" s="591"/>
      <c r="L23" s="591">
        <f>+M22</f>
        <v>704516374</v>
      </c>
      <c r="M23" s="591"/>
      <c r="N23" s="591">
        <f>+O22</f>
        <v>1092328453</v>
      </c>
      <c r="O23" s="591"/>
      <c r="P23" s="591">
        <f>+Q22</f>
        <v>981234594</v>
      </c>
      <c r="Q23" s="591"/>
      <c r="R23" s="591"/>
      <c r="S23" s="591"/>
      <c r="T23" s="591"/>
      <c r="U23" s="592"/>
      <c r="V23" s="591"/>
      <c r="W23" s="592"/>
      <c r="X23" s="591"/>
      <c r="Y23" s="592"/>
      <c r="Z23" s="591"/>
      <c r="AA23" s="592"/>
      <c r="AB23" s="591"/>
      <c r="AC23" s="592"/>
      <c r="AD23" s="585"/>
      <c r="AE23" s="586"/>
    </row>
    <row r="26" spans="1:31" ht="15" thickBot="1">
      <c r="A26" s="193"/>
      <c r="B26" s="193"/>
      <c r="C26" s="19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02"/>
      <c r="AE26" s="202"/>
    </row>
    <row r="27" spans="1:31">
      <c r="A27" s="593" t="s">
        <v>1020</v>
      </c>
      <c r="B27" s="596" t="s">
        <v>1013</v>
      </c>
      <c r="C27" s="206" t="s">
        <v>1014</v>
      </c>
      <c r="D27" s="207">
        <v>12333</v>
      </c>
      <c r="E27" s="207">
        <v>540692301</v>
      </c>
      <c r="F27" s="207">
        <v>12317</v>
      </c>
      <c r="G27" s="207">
        <v>559287423</v>
      </c>
      <c r="H27" s="207">
        <v>14021</v>
      </c>
      <c r="I27" s="207">
        <v>595854478</v>
      </c>
      <c r="J27" s="207">
        <v>11448</v>
      </c>
      <c r="K27" s="207">
        <v>527395246</v>
      </c>
      <c r="L27" s="207">
        <v>11858</v>
      </c>
      <c r="M27" s="207">
        <v>581249632</v>
      </c>
      <c r="N27" s="207">
        <v>13722</v>
      </c>
      <c r="O27" s="207">
        <v>622985306</v>
      </c>
      <c r="P27" s="207">
        <v>12830</v>
      </c>
      <c r="Q27" s="207">
        <v>560447944</v>
      </c>
      <c r="R27" s="207">
        <v>13550</v>
      </c>
      <c r="S27" s="207">
        <v>612391045</v>
      </c>
      <c r="T27" s="207">
        <v>13218</v>
      </c>
      <c r="U27" s="208">
        <v>558824282</v>
      </c>
      <c r="V27" s="207">
        <v>13090</v>
      </c>
      <c r="W27" s="208">
        <v>628941244</v>
      </c>
      <c r="X27" s="207">
        <v>12860</v>
      </c>
      <c r="Y27" s="207">
        <v>618626373</v>
      </c>
      <c r="Z27" s="207">
        <v>13063</v>
      </c>
      <c r="AA27" s="207">
        <v>626047391</v>
      </c>
      <c r="AB27" s="207" t="e">
        <f>#REF!</f>
        <v>#REF!</v>
      </c>
      <c r="AC27" s="207" t="e">
        <f>#REF!</f>
        <v>#REF!</v>
      </c>
      <c r="AD27" s="209" t="e">
        <f>J27+L27+N27+P27+R27+T27+V27+X27+Z27+AB27</f>
        <v>#REF!</v>
      </c>
      <c r="AE27" s="209" t="e">
        <f>K27+M27+O27+Q27+S27+U27+W27+Y27+AA27+AC27</f>
        <v>#REF!</v>
      </c>
    </row>
    <row r="28" spans="1:31" ht="15" thickBot="1">
      <c r="A28" s="594"/>
      <c r="B28" s="597"/>
      <c r="C28" s="9" t="s">
        <v>1015</v>
      </c>
      <c r="D28" s="6">
        <v>2018</v>
      </c>
      <c r="E28" s="6">
        <v>65963169</v>
      </c>
      <c r="F28" s="6">
        <v>1921</v>
      </c>
      <c r="G28" s="6">
        <v>63820718</v>
      </c>
      <c r="H28" s="6">
        <v>2136</v>
      </c>
      <c r="I28" s="6">
        <v>74977703</v>
      </c>
      <c r="J28" s="6">
        <v>2026</v>
      </c>
      <c r="K28" s="6">
        <v>70647552</v>
      </c>
      <c r="L28" s="6">
        <v>1859</v>
      </c>
      <c r="M28" s="6">
        <v>77430218</v>
      </c>
      <c r="N28" s="6">
        <v>2241</v>
      </c>
      <c r="O28" s="6">
        <v>79812753</v>
      </c>
      <c r="P28" s="6">
        <v>2099</v>
      </c>
      <c r="Q28" s="6">
        <v>78294451</v>
      </c>
      <c r="R28" s="6">
        <v>2072</v>
      </c>
      <c r="S28" s="6">
        <v>80804297</v>
      </c>
      <c r="T28" s="6">
        <v>1931</v>
      </c>
      <c r="U28" s="210">
        <v>75362129</v>
      </c>
      <c r="V28" s="6">
        <v>2005</v>
      </c>
      <c r="W28" s="210">
        <v>67621193</v>
      </c>
      <c r="X28" s="6">
        <v>1963</v>
      </c>
      <c r="Y28" s="6">
        <v>61709766</v>
      </c>
      <c r="Z28" s="6">
        <v>2039</v>
      </c>
      <c r="AA28" s="6">
        <v>60246461</v>
      </c>
      <c r="AB28" s="6" t="e">
        <f>#REF!</f>
        <v>#REF!</v>
      </c>
      <c r="AC28" s="6" t="e">
        <f>#REF!</f>
        <v>#REF!</v>
      </c>
      <c r="AD28" s="211" t="e">
        <f>J28+L28+N28+P28+R28+T28+V28+X28+Z28+AB28</f>
        <v>#REF!</v>
      </c>
      <c r="AE28" s="211" t="e">
        <f>K28+M28+O28+Q28+S28+U28+W28+Y28+AA28+AC28</f>
        <v>#REF!</v>
      </c>
    </row>
    <row r="29" spans="1:31" ht="6.75" customHeight="1" thickBot="1">
      <c r="A29" s="594"/>
      <c r="B29" s="16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4"/>
      <c r="V29" s="213"/>
      <c r="W29" s="214"/>
      <c r="X29" s="213"/>
      <c r="Y29" s="213"/>
      <c r="Z29" s="213"/>
      <c r="AA29" s="213"/>
      <c r="AB29" s="213"/>
      <c r="AC29" s="213"/>
      <c r="AD29" s="215"/>
      <c r="AE29" s="215"/>
    </row>
    <row r="30" spans="1:31">
      <c r="A30" s="594"/>
      <c r="B30" s="597" t="s">
        <v>1016</v>
      </c>
      <c r="C30" s="9" t="s">
        <v>1014</v>
      </c>
      <c r="D30" s="216">
        <v>42</v>
      </c>
      <c r="E30" s="216">
        <v>1256164</v>
      </c>
      <c r="F30" s="216">
        <v>25</v>
      </c>
      <c r="G30" s="216">
        <v>587500</v>
      </c>
      <c r="H30" s="216">
        <v>42</v>
      </c>
      <c r="I30" s="216">
        <v>1676550</v>
      </c>
      <c r="J30" s="216">
        <v>52</v>
      </c>
      <c r="K30" s="216">
        <v>1624525</v>
      </c>
      <c r="L30" s="216">
        <v>34</v>
      </c>
      <c r="M30" s="216">
        <v>1258984</v>
      </c>
      <c r="N30" s="216">
        <v>37</v>
      </c>
      <c r="O30" s="216">
        <v>1318200</v>
      </c>
      <c r="P30" s="216">
        <v>33</v>
      </c>
      <c r="Q30" s="216">
        <v>1116400</v>
      </c>
      <c r="R30" s="216">
        <v>50</v>
      </c>
      <c r="S30" s="216">
        <v>2156798</v>
      </c>
      <c r="T30" s="216">
        <v>35</v>
      </c>
      <c r="U30" s="217">
        <v>1520400</v>
      </c>
      <c r="V30" s="216">
        <v>56</v>
      </c>
      <c r="W30" s="217">
        <v>1872296</v>
      </c>
      <c r="X30" s="216">
        <v>32</v>
      </c>
      <c r="Y30" s="216">
        <v>1258460</v>
      </c>
      <c r="Z30" s="216">
        <v>30</v>
      </c>
      <c r="AA30" s="216">
        <v>911900</v>
      </c>
      <c r="AB30" s="216" t="e">
        <f>#REF!</f>
        <v>#REF!</v>
      </c>
      <c r="AC30" s="216" t="e">
        <f>#REF!</f>
        <v>#REF!</v>
      </c>
      <c r="AD30" s="218" t="e">
        <f>J30+L30+N30+P30+R30+T30+V30+X30+Z30+AB30</f>
        <v>#REF!</v>
      </c>
      <c r="AE30" s="209" t="e">
        <f>K30+M30+O30+Q30+S30+U30+W30+Y30+AA30+AC30</f>
        <v>#REF!</v>
      </c>
    </row>
    <row r="31" spans="1:31" ht="15" thickBot="1">
      <c r="A31" s="595"/>
      <c r="B31" s="598"/>
      <c r="C31" s="219" t="s">
        <v>1015</v>
      </c>
      <c r="D31" s="220">
        <v>1</v>
      </c>
      <c r="E31" s="220">
        <v>1100</v>
      </c>
      <c r="F31" s="220">
        <v>1</v>
      </c>
      <c r="G31" s="220">
        <v>3531</v>
      </c>
      <c r="H31" s="220">
        <v>4</v>
      </c>
      <c r="I31" s="220">
        <v>482000</v>
      </c>
      <c r="J31" s="220">
        <v>2</v>
      </c>
      <c r="K31" s="220">
        <v>104900</v>
      </c>
      <c r="L31" s="220">
        <v>7</v>
      </c>
      <c r="M31" s="220">
        <v>260310</v>
      </c>
      <c r="N31" s="220">
        <v>4</v>
      </c>
      <c r="O31" s="220">
        <v>168738</v>
      </c>
      <c r="P31" s="220">
        <v>4</v>
      </c>
      <c r="Q31" s="220">
        <v>77600</v>
      </c>
      <c r="R31" s="220">
        <v>5</v>
      </c>
      <c r="S31" s="220">
        <v>239000</v>
      </c>
      <c r="T31" s="220">
        <v>3</v>
      </c>
      <c r="U31" s="221">
        <v>90000</v>
      </c>
      <c r="V31" s="220">
        <v>3</v>
      </c>
      <c r="W31" s="221">
        <v>65100</v>
      </c>
      <c r="X31" s="220">
        <v>3</v>
      </c>
      <c r="Y31" s="220">
        <v>57000</v>
      </c>
      <c r="Z31" s="220">
        <v>1</v>
      </c>
      <c r="AA31" s="220">
        <v>5000</v>
      </c>
      <c r="AB31" s="220" t="e">
        <f>#REF!</f>
        <v>#REF!</v>
      </c>
      <c r="AC31" s="220" t="e">
        <f>#REF!</f>
        <v>#REF!</v>
      </c>
      <c r="AD31" s="222" t="e">
        <f>J31+L31+N31+P31+R31+T31+V31+X31+Z31+AB31</f>
        <v>#REF!</v>
      </c>
      <c r="AE31" s="211" t="e">
        <f>K31+M31+O31+Q31+S31+U31+W31+Y31+AA31+AC31</f>
        <v>#REF!</v>
      </c>
    </row>
    <row r="32" spans="1:31" ht="15" thickBot="1">
      <c r="A32" s="193"/>
      <c r="B32" s="193"/>
      <c r="C32" s="19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02"/>
      <c r="AE32" s="202"/>
    </row>
    <row r="33" spans="1:32" ht="15" thickBot="1">
      <c r="A33" s="587" t="s">
        <v>1017</v>
      </c>
      <c r="B33" s="588"/>
      <c r="C33" s="588"/>
      <c r="D33" s="223">
        <f t="shared" ref="D33:AC33" si="2">+(D27-D30)-(D28-D31)</f>
        <v>10274</v>
      </c>
      <c r="E33" s="223">
        <f t="shared" si="2"/>
        <v>473474068</v>
      </c>
      <c r="F33" s="223">
        <f t="shared" si="2"/>
        <v>10372</v>
      </c>
      <c r="G33" s="223">
        <f t="shared" si="2"/>
        <v>494882736</v>
      </c>
      <c r="H33" s="223">
        <f t="shared" si="2"/>
        <v>11847</v>
      </c>
      <c r="I33" s="223">
        <f t="shared" si="2"/>
        <v>519682225</v>
      </c>
      <c r="J33" s="223">
        <f t="shared" si="2"/>
        <v>9372</v>
      </c>
      <c r="K33" s="223">
        <f t="shared" si="2"/>
        <v>455228069</v>
      </c>
      <c r="L33" s="223">
        <f>+(L27-L30)-(L28-L31)</f>
        <v>9972</v>
      </c>
      <c r="M33" s="223">
        <f t="shared" si="2"/>
        <v>502820740</v>
      </c>
      <c r="N33" s="223">
        <f t="shared" si="2"/>
        <v>11448</v>
      </c>
      <c r="O33" s="223">
        <f t="shared" si="2"/>
        <v>542023091</v>
      </c>
      <c r="P33" s="223">
        <f t="shared" si="2"/>
        <v>10702</v>
      </c>
      <c r="Q33" s="223">
        <f t="shared" si="2"/>
        <v>481114693</v>
      </c>
      <c r="R33" s="223">
        <f t="shared" si="2"/>
        <v>11433</v>
      </c>
      <c r="S33" s="223">
        <f t="shared" si="2"/>
        <v>529668950</v>
      </c>
      <c r="T33" s="223">
        <f t="shared" si="2"/>
        <v>11255</v>
      </c>
      <c r="U33" s="223">
        <f t="shared" si="2"/>
        <v>482031753</v>
      </c>
      <c r="V33" s="223">
        <f t="shared" si="2"/>
        <v>11032</v>
      </c>
      <c r="W33" s="223">
        <f t="shared" si="2"/>
        <v>559512855</v>
      </c>
      <c r="X33" s="223">
        <f t="shared" si="2"/>
        <v>10868</v>
      </c>
      <c r="Y33" s="223">
        <f t="shared" si="2"/>
        <v>555715147</v>
      </c>
      <c r="Z33" s="223">
        <f t="shared" si="2"/>
        <v>10995</v>
      </c>
      <c r="AA33" s="223">
        <f t="shared" si="2"/>
        <v>564894030</v>
      </c>
      <c r="AB33" s="223" t="e">
        <f t="shared" si="2"/>
        <v>#REF!</v>
      </c>
      <c r="AC33" s="223" t="e">
        <f t="shared" si="2"/>
        <v>#REF!</v>
      </c>
      <c r="AD33" s="224" t="e">
        <f>J33+L33+N33+P33+R33+T33+V33+X33+Z33+AB33</f>
        <v>#REF!</v>
      </c>
      <c r="AE33" s="225" t="e">
        <f>K33+M33+O33+Q33+S33+U33+W33+Y33+AA33+AC33</f>
        <v>#REF!</v>
      </c>
      <c r="AF33" s="193"/>
    </row>
    <row r="34" spans="1:32" ht="15" thickBot="1">
      <c r="A34" s="587" t="s">
        <v>1018</v>
      </c>
      <c r="B34" s="588"/>
      <c r="C34" s="589"/>
      <c r="D34" s="590">
        <f>+E33</f>
        <v>473474068</v>
      </c>
      <c r="E34" s="591"/>
      <c r="F34" s="590">
        <f>+G33</f>
        <v>494882736</v>
      </c>
      <c r="G34" s="591"/>
      <c r="H34" s="590">
        <f>+I33</f>
        <v>519682225</v>
      </c>
      <c r="I34" s="591"/>
      <c r="J34" s="590">
        <f>+K33</f>
        <v>455228069</v>
      </c>
      <c r="K34" s="591"/>
      <c r="L34" s="591">
        <f>+M33</f>
        <v>502820740</v>
      </c>
      <c r="M34" s="591"/>
      <c r="N34" s="591">
        <f>+O33</f>
        <v>542023091</v>
      </c>
      <c r="O34" s="591"/>
      <c r="P34" s="591">
        <f>+Q33</f>
        <v>481114693</v>
      </c>
      <c r="Q34" s="591"/>
      <c r="R34" s="591" t="s">
        <v>1021</v>
      </c>
      <c r="S34" s="591"/>
      <c r="T34" s="591"/>
      <c r="U34" s="592"/>
      <c r="V34" s="591"/>
      <c r="W34" s="592"/>
      <c r="X34" s="591"/>
      <c r="Y34" s="592"/>
      <c r="Z34" s="591"/>
      <c r="AA34" s="592"/>
      <c r="AB34" s="591"/>
      <c r="AC34" s="592"/>
      <c r="AD34" s="585"/>
      <c r="AE34" s="586"/>
      <c r="AF34" s="193"/>
    </row>
    <row r="36" spans="1:32" ht="15" thickBot="1">
      <c r="A36" s="193"/>
      <c r="B36" s="193"/>
      <c r="C36" s="19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02"/>
      <c r="AE36" s="202"/>
      <c r="AF36" s="193"/>
    </row>
    <row r="37" spans="1:32">
      <c r="A37" s="593" t="s">
        <v>1022</v>
      </c>
      <c r="B37" s="596" t="s">
        <v>1013</v>
      </c>
      <c r="C37" s="206" t="s">
        <v>1014</v>
      </c>
      <c r="D37" s="207">
        <v>17775</v>
      </c>
      <c r="E37" s="207">
        <v>710241453</v>
      </c>
      <c r="F37" s="207">
        <v>18107</v>
      </c>
      <c r="G37" s="207">
        <v>689323677</v>
      </c>
      <c r="H37" s="207">
        <v>18504</v>
      </c>
      <c r="I37" s="207">
        <v>787491708</v>
      </c>
      <c r="J37" s="207">
        <v>22137</v>
      </c>
      <c r="K37" s="207">
        <v>935317882</v>
      </c>
      <c r="L37" s="207">
        <v>22663</v>
      </c>
      <c r="M37" s="207">
        <v>854274855</v>
      </c>
      <c r="N37" s="207">
        <v>28001</v>
      </c>
      <c r="O37" s="207">
        <v>1036382269</v>
      </c>
      <c r="P37" s="207">
        <v>35861</v>
      </c>
      <c r="Q37" s="207">
        <v>1272588369</v>
      </c>
      <c r="R37" s="207">
        <v>38204</v>
      </c>
      <c r="S37" s="207">
        <v>1317242016</v>
      </c>
      <c r="T37" s="207">
        <v>32521</v>
      </c>
      <c r="U37" s="208">
        <v>1112365389</v>
      </c>
      <c r="V37" s="207">
        <v>31579</v>
      </c>
      <c r="W37" s="208">
        <v>1160491600</v>
      </c>
      <c r="X37" s="207">
        <v>31112</v>
      </c>
      <c r="Y37" s="207">
        <v>1114417538</v>
      </c>
      <c r="Z37" s="207">
        <v>30961</v>
      </c>
      <c r="AA37" s="207">
        <v>1127417921</v>
      </c>
      <c r="AB37" s="207" t="e">
        <f>#REF!</f>
        <v>#REF!</v>
      </c>
      <c r="AC37" s="207" t="e">
        <f>#REF!</f>
        <v>#REF!</v>
      </c>
      <c r="AD37" s="209" t="e">
        <f>J37+L37+N37+P37+R37+T37+V37+X37+Z37+AB37</f>
        <v>#REF!</v>
      </c>
      <c r="AE37" s="209" t="e">
        <f>K37+M37+O37+Q37+S37+U37+W37+Y37+AA37+AC37</f>
        <v>#REF!</v>
      </c>
      <c r="AF37" s="193"/>
    </row>
    <row r="38" spans="1:32" ht="15" thickBot="1">
      <c r="A38" s="594"/>
      <c r="B38" s="597"/>
      <c r="C38" s="9" t="s">
        <v>1015</v>
      </c>
      <c r="D38" s="6">
        <v>11267</v>
      </c>
      <c r="E38" s="6">
        <v>315334127</v>
      </c>
      <c r="F38" s="6">
        <v>12417</v>
      </c>
      <c r="G38" s="6">
        <v>335082505</v>
      </c>
      <c r="H38" s="6">
        <v>14223</v>
      </c>
      <c r="I38" s="6">
        <v>421594872</v>
      </c>
      <c r="J38" s="6">
        <v>13096</v>
      </c>
      <c r="K38" s="6">
        <v>439795878</v>
      </c>
      <c r="L38" s="6">
        <v>13748</v>
      </c>
      <c r="M38" s="6">
        <v>470889133</v>
      </c>
      <c r="N38" s="6">
        <v>14213</v>
      </c>
      <c r="O38" s="6">
        <v>482291656</v>
      </c>
      <c r="P38" s="6">
        <v>13847</v>
      </c>
      <c r="Q38" s="6">
        <v>462848231</v>
      </c>
      <c r="R38" s="6">
        <v>13367</v>
      </c>
      <c r="S38" s="6">
        <v>415524131</v>
      </c>
      <c r="T38" s="6">
        <v>11839</v>
      </c>
      <c r="U38" s="210">
        <v>356648224</v>
      </c>
      <c r="V38" s="6">
        <v>11626</v>
      </c>
      <c r="W38" s="210">
        <v>380759045</v>
      </c>
      <c r="X38" s="6">
        <v>8786</v>
      </c>
      <c r="Y38" s="6">
        <v>294731098</v>
      </c>
      <c r="Z38" s="6">
        <v>9784</v>
      </c>
      <c r="AA38" s="6">
        <v>326117044</v>
      </c>
      <c r="AB38" s="6" t="e">
        <f>#REF!</f>
        <v>#REF!</v>
      </c>
      <c r="AC38" s="6" t="e">
        <f>#REF!</f>
        <v>#REF!</v>
      </c>
      <c r="AD38" s="211" t="e">
        <f>J38+L38+N38+P38+R38+T38+V38+X38+Z38+AB38</f>
        <v>#REF!</v>
      </c>
      <c r="AE38" s="211" t="e">
        <f>K38+M38+O38+Q38+S38+U38+W38+Y38+AA38+AC38</f>
        <v>#REF!</v>
      </c>
      <c r="AF38" s="193"/>
    </row>
    <row r="39" spans="1:32" ht="7.5" customHeight="1" thickBot="1">
      <c r="A39" s="594"/>
      <c r="B39" s="16"/>
      <c r="C39" s="212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4"/>
      <c r="V39" s="213"/>
      <c r="W39" s="214"/>
      <c r="X39" s="213"/>
      <c r="Y39" s="213"/>
      <c r="Z39" s="213"/>
      <c r="AA39" s="213"/>
      <c r="AB39" s="213"/>
      <c r="AC39" s="213"/>
      <c r="AD39" s="215"/>
      <c r="AE39" s="215"/>
      <c r="AF39" s="193"/>
    </row>
    <row r="40" spans="1:32">
      <c r="A40" s="594"/>
      <c r="B40" s="597" t="s">
        <v>1016</v>
      </c>
      <c r="C40" s="9" t="s">
        <v>1014</v>
      </c>
      <c r="D40" s="216">
        <v>31</v>
      </c>
      <c r="E40" s="216">
        <v>2284238</v>
      </c>
      <c r="F40" s="216">
        <v>63</v>
      </c>
      <c r="G40" s="216">
        <v>3093815</v>
      </c>
      <c r="H40" s="216">
        <v>64</v>
      </c>
      <c r="I40" s="216">
        <v>1166350</v>
      </c>
      <c r="J40" s="216">
        <v>62</v>
      </c>
      <c r="K40" s="216">
        <v>1360908</v>
      </c>
      <c r="L40" s="216">
        <v>75</v>
      </c>
      <c r="M40" s="216">
        <v>1717976</v>
      </c>
      <c r="N40" s="216">
        <v>75</v>
      </c>
      <c r="O40" s="216">
        <v>2237956</v>
      </c>
      <c r="P40" s="216">
        <v>100</v>
      </c>
      <c r="Q40" s="216">
        <v>2957877</v>
      </c>
      <c r="R40" s="216">
        <v>108</v>
      </c>
      <c r="S40" s="216">
        <v>2026130</v>
      </c>
      <c r="T40" s="216">
        <v>65</v>
      </c>
      <c r="U40" s="217">
        <v>3837396</v>
      </c>
      <c r="V40" s="216">
        <v>101</v>
      </c>
      <c r="W40" s="217">
        <v>3171344</v>
      </c>
      <c r="X40" s="216">
        <v>103</v>
      </c>
      <c r="Y40" s="216">
        <v>3190900</v>
      </c>
      <c r="Z40" s="216">
        <v>85</v>
      </c>
      <c r="AA40" s="216">
        <v>3432512</v>
      </c>
      <c r="AB40" s="216" t="e">
        <f>#REF!</f>
        <v>#REF!</v>
      </c>
      <c r="AC40" s="216" t="e">
        <f>#REF!</f>
        <v>#REF!</v>
      </c>
      <c r="AD40" s="218" t="e">
        <f>J40+L40+N40+P40+R40+T40+V40+X40+Z40+AB40</f>
        <v>#REF!</v>
      </c>
      <c r="AE40" s="209" t="e">
        <f>K40+M40+O40+Q40+S40+U40+W40+Y40+AA40+AC40</f>
        <v>#REF!</v>
      </c>
      <c r="AF40" s="193"/>
    </row>
    <row r="41" spans="1:32" ht="15" thickBot="1">
      <c r="A41" s="595"/>
      <c r="B41" s="598"/>
      <c r="C41" s="219" t="s">
        <v>1015</v>
      </c>
      <c r="D41" s="220">
        <v>68</v>
      </c>
      <c r="E41" s="220">
        <v>1177523</v>
      </c>
      <c r="F41" s="220">
        <v>26</v>
      </c>
      <c r="G41" s="220">
        <v>804501</v>
      </c>
      <c r="H41" s="220">
        <v>31</v>
      </c>
      <c r="I41" s="220">
        <v>716835</v>
      </c>
      <c r="J41" s="220">
        <v>29</v>
      </c>
      <c r="K41" s="220">
        <v>728035</v>
      </c>
      <c r="L41" s="220">
        <v>23</v>
      </c>
      <c r="M41" s="220">
        <v>323315</v>
      </c>
      <c r="N41" s="220">
        <v>19</v>
      </c>
      <c r="O41" s="220">
        <v>576300</v>
      </c>
      <c r="P41" s="220">
        <v>37</v>
      </c>
      <c r="Q41" s="220">
        <v>692148</v>
      </c>
      <c r="R41" s="220">
        <v>25</v>
      </c>
      <c r="S41" s="220">
        <v>482450</v>
      </c>
      <c r="T41" s="220">
        <v>24</v>
      </c>
      <c r="U41" s="221">
        <v>763550</v>
      </c>
      <c r="V41" s="220">
        <v>22</v>
      </c>
      <c r="W41" s="221">
        <v>446990</v>
      </c>
      <c r="X41" s="220">
        <v>17</v>
      </c>
      <c r="Y41" s="220">
        <v>850300</v>
      </c>
      <c r="Z41" s="220">
        <v>16</v>
      </c>
      <c r="AA41" s="220">
        <v>695004</v>
      </c>
      <c r="AB41" s="220" t="e">
        <f>#REF!</f>
        <v>#REF!</v>
      </c>
      <c r="AC41" s="220" t="e">
        <f>#REF!</f>
        <v>#REF!</v>
      </c>
      <c r="AD41" s="222" t="e">
        <f>J41+L41+N41+P41+R41+T41+V41+X41+Z41+AB41</f>
        <v>#REF!</v>
      </c>
      <c r="AE41" s="211" t="e">
        <f>K41+M41+O41+Q41+S41+U41+W41+Y41+AA41+AC41</f>
        <v>#REF!</v>
      </c>
      <c r="AF41" s="193"/>
    </row>
    <row r="42" spans="1:32" ht="15" thickBot="1">
      <c r="A42" s="193"/>
      <c r="B42" s="193"/>
      <c r="C42" s="19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02"/>
      <c r="AE42" s="202"/>
      <c r="AF42" s="193"/>
    </row>
    <row r="43" spans="1:32" ht="15" thickBot="1">
      <c r="A43" s="587" t="s">
        <v>1017</v>
      </c>
      <c r="B43" s="588"/>
      <c r="C43" s="588"/>
      <c r="D43" s="223">
        <f t="shared" ref="D43:AC43" si="3">+(D37-D40)-(D38-D41)</f>
        <v>6545</v>
      </c>
      <c r="E43" s="223">
        <f t="shared" si="3"/>
        <v>393800611</v>
      </c>
      <c r="F43" s="223">
        <f t="shared" si="3"/>
        <v>5653</v>
      </c>
      <c r="G43" s="223">
        <f t="shared" si="3"/>
        <v>351951858</v>
      </c>
      <c r="H43" s="223">
        <f t="shared" si="3"/>
        <v>4248</v>
      </c>
      <c r="I43" s="223">
        <f t="shared" si="3"/>
        <v>365447321</v>
      </c>
      <c r="J43" s="223">
        <f t="shared" si="3"/>
        <v>9008</v>
      </c>
      <c r="K43" s="223">
        <f t="shared" si="3"/>
        <v>494889131</v>
      </c>
      <c r="L43" s="223">
        <f>+(L37-L40)-(L38-L41)</f>
        <v>8863</v>
      </c>
      <c r="M43" s="223">
        <f t="shared" si="3"/>
        <v>381991061</v>
      </c>
      <c r="N43" s="223">
        <f t="shared" si="3"/>
        <v>13732</v>
      </c>
      <c r="O43" s="223">
        <f t="shared" si="3"/>
        <v>552428957</v>
      </c>
      <c r="P43" s="223">
        <f t="shared" si="3"/>
        <v>21951</v>
      </c>
      <c r="Q43" s="223">
        <f t="shared" si="3"/>
        <v>807474409</v>
      </c>
      <c r="R43" s="223">
        <f t="shared" si="3"/>
        <v>24754</v>
      </c>
      <c r="S43" s="223">
        <f t="shared" si="3"/>
        <v>900174205</v>
      </c>
      <c r="T43" s="223">
        <f t="shared" si="3"/>
        <v>20641</v>
      </c>
      <c r="U43" s="223">
        <f t="shared" si="3"/>
        <v>752643319</v>
      </c>
      <c r="V43" s="223">
        <f t="shared" si="3"/>
        <v>19874</v>
      </c>
      <c r="W43" s="223">
        <f t="shared" si="3"/>
        <v>777008201</v>
      </c>
      <c r="X43" s="223">
        <f t="shared" si="3"/>
        <v>22240</v>
      </c>
      <c r="Y43" s="223">
        <f t="shared" si="3"/>
        <v>817345840</v>
      </c>
      <c r="Z43" s="223">
        <f t="shared" si="3"/>
        <v>21108</v>
      </c>
      <c r="AA43" s="223">
        <f t="shared" si="3"/>
        <v>798563369</v>
      </c>
      <c r="AB43" s="223" t="e">
        <f t="shared" si="3"/>
        <v>#REF!</v>
      </c>
      <c r="AC43" s="223" t="e">
        <f t="shared" si="3"/>
        <v>#REF!</v>
      </c>
      <c r="AD43" s="224" t="e">
        <f>J43+L43+N43+P43+R43+T43+V43+X43+Z43+AB43</f>
        <v>#REF!</v>
      </c>
      <c r="AE43" s="225" t="e">
        <f>K43+M43+O43+Q43+S43+U43+W43+Y43+AA43+AC43</f>
        <v>#REF!</v>
      </c>
      <c r="AF43" s="193"/>
    </row>
    <row r="44" spans="1:32" ht="15" thickBot="1">
      <c r="A44" s="587" t="s">
        <v>1018</v>
      </c>
      <c r="B44" s="588"/>
      <c r="C44" s="589"/>
      <c r="D44" s="590" t="s">
        <v>1021</v>
      </c>
      <c r="E44" s="591"/>
      <c r="F44" s="590" t="s">
        <v>1021</v>
      </c>
      <c r="G44" s="591"/>
      <c r="H44" s="590" t="s">
        <v>1021</v>
      </c>
      <c r="I44" s="591"/>
      <c r="J44" s="590" t="s">
        <v>1021</v>
      </c>
      <c r="K44" s="591"/>
      <c r="L44" s="591" t="s">
        <v>1021</v>
      </c>
      <c r="M44" s="591"/>
      <c r="N44" s="591" t="s">
        <v>1021</v>
      </c>
      <c r="O44" s="591"/>
      <c r="P44" s="591" t="s">
        <v>1021</v>
      </c>
      <c r="Q44" s="591"/>
      <c r="R44" s="591" t="s">
        <v>1021</v>
      </c>
      <c r="S44" s="591"/>
      <c r="T44" s="591"/>
      <c r="U44" s="592"/>
      <c r="V44" s="591"/>
      <c r="W44" s="592"/>
      <c r="X44" s="591"/>
      <c r="Y44" s="592"/>
      <c r="Z44" s="591"/>
      <c r="AA44" s="592"/>
      <c r="AB44" s="591"/>
      <c r="AC44" s="592"/>
      <c r="AD44" s="585"/>
      <c r="AE44" s="586"/>
      <c r="AF44" s="193"/>
    </row>
    <row r="46" spans="1:32" ht="15" thickBot="1">
      <c r="A46" s="193"/>
      <c r="B46" s="193"/>
      <c r="C46" s="19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02"/>
      <c r="AE46" s="202"/>
      <c r="AF46" s="193"/>
    </row>
    <row r="47" spans="1:32">
      <c r="A47" s="593" t="s">
        <v>1079</v>
      </c>
      <c r="B47" s="596" t="s">
        <v>1013</v>
      </c>
      <c r="C47" s="206" t="s">
        <v>1014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>
        <v>0</v>
      </c>
      <c r="U47" s="208">
        <v>0</v>
      </c>
      <c r="V47" s="207">
        <v>0</v>
      </c>
      <c r="W47" s="208">
        <v>0</v>
      </c>
      <c r="X47" s="207">
        <v>0</v>
      </c>
      <c r="Y47" s="207"/>
      <c r="Z47" s="207">
        <v>0</v>
      </c>
      <c r="AA47" s="207">
        <v>0</v>
      </c>
      <c r="AB47" s="207" t="e">
        <f>#REF!</f>
        <v>#REF!</v>
      </c>
      <c r="AC47" s="207" t="e">
        <f>#REF!</f>
        <v>#REF!</v>
      </c>
      <c r="AD47" s="209" t="e">
        <f>J47+L47+N47+P47+R47+T47+V47+X47+Z47+AB47</f>
        <v>#REF!</v>
      </c>
      <c r="AE47" s="209" t="e">
        <f>K47+M47+O47+Q47+S47+U47+W47+Y47+AA47+AC47</f>
        <v>#REF!</v>
      </c>
      <c r="AF47" s="90">
        <v>1411340816</v>
      </c>
    </row>
    <row r="48" spans="1:32" ht="15" thickBot="1">
      <c r="A48" s="594"/>
      <c r="B48" s="597"/>
      <c r="C48" s="9" t="s">
        <v>1015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43</v>
      </c>
      <c r="U48" s="210">
        <v>467784</v>
      </c>
      <c r="V48" s="6">
        <v>155</v>
      </c>
      <c r="W48" s="210">
        <v>3125200</v>
      </c>
      <c r="X48" s="6">
        <v>0</v>
      </c>
      <c r="Y48" s="6">
        <v>2196825</v>
      </c>
      <c r="Z48" s="6">
        <v>246</v>
      </c>
      <c r="AA48" s="6">
        <v>5223634</v>
      </c>
      <c r="AB48" s="6" t="e">
        <f>#REF!</f>
        <v>#REF!</v>
      </c>
      <c r="AC48" s="6" t="e">
        <f>#REF!</f>
        <v>#REF!</v>
      </c>
      <c r="AD48" s="211" t="e">
        <f>J48+L48+N48+P48+R48+T48+V48+X48+Z48+AB48</f>
        <v>#REF!</v>
      </c>
      <c r="AE48" s="211" t="e">
        <f>K48+M48+O48+Q48+S48+U48+W48+Y48+AA48+AC48</f>
        <v>#REF!</v>
      </c>
      <c r="AF48" s="193"/>
    </row>
    <row r="49" spans="1:32" ht="7.5" customHeight="1" thickBot="1">
      <c r="A49" s="594"/>
      <c r="B49" s="16"/>
      <c r="C49" s="212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4"/>
      <c r="V49" s="213"/>
      <c r="W49" s="214"/>
      <c r="X49" s="213"/>
      <c r="Y49" s="213"/>
      <c r="Z49" s="213"/>
      <c r="AA49" s="213"/>
      <c r="AB49" s="213"/>
      <c r="AC49" s="213"/>
      <c r="AD49" s="215"/>
      <c r="AE49" s="215"/>
      <c r="AF49" s="193"/>
    </row>
    <row r="50" spans="1:32">
      <c r="A50" s="594"/>
      <c r="B50" s="597" t="s">
        <v>1016</v>
      </c>
      <c r="C50" s="9" t="s">
        <v>1014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>
        <v>0</v>
      </c>
      <c r="U50" s="217">
        <v>0</v>
      </c>
      <c r="V50" s="216"/>
      <c r="W50" s="217"/>
      <c r="X50" s="216">
        <v>0</v>
      </c>
      <c r="Y50" s="216"/>
      <c r="Z50" s="216"/>
      <c r="AA50" s="216"/>
      <c r="AB50" s="216"/>
      <c r="AC50" s="216"/>
      <c r="AD50" s="218">
        <f>J50+L50+N50+P50+R50+T50+V50+X50+Z50+AB50</f>
        <v>0</v>
      </c>
      <c r="AE50" s="209">
        <f>K50+M50+O50+Q50+S50+U50+W50+Y50+AA50+AC50</f>
        <v>0</v>
      </c>
      <c r="AF50" s="193"/>
    </row>
    <row r="51" spans="1:32" ht="15" thickBot="1">
      <c r="A51" s="595"/>
      <c r="B51" s="598"/>
      <c r="C51" s="219" t="s">
        <v>1015</v>
      </c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>
        <v>0</v>
      </c>
      <c r="U51" s="221">
        <v>0</v>
      </c>
      <c r="V51" s="220"/>
      <c r="W51" s="221"/>
      <c r="X51" s="220">
        <v>9</v>
      </c>
      <c r="Y51" s="220">
        <v>109300</v>
      </c>
      <c r="Z51" s="220">
        <v>4</v>
      </c>
      <c r="AA51" s="220">
        <v>71550</v>
      </c>
      <c r="AB51" s="220" t="e">
        <f>+#REF!</f>
        <v>#REF!</v>
      </c>
      <c r="AC51" s="220" t="e">
        <f>+#REF!</f>
        <v>#REF!</v>
      </c>
      <c r="AD51" s="222" t="e">
        <f>J51+L51+N51+P51+R51+T51+V51+X51+Z51+AB51</f>
        <v>#REF!</v>
      </c>
      <c r="AE51" s="211" t="e">
        <f>K51+M51+O51+Q51+S51+U51+W51+Y51+AA51+AC51</f>
        <v>#REF!</v>
      </c>
      <c r="AF51" s="193"/>
    </row>
    <row r="52" spans="1:32" ht="15" thickBot="1">
      <c r="A52" s="193"/>
      <c r="B52" s="193"/>
      <c r="C52" s="19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02"/>
      <c r="AE52" s="202"/>
      <c r="AF52" s="193"/>
    </row>
    <row r="53" spans="1:32" ht="15" thickBot="1">
      <c r="A53" s="587" t="s">
        <v>1017</v>
      </c>
      <c r="B53" s="588"/>
      <c r="C53" s="588"/>
      <c r="D53" s="223">
        <f t="shared" ref="D53:AC53" si="4">+(D47-D50)-(D48-D51)</f>
        <v>0</v>
      </c>
      <c r="E53" s="223">
        <f t="shared" si="4"/>
        <v>0</v>
      </c>
      <c r="F53" s="223">
        <f t="shared" si="4"/>
        <v>0</v>
      </c>
      <c r="G53" s="223">
        <f t="shared" si="4"/>
        <v>0</v>
      </c>
      <c r="H53" s="223">
        <f t="shared" si="4"/>
        <v>0</v>
      </c>
      <c r="I53" s="223">
        <f t="shared" si="4"/>
        <v>0</v>
      </c>
      <c r="J53" s="223">
        <f t="shared" si="4"/>
        <v>0</v>
      </c>
      <c r="K53" s="223">
        <f t="shared" si="4"/>
        <v>0</v>
      </c>
      <c r="L53" s="223">
        <f t="shared" si="4"/>
        <v>0</v>
      </c>
      <c r="M53" s="223">
        <f t="shared" si="4"/>
        <v>0</v>
      </c>
      <c r="N53" s="223">
        <f t="shared" si="4"/>
        <v>0</v>
      </c>
      <c r="O53" s="223">
        <f t="shared" si="4"/>
        <v>0</v>
      </c>
      <c r="P53" s="223">
        <f t="shared" si="4"/>
        <v>0</v>
      </c>
      <c r="Q53" s="223">
        <f t="shared" si="4"/>
        <v>0</v>
      </c>
      <c r="R53" s="223">
        <f t="shared" si="4"/>
        <v>0</v>
      </c>
      <c r="S53" s="223">
        <f t="shared" si="4"/>
        <v>0</v>
      </c>
      <c r="T53" s="223">
        <f>+(T47-T50)-(T48-T51)</f>
        <v>-43</v>
      </c>
      <c r="U53" s="223">
        <f t="shared" si="4"/>
        <v>-467784</v>
      </c>
      <c r="V53" s="223">
        <f t="shared" si="4"/>
        <v>-155</v>
      </c>
      <c r="W53" s="223">
        <f t="shared" si="4"/>
        <v>-3125200</v>
      </c>
      <c r="X53" s="223">
        <f t="shared" si="4"/>
        <v>9</v>
      </c>
      <c r="Y53" s="223">
        <f t="shared" si="4"/>
        <v>-2087525</v>
      </c>
      <c r="Z53" s="223">
        <f>+(Z47-Z50)-(Z48-Z51)</f>
        <v>-242</v>
      </c>
      <c r="AA53" s="223">
        <f>+(AA47-AA50)-(AA48-AA51)</f>
        <v>-5152084</v>
      </c>
      <c r="AB53" s="223" t="e">
        <f t="shared" si="4"/>
        <v>#REF!</v>
      </c>
      <c r="AC53" s="223" t="e">
        <f t="shared" si="4"/>
        <v>#REF!</v>
      </c>
      <c r="AD53" s="224" t="e">
        <f>J53+L53+N53+P53+R53+T53+V53+X53+AB53</f>
        <v>#REF!</v>
      </c>
      <c r="AE53" s="225" t="e">
        <f>K53+M53+O53+Q53+S53+U53+W53+Y53+AA53+AC53</f>
        <v>#REF!</v>
      </c>
      <c r="AF53" s="22" t="e">
        <f>+AF47-AE48+AE51</f>
        <v>#REF!</v>
      </c>
    </row>
    <row r="54" spans="1:32" ht="15" thickBot="1">
      <c r="A54" s="587" t="s">
        <v>1018</v>
      </c>
      <c r="B54" s="588"/>
      <c r="C54" s="589"/>
      <c r="D54" s="590" t="s">
        <v>1021</v>
      </c>
      <c r="E54" s="591"/>
      <c r="F54" s="590" t="s">
        <v>1021</v>
      </c>
      <c r="G54" s="591"/>
      <c r="H54" s="590" t="s">
        <v>1021</v>
      </c>
      <c r="I54" s="591"/>
      <c r="J54" s="590" t="s">
        <v>1021</v>
      </c>
      <c r="K54" s="591"/>
      <c r="L54" s="591" t="s">
        <v>1021</v>
      </c>
      <c r="M54" s="591"/>
      <c r="N54" s="591" t="s">
        <v>1021</v>
      </c>
      <c r="O54" s="591"/>
      <c r="P54" s="591" t="s">
        <v>1021</v>
      </c>
      <c r="Q54" s="591"/>
      <c r="R54" s="591" t="s">
        <v>1021</v>
      </c>
      <c r="S54" s="591"/>
      <c r="T54" s="591"/>
      <c r="U54" s="592"/>
      <c r="V54" s="591"/>
      <c r="W54" s="592"/>
      <c r="X54" s="591"/>
      <c r="Y54" s="592"/>
      <c r="Z54" s="591"/>
      <c r="AA54" s="592"/>
      <c r="AB54" s="591"/>
      <c r="AC54" s="592"/>
      <c r="AD54" s="585"/>
      <c r="AE54" s="586"/>
      <c r="AF54" s="193"/>
    </row>
    <row r="55" spans="1:32">
      <c r="A55" s="193"/>
      <c r="B55" s="193"/>
      <c r="C55" s="19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02"/>
      <c r="AE55" s="202"/>
      <c r="AF55" s="193"/>
    </row>
    <row r="57" spans="1:32" hidden="1">
      <c r="A57" s="193"/>
      <c r="B57" s="193"/>
      <c r="C57" s="193"/>
      <c r="D57" s="21"/>
      <c r="E57" s="21">
        <f>+E6+E16+E27+E37</f>
        <v>3744264353</v>
      </c>
      <c r="F57" s="21"/>
      <c r="G57" s="21">
        <f>+G6+G16+G27+G37</f>
        <v>3559099808</v>
      </c>
      <c r="H57" s="21"/>
      <c r="I57" s="21">
        <f>+I6+I16+I27+I37</f>
        <v>5362947437</v>
      </c>
      <c r="J57" s="21"/>
      <c r="K57" s="21">
        <f>+K6+K16+K27+K37</f>
        <v>4643276069</v>
      </c>
      <c r="L57" s="21"/>
      <c r="M57" s="21">
        <f t="shared" ref="M57:Y57" si="5">+M6+M16+M27+M37</f>
        <v>4926942189</v>
      </c>
      <c r="N57" s="21"/>
      <c r="O57" s="21">
        <f t="shared" si="5"/>
        <v>6066637743</v>
      </c>
      <c r="P57" s="21"/>
      <c r="Q57" s="21">
        <f t="shared" si="5"/>
        <v>6047837574</v>
      </c>
      <c r="R57" s="21"/>
      <c r="S57" s="21">
        <f t="shared" si="5"/>
        <v>6867776383</v>
      </c>
      <c r="T57" s="21"/>
      <c r="U57" s="21">
        <f t="shared" si="5"/>
        <v>6692146500</v>
      </c>
      <c r="V57" s="21"/>
      <c r="W57" s="21">
        <f t="shared" si="5"/>
        <v>6622596621</v>
      </c>
      <c r="X57" s="21"/>
      <c r="Y57" s="21">
        <f t="shared" si="5"/>
        <v>6392086599</v>
      </c>
      <c r="Z57" s="21"/>
      <c r="AA57" s="21">
        <f>+AA6+AA16+AA27+AA37</f>
        <v>6067441567</v>
      </c>
      <c r="AB57" s="21"/>
      <c r="AC57" s="21" t="e">
        <f>+AC6+AC16+AC27+AC37</f>
        <v>#REF!</v>
      </c>
      <c r="AD57" s="202"/>
      <c r="AE57" s="202"/>
      <c r="AF57" s="193"/>
    </row>
    <row r="58" spans="1:32" hidden="1">
      <c r="A58" s="193"/>
      <c r="B58" s="193"/>
      <c r="C58" s="19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02"/>
      <c r="AE58" s="202"/>
      <c r="AF58" s="193"/>
    </row>
    <row r="59" spans="1:32" hidden="1">
      <c r="A59" s="193"/>
      <c r="B59" s="193"/>
      <c r="C59" s="193"/>
      <c r="D59" s="21"/>
      <c r="E59" s="21">
        <f>+AVERAGE(E57,G57,I57,K57,M57,O57,Q57,S57)</f>
        <v>5152347694.5</v>
      </c>
      <c r="F59" s="21"/>
      <c r="G59" s="21">
        <f>+AVERAGE(G57,I57,K57,M57,O57,Q57,S57,U57)</f>
        <v>5520832962.875</v>
      </c>
      <c r="H59" s="21"/>
      <c r="I59" s="21">
        <f>+AVERAGE(I57,K57,M57,O57,Q57,S57,U57,W57)</f>
        <v>5903770064.5</v>
      </c>
      <c r="J59" s="21"/>
      <c r="K59" s="21">
        <f>+AVERAGE(K57,M57,O57,Q57,S57,U57,W57,Y57)</f>
        <v>6032412459.75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02"/>
      <c r="AE59" s="202"/>
      <c r="AF59" s="193"/>
    </row>
    <row r="60" spans="1:32">
      <c r="A60" s="193"/>
      <c r="B60" s="193"/>
      <c r="C60" s="193"/>
      <c r="D60" s="21"/>
      <c r="E60" s="21">
        <f t="shared" ref="E60:AE60" si="6">+E6-E7+E16-E17+E27-E28+E37-E38</f>
        <v>1668165113</v>
      </c>
      <c r="F60" s="21">
        <f t="shared" si="6"/>
        <v>26394</v>
      </c>
      <c r="G60" s="21">
        <f t="shared" si="6"/>
        <v>1161569939</v>
      </c>
      <c r="H60" s="21">
        <f t="shared" si="6"/>
        <v>51297</v>
      </c>
      <c r="I60" s="21">
        <f t="shared" si="6"/>
        <v>2091056957</v>
      </c>
      <c r="J60" s="21">
        <f t="shared" si="6"/>
        <v>42293</v>
      </c>
      <c r="K60" s="21">
        <f t="shared" si="6"/>
        <v>1587137432</v>
      </c>
      <c r="L60" s="21">
        <f t="shared" si="6"/>
        <v>55611</v>
      </c>
      <c r="M60" s="21">
        <f t="shared" si="6"/>
        <v>1687329718</v>
      </c>
      <c r="N60" s="21">
        <f t="shared" si="6"/>
        <v>86667</v>
      </c>
      <c r="O60" s="21">
        <f t="shared" si="6"/>
        <v>2542714669</v>
      </c>
      <c r="P60" s="21">
        <f t="shared" si="6"/>
        <v>94721</v>
      </c>
      <c r="Q60" s="21">
        <f t="shared" si="6"/>
        <v>2749671404</v>
      </c>
      <c r="R60" s="21">
        <f t="shared" si="6"/>
        <v>123766</v>
      </c>
      <c r="S60" s="21">
        <f t="shared" si="6"/>
        <v>3562475129</v>
      </c>
      <c r="T60" s="21">
        <f t="shared" si="6"/>
        <v>124656</v>
      </c>
      <c r="U60" s="21">
        <f t="shared" si="6"/>
        <v>3518563659</v>
      </c>
      <c r="V60" s="21">
        <f t="shared" si="6"/>
        <v>102787</v>
      </c>
      <c r="W60" s="21">
        <f t="shared" si="6"/>
        <v>3277605182</v>
      </c>
      <c r="X60" s="21">
        <f t="shared" si="6"/>
        <v>103657</v>
      </c>
      <c r="Y60" s="21">
        <f t="shared" si="6"/>
        <v>3305752854</v>
      </c>
      <c r="Z60" s="21">
        <f t="shared" si="6"/>
        <v>89763</v>
      </c>
      <c r="AA60" s="21">
        <f t="shared" si="6"/>
        <v>2945311042</v>
      </c>
      <c r="AB60" s="21" t="e">
        <f t="shared" si="6"/>
        <v>#REF!</v>
      </c>
      <c r="AC60" s="21" t="e">
        <f t="shared" si="6"/>
        <v>#REF!</v>
      </c>
      <c r="AD60" s="21" t="e">
        <f t="shared" si="6"/>
        <v>#REF!</v>
      </c>
      <c r="AE60" s="21" t="e">
        <f t="shared" si="6"/>
        <v>#REF!</v>
      </c>
      <c r="AF60" s="193"/>
    </row>
    <row r="61" spans="1:32">
      <c r="A61" s="193"/>
      <c r="B61" s="193"/>
      <c r="C61" s="19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02"/>
      <c r="AE61" s="202"/>
      <c r="AF61" s="193"/>
    </row>
    <row r="63" spans="1:32">
      <c r="K63" s="21">
        <v>1587137432</v>
      </c>
      <c r="L63" s="21"/>
      <c r="M63" s="21">
        <v>1687329718</v>
      </c>
      <c r="N63" s="21"/>
      <c r="O63" s="21">
        <v>2542714669</v>
      </c>
      <c r="P63" s="21"/>
      <c r="Q63" s="21">
        <v>2749671404</v>
      </c>
      <c r="R63" s="21"/>
      <c r="S63" s="21">
        <v>3562475129</v>
      </c>
      <c r="T63" s="21"/>
      <c r="U63" s="21">
        <v>3518563659</v>
      </c>
      <c r="V63" s="21"/>
      <c r="W63" s="21">
        <v>3277605182</v>
      </c>
      <c r="X63" s="21"/>
      <c r="Y63" s="21">
        <v>3305752854</v>
      </c>
      <c r="Z63" s="21"/>
      <c r="AA63" s="21">
        <v>2223545536</v>
      </c>
    </row>
    <row r="66" spans="11:29">
      <c r="K66" s="22">
        <f>K60-K63</f>
        <v>0</v>
      </c>
      <c r="L66" s="22"/>
      <c r="M66" s="22">
        <f t="shared" ref="M66:AC66" si="7">M60-M63</f>
        <v>0</v>
      </c>
      <c r="N66" s="22"/>
      <c r="O66" s="22">
        <f t="shared" si="7"/>
        <v>0</v>
      </c>
      <c r="P66" s="22"/>
      <c r="Q66" s="22">
        <f t="shared" si="7"/>
        <v>0</v>
      </c>
      <c r="R66" s="22"/>
      <c r="S66" s="22">
        <f t="shared" si="7"/>
        <v>0</v>
      </c>
      <c r="T66" s="22"/>
      <c r="U66" s="22">
        <f t="shared" si="7"/>
        <v>0</v>
      </c>
      <c r="V66" s="22"/>
      <c r="W66" s="22">
        <f t="shared" si="7"/>
        <v>0</v>
      </c>
      <c r="X66" s="22"/>
      <c r="Y66" s="22">
        <f t="shared" si="7"/>
        <v>0</v>
      </c>
      <c r="Z66" s="22"/>
      <c r="AA66" s="22">
        <f t="shared" si="7"/>
        <v>721765506</v>
      </c>
      <c r="AB66" s="22"/>
      <c r="AC66" s="22" t="e">
        <f t="shared" si="7"/>
        <v>#REF!</v>
      </c>
    </row>
    <row r="69" spans="11:29">
      <c r="AA69" t="s">
        <v>5035</v>
      </c>
      <c r="AC69" s="22">
        <f>+AA66</f>
        <v>721765506</v>
      </c>
    </row>
    <row r="71" spans="11:29">
      <c r="AA71" t="s">
        <v>5036</v>
      </c>
      <c r="AC71" s="22" t="e">
        <f>+AC66+AC69</f>
        <v>#REF!</v>
      </c>
    </row>
  </sheetData>
  <mergeCells count="109">
    <mergeCell ref="AB3:AC3"/>
    <mergeCell ref="AD3:AE3"/>
    <mergeCell ref="A6:A10"/>
    <mergeCell ref="B6:B7"/>
    <mergeCell ref="B9:B10"/>
    <mergeCell ref="A12:C12"/>
    <mergeCell ref="P3:Q3"/>
    <mergeCell ref="R3:S3"/>
    <mergeCell ref="T3:U3"/>
    <mergeCell ref="V3:W3"/>
    <mergeCell ref="X3:Y3"/>
    <mergeCell ref="Z3:AA3"/>
    <mergeCell ref="D3:E3"/>
    <mergeCell ref="F3:G3"/>
    <mergeCell ref="H3:I3"/>
    <mergeCell ref="J3:K3"/>
    <mergeCell ref="L3:M3"/>
    <mergeCell ref="N3:O3"/>
    <mergeCell ref="A22:C22"/>
    <mergeCell ref="A23:C23"/>
    <mergeCell ref="D23:E23"/>
    <mergeCell ref="F23:G23"/>
    <mergeCell ref="H23:I23"/>
    <mergeCell ref="J23:K23"/>
    <mergeCell ref="Z13:AA13"/>
    <mergeCell ref="AB13:AC13"/>
    <mergeCell ref="AD13:AE13"/>
    <mergeCell ref="A16:A20"/>
    <mergeCell ref="B16:B17"/>
    <mergeCell ref="B19:B20"/>
    <mergeCell ref="N13:O13"/>
    <mergeCell ref="P13:Q13"/>
    <mergeCell ref="R13:S13"/>
    <mergeCell ref="T13:U13"/>
    <mergeCell ref="V13:W13"/>
    <mergeCell ref="X13:Y13"/>
    <mergeCell ref="A13:C13"/>
    <mergeCell ref="D13:E13"/>
    <mergeCell ref="F13:G13"/>
    <mergeCell ref="H13:I13"/>
    <mergeCell ref="J13:K13"/>
    <mergeCell ref="L13:M13"/>
    <mergeCell ref="X23:Y23"/>
    <mergeCell ref="Z23:AA23"/>
    <mergeCell ref="AB23:AC23"/>
    <mergeCell ref="Z34:AA34"/>
    <mergeCell ref="AB34:AC34"/>
    <mergeCell ref="AD23:AE23"/>
    <mergeCell ref="A27:A31"/>
    <mergeCell ref="B27:B28"/>
    <mergeCell ref="B30:B31"/>
    <mergeCell ref="L23:M23"/>
    <mergeCell ref="N23:O23"/>
    <mergeCell ref="P23:Q23"/>
    <mergeCell ref="R23:S23"/>
    <mergeCell ref="T23:U23"/>
    <mergeCell ref="V23:W23"/>
    <mergeCell ref="AD34:AE34"/>
    <mergeCell ref="X34:Y34"/>
    <mergeCell ref="A33:C33"/>
    <mergeCell ref="A34:C34"/>
    <mergeCell ref="D34:E34"/>
    <mergeCell ref="F34:G34"/>
    <mergeCell ref="H34:I34"/>
    <mergeCell ref="J34:K34"/>
    <mergeCell ref="AB54:AC54"/>
    <mergeCell ref="A37:A41"/>
    <mergeCell ref="B37:B38"/>
    <mergeCell ref="B40:B41"/>
    <mergeCell ref="L34:M34"/>
    <mergeCell ref="N34:O34"/>
    <mergeCell ref="P34:Q34"/>
    <mergeCell ref="R34:S34"/>
    <mergeCell ref="T34:U34"/>
    <mergeCell ref="V34:W34"/>
    <mergeCell ref="A43:C43"/>
    <mergeCell ref="A44:C44"/>
    <mergeCell ref="D44:E44"/>
    <mergeCell ref="F44:G44"/>
    <mergeCell ref="H44:I44"/>
    <mergeCell ref="J44:K44"/>
    <mergeCell ref="H54:I54"/>
    <mergeCell ref="J54:K54"/>
    <mergeCell ref="X54:Y54"/>
    <mergeCell ref="X44:Y44"/>
    <mergeCell ref="AD54:AE54"/>
    <mergeCell ref="L54:M54"/>
    <mergeCell ref="N54:O54"/>
    <mergeCell ref="P54:Q54"/>
    <mergeCell ref="R54:S54"/>
    <mergeCell ref="T54:U54"/>
    <mergeCell ref="V54:W54"/>
    <mergeCell ref="A53:C53"/>
    <mergeCell ref="AD44:AE44"/>
    <mergeCell ref="A47:A51"/>
    <mergeCell ref="B47:B48"/>
    <mergeCell ref="B50:B51"/>
    <mergeCell ref="L44:M44"/>
    <mergeCell ref="N44:O44"/>
    <mergeCell ref="P44:Q44"/>
    <mergeCell ref="R44:S44"/>
    <mergeCell ref="T44:U44"/>
    <mergeCell ref="V44:W44"/>
    <mergeCell ref="AB44:AC44"/>
    <mergeCell ref="A54:C54"/>
    <mergeCell ref="D54:E54"/>
    <mergeCell ref="F54:G54"/>
    <mergeCell ref="Z44:AA44"/>
    <mergeCell ref="Z54:AA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66"/>
  <sheetViews>
    <sheetView workbookViewId="0">
      <pane xSplit="2" ySplit="4" topLeftCell="U47" activePane="bottomRight" state="frozen"/>
      <selection pane="topRight" activeCell="C1" sqref="C1"/>
      <selection pane="bottomLeft" activeCell="A5" sqref="A5"/>
      <selection pane="bottomRight" activeCell="K66" sqref="K66:AE66"/>
    </sheetView>
  </sheetViews>
  <sheetFormatPr baseColWidth="10" defaultRowHeight="14.5"/>
  <cols>
    <col min="1" max="1" width="7" bestFit="1" customWidth="1"/>
    <col min="2" max="2" width="17.90625" customWidth="1"/>
    <col min="3" max="3" width="12.90625" bestFit="1" customWidth="1"/>
    <col min="4" max="4" width="15.453125" bestFit="1" customWidth="1"/>
    <col min="5" max="5" width="15.1796875" bestFit="1" customWidth="1"/>
    <col min="6" max="6" width="15.453125" bestFit="1" customWidth="1"/>
    <col min="7" max="7" width="15.1796875" bestFit="1" customWidth="1"/>
    <col min="8" max="8" width="15.453125" bestFit="1" customWidth="1"/>
    <col min="9" max="9" width="15.1796875" bestFit="1" customWidth="1"/>
    <col min="10" max="10" width="15.453125" bestFit="1" customWidth="1"/>
    <col min="11" max="11" width="15.1796875" bestFit="1" customWidth="1"/>
    <col min="12" max="12" width="15.453125" bestFit="1" customWidth="1"/>
    <col min="13" max="13" width="15.1796875" bestFit="1" customWidth="1"/>
    <col min="14" max="14" width="15.453125" bestFit="1" customWidth="1"/>
    <col min="15" max="15" width="15.1796875" bestFit="1" customWidth="1"/>
    <col min="16" max="16" width="15.453125" bestFit="1" customWidth="1"/>
    <col min="17" max="17" width="15.1796875" bestFit="1" customWidth="1"/>
    <col min="18" max="18" width="15.453125" bestFit="1" customWidth="1"/>
    <col min="19" max="19" width="15.1796875" bestFit="1" customWidth="1"/>
    <col min="20" max="20" width="15.453125" bestFit="1" customWidth="1"/>
    <col min="21" max="21" width="15.1796875" bestFit="1" customWidth="1"/>
    <col min="22" max="22" width="15.453125" bestFit="1" customWidth="1"/>
    <col min="23" max="23" width="15.1796875" bestFit="1" customWidth="1"/>
    <col min="24" max="24" width="15.453125" bestFit="1" customWidth="1"/>
    <col min="25" max="25" width="15.1796875" bestFit="1" customWidth="1"/>
    <col min="26" max="26" width="15.453125" bestFit="1" customWidth="1"/>
    <col min="27" max="27" width="15.1796875" bestFit="1" customWidth="1"/>
    <col min="28" max="28" width="15.453125" bestFit="1" customWidth="1"/>
    <col min="29" max="29" width="15.1796875" bestFit="1" customWidth="1"/>
    <col min="30" max="30" width="15.453125" bestFit="1" customWidth="1"/>
    <col min="31" max="31" width="15.1796875" bestFit="1" customWidth="1"/>
    <col min="32" max="33" width="19.36328125" bestFit="1" customWidth="1"/>
    <col min="34" max="34" width="14.81640625" bestFit="1" customWidth="1"/>
  </cols>
  <sheetData>
    <row r="2" spans="1:33" ht="15" thickBot="1">
      <c r="A2" s="193"/>
      <c r="B2" s="193"/>
      <c r="C2" s="193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02"/>
      <c r="AG2" s="202"/>
    </row>
    <row r="3" spans="1:33">
      <c r="A3" s="193"/>
      <c r="B3" s="193"/>
      <c r="C3" s="193"/>
      <c r="D3" s="599">
        <v>45200</v>
      </c>
      <c r="E3" s="600"/>
      <c r="F3" s="599">
        <v>45231</v>
      </c>
      <c r="G3" s="600"/>
      <c r="H3" s="599">
        <v>45261</v>
      </c>
      <c r="I3" s="600"/>
      <c r="J3" s="599">
        <v>45292</v>
      </c>
      <c r="K3" s="600"/>
      <c r="L3" s="599">
        <v>45323</v>
      </c>
      <c r="M3" s="600"/>
      <c r="N3" s="599">
        <v>45352</v>
      </c>
      <c r="O3" s="600"/>
      <c r="P3" s="599">
        <v>45383</v>
      </c>
      <c r="Q3" s="600"/>
      <c r="R3" s="599">
        <v>45413</v>
      </c>
      <c r="S3" s="600"/>
      <c r="T3" s="599">
        <v>45444</v>
      </c>
      <c r="U3" s="600"/>
      <c r="V3" s="599">
        <v>45474</v>
      </c>
      <c r="W3" s="600"/>
      <c r="X3" s="599">
        <v>45505</v>
      </c>
      <c r="Y3" s="600"/>
      <c r="Z3" s="599">
        <v>45536</v>
      </c>
      <c r="AA3" s="600"/>
      <c r="AB3" s="599">
        <v>45566</v>
      </c>
      <c r="AC3" s="600"/>
      <c r="AD3" s="599">
        <v>45597</v>
      </c>
      <c r="AE3" s="600"/>
      <c r="AF3" s="601" t="s">
        <v>1010</v>
      </c>
      <c r="AG3" s="602"/>
    </row>
    <row r="4" spans="1:33" ht="15" thickBot="1">
      <c r="A4" s="193"/>
      <c r="B4" s="193"/>
      <c r="C4" s="193"/>
      <c r="D4" s="203" t="s">
        <v>1011</v>
      </c>
      <c r="E4" s="203" t="s">
        <v>956</v>
      </c>
      <c r="F4" s="203" t="s">
        <v>1011</v>
      </c>
      <c r="G4" s="203" t="s">
        <v>956</v>
      </c>
      <c r="H4" s="203" t="s">
        <v>1011</v>
      </c>
      <c r="I4" s="203" t="s">
        <v>956</v>
      </c>
      <c r="J4" s="203" t="s">
        <v>1011</v>
      </c>
      <c r="K4" s="203" t="s">
        <v>956</v>
      </c>
      <c r="L4" s="203" t="s">
        <v>1011</v>
      </c>
      <c r="M4" s="203" t="s">
        <v>956</v>
      </c>
      <c r="N4" s="203" t="s">
        <v>1011</v>
      </c>
      <c r="O4" s="203" t="s">
        <v>956</v>
      </c>
      <c r="P4" s="203" t="s">
        <v>1011</v>
      </c>
      <c r="Q4" s="203" t="s">
        <v>956</v>
      </c>
      <c r="R4" s="203" t="s">
        <v>1011</v>
      </c>
      <c r="S4" s="203" t="s">
        <v>956</v>
      </c>
      <c r="T4" s="203" t="s">
        <v>1011</v>
      </c>
      <c r="U4" s="203" t="s">
        <v>956</v>
      </c>
      <c r="V4" s="203" t="s">
        <v>1011</v>
      </c>
      <c r="W4" s="203" t="s">
        <v>956</v>
      </c>
      <c r="X4" s="203" t="s">
        <v>1011</v>
      </c>
      <c r="Y4" s="203" t="s">
        <v>956</v>
      </c>
      <c r="Z4" s="203" t="s">
        <v>1011</v>
      </c>
      <c r="AA4" s="203" t="s">
        <v>956</v>
      </c>
      <c r="AB4" s="203" t="s">
        <v>1011</v>
      </c>
      <c r="AC4" s="203" t="s">
        <v>956</v>
      </c>
      <c r="AD4" s="203" t="s">
        <v>1011</v>
      </c>
      <c r="AE4" s="203" t="s">
        <v>956</v>
      </c>
      <c r="AF4" s="204" t="s">
        <v>1011</v>
      </c>
      <c r="AG4" s="204" t="s">
        <v>956</v>
      </c>
    </row>
    <row r="5" spans="1:33" ht="15" thickBot="1">
      <c r="A5" s="193"/>
      <c r="B5" s="193"/>
      <c r="C5" s="193"/>
      <c r="D5" s="205"/>
      <c r="E5" s="205"/>
      <c r="F5" s="205"/>
      <c r="G5" s="205"/>
      <c r="H5" s="205"/>
      <c r="I5" s="205"/>
      <c r="J5" s="205"/>
      <c r="K5" s="205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02"/>
      <c r="AG5" s="202"/>
    </row>
    <row r="6" spans="1:33" ht="15" thickBot="1">
      <c r="A6" s="593" t="s">
        <v>1012</v>
      </c>
      <c r="B6" s="596" t="s">
        <v>1013</v>
      </c>
      <c r="C6" s="206" t="s">
        <v>1014</v>
      </c>
      <c r="D6" s="207">
        <v>56513</v>
      </c>
      <c r="E6" s="207">
        <v>1655793240</v>
      </c>
      <c r="F6" s="207">
        <v>50667</v>
      </c>
      <c r="G6" s="207">
        <v>1502103993</v>
      </c>
      <c r="H6" s="207">
        <v>94312</v>
      </c>
      <c r="I6" s="207">
        <v>3017108152</v>
      </c>
      <c r="J6" s="207">
        <v>79884</v>
      </c>
      <c r="K6" s="207">
        <v>2509429015</v>
      </c>
      <c r="L6" s="207">
        <v>83792</v>
      </c>
      <c r="M6" s="207">
        <v>2608217469</v>
      </c>
      <c r="N6" s="207">
        <v>96780</v>
      </c>
      <c r="O6" s="207">
        <v>3085981543</v>
      </c>
      <c r="P6" s="207">
        <v>98131</v>
      </c>
      <c r="Q6" s="207">
        <v>3031850660</v>
      </c>
      <c r="R6" s="207">
        <v>104347</v>
      </c>
      <c r="S6" s="207">
        <v>3335440240</v>
      </c>
      <c r="T6" s="207">
        <v>112462</v>
      </c>
      <c r="U6" s="208">
        <v>3542398771</v>
      </c>
      <c r="V6" s="207">
        <v>113867</v>
      </c>
      <c r="W6" s="208">
        <v>3640846823</v>
      </c>
      <c r="X6" s="207">
        <v>110930</v>
      </c>
      <c r="Y6" s="207">
        <v>3440933383</v>
      </c>
      <c r="Z6" s="207">
        <v>101530</v>
      </c>
      <c r="AA6" s="207">
        <v>3173058544</v>
      </c>
      <c r="AB6" s="207">
        <v>108204</v>
      </c>
      <c r="AC6" s="207">
        <v>3070524865</v>
      </c>
      <c r="AD6" s="207">
        <f>'[2]Donnes mois encours'!D18</f>
        <v>93812</v>
      </c>
      <c r="AE6" s="207">
        <f>'[2]Donnes mois encours'!E18</f>
        <v>2767602818</v>
      </c>
      <c r="AF6" s="209">
        <f>J6+L6+N6+P6+R6+T6+V6+X6+Z6+AB6+AD6</f>
        <v>1103739</v>
      </c>
      <c r="AG6" s="209">
        <f>K6+M6+O6+Q6+S6+U6+W6+Y6+AA6+AC6+AE6</f>
        <v>34206284131</v>
      </c>
    </row>
    <row r="7" spans="1:33" ht="15" thickBot="1">
      <c r="A7" s="594"/>
      <c r="B7" s="597"/>
      <c r="C7" s="9" t="s">
        <v>1015</v>
      </c>
      <c r="D7" s="6">
        <v>56269</v>
      </c>
      <c r="E7" s="6">
        <v>1484445290</v>
      </c>
      <c r="F7" s="6">
        <v>74503</v>
      </c>
      <c r="G7" s="6">
        <v>1818901580</v>
      </c>
      <c r="H7" s="6">
        <v>98134</v>
      </c>
      <c r="I7" s="6">
        <v>2571642068</v>
      </c>
      <c r="J7" s="6">
        <v>82873</v>
      </c>
      <c r="K7" s="6">
        <v>2390755351</v>
      </c>
      <c r="L7" s="6">
        <v>83098</v>
      </c>
      <c r="M7" s="6">
        <v>2512911561</v>
      </c>
      <c r="N7" s="6">
        <v>94303</v>
      </c>
      <c r="O7" s="6">
        <v>2733876493</v>
      </c>
      <c r="P7" s="6">
        <v>88592</v>
      </c>
      <c r="Q7" s="6">
        <v>2556632309</v>
      </c>
      <c r="R7" s="6">
        <v>90905</v>
      </c>
      <c r="S7" s="6">
        <v>2591667833</v>
      </c>
      <c r="T7" s="6">
        <v>91582</v>
      </c>
      <c r="U7" s="210">
        <v>2527924325</v>
      </c>
      <c r="V7" s="6">
        <v>93937</v>
      </c>
      <c r="W7" s="210">
        <v>2673989697</v>
      </c>
      <c r="X7" s="6">
        <v>92980</v>
      </c>
      <c r="Y7" s="6">
        <v>2476080197</v>
      </c>
      <c r="Z7" s="6">
        <v>90883</v>
      </c>
      <c r="AA7" s="6">
        <v>2493042077</v>
      </c>
      <c r="AB7" s="6">
        <v>96294</v>
      </c>
      <c r="AC7" s="6">
        <v>2506308705</v>
      </c>
      <c r="AD7" s="6">
        <f>'[2]Donnes mois encours'!D7</f>
        <v>87069</v>
      </c>
      <c r="AE7" s="6">
        <f>'[2]Donnes mois encours'!E7</f>
        <v>2328260619</v>
      </c>
      <c r="AF7" s="209">
        <f t="shared" ref="AF7:AG12" si="0">J7+L7+N7+P7+R7+T7+V7+X7+Z7+AB7+AD7</f>
        <v>992516</v>
      </c>
      <c r="AG7" s="211">
        <f t="shared" si="0"/>
        <v>27791449167</v>
      </c>
    </row>
    <row r="8" spans="1:33" ht="4.5" customHeight="1" thickBot="1">
      <c r="A8" s="594"/>
      <c r="B8" s="16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4"/>
      <c r="V8" s="213"/>
      <c r="W8" s="214"/>
      <c r="X8" s="213"/>
      <c r="Y8" s="213"/>
      <c r="Z8" s="213"/>
      <c r="AA8" s="213"/>
      <c r="AB8" s="213"/>
      <c r="AC8" s="213"/>
      <c r="AD8" s="213"/>
      <c r="AE8" s="213"/>
      <c r="AF8" s="215">
        <f t="shared" si="0"/>
        <v>0</v>
      </c>
      <c r="AG8" s="215">
        <f t="shared" si="0"/>
        <v>0</v>
      </c>
    </row>
    <row r="9" spans="1:33">
      <c r="A9" s="594"/>
      <c r="B9" s="597" t="s">
        <v>1016</v>
      </c>
      <c r="C9" s="9" t="s">
        <v>1014</v>
      </c>
      <c r="D9" s="216">
        <v>177</v>
      </c>
      <c r="E9" s="216">
        <v>4057121</v>
      </c>
      <c r="F9" s="216">
        <v>130</v>
      </c>
      <c r="G9" s="216">
        <v>2982391</v>
      </c>
      <c r="H9" s="216">
        <v>329</v>
      </c>
      <c r="I9" s="216">
        <v>8586752</v>
      </c>
      <c r="J9" s="216">
        <v>268</v>
      </c>
      <c r="K9" s="216">
        <v>5223574</v>
      </c>
      <c r="L9" s="216">
        <v>307</v>
      </c>
      <c r="M9" s="216">
        <v>7835031</v>
      </c>
      <c r="N9" s="216">
        <v>303</v>
      </c>
      <c r="O9" s="216">
        <v>8227110</v>
      </c>
      <c r="P9" s="216">
        <v>298</v>
      </c>
      <c r="Q9" s="216">
        <v>7206066</v>
      </c>
      <c r="R9" s="216">
        <v>234</v>
      </c>
      <c r="S9" s="216">
        <v>8926243</v>
      </c>
      <c r="T9" s="216">
        <v>288</v>
      </c>
      <c r="U9" s="217">
        <v>7859624</v>
      </c>
      <c r="V9" s="216">
        <v>309</v>
      </c>
      <c r="W9" s="217">
        <v>6400071</v>
      </c>
      <c r="X9" s="216">
        <v>263</v>
      </c>
      <c r="Y9" s="216">
        <v>7568952</v>
      </c>
      <c r="Z9" s="216">
        <v>239</v>
      </c>
      <c r="AA9" s="216">
        <v>7378874</v>
      </c>
      <c r="AB9" s="216">
        <v>270</v>
      </c>
      <c r="AC9" s="216">
        <v>6878670</v>
      </c>
      <c r="AD9" s="216">
        <f>'[2]Donnes mois encours'!D49</f>
        <v>230</v>
      </c>
      <c r="AE9" s="216">
        <f>'[2]Donnes mois encours'!E49</f>
        <v>6648635</v>
      </c>
      <c r="AF9" s="218">
        <f t="shared" si="0"/>
        <v>3009</v>
      </c>
      <c r="AG9" s="209">
        <f t="shared" si="0"/>
        <v>80152850</v>
      </c>
    </row>
    <row r="10" spans="1:33" ht="15" thickBot="1">
      <c r="A10" s="595"/>
      <c r="B10" s="598"/>
      <c r="C10" s="219" t="s">
        <v>1015</v>
      </c>
      <c r="D10" s="220">
        <v>170</v>
      </c>
      <c r="E10" s="220">
        <v>4805141</v>
      </c>
      <c r="F10" s="220">
        <v>237</v>
      </c>
      <c r="G10" s="220">
        <v>4500124</v>
      </c>
      <c r="H10" s="220">
        <v>321</v>
      </c>
      <c r="I10" s="220">
        <v>6397233</v>
      </c>
      <c r="J10" s="220">
        <v>368</v>
      </c>
      <c r="K10" s="220">
        <v>9170324</v>
      </c>
      <c r="L10" s="220">
        <v>292</v>
      </c>
      <c r="M10" s="220">
        <v>9652077</v>
      </c>
      <c r="N10" s="220">
        <v>293</v>
      </c>
      <c r="O10" s="220">
        <v>6135809</v>
      </c>
      <c r="P10" s="220">
        <v>281</v>
      </c>
      <c r="Q10" s="220">
        <v>5857653</v>
      </c>
      <c r="R10" s="220">
        <v>293</v>
      </c>
      <c r="S10" s="220">
        <v>7418352</v>
      </c>
      <c r="T10" s="220">
        <v>274</v>
      </c>
      <c r="U10" s="221">
        <v>7217727</v>
      </c>
      <c r="V10" s="220">
        <v>337</v>
      </c>
      <c r="W10" s="221">
        <v>7191057</v>
      </c>
      <c r="X10" s="220">
        <v>256</v>
      </c>
      <c r="Y10" s="220">
        <v>4449058</v>
      </c>
      <c r="Z10" s="220">
        <v>333</v>
      </c>
      <c r="AA10" s="220">
        <v>7469236</v>
      </c>
      <c r="AB10" s="220">
        <v>301</v>
      </c>
      <c r="AC10" s="220">
        <v>5471308</v>
      </c>
      <c r="AD10" s="220">
        <f>'[2]Donnes mois encours'!D30-'[2]Donnes mois encours'!D38</f>
        <v>260</v>
      </c>
      <c r="AE10" s="220">
        <f>'[2]Donnes mois encours'!E30-'[2]Donnes mois encours'!E38</f>
        <v>5814701</v>
      </c>
      <c r="AF10" s="222">
        <f t="shared" si="0"/>
        <v>3288</v>
      </c>
      <c r="AG10" s="211">
        <f t="shared" si="0"/>
        <v>75847302</v>
      </c>
    </row>
    <row r="11" spans="1:33" ht="15" thickBot="1">
      <c r="A11" s="193"/>
      <c r="B11" s="193"/>
      <c r="C11" s="19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02">
        <f t="shared" si="0"/>
        <v>0</v>
      </c>
      <c r="AG11" s="202">
        <f t="shared" si="0"/>
        <v>0</v>
      </c>
    </row>
    <row r="12" spans="1:33" ht="15" thickBot="1">
      <c r="A12" s="587" t="s">
        <v>1017</v>
      </c>
      <c r="B12" s="588"/>
      <c r="C12" s="588"/>
      <c r="D12" s="223">
        <f t="shared" ref="D12:AE12" si="1">+(D6-D9)-(D7-D10)</f>
        <v>237</v>
      </c>
      <c r="E12" s="223">
        <f t="shared" si="1"/>
        <v>172095970</v>
      </c>
      <c r="F12" s="416">
        <f t="shared" si="1"/>
        <v>-23729</v>
      </c>
      <c r="G12" s="416">
        <f t="shared" si="1"/>
        <v>-315279854</v>
      </c>
      <c r="H12" s="223">
        <f t="shared" si="1"/>
        <v>-3830</v>
      </c>
      <c r="I12" s="223">
        <f t="shared" si="1"/>
        <v>443276565</v>
      </c>
      <c r="J12" s="223">
        <f t="shared" si="1"/>
        <v>-2889</v>
      </c>
      <c r="K12" s="223">
        <f t="shared" si="1"/>
        <v>122620414</v>
      </c>
      <c r="L12" s="223">
        <f>+(L6-L9)-(L7-L10)</f>
        <v>679</v>
      </c>
      <c r="M12" s="223">
        <f t="shared" si="1"/>
        <v>97122954</v>
      </c>
      <c r="N12" s="223">
        <f t="shared" si="1"/>
        <v>2467</v>
      </c>
      <c r="O12" s="223">
        <f t="shared" si="1"/>
        <v>350013749</v>
      </c>
      <c r="P12" s="223">
        <f t="shared" si="1"/>
        <v>9522</v>
      </c>
      <c r="Q12" s="223">
        <f t="shared" si="1"/>
        <v>473869938</v>
      </c>
      <c r="R12" s="223">
        <f t="shared" si="1"/>
        <v>13501</v>
      </c>
      <c r="S12" s="223">
        <f t="shared" si="1"/>
        <v>742264516</v>
      </c>
      <c r="T12" s="223">
        <f t="shared" si="1"/>
        <v>20866</v>
      </c>
      <c r="U12" s="223">
        <f t="shared" si="1"/>
        <v>1013832549</v>
      </c>
      <c r="V12" s="223">
        <f t="shared" si="1"/>
        <v>19958</v>
      </c>
      <c r="W12" s="223">
        <f t="shared" si="1"/>
        <v>967648112</v>
      </c>
      <c r="X12" s="223">
        <f t="shared" si="1"/>
        <v>17943</v>
      </c>
      <c r="Y12" s="223">
        <f t="shared" si="1"/>
        <v>961733292</v>
      </c>
      <c r="Z12" s="223">
        <f t="shared" si="1"/>
        <v>10741</v>
      </c>
      <c r="AA12" s="223">
        <f t="shared" si="1"/>
        <v>680106829</v>
      </c>
      <c r="AB12" s="223">
        <f t="shared" si="1"/>
        <v>11941</v>
      </c>
      <c r="AC12" s="223">
        <f t="shared" si="1"/>
        <v>562808798</v>
      </c>
      <c r="AD12" s="223">
        <f t="shared" si="1"/>
        <v>6773</v>
      </c>
      <c r="AE12" s="223">
        <f t="shared" si="1"/>
        <v>438508265</v>
      </c>
      <c r="AF12" s="224">
        <f t="shared" si="0"/>
        <v>111502</v>
      </c>
      <c r="AG12" s="225">
        <f t="shared" si="0"/>
        <v>6410529416</v>
      </c>
    </row>
    <row r="13" spans="1:33" ht="15" thickBot="1">
      <c r="A13" s="587" t="s">
        <v>1018</v>
      </c>
      <c r="B13" s="588"/>
      <c r="C13" s="589"/>
      <c r="D13" s="590">
        <v>122620414</v>
      </c>
      <c r="E13" s="591"/>
      <c r="F13" s="590">
        <v>122620414</v>
      </c>
      <c r="G13" s="591"/>
      <c r="H13" s="590">
        <v>122620414</v>
      </c>
      <c r="I13" s="591"/>
      <c r="J13" s="590">
        <v>122620414</v>
      </c>
      <c r="K13" s="591"/>
      <c r="L13" s="591">
        <f>+M12</f>
        <v>97122954</v>
      </c>
      <c r="M13" s="591"/>
      <c r="N13" s="591">
        <f>+O12</f>
        <v>350013749</v>
      </c>
      <c r="O13" s="591"/>
      <c r="P13" s="591">
        <f>+Q12</f>
        <v>473869938</v>
      </c>
      <c r="Q13" s="591"/>
      <c r="R13" s="591">
        <f>+S12</f>
        <v>742264516</v>
      </c>
      <c r="S13" s="591"/>
      <c r="T13" s="591"/>
      <c r="U13" s="592"/>
      <c r="V13" s="591"/>
      <c r="W13" s="592"/>
      <c r="X13" s="591"/>
      <c r="Y13" s="592"/>
      <c r="Z13" s="591"/>
      <c r="AA13" s="592"/>
      <c r="AB13" s="591"/>
      <c r="AC13" s="592"/>
      <c r="AD13" s="591"/>
      <c r="AE13" s="592"/>
      <c r="AF13" s="585"/>
      <c r="AG13" s="586"/>
    </row>
    <row r="15" spans="1:33" ht="15" thickBot="1">
      <c r="A15" s="193"/>
      <c r="B15" s="193"/>
      <c r="C15" s="19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02"/>
      <c r="AG15" s="202"/>
    </row>
    <row r="16" spans="1:33">
      <c r="A16" s="593" t="s">
        <v>1019</v>
      </c>
      <c r="B16" s="596" t="s">
        <v>1013</v>
      </c>
      <c r="C16" s="206" t="s">
        <v>1014</v>
      </c>
      <c r="D16" s="207">
        <v>40996</v>
      </c>
      <c r="E16" s="207">
        <v>837537359</v>
      </c>
      <c r="F16" s="207">
        <v>39228</v>
      </c>
      <c r="G16" s="207">
        <v>808384715</v>
      </c>
      <c r="H16" s="207">
        <v>44516</v>
      </c>
      <c r="I16" s="207">
        <v>962493099</v>
      </c>
      <c r="J16" s="207">
        <v>31147</v>
      </c>
      <c r="K16" s="207">
        <v>671133926</v>
      </c>
      <c r="L16" s="207">
        <v>40882</v>
      </c>
      <c r="M16" s="207">
        <v>883200233</v>
      </c>
      <c r="N16" s="207">
        <v>65716</v>
      </c>
      <c r="O16" s="207">
        <v>1321288625</v>
      </c>
      <c r="P16" s="207">
        <v>58493</v>
      </c>
      <c r="Q16" s="207">
        <v>1182950601</v>
      </c>
      <c r="R16" s="207">
        <v>80398</v>
      </c>
      <c r="S16" s="207">
        <v>1602703082</v>
      </c>
      <c r="T16" s="207">
        <v>77760</v>
      </c>
      <c r="U16" s="208">
        <v>1478558058</v>
      </c>
      <c r="V16" s="207">
        <v>57663</v>
      </c>
      <c r="W16" s="208">
        <v>1192316954</v>
      </c>
      <c r="X16" s="207">
        <v>59237</v>
      </c>
      <c r="Y16" s="207">
        <v>1218109305</v>
      </c>
      <c r="Z16" s="207">
        <v>52875</v>
      </c>
      <c r="AA16" s="207">
        <v>1140917711</v>
      </c>
      <c r="AB16" s="207">
        <v>55001</v>
      </c>
      <c r="AC16" s="207">
        <v>1150412012</v>
      </c>
      <c r="AD16" s="207">
        <f>'[2]Donnes mois encours'!D20</f>
        <v>47696</v>
      </c>
      <c r="AE16" s="207">
        <f>'[2]Donnes mois encours'!E20</f>
        <v>958655720</v>
      </c>
      <c r="AF16" s="209">
        <f t="shared" ref="AF16:AG22" si="2">J16+L16+N16+P16+R16+T16+V16+X16+Z16+AB16+AD16</f>
        <v>626868</v>
      </c>
      <c r="AG16" s="209">
        <f t="shared" si="2"/>
        <v>12800246227</v>
      </c>
    </row>
    <row r="17" spans="1:33" ht="15" thickBot="1">
      <c r="A17" s="594"/>
      <c r="B17" s="597"/>
      <c r="C17" s="9" t="s">
        <v>1015</v>
      </c>
      <c r="D17" s="6">
        <v>5633</v>
      </c>
      <c r="E17" s="6">
        <v>210356654</v>
      </c>
      <c r="F17" s="6">
        <v>5084</v>
      </c>
      <c r="G17" s="6">
        <v>179725066</v>
      </c>
      <c r="H17" s="6">
        <v>5563</v>
      </c>
      <c r="I17" s="6">
        <v>203675837</v>
      </c>
      <c r="J17" s="6">
        <v>4328</v>
      </c>
      <c r="K17" s="6">
        <v>154939856</v>
      </c>
      <c r="L17" s="6">
        <v>4879</v>
      </c>
      <c r="M17" s="6">
        <v>178381559</v>
      </c>
      <c r="N17" s="6">
        <v>6795</v>
      </c>
      <c r="O17" s="6">
        <v>227942172</v>
      </c>
      <c r="P17" s="6">
        <v>6056</v>
      </c>
      <c r="Q17" s="6">
        <v>200391179</v>
      </c>
      <c r="R17" s="6">
        <v>6389</v>
      </c>
      <c r="S17" s="6">
        <v>217304993</v>
      </c>
      <c r="T17" s="6">
        <v>5953</v>
      </c>
      <c r="U17" s="210">
        <v>213648163</v>
      </c>
      <c r="V17" s="6">
        <v>5844</v>
      </c>
      <c r="W17" s="210">
        <v>222621504</v>
      </c>
      <c r="X17" s="6">
        <v>6753</v>
      </c>
      <c r="Y17" s="6">
        <v>253812684</v>
      </c>
      <c r="Z17" s="6">
        <v>5960</v>
      </c>
      <c r="AA17" s="6">
        <v>242724943</v>
      </c>
      <c r="AB17" s="6">
        <v>6206</v>
      </c>
      <c r="AC17" s="6">
        <v>234086076</v>
      </c>
      <c r="AD17" s="6">
        <f>'[2]Donnes mois encours'!D9</f>
        <v>5663</v>
      </c>
      <c r="AE17" s="6">
        <f>'[2]Donnes mois encours'!E9</f>
        <v>205374543</v>
      </c>
      <c r="AF17" s="211">
        <f t="shared" si="2"/>
        <v>64826</v>
      </c>
      <c r="AG17" s="211">
        <f t="shared" si="2"/>
        <v>2351227672</v>
      </c>
    </row>
    <row r="18" spans="1:33" ht="7.5" customHeight="1" thickBot="1">
      <c r="A18" s="594"/>
      <c r="B18" s="16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4"/>
      <c r="V18" s="213"/>
      <c r="W18" s="214"/>
      <c r="X18" s="213"/>
      <c r="Y18" s="213"/>
      <c r="Z18" s="213"/>
      <c r="AA18" s="213"/>
      <c r="AB18" s="213"/>
      <c r="AC18" s="213"/>
      <c r="AD18" s="213"/>
      <c r="AE18" s="213"/>
      <c r="AF18" s="215">
        <f t="shared" si="2"/>
        <v>0</v>
      </c>
      <c r="AG18" s="215">
        <f t="shared" si="2"/>
        <v>0</v>
      </c>
    </row>
    <row r="19" spans="1:33">
      <c r="A19" s="594"/>
      <c r="B19" s="597" t="s">
        <v>1016</v>
      </c>
      <c r="C19" s="9" t="s">
        <v>1014</v>
      </c>
      <c r="D19" s="216">
        <v>39</v>
      </c>
      <c r="E19" s="216">
        <v>2048630</v>
      </c>
      <c r="F19" s="216">
        <v>19</v>
      </c>
      <c r="G19" s="216">
        <v>844500</v>
      </c>
      <c r="H19" s="216">
        <v>31</v>
      </c>
      <c r="I19" s="216">
        <v>1968000</v>
      </c>
      <c r="J19" s="216">
        <v>26</v>
      </c>
      <c r="K19" s="216">
        <v>882600</v>
      </c>
      <c r="L19" s="216">
        <v>22</v>
      </c>
      <c r="M19" s="216">
        <v>861700</v>
      </c>
      <c r="N19" s="216">
        <v>43</v>
      </c>
      <c r="O19" s="216">
        <v>2418100</v>
      </c>
      <c r="P19" s="216">
        <v>48</v>
      </c>
      <c r="Q19" s="216">
        <v>1973600</v>
      </c>
      <c r="R19" s="216">
        <v>55</v>
      </c>
      <c r="S19" s="216">
        <v>2352300</v>
      </c>
      <c r="T19" s="216">
        <v>56</v>
      </c>
      <c r="U19" s="217">
        <v>2353710</v>
      </c>
      <c r="V19" s="216">
        <v>51</v>
      </c>
      <c r="W19" s="217">
        <v>1917500</v>
      </c>
      <c r="X19" s="216">
        <v>58</v>
      </c>
      <c r="Y19" s="216">
        <v>2436915</v>
      </c>
      <c r="Z19" s="216">
        <v>57</v>
      </c>
      <c r="AA19" s="216">
        <v>2783750</v>
      </c>
      <c r="AB19" s="216">
        <v>67</v>
      </c>
      <c r="AC19" s="216">
        <v>2674174</v>
      </c>
      <c r="AD19" s="216">
        <f>'[2]Donnes mois encours'!D50</f>
        <v>49</v>
      </c>
      <c r="AE19" s="216">
        <f>'[2]Donnes mois encours'!E50</f>
        <v>4750780</v>
      </c>
      <c r="AF19" s="218">
        <f t="shared" si="2"/>
        <v>532</v>
      </c>
      <c r="AG19" s="209">
        <f t="shared" si="2"/>
        <v>25405129</v>
      </c>
    </row>
    <row r="20" spans="1:33" ht="15" thickBot="1">
      <c r="A20" s="595"/>
      <c r="B20" s="598"/>
      <c r="C20" s="219" t="s">
        <v>1015</v>
      </c>
      <c r="D20" s="220">
        <v>16</v>
      </c>
      <c r="E20" s="220">
        <v>666183</v>
      </c>
      <c r="F20" s="220">
        <v>20</v>
      </c>
      <c r="G20" s="220">
        <v>623938</v>
      </c>
      <c r="H20" s="220">
        <v>12</v>
      </c>
      <c r="I20" s="220">
        <v>574450</v>
      </c>
      <c r="J20" s="220">
        <v>10</v>
      </c>
      <c r="K20" s="220">
        <v>717590</v>
      </c>
      <c r="L20" s="220">
        <v>18</v>
      </c>
      <c r="M20" s="220">
        <v>559400</v>
      </c>
      <c r="N20" s="220">
        <v>24</v>
      </c>
      <c r="O20" s="220">
        <v>1400100</v>
      </c>
      <c r="P20" s="220">
        <v>23</v>
      </c>
      <c r="Q20" s="220">
        <v>648772</v>
      </c>
      <c r="R20" s="220">
        <v>12</v>
      </c>
      <c r="S20" s="220">
        <v>180500</v>
      </c>
      <c r="T20" s="220">
        <v>11</v>
      </c>
      <c r="U20" s="221">
        <v>563900</v>
      </c>
      <c r="V20" s="220">
        <v>10</v>
      </c>
      <c r="W20" s="221">
        <v>296500</v>
      </c>
      <c r="X20" s="220">
        <v>22</v>
      </c>
      <c r="Y20" s="220">
        <v>480800</v>
      </c>
      <c r="Z20" s="220">
        <v>26</v>
      </c>
      <c r="AA20" s="220">
        <v>867550</v>
      </c>
      <c r="AB20" s="220">
        <v>19</v>
      </c>
      <c r="AC20" s="220">
        <v>274150</v>
      </c>
      <c r="AD20" s="220">
        <f>'[2]Donnes mois encours'!D33</f>
        <v>10</v>
      </c>
      <c r="AE20" s="220">
        <f>'[2]Donnes mois encours'!E33</f>
        <v>387000</v>
      </c>
      <c r="AF20" s="222">
        <f t="shared" si="2"/>
        <v>185</v>
      </c>
      <c r="AG20" s="211">
        <f t="shared" si="2"/>
        <v>6376262</v>
      </c>
    </row>
    <row r="21" spans="1:33" ht="15" thickBot="1">
      <c r="A21" s="193"/>
      <c r="B21" s="193"/>
      <c r="C21" s="19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02">
        <f t="shared" si="2"/>
        <v>0</v>
      </c>
      <c r="AG21" s="202">
        <f t="shared" si="2"/>
        <v>0</v>
      </c>
    </row>
    <row r="22" spans="1:33" ht="15" thickBot="1">
      <c r="A22" s="587" t="s">
        <v>1017</v>
      </c>
      <c r="B22" s="588"/>
      <c r="C22" s="588"/>
      <c r="D22" s="223">
        <f t="shared" ref="D22:AE22" si="3">+(D16-D19)-(D17-D20)</f>
        <v>35340</v>
      </c>
      <c r="E22" s="223">
        <f t="shared" si="3"/>
        <v>625798258</v>
      </c>
      <c r="F22" s="223">
        <f t="shared" si="3"/>
        <v>34145</v>
      </c>
      <c r="G22" s="223">
        <f t="shared" si="3"/>
        <v>628439087</v>
      </c>
      <c r="H22" s="223">
        <f t="shared" si="3"/>
        <v>38934</v>
      </c>
      <c r="I22" s="223">
        <f t="shared" si="3"/>
        <v>757423712</v>
      </c>
      <c r="J22" s="223">
        <f t="shared" si="3"/>
        <v>26803</v>
      </c>
      <c r="K22" s="223">
        <f t="shared" si="3"/>
        <v>516029060</v>
      </c>
      <c r="L22" s="223">
        <f>+(L16-L19)-(L17-L20)</f>
        <v>35999</v>
      </c>
      <c r="M22" s="223">
        <f t="shared" si="3"/>
        <v>704516374</v>
      </c>
      <c r="N22" s="223">
        <f t="shared" si="3"/>
        <v>58902</v>
      </c>
      <c r="O22" s="223">
        <f t="shared" si="3"/>
        <v>1092328453</v>
      </c>
      <c r="P22" s="223">
        <f t="shared" si="3"/>
        <v>52412</v>
      </c>
      <c r="Q22" s="223">
        <f t="shared" si="3"/>
        <v>981234594</v>
      </c>
      <c r="R22" s="223">
        <f t="shared" si="3"/>
        <v>73966</v>
      </c>
      <c r="S22" s="223">
        <f t="shared" si="3"/>
        <v>1383226289</v>
      </c>
      <c r="T22" s="223">
        <f t="shared" si="3"/>
        <v>71762</v>
      </c>
      <c r="U22" s="223">
        <f t="shared" si="3"/>
        <v>1263120085</v>
      </c>
      <c r="V22" s="223">
        <f t="shared" si="3"/>
        <v>51778</v>
      </c>
      <c r="W22" s="223">
        <f t="shared" si="3"/>
        <v>968074450</v>
      </c>
      <c r="X22" s="223">
        <f t="shared" si="3"/>
        <v>52448</v>
      </c>
      <c r="Y22" s="223">
        <f t="shared" si="3"/>
        <v>962340506</v>
      </c>
      <c r="Z22" s="223">
        <f t="shared" si="3"/>
        <v>46884</v>
      </c>
      <c r="AA22" s="223">
        <f t="shared" si="3"/>
        <v>896276568</v>
      </c>
      <c r="AB22" s="223">
        <f t="shared" si="3"/>
        <v>48747</v>
      </c>
      <c r="AC22" s="223">
        <f t="shared" si="3"/>
        <v>913925912</v>
      </c>
      <c r="AD22" s="223">
        <f t="shared" si="3"/>
        <v>41994</v>
      </c>
      <c r="AE22" s="223">
        <f t="shared" si="3"/>
        <v>748917397</v>
      </c>
      <c r="AF22" s="224">
        <f t="shared" si="2"/>
        <v>561695</v>
      </c>
      <c r="AG22" s="225">
        <f t="shared" si="2"/>
        <v>10429989688</v>
      </c>
    </row>
    <row r="23" spans="1:33" ht="15" thickBot="1">
      <c r="A23" s="587" t="s">
        <v>1018</v>
      </c>
      <c r="B23" s="588"/>
      <c r="C23" s="589"/>
      <c r="D23" s="590">
        <f>+E22</f>
        <v>625798258</v>
      </c>
      <c r="E23" s="591"/>
      <c r="F23" s="590">
        <f>+G22</f>
        <v>628439087</v>
      </c>
      <c r="G23" s="591"/>
      <c r="H23" s="590">
        <f>+I22</f>
        <v>757423712</v>
      </c>
      <c r="I23" s="591"/>
      <c r="J23" s="590">
        <f>+K22</f>
        <v>516029060</v>
      </c>
      <c r="K23" s="591"/>
      <c r="L23" s="591">
        <f>+M22</f>
        <v>704516374</v>
      </c>
      <c r="M23" s="591"/>
      <c r="N23" s="591">
        <f>+O22</f>
        <v>1092328453</v>
      </c>
      <c r="O23" s="591"/>
      <c r="P23" s="591">
        <f>+Q22</f>
        <v>981234594</v>
      </c>
      <c r="Q23" s="591"/>
      <c r="R23" s="591"/>
      <c r="S23" s="591"/>
      <c r="T23" s="591"/>
      <c r="U23" s="592"/>
      <c r="V23" s="591"/>
      <c r="W23" s="592"/>
      <c r="X23" s="591"/>
      <c r="Y23" s="592"/>
      <c r="Z23" s="591"/>
      <c r="AA23" s="592"/>
      <c r="AB23" s="591"/>
      <c r="AC23" s="592"/>
      <c r="AD23" s="591"/>
      <c r="AE23" s="592"/>
      <c r="AF23" s="585"/>
      <c r="AG23" s="586"/>
    </row>
    <row r="26" spans="1:33" ht="15" thickBot="1">
      <c r="A26" s="193"/>
      <c r="B26" s="193"/>
      <c r="C26" s="19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02"/>
      <c r="AG26" s="202"/>
    </row>
    <row r="27" spans="1:33">
      <c r="A27" s="593" t="s">
        <v>1020</v>
      </c>
      <c r="B27" s="596" t="s">
        <v>1013</v>
      </c>
      <c r="C27" s="206" t="s">
        <v>1014</v>
      </c>
      <c r="D27" s="207">
        <v>12333</v>
      </c>
      <c r="E27" s="207">
        <v>540692301</v>
      </c>
      <c r="F27" s="207">
        <v>12317</v>
      </c>
      <c r="G27" s="207">
        <v>559287423</v>
      </c>
      <c r="H27" s="207">
        <v>14021</v>
      </c>
      <c r="I27" s="207">
        <v>595854478</v>
      </c>
      <c r="J27" s="207">
        <v>11448</v>
      </c>
      <c r="K27" s="207">
        <v>527395246</v>
      </c>
      <c r="L27" s="207">
        <v>11858</v>
      </c>
      <c r="M27" s="207">
        <v>581249632</v>
      </c>
      <c r="N27" s="207">
        <v>13722</v>
      </c>
      <c r="O27" s="207">
        <v>622985306</v>
      </c>
      <c r="P27" s="207">
        <v>12830</v>
      </c>
      <c r="Q27" s="207">
        <v>560447944</v>
      </c>
      <c r="R27" s="207">
        <v>13550</v>
      </c>
      <c r="S27" s="207">
        <v>612391045</v>
      </c>
      <c r="T27" s="207">
        <v>13218</v>
      </c>
      <c r="U27" s="208">
        <v>558824282</v>
      </c>
      <c r="V27" s="207">
        <v>13090</v>
      </c>
      <c r="W27" s="208">
        <v>628941244</v>
      </c>
      <c r="X27" s="207">
        <v>12860</v>
      </c>
      <c r="Y27" s="207">
        <v>618626373</v>
      </c>
      <c r="Z27" s="207">
        <v>13063</v>
      </c>
      <c r="AA27" s="207">
        <v>626047391</v>
      </c>
      <c r="AB27" s="207">
        <v>13596</v>
      </c>
      <c r="AC27" s="207">
        <v>617987977</v>
      </c>
      <c r="AD27" s="207">
        <f>'[2]Donnes mois encours'!D21</f>
        <v>12122</v>
      </c>
      <c r="AE27" s="207">
        <f>'[2]Donnes mois encours'!E21</f>
        <v>570427232</v>
      </c>
      <c r="AF27" s="209">
        <f t="shared" ref="AF27:AG33" si="4">J27+L27+N27+P27+R27+T27+V27+X27+Z27+AB27+AD27</f>
        <v>141357</v>
      </c>
      <c r="AG27" s="209">
        <f t="shared" si="4"/>
        <v>6525323672</v>
      </c>
    </row>
    <row r="28" spans="1:33" ht="15" thickBot="1">
      <c r="A28" s="594"/>
      <c r="B28" s="597"/>
      <c r="C28" s="9" t="s">
        <v>1015</v>
      </c>
      <c r="D28" s="6">
        <v>2018</v>
      </c>
      <c r="E28" s="6">
        <v>65963169</v>
      </c>
      <c r="F28" s="6">
        <v>1921</v>
      </c>
      <c r="G28" s="6">
        <v>63820718</v>
      </c>
      <c r="H28" s="6">
        <v>2136</v>
      </c>
      <c r="I28" s="6">
        <v>74977703</v>
      </c>
      <c r="J28" s="6">
        <v>2026</v>
      </c>
      <c r="K28" s="6">
        <v>70647552</v>
      </c>
      <c r="L28" s="6">
        <v>1859</v>
      </c>
      <c r="M28" s="6">
        <v>77430218</v>
      </c>
      <c r="N28" s="6">
        <v>2241</v>
      </c>
      <c r="O28" s="6">
        <v>79812753</v>
      </c>
      <c r="P28" s="6">
        <v>2099</v>
      </c>
      <c r="Q28" s="6">
        <v>78294451</v>
      </c>
      <c r="R28" s="6">
        <v>2072</v>
      </c>
      <c r="S28" s="6">
        <v>80804297</v>
      </c>
      <c r="T28" s="6">
        <v>1931</v>
      </c>
      <c r="U28" s="210">
        <v>75362129</v>
      </c>
      <c r="V28" s="6">
        <v>2005</v>
      </c>
      <c r="W28" s="210">
        <v>67621193</v>
      </c>
      <c r="X28" s="6">
        <v>1963</v>
      </c>
      <c r="Y28" s="6">
        <v>61709766</v>
      </c>
      <c r="Z28" s="6">
        <v>2039</v>
      </c>
      <c r="AA28" s="6">
        <v>60246461</v>
      </c>
      <c r="AB28" s="6">
        <v>2291</v>
      </c>
      <c r="AC28" s="6">
        <v>67895741</v>
      </c>
      <c r="AD28" s="6">
        <f>'[2]Donnes mois encours'!D10</f>
        <v>1936</v>
      </c>
      <c r="AE28" s="6">
        <f>'[2]Donnes mois encours'!E10</f>
        <v>64342959</v>
      </c>
      <c r="AF28" s="211">
        <f t="shared" si="4"/>
        <v>22462</v>
      </c>
      <c r="AG28" s="211">
        <f t="shared" si="4"/>
        <v>784167520</v>
      </c>
    </row>
    <row r="29" spans="1:33" ht="6.75" customHeight="1" thickBot="1">
      <c r="A29" s="594"/>
      <c r="B29" s="16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4"/>
      <c r="V29" s="213"/>
      <c r="W29" s="214"/>
      <c r="X29" s="213"/>
      <c r="Y29" s="213"/>
      <c r="Z29" s="213"/>
      <c r="AA29" s="213"/>
      <c r="AB29" s="213"/>
      <c r="AC29" s="213"/>
      <c r="AD29" s="213"/>
      <c r="AE29" s="213"/>
      <c r="AF29" s="215">
        <f t="shared" si="4"/>
        <v>0</v>
      </c>
      <c r="AG29" s="215">
        <f t="shared" si="4"/>
        <v>0</v>
      </c>
    </row>
    <row r="30" spans="1:33">
      <c r="A30" s="594"/>
      <c r="B30" s="597" t="s">
        <v>1016</v>
      </c>
      <c r="C30" s="9" t="s">
        <v>1014</v>
      </c>
      <c r="D30" s="216">
        <v>42</v>
      </c>
      <c r="E30" s="216">
        <v>1256164</v>
      </c>
      <c r="F30" s="216">
        <v>25</v>
      </c>
      <c r="G30" s="216">
        <v>587500</v>
      </c>
      <c r="H30" s="216">
        <v>42</v>
      </c>
      <c r="I30" s="216">
        <v>1676550</v>
      </c>
      <c r="J30" s="216">
        <v>52</v>
      </c>
      <c r="K30" s="216">
        <v>1624525</v>
      </c>
      <c r="L30" s="216">
        <v>34</v>
      </c>
      <c r="M30" s="216">
        <v>1258984</v>
      </c>
      <c r="N30" s="216">
        <v>37</v>
      </c>
      <c r="O30" s="216">
        <v>1318200</v>
      </c>
      <c r="P30" s="216">
        <v>33</v>
      </c>
      <c r="Q30" s="216">
        <v>1116400</v>
      </c>
      <c r="R30" s="216">
        <v>50</v>
      </c>
      <c r="S30" s="216">
        <v>2156798</v>
      </c>
      <c r="T30" s="216">
        <v>35</v>
      </c>
      <c r="U30" s="217">
        <v>1520400</v>
      </c>
      <c r="V30" s="216">
        <v>56</v>
      </c>
      <c r="W30" s="217">
        <v>1872296</v>
      </c>
      <c r="X30" s="216">
        <v>32</v>
      </c>
      <c r="Y30" s="216">
        <v>1258460</v>
      </c>
      <c r="Z30" s="216">
        <v>30</v>
      </c>
      <c r="AA30" s="216">
        <v>911900</v>
      </c>
      <c r="AB30" s="216">
        <v>37</v>
      </c>
      <c r="AC30" s="216">
        <v>1000350</v>
      </c>
      <c r="AD30" s="216">
        <f>'[2]Donnes mois encours'!D52</f>
        <v>33</v>
      </c>
      <c r="AE30" s="216">
        <f>'[2]Donnes mois encours'!E52</f>
        <v>717600</v>
      </c>
      <c r="AF30" s="218">
        <f t="shared" si="4"/>
        <v>429</v>
      </c>
      <c r="AG30" s="209">
        <f t="shared" si="4"/>
        <v>14755913</v>
      </c>
    </row>
    <row r="31" spans="1:33" ht="15" thickBot="1">
      <c r="A31" s="595"/>
      <c r="B31" s="598"/>
      <c r="C31" s="219" t="s">
        <v>1015</v>
      </c>
      <c r="D31" s="220">
        <v>1</v>
      </c>
      <c r="E31" s="220">
        <v>1100</v>
      </c>
      <c r="F31" s="220">
        <v>1</v>
      </c>
      <c r="G31" s="220">
        <v>3531</v>
      </c>
      <c r="H31" s="220">
        <v>4</v>
      </c>
      <c r="I31" s="220">
        <v>482000</v>
      </c>
      <c r="J31" s="220">
        <v>2</v>
      </c>
      <c r="K31" s="220">
        <v>104900</v>
      </c>
      <c r="L31" s="220">
        <v>7</v>
      </c>
      <c r="M31" s="220">
        <v>260310</v>
      </c>
      <c r="N31" s="220">
        <v>4</v>
      </c>
      <c r="O31" s="220">
        <v>168738</v>
      </c>
      <c r="P31" s="220">
        <v>4</v>
      </c>
      <c r="Q31" s="220">
        <v>77600</v>
      </c>
      <c r="R31" s="220">
        <v>5</v>
      </c>
      <c r="S31" s="220">
        <v>239000</v>
      </c>
      <c r="T31" s="220">
        <v>3</v>
      </c>
      <c r="U31" s="221">
        <v>90000</v>
      </c>
      <c r="V31" s="220">
        <v>3</v>
      </c>
      <c r="W31" s="221">
        <v>65100</v>
      </c>
      <c r="X31" s="220">
        <v>3</v>
      </c>
      <c r="Y31" s="220">
        <v>57000</v>
      </c>
      <c r="Z31" s="220">
        <v>1</v>
      </c>
      <c r="AA31" s="220">
        <v>5000</v>
      </c>
      <c r="AB31" s="220">
        <v>2</v>
      </c>
      <c r="AC31" s="220">
        <v>18000</v>
      </c>
      <c r="AD31" s="220">
        <f>'[2]Donnes mois encours'!D31</f>
        <v>3</v>
      </c>
      <c r="AE31" s="220">
        <f>'[2]Donnes mois encours'!E31</f>
        <v>1321550</v>
      </c>
      <c r="AF31" s="222">
        <f t="shared" si="4"/>
        <v>37</v>
      </c>
      <c r="AG31" s="211">
        <f t="shared" si="4"/>
        <v>2407198</v>
      </c>
    </row>
    <row r="32" spans="1:33" ht="15" thickBot="1">
      <c r="A32" s="193"/>
      <c r="B32" s="193"/>
      <c r="C32" s="19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02">
        <f t="shared" si="4"/>
        <v>0</v>
      </c>
      <c r="AG32" s="202">
        <f t="shared" si="4"/>
        <v>0</v>
      </c>
    </row>
    <row r="33" spans="1:34" ht="15" thickBot="1">
      <c r="A33" s="587" t="s">
        <v>1017</v>
      </c>
      <c r="B33" s="588"/>
      <c r="C33" s="588"/>
      <c r="D33" s="223">
        <f t="shared" ref="D33:AE33" si="5">+(D27-D30)-(D28-D31)</f>
        <v>10274</v>
      </c>
      <c r="E33" s="223">
        <f t="shared" si="5"/>
        <v>473474068</v>
      </c>
      <c r="F33" s="223">
        <f t="shared" si="5"/>
        <v>10372</v>
      </c>
      <c r="G33" s="223">
        <f t="shared" si="5"/>
        <v>494882736</v>
      </c>
      <c r="H33" s="223">
        <f t="shared" si="5"/>
        <v>11847</v>
      </c>
      <c r="I33" s="223">
        <f t="shared" si="5"/>
        <v>519682225</v>
      </c>
      <c r="J33" s="223">
        <f t="shared" si="5"/>
        <v>9372</v>
      </c>
      <c r="K33" s="223">
        <f t="shared" si="5"/>
        <v>455228069</v>
      </c>
      <c r="L33" s="223">
        <f>+(L27-L30)-(L28-L31)</f>
        <v>9972</v>
      </c>
      <c r="M33" s="223">
        <f t="shared" si="5"/>
        <v>502820740</v>
      </c>
      <c r="N33" s="223">
        <f t="shared" si="5"/>
        <v>11448</v>
      </c>
      <c r="O33" s="223">
        <f t="shared" si="5"/>
        <v>542023091</v>
      </c>
      <c r="P33" s="223">
        <f t="shared" si="5"/>
        <v>10702</v>
      </c>
      <c r="Q33" s="223">
        <f t="shared" si="5"/>
        <v>481114693</v>
      </c>
      <c r="R33" s="223">
        <f t="shared" si="5"/>
        <v>11433</v>
      </c>
      <c r="S33" s="223">
        <f t="shared" si="5"/>
        <v>529668950</v>
      </c>
      <c r="T33" s="223">
        <f t="shared" si="5"/>
        <v>11255</v>
      </c>
      <c r="U33" s="223">
        <f t="shared" si="5"/>
        <v>482031753</v>
      </c>
      <c r="V33" s="223">
        <f t="shared" si="5"/>
        <v>11032</v>
      </c>
      <c r="W33" s="223">
        <f t="shared" si="5"/>
        <v>559512855</v>
      </c>
      <c r="X33" s="223">
        <f t="shared" si="5"/>
        <v>10868</v>
      </c>
      <c r="Y33" s="223">
        <f t="shared" si="5"/>
        <v>555715147</v>
      </c>
      <c r="Z33" s="223">
        <f t="shared" si="5"/>
        <v>10995</v>
      </c>
      <c r="AA33" s="223">
        <f t="shared" si="5"/>
        <v>564894030</v>
      </c>
      <c r="AB33" s="223">
        <f t="shared" si="5"/>
        <v>11270</v>
      </c>
      <c r="AC33" s="223">
        <f t="shared" si="5"/>
        <v>549109886</v>
      </c>
      <c r="AD33" s="223">
        <f t="shared" si="5"/>
        <v>10156</v>
      </c>
      <c r="AE33" s="223">
        <f t="shared" si="5"/>
        <v>506688223</v>
      </c>
      <c r="AF33" s="224">
        <f t="shared" si="4"/>
        <v>118503</v>
      </c>
      <c r="AG33" s="225">
        <f t="shared" si="4"/>
        <v>5728807437</v>
      </c>
      <c r="AH33" s="193"/>
    </row>
    <row r="34" spans="1:34" ht="15" thickBot="1">
      <c r="A34" s="587" t="s">
        <v>1018</v>
      </c>
      <c r="B34" s="588"/>
      <c r="C34" s="589"/>
      <c r="D34" s="590">
        <f>+E33</f>
        <v>473474068</v>
      </c>
      <c r="E34" s="591"/>
      <c r="F34" s="590">
        <f>+G33</f>
        <v>494882736</v>
      </c>
      <c r="G34" s="591"/>
      <c r="H34" s="590">
        <f>+I33</f>
        <v>519682225</v>
      </c>
      <c r="I34" s="591"/>
      <c r="J34" s="590">
        <f>+K33</f>
        <v>455228069</v>
      </c>
      <c r="K34" s="591"/>
      <c r="L34" s="591">
        <f>+M33</f>
        <v>502820740</v>
      </c>
      <c r="M34" s="591"/>
      <c r="N34" s="591">
        <f>+O33</f>
        <v>542023091</v>
      </c>
      <c r="O34" s="591"/>
      <c r="P34" s="591">
        <f>+Q33</f>
        <v>481114693</v>
      </c>
      <c r="Q34" s="591"/>
      <c r="R34" s="591" t="s">
        <v>1021</v>
      </c>
      <c r="S34" s="591"/>
      <c r="T34" s="591"/>
      <c r="U34" s="592"/>
      <c r="V34" s="591"/>
      <c r="W34" s="592"/>
      <c r="X34" s="591"/>
      <c r="Y34" s="592"/>
      <c r="Z34" s="591"/>
      <c r="AA34" s="592"/>
      <c r="AB34" s="591"/>
      <c r="AC34" s="592"/>
      <c r="AD34" s="591"/>
      <c r="AE34" s="592"/>
      <c r="AF34" s="585"/>
      <c r="AG34" s="586"/>
      <c r="AH34" s="193"/>
    </row>
    <row r="36" spans="1:34" ht="15" thickBot="1">
      <c r="A36" s="193"/>
      <c r="B36" s="193"/>
      <c r="C36" s="19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02"/>
      <c r="AG36" s="202"/>
      <c r="AH36" s="193"/>
    </row>
    <row r="37" spans="1:34">
      <c r="A37" s="593" t="s">
        <v>1022</v>
      </c>
      <c r="B37" s="596" t="s">
        <v>1013</v>
      </c>
      <c r="C37" s="206" t="s">
        <v>1014</v>
      </c>
      <c r="D37" s="207">
        <v>17775</v>
      </c>
      <c r="E37" s="207">
        <v>710241453</v>
      </c>
      <c r="F37" s="207">
        <v>18107</v>
      </c>
      <c r="G37" s="207">
        <v>689323677</v>
      </c>
      <c r="H37" s="207">
        <v>18504</v>
      </c>
      <c r="I37" s="207">
        <v>787491708</v>
      </c>
      <c r="J37" s="207">
        <v>22137</v>
      </c>
      <c r="K37" s="207">
        <v>935317882</v>
      </c>
      <c r="L37" s="207">
        <v>22663</v>
      </c>
      <c r="M37" s="207">
        <v>854274855</v>
      </c>
      <c r="N37" s="207">
        <v>28001</v>
      </c>
      <c r="O37" s="207">
        <v>1036382269</v>
      </c>
      <c r="P37" s="207">
        <v>35861</v>
      </c>
      <c r="Q37" s="207">
        <v>1272588369</v>
      </c>
      <c r="R37" s="207">
        <v>38204</v>
      </c>
      <c r="S37" s="207">
        <v>1317242016</v>
      </c>
      <c r="T37" s="207">
        <v>32521</v>
      </c>
      <c r="U37" s="208">
        <v>1112365389</v>
      </c>
      <c r="V37" s="207">
        <v>31579</v>
      </c>
      <c r="W37" s="208">
        <v>1160491600</v>
      </c>
      <c r="X37" s="207">
        <v>31112</v>
      </c>
      <c r="Y37" s="207">
        <v>1114417538</v>
      </c>
      <c r="Z37" s="207">
        <v>30961</v>
      </c>
      <c r="AA37" s="207">
        <v>1127417921</v>
      </c>
      <c r="AB37" s="207">
        <v>32124</v>
      </c>
      <c r="AC37" s="207">
        <v>1143634728</v>
      </c>
      <c r="AD37" s="207">
        <f>'[2]Donnes mois encours'!D19</f>
        <v>26647</v>
      </c>
      <c r="AE37" s="207">
        <f>'[2]Donnes mois encours'!E19</f>
        <v>971452490</v>
      </c>
      <c r="AF37" s="209">
        <f t="shared" ref="AF37:AG43" si="6">J37+L37+N37+P37+R37+T37+V37+X37+Z37+AB37+AD37</f>
        <v>331810</v>
      </c>
      <c r="AG37" s="209">
        <f t="shared" si="6"/>
        <v>12045585057</v>
      </c>
      <c r="AH37" s="193"/>
    </row>
    <row r="38" spans="1:34" ht="15" thickBot="1">
      <c r="A38" s="594"/>
      <c r="B38" s="597"/>
      <c r="C38" s="9" t="s">
        <v>1015</v>
      </c>
      <c r="D38" s="6">
        <v>11267</v>
      </c>
      <c r="E38" s="6">
        <v>315334127</v>
      </c>
      <c r="F38" s="6">
        <v>12417</v>
      </c>
      <c r="G38" s="6">
        <v>335082505</v>
      </c>
      <c r="H38" s="6">
        <v>14223</v>
      </c>
      <c r="I38" s="6">
        <v>421594872</v>
      </c>
      <c r="J38" s="6">
        <v>13096</v>
      </c>
      <c r="K38" s="6">
        <v>439795878</v>
      </c>
      <c r="L38" s="6">
        <v>13748</v>
      </c>
      <c r="M38" s="6">
        <v>470889133</v>
      </c>
      <c r="N38" s="6">
        <v>14213</v>
      </c>
      <c r="O38" s="6">
        <v>482291656</v>
      </c>
      <c r="P38" s="6">
        <v>13847</v>
      </c>
      <c r="Q38" s="6">
        <v>462848231</v>
      </c>
      <c r="R38" s="6">
        <v>13367</v>
      </c>
      <c r="S38" s="6">
        <v>415524131</v>
      </c>
      <c r="T38" s="6">
        <v>11839</v>
      </c>
      <c r="U38" s="210">
        <v>356648224</v>
      </c>
      <c r="V38" s="6">
        <v>11626</v>
      </c>
      <c r="W38" s="210">
        <v>380759045</v>
      </c>
      <c r="X38" s="6">
        <v>8786</v>
      </c>
      <c r="Y38" s="6">
        <v>294731098</v>
      </c>
      <c r="Z38" s="6">
        <v>9784</v>
      </c>
      <c r="AA38" s="6">
        <v>326117044</v>
      </c>
      <c r="AB38" s="6">
        <v>12191</v>
      </c>
      <c r="AC38" s="6">
        <v>371148790</v>
      </c>
      <c r="AD38" s="6">
        <f>'[2]Donnes mois encours'!D8</f>
        <v>10253</v>
      </c>
      <c r="AE38" s="6">
        <f>'[2]Donnes mois encours'!E8</f>
        <v>334808346</v>
      </c>
      <c r="AF38" s="211">
        <f t="shared" si="6"/>
        <v>132750</v>
      </c>
      <c r="AG38" s="211">
        <f t="shared" si="6"/>
        <v>4335561576</v>
      </c>
      <c r="AH38" s="193"/>
    </row>
    <row r="39" spans="1:34" ht="7.5" customHeight="1" thickBot="1">
      <c r="A39" s="594"/>
      <c r="B39" s="16"/>
      <c r="C39" s="212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4"/>
      <c r="V39" s="213"/>
      <c r="W39" s="214"/>
      <c r="X39" s="213"/>
      <c r="Y39" s="213"/>
      <c r="Z39" s="213"/>
      <c r="AA39" s="213"/>
      <c r="AB39" s="213"/>
      <c r="AC39" s="213"/>
      <c r="AD39" s="213"/>
      <c r="AE39" s="213"/>
      <c r="AF39" s="215">
        <f t="shared" si="6"/>
        <v>0</v>
      </c>
      <c r="AG39" s="215">
        <f t="shared" si="6"/>
        <v>0</v>
      </c>
      <c r="AH39" s="193"/>
    </row>
    <row r="40" spans="1:34">
      <c r="A40" s="594"/>
      <c r="B40" s="597" t="s">
        <v>1016</v>
      </c>
      <c r="C40" s="9" t="s">
        <v>1014</v>
      </c>
      <c r="D40" s="216">
        <v>31</v>
      </c>
      <c r="E40" s="216">
        <v>2284238</v>
      </c>
      <c r="F40" s="216">
        <v>63</v>
      </c>
      <c r="G40" s="216">
        <v>3093815</v>
      </c>
      <c r="H40" s="216">
        <v>64</v>
      </c>
      <c r="I40" s="216">
        <v>1166350</v>
      </c>
      <c r="J40" s="216">
        <v>62</v>
      </c>
      <c r="K40" s="216">
        <v>1360908</v>
      </c>
      <c r="L40" s="216">
        <v>75</v>
      </c>
      <c r="M40" s="216">
        <v>1717976</v>
      </c>
      <c r="N40" s="216">
        <v>75</v>
      </c>
      <c r="O40" s="216">
        <v>2237956</v>
      </c>
      <c r="P40" s="216">
        <v>100</v>
      </c>
      <c r="Q40" s="216">
        <v>2957877</v>
      </c>
      <c r="R40" s="216">
        <v>108</v>
      </c>
      <c r="S40" s="216">
        <v>2026130</v>
      </c>
      <c r="T40" s="216">
        <v>65</v>
      </c>
      <c r="U40" s="217">
        <v>3837396</v>
      </c>
      <c r="V40" s="216">
        <v>101</v>
      </c>
      <c r="W40" s="217">
        <v>3171344</v>
      </c>
      <c r="X40" s="216">
        <v>103</v>
      </c>
      <c r="Y40" s="216">
        <v>3190900</v>
      </c>
      <c r="Z40" s="216">
        <v>85</v>
      </c>
      <c r="AA40" s="216">
        <v>3432512</v>
      </c>
      <c r="AB40" s="216">
        <v>111</v>
      </c>
      <c r="AC40" s="216">
        <v>5527839</v>
      </c>
      <c r="AD40" s="216">
        <f>'[2]Donnes mois encours'!D51</f>
        <v>73</v>
      </c>
      <c r="AE40" s="216">
        <f>'[2]Donnes mois encours'!E51</f>
        <v>2445123</v>
      </c>
      <c r="AF40" s="218">
        <f t="shared" si="6"/>
        <v>958</v>
      </c>
      <c r="AG40" s="209">
        <f t="shared" si="6"/>
        <v>31905961</v>
      </c>
      <c r="AH40" s="193"/>
    </row>
    <row r="41" spans="1:34" ht="15" thickBot="1">
      <c r="A41" s="595"/>
      <c r="B41" s="598"/>
      <c r="C41" s="219" t="s">
        <v>1015</v>
      </c>
      <c r="D41" s="220">
        <v>68</v>
      </c>
      <c r="E41" s="220">
        <v>1177523</v>
      </c>
      <c r="F41" s="220">
        <v>26</v>
      </c>
      <c r="G41" s="220">
        <v>804501</v>
      </c>
      <c r="H41" s="220">
        <v>31</v>
      </c>
      <c r="I41" s="220">
        <v>716835</v>
      </c>
      <c r="J41" s="220">
        <v>29</v>
      </c>
      <c r="K41" s="220">
        <v>728035</v>
      </c>
      <c r="L41" s="220">
        <v>23</v>
      </c>
      <c r="M41" s="220">
        <v>323315</v>
      </c>
      <c r="N41" s="220">
        <v>19</v>
      </c>
      <c r="O41" s="220">
        <v>576300</v>
      </c>
      <c r="P41" s="220">
        <v>37</v>
      </c>
      <c r="Q41" s="220">
        <v>692148</v>
      </c>
      <c r="R41" s="220">
        <v>25</v>
      </c>
      <c r="S41" s="220">
        <v>482450</v>
      </c>
      <c r="T41" s="220">
        <v>24</v>
      </c>
      <c r="U41" s="221">
        <v>763550</v>
      </c>
      <c r="V41" s="220">
        <v>22</v>
      </c>
      <c r="W41" s="221">
        <v>446990</v>
      </c>
      <c r="X41" s="220">
        <v>17</v>
      </c>
      <c r="Y41" s="220">
        <v>850300</v>
      </c>
      <c r="Z41" s="220">
        <v>16</v>
      </c>
      <c r="AA41" s="220">
        <v>695004</v>
      </c>
      <c r="AB41" s="220">
        <v>15</v>
      </c>
      <c r="AC41" s="220">
        <v>375600</v>
      </c>
      <c r="AD41" s="220">
        <f>'[2]Donnes mois encours'!D32</f>
        <v>26</v>
      </c>
      <c r="AE41" s="220">
        <f>'[2]Donnes mois encours'!E32</f>
        <v>991994</v>
      </c>
      <c r="AF41" s="222">
        <f t="shared" si="6"/>
        <v>253</v>
      </c>
      <c r="AG41" s="211">
        <f t="shared" si="6"/>
        <v>6925686</v>
      </c>
      <c r="AH41" s="193"/>
    </row>
    <row r="42" spans="1:34" ht="15" thickBot="1">
      <c r="A42" s="193"/>
      <c r="B42" s="193"/>
      <c r="C42" s="19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02">
        <f t="shared" si="6"/>
        <v>0</v>
      </c>
      <c r="AG42" s="202">
        <f t="shared" si="6"/>
        <v>0</v>
      </c>
      <c r="AH42" s="193"/>
    </row>
    <row r="43" spans="1:34" ht="15" thickBot="1">
      <c r="A43" s="587" t="s">
        <v>1017</v>
      </c>
      <c r="B43" s="588"/>
      <c r="C43" s="588"/>
      <c r="D43" s="223">
        <f t="shared" ref="D43:AE43" si="7">+(D37-D40)-(D38-D41)</f>
        <v>6545</v>
      </c>
      <c r="E43" s="223">
        <f t="shared" si="7"/>
        <v>393800611</v>
      </c>
      <c r="F43" s="223">
        <f t="shared" si="7"/>
        <v>5653</v>
      </c>
      <c r="G43" s="223">
        <f t="shared" si="7"/>
        <v>351951858</v>
      </c>
      <c r="H43" s="223">
        <f t="shared" si="7"/>
        <v>4248</v>
      </c>
      <c r="I43" s="223">
        <f t="shared" si="7"/>
        <v>365447321</v>
      </c>
      <c r="J43" s="223">
        <f t="shared" si="7"/>
        <v>9008</v>
      </c>
      <c r="K43" s="223">
        <f t="shared" si="7"/>
        <v>494889131</v>
      </c>
      <c r="L43" s="223">
        <f>+(L37-L40)-(L38-L41)</f>
        <v>8863</v>
      </c>
      <c r="M43" s="223">
        <f t="shared" si="7"/>
        <v>381991061</v>
      </c>
      <c r="N43" s="223">
        <f t="shared" si="7"/>
        <v>13732</v>
      </c>
      <c r="O43" s="223">
        <f t="shared" si="7"/>
        <v>552428957</v>
      </c>
      <c r="P43" s="223">
        <f t="shared" si="7"/>
        <v>21951</v>
      </c>
      <c r="Q43" s="223">
        <f t="shared" si="7"/>
        <v>807474409</v>
      </c>
      <c r="R43" s="223">
        <f t="shared" si="7"/>
        <v>24754</v>
      </c>
      <c r="S43" s="223">
        <f t="shared" si="7"/>
        <v>900174205</v>
      </c>
      <c r="T43" s="223">
        <f t="shared" si="7"/>
        <v>20641</v>
      </c>
      <c r="U43" s="223">
        <f t="shared" si="7"/>
        <v>752643319</v>
      </c>
      <c r="V43" s="223">
        <f t="shared" si="7"/>
        <v>19874</v>
      </c>
      <c r="W43" s="223">
        <f t="shared" si="7"/>
        <v>777008201</v>
      </c>
      <c r="X43" s="223">
        <f t="shared" si="7"/>
        <v>22240</v>
      </c>
      <c r="Y43" s="223">
        <f t="shared" si="7"/>
        <v>817345840</v>
      </c>
      <c r="Z43" s="223">
        <f t="shared" si="7"/>
        <v>21108</v>
      </c>
      <c r="AA43" s="223">
        <f t="shared" si="7"/>
        <v>798563369</v>
      </c>
      <c r="AB43" s="223">
        <f t="shared" si="7"/>
        <v>19837</v>
      </c>
      <c r="AC43" s="223">
        <f t="shared" si="7"/>
        <v>767333699</v>
      </c>
      <c r="AD43" s="223">
        <f t="shared" si="7"/>
        <v>16347</v>
      </c>
      <c r="AE43" s="223">
        <f t="shared" si="7"/>
        <v>635191015</v>
      </c>
      <c r="AF43" s="224">
        <f t="shared" si="6"/>
        <v>198355</v>
      </c>
      <c r="AG43" s="225">
        <f t="shared" si="6"/>
        <v>7685043206</v>
      </c>
      <c r="AH43" s="193"/>
    </row>
    <row r="44" spans="1:34" ht="15" thickBot="1">
      <c r="A44" s="587" t="s">
        <v>1018</v>
      </c>
      <c r="B44" s="588"/>
      <c r="C44" s="589"/>
      <c r="D44" s="590" t="s">
        <v>1021</v>
      </c>
      <c r="E44" s="591"/>
      <c r="F44" s="590" t="s">
        <v>1021</v>
      </c>
      <c r="G44" s="591"/>
      <c r="H44" s="590" t="s">
        <v>1021</v>
      </c>
      <c r="I44" s="591"/>
      <c r="J44" s="590" t="s">
        <v>1021</v>
      </c>
      <c r="K44" s="591"/>
      <c r="L44" s="591" t="s">
        <v>1021</v>
      </c>
      <c r="M44" s="591"/>
      <c r="N44" s="591" t="s">
        <v>1021</v>
      </c>
      <c r="O44" s="591"/>
      <c r="P44" s="591" t="s">
        <v>1021</v>
      </c>
      <c r="Q44" s="591"/>
      <c r="R44" s="591" t="s">
        <v>1021</v>
      </c>
      <c r="S44" s="591"/>
      <c r="T44" s="591"/>
      <c r="U44" s="592"/>
      <c r="V44" s="591"/>
      <c r="W44" s="592"/>
      <c r="X44" s="591"/>
      <c r="Y44" s="592"/>
      <c r="Z44" s="591"/>
      <c r="AA44" s="592"/>
      <c r="AB44" s="591"/>
      <c r="AC44" s="592"/>
      <c r="AD44" s="591"/>
      <c r="AE44" s="592"/>
      <c r="AF44" s="585"/>
      <c r="AG44" s="586"/>
      <c r="AH44" s="193"/>
    </row>
    <row r="46" spans="1:34" ht="15" thickBot="1">
      <c r="A46" s="193"/>
      <c r="B46" s="193"/>
      <c r="C46" s="19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02"/>
      <c r="AG46" s="202"/>
      <c r="AH46" s="193"/>
    </row>
    <row r="47" spans="1:34">
      <c r="A47" s="593" t="s">
        <v>1079</v>
      </c>
      <c r="B47" s="596" t="s">
        <v>1013</v>
      </c>
      <c r="C47" s="206" t="s">
        <v>1014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>
        <v>0</v>
      </c>
      <c r="U47" s="208">
        <v>0</v>
      </c>
      <c r="V47" s="207">
        <v>0</v>
      </c>
      <c r="W47" s="208">
        <v>0</v>
      </c>
      <c r="X47" s="207">
        <v>0</v>
      </c>
      <c r="Y47" s="207"/>
      <c r="Z47" s="207">
        <v>0</v>
      </c>
      <c r="AA47" s="207">
        <v>0</v>
      </c>
      <c r="AB47" s="207">
        <v>0</v>
      </c>
      <c r="AC47" s="207">
        <v>0</v>
      </c>
      <c r="AD47" s="207">
        <f>'[2]Donnes mois encours'!D22</f>
        <v>0</v>
      </c>
      <c r="AE47" s="207">
        <f>'[2]Donnes mois encours'!E22</f>
        <v>0</v>
      </c>
      <c r="AF47" s="209">
        <f t="shared" ref="AF47:AG52" si="8">J47+L47+N47+P47+R47+T47+V47+X47+Z47+AB47+AD47</f>
        <v>0</v>
      </c>
      <c r="AG47" s="209">
        <f t="shared" si="8"/>
        <v>0</v>
      </c>
      <c r="AH47" s="90">
        <v>1411340816</v>
      </c>
    </row>
    <row r="48" spans="1:34" ht="15" thickBot="1">
      <c r="A48" s="594"/>
      <c r="B48" s="597"/>
      <c r="C48" s="9" t="s">
        <v>1015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43</v>
      </c>
      <c r="U48" s="210">
        <v>467784</v>
      </c>
      <c r="V48" s="6">
        <v>155</v>
      </c>
      <c r="W48" s="210">
        <v>3125200</v>
      </c>
      <c r="X48" s="6">
        <v>0</v>
      </c>
      <c r="Y48" s="6">
        <v>2196825</v>
      </c>
      <c r="Z48" s="6">
        <v>246</v>
      </c>
      <c r="AA48" s="6">
        <v>5223634</v>
      </c>
      <c r="AB48" s="6">
        <v>319</v>
      </c>
      <c r="AC48" s="6">
        <v>4498088</v>
      </c>
      <c r="AD48" s="6">
        <f>'[2]Donnes mois encours'!D11</f>
        <v>294</v>
      </c>
      <c r="AE48" s="6">
        <f>'[2]Donnes mois encours'!E11</f>
        <v>7966041</v>
      </c>
      <c r="AF48" s="211">
        <f t="shared" si="8"/>
        <v>1057</v>
      </c>
      <c r="AG48" s="211">
        <f>K48+M48+O48+Q48+S48+U48+W48+Y48+AA48+AC48+AE48</f>
        <v>23477572</v>
      </c>
      <c r="AH48" s="193"/>
    </row>
    <row r="49" spans="1:34" ht="7.5" customHeight="1" thickBot="1">
      <c r="A49" s="594"/>
      <c r="B49" s="16"/>
      <c r="C49" s="212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4"/>
      <c r="V49" s="213"/>
      <c r="W49" s="214"/>
      <c r="X49" s="213"/>
      <c r="Y49" s="213"/>
      <c r="Z49" s="213"/>
      <c r="AA49" s="213"/>
      <c r="AB49" s="213"/>
      <c r="AC49" s="213"/>
      <c r="AD49" s="213"/>
      <c r="AE49" s="213"/>
      <c r="AF49" s="215">
        <f t="shared" si="8"/>
        <v>0</v>
      </c>
      <c r="AG49" s="215">
        <f t="shared" si="8"/>
        <v>0</v>
      </c>
      <c r="AH49" s="193"/>
    </row>
    <row r="50" spans="1:34">
      <c r="A50" s="594"/>
      <c r="B50" s="597" t="s">
        <v>1016</v>
      </c>
      <c r="C50" s="9" t="s">
        <v>1014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>
        <v>0</v>
      </c>
      <c r="U50" s="217">
        <v>0</v>
      </c>
      <c r="V50" s="216"/>
      <c r="W50" s="217"/>
      <c r="X50" s="216">
        <v>0</v>
      </c>
      <c r="Y50" s="216"/>
      <c r="Z50" s="216"/>
      <c r="AA50" s="216"/>
      <c r="AB50" s="216"/>
      <c r="AC50" s="216"/>
      <c r="AD50" s="216"/>
      <c r="AE50" s="216"/>
      <c r="AF50" s="218">
        <f t="shared" si="8"/>
        <v>0</v>
      </c>
      <c r="AG50" s="209">
        <f t="shared" si="8"/>
        <v>0</v>
      </c>
      <c r="AH50" s="193"/>
    </row>
    <row r="51" spans="1:34" ht="15" thickBot="1">
      <c r="A51" s="595"/>
      <c r="B51" s="598"/>
      <c r="C51" s="219" t="s">
        <v>1015</v>
      </c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>
        <v>0</v>
      </c>
      <c r="U51" s="221">
        <v>0</v>
      </c>
      <c r="V51" s="220"/>
      <c r="W51" s="221"/>
      <c r="X51" s="220">
        <v>9</v>
      </c>
      <c r="Y51" s="220">
        <v>109300</v>
      </c>
      <c r="Z51" s="220">
        <v>4</v>
      </c>
      <c r="AA51" s="220">
        <v>71550</v>
      </c>
      <c r="AB51" s="220">
        <v>2</v>
      </c>
      <c r="AC51" s="220">
        <v>46000</v>
      </c>
      <c r="AD51" s="220">
        <f>+'[2]Donnes mois encours'!D34</f>
        <v>5</v>
      </c>
      <c r="AE51" s="220">
        <f>+'[2]Donnes mois encours'!E34</f>
        <v>150500</v>
      </c>
      <c r="AF51" s="222">
        <f t="shared" si="8"/>
        <v>20</v>
      </c>
      <c r="AG51" s="211">
        <f>K51+M51+O51+Q51+S51+U51+W51+Y51+AA51+AC51+AE51</f>
        <v>377350</v>
      </c>
      <c r="AH51" s="193"/>
    </row>
    <row r="52" spans="1:34" ht="15" thickBot="1">
      <c r="A52" s="193"/>
      <c r="B52" s="193"/>
      <c r="C52" s="19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02">
        <f t="shared" si="8"/>
        <v>0</v>
      </c>
      <c r="AG52" s="202">
        <f t="shared" si="8"/>
        <v>0</v>
      </c>
      <c r="AH52" s="193"/>
    </row>
    <row r="53" spans="1:34" ht="15" thickBot="1">
      <c r="A53" s="587" t="s">
        <v>1017</v>
      </c>
      <c r="B53" s="588"/>
      <c r="C53" s="588"/>
      <c r="D53" s="223">
        <f t="shared" ref="D53:AE53" si="9">+(D47-D50)-(D48-D51)</f>
        <v>0</v>
      </c>
      <c r="E53" s="223">
        <f t="shared" si="9"/>
        <v>0</v>
      </c>
      <c r="F53" s="223">
        <f t="shared" si="9"/>
        <v>0</v>
      </c>
      <c r="G53" s="223">
        <f t="shared" si="9"/>
        <v>0</v>
      </c>
      <c r="H53" s="223">
        <f t="shared" si="9"/>
        <v>0</v>
      </c>
      <c r="I53" s="223">
        <f t="shared" si="9"/>
        <v>0</v>
      </c>
      <c r="J53" s="223">
        <f t="shared" si="9"/>
        <v>0</v>
      </c>
      <c r="K53" s="223">
        <f t="shared" si="9"/>
        <v>0</v>
      </c>
      <c r="L53" s="223">
        <f t="shared" si="9"/>
        <v>0</v>
      </c>
      <c r="M53" s="223">
        <f t="shared" si="9"/>
        <v>0</v>
      </c>
      <c r="N53" s="223">
        <f t="shared" si="9"/>
        <v>0</v>
      </c>
      <c r="O53" s="223">
        <f t="shared" si="9"/>
        <v>0</v>
      </c>
      <c r="P53" s="223">
        <f t="shared" si="9"/>
        <v>0</v>
      </c>
      <c r="Q53" s="223">
        <f t="shared" si="9"/>
        <v>0</v>
      </c>
      <c r="R53" s="223">
        <f t="shared" si="9"/>
        <v>0</v>
      </c>
      <c r="S53" s="223">
        <f t="shared" si="9"/>
        <v>0</v>
      </c>
      <c r="T53" s="223">
        <f>+(T47-T50)-(T48-T51)</f>
        <v>-43</v>
      </c>
      <c r="U53" s="223">
        <f t="shared" si="9"/>
        <v>-467784</v>
      </c>
      <c r="V53" s="223">
        <f t="shared" si="9"/>
        <v>-155</v>
      </c>
      <c r="W53" s="223">
        <f t="shared" si="9"/>
        <v>-3125200</v>
      </c>
      <c r="X53" s="223">
        <f t="shared" si="9"/>
        <v>9</v>
      </c>
      <c r="Y53" s="223">
        <f t="shared" si="9"/>
        <v>-2087525</v>
      </c>
      <c r="Z53" s="223">
        <f>+(Z47-Z50)-(Z48-Z51)</f>
        <v>-242</v>
      </c>
      <c r="AA53" s="223">
        <f>+(AA47-AA50)-(AA48-AA51)</f>
        <v>-5152084</v>
      </c>
      <c r="AB53" s="223">
        <f t="shared" ref="AB53:AC53" si="10">+(AB47-AB50)-(AB48-AB51)</f>
        <v>-317</v>
      </c>
      <c r="AC53" s="223">
        <f t="shared" si="10"/>
        <v>-4452088</v>
      </c>
      <c r="AD53" s="223">
        <f t="shared" si="9"/>
        <v>-289</v>
      </c>
      <c r="AE53" s="223">
        <f t="shared" si="9"/>
        <v>-7815541</v>
      </c>
      <c r="AF53" s="224">
        <f>J53+L53+N53+P53+R53+T53+V53+X53+Z53+AB53+AD53</f>
        <v>-1037</v>
      </c>
      <c r="AG53" s="225">
        <f>K53+M53+O53+Q53+S53+U53+W53+Y53+AA53+AC53+AE53</f>
        <v>-23100222</v>
      </c>
      <c r="AH53" s="22">
        <f>+AH47-AG48+AG51</f>
        <v>1388240594</v>
      </c>
    </row>
    <row r="54" spans="1:34" ht="15" thickBot="1">
      <c r="A54" s="587" t="s">
        <v>1018</v>
      </c>
      <c r="B54" s="588"/>
      <c r="C54" s="589"/>
      <c r="D54" s="590" t="s">
        <v>1021</v>
      </c>
      <c r="E54" s="591"/>
      <c r="F54" s="590" t="s">
        <v>1021</v>
      </c>
      <c r="G54" s="591"/>
      <c r="H54" s="590" t="s">
        <v>1021</v>
      </c>
      <c r="I54" s="591"/>
      <c r="J54" s="590" t="s">
        <v>1021</v>
      </c>
      <c r="K54" s="591"/>
      <c r="L54" s="591" t="s">
        <v>1021</v>
      </c>
      <c r="M54" s="591"/>
      <c r="N54" s="591" t="s">
        <v>1021</v>
      </c>
      <c r="O54" s="591"/>
      <c r="P54" s="591" t="s">
        <v>1021</v>
      </c>
      <c r="Q54" s="591"/>
      <c r="R54" s="591" t="s">
        <v>1021</v>
      </c>
      <c r="S54" s="591"/>
      <c r="T54" s="591"/>
      <c r="U54" s="592"/>
      <c r="V54" s="591"/>
      <c r="W54" s="592"/>
      <c r="X54" s="591"/>
      <c r="Y54" s="592"/>
      <c r="Z54" s="591"/>
      <c r="AA54" s="592"/>
      <c r="AB54" s="591"/>
      <c r="AC54" s="592"/>
      <c r="AD54" s="591"/>
      <c r="AE54" s="592"/>
      <c r="AF54" s="585"/>
      <c r="AG54" s="586"/>
      <c r="AH54" s="193"/>
    </row>
    <row r="55" spans="1:34">
      <c r="A55" s="193"/>
      <c r="B55" s="193"/>
      <c r="C55" s="19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02"/>
      <c r="AG55" s="202"/>
      <c r="AH55" s="193"/>
    </row>
    <row r="57" spans="1:34" hidden="1">
      <c r="A57" s="193"/>
      <c r="B57" s="193"/>
      <c r="C57" s="193"/>
      <c r="D57" s="21"/>
      <c r="E57" s="21">
        <f>+E6+E16+E27+E37</f>
        <v>3744264353</v>
      </c>
      <c r="F57" s="21"/>
      <c r="G57" s="21">
        <f>+G6+G16+G27+G37</f>
        <v>3559099808</v>
      </c>
      <c r="H57" s="21"/>
      <c r="I57" s="21">
        <f>+I6+I16+I27+I37</f>
        <v>5362947437</v>
      </c>
      <c r="J57" s="21"/>
      <c r="K57" s="21">
        <f>+K6+K16+K27+K37</f>
        <v>4643276069</v>
      </c>
      <c r="L57" s="21"/>
      <c r="M57" s="21">
        <f t="shared" ref="M57:Y57" si="11">+M6+M16+M27+M37</f>
        <v>4926942189</v>
      </c>
      <c r="N57" s="21"/>
      <c r="O57" s="21">
        <f t="shared" si="11"/>
        <v>6066637743</v>
      </c>
      <c r="P57" s="21"/>
      <c r="Q57" s="21">
        <f t="shared" si="11"/>
        <v>6047837574</v>
      </c>
      <c r="R57" s="21"/>
      <c r="S57" s="21">
        <f t="shared" si="11"/>
        <v>6867776383</v>
      </c>
      <c r="T57" s="21"/>
      <c r="U57" s="21">
        <f t="shared" si="11"/>
        <v>6692146500</v>
      </c>
      <c r="V57" s="21"/>
      <c r="W57" s="21">
        <f t="shared" si="11"/>
        <v>6622596621</v>
      </c>
      <c r="X57" s="21"/>
      <c r="Y57" s="21">
        <f t="shared" si="11"/>
        <v>6392086599</v>
      </c>
      <c r="Z57" s="21"/>
      <c r="AA57" s="21"/>
      <c r="AB57" s="21"/>
      <c r="AC57" s="21"/>
      <c r="AD57" s="21"/>
      <c r="AE57" s="21"/>
      <c r="AF57" s="202"/>
      <c r="AG57" s="202"/>
      <c r="AH57" s="193"/>
    </row>
    <row r="58" spans="1:34" hidden="1">
      <c r="A58" s="193"/>
      <c r="B58" s="193"/>
      <c r="C58" s="19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02"/>
      <c r="AG58" s="202"/>
      <c r="AH58" s="193"/>
    </row>
    <row r="59" spans="1:34" hidden="1">
      <c r="A59" s="193"/>
      <c r="B59" s="193"/>
      <c r="C59" s="193"/>
      <c r="D59" s="21"/>
      <c r="E59" s="21">
        <f>+AVERAGE(E57,G57,I57,K57,M57,O57,Q57,S57)</f>
        <v>5152347694.5</v>
      </c>
      <c r="F59" s="21"/>
      <c r="G59" s="21">
        <f>+AVERAGE(G57,I57,K57,M57,O57,Q57,S57,U57)</f>
        <v>5520832962.875</v>
      </c>
      <c r="H59" s="21"/>
      <c r="I59" s="21">
        <f>+AVERAGE(I57,K57,M57,O57,Q57,S57,U57,W57)</f>
        <v>5903770064.5</v>
      </c>
      <c r="J59" s="21"/>
      <c r="K59" s="21">
        <f>+AVERAGE(K57,M57,O57,Q57,S57,U57,W57,Y57)</f>
        <v>6032412459.75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02"/>
      <c r="AG59" s="202"/>
      <c r="AH59" s="193"/>
    </row>
    <row r="60" spans="1:34">
      <c r="A60" s="193"/>
      <c r="B60" s="193"/>
      <c r="C60" s="193"/>
      <c r="D60" s="21"/>
      <c r="E60" s="21">
        <f>+E6-E7+E16-E17+E27-E28+E37-E38</f>
        <v>1668165113</v>
      </c>
      <c r="F60" s="21">
        <f t="shared" ref="F60:AD60" si="12">+F6-F7+F16-F17+F27-F28+F37-F38</f>
        <v>26394</v>
      </c>
      <c r="G60" s="21">
        <f t="shared" si="12"/>
        <v>1161569939</v>
      </c>
      <c r="H60" s="21">
        <f t="shared" si="12"/>
        <v>51297</v>
      </c>
      <c r="I60" s="21">
        <f t="shared" si="12"/>
        <v>2091056957</v>
      </c>
      <c r="J60" s="21">
        <f t="shared" si="12"/>
        <v>42293</v>
      </c>
      <c r="K60" s="21">
        <f t="shared" si="12"/>
        <v>1587137432</v>
      </c>
      <c r="L60" s="21">
        <f t="shared" si="12"/>
        <v>55611</v>
      </c>
      <c r="M60" s="21">
        <f t="shared" si="12"/>
        <v>1687329718</v>
      </c>
      <c r="N60" s="21">
        <f t="shared" si="12"/>
        <v>86667</v>
      </c>
      <c r="O60" s="21">
        <f t="shared" si="12"/>
        <v>2542714669</v>
      </c>
      <c r="P60" s="21">
        <f t="shared" si="12"/>
        <v>94721</v>
      </c>
      <c r="Q60" s="21">
        <f t="shared" si="12"/>
        <v>2749671404</v>
      </c>
      <c r="R60" s="21">
        <f t="shared" si="12"/>
        <v>123766</v>
      </c>
      <c r="S60" s="21">
        <f t="shared" si="12"/>
        <v>3562475129</v>
      </c>
      <c r="T60" s="21">
        <f t="shared" si="12"/>
        <v>124656</v>
      </c>
      <c r="U60" s="21">
        <f t="shared" si="12"/>
        <v>3518563659</v>
      </c>
      <c r="V60" s="21">
        <f t="shared" si="12"/>
        <v>102787</v>
      </c>
      <c r="W60" s="21">
        <f t="shared" si="12"/>
        <v>3277605182</v>
      </c>
      <c r="X60" s="21">
        <f t="shared" si="12"/>
        <v>103657</v>
      </c>
      <c r="Y60" s="21">
        <f t="shared" si="12"/>
        <v>3305752854</v>
      </c>
      <c r="Z60" s="21">
        <f t="shared" si="12"/>
        <v>89763</v>
      </c>
      <c r="AA60" s="21">
        <f t="shared" si="12"/>
        <v>2945311042</v>
      </c>
      <c r="AB60" s="21">
        <f t="shared" si="12"/>
        <v>91943</v>
      </c>
      <c r="AC60" s="21">
        <f>+AC6-AC7+AC16-AC17+AC27-AC28+AC37-AC38</f>
        <v>2803120270</v>
      </c>
      <c r="AD60" s="21">
        <f t="shared" si="12"/>
        <v>75356</v>
      </c>
      <c r="AE60" s="21">
        <f>+AE6-AE7+AE16-AE17+AE27-AE28+AE37-AE38</f>
        <v>2335351793</v>
      </c>
      <c r="AF60" s="202"/>
      <c r="AG60" s="202"/>
      <c r="AH60" s="193"/>
    </row>
    <row r="61" spans="1:34">
      <c r="A61" s="193"/>
      <c r="B61" s="193"/>
      <c r="C61" s="19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02"/>
      <c r="AG61" s="202"/>
      <c r="AH61" s="193"/>
    </row>
    <row r="63" spans="1:34">
      <c r="K63" s="21">
        <v>1587137432</v>
      </c>
      <c r="L63" s="21"/>
      <c r="M63" s="21">
        <v>1687329718</v>
      </c>
      <c r="N63" s="21"/>
      <c r="O63" s="21">
        <v>2542714669</v>
      </c>
      <c r="P63" s="21"/>
      <c r="Q63" s="21">
        <v>2749671404</v>
      </c>
      <c r="R63" s="21"/>
      <c r="S63" s="21">
        <v>3562475129</v>
      </c>
      <c r="T63" s="21"/>
      <c r="U63" s="21">
        <v>3518563659</v>
      </c>
      <c r="V63" s="21"/>
      <c r="W63" s="21">
        <v>3277605182</v>
      </c>
      <c r="X63" s="21"/>
      <c r="Y63" s="21">
        <v>3305752854</v>
      </c>
      <c r="Z63" s="21"/>
      <c r="AA63" s="509">
        <v>2945311042</v>
      </c>
      <c r="AB63" s="21"/>
      <c r="AC63" s="21">
        <v>2803120270</v>
      </c>
      <c r="AD63" s="21"/>
      <c r="AE63" s="21"/>
    </row>
    <row r="66" spans="11:31">
      <c r="K66" s="22">
        <f>+K60-K63</f>
        <v>0</v>
      </c>
      <c r="L66" s="22">
        <f t="shared" ref="L66:AE66" si="13">+L60-L63</f>
        <v>55611</v>
      </c>
      <c r="M66" s="22">
        <f t="shared" si="13"/>
        <v>0</v>
      </c>
      <c r="N66" s="22">
        <f t="shared" si="13"/>
        <v>86667</v>
      </c>
      <c r="O66" s="22">
        <f t="shared" si="13"/>
        <v>0</v>
      </c>
      <c r="P66" s="22">
        <f t="shared" si="13"/>
        <v>94721</v>
      </c>
      <c r="Q66" s="22">
        <f t="shared" si="13"/>
        <v>0</v>
      </c>
      <c r="R66" s="22">
        <f t="shared" si="13"/>
        <v>123766</v>
      </c>
      <c r="S66" s="22">
        <f t="shared" si="13"/>
        <v>0</v>
      </c>
      <c r="T66" s="22">
        <f t="shared" si="13"/>
        <v>124656</v>
      </c>
      <c r="U66" s="22">
        <f t="shared" si="13"/>
        <v>0</v>
      </c>
      <c r="V66" s="22">
        <f t="shared" si="13"/>
        <v>102787</v>
      </c>
      <c r="W66" s="22">
        <f t="shared" si="13"/>
        <v>0</v>
      </c>
      <c r="X66" s="22">
        <f t="shared" si="13"/>
        <v>103657</v>
      </c>
      <c r="Y66" s="22">
        <f t="shared" si="13"/>
        <v>0</v>
      </c>
      <c r="Z66" s="22">
        <f t="shared" si="13"/>
        <v>89763</v>
      </c>
      <c r="AA66" s="22">
        <f t="shared" si="13"/>
        <v>0</v>
      </c>
      <c r="AB66" s="22">
        <f t="shared" si="13"/>
        <v>91943</v>
      </c>
      <c r="AC66" s="22">
        <f t="shared" si="13"/>
        <v>0</v>
      </c>
      <c r="AD66" s="22">
        <f t="shared" si="13"/>
        <v>75356</v>
      </c>
      <c r="AE66" s="22">
        <f t="shared" si="13"/>
        <v>2335351793</v>
      </c>
    </row>
  </sheetData>
  <mergeCells count="115">
    <mergeCell ref="Z54:AA54"/>
    <mergeCell ref="AB54:AC54"/>
    <mergeCell ref="AD44:AE44"/>
    <mergeCell ref="AF44:AG44"/>
    <mergeCell ref="AD54:AE54"/>
    <mergeCell ref="AF54:AG54"/>
    <mergeCell ref="L54:M54"/>
    <mergeCell ref="N54:O54"/>
    <mergeCell ref="P54:Q54"/>
    <mergeCell ref="R54:S54"/>
    <mergeCell ref="T54:U54"/>
    <mergeCell ref="V54:W54"/>
    <mergeCell ref="Z44:AA44"/>
    <mergeCell ref="AB44:AC44"/>
    <mergeCell ref="A53:C53"/>
    <mergeCell ref="A54:C54"/>
    <mergeCell ref="A43:C43"/>
    <mergeCell ref="A44:C44"/>
    <mergeCell ref="D44:E44"/>
    <mergeCell ref="F44:G44"/>
    <mergeCell ref="H44:I44"/>
    <mergeCell ref="J44:K44"/>
    <mergeCell ref="X34:Y34"/>
    <mergeCell ref="A47:A51"/>
    <mergeCell ref="B47:B48"/>
    <mergeCell ref="B50:B51"/>
    <mergeCell ref="L44:M44"/>
    <mergeCell ref="N44:O44"/>
    <mergeCell ref="P44:Q44"/>
    <mergeCell ref="R44:S44"/>
    <mergeCell ref="T44:U44"/>
    <mergeCell ref="V44:W44"/>
    <mergeCell ref="D54:E54"/>
    <mergeCell ref="F54:G54"/>
    <mergeCell ref="H54:I54"/>
    <mergeCell ref="J54:K54"/>
    <mergeCell ref="X54:Y54"/>
    <mergeCell ref="X44:Y44"/>
    <mergeCell ref="AD34:AE34"/>
    <mergeCell ref="AF34:AG34"/>
    <mergeCell ref="A37:A41"/>
    <mergeCell ref="B37:B38"/>
    <mergeCell ref="B40:B41"/>
    <mergeCell ref="L34:M34"/>
    <mergeCell ref="N34:O34"/>
    <mergeCell ref="P34:Q34"/>
    <mergeCell ref="R34:S34"/>
    <mergeCell ref="T34:U34"/>
    <mergeCell ref="V34:W34"/>
    <mergeCell ref="A33:C33"/>
    <mergeCell ref="A34:C34"/>
    <mergeCell ref="D34:E34"/>
    <mergeCell ref="F34:G34"/>
    <mergeCell ref="H34:I34"/>
    <mergeCell ref="J34:K34"/>
    <mergeCell ref="X23:Y23"/>
    <mergeCell ref="Z23:AA23"/>
    <mergeCell ref="AB23:AC23"/>
    <mergeCell ref="Z34:AA34"/>
    <mergeCell ref="AB34:AC34"/>
    <mergeCell ref="AD23:AE23"/>
    <mergeCell ref="AF23:AG23"/>
    <mergeCell ref="A27:A31"/>
    <mergeCell ref="B27:B28"/>
    <mergeCell ref="B30:B31"/>
    <mergeCell ref="L23:M23"/>
    <mergeCell ref="N23:O23"/>
    <mergeCell ref="P23:Q23"/>
    <mergeCell ref="R23:S23"/>
    <mergeCell ref="T23:U23"/>
    <mergeCell ref="V23:W23"/>
    <mergeCell ref="A22:C22"/>
    <mergeCell ref="A23:C23"/>
    <mergeCell ref="D23:E23"/>
    <mergeCell ref="F23:G23"/>
    <mergeCell ref="H23:I23"/>
    <mergeCell ref="J23:K23"/>
    <mergeCell ref="X13:Y13"/>
    <mergeCell ref="Z13:AA13"/>
    <mergeCell ref="AB13:AC13"/>
    <mergeCell ref="AD13:AE13"/>
    <mergeCell ref="AF13:AG13"/>
    <mergeCell ref="A16:A20"/>
    <mergeCell ref="B16:B17"/>
    <mergeCell ref="B19:B20"/>
    <mergeCell ref="L13:M13"/>
    <mergeCell ref="N13:O13"/>
    <mergeCell ref="P13:Q13"/>
    <mergeCell ref="R13:S13"/>
    <mergeCell ref="T13:U13"/>
    <mergeCell ref="V13:W13"/>
    <mergeCell ref="A12:C12"/>
    <mergeCell ref="A13:C13"/>
    <mergeCell ref="D13:E13"/>
    <mergeCell ref="F13:G13"/>
    <mergeCell ref="H13:I13"/>
    <mergeCell ref="J13:K13"/>
    <mergeCell ref="AB3:AC3"/>
    <mergeCell ref="AD3:AE3"/>
    <mergeCell ref="AF3:AG3"/>
    <mergeCell ref="A6:A10"/>
    <mergeCell ref="B6:B7"/>
    <mergeCell ref="B9:B10"/>
    <mergeCell ref="P3:Q3"/>
    <mergeCell ref="R3:S3"/>
    <mergeCell ref="T3:U3"/>
    <mergeCell ref="V3:W3"/>
    <mergeCell ref="X3:Y3"/>
    <mergeCell ref="Z3:AA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F110"/>
  <sheetViews>
    <sheetView zoomScale="80" zoomScaleNormal="80" workbookViewId="0">
      <pane xSplit="1" ySplit="2" topLeftCell="ED15" activePane="bottomRight" state="frozen"/>
      <selection activeCell="EI3" sqref="EI3:EJ5"/>
      <selection pane="topRight" activeCell="EI3" sqref="EI3:EJ5"/>
      <selection pane="bottomLeft" activeCell="EI3" sqref="EI3:EJ5"/>
      <selection pane="bottomRight" activeCell="EJ106" sqref="EJ106"/>
    </sheetView>
  </sheetViews>
  <sheetFormatPr baseColWidth="10" defaultColWidth="9" defaultRowHeight="12"/>
  <cols>
    <col min="1" max="1" width="24.1796875" style="336" bestFit="1" customWidth="1"/>
    <col min="2" max="2" width="14.1796875" style="336" bestFit="1" customWidth="1"/>
    <col min="3" max="3" width="9.1796875" style="336" bestFit="1" customWidth="1"/>
    <col min="4" max="4" width="15.453125" style="336" bestFit="1" customWidth="1"/>
    <col min="5" max="5" width="9.81640625" style="336" bestFit="1" customWidth="1"/>
    <col min="6" max="6" width="9.1796875" style="336" bestFit="1" customWidth="1"/>
    <col min="7" max="9" width="10.1796875" style="336" customWidth="1"/>
    <col min="10" max="14" width="9.1796875" style="336" bestFit="1" customWidth="1"/>
    <col min="15" max="15" width="9.81640625" style="336" bestFit="1" customWidth="1"/>
    <col min="16" max="16" width="12.90625" style="336" bestFit="1" customWidth="1"/>
    <col min="17" max="18" width="9.1796875" style="336" bestFit="1" customWidth="1"/>
    <col min="19" max="19" width="11.453125" style="336" bestFit="1" customWidth="1"/>
    <col min="20" max="22" width="9.1796875" style="336" bestFit="1" customWidth="1"/>
    <col min="23" max="23" width="10.54296875" style="336" bestFit="1" customWidth="1"/>
    <col min="24" max="24" width="14" style="336" bestFit="1" customWidth="1"/>
    <col min="25" max="25" width="11.1796875" style="336" customWidth="1"/>
    <col min="26" max="27" width="9.1796875" style="336" bestFit="1" customWidth="1"/>
    <col min="28" max="28" width="13.1796875" style="336" bestFit="1" customWidth="1"/>
    <col min="29" max="29" width="14" style="336" bestFit="1" customWidth="1"/>
    <col min="30" max="30" width="9.1796875" style="336" bestFit="1" customWidth="1"/>
    <col min="31" max="31" width="11.1796875" style="336" bestFit="1" customWidth="1"/>
    <col min="32" max="32" width="12.54296875" style="336" bestFit="1" customWidth="1"/>
    <col min="33" max="34" width="9.1796875" style="336" bestFit="1" customWidth="1"/>
    <col min="35" max="35" width="10.54296875" style="336" bestFit="1" customWidth="1"/>
    <col min="36" max="36" width="14" style="336" bestFit="1" customWidth="1"/>
    <col min="37" max="37" width="9.81640625" style="336" bestFit="1" customWidth="1"/>
    <col min="38" max="38" width="11.1796875" style="336" bestFit="1" customWidth="1"/>
    <col min="39" max="39" width="11.81640625" style="336" customWidth="1"/>
    <col min="40" max="42" width="9.1796875" style="336" bestFit="1" customWidth="1"/>
    <col min="43" max="43" width="12.90625" style="336" bestFit="1" customWidth="1"/>
    <col min="44" max="44" width="9.1796875" style="336" bestFit="1" customWidth="1"/>
    <col min="45" max="45" width="11.1796875" style="336" bestFit="1" customWidth="1"/>
    <col min="46" max="46" width="10.36328125" style="336" bestFit="1" customWidth="1"/>
    <col min="47" max="47" width="9.1796875" style="336" bestFit="1" customWidth="1"/>
    <col min="48" max="48" width="10.36328125" style="336" bestFit="1" customWidth="1"/>
    <col min="49" max="49" width="9.1796875" style="336" bestFit="1" customWidth="1"/>
    <col min="50" max="50" width="10.1796875" style="336" bestFit="1" customWidth="1"/>
    <col min="51" max="51" width="13.1796875" style="307" customWidth="1"/>
    <col min="52" max="52" width="9.1796875" style="336" bestFit="1" customWidth="1"/>
    <col min="53" max="53" width="12.54296875" style="336" bestFit="1" customWidth="1"/>
    <col min="54" max="54" width="11.1796875" style="336" customWidth="1"/>
    <col min="55" max="55" width="10.1796875" style="336" bestFit="1" customWidth="1"/>
    <col min="56" max="56" width="11.1796875" style="336" bestFit="1" customWidth="1"/>
    <col min="57" max="57" width="10.1796875" style="336" customWidth="1"/>
    <col min="58" max="58" width="9.1796875" style="336" bestFit="1" customWidth="1"/>
    <col min="59" max="59" width="12.90625" style="336" bestFit="1" customWidth="1"/>
    <col min="60" max="60" width="11.54296875" style="336" customWidth="1"/>
    <col min="61" max="61" width="10.54296875" style="336" bestFit="1" customWidth="1"/>
    <col min="62" max="62" width="11.453125" style="336" bestFit="1" customWidth="1"/>
    <col min="63" max="64" width="9.1796875" style="336" bestFit="1" customWidth="1"/>
    <col min="65" max="65" width="11.36328125" style="336" bestFit="1" customWidth="1"/>
    <col min="66" max="66" width="9.1796875" style="336" bestFit="1" customWidth="1"/>
    <col min="67" max="67" width="11.81640625" style="336" customWidth="1"/>
    <col min="68" max="68" width="9.1796875" style="336" bestFit="1" customWidth="1"/>
    <col min="69" max="70" width="9.1796875" style="336" customWidth="1"/>
    <col min="71" max="71" width="11.453125" style="336" bestFit="1" customWidth="1"/>
    <col min="72" max="75" width="9.1796875" style="336" customWidth="1"/>
    <col min="76" max="76" width="11.453125" style="336" bestFit="1" customWidth="1"/>
    <col min="77" max="80" width="9.1796875" style="336" customWidth="1"/>
    <col min="81" max="81" width="12.1796875" style="336" bestFit="1" customWidth="1"/>
    <col min="82" max="82" width="9.1796875" style="336" customWidth="1"/>
    <col min="83" max="83" width="9.81640625" style="336" bestFit="1" customWidth="1"/>
    <col min="84" max="85" width="9.81640625" style="336" customWidth="1"/>
    <col min="86" max="86" width="12.90625" style="336" bestFit="1" customWidth="1"/>
    <col min="87" max="87" width="9.81640625" style="336" customWidth="1"/>
    <col min="88" max="88" width="10.36328125" style="336" bestFit="1" customWidth="1"/>
    <col min="89" max="89" width="11.1796875" style="336" customWidth="1"/>
    <col min="90" max="90" width="14.08984375" style="336" bestFit="1" customWidth="1"/>
    <col min="91" max="91" width="9.1796875" style="336" bestFit="1" customWidth="1"/>
    <col min="92" max="92" width="12.1796875" style="336" bestFit="1" customWidth="1"/>
    <col min="93" max="93" width="14.453125" style="336" bestFit="1" customWidth="1"/>
    <col min="94" max="94" width="12" style="336" bestFit="1" customWidth="1"/>
    <col min="95" max="95" width="12.90625" style="336" bestFit="1" customWidth="1"/>
    <col min="96" max="97" width="9.1796875" style="336" bestFit="1" customWidth="1"/>
    <col min="98" max="98" width="12.81640625" style="336" bestFit="1" customWidth="1"/>
    <col min="99" max="99" width="11.6328125" style="336" bestFit="1" customWidth="1"/>
    <col min="100" max="101" width="9.1796875" style="336" bestFit="1" customWidth="1"/>
    <col min="102" max="102" width="11.453125" style="336" bestFit="1" customWidth="1"/>
    <col min="103" max="103" width="15" style="336" bestFit="1" customWidth="1"/>
    <col min="104" max="104" width="14.1796875" style="336" bestFit="1" customWidth="1"/>
    <col min="105" max="106" width="9.1796875" style="336" bestFit="1" customWidth="1"/>
    <col min="107" max="107" width="11.1796875" style="336" customWidth="1"/>
    <col min="108" max="108" width="10.36328125" style="336" bestFit="1" customWidth="1"/>
    <col min="109" max="109" width="11.1796875" style="336" bestFit="1" customWidth="1"/>
    <col min="110" max="113" width="9.1796875" style="336" bestFit="1" customWidth="1"/>
    <col min="114" max="114" width="11.1796875" style="336" customWidth="1"/>
    <col min="115" max="115" width="10.81640625" style="336" bestFit="1" customWidth="1"/>
    <col min="116" max="116" width="9.1796875" style="336" bestFit="1" customWidth="1"/>
    <col min="117" max="117" width="12.90625" style="336" bestFit="1" customWidth="1"/>
    <col min="118" max="118" width="11.1796875" style="336" customWidth="1"/>
    <col min="119" max="119" width="10.36328125" style="336" bestFit="1" customWidth="1"/>
    <col min="120" max="120" width="11.1796875" style="336" customWidth="1"/>
    <col min="121" max="121" width="12.90625" style="336" bestFit="1" customWidth="1"/>
    <col min="122" max="122" width="13.81640625" style="336" bestFit="1" customWidth="1"/>
    <col min="123" max="123" width="9.1796875" style="336" bestFit="1" customWidth="1"/>
    <col min="124" max="124" width="16.453125" style="336" bestFit="1" customWidth="1"/>
    <col min="125" max="125" width="12.6328125" style="336" bestFit="1" customWidth="1"/>
    <col min="126" max="126" width="11" style="336" bestFit="1" customWidth="1"/>
    <col min="127" max="127" width="7.81640625" style="336" bestFit="1" customWidth="1"/>
    <col min="128" max="128" width="14.54296875" style="336" customWidth="1"/>
    <col min="129" max="129" width="8.1796875" style="336" bestFit="1" customWidth="1"/>
    <col min="130" max="130" width="12.90625" style="336" bestFit="1" customWidth="1"/>
    <col min="131" max="131" width="10.36328125" style="336" bestFit="1" customWidth="1"/>
    <col min="132" max="132" width="14" style="336" bestFit="1" customWidth="1"/>
    <col min="133" max="133" width="13.1796875" style="336" customWidth="1"/>
    <col min="134" max="134" width="11.6328125" style="336" bestFit="1" customWidth="1"/>
    <col min="135" max="135" width="9.81640625" style="336" bestFit="1" customWidth="1"/>
    <col min="136" max="136" width="13.81640625" style="336" bestFit="1" customWidth="1"/>
    <col min="137" max="137" width="9.1796875" style="336" bestFit="1" customWidth="1"/>
    <col min="138" max="138" width="23.81640625" style="336" bestFit="1" customWidth="1"/>
    <col min="139" max="139" width="18.81640625" style="336" customWidth="1"/>
    <col min="140" max="140" width="14.81640625" style="336" bestFit="1" customWidth="1"/>
    <col min="141" max="152" width="14.81640625" style="336" customWidth="1"/>
    <col min="153" max="153" width="12.1796875" style="336" customWidth="1"/>
    <col min="154" max="154" width="9.81640625" style="336" customWidth="1"/>
    <col min="155" max="155" width="10.08984375" style="336" customWidth="1"/>
    <col min="156" max="156" width="11.36328125" style="336" customWidth="1"/>
    <col min="157" max="157" width="10.08984375" style="336" customWidth="1"/>
    <col min="158" max="160" width="9" style="336" customWidth="1"/>
    <col min="161" max="161" width="10.1796875" style="336" customWidth="1"/>
    <col min="162" max="163" width="9" style="336" customWidth="1"/>
    <col min="164" max="16384" width="9" style="336"/>
  </cols>
  <sheetData>
    <row r="1" spans="1:162" s="227" customFormat="1" ht="15" customHeight="1">
      <c r="A1" s="226" t="s">
        <v>1080</v>
      </c>
      <c r="B1" s="322" t="s">
        <v>1081</v>
      </c>
      <c r="C1" s="322" t="s">
        <v>1082</v>
      </c>
      <c r="D1" s="322" t="s">
        <v>1083</v>
      </c>
      <c r="E1" s="322" t="s">
        <v>1084</v>
      </c>
      <c r="F1" s="604" t="s">
        <v>1085</v>
      </c>
      <c r="G1" s="604"/>
      <c r="H1" s="604"/>
      <c r="I1" s="604"/>
      <c r="J1" s="604" t="s">
        <v>1086</v>
      </c>
      <c r="K1" s="604"/>
      <c r="L1" s="604"/>
      <c r="M1" s="604"/>
      <c r="N1" s="604"/>
      <c r="O1" s="604" t="s">
        <v>934</v>
      </c>
      <c r="P1" s="604"/>
      <c r="Q1" s="604"/>
      <c r="R1" s="604" t="s">
        <v>1087</v>
      </c>
      <c r="S1" s="604"/>
      <c r="T1" s="604"/>
      <c r="U1" s="604" t="s">
        <v>1088</v>
      </c>
      <c r="V1" s="604"/>
      <c r="W1" s="604"/>
      <c r="X1" s="604"/>
      <c r="Y1" s="604"/>
      <c r="Z1" s="604"/>
      <c r="AA1" s="605" t="s">
        <v>1089</v>
      </c>
      <c r="AB1" s="605"/>
      <c r="AC1" s="605"/>
      <c r="AD1" s="605"/>
      <c r="AE1" s="605"/>
      <c r="AF1" s="605"/>
      <c r="AG1" s="605"/>
      <c r="AH1" s="605" t="s">
        <v>1090</v>
      </c>
      <c r="AI1" s="605"/>
      <c r="AJ1" s="605"/>
      <c r="AK1" s="605"/>
      <c r="AL1" s="605"/>
      <c r="AM1" s="605"/>
      <c r="AN1" s="605"/>
      <c r="AO1" s="604" t="s">
        <v>1091</v>
      </c>
      <c r="AP1" s="604"/>
      <c r="AQ1" s="604"/>
      <c r="AR1" s="604"/>
      <c r="AS1" s="604"/>
      <c r="AT1" s="604" t="s">
        <v>1092</v>
      </c>
      <c r="AU1" s="604"/>
      <c r="AV1" s="604"/>
      <c r="AW1" s="604"/>
      <c r="AX1" s="604"/>
      <c r="AY1" s="604" t="s">
        <v>1093</v>
      </c>
      <c r="AZ1" s="604"/>
      <c r="BA1" s="604"/>
      <c r="BB1" s="604"/>
      <c r="BC1" s="604"/>
      <c r="BD1" s="604"/>
      <c r="BE1" s="604" t="s">
        <v>1094</v>
      </c>
      <c r="BF1" s="604"/>
      <c r="BG1" s="604"/>
      <c r="BH1" s="604"/>
      <c r="BI1" s="604"/>
      <c r="BJ1" s="604"/>
      <c r="BK1" s="603" t="s">
        <v>1095</v>
      </c>
      <c r="BL1" s="603"/>
      <c r="BM1" s="603"/>
      <c r="BN1" s="603"/>
      <c r="BO1" s="603"/>
      <c r="BP1" s="603"/>
      <c r="BQ1" s="603" t="s">
        <v>1096</v>
      </c>
      <c r="BR1" s="603"/>
      <c r="BS1" s="603"/>
      <c r="BT1" s="603"/>
      <c r="BU1" s="603"/>
      <c r="BV1" s="603" t="s">
        <v>1097</v>
      </c>
      <c r="BW1" s="603"/>
      <c r="BX1" s="603"/>
      <c r="BY1" s="603"/>
      <c r="BZ1" s="603"/>
      <c r="CA1" s="607" t="s">
        <v>1098</v>
      </c>
      <c r="CB1" s="608"/>
      <c r="CC1" s="608"/>
      <c r="CD1" s="608"/>
      <c r="CE1" s="609"/>
      <c r="CF1" s="607" t="s">
        <v>1099</v>
      </c>
      <c r="CG1" s="608"/>
      <c r="CH1" s="608"/>
      <c r="CI1" s="608"/>
      <c r="CJ1" s="609"/>
      <c r="CK1" s="610" t="s">
        <v>1100</v>
      </c>
      <c r="CL1" s="611"/>
      <c r="CM1" s="611"/>
      <c r="CN1" s="612"/>
      <c r="CO1" s="613" t="s">
        <v>1101</v>
      </c>
      <c r="CP1" s="614"/>
      <c r="CQ1" s="614"/>
      <c r="CR1" s="614"/>
      <c r="CS1" s="615" t="s">
        <v>1102</v>
      </c>
      <c r="CT1" s="616"/>
      <c r="CU1" s="616"/>
      <c r="CV1" s="616"/>
      <c r="CW1" s="617"/>
      <c r="CX1" s="615" t="s">
        <v>1103</v>
      </c>
      <c r="CY1" s="616"/>
      <c r="CZ1" s="616"/>
      <c r="DA1" s="617"/>
      <c r="DB1" s="615" t="s">
        <v>1104</v>
      </c>
      <c r="DC1" s="616"/>
      <c r="DD1" s="616"/>
      <c r="DE1" s="616"/>
      <c r="DF1" s="616"/>
      <c r="DG1" s="617"/>
      <c r="DH1" s="615" t="s">
        <v>1105</v>
      </c>
      <c r="DI1" s="617"/>
      <c r="DJ1" s="325" t="s">
        <v>1106</v>
      </c>
      <c r="DK1" s="618" t="s">
        <v>1107</v>
      </c>
      <c r="DL1" s="619"/>
      <c r="DM1" s="619"/>
      <c r="DN1" s="619"/>
      <c r="DO1" s="619"/>
      <c r="DP1" s="619"/>
      <c r="DQ1" s="619"/>
      <c r="DR1" s="619"/>
      <c r="DS1" s="619"/>
      <c r="DT1" s="619"/>
      <c r="DU1" s="619"/>
      <c r="DV1" s="619"/>
      <c r="DW1" s="619"/>
      <c r="DX1" s="619"/>
      <c r="DY1" s="619"/>
      <c r="DZ1" s="619"/>
      <c r="EA1" s="606" t="s">
        <v>1108</v>
      </c>
      <c r="EB1" s="606"/>
      <c r="EC1" s="606"/>
      <c r="ED1" s="325"/>
      <c r="EE1" s="322"/>
      <c r="EF1" s="322"/>
      <c r="EG1" s="322"/>
      <c r="EH1" s="322"/>
      <c r="EI1" s="622" t="s">
        <v>1109</v>
      </c>
      <c r="EJ1" s="624" t="s">
        <v>1110</v>
      </c>
      <c r="EK1" s="626" t="s">
        <v>1111</v>
      </c>
      <c r="EL1" s="621"/>
      <c r="EM1" s="621"/>
      <c r="EN1" s="627"/>
      <c r="EO1" s="620" t="s">
        <v>1112</v>
      </c>
      <c r="EP1" s="621"/>
      <c r="EQ1" s="621"/>
      <c r="ER1" s="627"/>
      <c r="ES1" s="620" t="s">
        <v>1113</v>
      </c>
      <c r="ET1" s="621"/>
      <c r="EU1" s="621"/>
      <c r="EV1" s="628"/>
      <c r="EW1" s="626" t="s">
        <v>1114</v>
      </c>
      <c r="EX1" s="621"/>
      <c r="EY1" s="628"/>
      <c r="EZ1" s="620" t="s">
        <v>1115</v>
      </c>
      <c r="FA1" s="621"/>
      <c r="FB1" s="621"/>
      <c r="FC1" s="621"/>
      <c r="FD1" s="606" t="s">
        <v>1116</v>
      </c>
      <c r="FE1" s="606"/>
      <c r="FF1" s="606"/>
    </row>
    <row r="2" spans="1:162" s="227" customFormat="1" ht="80.5">
      <c r="A2" s="228"/>
      <c r="B2" s="322" t="s">
        <v>75</v>
      </c>
      <c r="C2" s="322" t="s">
        <v>75</v>
      </c>
      <c r="D2" s="322"/>
      <c r="E2" s="322" t="s">
        <v>75</v>
      </c>
      <c r="F2" s="322" t="s">
        <v>1117</v>
      </c>
      <c r="G2" s="323" t="s">
        <v>1118</v>
      </c>
      <c r="H2" s="323" t="s">
        <v>1119</v>
      </c>
      <c r="I2" s="323" t="s">
        <v>1120</v>
      </c>
      <c r="J2" s="322" t="s">
        <v>1117</v>
      </c>
      <c r="K2" s="323" t="s">
        <v>1121</v>
      </c>
      <c r="L2" s="323" t="s">
        <v>1122</v>
      </c>
      <c r="M2" s="323" t="s">
        <v>1119</v>
      </c>
      <c r="N2" s="323" t="s">
        <v>1123</v>
      </c>
      <c r="O2" s="323" t="s">
        <v>1124</v>
      </c>
      <c r="P2" s="323" t="s">
        <v>1125</v>
      </c>
      <c r="Q2" s="323" t="s">
        <v>1126</v>
      </c>
      <c r="R2" s="323" t="s">
        <v>1124</v>
      </c>
      <c r="S2" s="323" t="s">
        <v>1125</v>
      </c>
      <c r="T2" s="323" t="s">
        <v>1126</v>
      </c>
      <c r="U2" s="322" t="s">
        <v>1124</v>
      </c>
      <c r="V2" s="322" t="s">
        <v>1117</v>
      </c>
      <c r="W2" s="323" t="s">
        <v>1127</v>
      </c>
      <c r="X2" s="322" t="s">
        <v>1125</v>
      </c>
      <c r="Y2" s="322" t="s">
        <v>1128</v>
      </c>
      <c r="Z2" s="322" t="s">
        <v>1126</v>
      </c>
      <c r="AA2" s="322" t="s">
        <v>1124</v>
      </c>
      <c r="AB2" s="322" t="s">
        <v>1117</v>
      </c>
      <c r="AC2" s="322" t="s">
        <v>1125</v>
      </c>
      <c r="AD2" s="322" t="s">
        <v>1126</v>
      </c>
      <c r="AE2" s="322" t="s">
        <v>1128</v>
      </c>
      <c r="AF2" s="322" t="s">
        <v>1129</v>
      </c>
      <c r="AG2" s="322" t="s">
        <v>1130</v>
      </c>
      <c r="AH2" s="322" t="s">
        <v>1124</v>
      </c>
      <c r="AI2" s="322" t="s">
        <v>1117</v>
      </c>
      <c r="AJ2" s="322" t="s">
        <v>1125</v>
      </c>
      <c r="AK2" s="322" t="s">
        <v>1126</v>
      </c>
      <c r="AL2" s="322" t="s">
        <v>1128</v>
      </c>
      <c r="AM2" s="322" t="s">
        <v>1129</v>
      </c>
      <c r="AN2" s="322" t="s">
        <v>1130</v>
      </c>
      <c r="AO2" s="322" t="s">
        <v>1124</v>
      </c>
      <c r="AP2" s="322" t="s">
        <v>1117</v>
      </c>
      <c r="AQ2" s="322" t="s">
        <v>1125</v>
      </c>
      <c r="AR2" s="322" t="s">
        <v>1126</v>
      </c>
      <c r="AS2" s="322" t="s">
        <v>1129</v>
      </c>
      <c r="AT2" s="322" t="s">
        <v>1124</v>
      </c>
      <c r="AU2" s="322" t="s">
        <v>1117</v>
      </c>
      <c r="AV2" s="322" t="s">
        <v>1125</v>
      </c>
      <c r="AW2" s="322" t="s">
        <v>1126</v>
      </c>
      <c r="AX2" s="322" t="s">
        <v>1129</v>
      </c>
      <c r="AY2" s="322" t="s">
        <v>1131</v>
      </c>
      <c r="AZ2" s="322" t="s">
        <v>1117</v>
      </c>
      <c r="BA2" s="229" t="s">
        <v>1125</v>
      </c>
      <c r="BB2" s="322" t="s">
        <v>1126</v>
      </c>
      <c r="BC2" s="322" t="s">
        <v>1129</v>
      </c>
      <c r="BD2" s="322" t="s">
        <v>1128</v>
      </c>
      <c r="BE2" s="322" t="s">
        <v>1131</v>
      </c>
      <c r="BF2" s="322" t="s">
        <v>1117</v>
      </c>
      <c r="BG2" s="229" t="s">
        <v>1125</v>
      </c>
      <c r="BH2" s="322" t="s">
        <v>1126</v>
      </c>
      <c r="BI2" s="322" t="s">
        <v>1129</v>
      </c>
      <c r="BJ2" s="322" t="s">
        <v>1132</v>
      </c>
      <c r="BK2" s="322" t="s">
        <v>1133</v>
      </c>
      <c r="BL2" s="322" t="s">
        <v>1117</v>
      </c>
      <c r="BM2" s="322" t="s">
        <v>1125</v>
      </c>
      <c r="BN2" s="322" t="s">
        <v>1126</v>
      </c>
      <c r="BO2" s="322" t="s">
        <v>1129</v>
      </c>
      <c r="BP2" s="322" t="s">
        <v>1128</v>
      </c>
      <c r="BQ2" s="322" t="s">
        <v>1133</v>
      </c>
      <c r="BR2" s="322" t="s">
        <v>1117</v>
      </c>
      <c r="BS2" s="322" t="s">
        <v>1125</v>
      </c>
      <c r="BT2" s="322" t="s">
        <v>1126</v>
      </c>
      <c r="BU2" s="322" t="s">
        <v>1129</v>
      </c>
      <c r="BV2" s="230" t="s">
        <v>1133</v>
      </c>
      <c r="BW2" s="230" t="s">
        <v>1117</v>
      </c>
      <c r="BX2" s="230" t="s">
        <v>1125</v>
      </c>
      <c r="BY2" s="230" t="s">
        <v>1126</v>
      </c>
      <c r="BZ2" s="230" t="s">
        <v>1129</v>
      </c>
      <c r="CA2" s="322" t="s">
        <v>1133</v>
      </c>
      <c r="CB2" s="322" t="s">
        <v>1117</v>
      </c>
      <c r="CC2" s="322" t="s">
        <v>1125</v>
      </c>
      <c r="CD2" s="322" t="s">
        <v>1126</v>
      </c>
      <c r="CE2" s="322" t="s">
        <v>1129</v>
      </c>
      <c r="CF2" s="230" t="s">
        <v>1133</v>
      </c>
      <c r="CG2" s="230" t="s">
        <v>1117</v>
      </c>
      <c r="CH2" s="230" t="s">
        <v>1125</v>
      </c>
      <c r="CI2" s="230" t="s">
        <v>1126</v>
      </c>
      <c r="CJ2" s="230" t="s">
        <v>1129</v>
      </c>
      <c r="CK2" s="322" t="s">
        <v>1124</v>
      </c>
      <c r="CL2" s="322" t="s">
        <v>1125</v>
      </c>
      <c r="CM2" s="322" t="s">
        <v>1126</v>
      </c>
      <c r="CN2" s="322" t="s">
        <v>1129</v>
      </c>
      <c r="CO2" s="322" t="s">
        <v>1124</v>
      </c>
      <c r="CP2" s="322" t="s">
        <v>1117</v>
      </c>
      <c r="CQ2" s="322" t="s">
        <v>1125</v>
      </c>
      <c r="CR2" s="322" t="s">
        <v>1126</v>
      </c>
      <c r="CS2" s="231" t="s">
        <v>1124</v>
      </c>
      <c r="CT2" s="231" t="s">
        <v>1125</v>
      </c>
      <c r="CU2" s="231" t="s">
        <v>1129</v>
      </c>
      <c r="CV2" s="231" t="s">
        <v>1126</v>
      </c>
      <c r="CW2" s="231" t="s">
        <v>1134</v>
      </c>
      <c r="CX2" s="231" t="s">
        <v>1124</v>
      </c>
      <c r="CY2" s="231" t="s">
        <v>1117</v>
      </c>
      <c r="CZ2" s="231" t="s">
        <v>1125</v>
      </c>
      <c r="DA2" s="231" t="s">
        <v>1126</v>
      </c>
      <c r="DB2" s="231" t="s">
        <v>1124</v>
      </c>
      <c r="DC2" s="231" t="s">
        <v>1117</v>
      </c>
      <c r="DD2" s="231" t="s">
        <v>1125</v>
      </c>
      <c r="DE2" s="231" t="s">
        <v>1126</v>
      </c>
      <c r="DF2" s="231" t="s">
        <v>1128</v>
      </c>
      <c r="DG2" s="231" t="s">
        <v>1130</v>
      </c>
      <c r="DH2" s="231" t="s">
        <v>1133</v>
      </c>
      <c r="DI2" s="231" t="s">
        <v>1129</v>
      </c>
      <c r="DJ2" s="322" t="s">
        <v>1133</v>
      </c>
      <c r="DK2" s="322" t="s">
        <v>1124</v>
      </c>
      <c r="DL2" s="322" t="s">
        <v>1117</v>
      </c>
      <c r="DM2" s="322" t="s">
        <v>1125</v>
      </c>
      <c r="DN2" s="322" t="s">
        <v>1126</v>
      </c>
      <c r="DO2" s="322" t="s">
        <v>1129</v>
      </c>
      <c r="DP2" s="323" t="s">
        <v>1135</v>
      </c>
      <c r="DQ2" s="323" t="s">
        <v>1136</v>
      </c>
      <c r="DR2" s="323" t="s">
        <v>1137</v>
      </c>
      <c r="DS2" s="323" t="s">
        <v>1138</v>
      </c>
      <c r="DT2" s="323" t="s">
        <v>1139</v>
      </c>
      <c r="DU2" s="323" t="s">
        <v>1140</v>
      </c>
      <c r="DV2" s="322" t="s">
        <v>1128</v>
      </c>
      <c r="DW2" s="323" t="s">
        <v>1141</v>
      </c>
      <c r="DX2" s="323" t="s">
        <v>1142</v>
      </c>
      <c r="DY2" s="323" t="s">
        <v>1143</v>
      </c>
      <c r="DZ2" s="323" t="s">
        <v>1144</v>
      </c>
      <c r="EA2" s="231" t="s">
        <v>1124</v>
      </c>
      <c r="EB2" s="231" t="s">
        <v>1125</v>
      </c>
      <c r="EC2" s="231" t="s">
        <v>1126</v>
      </c>
      <c r="ED2" s="323" t="s">
        <v>1145</v>
      </c>
      <c r="EE2" s="323" t="s">
        <v>1146</v>
      </c>
      <c r="EF2" s="323" t="s">
        <v>1147</v>
      </c>
      <c r="EG2" s="323" t="s">
        <v>1148</v>
      </c>
      <c r="EH2" s="323" t="s">
        <v>1149</v>
      </c>
      <c r="EI2" s="623"/>
      <c r="EJ2" s="625"/>
      <c r="EK2" s="232" t="s">
        <v>1124</v>
      </c>
      <c r="EL2" s="231" t="s">
        <v>1117</v>
      </c>
      <c r="EM2" s="231" t="s">
        <v>1125</v>
      </c>
      <c r="EN2" s="233" t="s">
        <v>1129</v>
      </c>
      <c r="EO2" s="231" t="s">
        <v>1124</v>
      </c>
      <c r="EP2" s="231" t="s">
        <v>1117</v>
      </c>
      <c r="EQ2" s="231" t="s">
        <v>1125</v>
      </c>
      <c r="ER2" s="233" t="s">
        <v>1129</v>
      </c>
      <c r="ES2" s="231" t="s">
        <v>1124</v>
      </c>
      <c r="ET2" s="231" t="s">
        <v>1117</v>
      </c>
      <c r="EU2" s="231" t="s">
        <v>1125</v>
      </c>
      <c r="EV2" s="233" t="s">
        <v>1129</v>
      </c>
      <c r="EW2" s="231" t="s">
        <v>1124</v>
      </c>
      <c r="EX2" s="231" t="s">
        <v>1117</v>
      </c>
      <c r="EY2" s="234" t="s">
        <v>1125</v>
      </c>
      <c r="EZ2" s="231" t="s">
        <v>1124</v>
      </c>
      <c r="FA2" s="231" t="s">
        <v>1117</v>
      </c>
      <c r="FB2" s="231" t="s">
        <v>1125</v>
      </c>
      <c r="FC2" s="235" t="s">
        <v>1129</v>
      </c>
      <c r="FD2" s="324" t="s">
        <v>1124</v>
      </c>
      <c r="FE2" s="324" t="s">
        <v>1117</v>
      </c>
      <c r="FF2" s="324" t="s">
        <v>1129</v>
      </c>
    </row>
    <row r="3" spans="1:162" s="248" customFormat="1" ht="15" customHeight="1">
      <c r="A3" s="236">
        <v>45536</v>
      </c>
      <c r="B3" s="237">
        <v>1833</v>
      </c>
      <c r="C3" s="237">
        <v>3244</v>
      </c>
      <c r="D3" s="237">
        <v>3244</v>
      </c>
      <c r="E3" s="237">
        <v>826706</v>
      </c>
      <c r="F3" s="237">
        <v>274011</v>
      </c>
      <c r="G3" s="237">
        <v>3387843</v>
      </c>
      <c r="H3" s="237">
        <v>2575744</v>
      </c>
      <c r="I3" s="237">
        <v>1568583</v>
      </c>
      <c r="J3" s="237">
        <v>7018</v>
      </c>
      <c r="K3" s="237">
        <v>175</v>
      </c>
      <c r="L3" s="237">
        <v>198876</v>
      </c>
      <c r="M3" s="237">
        <v>170384</v>
      </c>
      <c r="N3" s="237">
        <v>142156</v>
      </c>
      <c r="O3" s="237">
        <v>1048704</v>
      </c>
      <c r="P3" s="237">
        <v>200871925</v>
      </c>
      <c r="Q3" s="237">
        <v>6111</v>
      </c>
      <c r="R3" s="237">
        <v>949411</v>
      </c>
      <c r="S3" s="237">
        <v>8710355</v>
      </c>
      <c r="T3" s="237">
        <v>1</v>
      </c>
      <c r="U3" s="237">
        <v>116430</v>
      </c>
      <c r="V3" s="237">
        <v>31819</v>
      </c>
      <c r="W3" s="237">
        <v>95097</v>
      </c>
      <c r="X3" s="237">
        <v>572148868</v>
      </c>
      <c r="Y3" s="237">
        <v>1885089</v>
      </c>
      <c r="Z3" s="237">
        <v>6011</v>
      </c>
      <c r="AA3" s="237">
        <v>0</v>
      </c>
      <c r="AB3" s="237">
        <v>303</v>
      </c>
      <c r="AC3" s="237">
        <v>0</v>
      </c>
      <c r="AD3" s="237">
        <v>411</v>
      </c>
      <c r="AE3" s="237">
        <v>0</v>
      </c>
      <c r="AF3" s="237">
        <v>0</v>
      </c>
      <c r="AG3" s="237">
        <v>0</v>
      </c>
      <c r="AH3" s="237">
        <v>94492</v>
      </c>
      <c r="AI3" s="237">
        <v>80249</v>
      </c>
      <c r="AJ3" s="237">
        <v>660411007</v>
      </c>
      <c r="AK3" s="237">
        <v>7208</v>
      </c>
      <c r="AL3" s="237">
        <v>7319041</v>
      </c>
      <c r="AM3" s="237">
        <v>14298441</v>
      </c>
      <c r="AN3" s="237">
        <v>184811</v>
      </c>
      <c r="AO3" s="237">
        <v>15788</v>
      </c>
      <c r="AP3" s="237">
        <v>12669</v>
      </c>
      <c r="AQ3" s="237">
        <v>98121615</v>
      </c>
      <c r="AR3" s="237">
        <v>3018</v>
      </c>
      <c r="AS3" s="237">
        <v>883700</v>
      </c>
      <c r="AT3" s="237">
        <v>135</v>
      </c>
      <c r="AU3" s="237">
        <v>374</v>
      </c>
      <c r="AV3" s="237">
        <v>458300</v>
      </c>
      <c r="AW3" s="237">
        <v>362</v>
      </c>
      <c r="AX3" s="237">
        <v>32800</v>
      </c>
      <c r="AY3" s="237">
        <v>79</v>
      </c>
      <c r="AZ3" s="237">
        <v>62</v>
      </c>
      <c r="BA3" s="237">
        <v>3671636</v>
      </c>
      <c r="BB3" s="237">
        <v>31</v>
      </c>
      <c r="BC3" s="237">
        <v>23700</v>
      </c>
      <c r="BD3" s="237">
        <v>7494</v>
      </c>
      <c r="BE3" s="237">
        <v>2589</v>
      </c>
      <c r="BF3" s="237">
        <v>1846</v>
      </c>
      <c r="BG3" s="237">
        <v>37650682</v>
      </c>
      <c r="BH3" s="237">
        <v>6</v>
      </c>
      <c r="BI3" s="237">
        <v>0</v>
      </c>
      <c r="BJ3" s="237">
        <v>0</v>
      </c>
      <c r="BK3" s="237">
        <v>127</v>
      </c>
      <c r="BL3" s="237">
        <v>98</v>
      </c>
      <c r="BM3" s="237">
        <v>1742950</v>
      </c>
      <c r="BN3" s="237">
        <v>79</v>
      </c>
      <c r="BO3" s="237">
        <v>45750</v>
      </c>
      <c r="BP3" s="237">
        <v>18300</v>
      </c>
      <c r="BQ3" s="237">
        <v>46014</v>
      </c>
      <c r="BR3" s="237">
        <v>23784</v>
      </c>
      <c r="BS3" s="237">
        <v>51178818</v>
      </c>
      <c r="BT3" s="237">
        <v>0</v>
      </c>
      <c r="BU3" s="238">
        <f t="shared" ref="BU3:BU17" si="0">BS3*0.0135</f>
        <v>690914.04299999995</v>
      </c>
      <c r="BV3" s="237">
        <v>50</v>
      </c>
      <c r="BW3" s="237">
        <v>43</v>
      </c>
      <c r="BX3" s="237">
        <v>4135860</v>
      </c>
      <c r="BY3" s="237">
        <v>0</v>
      </c>
      <c r="BZ3" s="237">
        <v>20679</v>
      </c>
      <c r="CA3" s="238">
        <v>0</v>
      </c>
      <c r="CB3" s="238">
        <v>0</v>
      </c>
      <c r="CC3" s="238">
        <v>0</v>
      </c>
      <c r="CD3" s="238">
        <v>0</v>
      </c>
      <c r="CE3" s="238">
        <v>0</v>
      </c>
      <c r="CF3" s="237">
        <v>0</v>
      </c>
      <c r="CG3" s="237">
        <v>0</v>
      </c>
      <c r="CH3" s="237">
        <v>0</v>
      </c>
      <c r="CI3" s="237">
        <v>0</v>
      </c>
      <c r="CJ3" s="237">
        <v>0</v>
      </c>
      <c r="CK3" s="239">
        <v>0</v>
      </c>
      <c r="CL3" s="237">
        <v>0</v>
      </c>
      <c r="CM3" s="237">
        <v>0</v>
      </c>
      <c r="CN3" s="237">
        <v>0</v>
      </c>
      <c r="CO3" s="237">
        <v>87471</v>
      </c>
      <c r="CP3" s="237">
        <v>38552</v>
      </c>
      <c r="CQ3" s="239">
        <v>27797003</v>
      </c>
      <c r="CR3" s="237">
        <v>6331</v>
      </c>
      <c r="CS3" s="237">
        <v>6337</v>
      </c>
      <c r="CT3" s="237">
        <v>24553000</v>
      </c>
      <c r="CU3" s="237">
        <v>273343</v>
      </c>
      <c r="CV3" s="237">
        <v>6571</v>
      </c>
      <c r="CW3" s="237">
        <v>16956</v>
      </c>
      <c r="CX3" s="237">
        <v>16544</v>
      </c>
      <c r="CY3" s="237">
        <v>15483</v>
      </c>
      <c r="CZ3" s="237">
        <v>106679543</v>
      </c>
      <c r="DA3" s="237">
        <v>2367</v>
      </c>
      <c r="DB3" s="237">
        <v>15</v>
      </c>
      <c r="DC3" s="237">
        <v>3</v>
      </c>
      <c r="DD3" s="237">
        <v>131350</v>
      </c>
      <c r="DE3" s="237">
        <v>2</v>
      </c>
      <c r="DF3" s="237">
        <v>1632</v>
      </c>
      <c r="DG3" s="237">
        <v>52</v>
      </c>
      <c r="DH3" s="237">
        <v>0</v>
      </c>
      <c r="DI3" s="237">
        <v>0</v>
      </c>
      <c r="DJ3" s="237">
        <v>1</v>
      </c>
      <c r="DK3" s="237">
        <v>8429</v>
      </c>
      <c r="DL3" s="237">
        <v>1993</v>
      </c>
      <c r="DM3" s="237">
        <v>167408350</v>
      </c>
      <c r="DN3" s="237">
        <v>530</v>
      </c>
      <c r="DO3" s="237">
        <v>960850</v>
      </c>
      <c r="DP3" s="237">
        <v>141</v>
      </c>
      <c r="DQ3" s="237">
        <v>5229903</v>
      </c>
      <c r="DR3" s="237">
        <v>62750</v>
      </c>
      <c r="DS3" s="237">
        <f>DK3</f>
        <v>8429</v>
      </c>
      <c r="DT3" s="237">
        <f>DM3</f>
        <v>167408350</v>
      </c>
      <c r="DU3" s="240">
        <f t="shared" ref="DU3:DU22" si="1">DO3</f>
        <v>960850</v>
      </c>
      <c r="DV3" s="237">
        <v>0</v>
      </c>
      <c r="DW3" s="237">
        <v>5970</v>
      </c>
      <c r="DX3" s="237">
        <v>124792748</v>
      </c>
      <c r="DY3" s="237">
        <f>DS3-DW3</f>
        <v>2459</v>
      </c>
      <c r="DZ3" s="237">
        <f>DT3-DX3</f>
        <v>42615602</v>
      </c>
      <c r="EA3" s="238">
        <f t="shared" ref="EA3:EA22" si="2">SUM(U3,AA3,AO3,AT3,CK3,CO3,CS3,CX3,DB3,DH3,DJ3,DS3,R3,BK3,BE3,AY3,AH3,O3+BQ3)+BV3+CA3+CF3</f>
        <v>2392616</v>
      </c>
      <c r="EB3" s="238">
        <f t="shared" ref="EB3:EB22" si="3">SUM(X3,AC3,AQ3,AV3,CL3,CQ3,CT3,CZ3,DD3,DT3,S3,BM3,BG3,BA3,AJ3,P3+BS3+CC3)+BX3+CH3</f>
        <v>1965671262</v>
      </c>
      <c r="EC3" s="238">
        <f t="shared" ref="EC3:EC22" si="4">SUM(Z3,AD3,AR3,AW3,CM3,CR3,CV3,DA3,DE3,DP3,T3,BN3,BH3,BB3,AK3+BT3+CD3)+BY3+CI3</f>
        <v>32539</v>
      </c>
      <c r="ED3" s="241">
        <v>382501</v>
      </c>
      <c r="EE3" s="241">
        <v>150896</v>
      </c>
      <c r="EF3" s="241">
        <v>442700</v>
      </c>
      <c r="EG3" s="241">
        <v>32204</v>
      </c>
      <c r="EH3" s="241">
        <v>1238564</v>
      </c>
      <c r="EI3" s="242">
        <f t="shared" ref="EI3:EI22" si="5">SUM(AF3,AX3,AS3,DI3,CN3,CU3)+BZ3+BU3+(DO3)+BC3+BJ3+AM3+ED3+EE3+BO3+EV3+FF3</f>
        <v>18268229.963000003</v>
      </c>
      <c r="EJ3" s="243">
        <f t="shared" ref="EJ3:EJ22" si="6">SUM(Y3,AE3,DF3)+BD3+AL3+CW3+EF3+BP3</f>
        <v>9691212</v>
      </c>
      <c r="EK3" s="244">
        <v>8461</v>
      </c>
      <c r="EL3" s="245">
        <v>6970</v>
      </c>
      <c r="EM3" s="245">
        <v>3079728</v>
      </c>
      <c r="EN3" s="245">
        <f t="shared" ref="EN3:EN22" si="7">EM3*1.5%</f>
        <v>46195.92</v>
      </c>
      <c r="EO3" s="245">
        <v>93986</v>
      </c>
      <c r="EP3" s="245">
        <v>64511</v>
      </c>
      <c r="EQ3" s="245">
        <v>24064400</v>
      </c>
      <c r="ER3" s="245">
        <f t="shared" ref="ER3:ER22" si="8">EQ3*1.5%</f>
        <v>360966</v>
      </c>
      <c r="ES3" s="246">
        <f t="shared" ref="ES3:ES22" si="9">EK3+EO3</f>
        <v>102447</v>
      </c>
      <c r="ET3" s="246">
        <v>69832</v>
      </c>
      <c r="EU3" s="246">
        <f t="shared" ref="EU3:EV18" si="10">EM3+EQ3</f>
        <v>27144128</v>
      </c>
      <c r="EV3" s="247">
        <f t="shared" si="10"/>
        <v>407161.92</v>
      </c>
      <c r="EW3" s="246">
        <f t="shared" ref="EW3:EW22" si="11">O3+CO3-ES3</f>
        <v>1033728</v>
      </c>
      <c r="EX3" s="246">
        <f t="shared" ref="EX3:EX22" si="12">CP3</f>
        <v>38552</v>
      </c>
      <c r="EY3" s="247">
        <f t="shared" ref="EY3:EY22" si="13">P3+CQ3-EU3</f>
        <v>201524800</v>
      </c>
      <c r="EZ3" s="246">
        <f t="shared" ref="EZ3:FB18" si="14">BQ3+CA3+CF3</f>
        <v>46014</v>
      </c>
      <c r="FA3" s="246">
        <f t="shared" si="14"/>
        <v>23784</v>
      </c>
      <c r="FB3" s="246">
        <f t="shared" si="14"/>
        <v>51178818</v>
      </c>
      <c r="FC3" s="247">
        <f t="shared" ref="FC3:FC22" si="15">BU3+CJ3+CE3</f>
        <v>690914.04299999995</v>
      </c>
      <c r="FD3" s="246">
        <v>81</v>
      </c>
      <c r="FE3" s="246">
        <v>74</v>
      </c>
      <c r="FF3" s="246">
        <v>97494</v>
      </c>
    </row>
    <row r="4" spans="1:162" s="248" customFormat="1" ht="15" customHeight="1">
      <c r="A4" s="236">
        <v>45537</v>
      </c>
      <c r="B4" s="237">
        <v>8967</v>
      </c>
      <c r="C4" s="237">
        <v>16973</v>
      </c>
      <c r="D4" s="237">
        <v>16975</v>
      </c>
      <c r="E4" s="237">
        <v>821814</v>
      </c>
      <c r="F4" s="237">
        <v>301375</v>
      </c>
      <c r="G4" s="237">
        <v>3392439</v>
      </c>
      <c r="H4" s="237">
        <v>2570271</v>
      </c>
      <c r="I4" s="237">
        <v>1571695</v>
      </c>
      <c r="J4" s="237">
        <v>8883</v>
      </c>
      <c r="K4" s="237">
        <v>343</v>
      </c>
      <c r="L4" s="237">
        <v>199146</v>
      </c>
      <c r="M4" s="328">
        <v>170654</v>
      </c>
      <c r="N4" s="328">
        <v>142586</v>
      </c>
      <c r="O4" s="237">
        <v>1124245</v>
      </c>
      <c r="P4" s="237">
        <v>225383545</v>
      </c>
      <c r="Q4" s="237">
        <v>6555</v>
      </c>
      <c r="R4" s="237">
        <v>1026069</v>
      </c>
      <c r="S4" s="237">
        <v>9863410</v>
      </c>
      <c r="T4" s="237"/>
      <c r="U4" s="237">
        <v>138868</v>
      </c>
      <c r="V4" s="237">
        <v>40734</v>
      </c>
      <c r="W4" s="237">
        <v>112924</v>
      </c>
      <c r="X4" s="237">
        <v>1099264910</v>
      </c>
      <c r="Y4" s="237">
        <v>3547312</v>
      </c>
      <c r="Z4" s="237">
        <v>7710</v>
      </c>
      <c r="AA4" s="237">
        <v>0</v>
      </c>
      <c r="AB4" s="237">
        <v>375</v>
      </c>
      <c r="AC4" s="237">
        <v>0</v>
      </c>
      <c r="AD4" s="237">
        <v>536</v>
      </c>
      <c r="AE4" s="237">
        <v>0</v>
      </c>
      <c r="AF4" s="237">
        <v>0</v>
      </c>
      <c r="AG4" s="237">
        <v>0</v>
      </c>
      <c r="AH4" s="237">
        <v>113541</v>
      </c>
      <c r="AI4" s="237">
        <v>95129</v>
      </c>
      <c r="AJ4" s="237">
        <v>1088126958</v>
      </c>
      <c r="AK4" s="237">
        <v>9068</v>
      </c>
      <c r="AL4" s="237">
        <v>9944306</v>
      </c>
      <c r="AM4" s="237">
        <v>19790356</v>
      </c>
      <c r="AN4" s="237">
        <v>258712</v>
      </c>
      <c r="AO4" s="237">
        <v>16317</v>
      </c>
      <c r="AP4" s="237">
        <v>12853</v>
      </c>
      <c r="AQ4" s="237">
        <v>154188673</v>
      </c>
      <c r="AR4" s="237">
        <v>3129</v>
      </c>
      <c r="AS4" s="237">
        <v>979500</v>
      </c>
      <c r="AT4" s="237">
        <v>112</v>
      </c>
      <c r="AU4" s="237">
        <v>357</v>
      </c>
      <c r="AV4" s="237">
        <v>580059</v>
      </c>
      <c r="AW4" s="237">
        <v>341</v>
      </c>
      <c r="AX4" s="237">
        <v>30000</v>
      </c>
      <c r="AY4" s="237">
        <v>97</v>
      </c>
      <c r="AZ4" s="237">
        <v>82</v>
      </c>
      <c r="BA4" s="237">
        <v>3508605</v>
      </c>
      <c r="BB4" s="237">
        <v>35</v>
      </c>
      <c r="BC4" s="237">
        <v>27650</v>
      </c>
      <c r="BD4" s="237">
        <v>7792</v>
      </c>
      <c r="BE4" s="237">
        <v>3491</v>
      </c>
      <c r="BF4" s="237">
        <v>2390</v>
      </c>
      <c r="BG4" s="237">
        <v>70992957</v>
      </c>
      <c r="BH4" s="237">
        <v>7</v>
      </c>
      <c r="BI4" s="237">
        <v>0</v>
      </c>
      <c r="BJ4" s="237">
        <v>0</v>
      </c>
      <c r="BK4" s="237">
        <v>160</v>
      </c>
      <c r="BL4" s="237">
        <v>120</v>
      </c>
      <c r="BM4" s="237">
        <v>3910418</v>
      </c>
      <c r="BN4" s="237">
        <v>117</v>
      </c>
      <c r="BO4" s="237">
        <v>79650</v>
      </c>
      <c r="BP4" s="237">
        <v>31860</v>
      </c>
      <c r="BQ4" s="237">
        <v>28663</v>
      </c>
      <c r="BR4" s="237">
        <v>13688</v>
      </c>
      <c r="BS4" s="237">
        <v>33913444</v>
      </c>
      <c r="BT4" s="237">
        <v>0</v>
      </c>
      <c r="BU4" s="238">
        <f t="shared" si="0"/>
        <v>457831.49400000001</v>
      </c>
      <c r="BV4" s="237">
        <v>32</v>
      </c>
      <c r="BW4" s="237">
        <v>32</v>
      </c>
      <c r="BX4" s="237">
        <v>2688386</v>
      </c>
      <c r="BY4" s="237">
        <v>0</v>
      </c>
      <c r="BZ4" s="237">
        <v>13442</v>
      </c>
      <c r="CA4" s="238">
        <v>0</v>
      </c>
      <c r="CB4" s="238">
        <v>0</v>
      </c>
      <c r="CC4" s="238">
        <v>0</v>
      </c>
      <c r="CD4" s="238">
        <v>0</v>
      </c>
      <c r="CE4" s="238">
        <v>0</v>
      </c>
      <c r="CF4" s="237">
        <v>0</v>
      </c>
      <c r="CG4" s="237">
        <v>0</v>
      </c>
      <c r="CH4" s="237">
        <v>0</v>
      </c>
      <c r="CI4" s="237">
        <v>0</v>
      </c>
      <c r="CJ4" s="237">
        <v>0</v>
      </c>
      <c r="CK4" s="239">
        <v>2270</v>
      </c>
      <c r="CL4" s="237">
        <v>30696593</v>
      </c>
      <c r="CM4" s="237">
        <v>0</v>
      </c>
      <c r="CN4" s="237">
        <v>0</v>
      </c>
      <c r="CO4" s="237">
        <v>100326</v>
      </c>
      <c r="CP4" s="237">
        <v>46126</v>
      </c>
      <c r="CQ4" s="239">
        <v>35974865</v>
      </c>
      <c r="CR4" s="237">
        <v>7006</v>
      </c>
      <c r="CS4" s="237">
        <v>8706</v>
      </c>
      <c r="CT4" s="237">
        <v>31940668</v>
      </c>
      <c r="CU4" s="237">
        <v>343228</v>
      </c>
      <c r="CV4" s="237">
        <v>6789</v>
      </c>
      <c r="CW4" s="237">
        <v>23710</v>
      </c>
      <c r="CX4" s="237">
        <v>19212</v>
      </c>
      <c r="CY4" s="237">
        <v>17584</v>
      </c>
      <c r="CZ4" s="237">
        <v>289877401</v>
      </c>
      <c r="DA4" s="237">
        <v>2706</v>
      </c>
      <c r="DB4" s="237">
        <v>37</v>
      </c>
      <c r="DC4" s="237">
        <v>5</v>
      </c>
      <c r="DD4" s="237">
        <v>488000</v>
      </c>
      <c r="DE4" s="237">
        <v>4</v>
      </c>
      <c r="DF4" s="237">
        <v>5758</v>
      </c>
      <c r="DG4" s="237">
        <v>177</v>
      </c>
      <c r="DH4" s="237">
        <v>0</v>
      </c>
      <c r="DI4" s="237">
        <v>0</v>
      </c>
      <c r="DJ4" s="237">
        <v>1</v>
      </c>
      <c r="DK4" s="237">
        <v>11922</v>
      </c>
      <c r="DL4" s="237">
        <v>3413</v>
      </c>
      <c r="DM4" s="237">
        <v>382803093</v>
      </c>
      <c r="DN4" s="237">
        <v>1245</v>
      </c>
      <c r="DO4" s="237">
        <v>2427050</v>
      </c>
      <c r="DP4" s="237">
        <v>221</v>
      </c>
      <c r="DQ4" s="237">
        <v>15981564</v>
      </c>
      <c r="DR4" s="237">
        <v>247450</v>
      </c>
      <c r="DS4" s="237">
        <f t="shared" ref="DS4:DS8" si="16">DK4</f>
        <v>11922</v>
      </c>
      <c r="DT4" s="237">
        <f t="shared" ref="DT4:DT8" si="17">DM4</f>
        <v>382803093</v>
      </c>
      <c r="DU4" s="240">
        <f t="shared" si="1"/>
        <v>2427050</v>
      </c>
      <c r="DV4" s="237">
        <v>0</v>
      </c>
      <c r="DW4" s="237">
        <v>7630</v>
      </c>
      <c r="DX4" s="237">
        <v>243215938</v>
      </c>
      <c r="DY4" s="237">
        <f t="shared" ref="DY4:DZ8" si="18">DS4-DW4</f>
        <v>4292</v>
      </c>
      <c r="DZ4" s="237">
        <f t="shared" si="18"/>
        <v>139587155</v>
      </c>
      <c r="EA4" s="238">
        <f t="shared" si="2"/>
        <v>2594069</v>
      </c>
      <c r="EB4" s="238">
        <f t="shared" si="3"/>
        <v>3464201985</v>
      </c>
      <c r="EC4" s="238">
        <f t="shared" si="4"/>
        <v>37669</v>
      </c>
      <c r="ED4" s="241">
        <v>2283720</v>
      </c>
      <c r="EE4" s="241">
        <v>277041</v>
      </c>
      <c r="EF4" s="241">
        <v>303916</v>
      </c>
      <c r="EG4" s="241">
        <v>20544</v>
      </c>
      <c r="EH4" s="241">
        <v>1634455</v>
      </c>
      <c r="EI4" s="242">
        <f>SUM(AF4,AX4,AS4,DI4,CN4,CU4)+BZ4+BU4+(DO4)+BC4+BJ4+AM4+ED4+EE4+BO4+EV4+FF4</f>
        <v>27235439.688999999</v>
      </c>
      <c r="EJ4" s="243">
        <f t="shared" si="6"/>
        <v>13864654</v>
      </c>
      <c r="EK4" s="244">
        <v>8921</v>
      </c>
      <c r="EL4" s="245">
        <v>7343</v>
      </c>
      <c r="EM4" s="245">
        <v>3327593</v>
      </c>
      <c r="EN4" s="245">
        <f t="shared" si="7"/>
        <v>49913.894999999997</v>
      </c>
      <c r="EO4" s="245">
        <v>92213</v>
      </c>
      <c r="EP4" s="245">
        <v>63042</v>
      </c>
      <c r="EQ4" s="245">
        <v>25104220</v>
      </c>
      <c r="ER4" s="245">
        <f t="shared" si="8"/>
        <v>376563.3</v>
      </c>
      <c r="ES4" s="246">
        <f t="shared" si="9"/>
        <v>101134</v>
      </c>
      <c r="ET4" s="246">
        <v>68742</v>
      </c>
      <c r="EU4" s="246">
        <f t="shared" si="10"/>
        <v>28431813</v>
      </c>
      <c r="EV4" s="247">
        <f t="shared" si="10"/>
        <v>426477.19500000001</v>
      </c>
      <c r="EW4" s="246">
        <f t="shared" si="11"/>
        <v>1123437</v>
      </c>
      <c r="EX4" s="246">
        <f t="shared" si="12"/>
        <v>46126</v>
      </c>
      <c r="EY4" s="247">
        <f t="shared" si="13"/>
        <v>232926597</v>
      </c>
      <c r="EZ4" s="246">
        <f t="shared" si="14"/>
        <v>28663</v>
      </c>
      <c r="FA4" s="246">
        <f t="shared" si="14"/>
        <v>13688</v>
      </c>
      <c r="FB4" s="246">
        <f t="shared" si="14"/>
        <v>33913444</v>
      </c>
      <c r="FC4" s="247">
        <f t="shared" si="15"/>
        <v>457831.49400000001</v>
      </c>
      <c r="FD4" s="246">
        <v>94</v>
      </c>
      <c r="FE4" s="246">
        <v>93</v>
      </c>
      <c r="FF4" s="246">
        <v>99494</v>
      </c>
    </row>
    <row r="5" spans="1:162" s="248" customFormat="1" ht="15" customHeight="1">
      <c r="A5" s="236">
        <v>45538</v>
      </c>
      <c r="B5" s="249">
        <v>7068</v>
      </c>
      <c r="C5" s="249">
        <v>12512</v>
      </c>
      <c r="D5" s="249">
        <v>12512</v>
      </c>
      <c r="E5" s="249">
        <v>818043</v>
      </c>
      <c r="F5" s="249">
        <v>297491</v>
      </c>
      <c r="G5" s="249">
        <v>3396763</v>
      </c>
      <c r="H5" s="249">
        <v>2562198</v>
      </c>
      <c r="I5" s="249">
        <v>1576487</v>
      </c>
      <c r="J5" s="249">
        <v>8878</v>
      </c>
      <c r="K5" s="249">
        <v>824</v>
      </c>
      <c r="L5" s="249">
        <v>200031</v>
      </c>
      <c r="M5" s="249">
        <v>171341</v>
      </c>
      <c r="N5" s="249">
        <v>143450</v>
      </c>
      <c r="O5" s="249">
        <v>1096626</v>
      </c>
      <c r="P5" s="249">
        <v>213736945</v>
      </c>
      <c r="Q5" s="249">
        <v>6067</v>
      </c>
      <c r="R5" s="249">
        <v>1001154</v>
      </c>
      <c r="S5" s="249">
        <v>9328289</v>
      </c>
      <c r="T5" s="249">
        <v>2</v>
      </c>
      <c r="U5" s="249">
        <v>136548</v>
      </c>
      <c r="V5" s="249">
        <v>41113</v>
      </c>
      <c r="W5" s="249">
        <v>111043</v>
      </c>
      <c r="X5" s="249">
        <v>1078928367</v>
      </c>
      <c r="Y5" s="249">
        <v>3472475</v>
      </c>
      <c r="Z5" s="249">
        <v>7542</v>
      </c>
      <c r="AA5" s="249">
        <v>0</v>
      </c>
      <c r="AB5" s="249">
        <v>333</v>
      </c>
      <c r="AC5" s="249">
        <v>0</v>
      </c>
      <c r="AD5" s="249">
        <v>472</v>
      </c>
      <c r="AE5" s="249">
        <v>0</v>
      </c>
      <c r="AF5" s="249">
        <v>0</v>
      </c>
      <c r="AG5" s="249">
        <v>0</v>
      </c>
      <c r="AH5" s="249">
        <v>110222</v>
      </c>
      <c r="AI5" s="249">
        <v>92501</v>
      </c>
      <c r="AJ5" s="249">
        <v>1045261599</v>
      </c>
      <c r="AK5" s="249">
        <v>8676</v>
      </c>
      <c r="AL5" s="249">
        <v>9811776</v>
      </c>
      <c r="AM5" s="249">
        <v>19430003</v>
      </c>
      <c r="AN5" s="249">
        <v>256092</v>
      </c>
      <c r="AO5" s="249">
        <v>17116</v>
      </c>
      <c r="AP5" s="249">
        <v>13023</v>
      </c>
      <c r="AQ5" s="249">
        <v>174222849</v>
      </c>
      <c r="AR5" s="249">
        <v>3157</v>
      </c>
      <c r="AS5" s="249">
        <v>1054800</v>
      </c>
      <c r="AT5" s="249">
        <v>115</v>
      </c>
      <c r="AU5" s="249">
        <v>380</v>
      </c>
      <c r="AV5" s="249">
        <v>1007802</v>
      </c>
      <c r="AW5" s="249">
        <v>383</v>
      </c>
      <c r="AX5" s="249">
        <v>36200</v>
      </c>
      <c r="AY5" s="249">
        <v>115</v>
      </c>
      <c r="AZ5" s="249">
        <v>89</v>
      </c>
      <c r="BA5" s="249">
        <v>3542651</v>
      </c>
      <c r="BB5" s="249">
        <v>45</v>
      </c>
      <c r="BC5" s="249">
        <v>27350</v>
      </c>
      <c r="BD5" s="249">
        <v>7673</v>
      </c>
      <c r="BE5" s="249">
        <v>3430</v>
      </c>
      <c r="BF5" s="249">
        <v>2257</v>
      </c>
      <c r="BG5" s="249">
        <v>71503414</v>
      </c>
      <c r="BH5" s="249">
        <v>19</v>
      </c>
      <c r="BI5" s="249">
        <v>0</v>
      </c>
      <c r="BJ5" s="249">
        <v>0</v>
      </c>
      <c r="BK5" s="249">
        <v>112</v>
      </c>
      <c r="BL5" s="249">
        <v>88</v>
      </c>
      <c r="BM5" s="249">
        <v>2134550</v>
      </c>
      <c r="BN5" s="249">
        <v>255</v>
      </c>
      <c r="BO5" s="249">
        <v>51950</v>
      </c>
      <c r="BP5" s="249">
        <v>20780</v>
      </c>
      <c r="BQ5" s="249">
        <v>29110</v>
      </c>
      <c r="BR5" s="249">
        <v>13962</v>
      </c>
      <c r="BS5" s="249">
        <v>39532298</v>
      </c>
      <c r="BT5" s="249">
        <v>0</v>
      </c>
      <c r="BU5" s="238">
        <f t="shared" si="0"/>
        <v>533686.02300000004</v>
      </c>
      <c r="BV5" s="249">
        <v>35</v>
      </c>
      <c r="BW5" s="249">
        <v>33</v>
      </c>
      <c r="BX5" s="249">
        <v>1549397</v>
      </c>
      <c r="BY5" s="249">
        <v>0</v>
      </c>
      <c r="BZ5" s="249">
        <v>7747</v>
      </c>
      <c r="CA5" s="238">
        <v>0</v>
      </c>
      <c r="CB5" s="238">
        <v>0</v>
      </c>
      <c r="CC5" s="238">
        <v>0</v>
      </c>
      <c r="CD5" s="238">
        <v>0</v>
      </c>
      <c r="CE5" s="238">
        <v>0</v>
      </c>
      <c r="CF5" s="249">
        <v>0</v>
      </c>
      <c r="CG5" s="249">
        <v>0</v>
      </c>
      <c r="CH5" s="249">
        <v>0</v>
      </c>
      <c r="CI5" s="249">
        <v>0</v>
      </c>
      <c r="CJ5" s="249">
        <v>0</v>
      </c>
      <c r="CK5" s="250">
        <v>2839</v>
      </c>
      <c r="CL5" s="249">
        <v>37409479</v>
      </c>
      <c r="CM5" s="249">
        <v>0</v>
      </c>
      <c r="CN5" s="249">
        <v>0</v>
      </c>
      <c r="CO5" s="249">
        <v>96275</v>
      </c>
      <c r="CP5" s="249">
        <v>44989</v>
      </c>
      <c r="CQ5" s="250">
        <v>33604345</v>
      </c>
      <c r="CR5" s="249">
        <v>6460</v>
      </c>
      <c r="CS5" s="249">
        <v>8643</v>
      </c>
      <c r="CT5" s="249">
        <v>29086432</v>
      </c>
      <c r="CU5" s="249">
        <v>307302</v>
      </c>
      <c r="CV5" s="249">
        <v>5726</v>
      </c>
      <c r="CW5" s="237">
        <v>21415</v>
      </c>
      <c r="CX5" s="249">
        <v>18387</v>
      </c>
      <c r="CY5" s="249">
        <v>16898</v>
      </c>
      <c r="CZ5" s="249">
        <v>261680922</v>
      </c>
      <c r="DA5" s="249">
        <v>2646</v>
      </c>
      <c r="DB5" s="249">
        <v>22</v>
      </c>
      <c r="DC5" s="249">
        <v>1</v>
      </c>
      <c r="DD5" s="249">
        <v>571800</v>
      </c>
      <c r="DE5" s="249">
        <v>0</v>
      </c>
      <c r="DF5" s="249">
        <v>5108</v>
      </c>
      <c r="DG5" s="249">
        <v>152</v>
      </c>
      <c r="DH5" s="249">
        <v>0</v>
      </c>
      <c r="DI5" s="249">
        <v>0</v>
      </c>
      <c r="DJ5" s="249">
        <v>1</v>
      </c>
      <c r="DK5" s="249">
        <v>11518</v>
      </c>
      <c r="DL5" s="249">
        <v>3315</v>
      </c>
      <c r="DM5" s="249">
        <v>358992586</v>
      </c>
      <c r="DN5" s="249">
        <v>862</v>
      </c>
      <c r="DO5" s="249">
        <v>2247850</v>
      </c>
      <c r="DP5" s="249">
        <v>383</v>
      </c>
      <c r="DQ5" s="249">
        <v>15481760</v>
      </c>
      <c r="DR5" s="249">
        <v>317350</v>
      </c>
      <c r="DS5" s="237">
        <f t="shared" si="16"/>
        <v>11518</v>
      </c>
      <c r="DT5" s="237">
        <f t="shared" si="17"/>
        <v>358992586</v>
      </c>
      <c r="DU5" s="240">
        <f t="shared" si="1"/>
        <v>2247850</v>
      </c>
      <c r="DV5" s="237">
        <v>0</v>
      </c>
      <c r="DW5" s="249">
        <v>7331</v>
      </c>
      <c r="DX5" s="249">
        <v>232555470</v>
      </c>
      <c r="DY5" s="237">
        <f t="shared" si="18"/>
        <v>4187</v>
      </c>
      <c r="DZ5" s="237">
        <f t="shared" si="18"/>
        <v>126437116</v>
      </c>
      <c r="EA5" s="238">
        <f t="shared" si="2"/>
        <v>2532268</v>
      </c>
      <c r="EB5" s="238">
        <f t="shared" si="3"/>
        <v>3362093725</v>
      </c>
      <c r="EC5" s="238">
        <f t="shared" si="4"/>
        <v>35766</v>
      </c>
      <c r="ED5" s="251">
        <v>1271316</v>
      </c>
      <c r="EE5" s="251">
        <v>269945</v>
      </c>
      <c r="EF5" s="251">
        <v>514326</v>
      </c>
      <c r="EG5" s="251">
        <v>38780</v>
      </c>
      <c r="EH5" s="251">
        <v>1526673</v>
      </c>
      <c r="EI5" s="242">
        <f t="shared" si="5"/>
        <v>25830273.658000004</v>
      </c>
      <c r="EJ5" s="243">
        <f t="shared" si="6"/>
        <v>13853553</v>
      </c>
      <c r="EK5" s="244">
        <v>8262</v>
      </c>
      <c r="EL5" s="245">
        <v>6950</v>
      </c>
      <c r="EM5" s="245">
        <v>3132924</v>
      </c>
      <c r="EN5" s="245">
        <f t="shared" si="7"/>
        <v>46993.86</v>
      </c>
      <c r="EO5" s="245">
        <v>89865</v>
      </c>
      <c r="EP5" s="245">
        <v>61621</v>
      </c>
      <c r="EQ5" s="245">
        <v>24342385</v>
      </c>
      <c r="ER5" s="245">
        <f t="shared" si="8"/>
        <v>365135.77499999997</v>
      </c>
      <c r="ES5" s="246">
        <f t="shared" si="9"/>
        <v>98127</v>
      </c>
      <c r="ET5" s="246">
        <v>67074</v>
      </c>
      <c r="EU5" s="246">
        <f t="shared" si="10"/>
        <v>27475309</v>
      </c>
      <c r="EV5" s="247">
        <f t="shared" si="10"/>
        <v>412129.63499999995</v>
      </c>
      <c r="EW5" s="246">
        <f t="shared" si="11"/>
        <v>1094774</v>
      </c>
      <c r="EX5" s="246">
        <f t="shared" si="12"/>
        <v>44989</v>
      </c>
      <c r="EY5" s="247">
        <f t="shared" si="13"/>
        <v>219865981</v>
      </c>
      <c r="EZ5" s="246">
        <f t="shared" si="14"/>
        <v>29110</v>
      </c>
      <c r="FA5" s="246">
        <f t="shared" si="14"/>
        <v>13962</v>
      </c>
      <c r="FB5" s="246">
        <f t="shared" si="14"/>
        <v>39532298</v>
      </c>
      <c r="FC5" s="247">
        <f t="shared" si="15"/>
        <v>533686.02300000004</v>
      </c>
      <c r="FD5" s="246">
        <v>142</v>
      </c>
      <c r="FE5" s="246">
        <v>132</v>
      </c>
      <c r="FF5" s="246">
        <v>179995</v>
      </c>
    </row>
    <row r="6" spans="1:162" s="248" customFormat="1" ht="15" customHeight="1">
      <c r="A6" s="236">
        <v>45539</v>
      </c>
      <c r="B6" s="329">
        <v>8959</v>
      </c>
      <c r="C6" s="329">
        <v>18520</v>
      </c>
      <c r="D6" s="329">
        <v>18520</v>
      </c>
      <c r="E6" s="329">
        <v>811957</v>
      </c>
      <c r="F6" s="329">
        <v>299598</v>
      </c>
      <c r="G6" s="329">
        <v>3401237</v>
      </c>
      <c r="H6" s="329">
        <v>2556524</v>
      </c>
      <c r="I6" s="329">
        <v>1575630</v>
      </c>
      <c r="J6" s="329">
        <v>8926</v>
      </c>
      <c r="K6" s="329">
        <v>503</v>
      </c>
      <c r="L6" s="329">
        <v>200682</v>
      </c>
      <c r="M6" s="329">
        <v>171703</v>
      </c>
      <c r="N6" s="329">
        <v>144128</v>
      </c>
      <c r="O6" s="329">
        <v>1080592</v>
      </c>
      <c r="P6" s="329">
        <v>212809310</v>
      </c>
      <c r="Q6" s="329">
        <v>6065</v>
      </c>
      <c r="R6" s="329">
        <v>983761</v>
      </c>
      <c r="S6" s="329">
        <v>9266115</v>
      </c>
      <c r="T6" s="329">
        <v>1</v>
      </c>
      <c r="U6" s="329">
        <v>136892</v>
      </c>
      <c r="V6" s="329">
        <v>41199</v>
      </c>
      <c r="W6" s="329">
        <v>110636</v>
      </c>
      <c r="X6" s="329">
        <v>1029572787</v>
      </c>
      <c r="Y6" s="329">
        <v>3316466</v>
      </c>
      <c r="Z6" s="329">
        <v>7354</v>
      </c>
      <c r="AA6" s="329">
        <v>0</v>
      </c>
      <c r="AB6" s="329">
        <v>287</v>
      </c>
      <c r="AC6" s="329">
        <v>0</v>
      </c>
      <c r="AD6" s="329">
        <v>386</v>
      </c>
      <c r="AE6" s="329">
        <v>0</v>
      </c>
      <c r="AF6" s="329">
        <v>0</v>
      </c>
      <c r="AG6" s="329">
        <v>0</v>
      </c>
      <c r="AH6" s="329">
        <v>110087</v>
      </c>
      <c r="AI6" s="329">
        <v>92189</v>
      </c>
      <c r="AJ6" s="329">
        <v>1002309623</v>
      </c>
      <c r="AK6" s="329">
        <v>8399</v>
      </c>
      <c r="AL6" s="329">
        <v>9507434</v>
      </c>
      <c r="AM6" s="329">
        <v>18849279</v>
      </c>
      <c r="AN6" s="329">
        <v>246728</v>
      </c>
      <c r="AO6" s="329">
        <v>17106</v>
      </c>
      <c r="AP6" s="329">
        <v>13292</v>
      </c>
      <c r="AQ6" s="329">
        <v>144865691</v>
      </c>
      <c r="AR6" s="329">
        <v>3067</v>
      </c>
      <c r="AS6" s="329">
        <v>1033700</v>
      </c>
      <c r="AT6" s="329">
        <v>95</v>
      </c>
      <c r="AU6" s="329">
        <v>353</v>
      </c>
      <c r="AV6" s="329">
        <v>554949</v>
      </c>
      <c r="AW6" s="329">
        <v>355</v>
      </c>
      <c r="AX6" s="329">
        <v>27200</v>
      </c>
      <c r="AY6" s="329">
        <v>90</v>
      </c>
      <c r="AZ6" s="329">
        <v>77</v>
      </c>
      <c r="BA6" s="329">
        <v>2522800</v>
      </c>
      <c r="BB6" s="329">
        <v>38</v>
      </c>
      <c r="BC6" s="329">
        <v>22550</v>
      </c>
      <c r="BD6" s="329">
        <v>5803</v>
      </c>
      <c r="BE6" s="329">
        <v>1833</v>
      </c>
      <c r="BF6" s="329">
        <v>1394</v>
      </c>
      <c r="BG6" s="329">
        <v>32266386</v>
      </c>
      <c r="BH6" s="329">
        <v>2477</v>
      </c>
      <c r="BI6" s="329">
        <v>0</v>
      </c>
      <c r="BJ6" s="329">
        <v>0</v>
      </c>
      <c r="BK6" s="329">
        <v>188</v>
      </c>
      <c r="BL6" s="329">
        <v>145</v>
      </c>
      <c r="BM6" s="329">
        <v>3549707</v>
      </c>
      <c r="BN6" s="329">
        <v>148</v>
      </c>
      <c r="BO6" s="329">
        <v>84450</v>
      </c>
      <c r="BP6" s="329">
        <v>33780</v>
      </c>
      <c r="BQ6" s="329">
        <v>32454</v>
      </c>
      <c r="BR6" s="329">
        <v>15167</v>
      </c>
      <c r="BS6" s="329">
        <v>41454893</v>
      </c>
      <c r="BT6" s="329">
        <v>0</v>
      </c>
      <c r="BU6" s="238">
        <f t="shared" si="0"/>
        <v>559641.05550000002</v>
      </c>
      <c r="BV6" s="329">
        <v>28</v>
      </c>
      <c r="BW6" s="329">
        <v>26</v>
      </c>
      <c r="BX6" s="329">
        <v>1019770</v>
      </c>
      <c r="BY6" s="329">
        <v>0</v>
      </c>
      <c r="BZ6" s="329">
        <v>5099</v>
      </c>
      <c r="CA6" s="238">
        <v>0</v>
      </c>
      <c r="CB6" s="238">
        <v>0</v>
      </c>
      <c r="CC6" s="238">
        <v>0</v>
      </c>
      <c r="CD6" s="238">
        <v>0</v>
      </c>
      <c r="CE6" s="238">
        <v>0</v>
      </c>
      <c r="CF6" s="329">
        <v>0</v>
      </c>
      <c r="CG6" s="329">
        <v>0</v>
      </c>
      <c r="CH6" s="329">
        <v>0</v>
      </c>
      <c r="CI6" s="329">
        <v>0</v>
      </c>
      <c r="CJ6" s="329">
        <v>0</v>
      </c>
      <c r="CK6" s="329">
        <v>4450</v>
      </c>
      <c r="CL6" s="329">
        <v>41955379</v>
      </c>
      <c r="CM6" s="329">
        <v>0</v>
      </c>
      <c r="CN6" s="329">
        <v>0</v>
      </c>
      <c r="CO6" s="329">
        <v>92305</v>
      </c>
      <c r="CP6" s="329">
        <v>44160</v>
      </c>
      <c r="CQ6" s="329">
        <v>30652063</v>
      </c>
      <c r="CR6" s="329">
        <v>6463</v>
      </c>
      <c r="CS6" s="329">
        <v>9036</v>
      </c>
      <c r="CT6" s="329">
        <v>28254221</v>
      </c>
      <c r="CU6" s="329">
        <v>298474</v>
      </c>
      <c r="CV6" s="329">
        <v>4772</v>
      </c>
      <c r="CW6" s="237">
        <v>21137</v>
      </c>
      <c r="CX6" s="329">
        <v>18352</v>
      </c>
      <c r="CY6" s="329">
        <v>17059</v>
      </c>
      <c r="CZ6" s="329">
        <v>275587568</v>
      </c>
      <c r="DA6" s="329">
        <v>2572</v>
      </c>
      <c r="DB6" s="329">
        <v>29</v>
      </c>
      <c r="DC6" s="329">
        <v>1</v>
      </c>
      <c r="DD6" s="329">
        <v>370750</v>
      </c>
      <c r="DE6" s="329">
        <v>0</v>
      </c>
      <c r="DF6" s="329">
        <v>3693</v>
      </c>
      <c r="DG6" s="329">
        <v>112</v>
      </c>
      <c r="DH6" s="329">
        <v>0</v>
      </c>
      <c r="DI6" s="329">
        <v>0</v>
      </c>
      <c r="DJ6" s="329">
        <v>1</v>
      </c>
      <c r="DK6" s="329">
        <v>11920</v>
      </c>
      <c r="DL6" s="329">
        <v>3376</v>
      </c>
      <c r="DM6" s="329">
        <v>358023209</v>
      </c>
      <c r="DN6" s="329">
        <v>1295</v>
      </c>
      <c r="DO6" s="329">
        <v>2188350</v>
      </c>
      <c r="DP6" s="329">
        <v>653</v>
      </c>
      <c r="DQ6" s="329">
        <v>28020292</v>
      </c>
      <c r="DR6" s="329">
        <v>521500</v>
      </c>
      <c r="DS6" s="237">
        <f t="shared" si="16"/>
        <v>11920</v>
      </c>
      <c r="DT6" s="237">
        <f t="shared" si="17"/>
        <v>358023209</v>
      </c>
      <c r="DU6" s="240">
        <f t="shared" si="1"/>
        <v>2188350</v>
      </c>
      <c r="DV6" s="237">
        <v>0</v>
      </c>
      <c r="DW6" s="329">
        <v>7696</v>
      </c>
      <c r="DX6" s="329">
        <v>245191968</v>
      </c>
      <c r="DY6" s="237">
        <f t="shared" si="18"/>
        <v>4224</v>
      </c>
      <c r="DZ6" s="237">
        <f t="shared" si="18"/>
        <v>112831241</v>
      </c>
      <c r="EA6" s="238">
        <f t="shared" si="2"/>
        <v>2499219</v>
      </c>
      <c r="EB6" s="238">
        <f t="shared" si="3"/>
        <v>3215035221</v>
      </c>
      <c r="EC6" s="238">
        <f t="shared" si="4"/>
        <v>36685</v>
      </c>
      <c r="ED6" s="329">
        <v>625108</v>
      </c>
      <c r="EE6" s="329">
        <v>257105</v>
      </c>
      <c r="EF6" s="329">
        <v>507110</v>
      </c>
      <c r="EG6" s="329">
        <v>37959</v>
      </c>
      <c r="EH6" s="329">
        <v>1394292</v>
      </c>
      <c r="EI6" s="242">
        <f t="shared" si="5"/>
        <v>24503435.230500001</v>
      </c>
      <c r="EJ6" s="243">
        <f t="shared" si="6"/>
        <v>13395423</v>
      </c>
      <c r="EK6" s="244">
        <v>8214</v>
      </c>
      <c r="EL6" s="245">
        <v>6876</v>
      </c>
      <c r="EM6" s="245">
        <v>2833220</v>
      </c>
      <c r="EN6" s="245">
        <f t="shared" si="7"/>
        <v>42498.299999999996</v>
      </c>
      <c r="EO6" s="245">
        <v>91320</v>
      </c>
      <c r="EP6" s="245">
        <v>62336</v>
      </c>
      <c r="EQ6" s="245">
        <v>24765525</v>
      </c>
      <c r="ER6" s="245">
        <f t="shared" si="8"/>
        <v>371482.875</v>
      </c>
      <c r="ES6" s="246">
        <f t="shared" si="9"/>
        <v>99534</v>
      </c>
      <c r="ET6" s="246">
        <v>67721</v>
      </c>
      <c r="EU6" s="246">
        <f t="shared" si="10"/>
        <v>27598745</v>
      </c>
      <c r="EV6" s="247">
        <f t="shared" si="10"/>
        <v>413981.17499999999</v>
      </c>
      <c r="EW6" s="246">
        <f t="shared" si="11"/>
        <v>1073363</v>
      </c>
      <c r="EX6" s="246">
        <f t="shared" si="12"/>
        <v>44160</v>
      </c>
      <c r="EY6" s="247">
        <f t="shared" si="13"/>
        <v>215862628</v>
      </c>
      <c r="EZ6" s="246">
        <f t="shared" si="14"/>
        <v>32454</v>
      </c>
      <c r="FA6" s="246">
        <f t="shared" si="14"/>
        <v>15167</v>
      </c>
      <c r="FB6" s="246">
        <f t="shared" si="14"/>
        <v>41454893</v>
      </c>
      <c r="FC6" s="247">
        <f t="shared" si="15"/>
        <v>559641.05550000002</v>
      </c>
      <c r="FD6" s="246">
        <v>111</v>
      </c>
      <c r="FE6" s="246">
        <v>101</v>
      </c>
      <c r="FF6" s="246">
        <v>138498</v>
      </c>
    </row>
    <row r="7" spans="1:162" s="248" customFormat="1" ht="15" customHeight="1">
      <c r="A7" s="236">
        <v>45540</v>
      </c>
      <c r="B7" s="252">
        <v>8788</v>
      </c>
      <c r="C7" s="252">
        <v>14969</v>
      </c>
      <c r="D7" s="252">
        <v>14972</v>
      </c>
      <c r="E7" s="252">
        <v>807076</v>
      </c>
      <c r="F7" s="252">
        <v>305548</v>
      </c>
      <c r="G7" s="252">
        <v>3405945</v>
      </c>
      <c r="H7" s="237">
        <v>2549067</v>
      </c>
      <c r="I7" s="252">
        <v>1579646</v>
      </c>
      <c r="J7" s="252">
        <v>8882</v>
      </c>
      <c r="K7" s="252">
        <v>481</v>
      </c>
      <c r="L7" s="252">
        <v>201322</v>
      </c>
      <c r="M7" s="252">
        <v>172144</v>
      </c>
      <c r="N7" s="252">
        <v>144482</v>
      </c>
      <c r="O7" s="252">
        <v>1108876</v>
      </c>
      <c r="P7" s="252">
        <v>217087745</v>
      </c>
      <c r="Q7" s="252">
        <v>6053</v>
      </c>
      <c r="R7" s="252">
        <v>1009694</v>
      </c>
      <c r="S7" s="252">
        <v>9415771</v>
      </c>
      <c r="T7" s="252">
        <v>1</v>
      </c>
      <c r="U7" s="252">
        <v>142971</v>
      </c>
      <c r="V7" s="252">
        <v>42035</v>
      </c>
      <c r="W7" s="252">
        <v>115416</v>
      </c>
      <c r="X7" s="252">
        <v>1058662013</v>
      </c>
      <c r="Y7" s="252">
        <v>3415506</v>
      </c>
      <c r="Z7" s="252">
        <v>7777</v>
      </c>
      <c r="AA7" s="252">
        <v>0</v>
      </c>
      <c r="AB7" s="252">
        <v>321</v>
      </c>
      <c r="AC7" s="252">
        <v>0</v>
      </c>
      <c r="AD7" s="252">
        <v>432</v>
      </c>
      <c r="AE7" s="252">
        <v>0</v>
      </c>
      <c r="AF7" s="252">
        <v>0</v>
      </c>
      <c r="AG7" s="252">
        <v>0</v>
      </c>
      <c r="AH7" s="252">
        <v>113195</v>
      </c>
      <c r="AI7" s="252">
        <v>94200</v>
      </c>
      <c r="AJ7" s="252">
        <v>1075412827</v>
      </c>
      <c r="AK7" s="252">
        <v>8858</v>
      </c>
      <c r="AL7" s="252">
        <v>10079545</v>
      </c>
      <c r="AM7" s="252">
        <v>19946609</v>
      </c>
      <c r="AN7" s="252">
        <v>263369</v>
      </c>
      <c r="AO7" s="252">
        <v>16847</v>
      </c>
      <c r="AP7" s="252">
        <v>13356</v>
      </c>
      <c r="AQ7" s="252">
        <v>159649142</v>
      </c>
      <c r="AR7" s="252">
        <v>3165</v>
      </c>
      <c r="AS7" s="252">
        <v>1014900</v>
      </c>
      <c r="AT7" s="252">
        <v>106</v>
      </c>
      <c r="AU7" s="252">
        <v>367</v>
      </c>
      <c r="AV7" s="252">
        <v>850916</v>
      </c>
      <c r="AW7" s="252">
        <v>381</v>
      </c>
      <c r="AX7" s="252">
        <v>32800</v>
      </c>
      <c r="AY7" s="252">
        <v>112</v>
      </c>
      <c r="AZ7" s="252">
        <v>81</v>
      </c>
      <c r="BA7" s="252">
        <v>3178270</v>
      </c>
      <c r="BB7" s="252">
        <v>63</v>
      </c>
      <c r="BC7" s="252">
        <v>26700</v>
      </c>
      <c r="BD7" s="252">
        <v>7950</v>
      </c>
      <c r="BE7" s="252">
        <v>3352</v>
      </c>
      <c r="BF7" s="252">
        <v>2271</v>
      </c>
      <c r="BG7" s="252">
        <v>63716772</v>
      </c>
      <c r="BH7" s="252">
        <v>2</v>
      </c>
      <c r="BI7" s="252">
        <v>0</v>
      </c>
      <c r="BJ7" s="252">
        <v>0</v>
      </c>
      <c r="BK7" s="252">
        <v>185</v>
      </c>
      <c r="BL7" s="252">
        <v>148</v>
      </c>
      <c r="BM7" s="252">
        <v>5518172</v>
      </c>
      <c r="BN7" s="252">
        <v>106</v>
      </c>
      <c r="BO7" s="252">
        <v>111250</v>
      </c>
      <c r="BP7" s="252">
        <v>44500</v>
      </c>
      <c r="BQ7" s="252">
        <v>39368</v>
      </c>
      <c r="BR7" s="252">
        <v>19028</v>
      </c>
      <c r="BS7" s="252">
        <v>55253230</v>
      </c>
      <c r="BT7" s="252">
        <v>0</v>
      </c>
      <c r="BU7" s="238">
        <f t="shared" si="0"/>
        <v>745918.60499999998</v>
      </c>
      <c r="BV7" s="252">
        <v>40</v>
      </c>
      <c r="BW7" s="252">
        <v>36</v>
      </c>
      <c r="BX7" s="252">
        <v>1716210</v>
      </c>
      <c r="BY7" s="252">
        <v>0</v>
      </c>
      <c r="BZ7" s="252">
        <v>8581</v>
      </c>
      <c r="CA7" s="238">
        <v>0</v>
      </c>
      <c r="CB7" s="238">
        <v>0</v>
      </c>
      <c r="CC7" s="238">
        <v>0</v>
      </c>
      <c r="CD7" s="238">
        <v>0</v>
      </c>
      <c r="CE7" s="238">
        <v>0</v>
      </c>
      <c r="CF7" s="252">
        <v>0</v>
      </c>
      <c r="CG7" s="252">
        <v>0</v>
      </c>
      <c r="CH7" s="252">
        <v>0</v>
      </c>
      <c r="CI7" s="252">
        <v>0</v>
      </c>
      <c r="CJ7" s="252">
        <v>0</v>
      </c>
      <c r="CK7" s="253">
        <v>1241</v>
      </c>
      <c r="CL7" s="252">
        <v>75920879</v>
      </c>
      <c r="CM7" s="252">
        <v>0</v>
      </c>
      <c r="CN7" s="252">
        <v>0</v>
      </c>
      <c r="CO7" s="252">
        <v>96250</v>
      </c>
      <c r="CP7" s="252">
        <v>45064</v>
      </c>
      <c r="CQ7" s="253">
        <v>30440404</v>
      </c>
      <c r="CR7" s="252">
        <v>6498</v>
      </c>
      <c r="CS7" s="252">
        <v>9315</v>
      </c>
      <c r="CT7" s="252">
        <v>27926877</v>
      </c>
      <c r="CU7" s="252">
        <v>297204</v>
      </c>
      <c r="CV7" s="252">
        <v>3732</v>
      </c>
      <c r="CW7" s="237">
        <v>18824</v>
      </c>
      <c r="CX7" s="252">
        <v>18513</v>
      </c>
      <c r="CY7" s="252">
        <v>17114</v>
      </c>
      <c r="CZ7" s="252">
        <v>251801344</v>
      </c>
      <c r="DA7" s="252">
        <v>2564</v>
      </c>
      <c r="DB7" s="252">
        <v>21</v>
      </c>
      <c r="DC7" s="252">
        <v>2</v>
      </c>
      <c r="DD7" s="252">
        <v>292950</v>
      </c>
      <c r="DE7" s="252">
        <v>1</v>
      </c>
      <c r="DF7" s="252">
        <v>3425</v>
      </c>
      <c r="DG7" s="252">
        <v>102</v>
      </c>
      <c r="DH7" s="252">
        <v>0</v>
      </c>
      <c r="DI7" s="252">
        <v>0</v>
      </c>
      <c r="DJ7" s="252">
        <v>1</v>
      </c>
      <c r="DK7" s="252">
        <v>11790</v>
      </c>
      <c r="DL7" s="252">
        <v>3459</v>
      </c>
      <c r="DM7" s="252">
        <v>362286620</v>
      </c>
      <c r="DN7" s="252">
        <v>891</v>
      </c>
      <c r="DO7" s="252">
        <v>2353000</v>
      </c>
      <c r="DP7" s="252">
        <v>248</v>
      </c>
      <c r="DQ7" s="252">
        <v>14808115</v>
      </c>
      <c r="DR7" s="252">
        <v>226800</v>
      </c>
      <c r="DS7" s="237">
        <f t="shared" si="16"/>
        <v>11790</v>
      </c>
      <c r="DT7" s="237">
        <f t="shared" si="17"/>
        <v>362286620</v>
      </c>
      <c r="DU7" s="240">
        <f t="shared" si="1"/>
        <v>2353000</v>
      </c>
      <c r="DV7" s="237">
        <v>0</v>
      </c>
      <c r="DW7" s="252">
        <v>7392</v>
      </c>
      <c r="DX7" s="252">
        <v>240638482</v>
      </c>
      <c r="DY7" s="237">
        <f t="shared" si="18"/>
        <v>4398</v>
      </c>
      <c r="DZ7" s="237">
        <f t="shared" si="18"/>
        <v>121648138</v>
      </c>
      <c r="EA7" s="238">
        <f t="shared" si="2"/>
        <v>2571877</v>
      </c>
      <c r="EB7" s="238">
        <f t="shared" si="3"/>
        <v>3399130142</v>
      </c>
      <c r="EC7" s="238">
        <f t="shared" si="4"/>
        <v>33828</v>
      </c>
      <c r="ED7" s="254">
        <v>881146</v>
      </c>
      <c r="EE7" s="254">
        <v>248759</v>
      </c>
      <c r="EF7" s="254">
        <v>486856</v>
      </c>
      <c r="EG7" s="254">
        <v>0</v>
      </c>
      <c r="EH7" s="254">
        <v>1384232</v>
      </c>
      <c r="EI7" s="242">
        <f t="shared" si="5"/>
        <v>26235890.445</v>
      </c>
      <c r="EJ7" s="243">
        <f t="shared" si="6"/>
        <v>14056606</v>
      </c>
      <c r="EK7" s="244">
        <v>8753</v>
      </c>
      <c r="EL7" s="245">
        <v>7231</v>
      </c>
      <c r="EM7" s="245">
        <v>2799726</v>
      </c>
      <c r="EN7" s="245">
        <f t="shared" si="7"/>
        <v>41995.89</v>
      </c>
      <c r="EO7" s="245">
        <v>93419</v>
      </c>
      <c r="EP7" s="245">
        <v>63924</v>
      </c>
      <c r="EQ7" s="245">
        <v>25901930</v>
      </c>
      <c r="ER7" s="245">
        <f t="shared" si="8"/>
        <v>388528.95</v>
      </c>
      <c r="ES7" s="246">
        <f t="shared" si="9"/>
        <v>102172</v>
      </c>
      <c r="ET7" s="246">
        <v>69508</v>
      </c>
      <c r="EU7" s="246">
        <f t="shared" si="10"/>
        <v>28701656</v>
      </c>
      <c r="EV7" s="247">
        <f t="shared" si="10"/>
        <v>430524.84</v>
      </c>
      <c r="EW7" s="246">
        <f t="shared" si="11"/>
        <v>1102954</v>
      </c>
      <c r="EX7" s="246">
        <f t="shared" si="12"/>
        <v>45064</v>
      </c>
      <c r="EY7" s="247">
        <f t="shared" si="13"/>
        <v>218826493</v>
      </c>
      <c r="EZ7" s="246">
        <f t="shared" si="14"/>
        <v>39368</v>
      </c>
      <c r="FA7" s="246">
        <f t="shared" si="14"/>
        <v>19028</v>
      </c>
      <c r="FB7" s="246">
        <f t="shared" si="14"/>
        <v>55253230</v>
      </c>
      <c r="FC7" s="247">
        <f t="shared" si="15"/>
        <v>745918.60499999998</v>
      </c>
      <c r="FD7" s="246">
        <v>111</v>
      </c>
      <c r="FE7" s="246">
        <v>101</v>
      </c>
      <c r="FF7" s="246">
        <v>138498</v>
      </c>
    </row>
    <row r="8" spans="1:162" s="248" customFormat="1" ht="15" customHeight="1">
      <c r="A8" s="236">
        <v>45541</v>
      </c>
      <c r="B8" s="237">
        <v>9801</v>
      </c>
      <c r="C8" s="237">
        <v>16618</v>
      </c>
      <c r="D8" s="237">
        <v>16618</v>
      </c>
      <c r="E8" s="237">
        <v>712062</v>
      </c>
      <c r="F8" s="237">
        <v>306139</v>
      </c>
      <c r="G8" s="237">
        <v>3411012</v>
      </c>
      <c r="H8" s="237">
        <v>2544535</v>
      </c>
      <c r="I8" s="237">
        <v>1585903</v>
      </c>
      <c r="J8" s="237">
        <v>8937</v>
      </c>
      <c r="K8" s="237">
        <v>381</v>
      </c>
      <c r="L8" s="237">
        <v>201889</v>
      </c>
      <c r="M8" s="237">
        <v>172403</v>
      </c>
      <c r="N8" s="237">
        <v>144650</v>
      </c>
      <c r="O8" s="237">
        <v>1113042</v>
      </c>
      <c r="P8" s="237">
        <v>218947375</v>
      </c>
      <c r="Q8" s="237">
        <v>6367</v>
      </c>
      <c r="R8" s="237">
        <v>1012328</v>
      </c>
      <c r="S8" s="237">
        <v>9532002</v>
      </c>
      <c r="T8" s="237">
        <v>1</v>
      </c>
      <c r="U8" s="237">
        <v>141828</v>
      </c>
      <c r="V8" s="237">
        <v>41920</v>
      </c>
      <c r="W8" s="237">
        <v>115312</v>
      </c>
      <c r="X8" s="237">
        <v>1083722835</v>
      </c>
      <c r="Y8" s="237">
        <v>3528148</v>
      </c>
      <c r="Z8" s="237">
        <v>7545</v>
      </c>
      <c r="AA8" s="237">
        <v>0</v>
      </c>
      <c r="AB8" s="237">
        <v>331</v>
      </c>
      <c r="AC8" s="237">
        <v>0</v>
      </c>
      <c r="AD8" s="237">
        <v>467</v>
      </c>
      <c r="AE8" s="237">
        <v>0</v>
      </c>
      <c r="AF8" s="237">
        <v>0</v>
      </c>
      <c r="AG8" s="237">
        <v>0</v>
      </c>
      <c r="AH8" s="237">
        <v>114061</v>
      </c>
      <c r="AI8" s="237">
        <v>94881</v>
      </c>
      <c r="AJ8" s="237">
        <v>1086938323</v>
      </c>
      <c r="AK8" s="237">
        <v>8733</v>
      </c>
      <c r="AL8" s="237">
        <v>10008934</v>
      </c>
      <c r="AM8" s="237">
        <v>19847423</v>
      </c>
      <c r="AN8" s="237">
        <v>261100</v>
      </c>
      <c r="AO8" s="237">
        <v>18079</v>
      </c>
      <c r="AP8" s="237">
        <v>14220</v>
      </c>
      <c r="AQ8" s="237">
        <v>148041708</v>
      </c>
      <c r="AR8" s="237">
        <v>3343</v>
      </c>
      <c r="AS8" s="237">
        <v>1047000</v>
      </c>
      <c r="AT8" s="237">
        <v>144</v>
      </c>
      <c r="AU8" s="237">
        <v>425</v>
      </c>
      <c r="AV8" s="237">
        <v>544469</v>
      </c>
      <c r="AW8" s="237">
        <v>440</v>
      </c>
      <c r="AX8" s="237">
        <v>36800</v>
      </c>
      <c r="AY8" s="237">
        <v>116</v>
      </c>
      <c r="AZ8" s="237">
        <v>97</v>
      </c>
      <c r="BA8" s="237">
        <v>4060535</v>
      </c>
      <c r="BB8" s="237">
        <v>58</v>
      </c>
      <c r="BC8" s="237">
        <v>32350</v>
      </c>
      <c r="BD8" s="237">
        <v>9475</v>
      </c>
      <c r="BE8" s="237">
        <v>3262</v>
      </c>
      <c r="BF8" s="237">
        <v>2125</v>
      </c>
      <c r="BG8" s="237">
        <v>58646022</v>
      </c>
      <c r="BH8" s="237">
        <v>4</v>
      </c>
      <c r="BI8" s="237">
        <v>0</v>
      </c>
      <c r="BJ8" s="237">
        <v>0</v>
      </c>
      <c r="BK8" s="237">
        <v>215</v>
      </c>
      <c r="BL8" s="237">
        <v>166</v>
      </c>
      <c r="BM8" s="237">
        <v>4876760</v>
      </c>
      <c r="BN8" s="237">
        <v>79</v>
      </c>
      <c r="BO8" s="237">
        <v>109700</v>
      </c>
      <c r="BP8" s="237">
        <v>43880</v>
      </c>
      <c r="BQ8" s="237">
        <v>30547</v>
      </c>
      <c r="BR8" s="237">
        <v>16841</v>
      </c>
      <c r="BS8" s="237">
        <v>40228204</v>
      </c>
      <c r="BT8" s="237">
        <v>0</v>
      </c>
      <c r="BU8" s="238">
        <f t="shared" si="0"/>
        <v>543080.75399999996</v>
      </c>
      <c r="BV8" s="237">
        <v>33</v>
      </c>
      <c r="BW8" s="237">
        <v>33</v>
      </c>
      <c r="BX8" s="237">
        <v>1729525</v>
      </c>
      <c r="BY8" s="237">
        <v>0</v>
      </c>
      <c r="BZ8" s="237">
        <v>8648</v>
      </c>
      <c r="CA8" s="238">
        <v>0</v>
      </c>
      <c r="CB8" s="238">
        <v>0</v>
      </c>
      <c r="CC8" s="238">
        <v>0</v>
      </c>
      <c r="CD8" s="238">
        <v>0</v>
      </c>
      <c r="CE8" s="238">
        <v>0</v>
      </c>
      <c r="CF8" s="237">
        <v>0</v>
      </c>
      <c r="CG8" s="237">
        <v>0</v>
      </c>
      <c r="CH8" s="237">
        <v>0</v>
      </c>
      <c r="CI8" s="237">
        <v>0</v>
      </c>
      <c r="CJ8" s="237">
        <v>0</v>
      </c>
      <c r="CK8" s="239">
        <v>4518</v>
      </c>
      <c r="CL8" s="237">
        <v>46163001</v>
      </c>
      <c r="CM8" s="237">
        <v>0</v>
      </c>
      <c r="CN8" s="237">
        <v>0</v>
      </c>
      <c r="CO8" s="237">
        <v>96996</v>
      </c>
      <c r="CP8" s="237">
        <v>44833</v>
      </c>
      <c r="CQ8" s="239">
        <v>31473062</v>
      </c>
      <c r="CR8" s="237">
        <v>6712</v>
      </c>
      <c r="CS8" s="237">
        <v>9595</v>
      </c>
      <c r="CT8" s="237">
        <v>27719851</v>
      </c>
      <c r="CU8" s="237">
        <v>296934</v>
      </c>
      <c r="CV8" s="237">
        <v>3463</v>
      </c>
      <c r="CW8" s="237">
        <v>20781</v>
      </c>
      <c r="CX8" s="237">
        <v>19537</v>
      </c>
      <c r="CY8" s="237">
        <v>17800</v>
      </c>
      <c r="CZ8" s="237">
        <v>246443890</v>
      </c>
      <c r="DA8" s="237">
        <v>2694</v>
      </c>
      <c r="DB8" s="237">
        <v>27</v>
      </c>
      <c r="DC8" s="237">
        <v>4</v>
      </c>
      <c r="DD8" s="237">
        <v>420900</v>
      </c>
      <c r="DE8" s="237">
        <v>4</v>
      </c>
      <c r="DF8" s="237">
        <v>4765</v>
      </c>
      <c r="DG8" s="237">
        <v>145</v>
      </c>
      <c r="DH8" s="237">
        <v>0</v>
      </c>
      <c r="DI8" s="237">
        <v>0</v>
      </c>
      <c r="DJ8" s="237">
        <v>1</v>
      </c>
      <c r="DK8" s="237">
        <v>11330</v>
      </c>
      <c r="DL8" s="237">
        <v>3386</v>
      </c>
      <c r="DM8" s="237">
        <v>337485675</v>
      </c>
      <c r="DN8" s="237">
        <v>807</v>
      </c>
      <c r="DO8" s="237">
        <v>2367650</v>
      </c>
      <c r="DP8" s="237">
        <v>191</v>
      </c>
      <c r="DQ8" s="237">
        <v>4442107</v>
      </c>
      <c r="DR8" s="237">
        <v>119450</v>
      </c>
      <c r="DS8" s="237">
        <f t="shared" si="16"/>
        <v>11330</v>
      </c>
      <c r="DT8" s="237">
        <f t="shared" si="17"/>
        <v>337485675</v>
      </c>
      <c r="DU8" s="240">
        <f t="shared" si="1"/>
        <v>2367650</v>
      </c>
      <c r="DV8" s="237">
        <v>0</v>
      </c>
      <c r="DW8" s="237">
        <v>6973</v>
      </c>
      <c r="DX8" s="237">
        <v>210624442</v>
      </c>
      <c r="DY8" s="237">
        <f t="shared" si="18"/>
        <v>4357</v>
      </c>
      <c r="DZ8" s="237">
        <f t="shared" si="18"/>
        <v>126861233</v>
      </c>
      <c r="EA8" s="238">
        <f t="shared" si="2"/>
        <v>2575659</v>
      </c>
      <c r="EB8" s="238">
        <f t="shared" si="3"/>
        <v>3346974137</v>
      </c>
      <c r="EC8" s="238">
        <f t="shared" si="4"/>
        <v>33734</v>
      </c>
      <c r="ED8" s="241">
        <v>896540</v>
      </c>
      <c r="EE8" s="241">
        <v>239415</v>
      </c>
      <c r="EF8" s="241">
        <v>501871</v>
      </c>
      <c r="EG8" s="241">
        <v>37370</v>
      </c>
      <c r="EH8" s="241">
        <v>1422544</v>
      </c>
      <c r="EI8" s="242">
        <f t="shared" si="5"/>
        <v>25988135.519000001</v>
      </c>
      <c r="EJ8" s="243">
        <f t="shared" si="6"/>
        <v>14117854</v>
      </c>
      <c r="EK8" s="244">
        <v>8551</v>
      </c>
      <c r="EL8" s="245">
        <v>7107</v>
      </c>
      <c r="EM8" s="245">
        <v>3078696</v>
      </c>
      <c r="EN8" s="245">
        <f t="shared" si="7"/>
        <v>46180.439999999995</v>
      </c>
      <c r="EO8" s="245">
        <v>94842</v>
      </c>
      <c r="EP8" s="245">
        <v>64423</v>
      </c>
      <c r="EQ8" s="245">
        <v>25561355</v>
      </c>
      <c r="ER8" s="245">
        <f t="shared" si="8"/>
        <v>383420.32500000001</v>
      </c>
      <c r="ES8" s="246">
        <f t="shared" si="9"/>
        <v>103393</v>
      </c>
      <c r="ET8" s="246">
        <v>69942</v>
      </c>
      <c r="EU8" s="246">
        <f t="shared" si="10"/>
        <v>28640051</v>
      </c>
      <c r="EV8" s="247">
        <f t="shared" si="10"/>
        <v>429600.76500000001</v>
      </c>
      <c r="EW8" s="246">
        <f t="shared" si="11"/>
        <v>1106645</v>
      </c>
      <c r="EX8" s="246">
        <f t="shared" si="12"/>
        <v>44833</v>
      </c>
      <c r="EY8" s="247">
        <f t="shared" si="13"/>
        <v>221780386</v>
      </c>
      <c r="EZ8" s="246">
        <f t="shared" si="14"/>
        <v>30547</v>
      </c>
      <c r="FA8" s="246">
        <f t="shared" si="14"/>
        <v>16841</v>
      </c>
      <c r="FB8" s="246">
        <f t="shared" si="14"/>
        <v>40228204</v>
      </c>
      <c r="FC8" s="247">
        <f t="shared" si="15"/>
        <v>543080.75399999996</v>
      </c>
      <c r="FD8" s="246">
        <v>119</v>
      </c>
      <c r="FE8" s="246">
        <v>112</v>
      </c>
      <c r="FF8" s="246">
        <v>132994</v>
      </c>
    </row>
    <row r="9" spans="1:162" s="248" customFormat="1" ht="15" customHeight="1">
      <c r="A9" s="236">
        <v>45542</v>
      </c>
      <c r="B9" s="257">
        <v>5859</v>
      </c>
      <c r="C9" s="257">
        <v>10853</v>
      </c>
      <c r="D9" s="257">
        <v>10853</v>
      </c>
      <c r="E9" s="257">
        <v>714100</v>
      </c>
      <c r="F9" s="257">
        <v>296310</v>
      </c>
      <c r="G9" s="257">
        <v>3414680</v>
      </c>
      <c r="H9" s="257">
        <v>2540357</v>
      </c>
      <c r="I9" s="257">
        <v>1585817</v>
      </c>
      <c r="J9" s="257">
        <v>8412</v>
      </c>
      <c r="K9" s="257">
        <v>4</v>
      </c>
      <c r="L9" s="257">
        <v>202276</v>
      </c>
      <c r="M9" s="257">
        <v>172191</v>
      </c>
      <c r="N9" s="257">
        <v>144402</v>
      </c>
      <c r="O9" s="257">
        <v>1077340</v>
      </c>
      <c r="P9" s="257">
        <v>212354730</v>
      </c>
      <c r="Q9" s="257">
        <v>6105</v>
      </c>
      <c r="R9" s="257">
        <v>975316</v>
      </c>
      <c r="S9" s="257">
        <v>9163316</v>
      </c>
      <c r="T9" s="257">
        <v>0</v>
      </c>
      <c r="U9" s="257">
        <v>132153</v>
      </c>
      <c r="V9" s="257">
        <v>39691</v>
      </c>
      <c r="W9" s="257">
        <v>107937</v>
      </c>
      <c r="X9" s="257">
        <v>805231208</v>
      </c>
      <c r="Y9" s="257">
        <v>2620605</v>
      </c>
      <c r="Z9" s="257">
        <v>7051</v>
      </c>
      <c r="AA9" s="257"/>
      <c r="AB9" s="257"/>
      <c r="AC9" s="257"/>
      <c r="AD9" s="257"/>
      <c r="AE9" s="257"/>
      <c r="AF9" s="257"/>
      <c r="AG9" s="257"/>
      <c r="AH9" s="257">
        <v>105995</v>
      </c>
      <c r="AI9" s="257">
        <v>89015</v>
      </c>
      <c r="AJ9" s="257">
        <v>924103503</v>
      </c>
      <c r="AK9" s="257">
        <v>8397</v>
      </c>
      <c r="AL9" s="257">
        <v>8956797</v>
      </c>
      <c r="AM9" s="257">
        <v>17691096</v>
      </c>
      <c r="AN9" s="257">
        <v>231469</v>
      </c>
      <c r="AO9" s="257">
        <v>15593</v>
      </c>
      <c r="AP9" s="257">
        <v>12479</v>
      </c>
      <c r="AQ9" s="257">
        <v>126307515</v>
      </c>
      <c r="AR9" s="257">
        <v>2942</v>
      </c>
      <c r="AS9" s="257">
        <v>919500</v>
      </c>
      <c r="AT9" s="257">
        <v>109</v>
      </c>
      <c r="AU9" s="257">
        <v>345</v>
      </c>
      <c r="AV9" s="257">
        <v>550105</v>
      </c>
      <c r="AW9" s="257">
        <v>327</v>
      </c>
      <c r="AX9" s="257">
        <v>29700</v>
      </c>
      <c r="AY9" s="257">
        <v>76</v>
      </c>
      <c r="AZ9" s="257">
        <v>59</v>
      </c>
      <c r="BA9" s="257">
        <v>2088737</v>
      </c>
      <c r="BB9" s="257">
        <v>22</v>
      </c>
      <c r="BC9" s="257">
        <v>17450</v>
      </c>
      <c r="BD9" s="257">
        <v>4920</v>
      </c>
      <c r="BE9" s="257">
        <v>3116</v>
      </c>
      <c r="BF9" s="257">
        <v>2153</v>
      </c>
      <c r="BG9" s="257">
        <v>52563738</v>
      </c>
      <c r="BH9" s="257">
        <v>5</v>
      </c>
      <c r="BI9" s="257">
        <v>0</v>
      </c>
      <c r="BJ9" s="257">
        <v>0</v>
      </c>
      <c r="BK9" s="257">
        <v>185</v>
      </c>
      <c r="BL9" s="257">
        <v>133</v>
      </c>
      <c r="BM9" s="257">
        <v>5026800</v>
      </c>
      <c r="BN9" s="257">
        <v>31</v>
      </c>
      <c r="BO9" s="257">
        <v>100450</v>
      </c>
      <c r="BP9" s="257">
        <v>40180</v>
      </c>
      <c r="BQ9" s="257">
        <v>40308</v>
      </c>
      <c r="BR9" s="257">
        <v>19959</v>
      </c>
      <c r="BS9" s="257">
        <v>52991257</v>
      </c>
      <c r="BT9" s="257">
        <v>0</v>
      </c>
      <c r="BU9" s="238">
        <f t="shared" si="0"/>
        <v>715381.96950000001</v>
      </c>
      <c r="BV9" s="257">
        <v>33</v>
      </c>
      <c r="BW9" s="257">
        <v>29</v>
      </c>
      <c r="BX9" s="257">
        <v>1493955</v>
      </c>
      <c r="BY9" s="257">
        <v>0</v>
      </c>
      <c r="BZ9" s="257">
        <v>7469.7750000000005</v>
      </c>
      <c r="CA9" s="238">
        <v>0</v>
      </c>
      <c r="CB9" s="238">
        <v>0</v>
      </c>
      <c r="CC9" s="238">
        <v>0</v>
      </c>
      <c r="CD9" s="238">
        <v>0</v>
      </c>
      <c r="CE9" s="238">
        <v>0</v>
      </c>
      <c r="CF9" s="257">
        <v>0</v>
      </c>
      <c r="CG9" s="257">
        <v>0</v>
      </c>
      <c r="CH9" s="257">
        <v>0</v>
      </c>
      <c r="CI9" s="257">
        <v>0</v>
      </c>
      <c r="CJ9" s="257">
        <v>0</v>
      </c>
      <c r="CK9" s="258">
        <v>726</v>
      </c>
      <c r="CL9" s="257">
        <v>10137573</v>
      </c>
      <c r="CM9" s="257">
        <v>0</v>
      </c>
      <c r="CN9" s="257">
        <v>0</v>
      </c>
      <c r="CO9" s="257">
        <v>88131</v>
      </c>
      <c r="CP9" s="257">
        <v>43575</v>
      </c>
      <c r="CQ9" s="258">
        <v>27546788</v>
      </c>
      <c r="CR9" s="257">
        <v>6449</v>
      </c>
      <c r="CS9" s="257">
        <v>9285</v>
      </c>
      <c r="CT9" s="257">
        <v>26585943</v>
      </c>
      <c r="CU9" s="257">
        <v>289279</v>
      </c>
      <c r="CV9" s="257">
        <v>3157</v>
      </c>
      <c r="CW9" s="257">
        <v>20502</v>
      </c>
      <c r="CX9" s="257">
        <v>17410</v>
      </c>
      <c r="CY9" s="257">
        <v>16382</v>
      </c>
      <c r="CZ9" s="257">
        <v>173454848</v>
      </c>
      <c r="DA9" s="257">
        <v>2336</v>
      </c>
      <c r="DB9" s="257">
        <v>23</v>
      </c>
      <c r="DC9" s="257">
        <v>3</v>
      </c>
      <c r="DD9" s="257">
        <v>332100</v>
      </c>
      <c r="DE9" s="257">
        <v>2</v>
      </c>
      <c r="DF9" s="257">
        <v>3824</v>
      </c>
      <c r="DG9" s="257">
        <v>113</v>
      </c>
      <c r="DH9" s="257">
        <v>0</v>
      </c>
      <c r="DI9" s="257">
        <v>0</v>
      </c>
      <c r="DJ9" s="257"/>
      <c r="DK9" s="257">
        <v>11128</v>
      </c>
      <c r="DL9" s="257">
        <v>2913</v>
      </c>
      <c r="DM9" s="257">
        <v>299959140</v>
      </c>
      <c r="DN9" s="257">
        <v>764</v>
      </c>
      <c r="DO9" s="257">
        <v>1877850</v>
      </c>
      <c r="DP9" s="257">
        <v>159</v>
      </c>
      <c r="DQ9" s="257">
        <v>9297157</v>
      </c>
      <c r="DR9" s="257">
        <v>153900</v>
      </c>
      <c r="DS9" s="257">
        <v>11128</v>
      </c>
      <c r="DT9" s="257">
        <v>299959140</v>
      </c>
      <c r="DU9" s="240">
        <f t="shared" si="1"/>
        <v>1877850</v>
      </c>
      <c r="DV9" s="257">
        <v>6</v>
      </c>
      <c r="DW9" s="257">
        <v>7370</v>
      </c>
      <c r="DX9" s="257">
        <v>202572810</v>
      </c>
      <c r="DY9" s="257">
        <v>3758</v>
      </c>
      <c r="DZ9" s="257">
        <v>97386330</v>
      </c>
      <c r="EA9" s="238">
        <f t="shared" si="2"/>
        <v>2476927</v>
      </c>
      <c r="EB9" s="238">
        <f t="shared" si="3"/>
        <v>2729891256</v>
      </c>
      <c r="EC9" s="238">
        <f t="shared" si="4"/>
        <v>30878</v>
      </c>
      <c r="ED9" s="259">
        <v>524654</v>
      </c>
      <c r="EE9" s="259">
        <v>157849</v>
      </c>
      <c r="EF9" s="259">
        <v>505721</v>
      </c>
      <c r="EG9" s="259">
        <v>39355</v>
      </c>
      <c r="EH9" s="259">
        <v>1236700</v>
      </c>
      <c r="EI9" s="242">
        <f t="shared" si="5"/>
        <v>22869942.739500001</v>
      </c>
      <c r="EJ9" s="243">
        <f t="shared" si="6"/>
        <v>12152549</v>
      </c>
      <c r="EK9" s="244">
        <v>8550</v>
      </c>
      <c r="EL9" s="245">
        <v>7164</v>
      </c>
      <c r="EM9" s="245">
        <v>2847208</v>
      </c>
      <c r="EN9" s="245">
        <f t="shared" si="7"/>
        <v>42708.119999999995</v>
      </c>
      <c r="EO9" s="245">
        <v>96513</v>
      </c>
      <c r="EP9" s="245">
        <v>65439</v>
      </c>
      <c r="EQ9" s="245">
        <v>26503725</v>
      </c>
      <c r="ER9" s="245">
        <f t="shared" si="8"/>
        <v>397555.875</v>
      </c>
      <c r="ES9" s="246">
        <f t="shared" si="9"/>
        <v>105063</v>
      </c>
      <c r="ET9" s="246">
        <v>71048</v>
      </c>
      <c r="EU9" s="246">
        <f t="shared" si="10"/>
        <v>29350933</v>
      </c>
      <c r="EV9" s="247">
        <f t="shared" si="10"/>
        <v>440263.995</v>
      </c>
      <c r="EW9" s="246">
        <f t="shared" si="11"/>
        <v>1060408</v>
      </c>
      <c r="EX9" s="246">
        <f t="shared" si="12"/>
        <v>43575</v>
      </c>
      <c r="EY9" s="247">
        <f t="shared" si="13"/>
        <v>210550585</v>
      </c>
      <c r="EZ9" s="246">
        <f t="shared" si="14"/>
        <v>40308</v>
      </c>
      <c r="FA9" s="246">
        <f t="shared" si="14"/>
        <v>19959</v>
      </c>
      <c r="FB9" s="246">
        <f t="shared" si="14"/>
        <v>52991257</v>
      </c>
      <c r="FC9" s="247">
        <f t="shared" si="15"/>
        <v>715381.96950000001</v>
      </c>
      <c r="FD9" s="246">
        <v>97</v>
      </c>
      <c r="FE9" s="246">
        <v>95</v>
      </c>
      <c r="FF9" s="246">
        <v>98999</v>
      </c>
    </row>
    <row r="10" spans="1:162" s="248" customFormat="1" ht="15" customHeight="1">
      <c r="A10" s="236">
        <v>45543</v>
      </c>
      <c r="B10" s="237">
        <v>3007</v>
      </c>
      <c r="C10" s="237">
        <v>4925</v>
      </c>
      <c r="D10" s="237">
        <v>4925</v>
      </c>
      <c r="E10" s="237">
        <v>711791</v>
      </c>
      <c r="F10" s="237">
        <v>274057</v>
      </c>
      <c r="G10" s="237">
        <v>3418047</v>
      </c>
      <c r="H10" s="237">
        <v>2526223</v>
      </c>
      <c r="I10" s="237">
        <v>1579272</v>
      </c>
      <c r="J10" s="237">
        <v>6910</v>
      </c>
      <c r="K10" s="237">
        <v>231</v>
      </c>
      <c r="L10" s="237">
        <v>202447</v>
      </c>
      <c r="M10" s="237">
        <v>172296</v>
      </c>
      <c r="N10" s="237">
        <v>144295</v>
      </c>
      <c r="O10" s="237">
        <v>1073286</v>
      </c>
      <c r="P10" s="237">
        <v>203540890</v>
      </c>
      <c r="Q10" s="237">
        <v>5989</v>
      </c>
      <c r="R10" s="237">
        <v>973320</v>
      </c>
      <c r="S10" s="237">
        <v>8834859</v>
      </c>
      <c r="T10" s="237">
        <v>1</v>
      </c>
      <c r="U10" s="237">
        <v>112077</v>
      </c>
      <c r="V10" s="237">
        <v>31686</v>
      </c>
      <c r="W10" s="237">
        <v>92202</v>
      </c>
      <c r="X10" s="237">
        <v>565944673</v>
      </c>
      <c r="Y10" s="237">
        <v>1858698</v>
      </c>
      <c r="Z10" s="237">
        <v>5867</v>
      </c>
      <c r="AA10" s="237">
        <v>0</v>
      </c>
      <c r="AB10" s="237">
        <v>288</v>
      </c>
      <c r="AC10" s="237">
        <v>0</v>
      </c>
      <c r="AD10" s="237">
        <v>453</v>
      </c>
      <c r="AE10" s="237">
        <v>0</v>
      </c>
      <c r="AF10" s="237">
        <v>0</v>
      </c>
      <c r="AG10" s="237">
        <v>0</v>
      </c>
      <c r="AH10" s="237">
        <v>95151</v>
      </c>
      <c r="AI10" s="237">
        <v>80676</v>
      </c>
      <c r="AJ10" s="237">
        <v>681163634</v>
      </c>
      <c r="AK10" s="237">
        <v>7194</v>
      </c>
      <c r="AL10" s="237">
        <v>7352350</v>
      </c>
      <c r="AM10" s="255">
        <v>14414626</v>
      </c>
      <c r="AN10" s="237">
        <v>185540</v>
      </c>
      <c r="AO10" s="237">
        <v>15121</v>
      </c>
      <c r="AP10" s="237">
        <v>12050</v>
      </c>
      <c r="AQ10" s="237">
        <v>90282507</v>
      </c>
      <c r="AR10" s="237">
        <v>2868</v>
      </c>
      <c r="AS10" s="237">
        <v>876200</v>
      </c>
      <c r="AT10" s="237">
        <v>110</v>
      </c>
      <c r="AU10" s="237">
        <v>315</v>
      </c>
      <c r="AV10" s="237">
        <v>699075</v>
      </c>
      <c r="AW10" s="237">
        <v>284</v>
      </c>
      <c r="AX10" s="237">
        <v>30500</v>
      </c>
      <c r="AY10" s="237">
        <v>67</v>
      </c>
      <c r="AZ10" s="237">
        <v>57</v>
      </c>
      <c r="BA10" s="237">
        <v>2627984</v>
      </c>
      <c r="BB10" s="237">
        <v>30</v>
      </c>
      <c r="BC10" s="237">
        <v>19850</v>
      </c>
      <c r="BD10" s="237">
        <v>5837</v>
      </c>
      <c r="BE10" s="237">
        <v>2604</v>
      </c>
      <c r="BF10" s="237">
        <v>1850</v>
      </c>
      <c r="BG10" s="237">
        <v>35266931</v>
      </c>
      <c r="BH10" s="237">
        <v>5</v>
      </c>
      <c r="BI10" s="237">
        <v>0</v>
      </c>
      <c r="BJ10" s="237">
        <v>0</v>
      </c>
      <c r="BK10" s="237">
        <v>111</v>
      </c>
      <c r="BL10" s="237">
        <v>87</v>
      </c>
      <c r="BM10" s="237">
        <v>1645800</v>
      </c>
      <c r="BN10" s="237">
        <v>68</v>
      </c>
      <c r="BO10" s="237">
        <v>39400</v>
      </c>
      <c r="BP10" s="237">
        <v>15760</v>
      </c>
      <c r="BQ10" s="237">
        <v>35899</v>
      </c>
      <c r="BR10" s="237">
        <v>17437</v>
      </c>
      <c r="BS10" s="237">
        <v>48208144</v>
      </c>
      <c r="BT10" s="237">
        <v>0</v>
      </c>
      <c r="BU10" s="238">
        <f t="shared" si="0"/>
        <v>650809.94400000002</v>
      </c>
      <c r="BV10" s="237">
        <v>32</v>
      </c>
      <c r="BW10" s="237">
        <v>31</v>
      </c>
      <c r="BX10" s="237">
        <v>1723350</v>
      </c>
      <c r="BY10" s="237">
        <v>0</v>
      </c>
      <c r="BZ10" s="237">
        <v>8617</v>
      </c>
      <c r="CA10" s="238">
        <v>0</v>
      </c>
      <c r="CB10" s="238">
        <v>0</v>
      </c>
      <c r="CC10" s="238">
        <v>0</v>
      </c>
      <c r="CD10" s="238">
        <v>0</v>
      </c>
      <c r="CE10" s="238">
        <v>0</v>
      </c>
      <c r="CF10" s="237">
        <v>0</v>
      </c>
      <c r="CG10" s="237">
        <v>0</v>
      </c>
      <c r="CH10" s="237">
        <v>0</v>
      </c>
      <c r="CI10" s="237">
        <v>0</v>
      </c>
      <c r="CJ10" s="237">
        <v>0</v>
      </c>
      <c r="CK10" s="239">
        <v>0</v>
      </c>
      <c r="CL10" s="237">
        <v>0</v>
      </c>
      <c r="CM10" s="237">
        <v>0</v>
      </c>
      <c r="CN10" s="237">
        <v>0</v>
      </c>
      <c r="CO10" s="237">
        <v>88221</v>
      </c>
      <c r="CP10" s="237">
        <v>38973</v>
      </c>
      <c r="CQ10" s="239">
        <v>26199978</v>
      </c>
      <c r="CR10" s="237">
        <v>6377</v>
      </c>
      <c r="CS10" s="237">
        <v>8440</v>
      </c>
      <c r="CT10" s="237">
        <v>22590299</v>
      </c>
      <c r="CU10" s="237">
        <v>242611</v>
      </c>
      <c r="CV10" s="237">
        <v>2556</v>
      </c>
      <c r="CW10" s="237">
        <v>16656</v>
      </c>
      <c r="CX10" s="237">
        <v>16734</v>
      </c>
      <c r="CY10" s="237">
        <v>15857</v>
      </c>
      <c r="CZ10" s="237">
        <v>104647031</v>
      </c>
      <c r="DA10" s="237">
        <v>2284</v>
      </c>
      <c r="DB10" s="237">
        <v>11</v>
      </c>
      <c r="DC10" s="237">
        <v>1</v>
      </c>
      <c r="DD10" s="237">
        <v>455200</v>
      </c>
      <c r="DE10" s="237">
        <v>0</v>
      </c>
      <c r="DF10" s="237">
        <v>3724</v>
      </c>
      <c r="DG10" s="237">
        <v>110</v>
      </c>
      <c r="DH10" s="237">
        <v>0</v>
      </c>
      <c r="DI10" s="237">
        <v>0</v>
      </c>
      <c r="DJ10" s="237">
        <v>1</v>
      </c>
      <c r="DK10" s="237">
        <v>8278</v>
      </c>
      <c r="DL10" s="237">
        <v>2053</v>
      </c>
      <c r="DM10" s="237">
        <v>162888158</v>
      </c>
      <c r="DN10" s="237">
        <v>478</v>
      </c>
      <c r="DO10" s="237">
        <v>1093400</v>
      </c>
      <c r="DP10" s="237">
        <v>118</v>
      </c>
      <c r="DQ10" s="237">
        <v>2443104</v>
      </c>
      <c r="DR10" s="237">
        <v>62800</v>
      </c>
      <c r="DS10" s="237">
        <f t="shared" ref="DS10:DS22" si="19">DK10</f>
        <v>8278</v>
      </c>
      <c r="DT10" s="237">
        <f t="shared" ref="DT10:DT22" si="20">DM10</f>
        <v>162888158</v>
      </c>
      <c r="DU10" s="240">
        <f t="shared" si="1"/>
        <v>1093400</v>
      </c>
      <c r="DV10" s="237">
        <v>0</v>
      </c>
      <c r="DW10" s="237">
        <v>5756</v>
      </c>
      <c r="DX10" s="237">
        <v>112878341</v>
      </c>
      <c r="DY10" s="237">
        <f t="shared" ref="DY10:DZ22" si="21">DS10-DW10</f>
        <v>2522</v>
      </c>
      <c r="DZ10" s="237">
        <f t="shared" si="21"/>
        <v>50009817</v>
      </c>
      <c r="EA10" s="238">
        <f t="shared" si="2"/>
        <v>2429463</v>
      </c>
      <c r="EB10" s="238">
        <f t="shared" si="3"/>
        <v>1956718513</v>
      </c>
      <c r="EC10" s="238">
        <f t="shared" si="4"/>
        <v>28105</v>
      </c>
      <c r="ED10" s="241">
        <v>408316</v>
      </c>
      <c r="EE10" s="241">
        <v>141469</v>
      </c>
      <c r="EF10" s="241">
        <v>401642</v>
      </c>
      <c r="EG10" s="241">
        <v>30402</v>
      </c>
      <c r="EH10" s="241">
        <v>1169551</v>
      </c>
      <c r="EI10" s="242">
        <f t="shared" si="5"/>
        <v>18429512.813999999</v>
      </c>
      <c r="EJ10" s="243">
        <f t="shared" si="6"/>
        <v>9654667</v>
      </c>
      <c r="EK10" s="244">
        <v>8188</v>
      </c>
      <c r="EL10" s="245">
        <v>6766</v>
      </c>
      <c r="EM10" s="245">
        <v>2861273</v>
      </c>
      <c r="EN10" s="245">
        <f t="shared" si="7"/>
        <v>42919.095000000001</v>
      </c>
      <c r="EO10" s="245">
        <v>94438</v>
      </c>
      <c r="EP10" s="245">
        <v>63999</v>
      </c>
      <c r="EQ10" s="245">
        <v>24186585</v>
      </c>
      <c r="ER10" s="245">
        <f t="shared" si="8"/>
        <v>362798.77499999997</v>
      </c>
      <c r="ES10" s="246">
        <f t="shared" si="9"/>
        <v>102626</v>
      </c>
      <c r="ET10" s="246">
        <v>69305</v>
      </c>
      <c r="EU10" s="246">
        <f t="shared" si="10"/>
        <v>27047858</v>
      </c>
      <c r="EV10" s="247">
        <f t="shared" si="10"/>
        <v>405717.87</v>
      </c>
      <c r="EW10" s="246">
        <f t="shared" si="11"/>
        <v>1058881</v>
      </c>
      <c r="EX10" s="246">
        <f t="shared" si="12"/>
        <v>38973</v>
      </c>
      <c r="EY10" s="247">
        <f t="shared" si="13"/>
        <v>202693010</v>
      </c>
      <c r="EZ10" s="246">
        <f t="shared" si="14"/>
        <v>35899</v>
      </c>
      <c r="FA10" s="246">
        <f t="shared" si="14"/>
        <v>17437</v>
      </c>
      <c r="FB10" s="246">
        <f t="shared" si="14"/>
        <v>48208144</v>
      </c>
      <c r="FC10" s="247">
        <f t="shared" si="15"/>
        <v>650809.94400000002</v>
      </c>
      <c r="FD10" s="246">
        <v>91</v>
      </c>
      <c r="FE10" s="246">
        <v>84</v>
      </c>
      <c r="FF10" s="246">
        <v>97996</v>
      </c>
    </row>
    <row r="11" spans="1:162" s="248" customFormat="1" ht="15" customHeight="1">
      <c r="A11" s="236">
        <v>45544</v>
      </c>
      <c r="B11" s="237">
        <v>10197</v>
      </c>
      <c r="C11" s="237">
        <v>15686</v>
      </c>
      <c r="D11" s="237">
        <v>15686</v>
      </c>
      <c r="E11" s="237">
        <v>706154</v>
      </c>
      <c r="F11" s="237">
        <v>311843</v>
      </c>
      <c r="G11" s="237">
        <v>3422789</v>
      </c>
      <c r="H11" s="237">
        <v>2523730</v>
      </c>
      <c r="I11" s="237">
        <v>1581531</v>
      </c>
      <c r="J11" s="237">
        <v>9031</v>
      </c>
      <c r="K11" s="237">
        <v>466</v>
      </c>
      <c r="L11" s="237">
        <v>202803</v>
      </c>
      <c r="M11" s="237">
        <v>172663</v>
      </c>
      <c r="N11" s="237">
        <v>144672</v>
      </c>
      <c r="O11" s="237">
        <v>1160097</v>
      </c>
      <c r="P11" s="237">
        <v>227742980</v>
      </c>
      <c r="Q11" s="237">
        <v>6614</v>
      </c>
      <c r="R11" s="237">
        <v>1058265</v>
      </c>
      <c r="S11" s="237">
        <v>9931302</v>
      </c>
      <c r="T11" s="237"/>
      <c r="U11" s="237">
        <v>145008</v>
      </c>
      <c r="V11" s="237">
        <v>41686</v>
      </c>
      <c r="W11" s="237">
        <v>117613</v>
      </c>
      <c r="X11" s="237">
        <v>1155437195</v>
      </c>
      <c r="Y11" s="237">
        <v>3706568</v>
      </c>
      <c r="Z11" s="237">
        <v>7989</v>
      </c>
      <c r="AA11" s="237">
        <v>0</v>
      </c>
      <c r="AB11" s="237">
        <v>339</v>
      </c>
      <c r="AC11" s="237">
        <v>0</v>
      </c>
      <c r="AD11" s="237">
        <v>473</v>
      </c>
      <c r="AE11" s="237">
        <v>0</v>
      </c>
      <c r="AF11" s="237">
        <v>0</v>
      </c>
      <c r="AG11" s="237">
        <v>0</v>
      </c>
      <c r="AH11" s="237">
        <v>117170</v>
      </c>
      <c r="AI11" s="237">
        <v>97699</v>
      </c>
      <c r="AJ11" s="237">
        <v>1161140496</v>
      </c>
      <c r="AK11" s="237">
        <v>9661</v>
      </c>
      <c r="AL11" s="237">
        <v>10407046</v>
      </c>
      <c r="AM11" s="255">
        <v>20745739</v>
      </c>
      <c r="AN11" s="237">
        <v>271982</v>
      </c>
      <c r="AO11" s="237">
        <v>17299</v>
      </c>
      <c r="AP11" s="237">
        <v>13463</v>
      </c>
      <c r="AQ11" s="237">
        <v>146471757</v>
      </c>
      <c r="AR11" s="237">
        <v>3215</v>
      </c>
      <c r="AS11" s="237">
        <v>1009400</v>
      </c>
      <c r="AT11" s="237">
        <v>105</v>
      </c>
      <c r="AU11" s="237">
        <v>330</v>
      </c>
      <c r="AV11" s="237">
        <v>634915</v>
      </c>
      <c r="AW11" s="237">
        <v>314</v>
      </c>
      <c r="AX11" s="237">
        <v>30800</v>
      </c>
      <c r="AY11" s="237">
        <v>107</v>
      </c>
      <c r="AZ11" s="237">
        <v>83</v>
      </c>
      <c r="BA11" s="237">
        <v>5281692</v>
      </c>
      <c r="BB11" s="237">
        <v>46</v>
      </c>
      <c r="BC11" s="237">
        <v>35900</v>
      </c>
      <c r="BD11" s="237">
        <v>10854</v>
      </c>
      <c r="BE11" s="237">
        <v>3320</v>
      </c>
      <c r="BF11" s="237">
        <v>2256</v>
      </c>
      <c r="BG11" s="237">
        <v>61979178</v>
      </c>
      <c r="BH11" s="237">
        <v>8</v>
      </c>
      <c r="BI11" s="237">
        <v>0</v>
      </c>
      <c r="BJ11" s="237">
        <v>0</v>
      </c>
      <c r="BK11" s="237">
        <v>179</v>
      </c>
      <c r="BL11" s="237">
        <v>133</v>
      </c>
      <c r="BM11" s="237">
        <v>3916670</v>
      </c>
      <c r="BN11" s="237">
        <v>64</v>
      </c>
      <c r="BO11" s="237">
        <v>85950</v>
      </c>
      <c r="BP11" s="237">
        <v>34380</v>
      </c>
      <c r="BQ11" s="237">
        <v>39163</v>
      </c>
      <c r="BR11" s="237">
        <v>19350</v>
      </c>
      <c r="BS11" s="237">
        <v>48593847</v>
      </c>
      <c r="BT11" s="237">
        <v>0</v>
      </c>
      <c r="BU11" s="238">
        <f t="shared" si="0"/>
        <v>656016.93449999997</v>
      </c>
      <c r="BV11" s="237">
        <v>19</v>
      </c>
      <c r="BW11" s="237">
        <v>18</v>
      </c>
      <c r="BX11" s="237">
        <v>1080030</v>
      </c>
      <c r="BY11" s="237">
        <v>0</v>
      </c>
      <c r="BZ11" s="237">
        <v>5400</v>
      </c>
      <c r="CA11" s="238">
        <v>0</v>
      </c>
      <c r="CB11" s="238">
        <v>0</v>
      </c>
      <c r="CC11" s="238">
        <v>0</v>
      </c>
      <c r="CD11" s="238">
        <v>0</v>
      </c>
      <c r="CE11" s="238">
        <v>0</v>
      </c>
      <c r="CF11" s="237">
        <v>0</v>
      </c>
      <c r="CG11" s="237">
        <v>0</v>
      </c>
      <c r="CH11" s="237">
        <v>0</v>
      </c>
      <c r="CI11" s="237">
        <v>0</v>
      </c>
      <c r="CJ11" s="237">
        <v>0</v>
      </c>
      <c r="CK11" s="239">
        <v>1908</v>
      </c>
      <c r="CL11" s="237">
        <v>43058430</v>
      </c>
      <c r="CM11" s="237">
        <v>0</v>
      </c>
      <c r="CN11" s="237">
        <v>0</v>
      </c>
      <c r="CO11" s="237">
        <v>99095</v>
      </c>
      <c r="CP11" s="237">
        <v>45615</v>
      </c>
      <c r="CQ11" s="239">
        <v>33082980</v>
      </c>
      <c r="CR11" s="237">
        <v>6835</v>
      </c>
      <c r="CS11" s="237">
        <v>11475</v>
      </c>
      <c r="CT11" s="237">
        <v>31472824</v>
      </c>
      <c r="CU11" s="237">
        <v>328337</v>
      </c>
      <c r="CV11" s="237">
        <v>3424</v>
      </c>
      <c r="CW11" s="237">
        <v>23353</v>
      </c>
      <c r="CX11" s="237">
        <v>19642</v>
      </c>
      <c r="CY11" s="237">
        <v>18127</v>
      </c>
      <c r="CZ11" s="237">
        <v>334039253</v>
      </c>
      <c r="DA11" s="237">
        <v>2815</v>
      </c>
      <c r="DB11" s="237">
        <v>24</v>
      </c>
      <c r="DC11" s="237">
        <v>3</v>
      </c>
      <c r="DD11" s="237">
        <v>713400</v>
      </c>
      <c r="DE11" s="237">
        <v>2</v>
      </c>
      <c r="DF11" s="237">
        <v>6668</v>
      </c>
      <c r="DG11" s="237">
        <v>197</v>
      </c>
      <c r="DH11" s="237">
        <v>0</v>
      </c>
      <c r="DI11" s="237">
        <v>0</v>
      </c>
      <c r="DJ11" s="237">
        <v>1</v>
      </c>
      <c r="DK11" s="237">
        <v>11729</v>
      </c>
      <c r="DL11" s="237">
        <v>3365</v>
      </c>
      <c r="DM11" s="237">
        <v>388598388</v>
      </c>
      <c r="DN11" s="237">
        <v>901</v>
      </c>
      <c r="DO11" s="237">
        <v>2283750</v>
      </c>
      <c r="DP11" s="237">
        <v>186</v>
      </c>
      <c r="DQ11" s="237">
        <v>13289727</v>
      </c>
      <c r="DR11" s="237">
        <v>163250</v>
      </c>
      <c r="DS11" s="237">
        <f t="shared" si="19"/>
        <v>11729</v>
      </c>
      <c r="DT11" s="237">
        <f t="shared" si="20"/>
        <v>388598388</v>
      </c>
      <c r="DU11" s="240">
        <f t="shared" si="1"/>
        <v>2283750</v>
      </c>
      <c r="DV11" s="237">
        <v>0</v>
      </c>
      <c r="DW11" s="237">
        <v>7490</v>
      </c>
      <c r="DX11" s="237">
        <v>257364081</v>
      </c>
      <c r="DY11" s="237">
        <f t="shared" si="21"/>
        <v>4239</v>
      </c>
      <c r="DZ11" s="237">
        <f t="shared" si="21"/>
        <v>131234307</v>
      </c>
      <c r="EA11" s="238">
        <f t="shared" si="2"/>
        <v>2684606</v>
      </c>
      <c r="EB11" s="238">
        <f t="shared" si="3"/>
        <v>3653175337</v>
      </c>
      <c r="EC11" s="238">
        <f t="shared" si="4"/>
        <v>35032</v>
      </c>
      <c r="ED11" s="241">
        <v>763250</v>
      </c>
      <c r="EE11" s="241">
        <v>289548</v>
      </c>
      <c r="EF11" s="241">
        <v>297062</v>
      </c>
      <c r="EG11" s="241">
        <v>20324</v>
      </c>
      <c r="EH11" s="241">
        <v>1501478</v>
      </c>
      <c r="EI11" s="242">
        <f t="shared" si="5"/>
        <v>26848699.824500002</v>
      </c>
      <c r="EJ11" s="243">
        <f t="shared" si="6"/>
        <v>14485931</v>
      </c>
      <c r="EK11" s="244">
        <v>8349</v>
      </c>
      <c r="EL11" s="245">
        <v>7011</v>
      </c>
      <c r="EM11" s="245">
        <v>3123581</v>
      </c>
      <c r="EN11" s="245">
        <f t="shared" si="7"/>
        <v>46853.714999999997</v>
      </c>
      <c r="EO11" s="245">
        <v>95540</v>
      </c>
      <c r="EP11" s="245">
        <v>64981</v>
      </c>
      <c r="EQ11" s="245">
        <v>26183945</v>
      </c>
      <c r="ER11" s="245">
        <f t="shared" si="8"/>
        <v>392759.17499999999</v>
      </c>
      <c r="ES11" s="246">
        <f t="shared" si="9"/>
        <v>103889</v>
      </c>
      <c r="ET11" s="246">
        <v>70354</v>
      </c>
      <c r="EU11" s="246">
        <f t="shared" si="10"/>
        <v>29307526</v>
      </c>
      <c r="EV11" s="247">
        <f t="shared" si="10"/>
        <v>439612.89</v>
      </c>
      <c r="EW11" s="246">
        <f t="shared" si="11"/>
        <v>1155303</v>
      </c>
      <c r="EX11" s="246">
        <f t="shared" si="12"/>
        <v>45615</v>
      </c>
      <c r="EY11" s="247">
        <f t="shared" si="13"/>
        <v>231518434</v>
      </c>
      <c r="EZ11" s="246">
        <f t="shared" si="14"/>
        <v>39163</v>
      </c>
      <c r="FA11" s="246">
        <f t="shared" si="14"/>
        <v>19350</v>
      </c>
      <c r="FB11" s="246">
        <f t="shared" si="14"/>
        <v>48593847</v>
      </c>
      <c r="FC11" s="247">
        <f t="shared" si="15"/>
        <v>656016.93449999997</v>
      </c>
      <c r="FD11" s="246">
        <v>143</v>
      </c>
      <c r="FE11" s="246">
        <v>131</v>
      </c>
      <c r="FF11" s="246">
        <v>174996</v>
      </c>
    </row>
    <row r="12" spans="1:162" s="248" customFormat="1" ht="15" customHeight="1">
      <c r="A12" s="236">
        <v>45545</v>
      </c>
      <c r="B12" s="237">
        <v>9227</v>
      </c>
      <c r="C12" s="237">
        <v>14831</v>
      </c>
      <c r="D12" s="237">
        <v>14831</v>
      </c>
      <c r="E12" s="237">
        <v>704105</v>
      </c>
      <c r="F12" s="237">
        <v>307735</v>
      </c>
      <c r="G12" s="237">
        <v>3427509</v>
      </c>
      <c r="H12" s="237">
        <v>2520173</v>
      </c>
      <c r="I12" s="237">
        <v>1587785</v>
      </c>
      <c r="J12" s="237">
        <v>8860</v>
      </c>
      <c r="K12" s="237">
        <v>432</v>
      </c>
      <c r="L12" s="237">
        <v>203367</v>
      </c>
      <c r="M12" s="237">
        <v>172885</v>
      </c>
      <c r="N12" s="237">
        <v>145025</v>
      </c>
      <c r="O12" s="237">
        <v>1146799</v>
      </c>
      <c r="P12" s="237">
        <v>221120675</v>
      </c>
      <c r="Q12" s="237">
        <v>6307</v>
      </c>
      <c r="R12" s="237">
        <v>1043799</v>
      </c>
      <c r="S12" s="237">
        <v>9645010</v>
      </c>
      <c r="T12" s="237">
        <v>3</v>
      </c>
      <c r="U12" s="237">
        <v>141386</v>
      </c>
      <c r="V12" s="237">
        <v>41795</v>
      </c>
      <c r="W12" s="237">
        <v>113719</v>
      </c>
      <c r="X12" s="237">
        <v>1108772390</v>
      </c>
      <c r="Y12" s="237">
        <v>3583051</v>
      </c>
      <c r="Z12" s="237">
        <v>7705</v>
      </c>
      <c r="AA12" s="237">
        <v>0</v>
      </c>
      <c r="AB12" s="237">
        <v>312</v>
      </c>
      <c r="AC12" s="237">
        <v>0</v>
      </c>
      <c r="AD12" s="237">
        <v>430</v>
      </c>
      <c r="AE12" s="237">
        <v>0</v>
      </c>
      <c r="AF12" s="237">
        <v>0</v>
      </c>
      <c r="AG12" s="237">
        <v>0</v>
      </c>
      <c r="AH12" s="237">
        <v>108879</v>
      </c>
      <c r="AI12" s="237">
        <v>91645</v>
      </c>
      <c r="AJ12" s="237">
        <v>1061317717</v>
      </c>
      <c r="AK12" s="237">
        <v>8673</v>
      </c>
      <c r="AL12" s="237">
        <v>9793130</v>
      </c>
      <c r="AM12" s="237">
        <v>19362295</v>
      </c>
      <c r="AN12" s="237">
        <v>256469</v>
      </c>
      <c r="AO12" s="237">
        <v>16834</v>
      </c>
      <c r="AP12" s="237">
        <v>13230</v>
      </c>
      <c r="AQ12" s="237">
        <v>152763507</v>
      </c>
      <c r="AR12" s="237">
        <v>3179</v>
      </c>
      <c r="AS12" s="237">
        <v>987300</v>
      </c>
      <c r="AT12" s="237">
        <v>105</v>
      </c>
      <c r="AU12" s="237">
        <v>351</v>
      </c>
      <c r="AV12" s="237">
        <v>297723</v>
      </c>
      <c r="AW12" s="237">
        <v>337</v>
      </c>
      <c r="AX12" s="237">
        <v>25200</v>
      </c>
      <c r="AY12" s="237">
        <v>122</v>
      </c>
      <c r="AZ12" s="237">
        <v>96</v>
      </c>
      <c r="BA12" s="237">
        <v>4573499</v>
      </c>
      <c r="BB12" s="237">
        <v>70</v>
      </c>
      <c r="BC12" s="237">
        <v>34950</v>
      </c>
      <c r="BD12" s="237">
        <v>10687</v>
      </c>
      <c r="BE12" s="237">
        <v>3179</v>
      </c>
      <c r="BF12" s="237">
        <v>2115</v>
      </c>
      <c r="BG12" s="237">
        <v>51154378</v>
      </c>
      <c r="BH12" s="237">
        <v>5</v>
      </c>
      <c r="BI12" s="237">
        <v>0</v>
      </c>
      <c r="BJ12" s="237">
        <v>0</v>
      </c>
      <c r="BK12" s="237">
        <v>131</v>
      </c>
      <c r="BL12" s="237">
        <v>94</v>
      </c>
      <c r="BM12" s="237">
        <v>3209000</v>
      </c>
      <c r="BN12" s="237">
        <v>57</v>
      </c>
      <c r="BO12" s="237">
        <v>71550</v>
      </c>
      <c r="BP12" s="237">
        <v>28620</v>
      </c>
      <c r="BQ12" s="237">
        <v>48142</v>
      </c>
      <c r="BR12" s="237">
        <v>22558</v>
      </c>
      <c r="BS12" s="237">
        <v>56009751</v>
      </c>
      <c r="BT12" s="237">
        <v>0</v>
      </c>
      <c r="BU12" s="238">
        <f t="shared" si="0"/>
        <v>756131.6385</v>
      </c>
      <c r="BV12" s="237">
        <v>34</v>
      </c>
      <c r="BW12" s="237">
        <v>31</v>
      </c>
      <c r="BX12" s="237">
        <v>2270779</v>
      </c>
      <c r="BY12" s="237">
        <v>0</v>
      </c>
      <c r="BZ12" s="237">
        <v>11354</v>
      </c>
      <c r="CA12" s="238">
        <v>0</v>
      </c>
      <c r="CB12" s="238">
        <v>0</v>
      </c>
      <c r="CC12" s="238">
        <v>0</v>
      </c>
      <c r="CD12" s="238">
        <v>0</v>
      </c>
      <c r="CE12" s="238">
        <v>0</v>
      </c>
      <c r="CF12" s="237">
        <v>0</v>
      </c>
      <c r="CG12" s="237">
        <v>0</v>
      </c>
      <c r="CH12" s="237">
        <v>0</v>
      </c>
      <c r="CI12" s="237">
        <v>0</v>
      </c>
      <c r="CJ12" s="237">
        <v>0</v>
      </c>
      <c r="CK12" s="239">
        <v>3550</v>
      </c>
      <c r="CL12" s="237">
        <v>57143708</v>
      </c>
      <c r="CM12" s="237">
        <v>0</v>
      </c>
      <c r="CN12" s="237">
        <v>0</v>
      </c>
      <c r="CO12" s="237">
        <v>93186</v>
      </c>
      <c r="CP12" s="237">
        <v>44371</v>
      </c>
      <c r="CQ12" s="239">
        <v>29619825</v>
      </c>
      <c r="CR12" s="237">
        <v>6668</v>
      </c>
      <c r="CS12" s="237">
        <v>9700</v>
      </c>
      <c r="CT12" s="237">
        <v>26905440</v>
      </c>
      <c r="CU12" s="237">
        <v>284425</v>
      </c>
      <c r="CV12" s="237">
        <v>2182</v>
      </c>
      <c r="CW12" s="237">
        <v>19820</v>
      </c>
      <c r="CX12" s="237">
        <v>18348</v>
      </c>
      <c r="CY12" s="237">
        <v>16911</v>
      </c>
      <c r="CZ12" s="237">
        <v>330740460</v>
      </c>
      <c r="DA12" s="237">
        <v>2578</v>
      </c>
      <c r="DB12" s="237">
        <v>27</v>
      </c>
      <c r="DC12" s="237">
        <v>2</v>
      </c>
      <c r="DD12" s="237">
        <v>339700</v>
      </c>
      <c r="DE12" s="237">
        <v>1</v>
      </c>
      <c r="DF12" s="237">
        <v>3954</v>
      </c>
      <c r="DG12" s="237">
        <v>120</v>
      </c>
      <c r="DH12" s="237">
        <v>0</v>
      </c>
      <c r="DI12" s="237">
        <v>0</v>
      </c>
      <c r="DJ12" s="237">
        <v>1</v>
      </c>
      <c r="DK12" s="237">
        <v>11067</v>
      </c>
      <c r="DL12" s="237">
        <v>3142</v>
      </c>
      <c r="DM12" s="237">
        <v>340558961</v>
      </c>
      <c r="DN12" s="237">
        <v>751</v>
      </c>
      <c r="DO12" s="237">
        <v>2134950</v>
      </c>
      <c r="DP12" s="237">
        <v>167</v>
      </c>
      <c r="DQ12" s="237">
        <v>10548703</v>
      </c>
      <c r="DR12" s="237">
        <v>139300</v>
      </c>
      <c r="DS12" s="237">
        <f t="shared" si="19"/>
        <v>11067</v>
      </c>
      <c r="DT12" s="237">
        <f t="shared" si="20"/>
        <v>340558961</v>
      </c>
      <c r="DU12" s="240">
        <f t="shared" si="1"/>
        <v>2134950</v>
      </c>
      <c r="DV12" s="237">
        <v>0</v>
      </c>
      <c r="DW12" s="237">
        <v>7061</v>
      </c>
      <c r="DX12" s="237">
        <v>219794422</v>
      </c>
      <c r="DY12" s="237">
        <f t="shared" si="21"/>
        <v>4006</v>
      </c>
      <c r="DZ12" s="237">
        <f t="shared" si="21"/>
        <v>120764539</v>
      </c>
      <c r="EA12" s="238">
        <f t="shared" si="2"/>
        <v>2645289</v>
      </c>
      <c r="EB12" s="238">
        <f t="shared" si="3"/>
        <v>3456442523</v>
      </c>
      <c r="EC12" s="238">
        <f t="shared" si="4"/>
        <v>32055</v>
      </c>
      <c r="ED12" s="241">
        <v>2276938</v>
      </c>
      <c r="EE12" s="241">
        <v>366624</v>
      </c>
      <c r="EF12" s="241">
        <v>541139</v>
      </c>
      <c r="EG12" s="241">
        <v>0</v>
      </c>
      <c r="EH12" s="241">
        <v>1329848</v>
      </c>
      <c r="EI12" s="242">
        <f t="shared" si="5"/>
        <v>26873629.383499999</v>
      </c>
      <c r="EJ12" s="243">
        <f t="shared" si="6"/>
        <v>13980401</v>
      </c>
      <c r="EK12" s="244">
        <v>8556</v>
      </c>
      <c r="EL12" s="245">
        <v>7104</v>
      </c>
      <c r="EM12" s="245">
        <v>3082843</v>
      </c>
      <c r="EN12" s="245">
        <f t="shared" si="7"/>
        <v>46242.644999999997</v>
      </c>
      <c r="EO12" s="245">
        <v>97124</v>
      </c>
      <c r="EP12" s="245">
        <v>65640</v>
      </c>
      <c r="EQ12" s="245">
        <v>25477940</v>
      </c>
      <c r="ER12" s="245">
        <f t="shared" si="8"/>
        <v>382169.1</v>
      </c>
      <c r="ES12" s="246">
        <f t="shared" si="9"/>
        <v>105680</v>
      </c>
      <c r="ET12" s="246">
        <v>71120</v>
      </c>
      <c r="EU12" s="246">
        <f t="shared" si="10"/>
        <v>28560783</v>
      </c>
      <c r="EV12" s="247">
        <f t="shared" si="10"/>
        <v>428411.745</v>
      </c>
      <c r="EW12" s="246">
        <f t="shared" si="11"/>
        <v>1134305</v>
      </c>
      <c r="EX12" s="246">
        <f t="shared" si="12"/>
        <v>44371</v>
      </c>
      <c r="EY12" s="247">
        <f t="shared" si="13"/>
        <v>222179717</v>
      </c>
      <c r="EZ12" s="246">
        <f t="shared" si="14"/>
        <v>48142</v>
      </c>
      <c r="FA12" s="246">
        <f t="shared" si="14"/>
        <v>22558</v>
      </c>
      <c r="FB12" s="246">
        <f t="shared" si="14"/>
        <v>56009751</v>
      </c>
      <c r="FC12" s="247">
        <f t="shared" si="15"/>
        <v>756131.6385</v>
      </c>
      <c r="FD12" s="246">
        <v>108</v>
      </c>
      <c r="FE12" s="246">
        <v>103</v>
      </c>
      <c r="FF12" s="246">
        <v>133500</v>
      </c>
    </row>
    <row r="13" spans="1:162" s="248" customFormat="1" ht="15" customHeight="1">
      <c r="A13" s="236">
        <v>45546</v>
      </c>
      <c r="B13" s="237">
        <v>10059</v>
      </c>
      <c r="C13" s="237">
        <v>19468</v>
      </c>
      <c r="D13" s="237">
        <v>19466</v>
      </c>
      <c r="E13" s="237">
        <v>703106</v>
      </c>
      <c r="F13" s="237">
        <v>306299</v>
      </c>
      <c r="G13" s="237">
        <v>3432278</v>
      </c>
      <c r="H13" s="237">
        <v>2520965</v>
      </c>
      <c r="I13" s="237">
        <v>1589781</v>
      </c>
      <c r="J13" s="237">
        <v>8907</v>
      </c>
      <c r="K13" s="237">
        <v>382</v>
      </c>
      <c r="L13" s="237">
        <v>203893</v>
      </c>
      <c r="M13" s="237">
        <v>173221</v>
      </c>
      <c r="N13" s="237">
        <v>145463</v>
      </c>
      <c r="O13" s="237">
        <v>1124958</v>
      </c>
      <c r="P13" s="237">
        <v>217340335</v>
      </c>
      <c r="Q13" s="237">
        <v>6406</v>
      </c>
      <c r="R13" s="237">
        <v>1025046</v>
      </c>
      <c r="S13" s="237">
        <v>9483124</v>
      </c>
      <c r="T13" s="237"/>
      <c r="U13" s="237">
        <v>138601</v>
      </c>
      <c r="V13" s="237">
        <v>41623</v>
      </c>
      <c r="W13" s="237">
        <v>112568</v>
      </c>
      <c r="X13" s="237">
        <v>1056630265</v>
      </c>
      <c r="Y13" s="237">
        <v>3407048</v>
      </c>
      <c r="Z13" s="237">
        <v>7741</v>
      </c>
      <c r="AA13" s="237">
        <v>0</v>
      </c>
      <c r="AB13" s="237">
        <v>340</v>
      </c>
      <c r="AC13" s="237">
        <v>0</v>
      </c>
      <c r="AD13" s="237">
        <v>484</v>
      </c>
      <c r="AE13" s="237">
        <v>0</v>
      </c>
      <c r="AF13" s="237">
        <v>0</v>
      </c>
      <c r="AG13" s="237">
        <v>0</v>
      </c>
      <c r="AH13" s="237">
        <v>114889</v>
      </c>
      <c r="AI13" s="237">
        <v>96074</v>
      </c>
      <c r="AJ13" s="237">
        <v>1070676552</v>
      </c>
      <c r="AK13" s="237">
        <v>9051</v>
      </c>
      <c r="AL13" s="237">
        <v>10162150</v>
      </c>
      <c r="AM13" s="237">
        <v>20029227</v>
      </c>
      <c r="AN13" s="237">
        <v>265526</v>
      </c>
      <c r="AO13" s="237">
        <v>16869</v>
      </c>
      <c r="AP13" s="237">
        <v>13301</v>
      </c>
      <c r="AQ13" s="237">
        <v>156527885</v>
      </c>
      <c r="AR13" s="237">
        <v>3130</v>
      </c>
      <c r="AS13" s="237">
        <v>1021100</v>
      </c>
      <c r="AT13" s="237">
        <v>115</v>
      </c>
      <c r="AU13" s="237">
        <v>369</v>
      </c>
      <c r="AV13" s="237">
        <v>897265</v>
      </c>
      <c r="AW13" s="237">
        <v>358</v>
      </c>
      <c r="AX13" s="237">
        <v>36400</v>
      </c>
      <c r="AY13" s="237">
        <v>828</v>
      </c>
      <c r="AZ13" s="237">
        <v>667</v>
      </c>
      <c r="BA13" s="237">
        <v>22028418</v>
      </c>
      <c r="BB13" s="237">
        <v>203</v>
      </c>
      <c r="BC13" s="237">
        <v>30400</v>
      </c>
      <c r="BD13" s="237">
        <v>9468</v>
      </c>
      <c r="BE13" s="237">
        <v>2739</v>
      </c>
      <c r="BF13" s="237">
        <v>1913</v>
      </c>
      <c r="BG13" s="237">
        <v>53473925</v>
      </c>
      <c r="BH13" s="237">
        <v>11</v>
      </c>
      <c r="BI13" s="237">
        <v>0</v>
      </c>
      <c r="BJ13" s="237">
        <v>0</v>
      </c>
      <c r="BK13" s="237">
        <v>145</v>
      </c>
      <c r="BL13" s="237">
        <v>113</v>
      </c>
      <c r="BM13" s="237">
        <v>2912400</v>
      </c>
      <c r="BN13" s="237">
        <v>96</v>
      </c>
      <c r="BO13" s="237">
        <v>60750</v>
      </c>
      <c r="BP13" s="237">
        <v>24300</v>
      </c>
      <c r="BQ13" s="237">
        <v>33561</v>
      </c>
      <c r="BR13" s="237">
        <v>15450</v>
      </c>
      <c r="BS13" s="237">
        <v>45119585</v>
      </c>
      <c r="BT13" s="237">
        <v>0</v>
      </c>
      <c r="BU13" s="238">
        <f t="shared" si="0"/>
        <v>609114.39749999996</v>
      </c>
      <c r="BV13" s="237">
        <v>24</v>
      </c>
      <c r="BW13" s="237">
        <v>22</v>
      </c>
      <c r="BX13" s="237">
        <v>776995</v>
      </c>
      <c r="BY13" s="237">
        <v>0</v>
      </c>
      <c r="BZ13" s="237">
        <v>3885</v>
      </c>
      <c r="CA13" s="238">
        <v>0</v>
      </c>
      <c r="CB13" s="238">
        <v>0</v>
      </c>
      <c r="CC13" s="238">
        <v>0</v>
      </c>
      <c r="CD13" s="238">
        <v>0</v>
      </c>
      <c r="CE13" s="238">
        <v>0</v>
      </c>
      <c r="CF13" s="237">
        <v>0</v>
      </c>
      <c r="CG13" s="237">
        <v>0</v>
      </c>
      <c r="CH13" s="237">
        <v>0</v>
      </c>
      <c r="CI13" s="237">
        <v>0</v>
      </c>
      <c r="CJ13" s="237">
        <v>0</v>
      </c>
      <c r="CK13" s="239">
        <v>1591</v>
      </c>
      <c r="CL13" s="237">
        <v>36834883</v>
      </c>
      <c r="CM13" s="237">
        <v>0</v>
      </c>
      <c r="CN13" s="237">
        <v>0</v>
      </c>
      <c r="CO13" s="237">
        <v>95484</v>
      </c>
      <c r="CP13" s="237">
        <v>45454</v>
      </c>
      <c r="CQ13" s="239">
        <v>30133825</v>
      </c>
      <c r="CR13" s="237">
        <v>6648</v>
      </c>
      <c r="CS13" s="237">
        <v>9448</v>
      </c>
      <c r="CT13" s="237">
        <v>25370271</v>
      </c>
      <c r="CU13" s="237">
        <v>267066</v>
      </c>
      <c r="CV13" s="237">
        <v>2091</v>
      </c>
      <c r="CW13" s="237">
        <v>19166</v>
      </c>
      <c r="CX13" s="237">
        <v>18771</v>
      </c>
      <c r="CY13" s="237">
        <v>17268</v>
      </c>
      <c r="CZ13" s="237">
        <v>234060313</v>
      </c>
      <c r="DA13" s="237">
        <v>2730</v>
      </c>
      <c r="DB13" s="237">
        <v>29</v>
      </c>
      <c r="DC13" s="237">
        <v>2</v>
      </c>
      <c r="DD13" s="237">
        <v>411200</v>
      </c>
      <c r="DE13" s="237">
        <v>1</v>
      </c>
      <c r="DF13" s="237">
        <v>4553</v>
      </c>
      <c r="DG13" s="237">
        <v>138</v>
      </c>
      <c r="DH13" s="237">
        <v>0</v>
      </c>
      <c r="DI13" s="237">
        <v>0</v>
      </c>
      <c r="DJ13" s="237">
        <v>1</v>
      </c>
      <c r="DK13" s="237">
        <v>11007</v>
      </c>
      <c r="DL13" s="237">
        <v>3236</v>
      </c>
      <c r="DM13" s="237">
        <v>341727592</v>
      </c>
      <c r="DN13" s="237">
        <v>894</v>
      </c>
      <c r="DO13" s="237">
        <v>2177400</v>
      </c>
      <c r="DP13" s="237">
        <v>291</v>
      </c>
      <c r="DQ13" s="237">
        <v>11241198</v>
      </c>
      <c r="DR13" s="237">
        <v>202400</v>
      </c>
      <c r="DS13" s="237">
        <f t="shared" si="19"/>
        <v>11007</v>
      </c>
      <c r="DT13" s="237">
        <f t="shared" si="20"/>
        <v>341727592</v>
      </c>
      <c r="DU13" s="240">
        <f t="shared" si="1"/>
        <v>2177400</v>
      </c>
      <c r="DV13" s="237">
        <v>0</v>
      </c>
      <c r="DW13" s="237">
        <v>6951</v>
      </c>
      <c r="DX13" s="237">
        <v>223382081</v>
      </c>
      <c r="DY13" s="237">
        <f t="shared" si="21"/>
        <v>4056</v>
      </c>
      <c r="DZ13" s="237">
        <f t="shared" si="21"/>
        <v>118345511</v>
      </c>
      <c r="EA13" s="238">
        <f t="shared" si="2"/>
        <v>2594106</v>
      </c>
      <c r="EB13" s="238">
        <f t="shared" si="3"/>
        <v>3304404833</v>
      </c>
      <c r="EC13" s="238">
        <f t="shared" si="4"/>
        <v>32835</v>
      </c>
      <c r="ED13" s="241">
        <v>583715</v>
      </c>
      <c r="EE13" s="241">
        <v>488470</v>
      </c>
      <c r="EF13" s="256">
        <v>523843</v>
      </c>
      <c r="EG13" s="256">
        <v>42006</v>
      </c>
      <c r="EH13" s="241">
        <v>1366193</v>
      </c>
      <c r="EI13" s="242">
        <f t="shared" si="5"/>
        <v>25868227.8475</v>
      </c>
      <c r="EJ13" s="243">
        <f t="shared" si="6"/>
        <v>14150528</v>
      </c>
      <c r="EK13" s="244">
        <v>8814</v>
      </c>
      <c r="EL13" s="245">
        <v>7297</v>
      </c>
      <c r="EM13" s="245">
        <v>2838370</v>
      </c>
      <c r="EN13" s="245">
        <f t="shared" si="7"/>
        <v>42575.549999999996</v>
      </c>
      <c r="EO13" s="245">
        <v>94120</v>
      </c>
      <c r="EP13" s="245">
        <v>63992</v>
      </c>
      <c r="EQ13" s="245">
        <v>24875060</v>
      </c>
      <c r="ER13" s="245">
        <f t="shared" si="8"/>
        <v>373125.89999999997</v>
      </c>
      <c r="ES13" s="246">
        <f t="shared" si="9"/>
        <v>102934</v>
      </c>
      <c r="ET13" s="246">
        <v>69714</v>
      </c>
      <c r="EU13" s="246">
        <f t="shared" si="10"/>
        <v>27713430</v>
      </c>
      <c r="EV13" s="247">
        <f t="shared" si="10"/>
        <v>415701.44999999995</v>
      </c>
      <c r="EW13" s="246">
        <f t="shared" si="11"/>
        <v>1117508</v>
      </c>
      <c r="EX13" s="246">
        <f t="shared" si="12"/>
        <v>45454</v>
      </c>
      <c r="EY13" s="247">
        <f t="shared" si="13"/>
        <v>219760730</v>
      </c>
      <c r="EZ13" s="246">
        <f t="shared" si="14"/>
        <v>33561</v>
      </c>
      <c r="FA13" s="246">
        <f t="shared" si="14"/>
        <v>15450</v>
      </c>
      <c r="FB13" s="246">
        <f t="shared" si="14"/>
        <v>45119585</v>
      </c>
      <c r="FC13" s="247">
        <f t="shared" si="15"/>
        <v>609114.39749999996</v>
      </c>
      <c r="FD13" s="246">
        <v>121</v>
      </c>
      <c r="FE13" s="246">
        <v>109</v>
      </c>
      <c r="FF13" s="246">
        <v>144999</v>
      </c>
    </row>
    <row r="14" spans="1:162" s="248" customFormat="1" ht="15" customHeight="1">
      <c r="A14" s="236">
        <v>45547</v>
      </c>
      <c r="B14" s="237">
        <v>9268</v>
      </c>
      <c r="C14" s="237">
        <v>14309</v>
      </c>
      <c r="D14" s="237">
        <v>14309</v>
      </c>
      <c r="E14" s="237">
        <v>701782</v>
      </c>
      <c r="F14" s="237">
        <v>426054</v>
      </c>
      <c r="G14" s="237">
        <v>3436670</v>
      </c>
      <c r="H14" s="237">
        <v>2523562</v>
      </c>
      <c r="I14" s="237">
        <v>1592555</v>
      </c>
      <c r="J14" s="237">
        <v>8828</v>
      </c>
      <c r="K14" s="237">
        <v>458</v>
      </c>
      <c r="L14" s="237">
        <v>204438</v>
      </c>
      <c r="M14" s="237">
        <v>173555</v>
      </c>
      <c r="N14" s="237">
        <v>145887</v>
      </c>
      <c r="O14" s="237">
        <v>1131705</v>
      </c>
      <c r="P14" s="237">
        <v>219465480</v>
      </c>
      <c r="Q14" s="237">
        <v>6321</v>
      </c>
      <c r="R14" s="237">
        <v>1031336</v>
      </c>
      <c r="S14" s="237">
        <v>9587428</v>
      </c>
      <c r="T14" s="237">
        <v>1</v>
      </c>
      <c r="U14" s="237">
        <v>138633</v>
      </c>
      <c r="V14" s="237">
        <v>41668</v>
      </c>
      <c r="W14" s="237">
        <v>112747</v>
      </c>
      <c r="X14" s="237">
        <v>1007398305</v>
      </c>
      <c r="Y14" s="237">
        <v>3275497</v>
      </c>
      <c r="Z14" s="237">
        <v>7802</v>
      </c>
      <c r="AA14" s="237">
        <v>0</v>
      </c>
      <c r="AB14" s="237">
        <v>288</v>
      </c>
      <c r="AC14" s="237">
        <v>0</v>
      </c>
      <c r="AD14" s="237">
        <v>389</v>
      </c>
      <c r="AE14" s="237">
        <v>0</v>
      </c>
      <c r="AF14" s="237">
        <v>0</v>
      </c>
      <c r="AG14" s="237">
        <v>0</v>
      </c>
      <c r="AH14" s="237">
        <v>110852</v>
      </c>
      <c r="AI14" s="237">
        <v>93301</v>
      </c>
      <c r="AJ14" s="237">
        <v>1027778370</v>
      </c>
      <c r="AK14" s="237">
        <v>8916</v>
      </c>
      <c r="AL14" s="237">
        <v>9646708</v>
      </c>
      <c r="AM14" s="237">
        <v>19072355</v>
      </c>
      <c r="AN14" s="237">
        <v>250938</v>
      </c>
      <c r="AO14" s="237">
        <v>16160</v>
      </c>
      <c r="AP14" s="237">
        <v>12799</v>
      </c>
      <c r="AQ14" s="237">
        <v>144684206</v>
      </c>
      <c r="AR14" s="237">
        <v>3074</v>
      </c>
      <c r="AS14" s="237">
        <v>962300</v>
      </c>
      <c r="AT14" s="237">
        <v>113</v>
      </c>
      <c r="AU14" s="237">
        <v>352</v>
      </c>
      <c r="AV14" s="237">
        <v>517594</v>
      </c>
      <c r="AW14" s="237">
        <v>353</v>
      </c>
      <c r="AX14" s="237">
        <v>31400</v>
      </c>
      <c r="AY14" s="237">
        <v>84</v>
      </c>
      <c r="AZ14" s="237">
        <v>68</v>
      </c>
      <c r="BA14" s="237">
        <v>2250931</v>
      </c>
      <c r="BB14" s="237">
        <v>48</v>
      </c>
      <c r="BC14" s="237">
        <v>18200</v>
      </c>
      <c r="BD14" s="237">
        <v>5539</v>
      </c>
      <c r="BE14" s="237">
        <v>2320</v>
      </c>
      <c r="BF14" s="237">
        <v>1729</v>
      </c>
      <c r="BG14" s="237">
        <v>44667336</v>
      </c>
      <c r="BH14" s="237">
        <v>15</v>
      </c>
      <c r="BI14" s="237">
        <v>0</v>
      </c>
      <c r="BJ14" s="237">
        <v>0</v>
      </c>
      <c r="BK14" s="237">
        <v>188</v>
      </c>
      <c r="BL14" s="237">
        <v>131</v>
      </c>
      <c r="BM14" s="237">
        <v>4114140</v>
      </c>
      <c r="BN14" s="237">
        <v>23</v>
      </c>
      <c r="BO14" s="237">
        <v>92400</v>
      </c>
      <c r="BP14" s="237">
        <v>36960</v>
      </c>
      <c r="BQ14" s="237">
        <v>32537</v>
      </c>
      <c r="BR14" s="237">
        <v>15683</v>
      </c>
      <c r="BS14" s="237">
        <v>46328436</v>
      </c>
      <c r="BT14" s="237">
        <v>0</v>
      </c>
      <c r="BU14" s="238">
        <f t="shared" si="0"/>
        <v>625433.88599999994</v>
      </c>
      <c r="BV14" s="237">
        <v>26</v>
      </c>
      <c r="BW14" s="237">
        <v>24</v>
      </c>
      <c r="BX14" s="237">
        <v>863695</v>
      </c>
      <c r="BY14" s="237">
        <v>0</v>
      </c>
      <c r="BZ14" s="237">
        <v>4318</v>
      </c>
      <c r="CA14" s="238">
        <v>0</v>
      </c>
      <c r="CB14" s="238">
        <v>0</v>
      </c>
      <c r="CC14" s="238">
        <v>0</v>
      </c>
      <c r="CD14" s="238">
        <v>0</v>
      </c>
      <c r="CE14" s="238">
        <v>0</v>
      </c>
      <c r="CF14" s="237">
        <v>0</v>
      </c>
      <c r="CG14" s="237">
        <v>0</v>
      </c>
      <c r="CH14" s="237">
        <v>0</v>
      </c>
      <c r="CI14" s="237">
        <v>0</v>
      </c>
      <c r="CJ14" s="237">
        <v>0</v>
      </c>
      <c r="CK14" s="237">
        <v>83</v>
      </c>
      <c r="CL14" s="237">
        <v>81424821</v>
      </c>
      <c r="CM14" s="237">
        <v>0</v>
      </c>
      <c r="CN14" s="237">
        <v>0</v>
      </c>
      <c r="CO14" s="237">
        <v>96294</v>
      </c>
      <c r="CP14" s="237">
        <v>44969</v>
      </c>
      <c r="CQ14" s="237">
        <v>29804968</v>
      </c>
      <c r="CR14" s="237">
        <v>6617</v>
      </c>
      <c r="CS14" s="237">
        <v>9755</v>
      </c>
      <c r="CT14" s="237">
        <v>25424805</v>
      </c>
      <c r="CU14" s="237">
        <v>266348</v>
      </c>
      <c r="CV14" s="237">
        <v>2026</v>
      </c>
      <c r="CW14" s="237">
        <v>19893</v>
      </c>
      <c r="CX14" s="237">
        <v>18244</v>
      </c>
      <c r="CY14" s="237">
        <v>17001</v>
      </c>
      <c r="CZ14" s="237">
        <v>195456945</v>
      </c>
      <c r="DA14" s="237">
        <v>2627</v>
      </c>
      <c r="DB14" s="237">
        <v>28</v>
      </c>
      <c r="DC14" s="237">
        <v>2</v>
      </c>
      <c r="DD14" s="237">
        <v>443900</v>
      </c>
      <c r="DE14" s="237">
        <v>1</v>
      </c>
      <c r="DF14" s="237">
        <v>4885</v>
      </c>
      <c r="DG14" s="237">
        <v>145</v>
      </c>
      <c r="DH14" s="237">
        <v>0</v>
      </c>
      <c r="DI14" s="237">
        <v>0</v>
      </c>
      <c r="DJ14" s="237">
        <v>1</v>
      </c>
      <c r="DK14" s="237">
        <v>11348</v>
      </c>
      <c r="DL14" s="237">
        <v>3220</v>
      </c>
      <c r="DM14" s="237">
        <v>366874610</v>
      </c>
      <c r="DN14" s="237">
        <v>932</v>
      </c>
      <c r="DO14" s="237">
        <v>2127500</v>
      </c>
      <c r="DP14" s="237">
        <v>138</v>
      </c>
      <c r="DQ14" s="237">
        <v>8913098</v>
      </c>
      <c r="DR14" s="237">
        <v>145800</v>
      </c>
      <c r="DS14" s="237">
        <f t="shared" si="19"/>
        <v>11348</v>
      </c>
      <c r="DT14" s="237">
        <f t="shared" si="20"/>
        <v>366874610</v>
      </c>
      <c r="DU14" s="240">
        <f t="shared" si="1"/>
        <v>2127500</v>
      </c>
      <c r="DV14" s="237">
        <v>0</v>
      </c>
      <c r="DW14" s="237">
        <v>7295</v>
      </c>
      <c r="DX14" s="237">
        <v>249251842</v>
      </c>
      <c r="DY14" s="237">
        <f t="shared" si="21"/>
        <v>4053</v>
      </c>
      <c r="DZ14" s="237">
        <f t="shared" si="21"/>
        <v>117622768</v>
      </c>
      <c r="EA14" s="238">
        <f t="shared" si="2"/>
        <v>2599707</v>
      </c>
      <c r="EB14" s="238">
        <f t="shared" si="3"/>
        <v>3207085970</v>
      </c>
      <c r="EC14" s="238">
        <f t="shared" si="4"/>
        <v>32030</v>
      </c>
      <c r="ED14" s="256">
        <v>789079</v>
      </c>
      <c r="EE14" s="256">
        <v>517555</v>
      </c>
      <c r="EF14" s="256">
        <v>500712</v>
      </c>
      <c r="EG14" s="256">
        <v>37225</v>
      </c>
      <c r="EH14" s="256">
        <v>1351927</v>
      </c>
      <c r="EI14" s="242">
        <f t="shared" si="5"/>
        <v>25053547.155999999</v>
      </c>
      <c r="EJ14" s="243">
        <f t="shared" si="6"/>
        <v>13490194</v>
      </c>
      <c r="EK14" s="244">
        <v>8614</v>
      </c>
      <c r="EL14" s="245">
        <v>7186</v>
      </c>
      <c r="EM14" s="245">
        <v>2806793</v>
      </c>
      <c r="EN14" s="245">
        <f t="shared" si="7"/>
        <v>42101.894999999997</v>
      </c>
      <c r="EO14" s="245">
        <v>94547</v>
      </c>
      <c r="EP14" s="245">
        <v>64117</v>
      </c>
      <c r="EQ14" s="245">
        <v>25004225</v>
      </c>
      <c r="ER14" s="245">
        <f t="shared" si="8"/>
        <v>375063.375</v>
      </c>
      <c r="ES14" s="246">
        <f t="shared" si="9"/>
        <v>103161</v>
      </c>
      <c r="ET14" s="246">
        <v>69759</v>
      </c>
      <c r="EU14" s="246">
        <f t="shared" si="10"/>
        <v>27811018</v>
      </c>
      <c r="EV14" s="247">
        <f t="shared" si="10"/>
        <v>417165.27</v>
      </c>
      <c r="EW14" s="246">
        <f t="shared" si="11"/>
        <v>1124838</v>
      </c>
      <c r="EX14" s="246">
        <f t="shared" si="12"/>
        <v>44969</v>
      </c>
      <c r="EY14" s="247">
        <f t="shared" si="13"/>
        <v>221459430</v>
      </c>
      <c r="EZ14" s="246">
        <f t="shared" si="14"/>
        <v>32537</v>
      </c>
      <c r="FA14" s="246">
        <f t="shared" si="14"/>
        <v>15683</v>
      </c>
      <c r="FB14" s="246">
        <f t="shared" si="14"/>
        <v>46328436</v>
      </c>
      <c r="FC14" s="247">
        <f t="shared" si="15"/>
        <v>625433.88599999994</v>
      </c>
      <c r="FD14" s="246">
        <v>119</v>
      </c>
      <c r="FE14" s="246">
        <v>114</v>
      </c>
      <c r="FF14" s="246">
        <v>129493</v>
      </c>
    </row>
    <row r="15" spans="1:162" s="248" customFormat="1" ht="15" customHeight="1">
      <c r="A15" s="236">
        <v>45548</v>
      </c>
      <c r="B15" s="237">
        <v>9488</v>
      </c>
      <c r="C15" s="237">
        <v>14183</v>
      </c>
      <c r="D15" s="237">
        <v>14184</v>
      </c>
      <c r="E15" s="237">
        <v>823385</v>
      </c>
      <c r="F15" s="237">
        <v>305082</v>
      </c>
      <c r="G15" s="237">
        <v>3441247</v>
      </c>
      <c r="H15" s="237">
        <v>2525055</v>
      </c>
      <c r="I15" s="237">
        <v>1593495</v>
      </c>
      <c r="J15" s="237">
        <v>8969</v>
      </c>
      <c r="K15" s="237">
        <v>366</v>
      </c>
      <c r="L15" s="237">
        <v>204968</v>
      </c>
      <c r="M15" s="237">
        <v>173793</v>
      </c>
      <c r="N15" s="237">
        <v>146102</v>
      </c>
      <c r="O15" s="237">
        <v>1097486</v>
      </c>
      <c r="P15" s="237">
        <v>212220365</v>
      </c>
      <c r="Q15" s="237">
        <v>6176</v>
      </c>
      <c r="R15" s="237">
        <v>995992</v>
      </c>
      <c r="S15" s="237">
        <v>9218784</v>
      </c>
      <c r="T15" s="237">
        <v>1</v>
      </c>
      <c r="U15" s="237">
        <v>136692</v>
      </c>
      <c r="V15" s="237">
        <v>41361</v>
      </c>
      <c r="W15" s="237">
        <v>111212</v>
      </c>
      <c r="X15" s="237">
        <v>980483944</v>
      </c>
      <c r="Y15" s="237">
        <v>3168005</v>
      </c>
      <c r="Z15" s="237">
        <v>7555</v>
      </c>
      <c r="AA15" s="237">
        <v>0</v>
      </c>
      <c r="AB15" s="237">
        <v>355</v>
      </c>
      <c r="AC15" s="237">
        <v>0</v>
      </c>
      <c r="AD15" s="237">
        <v>490</v>
      </c>
      <c r="AE15" s="237">
        <v>0</v>
      </c>
      <c r="AF15" s="237">
        <v>0</v>
      </c>
      <c r="AG15" s="237">
        <v>0</v>
      </c>
      <c r="AH15" s="237">
        <v>105767</v>
      </c>
      <c r="AI15" s="237">
        <v>89031</v>
      </c>
      <c r="AJ15" s="237">
        <v>1000520619</v>
      </c>
      <c r="AK15" s="237">
        <v>8401</v>
      </c>
      <c r="AL15" s="237">
        <v>9300782</v>
      </c>
      <c r="AM15" s="237">
        <v>18395931</v>
      </c>
      <c r="AN15" s="237">
        <v>242346</v>
      </c>
      <c r="AO15" s="237">
        <v>16800</v>
      </c>
      <c r="AP15" s="237">
        <v>13195</v>
      </c>
      <c r="AQ15" s="237">
        <v>149872939</v>
      </c>
      <c r="AR15" s="237">
        <v>3022</v>
      </c>
      <c r="AS15" s="237">
        <v>993100</v>
      </c>
      <c r="AT15" s="237">
        <v>110</v>
      </c>
      <c r="AU15" s="237">
        <v>343</v>
      </c>
      <c r="AV15" s="237">
        <v>402542</v>
      </c>
      <c r="AW15" s="237">
        <v>324</v>
      </c>
      <c r="AX15" s="237">
        <v>29200</v>
      </c>
      <c r="AY15" s="237">
        <v>95</v>
      </c>
      <c r="AZ15" s="237">
        <v>83</v>
      </c>
      <c r="BA15" s="237">
        <v>3409724</v>
      </c>
      <c r="BB15" s="237">
        <v>31</v>
      </c>
      <c r="BC15" s="237">
        <v>25300</v>
      </c>
      <c r="BD15" s="237">
        <v>7948</v>
      </c>
      <c r="BE15" s="237">
        <v>3247</v>
      </c>
      <c r="BF15" s="237">
        <v>2127</v>
      </c>
      <c r="BG15" s="237">
        <v>59988685</v>
      </c>
      <c r="BH15" s="237">
        <v>17</v>
      </c>
      <c r="BI15" s="237">
        <v>0</v>
      </c>
      <c r="BJ15" s="237">
        <v>0</v>
      </c>
      <c r="BK15" s="237">
        <v>165</v>
      </c>
      <c r="BL15" s="237">
        <v>125</v>
      </c>
      <c r="BM15" s="237">
        <v>4762950</v>
      </c>
      <c r="BN15" s="237">
        <v>45</v>
      </c>
      <c r="BO15" s="237">
        <v>97550</v>
      </c>
      <c r="BP15" s="237">
        <v>39020</v>
      </c>
      <c r="BQ15" s="237">
        <v>40834</v>
      </c>
      <c r="BR15" s="237">
        <v>21771</v>
      </c>
      <c r="BS15" s="237">
        <v>57609533</v>
      </c>
      <c r="BT15" s="237">
        <v>0</v>
      </c>
      <c r="BU15" s="238">
        <f t="shared" si="0"/>
        <v>777728.69550000003</v>
      </c>
      <c r="BV15" s="237">
        <v>35</v>
      </c>
      <c r="BW15" s="237">
        <v>30</v>
      </c>
      <c r="BX15" s="237">
        <v>1825345</v>
      </c>
      <c r="BY15" s="237">
        <v>0</v>
      </c>
      <c r="BZ15" s="237">
        <v>9127</v>
      </c>
      <c r="CA15" s="238">
        <v>0</v>
      </c>
      <c r="CB15" s="238">
        <v>0</v>
      </c>
      <c r="CC15" s="238">
        <v>0</v>
      </c>
      <c r="CD15" s="238">
        <v>0</v>
      </c>
      <c r="CE15" s="238">
        <v>0</v>
      </c>
      <c r="CF15" s="237">
        <v>0</v>
      </c>
      <c r="CG15" s="237">
        <v>0</v>
      </c>
      <c r="CH15" s="237">
        <v>0</v>
      </c>
      <c r="CI15" s="237">
        <v>0</v>
      </c>
      <c r="CJ15" s="237">
        <v>0</v>
      </c>
      <c r="CK15" s="239">
        <v>2932</v>
      </c>
      <c r="CL15" s="237">
        <v>19173194</v>
      </c>
      <c r="CM15" s="237">
        <v>0</v>
      </c>
      <c r="CN15" s="237">
        <v>0</v>
      </c>
      <c r="CO15" s="237">
        <v>93985</v>
      </c>
      <c r="CP15" s="237">
        <v>44089</v>
      </c>
      <c r="CQ15" s="239">
        <v>29280933</v>
      </c>
      <c r="CR15" s="237">
        <v>6637</v>
      </c>
      <c r="CS15" s="237">
        <v>9402</v>
      </c>
      <c r="CT15" s="237">
        <v>27793015</v>
      </c>
      <c r="CU15" s="237">
        <v>272370</v>
      </c>
      <c r="CV15" s="237">
        <v>1714</v>
      </c>
      <c r="CW15" s="237">
        <v>17886</v>
      </c>
      <c r="CX15" s="237">
        <v>17478</v>
      </c>
      <c r="CY15" s="237">
        <v>16133</v>
      </c>
      <c r="CZ15" s="237">
        <v>254179167</v>
      </c>
      <c r="DA15" s="237">
        <v>2372</v>
      </c>
      <c r="DB15" s="237">
        <v>25</v>
      </c>
      <c r="DC15" s="237">
        <v>3</v>
      </c>
      <c r="DD15" s="237">
        <v>303270</v>
      </c>
      <c r="DE15" s="237">
        <v>2</v>
      </c>
      <c r="DF15" s="237">
        <v>4050</v>
      </c>
      <c r="DG15" s="237">
        <v>121</v>
      </c>
      <c r="DH15" s="237">
        <v>0</v>
      </c>
      <c r="DI15" s="237">
        <v>0</v>
      </c>
      <c r="DJ15" s="237">
        <v>1</v>
      </c>
      <c r="DK15" s="237">
        <v>10474</v>
      </c>
      <c r="DL15" s="237">
        <v>3292</v>
      </c>
      <c r="DM15" s="237">
        <v>322773632</v>
      </c>
      <c r="DN15" s="237">
        <v>764</v>
      </c>
      <c r="DO15" s="237">
        <v>2192150</v>
      </c>
      <c r="DP15" s="237">
        <v>144</v>
      </c>
      <c r="DQ15" s="237">
        <v>8872936</v>
      </c>
      <c r="DR15" s="237">
        <v>154250</v>
      </c>
      <c r="DS15" s="237">
        <f t="shared" si="19"/>
        <v>10474</v>
      </c>
      <c r="DT15" s="237">
        <f t="shared" si="20"/>
        <v>322773632</v>
      </c>
      <c r="DU15" s="240">
        <f t="shared" si="1"/>
        <v>2192150</v>
      </c>
      <c r="DV15" s="237">
        <v>0</v>
      </c>
      <c r="DW15" s="237">
        <v>6312</v>
      </c>
      <c r="DX15" s="237">
        <v>209657544</v>
      </c>
      <c r="DY15" s="237">
        <f t="shared" si="21"/>
        <v>4162</v>
      </c>
      <c r="DZ15" s="237">
        <f t="shared" si="21"/>
        <v>113116088</v>
      </c>
      <c r="EA15" s="238">
        <f t="shared" si="2"/>
        <v>2531520</v>
      </c>
      <c r="EB15" s="238">
        <f t="shared" si="3"/>
        <v>3133818641</v>
      </c>
      <c r="EC15" s="238">
        <f t="shared" si="4"/>
        <v>30755</v>
      </c>
      <c r="ED15" s="256">
        <v>552324</v>
      </c>
      <c r="EE15" s="256">
        <v>629710</v>
      </c>
      <c r="EF15" s="256">
        <v>484503</v>
      </c>
      <c r="EG15" s="256">
        <v>36955</v>
      </c>
      <c r="EH15" s="256">
        <v>1307912</v>
      </c>
      <c r="EI15" s="242">
        <f t="shared" si="5"/>
        <v>24523978.5955</v>
      </c>
      <c r="EJ15" s="243">
        <f t="shared" si="6"/>
        <v>13022194</v>
      </c>
      <c r="EK15" s="244">
        <v>8650</v>
      </c>
      <c r="EL15" s="245">
        <v>7300</v>
      </c>
      <c r="EM15" s="245">
        <v>3165375</v>
      </c>
      <c r="EN15" s="245">
        <f t="shared" si="7"/>
        <v>47480.625</v>
      </c>
      <c r="EO15" s="245">
        <v>95838</v>
      </c>
      <c r="EP15" s="245">
        <v>65472</v>
      </c>
      <c r="EQ15" s="245">
        <v>25133885</v>
      </c>
      <c r="ER15" s="245">
        <f t="shared" si="8"/>
        <v>377008.27499999997</v>
      </c>
      <c r="ES15" s="246">
        <f t="shared" si="9"/>
        <v>104488</v>
      </c>
      <c r="ET15" s="246">
        <v>71187</v>
      </c>
      <c r="EU15" s="246">
        <f t="shared" si="10"/>
        <v>28299260</v>
      </c>
      <c r="EV15" s="247">
        <f t="shared" si="10"/>
        <v>424488.89999999997</v>
      </c>
      <c r="EW15" s="246">
        <f t="shared" si="11"/>
        <v>1086983</v>
      </c>
      <c r="EX15" s="246">
        <f t="shared" si="12"/>
        <v>44089</v>
      </c>
      <c r="EY15" s="247">
        <f t="shared" si="13"/>
        <v>213202038</v>
      </c>
      <c r="EZ15" s="246">
        <f t="shared" si="14"/>
        <v>40834</v>
      </c>
      <c r="FA15" s="246">
        <f t="shared" si="14"/>
        <v>21771</v>
      </c>
      <c r="FB15" s="246">
        <f t="shared" si="14"/>
        <v>57609533</v>
      </c>
      <c r="FC15" s="247">
        <f t="shared" si="15"/>
        <v>777728.69550000003</v>
      </c>
      <c r="FD15" s="246">
        <v>106</v>
      </c>
      <c r="FE15" s="246">
        <v>103</v>
      </c>
      <c r="FF15" s="246">
        <v>124999</v>
      </c>
    </row>
    <row r="16" spans="1:162" s="248" customFormat="1" ht="15" customHeight="1">
      <c r="A16" s="236">
        <v>45549</v>
      </c>
      <c r="B16" s="237">
        <v>5815</v>
      </c>
      <c r="C16" s="237">
        <v>8356</v>
      </c>
      <c r="D16" s="237">
        <v>8357</v>
      </c>
      <c r="E16" s="237">
        <v>825788</v>
      </c>
      <c r="F16" s="237">
        <v>308730</v>
      </c>
      <c r="G16" s="237">
        <v>3445534</v>
      </c>
      <c r="H16" s="237">
        <v>2526736</v>
      </c>
      <c r="I16" s="237">
        <v>1593030</v>
      </c>
      <c r="J16" s="237">
        <v>8490</v>
      </c>
      <c r="K16" s="237">
        <v>124</v>
      </c>
      <c r="L16" s="237">
        <v>205355</v>
      </c>
      <c r="M16" s="237">
        <v>173792</v>
      </c>
      <c r="N16" s="237">
        <v>146041</v>
      </c>
      <c r="O16" s="237">
        <v>1120677</v>
      </c>
      <c r="P16" s="237">
        <v>213687515</v>
      </c>
      <c r="Q16" s="237">
        <v>6482</v>
      </c>
      <c r="R16" s="237">
        <v>1016829</v>
      </c>
      <c r="S16" s="237">
        <v>9308188</v>
      </c>
      <c r="T16" s="237">
        <v>1</v>
      </c>
      <c r="U16" s="237">
        <v>149952</v>
      </c>
      <c r="V16" s="237">
        <v>41487</v>
      </c>
      <c r="W16" s="237">
        <v>118830</v>
      </c>
      <c r="X16" s="237">
        <v>886086483</v>
      </c>
      <c r="Y16" s="237">
        <v>2846493</v>
      </c>
      <c r="Z16" s="237">
        <v>8010</v>
      </c>
      <c r="AA16" s="237">
        <v>0</v>
      </c>
      <c r="AB16" s="237">
        <v>316</v>
      </c>
      <c r="AC16" s="237">
        <v>0</v>
      </c>
      <c r="AD16" s="237">
        <v>446</v>
      </c>
      <c r="AE16" s="237">
        <v>0</v>
      </c>
      <c r="AF16" s="237">
        <v>0</v>
      </c>
      <c r="AG16" s="237">
        <v>0</v>
      </c>
      <c r="AH16" s="237">
        <v>109545</v>
      </c>
      <c r="AI16" s="237">
        <v>92071</v>
      </c>
      <c r="AJ16" s="237">
        <v>931714252</v>
      </c>
      <c r="AK16" s="237">
        <v>8400</v>
      </c>
      <c r="AL16" s="237">
        <v>9165860</v>
      </c>
      <c r="AM16" s="237">
        <v>18048260</v>
      </c>
      <c r="AN16" s="237">
        <v>236427</v>
      </c>
      <c r="AO16" s="237">
        <v>17021</v>
      </c>
      <c r="AP16" s="237">
        <v>13426</v>
      </c>
      <c r="AQ16" s="237">
        <v>128853398</v>
      </c>
      <c r="AR16" s="237">
        <v>3118</v>
      </c>
      <c r="AS16" s="237">
        <v>952000</v>
      </c>
      <c r="AT16" s="237">
        <v>102</v>
      </c>
      <c r="AU16" s="237">
        <v>359</v>
      </c>
      <c r="AV16" s="237">
        <v>271480</v>
      </c>
      <c r="AW16" s="237">
        <v>345</v>
      </c>
      <c r="AX16" s="237">
        <v>24000</v>
      </c>
      <c r="AY16" s="237">
        <v>825</v>
      </c>
      <c r="AZ16" s="237">
        <v>625</v>
      </c>
      <c r="BA16" s="237">
        <v>22465803</v>
      </c>
      <c r="BB16" s="237">
        <v>177</v>
      </c>
      <c r="BC16" s="237">
        <v>25000</v>
      </c>
      <c r="BD16" s="237">
        <v>7633</v>
      </c>
      <c r="BE16" s="237">
        <v>3135</v>
      </c>
      <c r="BF16" s="237">
        <v>2129</v>
      </c>
      <c r="BG16" s="237">
        <v>56820599</v>
      </c>
      <c r="BH16" s="237">
        <v>1</v>
      </c>
      <c r="BI16" s="237">
        <v>0</v>
      </c>
      <c r="BJ16" s="237">
        <v>0</v>
      </c>
      <c r="BK16" s="237">
        <v>160</v>
      </c>
      <c r="BL16" s="237">
        <v>128</v>
      </c>
      <c r="BM16" s="237">
        <v>2850750</v>
      </c>
      <c r="BN16" s="237">
        <v>22</v>
      </c>
      <c r="BO16" s="237">
        <v>70700</v>
      </c>
      <c r="BP16" s="237">
        <v>28280</v>
      </c>
      <c r="BQ16" s="237">
        <v>60596</v>
      </c>
      <c r="BR16" s="237">
        <v>29920</v>
      </c>
      <c r="BS16" s="237">
        <v>77969121</v>
      </c>
      <c r="BT16" s="237">
        <v>0</v>
      </c>
      <c r="BU16" s="238">
        <f t="shared" si="0"/>
        <v>1052583.1335</v>
      </c>
      <c r="BV16" s="237">
        <v>0</v>
      </c>
      <c r="BW16" s="237">
        <v>0</v>
      </c>
      <c r="BX16" s="237">
        <v>977230</v>
      </c>
      <c r="BY16" s="237">
        <v>0</v>
      </c>
      <c r="BZ16" s="237">
        <v>4886</v>
      </c>
      <c r="CA16" s="238">
        <v>0</v>
      </c>
      <c r="CB16" s="238">
        <v>0</v>
      </c>
      <c r="CC16" s="238">
        <v>0</v>
      </c>
      <c r="CD16" s="238">
        <v>0</v>
      </c>
      <c r="CE16" s="238">
        <v>0</v>
      </c>
      <c r="CF16" s="237">
        <v>0</v>
      </c>
      <c r="CG16" s="237">
        <v>0</v>
      </c>
      <c r="CH16" s="237">
        <v>0</v>
      </c>
      <c r="CI16" s="237">
        <v>0</v>
      </c>
      <c r="CJ16" s="237">
        <v>0</v>
      </c>
      <c r="CK16" s="239">
        <v>471</v>
      </c>
      <c r="CL16" s="237">
        <v>3365897</v>
      </c>
      <c r="CM16" s="237">
        <v>0</v>
      </c>
      <c r="CN16" s="237">
        <v>0</v>
      </c>
      <c r="CO16" s="237">
        <v>91275</v>
      </c>
      <c r="CP16" s="237">
        <v>43929</v>
      </c>
      <c r="CQ16" s="239">
        <v>27592914</v>
      </c>
      <c r="CR16" s="237">
        <v>8708</v>
      </c>
      <c r="CS16" s="237">
        <v>11016</v>
      </c>
      <c r="CT16" s="237">
        <v>29694099</v>
      </c>
      <c r="CU16" s="237">
        <v>329340</v>
      </c>
      <c r="CV16" s="237">
        <v>1829</v>
      </c>
      <c r="CW16" s="237">
        <v>26497</v>
      </c>
      <c r="CX16" s="237">
        <v>18410</v>
      </c>
      <c r="CY16" s="237">
        <v>17012</v>
      </c>
      <c r="CZ16" s="237">
        <v>224557770</v>
      </c>
      <c r="DA16" s="237">
        <v>2525</v>
      </c>
      <c r="DB16" s="237">
        <v>32</v>
      </c>
      <c r="DC16" s="237">
        <v>1</v>
      </c>
      <c r="DD16" s="237">
        <v>230400</v>
      </c>
      <c r="DE16" s="237">
        <v>0</v>
      </c>
      <c r="DF16" s="237">
        <v>3499</v>
      </c>
      <c r="DG16" s="237">
        <v>108</v>
      </c>
      <c r="DH16" s="237">
        <v>0</v>
      </c>
      <c r="DI16" s="237">
        <v>0</v>
      </c>
      <c r="DJ16" s="237">
        <v>1</v>
      </c>
      <c r="DK16" s="237">
        <v>11104</v>
      </c>
      <c r="DL16" s="237">
        <v>3050</v>
      </c>
      <c r="DM16" s="237">
        <v>299836546</v>
      </c>
      <c r="DN16" s="237">
        <v>832</v>
      </c>
      <c r="DO16" s="237">
        <v>1817350</v>
      </c>
      <c r="DP16" s="237">
        <v>219</v>
      </c>
      <c r="DQ16" s="237">
        <v>12542607</v>
      </c>
      <c r="DR16" s="237">
        <v>111750</v>
      </c>
      <c r="DS16" s="237">
        <f t="shared" si="19"/>
        <v>11104</v>
      </c>
      <c r="DT16" s="237">
        <f t="shared" si="20"/>
        <v>299836546</v>
      </c>
      <c r="DU16" s="240">
        <f t="shared" si="1"/>
        <v>1817350</v>
      </c>
      <c r="DV16" s="237">
        <v>0</v>
      </c>
      <c r="DW16" s="237">
        <v>7231</v>
      </c>
      <c r="DX16" s="237">
        <v>202268071</v>
      </c>
      <c r="DY16" s="237">
        <f t="shared" si="21"/>
        <v>3873</v>
      </c>
      <c r="DZ16" s="237">
        <f t="shared" si="21"/>
        <v>97568475</v>
      </c>
      <c r="EA16" s="238">
        <f t="shared" si="2"/>
        <v>2611151</v>
      </c>
      <c r="EB16" s="238">
        <f t="shared" si="3"/>
        <v>2916282445</v>
      </c>
      <c r="EC16" s="238">
        <f t="shared" si="4"/>
        <v>33801</v>
      </c>
      <c r="ED16" s="256">
        <v>500331</v>
      </c>
      <c r="EE16" s="256">
        <v>613937</v>
      </c>
      <c r="EF16" s="256">
        <v>472042</v>
      </c>
      <c r="EG16" s="256">
        <v>35479</v>
      </c>
      <c r="EH16" s="256">
        <v>1241325</v>
      </c>
      <c r="EI16" s="242">
        <f t="shared" si="5"/>
        <v>23983976.008500002</v>
      </c>
      <c r="EJ16" s="243">
        <f t="shared" si="6"/>
        <v>12550304</v>
      </c>
      <c r="EK16" s="244">
        <v>8597</v>
      </c>
      <c r="EL16" s="245">
        <v>7240</v>
      </c>
      <c r="EM16" s="245">
        <v>2831085</v>
      </c>
      <c r="EN16" s="245">
        <f t="shared" si="7"/>
        <v>42466.275000000001</v>
      </c>
      <c r="EO16" s="245">
        <v>97079</v>
      </c>
      <c r="EP16" s="245">
        <v>66304</v>
      </c>
      <c r="EQ16" s="245">
        <v>24641640</v>
      </c>
      <c r="ER16" s="245">
        <f t="shared" si="8"/>
        <v>369624.6</v>
      </c>
      <c r="ES16" s="246">
        <f t="shared" si="9"/>
        <v>105676</v>
      </c>
      <c r="ET16" s="246">
        <v>71980</v>
      </c>
      <c r="EU16" s="246">
        <f t="shared" si="10"/>
        <v>27472725</v>
      </c>
      <c r="EV16" s="247">
        <f t="shared" si="10"/>
        <v>412090.875</v>
      </c>
      <c r="EW16" s="246">
        <f t="shared" si="11"/>
        <v>1106276</v>
      </c>
      <c r="EX16" s="246">
        <f t="shared" si="12"/>
        <v>43929</v>
      </c>
      <c r="EY16" s="247">
        <f t="shared" si="13"/>
        <v>213807704</v>
      </c>
      <c r="EZ16" s="246">
        <f t="shared" si="14"/>
        <v>60596</v>
      </c>
      <c r="FA16" s="246">
        <f t="shared" si="14"/>
        <v>29920</v>
      </c>
      <c r="FB16" s="246">
        <f t="shared" si="14"/>
        <v>77969121</v>
      </c>
      <c r="FC16" s="247">
        <f t="shared" si="15"/>
        <v>1052583.1335</v>
      </c>
      <c r="FD16" s="246">
        <v>113</v>
      </c>
      <c r="FE16" s="246">
        <v>107</v>
      </c>
      <c r="FF16" s="246">
        <v>133498</v>
      </c>
    </row>
    <row r="17" spans="1:162" s="248" customFormat="1" ht="15" customHeight="1">
      <c r="A17" s="236">
        <v>45550</v>
      </c>
      <c r="B17" s="237">
        <v>2632</v>
      </c>
      <c r="C17" s="237">
        <v>3914</v>
      </c>
      <c r="D17" s="237">
        <v>3914</v>
      </c>
      <c r="E17" s="237">
        <v>823199</v>
      </c>
      <c r="F17" s="237">
        <v>288624</v>
      </c>
      <c r="G17" s="237">
        <v>3448864</v>
      </c>
      <c r="H17" s="237">
        <v>2521924</v>
      </c>
      <c r="I17" s="237">
        <v>1589286</v>
      </c>
      <c r="J17" s="237">
        <v>7057</v>
      </c>
      <c r="K17" s="237">
        <v>145</v>
      </c>
      <c r="L17" s="237">
        <v>205544</v>
      </c>
      <c r="M17" s="237">
        <v>173798</v>
      </c>
      <c r="N17" s="237">
        <v>145880</v>
      </c>
      <c r="O17" s="237">
        <v>1112335</v>
      </c>
      <c r="P17" s="237">
        <v>205248415</v>
      </c>
      <c r="Q17" s="237">
        <v>6266</v>
      </c>
      <c r="R17" s="237">
        <v>1008668</v>
      </c>
      <c r="S17" s="237">
        <v>8945760</v>
      </c>
      <c r="T17" s="237">
        <v>1</v>
      </c>
      <c r="U17" s="237">
        <v>122040</v>
      </c>
      <c r="V17" s="237">
        <v>33176</v>
      </c>
      <c r="W17" s="237">
        <v>99563</v>
      </c>
      <c r="X17" s="237">
        <v>601056769</v>
      </c>
      <c r="Y17" s="237">
        <v>1976694</v>
      </c>
      <c r="Z17" s="237">
        <v>6302</v>
      </c>
      <c r="AA17" s="237">
        <v>0</v>
      </c>
      <c r="AB17" s="237">
        <v>305</v>
      </c>
      <c r="AC17" s="237">
        <v>0</v>
      </c>
      <c r="AD17" s="237">
        <v>433</v>
      </c>
      <c r="AE17" s="237">
        <v>0</v>
      </c>
      <c r="AF17" s="237">
        <v>0</v>
      </c>
      <c r="AG17" s="237">
        <v>0</v>
      </c>
      <c r="AH17" s="237">
        <v>103890</v>
      </c>
      <c r="AI17" s="237">
        <v>87738</v>
      </c>
      <c r="AJ17" s="237">
        <v>735809534</v>
      </c>
      <c r="AK17" s="237">
        <v>8006</v>
      </c>
      <c r="AL17" s="237">
        <v>8086693</v>
      </c>
      <c r="AM17" s="237">
        <v>15831066</v>
      </c>
      <c r="AN17" s="237">
        <v>204729</v>
      </c>
      <c r="AO17" s="237">
        <v>16742</v>
      </c>
      <c r="AP17" s="237">
        <v>13230</v>
      </c>
      <c r="AQ17" s="237">
        <v>101447383</v>
      </c>
      <c r="AR17" s="237">
        <v>3178</v>
      </c>
      <c r="AS17" s="237">
        <v>953800</v>
      </c>
      <c r="AT17" s="237">
        <v>129</v>
      </c>
      <c r="AU17" s="237">
        <v>346</v>
      </c>
      <c r="AV17" s="237">
        <v>250416</v>
      </c>
      <c r="AW17" s="237">
        <v>329</v>
      </c>
      <c r="AX17" s="237">
        <v>28500</v>
      </c>
      <c r="AY17" s="237">
        <v>73</v>
      </c>
      <c r="AZ17" s="237">
        <v>61</v>
      </c>
      <c r="BA17" s="237">
        <v>1770600</v>
      </c>
      <c r="BB17" s="237">
        <v>27</v>
      </c>
      <c r="BC17" s="237">
        <v>15550</v>
      </c>
      <c r="BD17" s="237">
        <v>4939</v>
      </c>
      <c r="BE17" s="237">
        <v>2544</v>
      </c>
      <c r="BF17" s="237">
        <v>1832</v>
      </c>
      <c r="BG17" s="237">
        <v>35265229</v>
      </c>
      <c r="BH17" s="237">
        <v>5</v>
      </c>
      <c r="BI17" s="237">
        <v>0</v>
      </c>
      <c r="BJ17" s="237">
        <v>0</v>
      </c>
      <c r="BK17" s="237">
        <v>92</v>
      </c>
      <c r="BL17" s="237">
        <v>72</v>
      </c>
      <c r="BM17" s="237">
        <v>1875200</v>
      </c>
      <c r="BN17" s="237">
        <v>134</v>
      </c>
      <c r="BO17" s="237">
        <v>42900</v>
      </c>
      <c r="BP17" s="237">
        <v>17160</v>
      </c>
      <c r="BQ17" s="237">
        <v>51663</v>
      </c>
      <c r="BR17" s="237">
        <v>25060</v>
      </c>
      <c r="BS17" s="237">
        <v>61883495</v>
      </c>
      <c r="BT17" s="237">
        <v>0</v>
      </c>
      <c r="BU17" s="238">
        <f t="shared" si="0"/>
        <v>835427.1825</v>
      </c>
      <c r="BV17" s="237">
        <v>31</v>
      </c>
      <c r="BW17" s="237">
        <v>28</v>
      </c>
      <c r="BX17" s="237">
        <v>1334256</v>
      </c>
      <c r="BY17" s="237">
        <v>0</v>
      </c>
      <c r="BZ17" s="237">
        <v>6671</v>
      </c>
      <c r="CA17" s="238">
        <v>0</v>
      </c>
      <c r="CB17" s="238">
        <v>0</v>
      </c>
      <c r="CC17" s="238">
        <v>0</v>
      </c>
      <c r="CD17" s="238">
        <v>0</v>
      </c>
      <c r="CE17" s="238">
        <v>0</v>
      </c>
      <c r="CF17" s="237">
        <v>0</v>
      </c>
      <c r="CG17" s="237">
        <v>0</v>
      </c>
      <c r="CH17" s="237">
        <v>0</v>
      </c>
      <c r="CI17" s="237">
        <v>0</v>
      </c>
      <c r="CJ17" s="237">
        <v>0</v>
      </c>
      <c r="CK17" s="239">
        <v>2</v>
      </c>
      <c r="CL17" s="237">
        <v>290000</v>
      </c>
      <c r="CM17" s="237">
        <v>0</v>
      </c>
      <c r="CN17" s="237">
        <v>0</v>
      </c>
      <c r="CO17" s="237">
        <v>89989</v>
      </c>
      <c r="CP17" s="237">
        <v>39912</v>
      </c>
      <c r="CQ17" s="239">
        <v>25745376</v>
      </c>
      <c r="CR17" s="237">
        <v>6520</v>
      </c>
      <c r="CS17" s="237">
        <v>9044</v>
      </c>
      <c r="CT17" s="237">
        <v>22406361</v>
      </c>
      <c r="CU17" s="237">
        <v>240198</v>
      </c>
      <c r="CV17" s="237">
        <v>1616</v>
      </c>
      <c r="CW17" s="237">
        <v>16075</v>
      </c>
      <c r="CX17" s="237">
        <v>18208</v>
      </c>
      <c r="CY17" s="237">
        <v>17119</v>
      </c>
      <c r="CZ17" s="237">
        <v>109893107</v>
      </c>
      <c r="DA17" s="237">
        <v>2535</v>
      </c>
      <c r="DB17" s="237">
        <v>11</v>
      </c>
      <c r="DC17" s="237">
        <v>1</v>
      </c>
      <c r="DD17" s="237">
        <v>41300</v>
      </c>
      <c r="DE17" s="237">
        <v>0</v>
      </c>
      <c r="DF17" s="237">
        <v>668</v>
      </c>
      <c r="DG17" s="237">
        <v>22</v>
      </c>
      <c r="DH17" s="237">
        <v>0</v>
      </c>
      <c r="DI17" s="237">
        <v>0</v>
      </c>
      <c r="DJ17" s="237">
        <v>1</v>
      </c>
      <c r="DK17" s="237">
        <v>8914</v>
      </c>
      <c r="DL17" s="237">
        <v>2276</v>
      </c>
      <c r="DM17" s="237">
        <v>162916784</v>
      </c>
      <c r="DN17" s="237">
        <v>573</v>
      </c>
      <c r="DO17" s="237">
        <v>1109150</v>
      </c>
      <c r="DP17" s="237">
        <v>210</v>
      </c>
      <c r="DQ17" s="237">
        <v>5489724</v>
      </c>
      <c r="DR17" s="237">
        <v>150900</v>
      </c>
      <c r="DS17" s="237">
        <f t="shared" si="19"/>
        <v>8914</v>
      </c>
      <c r="DT17" s="237">
        <f t="shared" si="20"/>
        <v>162916784</v>
      </c>
      <c r="DU17" s="240">
        <f t="shared" si="1"/>
        <v>1109150</v>
      </c>
      <c r="DV17" s="237">
        <v>0</v>
      </c>
      <c r="DW17" s="237">
        <v>6167</v>
      </c>
      <c r="DX17" s="237">
        <v>114148031</v>
      </c>
      <c r="DY17" s="237">
        <f t="shared" si="21"/>
        <v>2747</v>
      </c>
      <c r="DZ17" s="237">
        <f t="shared" si="21"/>
        <v>48768753</v>
      </c>
      <c r="EA17" s="238">
        <f t="shared" si="2"/>
        <v>2544376</v>
      </c>
      <c r="EB17" s="238">
        <f t="shared" si="3"/>
        <v>2076179985</v>
      </c>
      <c r="EC17" s="238">
        <f t="shared" si="4"/>
        <v>29296</v>
      </c>
      <c r="ED17" s="256">
        <v>425046</v>
      </c>
      <c r="EE17" s="256">
        <v>111540</v>
      </c>
      <c r="EF17" s="256">
        <v>442853</v>
      </c>
      <c r="EG17" s="256">
        <v>0</v>
      </c>
      <c r="EH17" s="256">
        <v>1157320</v>
      </c>
      <c r="EI17" s="242">
        <f t="shared" si="5"/>
        <v>20084525.182500001</v>
      </c>
      <c r="EJ17" s="243">
        <f t="shared" si="6"/>
        <v>10545082</v>
      </c>
      <c r="EK17" s="244">
        <v>8505</v>
      </c>
      <c r="EL17" s="245">
        <v>7093</v>
      </c>
      <c r="EM17" s="245">
        <v>2636050</v>
      </c>
      <c r="EN17" s="245">
        <f t="shared" si="7"/>
        <v>39540.75</v>
      </c>
      <c r="EO17" s="245">
        <v>98296</v>
      </c>
      <c r="EP17" s="245">
        <v>66698</v>
      </c>
      <c r="EQ17" s="245">
        <v>23742750</v>
      </c>
      <c r="ER17" s="245">
        <f t="shared" si="8"/>
        <v>356141.25</v>
      </c>
      <c r="ES17" s="246">
        <f t="shared" si="9"/>
        <v>106801</v>
      </c>
      <c r="ET17" s="246">
        <v>72287</v>
      </c>
      <c r="EU17" s="246">
        <f t="shared" si="10"/>
        <v>26378800</v>
      </c>
      <c r="EV17" s="247">
        <f t="shared" si="10"/>
        <v>395682</v>
      </c>
      <c r="EW17" s="246">
        <f t="shared" si="11"/>
        <v>1095523</v>
      </c>
      <c r="EX17" s="246">
        <f t="shared" si="12"/>
        <v>39912</v>
      </c>
      <c r="EY17" s="247">
        <f t="shared" si="13"/>
        <v>204614991</v>
      </c>
      <c r="EZ17" s="246">
        <f t="shared" si="14"/>
        <v>51663</v>
      </c>
      <c r="FA17" s="246">
        <f t="shared" si="14"/>
        <v>25060</v>
      </c>
      <c r="FB17" s="246">
        <f t="shared" si="14"/>
        <v>61883495</v>
      </c>
      <c r="FC17" s="247">
        <f t="shared" si="15"/>
        <v>835427.1825</v>
      </c>
      <c r="FD17" s="246">
        <v>74</v>
      </c>
      <c r="FE17" s="246">
        <v>68</v>
      </c>
      <c r="FF17" s="246">
        <v>88995</v>
      </c>
    </row>
    <row r="18" spans="1:162" s="248" customFormat="1" ht="15" customHeight="1">
      <c r="A18" s="236">
        <v>45551</v>
      </c>
      <c r="B18" s="237">
        <v>9774</v>
      </c>
      <c r="C18" s="237">
        <v>13934</v>
      </c>
      <c r="D18" s="237">
        <v>13934</v>
      </c>
      <c r="E18" s="237">
        <v>819649</v>
      </c>
      <c r="F18" s="237">
        <v>310792</v>
      </c>
      <c r="G18" s="237">
        <v>3453431</v>
      </c>
      <c r="H18" s="237">
        <v>2520880</v>
      </c>
      <c r="I18" s="237">
        <v>1592713</v>
      </c>
      <c r="J18" s="237">
        <v>8882</v>
      </c>
      <c r="K18" s="237">
        <v>236</v>
      </c>
      <c r="L18" s="237">
        <v>205744</v>
      </c>
      <c r="M18" s="237">
        <v>173904</v>
      </c>
      <c r="N18" s="237">
        <v>146110</v>
      </c>
      <c r="O18" s="237">
        <v>1130651</v>
      </c>
      <c r="P18" s="237">
        <v>219308960</v>
      </c>
      <c r="Q18" s="237">
        <v>6570</v>
      </c>
      <c r="R18" s="237">
        <v>1029144</v>
      </c>
      <c r="S18" s="237">
        <v>9570205</v>
      </c>
      <c r="T18" s="237">
        <v>1</v>
      </c>
      <c r="U18" s="237">
        <v>142156</v>
      </c>
      <c r="V18" s="237">
        <v>41415</v>
      </c>
      <c r="W18" s="237">
        <v>115555</v>
      </c>
      <c r="X18" s="237">
        <v>1141666905</v>
      </c>
      <c r="Y18" s="237">
        <v>3685732</v>
      </c>
      <c r="Z18" s="237">
        <v>8093</v>
      </c>
      <c r="AA18" s="237">
        <v>0</v>
      </c>
      <c r="AB18" s="237">
        <v>354</v>
      </c>
      <c r="AC18" s="237">
        <v>0</v>
      </c>
      <c r="AD18" s="237">
        <v>502</v>
      </c>
      <c r="AE18" s="237">
        <v>0</v>
      </c>
      <c r="AF18" s="237">
        <v>0</v>
      </c>
      <c r="AG18" s="237">
        <v>0</v>
      </c>
      <c r="AH18" s="237">
        <v>116737</v>
      </c>
      <c r="AI18" s="237">
        <v>98033</v>
      </c>
      <c r="AJ18" s="237">
        <v>1062673625</v>
      </c>
      <c r="AK18" s="237">
        <v>9217</v>
      </c>
      <c r="AL18" s="237">
        <v>10085855</v>
      </c>
      <c r="AM18" s="237">
        <v>19988076</v>
      </c>
      <c r="AN18" s="237">
        <v>262254</v>
      </c>
      <c r="AO18" s="237">
        <v>16692</v>
      </c>
      <c r="AP18" s="237">
        <v>13094</v>
      </c>
      <c r="AQ18" s="237">
        <v>148894964</v>
      </c>
      <c r="AR18" s="237">
        <v>3172</v>
      </c>
      <c r="AS18" s="237">
        <v>983000</v>
      </c>
      <c r="AT18" s="237">
        <v>118</v>
      </c>
      <c r="AU18" s="237">
        <v>338</v>
      </c>
      <c r="AV18" s="237">
        <v>501131</v>
      </c>
      <c r="AW18" s="237">
        <v>312</v>
      </c>
      <c r="AX18" s="237">
        <v>30400</v>
      </c>
      <c r="AY18" s="237">
        <v>106</v>
      </c>
      <c r="AZ18" s="237">
        <v>77</v>
      </c>
      <c r="BA18" s="237">
        <v>3200270</v>
      </c>
      <c r="BB18" s="237">
        <v>29</v>
      </c>
      <c r="BC18" s="237">
        <v>28750</v>
      </c>
      <c r="BD18" s="237">
        <v>9116</v>
      </c>
      <c r="BE18" s="237">
        <v>3048</v>
      </c>
      <c r="BF18" s="237">
        <v>2117</v>
      </c>
      <c r="BG18" s="237">
        <v>54733845</v>
      </c>
      <c r="BH18" s="237">
        <v>8</v>
      </c>
      <c r="BI18" s="237">
        <v>0</v>
      </c>
      <c r="BJ18" s="237">
        <v>0</v>
      </c>
      <c r="BK18" s="237">
        <v>183</v>
      </c>
      <c r="BL18" s="237">
        <v>141</v>
      </c>
      <c r="BM18" s="237">
        <v>3663150</v>
      </c>
      <c r="BN18" s="237">
        <v>201</v>
      </c>
      <c r="BO18" s="237">
        <v>81500</v>
      </c>
      <c r="BP18" s="237">
        <v>32600</v>
      </c>
      <c r="BQ18" s="237">
        <v>40987</v>
      </c>
      <c r="BR18" s="237">
        <v>20667</v>
      </c>
      <c r="BS18" s="237">
        <v>51953669</v>
      </c>
      <c r="BT18" s="237">
        <v>0</v>
      </c>
      <c r="BU18" s="238">
        <f>BS18*0.0135</f>
        <v>701374.53150000004</v>
      </c>
      <c r="BV18" s="237">
        <v>37</v>
      </c>
      <c r="BW18" s="237">
        <v>34</v>
      </c>
      <c r="BX18" s="237">
        <v>3206385</v>
      </c>
      <c r="BY18" s="237">
        <v>0</v>
      </c>
      <c r="BZ18" s="237">
        <v>16032</v>
      </c>
      <c r="CA18" s="238">
        <v>0</v>
      </c>
      <c r="CB18" s="238">
        <v>0</v>
      </c>
      <c r="CC18" s="238">
        <v>0</v>
      </c>
      <c r="CD18" s="238">
        <v>0</v>
      </c>
      <c r="CE18" s="238">
        <v>0</v>
      </c>
      <c r="CF18" s="237">
        <v>0</v>
      </c>
      <c r="CG18" s="237">
        <v>0</v>
      </c>
      <c r="CH18" s="237">
        <v>0</v>
      </c>
      <c r="CI18" s="237">
        <v>0</v>
      </c>
      <c r="CJ18" s="237">
        <v>0</v>
      </c>
      <c r="CK18" s="239">
        <v>42</v>
      </c>
      <c r="CL18" s="237">
        <v>2097867</v>
      </c>
      <c r="CM18" s="237">
        <v>0</v>
      </c>
      <c r="CN18" s="237">
        <v>0</v>
      </c>
      <c r="CO18" s="237">
        <v>94728</v>
      </c>
      <c r="CP18" s="237">
        <v>45024</v>
      </c>
      <c r="CQ18" s="239">
        <v>33664112</v>
      </c>
      <c r="CR18" s="237">
        <v>6682</v>
      </c>
      <c r="CS18" s="237">
        <v>10207</v>
      </c>
      <c r="CT18" s="237">
        <v>26638720</v>
      </c>
      <c r="CU18" s="237">
        <v>278488</v>
      </c>
      <c r="CV18" s="237">
        <v>1682</v>
      </c>
      <c r="CW18" s="237">
        <v>20513</v>
      </c>
      <c r="CX18" s="237">
        <v>19799</v>
      </c>
      <c r="CY18" s="237">
        <v>18300</v>
      </c>
      <c r="CZ18" s="237">
        <v>308733102</v>
      </c>
      <c r="DA18" s="237">
        <v>2802</v>
      </c>
      <c r="DB18" s="237">
        <v>29</v>
      </c>
      <c r="DC18" s="237">
        <v>2</v>
      </c>
      <c r="DD18" s="237">
        <v>284100</v>
      </c>
      <c r="DE18" s="237">
        <v>1</v>
      </c>
      <c r="DF18" s="237">
        <v>3901</v>
      </c>
      <c r="DG18" s="237">
        <v>120</v>
      </c>
      <c r="DH18" s="237">
        <v>0</v>
      </c>
      <c r="DI18" s="237">
        <v>0</v>
      </c>
      <c r="DJ18" s="237">
        <v>1</v>
      </c>
      <c r="DK18" s="237">
        <v>10658</v>
      </c>
      <c r="DL18" s="237">
        <v>3470</v>
      </c>
      <c r="DM18" s="237">
        <v>328433211</v>
      </c>
      <c r="DN18" s="237">
        <v>3897</v>
      </c>
      <c r="DO18" s="237">
        <v>1868900</v>
      </c>
      <c r="DP18" s="237">
        <v>3194</v>
      </c>
      <c r="DQ18" s="237">
        <v>135462400</v>
      </c>
      <c r="DR18" s="237">
        <v>2182900</v>
      </c>
      <c r="DS18" s="237">
        <f t="shared" si="19"/>
        <v>10658</v>
      </c>
      <c r="DT18" s="237">
        <f t="shared" si="20"/>
        <v>328433211</v>
      </c>
      <c r="DU18" s="240">
        <f t="shared" si="1"/>
        <v>1868900</v>
      </c>
      <c r="DV18" s="237">
        <v>0</v>
      </c>
      <c r="DW18" s="237">
        <v>7301</v>
      </c>
      <c r="DX18" s="237">
        <v>215762199</v>
      </c>
      <c r="DY18" s="237">
        <f t="shared" si="21"/>
        <v>3357</v>
      </c>
      <c r="DZ18" s="237">
        <f t="shared" si="21"/>
        <v>112671012</v>
      </c>
      <c r="EA18" s="238">
        <f t="shared" si="2"/>
        <v>2615323</v>
      </c>
      <c r="EB18" s="238">
        <f t="shared" si="3"/>
        <v>3399224221</v>
      </c>
      <c r="EC18" s="238">
        <f t="shared" si="4"/>
        <v>35896</v>
      </c>
      <c r="ED18" s="256">
        <v>842564</v>
      </c>
      <c r="EE18" s="256">
        <v>226487</v>
      </c>
      <c r="EF18" s="256">
        <v>318498</v>
      </c>
      <c r="EG18" s="256">
        <v>21729</v>
      </c>
      <c r="EH18" s="256">
        <v>1535818</v>
      </c>
      <c r="EI18" s="242">
        <f t="shared" si="5"/>
        <v>25623934.736499999</v>
      </c>
      <c r="EJ18" s="243">
        <f t="shared" si="6"/>
        <v>14156215</v>
      </c>
      <c r="EK18" s="244">
        <v>8694</v>
      </c>
      <c r="EL18" s="245">
        <v>7286</v>
      </c>
      <c r="EM18" s="245">
        <v>2997932</v>
      </c>
      <c r="EN18" s="245">
        <f t="shared" si="7"/>
        <v>44968.979999999996</v>
      </c>
      <c r="EO18" s="245">
        <v>95570</v>
      </c>
      <c r="EP18" s="245">
        <v>65133</v>
      </c>
      <c r="EQ18" s="245">
        <v>24993415</v>
      </c>
      <c r="ER18" s="245">
        <f t="shared" si="8"/>
        <v>374901.22499999998</v>
      </c>
      <c r="ES18" s="246">
        <f t="shared" si="9"/>
        <v>104264</v>
      </c>
      <c r="ET18" s="246">
        <v>70779</v>
      </c>
      <c r="EU18" s="246">
        <f t="shared" si="10"/>
        <v>27991347</v>
      </c>
      <c r="EV18" s="247">
        <f t="shared" si="10"/>
        <v>419870.20499999996</v>
      </c>
      <c r="EW18" s="246">
        <f t="shared" si="11"/>
        <v>1121115</v>
      </c>
      <c r="EX18" s="246">
        <f t="shared" si="12"/>
        <v>45024</v>
      </c>
      <c r="EY18" s="247">
        <f t="shared" si="13"/>
        <v>224981725</v>
      </c>
      <c r="EZ18" s="246">
        <f t="shared" si="14"/>
        <v>40987</v>
      </c>
      <c r="FA18" s="246">
        <f t="shared" si="14"/>
        <v>20667</v>
      </c>
      <c r="FB18" s="246">
        <f t="shared" si="14"/>
        <v>51953669</v>
      </c>
      <c r="FC18" s="247">
        <f t="shared" si="15"/>
        <v>701374.53150000004</v>
      </c>
      <c r="FD18" s="246">
        <v>128</v>
      </c>
      <c r="FE18" s="246">
        <v>120</v>
      </c>
      <c r="FF18" s="246">
        <v>158493</v>
      </c>
    </row>
    <row r="19" spans="1:162" s="248" customFormat="1" ht="15" customHeight="1">
      <c r="A19" s="236">
        <v>45552</v>
      </c>
      <c r="B19" s="237">
        <v>9506</v>
      </c>
      <c r="C19" s="237">
        <v>13669</v>
      </c>
      <c r="D19" s="237">
        <v>13670</v>
      </c>
      <c r="E19" s="237">
        <v>818166</v>
      </c>
      <c r="F19" s="237">
        <v>316666</v>
      </c>
      <c r="G19" s="237">
        <v>3459411</v>
      </c>
      <c r="H19" s="237">
        <v>2521579</v>
      </c>
      <c r="I19" s="237">
        <v>1612484</v>
      </c>
      <c r="J19" s="237">
        <v>8905</v>
      </c>
      <c r="K19" s="237">
        <v>307</v>
      </c>
      <c r="L19" s="237">
        <v>206123</v>
      </c>
      <c r="M19" s="237">
        <v>174110</v>
      </c>
      <c r="N19" s="237">
        <v>146439</v>
      </c>
      <c r="O19" s="237">
        <v>1143841</v>
      </c>
      <c r="P19" s="237">
        <v>216560600</v>
      </c>
      <c r="Q19" s="237">
        <v>6309</v>
      </c>
      <c r="R19" s="237">
        <v>1012844</v>
      </c>
      <c r="S19" s="237">
        <v>9186387</v>
      </c>
      <c r="T19" s="237"/>
      <c r="U19" s="237">
        <v>148523</v>
      </c>
      <c r="V19" s="237">
        <v>42513</v>
      </c>
      <c r="W19" s="237">
        <v>119913</v>
      </c>
      <c r="X19" s="237">
        <v>1058934250</v>
      </c>
      <c r="Y19" s="237">
        <v>3438881</v>
      </c>
      <c r="Z19" s="237">
        <v>8076</v>
      </c>
      <c r="AA19" s="237">
        <v>0</v>
      </c>
      <c r="AB19" s="237">
        <v>370</v>
      </c>
      <c r="AC19" s="237">
        <v>0</v>
      </c>
      <c r="AD19" s="237">
        <v>514</v>
      </c>
      <c r="AE19" s="237">
        <v>0</v>
      </c>
      <c r="AF19" s="237">
        <v>0</v>
      </c>
      <c r="AG19" s="237">
        <v>0</v>
      </c>
      <c r="AH19" s="237">
        <v>112653</v>
      </c>
      <c r="AI19" s="237">
        <v>94445</v>
      </c>
      <c r="AJ19" s="237">
        <v>1046688163</v>
      </c>
      <c r="AK19" s="237">
        <v>9067</v>
      </c>
      <c r="AL19" s="237">
        <v>9905791</v>
      </c>
      <c r="AM19" s="237">
        <v>19582031</v>
      </c>
      <c r="AN19" s="237">
        <v>258297</v>
      </c>
      <c r="AO19" s="237">
        <v>16913</v>
      </c>
      <c r="AP19" s="237">
        <v>13355</v>
      </c>
      <c r="AQ19" s="237">
        <v>137758704</v>
      </c>
      <c r="AR19" s="237">
        <v>3056</v>
      </c>
      <c r="AS19" s="237">
        <v>933000</v>
      </c>
      <c r="AT19" s="237">
        <v>103</v>
      </c>
      <c r="AU19" s="237">
        <v>314</v>
      </c>
      <c r="AV19" s="237">
        <v>310872</v>
      </c>
      <c r="AW19" s="237">
        <v>311</v>
      </c>
      <c r="AX19" s="237">
        <v>26000</v>
      </c>
      <c r="AY19" s="237">
        <v>1083</v>
      </c>
      <c r="AZ19" s="237">
        <v>796</v>
      </c>
      <c r="BA19" s="237">
        <v>31952751</v>
      </c>
      <c r="BB19" s="237">
        <v>39</v>
      </c>
      <c r="BC19" s="237">
        <v>24300</v>
      </c>
      <c r="BD19" s="237">
        <v>7632</v>
      </c>
      <c r="BE19" s="237">
        <v>3184</v>
      </c>
      <c r="BF19" s="237">
        <v>2227</v>
      </c>
      <c r="BG19" s="237">
        <v>65111741</v>
      </c>
      <c r="BH19" s="237">
        <v>16</v>
      </c>
      <c r="BI19" s="237">
        <v>0</v>
      </c>
      <c r="BJ19" s="237">
        <v>0</v>
      </c>
      <c r="BK19" s="237">
        <v>142</v>
      </c>
      <c r="BL19" s="237">
        <v>112</v>
      </c>
      <c r="BM19" s="237">
        <v>2862768</v>
      </c>
      <c r="BN19" s="237">
        <v>102</v>
      </c>
      <c r="BO19" s="237">
        <v>69200</v>
      </c>
      <c r="BP19" s="237">
        <v>27680</v>
      </c>
      <c r="BQ19" s="237">
        <v>56837</v>
      </c>
      <c r="BR19" s="237">
        <v>30106</v>
      </c>
      <c r="BS19" s="237">
        <v>69623945</v>
      </c>
      <c r="BT19" s="237">
        <v>0</v>
      </c>
      <c r="BU19" s="238">
        <f>BS19*0.0135</f>
        <v>939923.25749999995</v>
      </c>
      <c r="BV19" s="237">
        <v>32</v>
      </c>
      <c r="BW19" s="237">
        <v>28</v>
      </c>
      <c r="BX19" s="237">
        <v>1072190</v>
      </c>
      <c r="BY19" s="237">
        <v>0</v>
      </c>
      <c r="BZ19" s="237">
        <v>5361</v>
      </c>
      <c r="CA19" s="238">
        <v>0</v>
      </c>
      <c r="CB19" s="238">
        <v>0</v>
      </c>
      <c r="CC19" s="238">
        <v>0</v>
      </c>
      <c r="CD19" s="238">
        <v>0</v>
      </c>
      <c r="CE19" s="238">
        <v>0</v>
      </c>
      <c r="CF19" s="237">
        <v>0</v>
      </c>
      <c r="CG19" s="237">
        <v>0</v>
      </c>
      <c r="CH19" s="237">
        <v>0</v>
      </c>
      <c r="CI19" s="237">
        <v>0</v>
      </c>
      <c r="CJ19" s="237">
        <v>0</v>
      </c>
      <c r="CK19" s="237">
        <v>16570</v>
      </c>
      <c r="CL19" s="237">
        <v>404867747</v>
      </c>
      <c r="CM19" s="237">
        <v>0</v>
      </c>
      <c r="CN19" s="237">
        <v>0</v>
      </c>
      <c r="CO19" s="237">
        <v>97006</v>
      </c>
      <c r="CP19" s="237">
        <v>45027</v>
      </c>
      <c r="CQ19" s="237">
        <v>30675910</v>
      </c>
      <c r="CR19" s="237">
        <v>6659</v>
      </c>
      <c r="CS19" s="237">
        <v>10228</v>
      </c>
      <c r="CT19" s="237">
        <v>25818096</v>
      </c>
      <c r="CU19" s="237">
        <v>284003</v>
      </c>
      <c r="CV19" s="237">
        <v>1392</v>
      </c>
      <c r="CW19" s="237">
        <v>18723</v>
      </c>
      <c r="CX19" s="237">
        <v>20406</v>
      </c>
      <c r="CY19" s="237">
        <v>18403</v>
      </c>
      <c r="CZ19" s="237">
        <v>346675615</v>
      </c>
      <c r="DA19" s="237">
        <v>2710</v>
      </c>
      <c r="DB19" s="237">
        <v>33</v>
      </c>
      <c r="DC19" s="237">
        <v>3</v>
      </c>
      <c r="DD19" s="237">
        <v>226811</v>
      </c>
      <c r="DE19" s="237">
        <v>2</v>
      </c>
      <c r="DF19" s="237">
        <v>3425</v>
      </c>
      <c r="DG19" s="237">
        <v>106</v>
      </c>
      <c r="DH19" s="237">
        <v>0</v>
      </c>
      <c r="DI19" s="237">
        <v>0</v>
      </c>
      <c r="DJ19" s="237">
        <v>1</v>
      </c>
      <c r="DK19" s="237">
        <v>11574</v>
      </c>
      <c r="DL19" s="237">
        <v>3434</v>
      </c>
      <c r="DM19" s="237">
        <v>355266411</v>
      </c>
      <c r="DN19" s="237">
        <v>874</v>
      </c>
      <c r="DO19" s="237">
        <v>2252850</v>
      </c>
      <c r="DP19" s="237">
        <v>305</v>
      </c>
      <c r="DQ19" s="237">
        <v>14552926</v>
      </c>
      <c r="DR19" s="237">
        <v>272000</v>
      </c>
      <c r="DS19" s="237">
        <f t="shared" si="19"/>
        <v>11574</v>
      </c>
      <c r="DT19" s="237">
        <f t="shared" si="20"/>
        <v>355266411</v>
      </c>
      <c r="DU19" s="240">
        <f t="shared" si="1"/>
        <v>2252850</v>
      </c>
      <c r="DV19" s="237">
        <v>0</v>
      </c>
      <c r="DW19" s="237">
        <v>7165</v>
      </c>
      <c r="DX19" s="237">
        <v>230496714</v>
      </c>
      <c r="DY19" s="237">
        <f t="shared" si="21"/>
        <v>4409</v>
      </c>
      <c r="DZ19" s="237">
        <f t="shared" si="21"/>
        <v>124769697</v>
      </c>
      <c r="EA19" s="238">
        <f t="shared" si="2"/>
        <v>2651973</v>
      </c>
      <c r="EB19" s="238">
        <f t="shared" si="3"/>
        <v>3803592961</v>
      </c>
      <c r="EC19" s="238">
        <f t="shared" si="4"/>
        <v>32249</v>
      </c>
      <c r="ED19" s="256">
        <v>590429</v>
      </c>
      <c r="EE19" s="256">
        <v>211927</v>
      </c>
      <c r="EF19" s="256">
        <v>538082</v>
      </c>
      <c r="EG19" s="256">
        <v>37739</v>
      </c>
      <c r="EH19" s="256">
        <v>1382959</v>
      </c>
      <c r="EI19" s="242">
        <f t="shared" si="5"/>
        <v>25445155.922499999</v>
      </c>
      <c r="EJ19" s="243">
        <f t="shared" si="6"/>
        <v>13940214</v>
      </c>
      <c r="EK19" s="244">
        <v>8734</v>
      </c>
      <c r="EL19" s="245">
        <v>7361</v>
      </c>
      <c r="EM19" s="245">
        <v>3061781</v>
      </c>
      <c r="EN19" s="245">
        <f t="shared" si="7"/>
        <v>45926.714999999997</v>
      </c>
      <c r="EO19" s="245">
        <v>97456</v>
      </c>
      <c r="EP19" s="245">
        <v>66071</v>
      </c>
      <c r="EQ19" s="245">
        <v>24880530</v>
      </c>
      <c r="ER19" s="245">
        <f t="shared" si="8"/>
        <v>373207.95</v>
      </c>
      <c r="ES19" s="246">
        <f t="shared" si="9"/>
        <v>106190</v>
      </c>
      <c r="ET19" s="246">
        <v>71922</v>
      </c>
      <c r="EU19" s="246">
        <f t="shared" ref="EU19:EV22" si="22">EM19+EQ19</f>
        <v>27942311</v>
      </c>
      <c r="EV19" s="247">
        <f t="shared" si="22"/>
        <v>419134.66500000004</v>
      </c>
      <c r="EW19" s="246">
        <f t="shared" si="11"/>
        <v>1134657</v>
      </c>
      <c r="EX19" s="246">
        <f t="shared" si="12"/>
        <v>45027</v>
      </c>
      <c r="EY19" s="247">
        <f t="shared" si="13"/>
        <v>219294199</v>
      </c>
      <c r="EZ19" s="246">
        <f t="shared" ref="EZ19:FB22" si="23">BQ19+CA19+CF19</f>
        <v>56837</v>
      </c>
      <c r="FA19" s="246">
        <f t="shared" si="23"/>
        <v>30106</v>
      </c>
      <c r="FB19" s="246">
        <f t="shared" si="23"/>
        <v>69623945</v>
      </c>
      <c r="FC19" s="247">
        <f t="shared" si="15"/>
        <v>939923.25749999995</v>
      </c>
      <c r="FD19" s="246">
        <v>108</v>
      </c>
      <c r="FE19" s="246">
        <v>94</v>
      </c>
      <c r="FF19" s="246">
        <v>106997</v>
      </c>
    </row>
    <row r="20" spans="1:162" s="248" customFormat="1" ht="15" customHeight="1">
      <c r="A20" s="236">
        <v>45553</v>
      </c>
      <c r="B20" s="237">
        <v>9894</v>
      </c>
      <c r="C20" s="237">
        <v>14489</v>
      </c>
      <c r="D20" s="237">
        <v>14489</v>
      </c>
      <c r="E20" s="237">
        <v>817778</v>
      </c>
      <c r="F20" s="237">
        <v>317467</v>
      </c>
      <c r="G20" s="237">
        <v>3464128</v>
      </c>
      <c r="H20" s="237">
        <v>2523066</v>
      </c>
      <c r="I20" s="237">
        <v>1623338</v>
      </c>
      <c r="J20" s="237">
        <v>8918</v>
      </c>
      <c r="K20" s="237">
        <v>346</v>
      </c>
      <c r="L20" s="237">
        <v>206551</v>
      </c>
      <c r="M20" s="237">
        <v>174340</v>
      </c>
      <c r="N20" s="237">
        <v>146843</v>
      </c>
      <c r="O20" s="237">
        <v>1086496</v>
      </c>
      <c r="P20" s="237">
        <v>209323785</v>
      </c>
      <c r="Q20" s="237">
        <v>6180</v>
      </c>
      <c r="R20" s="237">
        <v>985609</v>
      </c>
      <c r="S20" s="237">
        <v>9086935</v>
      </c>
      <c r="T20" s="237"/>
      <c r="U20" s="237">
        <v>144271</v>
      </c>
      <c r="V20" s="237">
        <v>42289</v>
      </c>
      <c r="W20" s="237">
        <v>116176</v>
      </c>
      <c r="X20" s="237">
        <v>964871998</v>
      </c>
      <c r="Y20" s="237">
        <v>3117331</v>
      </c>
      <c r="Z20" s="237">
        <v>7457</v>
      </c>
      <c r="AA20" s="237">
        <v>0</v>
      </c>
      <c r="AB20" s="237">
        <v>333</v>
      </c>
      <c r="AC20" s="237">
        <v>0</v>
      </c>
      <c r="AD20" s="237">
        <v>455</v>
      </c>
      <c r="AE20" s="237">
        <v>0</v>
      </c>
      <c r="AF20" s="237">
        <v>0</v>
      </c>
      <c r="AG20" s="237">
        <v>0</v>
      </c>
      <c r="AH20" s="237">
        <v>115806</v>
      </c>
      <c r="AI20" s="237">
        <v>96615</v>
      </c>
      <c r="AJ20" s="237">
        <v>1074615487</v>
      </c>
      <c r="AK20" s="237">
        <v>9285</v>
      </c>
      <c r="AL20" s="237">
        <v>10199440</v>
      </c>
      <c r="AM20" s="237">
        <v>20216221</v>
      </c>
      <c r="AN20" s="237">
        <v>267020</v>
      </c>
      <c r="AO20" s="237">
        <v>17762</v>
      </c>
      <c r="AP20" s="237">
        <v>13922</v>
      </c>
      <c r="AQ20" s="237">
        <v>151150476</v>
      </c>
      <c r="AR20" s="237">
        <v>3271</v>
      </c>
      <c r="AS20" s="237">
        <v>978200</v>
      </c>
      <c r="AT20" s="237">
        <v>120</v>
      </c>
      <c r="AU20" s="237">
        <v>362</v>
      </c>
      <c r="AV20" s="237">
        <v>509752</v>
      </c>
      <c r="AW20" s="237">
        <v>335</v>
      </c>
      <c r="AX20" s="237">
        <v>31800</v>
      </c>
      <c r="AY20" s="237">
        <v>101</v>
      </c>
      <c r="AZ20" s="237">
        <v>79</v>
      </c>
      <c r="BA20" s="237">
        <v>4701720</v>
      </c>
      <c r="BB20" s="237">
        <v>35</v>
      </c>
      <c r="BC20" s="237">
        <v>30500</v>
      </c>
      <c r="BD20" s="237">
        <v>9886</v>
      </c>
      <c r="BE20" s="237">
        <v>1102</v>
      </c>
      <c r="BF20" s="237">
        <v>852</v>
      </c>
      <c r="BG20" s="237">
        <v>18073371</v>
      </c>
      <c r="BH20" s="237">
        <v>693</v>
      </c>
      <c r="BI20" s="237">
        <v>0</v>
      </c>
      <c r="BJ20" s="237">
        <v>0</v>
      </c>
      <c r="BK20" s="237">
        <v>127</v>
      </c>
      <c r="BL20" s="237">
        <v>101</v>
      </c>
      <c r="BM20" s="237">
        <v>2794708</v>
      </c>
      <c r="BN20" s="237">
        <v>139</v>
      </c>
      <c r="BO20" s="237">
        <v>63400</v>
      </c>
      <c r="BP20" s="237">
        <v>25360</v>
      </c>
      <c r="BQ20" s="237">
        <v>59198</v>
      </c>
      <c r="BR20" s="237">
        <v>30078</v>
      </c>
      <c r="BS20" s="237">
        <v>70109512</v>
      </c>
      <c r="BT20" s="237">
        <v>0</v>
      </c>
      <c r="BU20" s="238">
        <f>BS20*0.0135</f>
        <v>946478.41200000001</v>
      </c>
      <c r="BV20" s="237">
        <v>38</v>
      </c>
      <c r="BW20" s="237">
        <v>34</v>
      </c>
      <c r="BX20" s="237">
        <v>1741767</v>
      </c>
      <c r="BY20" s="237">
        <v>0</v>
      </c>
      <c r="BZ20" s="237">
        <v>8709</v>
      </c>
      <c r="CA20" s="238">
        <v>0</v>
      </c>
      <c r="CB20" s="238">
        <v>0</v>
      </c>
      <c r="CC20" s="238">
        <v>0</v>
      </c>
      <c r="CD20" s="238">
        <v>0</v>
      </c>
      <c r="CE20" s="238">
        <v>0</v>
      </c>
      <c r="CF20" s="237">
        <v>0</v>
      </c>
      <c r="CG20" s="237">
        <v>0</v>
      </c>
      <c r="CH20" s="237">
        <v>0</v>
      </c>
      <c r="CI20" s="237">
        <v>0</v>
      </c>
      <c r="CJ20" s="237">
        <v>0</v>
      </c>
      <c r="CK20" s="237">
        <v>7864</v>
      </c>
      <c r="CL20" s="237">
        <v>205862424</v>
      </c>
      <c r="CM20" s="237">
        <v>0</v>
      </c>
      <c r="CN20" s="237">
        <v>0</v>
      </c>
      <c r="CO20" s="237">
        <v>88420</v>
      </c>
      <c r="CP20" s="237">
        <v>43797</v>
      </c>
      <c r="CQ20" s="237">
        <v>27431568</v>
      </c>
      <c r="CR20" s="237">
        <v>6300</v>
      </c>
      <c r="CS20" s="237">
        <v>9704</v>
      </c>
      <c r="CT20" s="237">
        <v>25696672</v>
      </c>
      <c r="CU20" s="237">
        <v>269032</v>
      </c>
      <c r="CV20" s="237">
        <v>1277</v>
      </c>
      <c r="CW20" s="237">
        <v>18792</v>
      </c>
      <c r="CX20" s="237">
        <v>20148</v>
      </c>
      <c r="CY20" s="237">
        <v>18496</v>
      </c>
      <c r="CZ20" s="237">
        <v>294913626</v>
      </c>
      <c r="DA20" s="237">
        <v>2825</v>
      </c>
      <c r="DB20" s="237">
        <v>21</v>
      </c>
      <c r="DC20" s="237">
        <v>1</v>
      </c>
      <c r="DD20" s="237">
        <v>199800</v>
      </c>
      <c r="DE20" s="237">
        <v>0</v>
      </c>
      <c r="DF20" s="237">
        <v>2421</v>
      </c>
      <c r="DG20" s="237">
        <v>76</v>
      </c>
      <c r="DH20" s="237">
        <v>0</v>
      </c>
      <c r="DI20" s="237">
        <v>0</v>
      </c>
      <c r="DJ20" s="237">
        <v>1</v>
      </c>
      <c r="DK20" s="237">
        <v>11171</v>
      </c>
      <c r="DL20" s="237">
        <v>3185</v>
      </c>
      <c r="DM20" s="237">
        <v>343780954</v>
      </c>
      <c r="DN20" s="237">
        <v>1032</v>
      </c>
      <c r="DO20" s="237">
        <v>1934300</v>
      </c>
      <c r="DP20" s="237">
        <v>428</v>
      </c>
      <c r="DQ20" s="237">
        <v>14632756</v>
      </c>
      <c r="DR20" s="237">
        <v>293100</v>
      </c>
      <c r="DS20" s="237">
        <f t="shared" si="19"/>
        <v>11171</v>
      </c>
      <c r="DT20" s="237">
        <f t="shared" si="20"/>
        <v>343780954</v>
      </c>
      <c r="DU20" s="240">
        <f t="shared" si="1"/>
        <v>1934300</v>
      </c>
      <c r="DV20" s="237">
        <v>0</v>
      </c>
      <c r="DW20" s="237">
        <v>7260</v>
      </c>
      <c r="DX20" s="237">
        <v>242139304</v>
      </c>
      <c r="DY20" s="237">
        <f t="shared" si="21"/>
        <v>3911</v>
      </c>
      <c r="DZ20" s="237">
        <f t="shared" si="21"/>
        <v>101641650</v>
      </c>
      <c r="EA20" s="238">
        <f t="shared" si="2"/>
        <v>2547959</v>
      </c>
      <c r="EB20" s="238">
        <f t="shared" si="3"/>
        <v>3404864555</v>
      </c>
      <c r="EC20" s="238">
        <f t="shared" si="4"/>
        <v>32500</v>
      </c>
      <c r="ED20" s="256">
        <v>1007684</v>
      </c>
      <c r="EE20" s="256">
        <v>246820</v>
      </c>
      <c r="EF20" s="256">
        <v>511343</v>
      </c>
      <c r="EG20" s="256">
        <v>0</v>
      </c>
      <c r="EH20" s="256">
        <v>1227762</v>
      </c>
      <c r="EI20" s="242">
        <f t="shared" si="5"/>
        <v>26300554.061999999</v>
      </c>
      <c r="EJ20" s="243">
        <f t="shared" si="6"/>
        <v>13884573</v>
      </c>
      <c r="EK20" s="244">
        <v>8607</v>
      </c>
      <c r="EL20" s="245">
        <v>7234</v>
      </c>
      <c r="EM20" s="245">
        <v>2939550</v>
      </c>
      <c r="EN20" s="245">
        <f t="shared" si="7"/>
        <v>44093.25</v>
      </c>
      <c r="EO20" s="245">
        <v>95364</v>
      </c>
      <c r="EP20" s="245">
        <v>65319</v>
      </c>
      <c r="EQ20" s="245">
        <v>24887960</v>
      </c>
      <c r="ER20" s="245">
        <f t="shared" si="8"/>
        <v>373319.39999999997</v>
      </c>
      <c r="ES20" s="246">
        <f t="shared" si="9"/>
        <v>103971</v>
      </c>
      <c r="ET20" s="246">
        <v>70979</v>
      </c>
      <c r="EU20" s="246">
        <f t="shared" si="22"/>
        <v>27827510</v>
      </c>
      <c r="EV20" s="247">
        <f t="shared" si="22"/>
        <v>417412.64999999997</v>
      </c>
      <c r="EW20" s="246">
        <f t="shared" si="11"/>
        <v>1070945</v>
      </c>
      <c r="EX20" s="246">
        <f t="shared" si="12"/>
        <v>43797</v>
      </c>
      <c r="EY20" s="247">
        <f t="shared" si="13"/>
        <v>208927843</v>
      </c>
      <c r="EZ20" s="246">
        <f t="shared" si="23"/>
        <v>59198</v>
      </c>
      <c r="FA20" s="246">
        <f t="shared" si="23"/>
        <v>30078</v>
      </c>
      <c r="FB20" s="246">
        <f t="shared" si="23"/>
        <v>70109512</v>
      </c>
      <c r="FC20" s="247">
        <f t="shared" si="15"/>
        <v>946478.41200000001</v>
      </c>
      <c r="FD20" s="246">
        <v>112</v>
      </c>
      <c r="FE20" s="246">
        <v>97</v>
      </c>
      <c r="FF20" s="246">
        <v>149997</v>
      </c>
    </row>
    <row r="21" spans="1:162" s="248" customFormat="1" ht="15" customHeight="1">
      <c r="A21" s="236">
        <v>45554</v>
      </c>
      <c r="B21" s="237">
        <v>9921</v>
      </c>
      <c r="C21" s="237">
        <v>14833</v>
      </c>
      <c r="D21" s="237">
        <v>14834</v>
      </c>
      <c r="E21" s="237">
        <v>817665</v>
      </c>
      <c r="F21" s="237">
        <v>316067</v>
      </c>
      <c r="G21" s="237">
        <v>3468850</v>
      </c>
      <c r="H21" s="237">
        <v>2524138</v>
      </c>
      <c r="I21" s="237">
        <v>1626154</v>
      </c>
      <c r="J21" s="237">
        <v>8860</v>
      </c>
      <c r="K21" s="237">
        <v>308</v>
      </c>
      <c r="L21" s="237">
        <v>206987</v>
      </c>
      <c r="M21" s="237">
        <v>174552</v>
      </c>
      <c r="N21" s="237">
        <v>147134</v>
      </c>
      <c r="O21" s="237">
        <v>1092218</v>
      </c>
      <c r="P21" s="237">
        <v>209523630</v>
      </c>
      <c r="Q21" s="237">
        <v>5814</v>
      </c>
      <c r="R21" s="237">
        <v>993006</v>
      </c>
      <c r="S21" s="237">
        <v>9096897</v>
      </c>
      <c r="T21" s="237">
        <v>2</v>
      </c>
      <c r="U21" s="237">
        <v>145557</v>
      </c>
      <c r="V21" s="237">
        <v>42377</v>
      </c>
      <c r="W21" s="237">
        <v>117176</v>
      </c>
      <c r="X21" s="237">
        <v>978469841</v>
      </c>
      <c r="Y21" s="237">
        <v>3181629</v>
      </c>
      <c r="Z21" s="237">
        <v>7460</v>
      </c>
      <c r="AA21" s="237">
        <v>0</v>
      </c>
      <c r="AB21" s="237">
        <v>320</v>
      </c>
      <c r="AC21" s="237">
        <v>0</v>
      </c>
      <c r="AD21" s="237">
        <v>441</v>
      </c>
      <c r="AE21" s="237">
        <v>0</v>
      </c>
      <c r="AF21" s="237">
        <v>0</v>
      </c>
      <c r="AG21" s="237">
        <v>0</v>
      </c>
      <c r="AH21" s="237">
        <v>113756</v>
      </c>
      <c r="AI21" s="237">
        <v>95388</v>
      </c>
      <c r="AJ21" s="237">
        <v>1061540949</v>
      </c>
      <c r="AK21" s="237">
        <v>9081</v>
      </c>
      <c r="AL21" s="237">
        <v>10134645</v>
      </c>
      <c r="AM21" s="237">
        <v>20053608</v>
      </c>
      <c r="AN21" s="237">
        <v>265636</v>
      </c>
      <c r="AO21" s="237">
        <v>16750</v>
      </c>
      <c r="AP21" s="237">
        <v>13423</v>
      </c>
      <c r="AQ21" s="237">
        <v>134469303</v>
      </c>
      <c r="AR21" s="237">
        <v>2957</v>
      </c>
      <c r="AS21" s="237">
        <v>920300</v>
      </c>
      <c r="AT21" s="237">
        <v>99</v>
      </c>
      <c r="AU21" s="237">
        <v>311</v>
      </c>
      <c r="AV21" s="237">
        <v>343025</v>
      </c>
      <c r="AW21" s="237">
        <v>309</v>
      </c>
      <c r="AX21" s="237">
        <v>25100</v>
      </c>
      <c r="AY21" s="237">
        <v>1024</v>
      </c>
      <c r="AZ21" s="237">
        <v>768</v>
      </c>
      <c r="BA21" s="237">
        <v>40977658</v>
      </c>
      <c r="BB21" s="237">
        <v>447</v>
      </c>
      <c r="BC21" s="237">
        <v>15300</v>
      </c>
      <c r="BD21" s="237">
        <v>4897</v>
      </c>
      <c r="BE21" s="237">
        <v>3187</v>
      </c>
      <c r="BF21" s="237">
        <v>2196</v>
      </c>
      <c r="BG21" s="237">
        <v>63475479</v>
      </c>
      <c r="BH21" s="237">
        <v>10</v>
      </c>
      <c r="BI21" s="237">
        <v>0</v>
      </c>
      <c r="BJ21" s="237">
        <v>0</v>
      </c>
      <c r="BK21" s="237">
        <v>149</v>
      </c>
      <c r="BL21" s="237">
        <v>100</v>
      </c>
      <c r="BM21" s="237">
        <v>2921700</v>
      </c>
      <c r="BN21" s="237">
        <v>194</v>
      </c>
      <c r="BO21" s="237">
        <v>64300</v>
      </c>
      <c r="BP21" s="237">
        <v>25720</v>
      </c>
      <c r="BQ21" s="237">
        <v>57251</v>
      </c>
      <c r="BR21" s="237">
        <v>30166</v>
      </c>
      <c r="BS21" s="237">
        <v>71199843</v>
      </c>
      <c r="BT21" s="237">
        <v>0</v>
      </c>
      <c r="BU21" s="238">
        <f>BS21*0.0135</f>
        <v>961197.88049999997</v>
      </c>
      <c r="BV21" s="237">
        <v>0</v>
      </c>
      <c r="BW21" s="237">
        <v>0</v>
      </c>
      <c r="BX21" s="237">
        <v>1541210</v>
      </c>
      <c r="BY21" s="237">
        <v>0</v>
      </c>
      <c r="BZ21" s="237">
        <v>7706</v>
      </c>
      <c r="CA21" s="238">
        <v>0</v>
      </c>
      <c r="CB21" s="238">
        <v>0</v>
      </c>
      <c r="CC21" s="238">
        <v>0</v>
      </c>
      <c r="CD21" s="238">
        <v>0</v>
      </c>
      <c r="CE21" s="238">
        <v>0</v>
      </c>
      <c r="CF21" s="237">
        <v>0</v>
      </c>
      <c r="CG21" s="237">
        <v>0</v>
      </c>
      <c r="CH21" s="237">
        <v>0</v>
      </c>
      <c r="CI21" s="237">
        <v>0</v>
      </c>
      <c r="CJ21" s="237">
        <v>0</v>
      </c>
      <c r="CK21" s="239">
        <v>1161</v>
      </c>
      <c r="CL21" s="237">
        <v>7989325</v>
      </c>
      <c r="CM21" s="237">
        <v>0</v>
      </c>
      <c r="CN21" s="237">
        <v>0</v>
      </c>
      <c r="CO21" s="237">
        <v>91085</v>
      </c>
      <c r="CP21" s="237">
        <v>43524</v>
      </c>
      <c r="CQ21" s="239">
        <v>28129320</v>
      </c>
      <c r="CR21" s="237">
        <v>6165</v>
      </c>
      <c r="CS21" s="237">
        <v>9760</v>
      </c>
      <c r="CT21" s="237">
        <v>24739296</v>
      </c>
      <c r="CU21" s="237">
        <v>260496</v>
      </c>
      <c r="CV21" s="237">
        <v>1291</v>
      </c>
      <c r="CW21" s="237">
        <v>18742</v>
      </c>
      <c r="CX21" s="237">
        <v>19155</v>
      </c>
      <c r="CY21" s="237">
        <v>17504</v>
      </c>
      <c r="CZ21" s="237">
        <v>229307754</v>
      </c>
      <c r="DA21" s="237">
        <v>2569</v>
      </c>
      <c r="DB21" s="237">
        <v>22</v>
      </c>
      <c r="DC21" s="237">
        <v>2</v>
      </c>
      <c r="DD21" s="237">
        <v>186400</v>
      </c>
      <c r="DE21" s="237">
        <v>1</v>
      </c>
      <c r="DF21" s="237">
        <v>2668</v>
      </c>
      <c r="DG21" s="237">
        <v>81</v>
      </c>
      <c r="DH21" s="237">
        <v>0</v>
      </c>
      <c r="DI21" s="237">
        <v>0</v>
      </c>
      <c r="DJ21" s="237">
        <v>1</v>
      </c>
      <c r="DK21" s="237">
        <v>10160</v>
      </c>
      <c r="DL21" s="237">
        <v>3171</v>
      </c>
      <c r="DM21" s="237">
        <v>310516286</v>
      </c>
      <c r="DN21" s="237">
        <v>2638</v>
      </c>
      <c r="DO21" s="237">
        <v>1877900</v>
      </c>
      <c r="DP21" s="237">
        <v>2056</v>
      </c>
      <c r="DQ21" s="237">
        <v>68283160</v>
      </c>
      <c r="DR21" s="237">
        <v>1212750</v>
      </c>
      <c r="DS21" s="237">
        <f t="shared" si="19"/>
        <v>10160</v>
      </c>
      <c r="DT21" s="237">
        <f t="shared" si="20"/>
        <v>310516286</v>
      </c>
      <c r="DU21" s="240">
        <f t="shared" si="1"/>
        <v>1877900</v>
      </c>
      <c r="DV21" s="237">
        <v>0</v>
      </c>
      <c r="DW21" s="237">
        <v>6488</v>
      </c>
      <c r="DX21" s="237">
        <v>199866065</v>
      </c>
      <c r="DY21" s="237">
        <f t="shared" si="21"/>
        <v>3672</v>
      </c>
      <c r="DZ21" s="237">
        <f t="shared" si="21"/>
        <v>110650221</v>
      </c>
      <c r="EA21" s="238">
        <f t="shared" si="2"/>
        <v>2554341</v>
      </c>
      <c r="EB21" s="238">
        <f t="shared" si="3"/>
        <v>3174427916</v>
      </c>
      <c r="EC21" s="238">
        <f t="shared" si="4"/>
        <v>32983</v>
      </c>
      <c r="ED21" s="256">
        <v>2277390</v>
      </c>
      <c r="EE21" s="256">
        <v>231167</v>
      </c>
      <c r="EF21" s="256">
        <v>470424</v>
      </c>
      <c r="EG21" s="256">
        <v>35167</v>
      </c>
      <c r="EH21" s="256">
        <v>1264768</v>
      </c>
      <c r="EI21" s="242">
        <f t="shared" si="5"/>
        <v>27274981.855500001</v>
      </c>
      <c r="EJ21" s="243">
        <f t="shared" si="6"/>
        <v>13838725</v>
      </c>
      <c r="EK21" s="244">
        <v>8324</v>
      </c>
      <c r="EL21" s="245">
        <v>7115</v>
      </c>
      <c r="EM21" s="245">
        <v>2887345</v>
      </c>
      <c r="EN21" s="245">
        <f t="shared" si="7"/>
        <v>43310.174999999996</v>
      </c>
      <c r="EO21" s="245">
        <v>93879</v>
      </c>
      <c r="EP21" s="245">
        <v>64650</v>
      </c>
      <c r="EQ21" s="245">
        <v>24947320</v>
      </c>
      <c r="ER21" s="245">
        <f t="shared" si="8"/>
        <v>374209.8</v>
      </c>
      <c r="ES21" s="246">
        <f t="shared" si="9"/>
        <v>102203</v>
      </c>
      <c r="ET21" s="246">
        <v>70168</v>
      </c>
      <c r="EU21" s="246">
        <f t="shared" si="22"/>
        <v>27834665</v>
      </c>
      <c r="EV21" s="247">
        <f t="shared" si="22"/>
        <v>417519.97499999998</v>
      </c>
      <c r="EW21" s="246">
        <f t="shared" si="11"/>
        <v>1081100</v>
      </c>
      <c r="EX21" s="246">
        <f t="shared" si="12"/>
        <v>43524</v>
      </c>
      <c r="EY21" s="247">
        <f t="shared" si="13"/>
        <v>209818285</v>
      </c>
      <c r="EZ21" s="246">
        <f t="shared" si="23"/>
        <v>57251</v>
      </c>
      <c r="FA21" s="246">
        <f t="shared" si="23"/>
        <v>30166</v>
      </c>
      <c r="FB21" s="246">
        <f t="shared" si="23"/>
        <v>71199843</v>
      </c>
      <c r="FC21" s="247">
        <f t="shared" si="15"/>
        <v>961197.88049999997</v>
      </c>
      <c r="FD21" s="246">
        <v>128</v>
      </c>
      <c r="FE21" s="246">
        <v>116</v>
      </c>
      <c r="FF21" s="246">
        <v>162997</v>
      </c>
    </row>
    <row r="22" spans="1:162" s="248" customFormat="1" ht="15" customHeight="1">
      <c r="A22" s="236">
        <v>45555</v>
      </c>
      <c r="B22" s="237">
        <v>8308</v>
      </c>
      <c r="C22" s="237">
        <v>12061</v>
      </c>
      <c r="D22" s="237">
        <v>12062</v>
      </c>
      <c r="E22" s="237">
        <v>819882</v>
      </c>
      <c r="F22" s="237">
        <v>312619</v>
      </c>
      <c r="G22" s="237">
        <v>3473850</v>
      </c>
      <c r="H22" s="237">
        <v>2523626</v>
      </c>
      <c r="I22" s="237">
        <v>1627253</v>
      </c>
      <c r="J22" s="237">
        <v>8965</v>
      </c>
      <c r="K22" s="237">
        <v>306</v>
      </c>
      <c r="L22" s="237">
        <v>207391</v>
      </c>
      <c r="M22" s="237">
        <v>174719</v>
      </c>
      <c r="N22" s="237">
        <v>147215</v>
      </c>
      <c r="O22" s="237">
        <v>1108821</v>
      </c>
      <c r="P22" s="237">
        <v>214838445</v>
      </c>
      <c r="Q22" s="237">
        <v>6128</v>
      </c>
      <c r="R22" s="237">
        <v>1007880</v>
      </c>
      <c r="S22" s="237">
        <v>9360856</v>
      </c>
      <c r="T22" s="237">
        <v>2</v>
      </c>
      <c r="U22" s="237">
        <v>144486</v>
      </c>
      <c r="V22" s="237">
        <v>42287</v>
      </c>
      <c r="W22" s="237">
        <v>116901</v>
      </c>
      <c r="X22" s="237">
        <v>1008205139</v>
      </c>
      <c r="Y22" s="237">
        <v>3281697</v>
      </c>
      <c r="Z22" s="237">
        <v>7864</v>
      </c>
      <c r="AA22" s="237">
        <v>0</v>
      </c>
      <c r="AB22" s="237">
        <v>351</v>
      </c>
      <c r="AC22" s="237">
        <v>0</v>
      </c>
      <c r="AD22" s="237">
        <v>483</v>
      </c>
      <c r="AE22" s="237">
        <v>0</v>
      </c>
      <c r="AF22" s="237">
        <v>0</v>
      </c>
      <c r="AG22" s="237">
        <v>0</v>
      </c>
      <c r="AH22" s="237">
        <v>114164</v>
      </c>
      <c r="AI22" s="237">
        <v>95195</v>
      </c>
      <c r="AJ22" s="237">
        <v>1090836718</v>
      </c>
      <c r="AK22" s="237">
        <v>8893</v>
      </c>
      <c r="AL22" s="237">
        <v>10268407</v>
      </c>
      <c r="AM22" s="237">
        <v>20340128</v>
      </c>
      <c r="AN22" s="237">
        <v>269617</v>
      </c>
      <c r="AO22" s="237">
        <v>17562</v>
      </c>
      <c r="AP22" s="237">
        <v>13846</v>
      </c>
      <c r="AQ22" s="237">
        <v>148056999</v>
      </c>
      <c r="AR22" s="237">
        <v>3242</v>
      </c>
      <c r="AS22" s="237">
        <v>1025500</v>
      </c>
      <c r="AT22" s="237">
        <v>114</v>
      </c>
      <c r="AU22" s="237">
        <v>364</v>
      </c>
      <c r="AV22" s="237">
        <v>594993</v>
      </c>
      <c r="AW22" s="237">
        <v>356</v>
      </c>
      <c r="AX22" s="237">
        <v>33200</v>
      </c>
      <c r="AY22" s="237">
        <v>2243</v>
      </c>
      <c r="AZ22" s="237">
        <v>1591</v>
      </c>
      <c r="BA22" s="237">
        <v>111639919</v>
      </c>
      <c r="BB22" s="237">
        <v>1174</v>
      </c>
      <c r="BC22" s="237">
        <v>19450</v>
      </c>
      <c r="BD22" s="237">
        <v>6095</v>
      </c>
      <c r="BE22" s="237">
        <v>1110</v>
      </c>
      <c r="BF22" s="237">
        <v>891</v>
      </c>
      <c r="BG22" s="237">
        <v>19322972</v>
      </c>
      <c r="BH22" s="237">
        <v>5966</v>
      </c>
      <c r="BI22" s="237">
        <v>0</v>
      </c>
      <c r="BJ22" s="237">
        <v>0</v>
      </c>
      <c r="BK22" s="237">
        <v>132</v>
      </c>
      <c r="BL22" s="237">
        <v>82</v>
      </c>
      <c r="BM22" s="237">
        <v>2407642</v>
      </c>
      <c r="BN22" s="237">
        <v>236</v>
      </c>
      <c r="BO22" s="237">
        <v>53450</v>
      </c>
      <c r="BP22" s="237">
        <v>21380</v>
      </c>
      <c r="BQ22" s="237">
        <v>44877</v>
      </c>
      <c r="BR22" s="237">
        <v>23390</v>
      </c>
      <c r="BS22" s="237">
        <v>59932872</v>
      </c>
      <c r="BT22" s="237">
        <v>0</v>
      </c>
      <c r="BU22" s="238">
        <f>BS22*0.0135</f>
        <v>809093.772</v>
      </c>
      <c r="BV22" s="237">
        <v>31</v>
      </c>
      <c r="BW22" s="237">
        <v>28</v>
      </c>
      <c r="BX22" s="237">
        <v>1510105</v>
      </c>
      <c r="BY22" s="237">
        <v>0</v>
      </c>
      <c r="BZ22" s="237">
        <v>7551</v>
      </c>
      <c r="CA22" s="238">
        <v>0</v>
      </c>
      <c r="CB22" s="238">
        <v>0</v>
      </c>
      <c r="CC22" s="238">
        <v>0</v>
      </c>
      <c r="CD22" s="238">
        <v>0</v>
      </c>
      <c r="CE22" s="238">
        <v>0</v>
      </c>
      <c r="CF22" s="237">
        <v>0</v>
      </c>
      <c r="CG22" s="237">
        <v>0</v>
      </c>
      <c r="CH22" s="237">
        <v>0</v>
      </c>
      <c r="CI22" s="237">
        <v>0</v>
      </c>
      <c r="CJ22" s="237">
        <v>0</v>
      </c>
      <c r="CK22" s="239">
        <v>2144</v>
      </c>
      <c r="CL22" s="237">
        <v>56745490</v>
      </c>
      <c r="CM22" s="237">
        <v>0</v>
      </c>
      <c r="CN22" s="237">
        <v>0</v>
      </c>
      <c r="CO22" s="237">
        <v>94031</v>
      </c>
      <c r="CP22" s="237">
        <v>44579</v>
      </c>
      <c r="CQ22" s="239">
        <v>30059925</v>
      </c>
      <c r="CR22" s="237">
        <v>6581</v>
      </c>
      <c r="CS22" s="237">
        <v>10252</v>
      </c>
      <c r="CT22" s="237">
        <v>26330415</v>
      </c>
      <c r="CU22" s="237">
        <v>279415</v>
      </c>
      <c r="CV22" s="237">
        <v>1249</v>
      </c>
      <c r="CW22" s="237">
        <v>19638</v>
      </c>
      <c r="CX22" s="237">
        <v>19944</v>
      </c>
      <c r="CY22" s="237">
        <v>18185</v>
      </c>
      <c r="CZ22" s="237">
        <v>240744966</v>
      </c>
      <c r="DA22" s="237">
        <v>2811</v>
      </c>
      <c r="DB22" s="237">
        <v>24</v>
      </c>
      <c r="DC22" s="237">
        <v>4</v>
      </c>
      <c r="DD22" s="237">
        <v>320362</v>
      </c>
      <c r="DE22" s="237">
        <v>4</v>
      </c>
      <c r="DF22" s="237">
        <v>3919</v>
      </c>
      <c r="DG22" s="237">
        <v>118</v>
      </c>
      <c r="DH22" s="237">
        <v>0</v>
      </c>
      <c r="DI22" s="237">
        <v>0</v>
      </c>
      <c r="DJ22" s="237">
        <v>1</v>
      </c>
      <c r="DK22" s="237">
        <v>11005</v>
      </c>
      <c r="DL22" s="237">
        <v>3140</v>
      </c>
      <c r="DM22" s="237">
        <v>338330204</v>
      </c>
      <c r="DN22" s="237">
        <v>866</v>
      </c>
      <c r="DO22" s="237">
        <v>1982000</v>
      </c>
      <c r="DP22" s="237">
        <v>417</v>
      </c>
      <c r="DQ22" s="237">
        <v>8489830</v>
      </c>
      <c r="DR22" s="237">
        <v>310350</v>
      </c>
      <c r="DS22" s="237">
        <f t="shared" si="19"/>
        <v>11005</v>
      </c>
      <c r="DT22" s="237">
        <f t="shared" si="20"/>
        <v>338330204</v>
      </c>
      <c r="DU22" s="240">
        <f t="shared" si="1"/>
        <v>1982000</v>
      </c>
      <c r="DV22" s="237">
        <v>0</v>
      </c>
      <c r="DW22" s="237">
        <v>7038</v>
      </c>
      <c r="DX22" s="237">
        <v>229648546</v>
      </c>
      <c r="DY22" s="237">
        <f t="shared" si="21"/>
        <v>3967</v>
      </c>
      <c r="DZ22" s="237">
        <f t="shared" si="21"/>
        <v>108681658</v>
      </c>
      <c r="EA22" s="238">
        <f t="shared" si="2"/>
        <v>2578821</v>
      </c>
      <c r="EB22" s="238">
        <f t="shared" si="3"/>
        <v>3359238022</v>
      </c>
      <c r="EC22" s="238">
        <f t="shared" si="4"/>
        <v>39278</v>
      </c>
      <c r="ED22" s="256">
        <v>1225245</v>
      </c>
      <c r="EE22" s="330">
        <v>210814</v>
      </c>
      <c r="EF22" s="256">
        <v>478304</v>
      </c>
      <c r="EG22" s="256">
        <v>0</v>
      </c>
      <c r="EH22" s="256">
        <v>1359705</v>
      </c>
      <c r="EI22" s="242">
        <f t="shared" si="5"/>
        <v>26516112.322000001</v>
      </c>
      <c r="EJ22" s="243">
        <f t="shared" si="6"/>
        <v>14079440</v>
      </c>
      <c r="EK22" s="244">
        <v>8444</v>
      </c>
      <c r="EL22" s="245">
        <v>7112</v>
      </c>
      <c r="EM22" s="245">
        <v>2913485</v>
      </c>
      <c r="EN22" s="245">
        <f t="shared" si="7"/>
        <v>43702.275000000001</v>
      </c>
      <c r="EO22" s="245">
        <v>95415</v>
      </c>
      <c r="EP22" s="245">
        <v>64868</v>
      </c>
      <c r="EQ22" s="245">
        <v>24971085</v>
      </c>
      <c r="ER22" s="245">
        <f t="shared" si="8"/>
        <v>374566.27499999997</v>
      </c>
      <c r="ES22" s="246">
        <f t="shared" si="9"/>
        <v>103859</v>
      </c>
      <c r="ET22" s="246">
        <v>70409</v>
      </c>
      <c r="EU22" s="246">
        <f t="shared" si="22"/>
        <v>27884570</v>
      </c>
      <c r="EV22" s="247">
        <f t="shared" si="22"/>
        <v>418268.55</v>
      </c>
      <c r="EW22" s="246">
        <f t="shared" si="11"/>
        <v>1098993</v>
      </c>
      <c r="EX22" s="246">
        <f t="shared" si="12"/>
        <v>44579</v>
      </c>
      <c r="EY22" s="247">
        <f t="shared" si="13"/>
        <v>217013800</v>
      </c>
      <c r="EZ22" s="246">
        <f t="shared" si="23"/>
        <v>44877</v>
      </c>
      <c r="FA22" s="246">
        <f t="shared" si="23"/>
        <v>23390</v>
      </c>
      <c r="FB22" s="246">
        <f t="shared" si="23"/>
        <v>59932872</v>
      </c>
      <c r="FC22" s="247">
        <f t="shared" si="15"/>
        <v>809093.772</v>
      </c>
      <c r="FD22" s="246">
        <v>97</v>
      </c>
      <c r="FE22" s="246">
        <v>97</v>
      </c>
      <c r="FF22" s="246">
        <v>111997</v>
      </c>
    </row>
    <row r="23" spans="1:162" s="248" customFormat="1" ht="15" customHeight="1">
      <c r="A23" s="236">
        <v>45556</v>
      </c>
      <c r="B23" s="331">
        <v>5837</v>
      </c>
      <c r="C23" s="331">
        <v>9605</v>
      </c>
      <c r="D23" s="331">
        <v>9605</v>
      </c>
      <c r="E23" s="331">
        <v>769944</v>
      </c>
      <c r="F23" s="331">
        <v>302520</v>
      </c>
      <c r="G23" s="331">
        <v>3477586</v>
      </c>
      <c r="H23" s="331">
        <v>2519482</v>
      </c>
      <c r="I23" s="331">
        <v>1627165</v>
      </c>
      <c r="J23" s="331">
        <v>8451</v>
      </c>
      <c r="K23" s="331">
        <v>64</v>
      </c>
      <c r="L23" s="331">
        <v>207789</v>
      </c>
      <c r="M23" s="331">
        <v>174504</v>
      </c>
      <c r="N23" s="331">
        <v>146963</v>
      </c>
      <c r="O23" s="331">
        <v>1099009</v>
      </c>
      <c r="P23" s="331">
        <v>213021123</v>
      </c>
      <c r="Q23" s="331">
        <v>6294</v>
      </c>
      <c r="R23" s="331">
        <v>996073</v>
      </c>
      <c r="S23" s="331">
        <v>9235752</v>
      </c>
      <c r="T23" s="331">
        <v>1</v>
      </c>
      <c r="U23" s="331">
        <v>141053</v>
      </c>
      <c r="V23" s="331">
        <v>40589</v>
      </c>
      <c r="W23" s="331">
        <v>113384</v>
      </c>
      <c r="X23" s="331">
        <v>769309056.31692326</v>
      </c>
      <c r="Y23" s="331">
        <v>2471353.4013391873</v>
      </c>
      <c r="Z23" s="331">
        <v>7531</v>
      </c>
      <c r="AA23" s="331">
        <v>0</v>
      </c>
      <c r="AB23" s="331">
        <v>316</v>
      </c>
      <c r="AC23" s="331">
        <v>0</v>
      </c>
      <c r="AD23" s="331">
        <v>446</v>
      </c>
      <c r="AE23" s="331">
        <v>0</v>
      </c>
      <c r="AF23" s="331">
        <v>0</v>
      </c>
      <c r="AG23" s="331">
        <v>0</v>
      </c>
      <c r="AH23" s="331">
        <v>107770</v>
      </c>
      <c r="AI23" s="331">
        <v>90543</v>
      </c>
      <c r="AJ23" s="331">
        <v>808923537.05292678</v>
      </c>
      <c r="AK23" s="331">
        <v>8399</v>
      </c>
      <c r="AL23" s="331">
        <v>7957890.3890502462</v>
      </c>
      <c r="AM23" s="331">
        <v>15669678</v>
      </c>
      <c r="AN23" s="331">
        <v>233948</v>
      </c>
      <c r="AO23" s="331">
        <v>16307</v>
      </c>
      <c r="AP23" s="331">
        <v>12953</v>
      </c>
      <c r="AQ23" s="331">
        <v>127580457</v>
      </c>
      <c r="AR23" s="331">
        <v>3030</v>
      </c>
      <c r="AS23" s="331">
        <v>935750</v>
      </c>
      <c r="AT23" s="331">
        <v>106</v>
      </c>
      <c r="AU23" s="331">
        <v>352</v>
      </c>
      <c r="AV23" s="331">
        <v>410793</v>
      </c>
      <c r="AW23" s="331">
        <v>336</v>
      </c>
      <c r="AX23" s="331">
        <v>26850</v>
      </c>
      <c r="AY23" s="331">
        <v>451</v>
      </c>
      <c r="AZ23" s="331">
        <v>342</v>
      </c>
      <c r="BA23" s="331">
        <v>12277270</v>
      </c>
      <c r="BB23" s="331">
        <v>100</v>
      </c>
      <c r="BC23" s="331">
        <v>21225</v>
      </c>
      <c r="BD23" s="331">
        <v>6277</v>
      </c>
      <c r="BE23" s="331">
        <v>3126</v>
      </c>
      <c r="BF23" s="331">
        <v>2141</v>
      </c>
      <c r="BG23" s="331">
        <v>54692169</v>
      </c>
      <c r="BH23" s="331">
        <v>3</v>
      </c>
      <c r="BI23" s="331">
        <v>0</v>
      </c>
      <c r="BJ23" s="331">
        <v>-2</v>
      </c>
      <c r="BK23" s="331">
        <v>173</v>
      </c>
      <c r="BL23" s="331">
        <v>131</v>
      </c>
      <c r="BM23" s="331">
        <v>3938775</v>
      </c>
      <c r="BN23" s="331">
        <v>27</v>
      </c>
      <c r="BO23" s="331">
        <v>85575</v>
      </c>
      <c r="BP23" s="331">
        <v>34230</v>
      </c>
      <c r="BQ23" s="331">
        <v>50452</v>
      </c>
      <c r="BR23" s="331">
        <v>24940</v>
      </c>
      <c r="BS23" s="331">
        <v>65480189</v>
      </c>
      <c r="BT23" s="331">
        <v>0</v>
      </c>
      <c r="BU23" s="331">
        <v>883982.55149999994</v>
      </c>
      <c r="BV23" s="331">
        <v>17</v>
      </c>
      <c r="BW23" s="331">
        <v>15</v>
      </c>
      <c r="BX23" s="331">
        <v>1235593</v>
      </c>
      <c r="BY23" s="331">
        <v>0</v>
      </c>
      <c r="BZ23" s="331">
        <v>6178</v>
      </c>
      <c r="CA23" s="331">
        <v>0</v>
      </c>
      <c r="CB23" s="331">
        <v>0</v>
      </c>
      <c r="CC23" s="331">
        <v>0</v>
      </c>
      <c r="CD23" s="331">
        <v>0</v>
      </c>
      <c r="CE23" s="331">
        <v>0</v>
      </c>
      <c r="CF23" s="331">
        <v>0</v>
      </c>
      <c r="CG23" s="331">
        <v>0</v>
      </c>
      <c r="CH23" s="331">
        <v>0</v>
      </c>
      <c r="CI23" s="331">
        <v>0</v>
      </c>
      <c r="CJ23" s="331">
        <v>0</v>
      </c>
      <c r="CK23" s="331">
        <v>599</v>
      </c>
      <c r="CL23" s="331">
        <v>6751735</v>
      </c>
      <c r="CM23" s="331">
        <v>0</v>
      </c>
      <c r="CN23" s="331">
        <v>0</v>
      </c>
      <c r="CO23" s="331">
        <v>89703</v>
      </c>
      <c r="CP23" s="331">
        <v>43752</v>
      </c>
      <c r="CQ23" s="331">
        <v>27569851</v>
      </c>
      <c r="CR23" s="331">
        <v>7579</v>
      </c>
      <c r="CS23" s="331">
        <v>10151</v>
      </c>
      <c r="CT23" s="331">
        <v>28140021</v>
      </c>
      <c r="CU23" s="331">
        <v>309310</v>
      </c>
      <c r="CV23" s="331">
        <v>2493</v>
      </c>
      <c r="CW23" s="331">
        <v>23500</v>
      </c>
      <c r="CX23" s="331">
        <v>17910</v>
      </c>
      <c r="CY23" s="331">
        <v>16697</v>
      </c>
      <c r="CZ23" s="331">
        <v>199006309</v>
      </c>
      <c r="DA23" s="331">
        <v>2431</v>
      </c>
      <c r="DB23" s="331">
        <v>28</v>
      </c>
      <c r="DC23" s="331">
        <v>2</v>
      </c>
      <c r="DD23" s="331">
        <v>281250</v>
      </c>
      <c r="DE23" s="331">
        <v>1</v>
      </c>
      <c r="DF23" s="331">
        <v>3662</v>
      </c>
      <c r="DG23" s="331">
        <v>111</v>
      </c>
      <c r="DH23" s="331">
        <v>0</v>
      </c>
      <c r="DI23" s="331">
        <v>0</v>
      </c>
      <c r="DJ23" s="331">
        <v>1</v>
      </c>
      <c r="DK23" s="331">
        <v>11116</v>
      </c>
      <c r="DL23" s="331">
        <v>2982</v>
      </c>
      <c r="DM23" s="331">
        <v>299897843</v>
      </c>
      <c r="DN23" s="331">
        <v>798</v>
      </c>
      <c r="DO23" s="331">
        <v>1847600</v>
      </c>
      <c r="DP23" s="331">
        <v>189</v>
      </c>
      <c r="DQ23" s="331">
        <v>10919882</v>
      </c>
      <c r="DR23" s="331">
        <v>132825</v>
      </c>
      <c r="DS23" s="331">
        <v>11116</v>
      </c>
      <c r="DT23" s="331">
        <v>299897843</v>
      </c>
      <c r="DU23" s="331">
        <v>1847600</v>
      </c>
      <c r="DV23" s="331">
        <v>3</v>
      </c>
      <c r="DW23" s="331">
        <v>7301</v>
      </c>
      <c r="DX23" s="331">
        <v>202420441</v>
      </c>
      <c r="DY23" s="331">
        <v>3815</v>
      </c>
      <c r="DZ23" s="331">
        <v>97477402</v>
      </c>
      <c r="EA23" s="331">
        <v>2544045</v>
      </c>
      <c r="EB23" s="331">
        <v>2627751723.3698502</v>
      </c>
      <c r="EC23" s="331">
        <v>32566</v>
      </c>
      <c r="ED23" s="331">
        <v>212493</v>
      </c>
      <c r="EE23" s="331">
        <v>385893</v>
      </c>
      <c r="EF23" s="331">
        <v>488882</v>
      </c>
      <c r="EG23" s="331">
        <v>37417</v>
      </c>
      <c r="EH23" s="331">
        <v>1239013</v>
      </c>
      <c r="EI23" s="242"/>
      <c r="EJ23" s="331"/>
      <c r="EK23" s="331">
        <v>8574</v>
      </c>
      <c r="EL23" s="331">
        <v>7202</v>
      </c>
      <c r="EM23" s="331">
        <v>2839147</v>
      </c>
      <c r="EN23" s="331">
        <v>42587.205000000002</v>
      </c>
      <c r="EO23" s="331">
        <v>96796</v>
      </c>
      <c r="EP23" s="331">
        <v>65872</v>
      </c>
      <c r="EQ23" s="331">
        <v>25572683</v>
      </c>
      <c r="ER23" s="331">
        <v>383590.245</v>
      </c>
      <c r="ES23" s="331">
        <v>105370</v>
      </c>
      <c r="ET23" s="331">
        <v>71514</v>
      </c>
      <c r="EU23" s="331">
        <v>28411830</v>
      </c>
      <c r="EV23" s="331">
        <v>426177.45</v>
      </c>
      <c r="EW23" s="331">
        <v>1083342</v>
      </c>
      <c r="EX23" s="331">
        <v>43752</v>
      </c>
      <c r="EY23" s="331">
        <v>212179144</v>
      </c>
      <c r="EZ23" s="331">
        <v>50452</v>
      </c>
      <c r="FA23" s="331">
        <v>24940</v>
      </c>
      <c r="FB23" s="331">
        <v>65480189</v>
      </c>
      <c r="FC23" s="331">
        <v>883982.55149999994</v>
      </c>
      <c r="FD23" s="331">
        <v>113</v>
      </c>
      <c r="FE23" s="331">
        <v>107</v>
      </c>
      <c r="FF23" s="331">
        <v>133498</v>
      </c>
    </row>
    <row r="24" spans="1:162" s="248" customFormat="1" ht="15" customHeight="1">
      <c r="A24" s="236">
        <v>45557</v>
      </c>
      <c r="B24" s="331">
        <v>2491</v>
      </c>
      <c r="C24" s="331">
        <v>4028</v>
      </c>
      <c r="D24" s="331">
        <v>4028</v>
      </c>
      <c r="E24" s="331">
        <v>787232</v>
      </c>
      <c r="F24" s="331">
        <v>278897</v>
      </c>
      <c r="G24" s="331">
        <v>3481015</v>
      </c>
      <c r="H24" s="331">
        <v>2505464</v>
      </c>
      <c r="I24" s="331">
        <v>1620449</v>
      </c>
      <c r="J24" s="331">
        <v>6995</v>
      </c>
      <c r="K24" s="331">
        <v>184</v>
      </c>
      <c r="L24" s="331">
        <v>207965</v>
      </c>
      <c r="M24" s="331">
        <v>174610</v>
      </c>
      <c r="N24" s="331">
        <v>146854</v>
      </c>
      <c r="O24" s="331">
        <v>1078108</v>
      </c>
      <c r="P24" s="331">
        <v>203220410</v>
      </c>
      <c r="Q24" s="331">
        <v>6122</v>
      </c>
      <c r="R24" s="331">
        <v>977133</v>
      </c>
      <c r="S24" s="331">
        <v>8830325</v>
      </c>
      <c r="T24" s="331">
        <v>1</v>
      </c>
      <c r="U24" s="331">
        <v>116849</v>
      </c>
      <c r="V24" s="331">
        <v>32227</v>
      </c>
      <c r="W24" s="331">
        <v>95621</v>
      </c>
      <c r="X24" s="331">
        <v>480207236.88536417</v>
      </c>
      <c r="Y24" s="331">
        <v>1579256.4244590979</v>
      </c>
      <c r="Z24" s="331">
        <v>6060</v>
      </c>
      <c r="AA24" s="331">
        <v>0</v>
      </c>
      <c r="AB24" s="331">
        <v>299</v>
      </c>
      <c r="AC24" s="331">
        <v>0</v>
      </c>
      <c r="AD24" s="331">
        <v>432</v>
      </c>
      <c r="AE24" s="331">
        <v>0</v>
      </c>
      <c r="AF24" s="331">
        <v>0</v>
      </c>
      <c r="AG24" s="331">
        <v>0</v>
      </c>
      <c r="AH24" s="331">
        <v>97844</v>
      </c>
      <c r="AI24" s="331">
        <v>82888</v>
      </c>
      <c r="AJ24" s="331">
        <v>587866373.72691739</v>
      </c>
      <c r="AK24" s="331">
        <v>7469</v>
      </c>
      <c r="AL24" s="331">
        <v>6460768.2690787846</v>
      </c>
      <c r="AM24" s="331">
        <v>12648044</v>
      </c>
      <c r="AN24" s="331">
        <v>191693</v>
      </c>
      <c r="AO24" s="331">
        <v>15884</v>
      </c>
      <c r="AP24" s="331">
        <v>12650</v>
      </c>
      <c r="AQ24" s="331">
        <v>96617168</v>
      </c>
      <c r="AR24" s="331">
        <v>3021</v>
      </c>
      <c r="AS24" s="331">
        <v>904567</v>
      </c>
      <c r="AT24" s="331">
        <v>125</v>
      </c>
      <c r="AU24" s="331">
        <v>345</v>
      </c>
      <c r="AV24" s="331">
        <v>469264</v>
      </c>
      <c r="AW24" s="331">
        <v>325</v>
      </c>
      <c r="AX24" s="331">
        <v>30600</v>
      </c>
      <c r="AY24" s="331">
        <v>73</v>
      </c>
      <c r="AZ24" s="331">
        <v>60</v>
      </c>
      <c r="BA24" s="331">
        <v>2690073</v>
      </c>
      <c r="BB24" s="331">
        <v>29</v>
      </c>
      <c r="BC24" s="331">
        <v>19700</v>
      </c>
      <c r="BD24" s="331">
        <v>6090</v>
      </c>
      <c r="BE24" s="331">
        <v>2579</v>
      </c>
      <c r="BF24" s="331">
        <v>1843</v>
      </c>
      <c r="BG24" s="331">
        <v>36060947</v>
      </c>
      <c r="BH24" s="331">
        <v>5</v>
      </c>
      <c r="BI24" s="331">
        <v>0</v>
      </c>
      <c r="BJ24" s="331">
        <v>-1</v>
      </c>
      <c r="BK24" s="331">
        <v>110</v>
      </c>
      <c r="BL24" s="331">
        <v>86</v>
      </c>
      <c r="BM24" s="331">
        <v>1754650</v>
      </c>
      <c r="BN24" s="331">
        <v>94</v>
      </c>
      <c r="BO24" s="331">
        <v>42683</v>
      </c>
      <c r="BP24" s="331">
        <v>17073</v>
      </c>
      <c r="BQ24" s="331">
        <v>44525</v>
      </c>
      <c r="BR24" s="331">
        <v>22094</v>
      </c>
      <c r="BS24" s="331">
        <v>53756819</v>
      </c>
      <c r="BT24" s="331">
        <v>0</v>
      </c>
      <c r="BU24" s="331">
        <v>725717.05649999995</v>
      </c>
      <c r="BV24" s="331">
        <v>38</v>
      </c>
      <c r="BW24" s="331">
        <v>34</v>
      </c>
      <c r="BX24" s="331">
        <v>2397822</v>
      </c>
      <c r="BY24" s="331">
        <v>0</v>
      </c>
      <c r="BZ24" s="331">
        <v>11989</v>
      </c>
      <c r="CA24" s="331">
        <v>0</v>
      </c>
      <c r="CB24" s="331">
        <v>0</v>
      </c>
      <c r="CC24" s="331">
        <v>0</v>
      </c>
      <c r="CD24" s="331">
        <v>0</v>
      </c>
      <c r="CE24" s="331">
        <v>0</v>
      </c>
      <c r="CF24" s="331">
        <v>0</v>
      </c>
      <c r="CG24" s="331">
        <v>0</v>
      </c>
      <c r="CH24" s="331">
        <v>0</v>
      </c>
      <c r="CI24" s="331">
        <v>0</v>
      </c>
      <c r="CJ24" s="331">
        <v>0</v>
      </c>
      <c r="CK24" s="331">
        <v>1</v>
      </c>
      <c r="CL24" s="331">
        <v>96667</v>
      </c>
      <c r="CM24" s="331">
        <v>0</v>
      </c>
      <c r="CN24" s="331">
        <v>0</v>
      </c>
      <c r="CO24" s="331">
        <v>88560</v>
      </c>
      <c r="CP24" s="331">
        <v>39146</v>
      </c>
      <c r="CQ24" s="331">
        <v>26580786</v>
      </c>
      <c r="CR24" s="331">
        <v>6409</v>
      </c>
      <c r="CS24" s="331">
        <v>7940</v>
      </c>
      <c r="CT24" s="331">
        <v>23183220</v>
      </c>
      <c r="CU24" s="331">
        <v>252051</v>
      </c>
      <c r="CV24" s="331">
        <v>3581</v>
      </c>
      <c r="CW24" s="331">
        <v>16562</v>
      </c>
      <c r="CX24" s="331">
        <v>17162</v>
      </c>
      <c r="CY24" s="331">
        <v>16153</v>
      </c>
      <c r="CZ24" s="331">
        <v>107073227</v>
      </c>
      <c r="DA24" s="331">
        <v>2395</v>
      </c>
      <c r="DB24" s="331">
        <v>12</v>
      </c>
      <c r="DC24" s="331">
        <v>2</v>
      </c>
      <c r="DD24" s="331">
        <v>209283</v>
      </c>
      <c r="DE24" s="331">
        <v>1</v>
      </c>
      <c r="DF24" s="331">
        <v>2008</v>
      </c>
      <c r="DG24" s="331">
        <v>61</v>
      </c>
      <c r="DH24" s="331">
        <v>0</v>
      </c>
      <c r="DI24" s="331">
        <v>0</v>
      </c>
      <c r="DJ24" s="331">
        <v>1</v>
      </c>
      <c r="DK24" s="331">
        <v>8540</v>
      </c>
      <c r="DL24" s="331">
        <v>2107</v>
      </c>
      <c r="DM24" s="331">
        <v>164404431</v>
      </c>
      <c r="DN24" s="331">
        <v>527</v>
      </c>
      <c r="DO24" s="331">
        <v>1054467</v>
      </c>
      <c r="DP24" s="331">
        <v>156</v>
      </c>
      <c r="DQ24" s="331">
        <v>4387577</v>
      </c>
      <c r="DR24" s="331">
        <v>92150</v>
      </c>
      <c r="DS24" s="331">
        <v>8540</v>
      </c>
      <c r="DT24" s="331">
        <v>164404431</v>
      </c>
      <c r="DU24" s="331">
        <v>1054467</v>
      </c>
      <c r="DV24" s="331">
        <v>0</v>
      </c>
      <c r="DW24" s="331">
        <v>5964</v>
      </c>
      <c r="DX24" s="331">
        <v>117273040</v>
      </c>
      <c r="DY24" s="331">
        <v>2576</v>
      </c>
      <c r="DZ24" s="331">
        <v>47131391</v>
      </c>
      <c r="EA24" s="331">
        <v>2455484</v>
      </c>
      <c r="EB24" s="331">
        <v>1795418702.6122816</v>
      </c>
      <c r="EC24" s="331">
        <v>29978</v>
      </c>
      <c r="ED24" s="331">
        <v>105288</v>
      </c>
      <c r="EE24" s="331">
        <v>134635</v>
      </c>
      <c r="EF24" s="331">
        <v>429065</v>
      </c>
      <c r="EG24" s="331">
        <v>20869</v>
      </c>
      <c r="EH24" s="331">
        <v>1188478</v>
      </c>
      <c r="EI24" s="242"/>
      <c r="EJ24" s="331"/>
      <c r="EK24" s="331">
        <v>8385</v>
      </c>
      <c r="EL24" s="331">
        <v>6943</v>
      </c>
      <c r="EM24" s="331">
        <v>2859017</v>
      </c>
      <c r="EN24" s="331">
        <v>42885.254999999997</v>
      </c>
      <c r="EO24" s="331">
        <v>95573</v>
      </c>
      <c r="EP24" s="331">
        <v>65069</v>
      </c>
      <c r="EQ24" s="331">
        <v>23997912</v>
      </c>
      <c r="ER24" s="331">
        <v>359968.68</v>
      </c>
      <c r="ES24" s="331">
        <v>103958</v>
      </c>
      <c r="ET24" s="331">
        <v>70475</v>
      </c>
      <c r="EU24" s="331">
        <v>26856929</v>
      </c>
      <c r="EV24" s="331">
        <v>402853.935</v>
      </c>
      <c r="EW24" s="331">
        <v>1062710</v>
      </c>
      <c r="EX24" s="331">
        <v>39146</v>
      </c>
      <c r="EY24" s="331">
        <v>202944267</v>
      </c>
      <c r="EZ24" s="331">
        <v>44525</v>
      </c>
      <c r="FA24" s="331">
        <v>22094</v>
      </c>
      <c r="FB24" s="331">
        <v>53756819</v>
      </c>
      <c r="FC24" s="331">
        <v>725717.05649999995</v>
      </c>
      <c r="FD24" s="331">
        <v>74</v>
      </c>
      <c r="FE24" s="331">
        <v>68</v>
      </c>
      <c r="FF24" s="331">
        <v>88995</v>
      </c>
    </row>
    <row r="25" spans="1:162" s="248" customFormat="1" ht="15" customHeight="1">
      <c r="A25" s="236">
        <v>45558</v>
      </c>
      <c r="B25" s="331">
        <v>9646</v>
      </c>
      <c r="C25" s="331">
        <v>15531</v>
      </c>
      <c r="D25" s="331">
        <v>15532</v>
      </c>
      <c r="E25" s="331">
        <v>782539</v>
      </c>
      <c r="F25" s="331">
        <v>308003</v>
      </c>
      <c r="G25" s="331">
        <v>3485844</v>
      </c>
      <c r="H25" s="331">
        <v>2502991</v>
      </c>
      <c r="I25" s="331">
        <v>1622767</v>
      </c>
      <c r="J25" s="331">
        <v>8932</v>
      </c>
      <c r="K25" s="331">
        <v>348</v>
      </c>
      <c r="L25" s="331">
        <v>208331</v>
      </c>
      <c r="M25" s="331">
        <v>174982</v>
      </c>
      <c r="N25" s="331">
        <v>147238</v>
      </c>
      <c r="O25" s="331">
        <v>1138331</v>
      </c>
      <c r="P25" s="331">
        <v>224145162</v>
      </c>
      <c r="Q25" s="331">
        <v>6580</v>
      </c>
      <c r="R25" s="331">
        <v>1037826</v>
      </c>
      <c r="S25" s="331">
        <v>9788306</v>
      </c>
      <c r="T25" s="331">
        <v>1</v>
      </c>
      <c r="U25" s="331">
        <v>142011</v>
      </c>
      <c r="V25" s="331">
        <v>41278</v>
      </c>
      <c r="W25" s="331">
        <v>115364</v>
      </c>
      <c r="X25" s="331">
        <v>1026669476.2071759</v>
      </c>
      <c r="Y25" s="331">
        <v>3314476.8630041233</v>
      </c>
      <c r="Z25" s="331">
        <v>7931</v>
      </c>
      <c r="AA25" s="331">
        <v>0</v>
      </c>
      <c r="AB25" s="331">
        <v>356</v>
      </c>
      <c r="AC25" s="331">
        <v>0</v>
      </c>
      <c r="AD25" s="331">
        <v>504</v>
      </c>
      <c r="AE25" s="331">
        <v>0</v>
      </c>
      <c r="AF25" s="331">
        <v>0</v>
      </c>
      <c r="AG25" s="331">
        <v>0</v>
      </c>
      <c r="AH25" s="331">
        <v>115816</v>
      </c>
      <c r="AI25" s="331">
        <v>96954</v>
      </c>
      <c r="AJ25" s="331">
        <v>955633003.96969175</v>
      </c>
      <c r="AK25" s="331">
        <v>9315</v>
      </c>
      <c r="AL25" s="331">
        <v>9069930.4890085477</v>
      </c>
      <c r="AM25" s="331">
        <v>17974724</v>
      </c>
      <c r="AN25" s="331">
        <v>264316</v>
      </c>
      <c r="AO25" s="331">
        <v>16769</v>
      </c>
      <c r="AP25" s="331">
        <v>13137</v>
      </c>
      <c r="AQ25" s="331">
        <v>149851798</v>
      </c>
      <c r="AR25" s="331">
        <v>3172</v>
      </c>
      <c r="AS25" s="331">
        <v>990633</v>
      </c>
      <c r="AT25" s="331">
        <v>112</v>
      </c>
      <c r="AU25" s="331">
        <v>342</v>
      </c>
      <c r="AV25" s="331">
        <v>572035</v>
      </c>
      <c r="AW25" s="331">
        <v>322</v>
      </c>
      <c r="AX25" s="331">
        <v>30400</v>
      </c>
      <c r="AY25" s="331">
        <v>103</v>
      </c>
      <c r="AZ25" s="331">
        <v>81</v>
      </c>
      <c r="BA25" s="331">
        <v>3996856</v>
      </c>
      <c r="BB25" s="331">
        <v>37</v>
      </c>
      <c r="BC25" s="331">
        <v>30767</v>
      </c>
      <c r="BD25" s="331">
        <v>9254</v>
      </c>
      <c r="BE25" s="331">
        <v>3286</v>
      </c>
      <c r="BF25" s="331">
        <v>2254</v>
      </c>
      <c r="BG25" s="331">
        <v>62568660</v>
      </c>
      <c r="BH25" s="331">
        <v>8</v>
      </c>
      <c r="BI25" s="331">
        <v>0</v>
      </c>
      <c r="BJ25" s="331">
        <v>0</v>
      </c>
      <c r="BK25" s="331">
        <v>174</v>
      </c>
      <c r="BL25" s="331">
        <v>131</v>
      </c>
      <c r="BM25" s="331">
        <v>3830079</v>
      </c>
      <c r="BN25" s="331">
        <v>127</v>
      </c>
      <c r="BO25" s="331">
        <v>82367</v>
      </c>
      <c r="BP25" s="331">
        <v>32947</v>
      </c>
      <c r="BQ25" s="331">
        <v>36271</v>
      </c>
      <c r="BR25" s="331">
        <v>17902</v>
      </c>
      <c r="BS25" s="331">
        <v>44820320</v>
      </c>
      <c r="BT25" s="331">
        <v>0</v>
      </c>
      <c r="BU25" s="331">
        <v>605074.31999999995</v>
      </c>
      <c r="BV25" s="331">
        <v>29</v>
      </c>
      <c r="BW25" s="331">
        <v>28</v>
      </c>
      <c r="BX25" s="331">
        <v>2324934</v>
      </c>
      <c r="BY25" s="331">
        <v>0</v>
      </c>
      <c r="BZ25" s="331">
        <v>11625</v>
      </c>
      <c r="CA25" s="331">
        <v>0</v>
      </c>
      <c r="CB25" s="331">
        <v>0</v>
      </c>
      <c r="CC25" s="331">
        <v>0</v>
      </c>
      <c r="CD25" s="331">
        <v>0</v>
      </c>
      <c r="CE25" s="331">
        <v>0</v>
      </c>
      <c r="CF25" s="331">
        <v>0</v>
      </c>
      <c r="CG25" s="331">
        <v>0</v>
      </c>
      <c r="CH25" s="331">
        <v>0</v>
      </c>
      <c r="CI25" s="331">
        <v>0</v>
      </c>
      <c r="CJ25" s="331">
        <v>0</v>
      </c>
      <c r="CK25" s="331">
        <v>1407</v>
      </c>
      <c r="CL25" s="331">
        <v>25284297</v>
      </c>
      <c r="CM25" s="331">
        <v>0</v>
      </c>
      <c r="CN25" s="331">
        <v>0</v>
      </c>
      <c r="CO25" s="331">
        <v>98050</v>
      </c>
      <c r="CP25" s="331">
        <v>45588</v>
      </c>
      <c r="CQ25" s="331">
        <v>34240652</v>
      </c>
      <c r="CR25" s="331">
        <v>6841</v>
      </c>
      <c r="CS25" s="331">
        <v>10129</v>
      </c>
      <c r="CT25" s="331">
        <v>30017404</v>
      </c>
      <c r="CU25" s="331">
        <v>316684</v>
      </c>
      <c r="CV25" s="331">
        <v>3965</v>
      </c>
      <c r="CW25" s="331">
        <v>22525</v>
      </c>
      <c r="CX25" s="331">
        <v>19551</v>
      </c>
      <c r="CY25" s="331">
        <v>18004</v>
      </c>
      <c r="CZ25" s="331">
        <v>310883252</v>
      </c>
      <c r="DA25" s="331">
        <v>2774</v>
      </c>
      <c r="DB25" s="331">
        <v>30</v>
      </c>
      <c r="DC25" s="331">
        <v>3</v>
      </c>
      <c r="DD25" s="331">
        <v>495167</v>
      </c>
      <c r="DE25" s="331">
        <v>2</v>
      </c>
      <c r="DF25" s="331">
        <v>5442</v>
      </c>
      <c r="DG25" s="331">
        <v>165</v>
      </c>
      <c r="DH25" s="331">
        <v>0</v>
      </c>
      <c r="DI25" s="331">
        <v>0</v>
      </c>
      <c r="DJ25" s="331">
        <v>1</v>
      </c>
      <c r="DK25" s="331">
        <v>11436</v>
      </c>
      <c r="DL25" s="331">
        <v>3416</v>
      </c>
      <c r="DM25" s="331">
        <v>366611564</v>
      </c>
      <c r="DN25" s="331">
        <v>2014</v>
      </c>
      <c r="DO25" s="331">
        <v>2193233</v>
      </c>
      <c r="DP25" s="331">
        <v>1200</v>
      </c>
      <c r="DQ25" s="331">
        <v>54911230</v>
      </c>
      <c r="DR25" s="331">
        <v>864533</v>
      </c>
      <c r="DS25" s="331">
        <v>11436</v>
      </c>
      <c r="DT25" s="331">
        <v>366611564</v>
      </c>
      <c r="DU25" s="331">
        <v>2193233</v>
      </c>
      <c r="DV25" s="331">
        <v>0</v>
      </c>
      <c r="DW25" s="331">
        <v>7474</v>
      </c>
      <c r="DX25" s="331">
        <v>238780739</v>
      </c>
      <c r="DY25" s="331">
        <v>3962</v>
      </c>
      <c r="DZ25" s="331">
        <v>127830825</v>
      </c>
      <c r="EA25" s="331">
        <v>2631332</v>
      </c>
      <c r="EB25" s="331">
        <v>3251732966.1768675</v>
      </c>
      <c r="EC25" s="331">
        <v>36199</v>
      </c>
      <c r="ED25" s="331">
        <v>996511</v>
      </c>
      <c r="EE25" s="331">
        <v>264359</v>
      </c>
      <c r="EF25" s="331">
        <v>306492</v>
      </c>
      <c r="EG25" s="331">
        <v>20866</v>
      </c>
      <c r="EH25" s="331">
        <v>1557250</v>
      </c>
      <c r="EI25" s="242"/>
      <c r="EJ25" s="331"/>
      <c r="EK25" s="331">
        <v>8655</v>
      </c>
      <c r="EL25" s="331">
        <v>7213</v>
      </c>
      <c r="EM25" s="331">
        <v>3149702</v>
      </c>
      <c r="EN25" s="331">
        <v>47245.53</v>
      </c>
      <c r="EO25" s="331">
        <v>94441</v>
      </c>
      <c r="EP25" s="331">
        <v>64385</v>
      </c>
      <c r="EQ25" s="331">
        <v>25427193</v>
      </c>
      <c r="ER25" s="331">
        <v>381407.89499999996</v>
      </c>
      <c r="ES25" s="331">
        <v>103096</v>
      </c>
      <c r="ET25" s="331">
        <v>69958</v>
      </c>
      <c r="EU25" s="331">
        <v>28576895</v>
      </c>
      <c r="EV25" s="331">
        <v>428653.42499999993</v>
      </c>
      <c r="EW25" s="331">
        <v>1133285</v>
      </c>
      <c r="EX25" s="331">
        <v>45588</v>
      </c>
      <c r="EY25" s="331">
        <v>229808919</v>
      </c>
      <c r="EZ25" s="331">
        <v>36271</v>
      </c>
      <c r="FA25" s="331">
        <v>17902</v>
      </c>
      <c r="FB25" s="331">
        <v>44820320</v>
      </c>
      <c r="FC25" s="331">
        <v>605074.31999999995</v>
      </c>
      <c r="FD25" s="331">
        <v>128</v>
      </c>
      <c r="FE25" s="331">
        <v>120</v>
      </c>
      <c r="FF25" s="331">
        <v>158493</v>
      </c>
    </row>
    <row r="26" spans="1:162" s="248" customFormat="1" ht="15" customHeight="1">
      <c r="A26" s="236">
        <v>45559</v>
      </c>
      <c r="B26" s="331">
        <v>8600</v>
      </c>
      <c r="C26" s="331">
        <v>13671</v>
      </c>
      <c r="D26" s="331">
        <v>13671</v>
      </c>
      <c r="E26" s="331">
        <v>780105</v>
      </c>
      <c r="F26" s="331">
        <v>307297</v>
      </c>
      <c r="G26" s="331">
        <v>3490651</v>
      </c>
      <c r="H26" s="331">
        <v>2499463</v>
      </c>
      <c r="I26" s="331">
        <v>1629184</v>
      </c>
      <c r="J26" s="331">
        <v>8881</v>
      </c>
      <c r="K26" s="331">
        <v>521</v>
      </c>
      <c r="L26" s="331">
        <v>208910</v>
      </c>
      <c r="M26" s="331">
        <v>175207</v>
      </c>
      <c r="N26" s="331">
        <v>147597</v>
      </c>
      <c r="O26" s="331">
        <v>1129089</v>
      </c>
      <c r="P26" s="331">
        <v>217139407</v>
      </c>
      <c r="Q26" s="331">
        <v>6228</v>
      </c>
      <c r="R26" s="331">
        <v>1019266</v>
      </c>
      <c r="S26" s="331">
        <v>9386562</v>
      </c>
      <c r="T26" s="331">
        <v>3</v>
      </c>
      <c r="U26" s="331">
        <v>142152</v>
      </c>
      <c r="V26" s="331">
        <v>41807</v>
      </c>
      <c r="W26" s="331">
        <v>114892</v>
      </c>
      <c r="X26" s="331">
        <v>933263958.63981104</v>
      </c>
      <c r="Y26" s="331">
        <v>3030767.6754729883</v>
      </c>
      <c r="Z26" s="331">
        <v>7774</v>
      </c>
      <c r="AA26" s="331">
        <v>0</v>
      </c>
      <c r="AB26" s="331">
        <v>338</v>
      </c>
      <c r="AC26" s="331">
        <v>0</v>
      </c>
      <c r="AD26" s="331">
        <v>472</v>
      </c>
      <c r="AE26" s="331">
        <v>0</v>
      </c>
      <c r="AF26" s="331">
        <v>0</v>
      </c>
      <c r="AG26" s="331">
        <v>0</v>
      </c>
      <c r="AH26" s="331">
        <v>110585</v>
      </c>
      <c r="AI26" s="331">
        <v>92864</v>
      </c>
      <c r="AJ26" s="331">
        <v>922471190.69272888</v>
      </c>
      <c r="AK26" s="331">
        <v>8805</v>
      </c>
      <c r="AL26" s="331">
        <v>8730209.3799672779</v>
      </c>
      <c r="AM26" s="331">
        <v>17258110</v>
      </c>
      <c r="AN26" s="331">
        <v>256953</v>
      </c>
      <c r="AO26" s="331">
        <v>16954</v>
      </c>
      <c r="AP26" s="331">
        <v>13203</v>
      </c>
      <c r="AQ26" s="331">
        <v>154915020</v>
      </c>
      <c r="AR26" s="331">
        <v>3131</v>
      </c>
      <c r="AS26" s="331">
        <v>991700</v>
      </c>
      <c r="AT26" s="331">
        <v>108</v>
      </c>
      <c r="AU26" s="331">
        <v>348</v>
      </c>
      <c r="AV26" s="331">
        <v>538799</v>
      </c>
      <c r="AW26" s="331">
        <v>344</v>
      </c>
      <c r="AX26" s="331">
        <v>29133</v>
      </c>
      <c r="AY26" s="331">
        <v>440</v>
      </c>
      <c r="AZ26" s="331">
        <v>327</v>
      </c>
      <c r="BA26" s="331">
        <v>13356300</v>
      </c>
      <c r="BB26" s="331">
        <v>51</v>
      </c>
      <c r="BC26" s="331">
        <v>28867</v>
      </c>
      <c r="BD26" s="331">
        <v>8664</v>
      </c>
      <c r="BE26" s="331">
        <v>3264</v>
      </c>
      <c r="BF26" s="331">
        <v>2200</v>
      </c>
      <c r="BG26" s="331">
        <v>62589844</v>
      </c>
      <c r="BH26" s="331">
        <v>13</v>
      </c>
      <c r="BI26" s="331">
        <v>0</v>
      </c>
      <c r="BJ26" s="331">
        <v>0</v>
      </c>
      <c r="BK26" s="331">
        <v>128</v>
      </c>
      <c r="BL26" s="331">
        <v>98</v>
      </c>
      <c r="BM26" s="331">
        <v>2735439</v>
      </c>
      <c r="BN26" s="331">
        <v>138</v>
      </c>
      <c r="BO26" s="331">
        <v>64233</v>
      </c>
      <c r="BP26" s="331">
        <v>25693</v>
      </c>
      <c r="BQ26" s="331">
        <v>44696</v>
      </c>
      <c r="BR26" s="331">
        <v>22209</v>
      </c>
      <c r="BS26" s="331">
        <v>55055331</v>
      </c>
      <c r="BT26" s="331">
        <v>0</v>
      </c>
      <c r="BU26" s="331">
        <v>743246.96849999996</v>
      </c>
      <c r="BV26" s="331">
        <v>34</v>
      </c>
      <c r="BW26" s="331">
        <v>31</v>
      </c>
      <c r="BX26" s="331">
        <v>1630789</v>
      </c>
      <c r="BY26" s="331">
        <v>0</v>
      </c>
      <c r="BZ26" s="331">
        <v>8154</v>
      </c>
      <c r="CA26" s="331">
        <v>0</v>
      </c>
      <c r="CB26" s="331">
        <v>0</v>
      </c>
      <c r="CC26" s="331">
        <v>0</v>
      </c>
      <c r="CD26" s="331">
        <v>0</v>
      </c>
      <c r="CE26" s="331">
        <v>0</v>
      </c>
      <c r="CF26" s="331">
        <v>0</v>
      </c>
      <c r="CG26" s="331">
        <v>0</v>
      </c>
      <c r="CH26" s="331">
        <v>0</v>
      </c>
      <c r="CI26" s="331">
        <v>0</v>
      </c>
      <c r="CJ26" s="331">
        <v>0</v>
      </c>
      <c r="CK26" s="331">
        <v>7653</v>
      </c>
      <c r="CL26" s="331">
        <v>166473645</v>
      </c>
      <c r="CM26" s="331">
        <v>0</v>
      </c>
      <c r="CN26" s="331">
        <v>0</v>
      </c>
      <c r="CO26" s="331">
        <v>95489</v>
      </c>
      <c r="CP26" s="331">
        <v>44796</v>
      </c>
      <c r="CQ26" s="331">
        <v>31300027</v>
      </c>
      <c r="CR26" s="331">
        <v>6596</v>
      </c>
      <c r="CS26" s="331">
        <v>9524</v>
      </c>
      <c r="CT26" s="331">
        <v>27269989</v>
      </c>
      <c r="CU26" s="331">
        <v>291910</v>
      </c>
      <c r="CV26" s="331">
        <v>3100</v>
      </c>
      <c r="CW26" s="331">
        <v>19986</v>
      </c>
      <c r="CX26" s="331">
        <v>19047</v>
      </c>
      <c r="CY26" s="331">
        <v>17404</v>
      </c>
      <c r="CZ26" s="331">
        <v>313032332</v>
      </c>
      <c r="DA26" s="331">
        <v>2645</v>
      </c>
      <c r="DB26" s="331">
        <v>27</v>
      </c>
      <c r="DC26" s="331">
        <v>2</v>
      </c>
      <c r="DD26" s="331">
        <v>379437</v>
      </c>
      <c r="DE26" s="331">
        <v>1</v>
      </c>
      <c r="DF26" s="331">
        <v>4162</v>
      </c>
      <c r="DG26" s="331">
        <v>126</v>
      </c>
      <c r="DH26" s="331">
        <v>0</v>
      </c>
      <c r="DI26" s="331">
        <v>0</v>
      </c>
      <c r="DJ26" s="331">
        <v>1</v>
      </c>
      <c r="DK26" s="331">
        <v>11386</v>
      </c>
      <c r="DL26" s="331">
        <v>3297</v>
      </c>
      <c r="DM26" s="331">
        <v>351605986</v>
      </c>
      <c r="DN26" s="331">
        <v>829</v>
      </c>
      <c r="DO26" s="331">
        <v>2211883</v>
      </c>
      <c r="DP26" s="331">
        <v>285</v>
      </c>
      <c r="DQ26" s="331">
        <v>13527796</v>
      </c>
      <c r="DR26" s="331">
        <v>242883</v>
      </c>
      <c r="DS26" s="331">
        <v>11386</v>
      </c>
      <c r="DT26" s="331">
        <v>351605986</v>
      </c>
      <c r="DU26" s="331">
        <v>2211883</v>
      </c>
      <c r="DV26" s="331">
        <v>0</v>
      </c>
      <c r="DW26" s="331">
        <v>7186</v>
      </c>
      <c r="DX26" s="331">
        <v>227615535</v>
      </c>
      <c r="DY26" s="331">
        <v>4200</v>
      </c>
      <c r="DZ26" s="331">
        <v>123990451</v>
      </c>
      <c r="EA26" s="331">
        <v>2609843</v>
      </c>
      <c r="EB26" s="331">
        <v>3263144056.33254</v>
      </c>
      <c r="EC26" s="331">
        <v>33358</v>
      </c>
      <c r="ED26" s="331">
        <v>1079561</v>
      </c>
      <c r="EE26" s="331">
        <v>282832</v>
      </c>
      <c r="EF26" s="331">
        <v>531182</v>
      </c>
      <c r="EG26" s="331">
        <v>25506</v>
      </c>
      <c r="EH26" s="331">
        <v>1413160</v>
      </c>
      <c r="EI26" s="242"/>
      <c r="EJ26" s="331"/>
      <c r="EK26" s="331">
        <v>8517</v>
      </c>
      <c r="EL26" s="331">
        <v>7138</v>
      </c>
      <c r="EM26" s="331">
        <v>3092516</v>
      </c>
      <c r="EN26" s="331">
        <v>46387.74</v>
      </c>
      <c r="EO26" s="331">
        <v>94815</v>
      </c>
      <c r="EP26" s="331">
        <v>64444</v>
      </c>
      <c r="EQ26" s="331">
        <v>24900285</v>
      </c>
      <c r="ER26" s="331">
        <v>373504.27499999997</v>
      </c>
      <c r="ES26" s="331">
        <v>103332</v>
      </c>
      <c r="ET26" s="331">
        <v>70039</v>
      </c>
      <c r="EU26" s="331">
        <v>27992801</v>
      </c>
      <c r="EV26" s="331">
        <v>419892.01499999996</v>
      </c>
      <c r="EW26" s="331">
        <v>1121246</v>
      </c>
      <c r="EX26" s="331">
        <v>44796</v>
      </c>
      <c r="EY26" s="331">
        <v>220446633</v>
      </c>
      <c r="EZ26" s="331">
        <v>44696</v>
      </c>
      <c r="FA26" s="331">
        <v>22209</v>
      </c>
      <c r="FB26" s="331">
        <v>55055331</v>
      </c>
      <c r="FC26" s="331">
        <v>743246.96849999996</v>
      </c>
      <c r="FD26" s="331">
        <v>108</v>
      </c>
      <c r="FE26" s="331">
        <v>94</v>
      </c>
      <c r="FF26" s="331">
        <v>106997</v>
      </c>
    </row>
    <row r="27" spans="1:162" s="248" customFormat="1" ht="15" customHeight="1">
      <c r="A27" s="236">
        <v>45560</v>
      </c>
      <c r="B27" s="331">
        <v>9637</v>
      </c>
      <c r="C27" s="331">
        <v>17492</v>
      </c>
      <c r="D27" s="331">
        <v>17492</v>
      </c>
      <c r="E27" s="331">
        <v>777614</v>
      </c>
      <c r="F27" s="331">
        <v>307788</v>
      </c>
      <c r="G27" s="331">
        <v>3495508</v>
      </c>
      <c r="H27" s="331">
        <v>2500248</v>
      </c>
      <c r="I27" s="331">
        <v>1631232</v>
      </c>
      <c r="J27" s="331">
        <v>8917</v>
      </c>
      <c r="K27" s="331">
        <v>410</v>
      </c>
      <c r="L27" s="331">
        <v>209450</v>
      </c>
      <c r="M27" s="331">
        <v>175548</v>
      </c>
      <c r="N27" s="331">
        <v>148043</v>
      </c>
      <c r="O27" s="331">
        <v>1097349</v>
      </c>
      <c r="P27" s="331">
        <v>213157810</v>
      </c>
      <c r="Q27" s="331">
        <v>6217</v>
      </c>
      <c r="R27" s="331">
        <v>998139</v>
      </c>
      <c r="S27" s="331">
        <v>9278725</v>
      </c>
      <c r="T27" s="331">
        <v>1</v>
      </c>
      <c r="U27" s="331">
        <v>139921</v>
      </c>
      <c r="V27" s="331">
        <v>41704</v>
      </c>
      <c r="W27" s="331">
        <v>113127</v>
      </c>
      <c r="X27" s="331">
        <v>835149344.67858851</v>
      </c>
      <c r="Y27" s="331">
        <v>2698220.0200572605</v>
      </c>
      <c r="Z27" s="331">
        <v>7517</v>
      </c>
      <c r="AA27" s="331">
        <v>0</v>
      </c>
      <c r="AB27" s="331">
        <v>320</v>
      </c>
      <c r="AC27" s="331">
        <v>0</v>
      </c>
      <c r="AD27" s="331">
        <v>442</v>
      </c>
      <c r="AE27" s="331">
        <v>0</v>
      </c>
      <c r="AF27" s="331">
        <v>0</v>
      </c>
      <c r="AG27" s="331">
        <v>0</v>
      </c>
      <c r="AH27" s="331">
        <v>113594</v>
      </c>
      <c r="AI27" s="331">
        <v>94959</v>
      </c>
      <c r="AJ27" s="331">
        <v>930138320.53348923</v>
      </c>
      <c r="AK27" s="331">
        <v>8912</v>
      </c>
      <c r="AL27" s="331">
        <v>8828171.6639563851</v>
      </c>
      <c r="AM27" s="331">
        <v>17498242</v>
      </c>
      <c r="AN27" s="331">
        <v>259758</v>
      </c>
      <c r="AO27" s="331">
        <v>17246</v>
      </c>
      <c r="AP27" s="331">
        <v>13505</v>
      </c>
      <c r="AQ27" s="331">
        <v>150848017</v>
      </c>
      <c r="AR27" s="331">
        <v>3156</v>
      </c>
      <c r="AS27" s="331">
        <v>1011000</v>
      </c>
      <c r="AT27" s="331">
        <v>110</v>
      </c>
      <c r="AU27" s="331">
        <v>361</v>
      </c>
      <c r="AV27" s="331">
        <v>653989</v>
      </c>
      <c r="AW27" s="331">
        <v>349</v>
      </c>
      <c r="AX27" s="331">
        <v>31800</v>
      </c>
      <c r="AY27" s="331">
        <v>340</v>
      </c>
      <c r="AZ27" s="331">
        <v>274</v>
      </c>
      <c r="BA27" s="331">
        <v>9750979</v>
      </c>
      <c r="BB27" s="331">
        <v>92</v>
      </c>
      <c r="BC27" s="331">
        <v>27817</v>
      </c>
      <c r="BD27" s="331">
        <v>8386</v>
      </c>
      <c r="BE27" s="331">
        <v>1891</v>
      </c>
      <c r="BF27" s="331">
        <v>1386</v>
      </c>
      <c r="BG27" s="331">
        <v>34604561</v>
      </c>
      <c r="BH27" s="331">
        <v>1060</v>
      </c>
      <c r="BI27" s="331">
        <v>0</v>
      </c>
      <c r="BJ27" s="331">
        <v>0</v>
      </c>
      <c r="BK27" s="331">
        <v>153</v>
      </c>
      <c r="BL27" s="331">
        <v>120</v>
      </c>
      <c r="BM27" s="331">
        <v>3085605</v>
      </c>
      <c r="BN27" s="331">
        <v>128</v>
      </c>
      <c r="BO27" s="331">
        <v>69533</v>
      </c>
      <c r="BP27" s="331">
        <v>27813</v>
      </c>
      <c r="BQ27" s="331">
        <v>41738</v>
      </c>
      <c r="BR27" s="331">
        <v>20232</v>
      </c>
      <c r="BS27" s="331">
        <v>52227997</v>
      </c>
      <c r="BT27" s="331">
        <v>0</v>
      </c>
      <c r="BU27" s="331">
        <v>705077.9595</v>
      </c>
      <c r="BV27" s="331">
        <v>30</v>
      </c>
      <c r="BW27" s="331">
        <v>27</v>
      </c>
      <c r="BX27" s="331">
        <v>1179511</v>
      </c>
      <c r="BY27" s="331">
        <v>0</v>
      </c>
      <c r="BZ27" s="331">
        <v>5898</v>
      </c>
      <c r="CA27" s="331">
        <v>0</v>
      </c>
      <c r="CB27" s="331">
        <v>0</v>
      </c>
      <c r="CC27" s="331">
        <v>0</v>
      </c>
      <c r="CD27" s="331">
        <v>0</v>
      </c>
      <c r="CE27" s="331">
        <v>0</v>
      </c>
      <c r="CF27" s="331">
        <v>0</v>
      </c>
      <c r="CG27" s="331">
        <v>0</v>
      </c>
      <c r="CH27" s="331">
        <v>0</v>
      </c>
      <c r="CI27" s="331">
        <v>0</v>
      </c>
      <c r="CJ27" s="331">
        <v>0</v>
      </c>
      <c r="CK27" s="331">
        <v>4635</v>
      </c>
      <c r="CL27" s="331">
        <v>94884229</v>
      </c>
      <c r="CM27" s="331">
        <v>0</v>
      </c>
      <c r="CN27" s="331">
        <v>0</v>
      </c>
      <c r="CO27" s="331">
        <v>92070</v>
      </c>
      <c r="CP27" s="331">
        <v>44470</v>
      </c>
      <c r="CQ27" s="331">
        <v>29405819</v>
      </c>
      <c r="CR27" s="331">
        <v>6470</v>
      </c>
      <c r="CS27" s="331">
        <v>9396</v>
      </c>
      <c r="CT27" s="331">
        <v>26440388</v>
      </c>
      <c r="CU27" s="331">
        <v>278191</v>
      </c>
      <c r="CV27" s="331">
        <v>2713</v>
      </c>
      <c r="CW27" s="331">
        <v>19698</v>
      </c>
      <c r="CX27" s="331">
        <v>19090</v>
      </c>
      <c r="CY27" s="331">
        <v>17608</v>
      </c>
      <c r="CZ27" s="331">
        <v>268187169</v>
      </c>
      <c r="DA27" s="331">
        <v>2709</v>
      </c>
      <c r="DB27" s="331">
        <v>26</v>
      </c>
      <c r="DC27" s="331">
        <v>1</v>
      </c>
      <c r="DD27" s="331">
        <v>327250</v>
      </c>
      <c r="DE27" s="331">
        <v>0</v>
      </c>
      <c r="DF27" s="331">
        <v>3556</v>
      </c>
      <c r="DG27" s="331">
        <v>109</v>
      </c>
      <c r="DH27" s="331">
        <v>0</v>
      </c>
      <c r="DI27" s="331">
        <v>0</v>
      </c>
      <c r="DJ27" s="331">
        <v>1</v>
      </c>
      <c r="DK27" s="331">
        <v>11366</v>
      </c>
      <c r="DL27" s="331">
        <v>3266</v>
      </c>
      <c r="DM27" s="331">
        <v>347843918</v>
      </c>
      <c r="DN27" s="331">
        <v>1074</v>
      </c>
      <c r="DO27" s="331">
        <v>2100017</v>
      </c>
      <c r="DP27" s="331">
        <v>457</v>
      </c>
      <c r="DQ27" s="331">
        <v>17964749</v>
      </c>
      <c r="DR27" s="331">
        <v>339000</v>
      </c>
      <c r="DS27" s="331">
        <v>11366</v>
      </c>
      <c r="DT27" s="331">
        <v>347843918</v>
      </c>
      <c r="DU27" s="331">
        <v>2100017</v>
      </c>
      <c r="DV27" s="331">
        <v>0</v>
      </c>
      <c r="DW27" s="331">
        <v>7302</v>
      </c>
      <c r="DX27" s="331">
        <v>236904451</v>
      </c>
      <c r="DY27" s="331">
        <v>4064</v>
      </c>
      <c r="DZ27" s="331">
        <v>110939467</v>
      </c>
      <c r="EA27" s="331">
        <v>2547095</v>
      </c>
      <c r="EB27" s="331">
        <v>3007163632.2120776</v>
      </c>
      <c r="EC27" s="331">
        <v>34006</v>
      </c>
      <c r="ED27" s="331">
        <v>438836</v>
      </c>
      <c r="EE27" s="331">
        <v>330798</v>
      </c>
      <c r="EF27" s="331">
        <v>514099</v>
      </c>
      <c r="EG27" s="331">
        <v>26655</v>
      </c>
      <c r="EH27" s="331">
        <v>1329416</v>
      </c>
      <c r="EI27" s="242"/>
      <c r="EJ27" s="331"/>
      <c r="EK27" s="331">
        <v>8545</v>
      </c>
      <c r="EL27" s="331">
        <v>7136</v>
      </c>
      <c r="EM27" s="331">
        <v>2870380</v>
      </c>
      <c r="EN27" s="331">
        <v>43055.7</v>
      </c>
      <c r="EO27" s="331">
        <v>93601</v>
      </c>
      <c r="EP27" s="331">
        <v>63882</v>
      </c>
      <c r="EQ27" s="331">
        <v>24842848</v>
      </c>
      <c r="ER27" s="331">
        <v>372642.72</v>
      </c>
      <c r="ES27" s="331">
        <v>102146</v>
      </c>
      <c r="ET27" s="331">
        <v>69471</v>
      </c>
      <c r="EU27" s="331">
        <v>27713228</v>
      </c>
      <c r="EV27" s="331">
        <v>415698.42</v>
      </c>
      <c r="EW27" s="331">
        <v>1087273</v>
      </c>
      <c r="EX27" s="331">
        <v>44470</v>
      </c>
      <c r="EY27" s="331">
        <v>214850401</v>
      </c>
      <c r="EZ27" s="331">
        <v>41738</v>
      </c>
      <c r="FA27" s="331">
        <v>20232</v>
      </c>
      <c r="FB27" s="331">
        <v>52227997</v>
      </c>
      <c r="FC27" s="331">
        <v>705077.9595</v>
      </c>
      <c r="FD27" s="331">
        <v>112</v>
      </c>
      <c r="FE27" s="331">
        <v>97</v>
      </c>
      <c r="FF27" s="331">
        <v>149997</v>
      </c>
    </row>
    <row r="28" spans="1:162" s="248" customFormat="1" ht="15" customHeight="1">
      <c r="A28" s="236">
        <v>45561</v>
      </c>
      <c r="B28" s="331">
        <v>9326</v>
      </c>
      <c r="C28" s="331">
        <v>14704</v>
      </c>
      <c r="D28" s="331">
        <v>14705</v>
      </c>
      <c r="E28" s="331">
        <v>775508</v>
      </c>
      <c r="F28" s="331">
        <v>349223</v>
      </c>
      <c r="G28" s="331">
        <v>3499981</v>
      </c>
      <c r="H28" s="331">
        <v>2502824</v>
      </c>
      <c r="I28" s="331">
        <v>1634078</v>
      </c>
      <c r="J28" s="331">
        <v>8857</v>
      </c>
      <c r="K28" s="331">
        <v>416</v>
      </c>
      <c r="L28" s="331">
        <v>210010</v>
      </c>
      <c r="M28" s="331">
        <v>175886</v>
      </c>
      <c r="N28" s="331">
        <v>148475</v>
      </c>
      <c r="O28" s="331">
        <v>1110933</v>
      </c>
      <c r="P28" s="331">
        <v>215358952</v>
      </c>
      <c r="Q28" s="331">
        <v>6063</v>
      </c>
      <c r="R28" s="331">
        <v>1011345</v>
      </c>
      <c r="S28" s="331">
        <v>9366699</v>
      </c>
      <c r="T28" s="331">
        <v>1</v>
      </c>
      <c r="U28" s="331">
        <v>142387</v>
      </c>
      <c r="V28" s="331">
        <v>42027</v>
      </c>
      <c r="W28" s="331">
        <v>115113</v>
      </c>
      <c r="X28" s="331">
        <v>853426279.58738077</v>
      </c>
      <c r="Y28" s="331">
        <v>2775032.6956651886</v>
      </c>
      <c r="Z28" s="331">
        <v>7680</v>
      </c>
      <c r="AA28" s="331">
        <v>0</v>
      </c>
      <c r="AB28" s="331">
        <v>310</v>
      </c>
      <c r="AC28" s="331">
        <v>0</v>
      </c>
      <c r="AD28" s="331">
        <v>421</v>
      </c>
      <c r="AE28" s="331">
        <v>0</v>
      </c>
      <c r="AF28" s="331">
        <v>0</v>
      </c>
      <c r="AG28" s="331">
        <v>0</v>
      </c>
      <c r="AH28" s="331">
        <v>112601</v>
      </c>
      <c r="AI28" s="331">
        <v>94296</v>
      </c>
      <c r="AJ28" s="331">
        <v>925881314.65436506</v>
      </c>
      <c r="AK28" s="331">
        <v>8952</v>
      </c>
      <c r="AL28" s="331">
        <v>8839487.958514249</v>
      </c>
      <c r="AM28" s="331">
        <v>17490857</v>
      </c>
      <c r="AN28" s="331">
        <v>259981</v>
      </c>
      <c r="AO28" s="331">
        <v>16586</v>
      </c>
      <c r="AP28" s="331">
        <v>13193</v>
      </c>
      <c r="AQ28" s="331">
        <v>146267550</v>
      </c>
      <c r="AR28" s="331">
        <v>3065</v>
      </c>
      <c r="AS28" s="331">
        <v>965833</v>
      </c>
      <c r="AT28" s="331">
        <v>106</v>
      </c>
      <c r="AU28" s="331">
        <v>343</v>
      </c>
      <c r="AV28" s="331">
        <v>570512</v>
      </c>
      <c r="AW28" s="331">
        <v>348</v>
      </c>
      <c r="AX28" s="331">
        <v>29767</v>
      </c>
      <c r="AY28" s="331">
        <v>407</v>
      </c>
      <c r="AZ28" s="331">
        <v>306</v>
      </c>
      <c r="BA28" s="331">
        <v>15468953</v>
      </c>
      <c r="BB28" s="331">
        <v>186</v>
      </c>
      <c r="BC28" s="331">
        <v>20067</v>
      </c>
      <c r="BD28" s="331">
        <v>6129</v>
      </c>
      <c r="BE28" s="331">
        <v>2953</v>
      </c>
      <c r="BF28" s="331">
        <v>2065</v>
      </c>
      <c r="BG28" s="331">
        <v>57286529</v>
      </c>
      <c r="BH28" s="331">
        <v>9</v>
      </c>
      <c r="BI28" s="331">
        <v>0</v>
      </c>
      <c r="BJ28" s="331">
        <v>0</v>
      </c>
      <c r="BK28" s="331">
        <v>174</v>
      </c>
      <c r="BL28" s="331">
        <v>126</v>
      </c>
      <c r="BM28" s="331">
        <v>4184671</v>
      </c>
      <c r="BN28" s="331">
        <v>108</v>
      </c>
      <c r="BO28" s="331">
        <v>89317</v>
      </c>
      <c r="BP28" s="331">
        <v>35727</v>
      </c>
      <c r="BQ28" s="331">
        <v>43052</v>
      </c>
      <c r="BR28" s="331">
        <v>21626</v>
      </c>
      <c r="BS28" s="331">
        <v>57593836</v>
      </c>
      <c r="BT28" s="331">
        <v>0</v>
      </c>
      <c r="BU28" s="331">
        <v>777516.78599999996</v>
      </c>
      <c r="BV28" s="331">
        <v>22</v>
      </c>
      <c r="BW28" s="331">
        <v>20</v>
      </c>
      <c r="BX28" s="331">
        <v>1373705</v>
      </c>
      <c r="BY28" s="331">
        <v>0</v>
      </c>
      <c r="BZ28" s="331">
        <v>6868</v>
      </c>
      <c r="CA28" s="331">
        <v>0</v>
      </c>
      <c r="CB28" s="331">
        <v>0</v>
      </c>
      <c r="CC28" s="331">
        <v>0</v>
      </c>
      <c r="CD28" s="331">
        <v>0</v>
      </c>
      <c r="CE28" s="331">
        <v>0</v>
      </c>
      <c r="CF28" s="331">
        <v>0</v>
      </c>
      <c r="CG28" s="331">
        <v>0</v>
      </c>
      <c r="CH28" s="331">
        <v>0</v>
      </c>
      <c r="CI28" s="331">
        <v>0</v>
      </c>
      <c r="CJ28" s="331">
        <v>0</v>
      </c>
      <c r="CK28" s="331">
        <v>828</v>
      </c>
      <c r="CL28" s="331">
        <v>55111675</v>
      </c>
      <c r="CM28" s="331">
        <v>0</v>
      </c>
      <c r="CN28" s="331">
        <v>0</v>
      </c>
      <c r="CO28" s="331">
        <v>94543</v>
      </c>
      <c r="CP28" s="331">
        <v>44519</v>
      </c>
      <c r="CQ28" s="331">
        <v>29458231</v>
      </c>
      <c r="CR28" s="331">
        <v>6427</v>
      </c>
      <c r="CS28" s="331">
        <v>9610</v>
      </c>
      <c r="CT28" s="331">
        <v>26030326</v>
      </c>
      <c r="CU28" s="331">
        <v>274683</v>
      </c>
      <c r="CV28" s="331">
        <v>2350</v>
      </c>
      <c r="CW28" s="331">
        <v>19153</v>
      </c>
      <c r="CX28" s="331">
        <v>18637</v>
      </c>
      <c r="CY28" s="331">
        <v>17206</v>
      </c>
      <c r="CZ28" s="331">
        <v>225522014</v>
      </c>
      <c r="DA28" s="331">
        <v>2587</v>
      </c>
      <c r="DB28" s="331">
        <v>24</v>
      </c>
      <c r="DC28" s="331">
        <v>2</v>
      </c>
      <c r="DD28" s="331">
        <v>307750</v>
      </c>
      <c r="DE28" s="331">
        <v>1</v>
      </c>
      <c r="DF28" s="331">
        <v>3659</v>
      </c>
      <c r="DG28" s="331">
        <v>109</v>
      </c>
      <c r="DH28" s="331">
        <v>0</v>
      </c>
      <c r="DI28" s="331">
        <v>0</v>
      </c>
      <c r="DJ28" s="331">
        <v>1</v>
      </c>
      <c r="DK28" s="331">
        <v>11099</v>
      </c>
      <c r="DL28" s="331">
        <v>3283</v>
      </c>
      <c r="DM28" s="331">
        <v>346559172</v>
      </c>
      <c r="DN28" s="331">
        <v>1487</v>
      </c>
      <c r="DO28" s="331">
        <v>2119467</v>
      </c>
      <c r="DP28" s="331">
        <v>814</v>
      </c>
      <c r="DQ28" s="331">
        <v>30668124</v>
      </c>
      <c r="DR28" s="331">
        <v>528450</v>
      </c>
      <c r="DS28" s="331">
        <v>11099</v>
      </c>
      <c r="DT28" s="331">
        <v>346559172</v>
      </c>
      <c r="DU28" s="331">
        <v>2119467</v>
      </c>
      <c r="DV28" s="331">
        <v>0</v>
      </c>
      <c r="DW28" s="331">
        <v>7058</v>
      </c>
      <c r="DX28" s="331">
        <v>229918796</v>
      </c>
      <c r="DY28" s="331">
        <v>4041</v>
      </c>
      <c r="DZ28" s="331">
        <v>116640376</v>
      </c>
      <c r="EA28" s="331">
        <v>2575308</v>
      </c>
      <c r="EB28" s="331">
        <v>2969768169.2417459</v>
      </c>
      <c r="EC28" s="331">
        <v>32949</v>
      </c>
      <c r="ED28" s="331">
        <v>1015872</v>
      </c>
      <c r="EE28" s="331">
        <v>332494</v>
      </c>
      <c r="EF28" s="331">
        <v>485997</v>
      </c>
      <c r="EG28" s="331">
        <v>24131</v>
      </c>
      <c r="EH28" s="331">
        <v>1333642</v>
      </c>
      <c r="EI28" s="242"/>
      <c r="EJ28" s="331"/>
      <c r="EK28" s="331">
        <v>8564</v>
      </c>
      <c r="EL28" s="331">
        <v>7177</v>
      </c>
      <c r="EM28" s="331">
        <v>2831288</v>
      </c>
      <c r="EN28" s="331">
        <v>42469.32</v>
      </c>
      <c r="EO28" s="331">
        <v>93948</v>
      </c>
      <c r="EP28" s="331">
        <v>64230</v>
      </c>
      <c r="EQ28" s="331">
        <v>25284492</v>
      </c>
      <c r="ER28" s="331">
        <v>379267.38</v>
      </c>
      <c r="ES28" s="331">
        <v>102512</v>
      </c>
      <c r="ET28" s="331">
        <v>69812</v>
      </c>
      <c r="EU28" s="331">
        <v>28115780</v>
      </c>
      <c r="EV28" s="331">
        <v>421736.7</v>
      </c>
      <c r="EW28" s="331">
        <v>1102964</v>
      </c>
      <c r="EX28" s="331">
        <v>44519</v>
      </c>
      <c r="EY28" s="331">
        <v>216701403</v>
      </c>
      <c r="EZ28" s="331">
        <v>43052</v>
      </c>
      <c r="FA28" s="331">
        <v>21626</v>
      </c>
      <c r="FB28" s="331">
        <v>57593836</v>
      </c>
      <c r="FC28" s="331">
        <v>777516.78599999996</v>
      </c>
      <c r="FD28" s="331">
        <v>128</v>
      </c>
      <c r="FE28" s="331">
        <v>116</v>
      </c>
      <c r="FF28" s="331">
        <v>162997</v>
      </c>
    </row>
    <row r="29" spans="1:162" s="248" customFormat="1" ht="15" customHeight="1">
      <c r="A29" s="236">
        <v>45562</v>
      </c>
      <c r="B29" s="331">
        <v>9199</v>
      </c>
      <c r="C29" s="331">
        <v>14287</v>
      </c>
      <c r="D29" s="331">
        <v>14288</v>
      </c>
      <c r="E29" s="331">
        <v>785110</v>
      </c>
      <c r="F29" s="331">
        <v>307947</v>
      </c>
      <c r="G29" s="331">
        <v>3504642</v>
      </c>
      <c r="H29" s="331">
        <v>2504305</v>
      </c>
      <c r="I29" s="331">
        <v>1635043</v>
      </c>
      <c r="J29" s="331">
        <v>8957</v>
      </c>
      <c r="K29" s="331">
        <v>351</v>
      </c>
      <c r="L29" s="331">
        <v>210554</v>
      </c>
      <c r="M29" s="331">
        <v>176127</v>
      </c>
      <c r="N29" s="331">
        <v>148694</v>
      </c>
      <c r="O29" s="331">
        <v>1106450</v>
      </c>
      <c r="P29" s="331">
        <v>215335395</v>
      </c>
      <c r="Q29" s="331">
        <v>6224</v>
      </c>
      <c r="R29" s="331">
        <v>1005400</v>
      </c>
      <c r="S29" s="331">
        <v>9370547</v>
      </c>
      <c r="T29" s="331">
        <v>1</v>
      </c>
      <c r="U29" s="331">
        <v>141002</v>
      </c>
      <c r="V29" s="331">
        <v>41856</v>
      </c>
      <c r="W29" s="331">
        <v>114475</v>
      </c>
      <c r="X29" s="331">
        <v>858893524.61808252</v>
      </c>
      <c r="Y29" s="331">
        <v>2795689.283883513</v>
      </c>
      <c r="Z29" s="331">
        <v>7655</v>
      </c>
      <c r="AA29" s="331">
        <v>0</v>
      </c>
      <c r="AB29" s="331">
        <v>346</v>
      </c>
      <c r="AC29" s="331">
        <v>0</v>
      </c>
      <c r="AD29" s="331">
        <v>480</v>
      </c>
      <c r="AE29" s="331">
        <v>0</v>
      </c>
      <c r="AF29" s="331">
        <v>0</v>
      </c>
      <c r="AG29" s="331">
        <v>0</v>
      </c>
      <c r="AH29" s="331">
        <v>111331</v>
      </c>
      <c r="AI29" s="331">
        <v>93036</v>
      </c>
      <c r="AJ29" s="331">
        <v>929287659.09200692</v>
      </c>
      <c r="AK29" s="331">
        <v>8676</v>
      </c>
      <c r="AL29" s="331">
        <v>8747692.2496057544</v>
      </c>
      <c r="AM29" s="331">
        <v>17327827</v>
      </c>
      <c r="AN29" s="331">
        <v>257688</v>
      </c>
      <c r="AO29" s="331">
        <v>17480</v>
      </c>
      <c r="AP29" s="331">
        <v>13754</v>
      </c>
      <c r="AQ29" s="331">
        <v>148657215</v>
      </c>
      <c r="AR29" s="331">
        <v>3202</v>
      </c>
      <c r="AS29" s="331">
        <v>1021867</v>
      </c>
      <c r="AT29" s="331">
        <v>123</v>
      </c>
      <c r="AU29" s="331">
        <v>377</v>
      </c>
      <c r="AV29" s="331">
        <v>514001</v>
      </c>
      <c r="AW29" s="331">
        <v>373</v>
      </c>
      <c r="AX29" s="331">
        <v>33067</v>
      </c>
      <c r="AY29" s="331">
        <v>818</v>
      </c>
      <c r="AZ29" s="331">
        <v>590</v>
      </c>
      <c r="BA29" s="331">
        <v>39703393</v>
      </c>
      <c r="BB29" s="331">
        <v>421</v>
      </c>
      <c r="BC29" s="331">
        <v>25700</v>
      </c>
      <c r="BD29" s="331">
        <v>7839</v>
      </c>
      <c r="BE29" s="331">
        <v>2540</v>
      </c>
      <c r="BF29" s="331">
        <v>1714</v>
      </c>
      <c r="BG29" s="331">
        <v>45985893</v>
      </c>
      <c r="BH29" s="331">
        <v>1996</v>
      </c>
      <c r="BI29" s="331">
        <v>0</v>
      </c>
      <c r="BJ29" s="331">
        <v>0</v>
      </c>
      <c r="BK29" s="331">
        <v>171</v>
      </c>
      <c r="BL29" s="331">
        <v>124</v>
      </c>
      <c r="BM29" s="331">
        <v>4015784</v>
      </c>
      <c r="BN29" s="331">
        <v>120</v>
      </c>
      <c r="BO29" s="331">
        <v>86900</v>
      </c>
      <c r="BP29" s="331">
        <v>34760</v>
      </c>
      <c r="BQ29" s="331">
        <v>38753</v>
      </c>
      <c r="BR29" s="331">
        <v>20667</v>
      </c>
      <c r="BS29" s="331">
        <v>52590203</v>
      </c>
      <c r="BT29" s="331">
        <v>0</v>
      </c>
      <c r="BU29" s="331">
        <v>709967.74049999996</v>
      </c>
      <c r="BV29" s="331">
        <v>33</v>
      </c>
      <c r="BW29" s="331">
        <v>30</v>
      </c>
      <c r="BX29" s="331">
        <v>1688325</v>
      </c>
      <c r="BY29" s="331">
        <v>0</v>
      </c>
      <c r="BZ29" s="331">
        <v>8442</v>
      </c>
      <c r="CA29" s="331">
        <v>0</v>
      </c>
      <c r="CB29" s="331">
        <v>0</v>
      </c>
      <c r="CC29" s="331">
        <v>0</v>
      </c>
      <c r="CD29" s="331">
        <v>0</v>
      </c>
      <c r="CE29" s="331">
        <v>0</v>
      </c>
      <c r="CF29" s="331">
        <v>0</v>
      </c>
      <c r="CG29" s="331">
        <v>0</v>
      </c>
      <c r="CH29" s="331">
        <v>0</v>
      </c>
      <c r="CI29" s="331">
        <v>0</v>
      </c>
      <c r="CJ29" s="331">
        <v>0</v>
      </c>
      <c r="CK29" s="331">
        <v>3198</v>
      </c>
      <c r="CL29" s="331">
        <v>40693895</v>
      </c>
      <c r="CM29" s="331">
        <v>0</v>
      </c>
      <c r="CN29" s="331">
        <v>0</v>
      </c>
      <c r="CO29" s="331">
        <v>95004</v>
      </c>
      <c r="CP29" s="331">
        <v>44500</v>
      </c>
      <c r="CQ29" s="331">
        <v>30271307</v>
      </c>
      <c r="CR29" s="331">
        <v>6643</v>
      </c>
      <c r="CS29" s="331">
        <v>9750</v>
      </c>
      <c r="CT29" s="331">
        <v>27281094</v>
      </c>
      <c r="CU29" s="331">
        <v>282906</v>
      </c>
      <c r="CV29" s="331">
        <v>2142</v>
      </c>
      <c r="CW29" s="331">
        <v>19435</v>
      </c>
      <c r="CX29" s="331">
        <v>18986</v>
      </c>
      <c r="CY29" s="331">
        <v>17373</v>
      </c>
      <c r="CZ29" s="331">
        <v>247122674</v>
      </c>
      <c r="DA29" s="331">
        <v>2626</v>
      </c>
      <c r="DB29" s="331">
        <v>25</v>
      </c>
      <c r="DC29" s="331">
        <v>4</v>
      </c>
      <c r="DD29" s="331">
        <v>348177</v>
      </c>
      <c r="DE29" s="331">
        <v>3</v>
      </c>
      <c r="DF29" s="331">
        <v>4245</v>
      </c>
      <c r="DG29" s="331">
        <v>128</v>
      </c>
      <c r="DH29" s="331">
        <v>0</v>
      </c>
      <c r="DI29" s="331">
        <v>0</v>
      </c>
      <c r="DJ29" s="331">
        <v>1</v>
      </c>
      <c r="DK29" s="331">
        <v>10936</v>
      </c>
      <c r="DL29" s="331">
        <v>3273</v>
      </c>
      <c r="DM29" s="331">
        <v>332863170</v>
      </c>
      <c r="DN29" s="331">
        <v>812</v>
      </c>
      <c r="DO29" s="331">
        <v>2180600</v>
      </c>
      <c r="DP29" s="331">
        <v>251</v>
      </c>
      <c r="DQ29" s="331">
        <v>7268291</v>
      </c>
      <c r="DR29" s="331">
        <v>194683</v>
      </c>
      <c r="DS29" s="331">
        <v>10936</v>
      </c>
      <c r="DT29" s="331">
        <v>332863170</v>
      </c>
      <c r="DU29" s="331">
        <v>2180600</v>
      </c>
      <c r="DV29" s="331">
        <v>0</v>
      </c>
      <c r="DW29" s="331">
        <v>6774</v>
      </c>
      <c r="DX29" s="331">
        <v>216643511</v>
      </c>
      <c r="DY29" s="331">
        <v>4162</v>
      </c>
      <c r="DZ29" s="331">
        <v>116219659</v>
      </c>
      <c r="EA29" s="331">
        <v>2562001</v>
      </c>
      <c r="EB29" s="331">
        <v>2984622256.7100897</v>
      </c>
      <c r="EC29" s="331">
        <v>34589</v>
      </c>
      <c r="ED29" s="331">
        <v>591370</v>
      </c>
      <c r="EE29" s="331">
        <v>359980</v>
      </c>
      <c r="EF29" s="331">
        <v>488226</v>
      </c>
      <c r="EG29" s="331">
        <v>24775</v>
      </c>
      <c r="EH29" s="331">
        <v>1363387</v>
      </c>
      <c r="EI29" s="242"/>
      <c r="EJ29" s="331"/>
      <c r="EK29" s="331">
        <v>8548</v>
      </c>
      <c r="EL29" s="331">
        <v>7173</v>
      </c>
      <c r="EM29" s="331">
        <v>3052519</v>
      </c>
      <c r="EN29" s="331">
        <v>45787.784999999996</v>
      </c>
      <c r="EO29" s="331">
        <v>95365</v>
      </c>
      <c r="EP29" s="331">
        <v>64921</v>
      </c>
      <c r="EQ29" s="331">
        <v>25222108</v>
      </c>
      <c r="ER29" s="331">
        <v>378331.62</v>
      </c>
      <c r="ES29" s="331">
        <v>103913</v>
      </c>
      <c r="ET29" s="331">
        <v>70513</v>
      </c>
      <c r="EU29" s="331">
        <v>28274627</v>
      </c>
      <c r="EV29" s="331">
        <v>424119.40499999997</v>
      </c>
      <c r="EW29" s="331">
        <v>1097541</v>
      </c>
      <c r="EX29" s="331">
        <v>44500</v>
      </c>
      <c r="EY29" s="331">
        <v>217332075</v>
      </c>
      <c r="EZ29" s="331">
        <v>38753</v>
      </c>
      <c r="FA29" s="331">
        <v>20667</v>
      </c>
      <c r="FB29" s="331">
        <v>52590203</v>
      </c>
      <c r="FC29" s="331">
        <v>709967.74049999996</v>
      </c>
      <c r="FD29" s="331">
        <v>97</v>
      </c>
      <c r="FE29" s="331">
        <v>97</v>
      </c>
      <c r="FF29" s="331">
        <v>111997</v>
      </c>
    </row>
    <row r="30" spans="1:162" s="248" customFormat="1" ht="15" customHeight="1">
      <c r="A30" s="236">
        <v>45563</v>
      </c>
      <c r="B30" s="331">
        <v>5837</v>
      </c>
      <c r="C30" s="331">
        <v>9605</v>
      </c>
      <c r="D30" s="331">
        <v>9605</v>
      </c>
      <c r="E30" s="331">
        <v>769944</v>
      </c>
      <c r="F30" s="331">
        <v>302520</v>
      </c>
      <c r="G30" s="331">
        <v>3509008</v>
      </c>
      <c r="H30" s="331">
        <v>2505972</v>
      </c>
      <c r="I30" s="331">
        <v>1634566</v>
      </c>
      <c r="J30" s="331">
        <v>8451</v>
      </c>
      <c r="K30" s="331">
        <v>64</v>
      </c>
      <c r="L30" s="331">
        <v>210952</v>
      </c>
      <c r="M30" s="331">
        <v>176126</v>
      </c>
      <c r="N30" s="331">
        <v>148632</v>
      </c>
      <c r="O30" s="331">
        <v>1099009</v>
      </c>
      <c r="P30" s="331">
        <v>213021123</v>
      </c>
      <c r="Q30" s="331">
        <v>6294</v>
      </c>
      <c r="R30" s="331">
        <v>996073</v>
      </c>
      <c r="S30" s="331">
        <v>9235752</v>
      </c>
      <c r="T30" s="331">
        <v>1</v>
      </c>
      <c r="U30" s="331">
        <v>141053</v>
      </c>
      <c r="V30" s="331">
        <v>40589</v>
      </c>
      <c r="W30" s="331">
        <v>113384</v>
      </c>
      <c r="X30" s="331">
        <v>733305781.82742465</v>
      </c>
      <c r="Y30" s="331">
        <v>2355695.3129046792</v>
      </c>
      <c r="Z30" s="331">
        <v>7531</v>
      </c>
      <c r="AA30" s="331">
        <v>0</v>
      </c>
      <c r="AB30" s="331">
        <v>316</v>
      </c>
      <c r="AC30" s="331">
        <v>0</v>
      </c>
      <c r="AD30" s="331">
        <v>446</v>
      </c>
      <c r="AE30" s="331">
        <v>0</v>
      </c>
      <c r="AF30" s="331">
        <v>0</v>
      </c>
      <c r="AG30" s="331">
        <v>0</v>
      </c>
      <c r="AH30" s="331">
        <v>107770</v>
      </c>
      <c r="AI30" s="331">
        <v>90543</v>
      </c>
      <c r="AJ30" s="331">
        <v>771066324.91381109</v>
      </c>
      <c r="AK30" s="331">
        <v>8399</v>
      </c>
      <c r="AL30" s="331">
        <v>7585465.1463188138</v>
      </c>
      <c r="AM30" s="331">
        <v>14936345</v>
      </c>
      <c r="AN30" s="331">
        <v>233948</v>
      </c>
      <c r="AO30" s="331">
        <v>16307</v>
      </c>
      <c r="AP30" s="331">
        <v>12953</v>
      </c>
      <c r="AQ30" s="331">
        <v>127580457</v>
      </c>
      <c r="AR30" s="331">
        <v>3030</v>
      </c>
      <c r="AS30" s="331">
        <v>935750</v>
      </c>
      <c r="AT30" s="331">
        <v>106</v>
      </c>
      <c r="AU30" s="331">
        <v>352</v>
      </c>
      <c r="AV30" s="331">
        <v>410793</v>
      </c>
      <c r="AW30" s="331">
        <v>336</v>
      </c>
      <c r="AX30" s="331">
        <v>26850</v>
      </c>
      <c r="AY30" s="331">
        <v>451</v>
      </c>
      <c r="AZ30" s="331">
        <v>342</v>
      </c>
      <c r="BA30" s="331">
        <v>12277270</v>
      </c>
      <c r="BB30" s="331">
        <v>100</v>
      </c>
      <c r="BC30" s="331">
        <v>21225</v>
      </c>
      <c r="BD30" s="331">
        <v>6277</v>
      </c>
      <c r="BE30" s="331">
        <v>3126</v>
      </c>
      <c r="BF30" s="331">
        <v>2141</v>
      </c>
      <c r="BG30" s="331">
        <v>54692169</v>
      </c>
      <c r="BH30" s="331">
        <v>3</v>
      </c>
      <c r="BI30" s="331">
        <v>0</v>
      </c>
      <c r="BJ30" s="331">
        <v>0</v>
      </c>
      <c r="BK30" s="331">
        <v>173</v>
      </c>
      <c r="BL30" s="331">
        <v>131</v>
      </c>
      <c r="BM30" s="331">
        <v>3938775</v>
      </c>
      <c r="BN30" s="331">
        <v>27</v>
      </c>
      <c r="BO30" s="331">
        <v>85575</v>
      </c>
      <c r="BP30" s="331">
        <v>34230</v>
      </c>
      <c r="BQ30" s="331">
        <v>50452</v>
      </c>
      <c r="BR30" s="331">
        <v>24940</v>
      </c>
      <c r="BS30" s="331">
        <v>65480189</v>
      </c>
      <c r="BT30" s="331">
        <v>0</v>
      </c>
      <c r="BU30" s="331">
        <v>883982.55149999994</v>
      </c>
      <c r="BV30" s="331">
        <v>17</v>
      </c>
      <c r="BW30" s="331">
        <v>15</v>
      </c>
      <c r="BX30" s="331">
        <v>1235593</v>
      </c>
      <c r="BY30" s="331">
        <v>0</v>
      </c>
      <c r="BZ30" s="331">
        <v>6178</v>
      </c>
      <c r="CA30" s="331">
        <v>0</v>
      </c>
      <c r="CB30" s="331">
        <v>0</v>
      </c>
      <c r="CC30" s="331">
        <v>0</v>
      </c>
      <c r="CD30" s="331">
        <v>0</v>
      </c>
      <c r="CE30" s="331">
        <v>0</v>
      </c>
      <c r="CF30" s="331">
        <v>0</v>
      </c>
      <c r="CG30" s="331">
        <v>0</v>
      </c>
      <c r="CH30" s="331">
        <v>0</v>
      </c>
      <c r="CI30" s="331">
        <v>0</v>
      </c>
      <c r="CJ30" s="331">
        <v>0</v>
      </c>
      <c r="CK30" s="331">
        <v>599</v>
      </c>
      <c r="CL30" s="331">
        <v>6751735</v>
      </c>
      <c r="CM30" s="331">
        <v>0</v>
      </c>
      <c r="CN30" s="331">
        <v>0</v>
      </c>
      <c r="CO30" s="331">
        <v>89703</v>
      </c>
      <c r="CP30" s="331">
        <v>43752</v>
      </c>
      <c r="CQ30" s="331">
        <v>27569851</v>
      </c>
      <c r="CR30" s="331">
        <v>7579</v>
      </c>
      <c r="CS30" s="331">
        <v>10151</v>
      </c>
      <c r="CT30" s="331">
        <v>28140021</v>
      </c>
      <c r="CU30" s="331">
        <v>309310</v>
      </c>
      <c r="CV30" s="331">
        <v>2493</v>
      </c>
      <c r="CW30" s="331">
        <v>23500</v>
      </c>
      <c r="CX30" s="331">
        <v>17910</v>
      </c>
      <c r="CY30" s="331">
        <v>16697</v>
      </c>
      <c r="CZ30" s="331">
        <v>199006309</v>
      </c>
      <c r="DA30" s="331">
        <v>2431</v>
      </c>
      <c r="DB30" s="331">
        <v>28</v>
      </c>
      <c r="DC30" s="331">
        <v>2</v>
      </c>
      <c r="DD30" s="331">
        <v>281250</v>
      </c>
      <c r="DE30" s="331">
        <v>1</v>
      </c>
      <c r="DF30" s="331">
        <v>3662</v>
      </c>
      <c r="DG30" s="331">
        <v>111</v>
      </c>
      <c r="DH30" s="331">
        <v>0</v>
      </c>
      <c r="DI30" s="331">
        <v>0</v>
      </c>
      <c r="DJ30" s="331">
        <v>1</v>
      </c>
      <c r="DK30" s="331">
        <v>11116</v>
      </c>
      <c r="DL30" s="331">
        <v>2982</v>
      </c>
      <c r="DM30" s="331">
        <v>299897843</v>
      </c>
      <c r="DN30" s="331">
        <v>798</v>
      </c>
      <c r="DO30" s="331">
        <v>1847600</v>
      </c>
      <c r="DP30" s="331">
        <v>189</v>
      </c>
      <c r="DQ30" s="331">
        <v>10919882</v>
      </c>
      <c r="DR30" s="331">
        <v>132825</v>
      </c>
      <c r="DS30" s="331">
        <v>11116</v>
      </c>
      <c r="DT30" s="331">
        <v>299897843</v>
      </c>
      <c r="DU30" s="331">
        <v>1847600</v>
      </c>
      <c r="DV30" s="331">
        <v>3</v>
      </c>
      <c r="DW30" s="331">
        <v>7301</v>
      </c>
      <c r="DX30" s="331">
        <v>202420441</v>
      </c>
      <c r="DY30" s="331">
        <v>3815</v>
      </c>
      <c r="DZ30" s="331">
        <v>97477402</v>
      </c>
      <c r="EA30" s="331">
        <v>2544045</v>
      </c>
      <c r="EB30" s="331">
        <v>2553891236.7412357</v>
      </c>
      <c r="EC30" s="331">
        <v>32566</v>
      </c>
      <c r="ED30" s="331">
        <v>112493</v>
      </c>
      <c r="EE30" s="331">
        <v>385893</v>
      </c>
      <c r="EF30" s="331">
        <v>488882</v>
      </c>
      <c r="EG30" s="331">
        <v>37417</v>
      </c>
      <c r="EH30" s="331">
        <v>1239013</v>
      </c>
      <c r="EI30" s="242"/>
      <c r="EJ30" s="331"/>
      <c r="EK30" s="331">
        <v>8574</v>
      </c>
      <c r="EL30" s="331">
        <v>7202</v>
      </c>
      <c r="EM30" s="331">
        <v>2839147</v>
      </c>
      <c r="EN30" s="331">
        <v>42587.205000000002</v>
      </c>
      <c r="EO30" s="331">
        <v>96796</v>
      </c>
      <c r="EP30" s="331">
        <v>65872</v>
      </c>
      <c r="EQ30" s="331">
        <v>25572683</v>
      </c>
      <c r="ER30" s="331">
        <v>383590.245</v>
      </c>
      <c r="ES30" s="331">
        <v>105370</v>
      </c>
      <c r="ET30" s="331">
        <v>71514</v>
      </c>
      <c r="EU30" s="331">
        <v>28411830</v>
      </c>
      <c r="EV30" s="331">
        <v>426177.45</v>
      </c>
      <c r="EW30" s="331">
        <v>1083342</v>
      </c>
      <c r="EX30" s="331">
        <v>43752</v>
      </c>
      <c r="EY30" s="331">
        <v>212179144</v>
      </c>
      <c r="EZ30" s="331">
        <v>50452</v>
      </c>
      <c r="FA30" s="331">
        <v>24940</v>
      </c>
      <c r="FB30" s="331">
        <v>65480189</v>
      </c>
      <c r="FC30" s="331">
        <v>883982.55149999994</v>
      </c>
      <c r="FD30" s="331">
        <v>113</v>
      </c>
      <c r="FE30" s="331">
        <v>107</v>
      </c>
      <c r="FF30" s="331">
        <v>133498</v>
      </c>
    </row>
    <row r="31" spans="1:162" s="248" customFormat="1" ht="15" customHeight="1">
      <c r="A31" s="236">
        <v>45564</v>
      </c>
      <c r="B31" s="331">
        <v>2710</v>
      </c>
      <c r="C31" s="331">
        <v>4289</v>
      </c>
      <c r="D31" s="331">
        <v>4289</v>
      </c>
      <c r="E31" s="331">
        <v>774074</v>
      </c>
      <c r="F31" s="331">
        <v>280526</v>
      </c>
      <c r="G31" s="331">
        <v>3512399</v>
      </c>
      <c r="H31" s="331">
        <v>2501200</v>
      </c>
      <c r="I31" s="331">
        <v>1630724</v>
      </c>
      <c r="J31" s="331">
        <v>6987</v>
      </c>
      <c r="K31" s="331">
        <v>187</v>
      </c>
      <c r="L31" s="331">
        <v>211146</v>
      </c>
      <c r="M31" s="331">
        <v>176132</v>
      </c>
      <c r="N31" s="331">
        <v>148468</v>
      </c>
      <c r="O31" s="331">
        <v>1087910</v>
      </c>
      <c r="P31" s="331">
        <v>204003238</v>
      </c>
      <c r="Q31" s="331">
        <v>6126</v>
      </c>
      <c r="R31" s="331">
        <v>986374</v>
      </c>
      <c r="S31" s="331">
        <v>8870315</v>
      </c>
      <c r="T31" s="331">
        <v>1</v>
      </c>
      <c r="U31" s="331">
        <v>116989</v>
      </c>
      <c r="V31" s="331">
        <v>32363</v>
      </c>
      <c r="W31" s="331">
        <v>95795</v>
      </c>
      <c r="X31" s="331">
        <v>459320420.89688253</v>
      </c>
      <c r="Y31" s="331">
        <v>1510566.001236303</v>
      </c>
      <c r="Z31" s="331">
        <v>6076</v>
      </c>
      <c r="AA31" s="331">
        <v>0</v>
      </c>
      <c r="AB31" s="331">
        <v>297</v>
      </c>
      <c r="AC31" s="331">
        <v>0</v>
      </c>
      <c r="AD31" s="331">
        <v>439</v>
      </c>
      <c r="AE31" s="331">
        <v>0</v>
      </c>
      <c r="AF31" s="331">
        <v>0</v>
      </c>
      <c r="AG31" s="331">
        <v>0</v>
      </c>
      <c r="AH31" s="331">
        <v>98962</v>
      </c>
      <c r="AI31" s="331">
        <v>83767</v>
      </c>
      <c r="AJ31" s="331">
        <v>562296878.24515462</v>
      </c>
      <c r="AK31" s="331">
        <v>7556</v>
      </c>
      <c r="AL31" s="331">
        <v>6179754.4325199574</v>
      </c>
      <c r="AM31" s="331">
        <v>12097912</v>
      </c>
      <c r="AN31" s="331">
        <v>193987</v>
      </c>
      <c r="AO31" s="331">
        <v>15916</v>
      </c>
      <c r="AP31" s="331">
        <v>12643</v>
      </c>
      <c r="AQ31" s="331">
        <v>96115686</v>
      </c>
      <c r="AR31" s="331">
        <v>3022</v>
      </c>
      <c r="AS31" s="331">
        <v>911522</v>
      </c>
      <c r="AT31" s="331">
        <v>121</v>
      </c>
      <c r="AU31" s="331">
        <v>335</v>
      </c>
      <c r="AV31" s="331">
        <v>472918</v>
      </c>
      <c r="AW31" s="331">
        <v>313</v>
      </c>
      <c r="AX31" s="331">
        <v>29867</v>
      </c>
      <c r="AY31" s="331">
        <v>71</v>
      </c>
      <c r="AZ31" s="331">
        <v>59</v>
      </c>
      <c r="BA31" s="331">
        <v>2362886</v>
      </c>
      <c r="BB31" s="331">
        <v>29</v>
      </c>
      <c r="BC31" s="331">
        <v>18367</v>
      </c>
      <c r="BD31" s="331">
        <v>5622</v>
      </c>
      <c r="BE31" s="331">
        <v>2576</v>
      </c>
      <c r="BF31" s="331">
        <v>1842</v>
      </c>
      <c r="BG31" s="331">
        <v>35531036</v>
      </c>
      <c r="BH31" s="331">
        <v>5</v>
      </c>
      <c r="BI31" s="331">
        <v>0</v>
      </c>
      <c r="BJ31" s="331">
        <v>0</v>
      </c>
      <c r="BK31" s="331">
        <v>104</v>
      </c>
      <c r="BL31" s="331">
        <v>82</v>
      </c>
      <c r="BM31" s="331">
        <v>1758550</v>
      </c>
      <c r="BN31" s="331">
        <v>99</v>
      </c>
      <c r="BO31" s="331">
        <v>41661</v>
      </c>
      <c r="BP31" s="331">
        <v>16664</v>
      </c>
      <c r="BQ31" s="331">
        <v>44029</v>
      </c>
      <c r="BR31" s="331">
        <v>21530</v>
      </c>
      <c r="BS31" s="331">
        <v>54616153</v>
      </c>
      <c r="BT31" s="331">
        <v>0</v>
      </c>
      <c r="BU31" s="331">
        <v>737318.06550000003</v>
      </c>
      <c r="BV31" s="331">
        <v>34</v>
      </c>
      <c r="BW31" s="331">
        <v>31</v>
      </c>
      <c r="BX31" s="331">
        <v>1818476</v>
      </c>
      <c r="BY31" s="331">
        <v>0</v>
      </c>
      <c r="BZ31" s="331">
        <v>9092</v>
      </c>
      <c r="CA31" s="331">
        <v>0</v>
      </c>
      <c r="CB31" s="331">
        <v>0</v>
      </c>
      <c r="CC31" s="331">
        <v>0</v>
      </c>
      <c r="CD31" s="331">
        <v>0</v>
      </c>
      <c r="CE31" s="331">
        <v>0</v>
      </c>
      <c r="CF31" s="331">
        <v>0</v>
      </c>
      <c r="CG31" s="331">
        <v>0</v>
      </c>
      <c r="CH31" s="331">
        <v>0</v>
      </c>
      <c r="CI31" s="331">
        <v>0</v>
      </c>
      <c r="CJ31" s="331">
        <v>0</v>
      </c>
      <c r="CK31" s="331">
        <v>1</v>
      </c>
      <c r="CL31" s="331">
        <v>128889</v>
      </c>
      <c r="CM31" s="331">
        <v>0</v>
      </c>
      <c r="CN31" s="331">
        <v>0</v>
      </c>
      <c r="CO31" s="331">
        <v>88923</v>
      </c>
      <c r="CP31" s="331">
        <v>39344</v>
      </c>
      <c r="CQ31" s="331">
        <v>26175380</v>
      </c>
      <c r="CR31" s="331">
        <v>6435</v>
      </c>
      <c r="CS31" s="331">
        <v>8475</v>
      </c>
      <c r="CT31" s="331">
        <v>22726627</v>
      </c>
      <c r="CU31" s="331">
        <v>244953</v>
      </c>
      <c r="CV31" s="331">
        <v>2584</v>
      </c>
      <c r="CW31" s="331">
        <v>16431</v>
      </c>
      <c r="CX31" s="331">
        <v>17368</v>
      </c>
      <c r="CY31" s="331">
        <v>16376</v>
      </c>
      <c r="CZ31" s="331">
        <v>107204455</v>
      </c>
      <c r="DA31" s="331">
        <v>2405</v>
      </c>
      <c r="DB31" s="331">
        <v>11</v>
      </c>
      <c r="DC31" s="331">
        <v>1</v>
      </c>
      <c r="DD31" s="331">
        <v>235261</v>
      </c>
      <c r="DE31" s="331">
        <v>0</v>
      </c>
      <c r="DF31" s="331">
        <v>2133</v>
      </c>
      <c r="DG31" s="331">
        <v>64</v>
      </c>
      <c r="DH31" s="331">
        <v>0</v>
      </c>
      <c r="DI31" s="331">
        <v>0</v>
      </c>
      <c r="DJ31" s="331">
        <v>1</v>
      </c>
      <c r="DK31" s="331">
        <v>8577</v>
      </c>
      <c r="DL31" s="331">
        <v>2145</v>
      </c>
      <c r="DM31" s="331">
        <v>163403124</v>
      </c>
      <c r="DN31" s="331">
        <v>526</v>
      </c>
      <c r="DO31" s="331">
        <v>1085672</v>
      </c>
      <c r="DP31" s="331">
        <v>161</v>
      </c>
      <c r="DQ31" s="331">
        <v>4106802</v>
      </c>
      <c r="DR31" s="331">
        <v>101950</v>
      </c>
      <c r="DS31" s="331">
        <v>8577</v>
      </c>
      <c r="DT31" s="331">
        <v>163403124</v>
      </c>
      <c r="DU31" s="331">
        <v>1085672</v>
      </c>
      <c r="DV31" s="331">
        <v>0</v>
      </c>
      <c r="DW31" s="331">
        <v>5962</v>
      </c>
      <c r="DX31" s="331">
        <v>114766471</v>
      </c>
      <c r="DY31" s="331">
        <v>2615</v>
      </c>
      <c r="DZ31" s="331">
        <v>48636653</v>
      </c>
      <c r="EA31" s="331">
        <v>2476442</v>
      </c>
      <c r="EB31" s="331">
        <v>1747040293.1420372</v>
      </c>
      <c r="EC31" s="331">
        <v>29125</v>
      </c>
      <c r="ED31" s="331">
        <v>12883</v>
      </c>
      <c r="EE31" s="331">
        <v>129215</v>
      </c>
      <c r="EF31" s="331">
        <v>424520</v>
      </c>
      <c r="EG31" s="331">
        <v>17090</v>
      </c>
      <c r="EH31" s="331">
        <v>1171783</v>
      </c>
      <c r="EI31" s="242"/>
      <c r="EJ31" s="331"/>
      <c r="EK31" s="331">
        <v>8359</v>
      </c>
      <c r="EL31" s="331">
        <v>6934</v>
      </c>
      <c r="EM31" s="331">
        <v>2785447</v>
      </c>
      <c r="EN31" s="331">
        <v>41781.705000000002</v>
      </c>
      <c r="EO31" s="331">
        <v>96102</v>
      </c>
      <c r="EP31" s="331">
        <v>65255</v>
      </c>
      <c r="EQ31" s="331">
        <v>23975749</v>
      </c>
      <c r="ER31" s="331">
        <v>359636.23499999999</v>
      </c>
      <c r="ES31" s="331">
        <v>104461</v>
      </c>
      <c r="ET31" s="331">
        <v>70689</v>
      </c>
      <c r="EU31" s="331">
        <v>26761196</v>
      </c>
      <c r="EV31" s="331">
        <v>401417.94</v>
      </c>
      <c r="EW31" s="331">
        <v>1072372</v>
      </c>
      <c r="EX31" s="331">
        <v>39344</v>
      </c>
      <c r="EY31" s="331">
        <v>203417422</v>
      </c>
      <c r="EZ31" s="331">
        <v>44029</v>
      </c>
      <c r="FA31" s="331">
        <v>21530</v>
      </c>
      <c r="FB31" s="331">
        <v>54616153</v>
      </c>
      <c r="FC31" s="331">
        <v>737318.06550000003</v>
      </c>
      <c r="FD31" s="331">
        <v>74</v>
      </c>
      <c r="FE31" s="331">
        <v>68</v>
      </c>
      <c r="FF31" s="331">
        <v>88995</v>
      </c>
    </row>
    <row r="32" spans="1:162" s="248" customFormat="1" ht="15" customHeight="1">
      <c r="A32" s="236">
        <v>45565</v>
      </c>
      <c r="B32" s="331">
        <v>9872</v>
      </c>
      <c r="C32" s="331">
        <v>15050</v>
      </c>
      <c r="D32" s="331">
        <v>15051</v>
      </c>
      <c r="E32" s="331">
        <v>769447</v>
      </c>
      <c r="F32" s="331">
        <v>310213</v>
      </c>
      <c r="G32" s="331">
        <v>3517050</v>
      </c>
      <c r="H32" s="331">
        <v>2500165</v>
      </c>
      <c r="I32" s="331">
        <v>1634240</v>
      </c>
      <c r="J32" s="331">
        <v>8948</v>
      </c>
      <c r="K32" s="331">
        <v>350</v>
      </c>
      <c r="L32" s="331">
        <v>211351</v>
      </c>
      <c r="M32" s="331">
        <v>176239</v>
      </c>
      <c r="N32" s="331">
        <v>148702</v>
      </c>
      <c r="O32" s="331">
        <v>1143026</v>
      </c>
      <c r="P32" s="331">
        <v>223732367</v>
      </c>
      <c r="Q32" s="331">
        <v>6588</v>
      </c>
      <c r="R32" s="331">
        <v>1041745</v>
      </c>
      <c r="S32" s="331">
        <v>9763271</v>
      </c>
      <c r="T32" s="331">
        <v>1</v>
      </c>
      <c r="U32" s="331">
        <v>143058</v>
      </c>
      <c r="V32" s="331">
        <v>41460</v>
      </c>
      <c r="W32" s="331">
        <v>116177</v>
      </c>
      <c r="X32" s="331">
        <v>992101398.25700426</v>
      </c>
      <c r="Y32" s="331">
        <v>3202878.0503194011</v>
      </c>
      <c r="Z32" s="331">
        <v>8004</v>
      </c>
      <c r="AA32" s="331">
        <v>0</v>
      </c>
      <c r="AB32" s="331">
        <v>350</v>
      </c>
      <c r="AC32" s="331">
        <v>0</v>
      </c>
      <c r="AD32" s="331">
        <v>493</v>
      </c>
      <c r="AE32" s="331">
        <v>0</v>
      </c>
      <c r="AF32" s="331">
        <v>0</v>
      </c>
      <c r="AG32" s="331">
        <v>0</v>
      </c>
      <c r="AH32" s="331">
        <v>116574</v>
      </c>
      <c r="AI32" s="331">
        <v>97562</v>
      </c>
      <c r="AJ32" s="331">
        <v>923456732.11341727</v>
      </c>
      <c r="AK32" s="331">
        <v>9398</v>
      </c>
      <c r="AL32" s="331">
        <v>8764544.8985992949</v>
      </c>
      <c r="AM32" s="331">
        <v>17369513</v>
      </c>
      <c r="AN32" s="331">
        <v>266184</v>
      </c>
      <c r="AO32" s="331">
        <v>16920</v>
      </c>
      <c r="AP32" s="331">
        <v>13231</v>
      </c>
      <c r="AQ32" s="331">
        <v>148406173</v>
      </c>
      <c r="AR32" s="331">
        <v>3186</v>
      </c>
      <c r="AS32" s="331">
        <v>994344</v>
      </c>
      <c r="AT32" s="331">
        <v>112</v>
      </c>
      <c r="AU32" s="331">
        <v>337</v>
      </c>
      <c r="AV32" s="331">
        <v>569360</v>
      </c>
      <c r="AW32" s="331">
        <v>316</v>
      </c>
      <c r="AX32" s="331">
        <v>30533</v>
      </c>
      <c r="AY32" s="331">
        <v>105</v>
      </c>
      <c r="AZ32" s="331">
        <v>80</v>
      </c>
      <c r="BA32" s="331">
        <v>4159606</v>
      </c>
      <c r="BB32" s="331">
        <v>37</v>
      </c>
      <c r="BC32" s="331">
        <v>31806</v>
      </c>
      <c r="BD32" s="331">
        <v>9741</v>
      </c>
      <c r="BE32" s="331">
        <v>3218</v>
      </c>
      <c r="BF32" s="331">
        <v>2209</v>
      </c>
      <c r="BG32" s="331">
        <v>59760561</v>
      </c>
      <c r="BH32" s="331">
        <v>8</v>
      </c>
      <c r="BI32" s="331">
        <v>0</v>
      </c>
      <c r="BJ32" s="331">
        <v>0</v>
      </c>
      <c r="BK32" s="331">
        <v>179</v>
      </c>
      <c r="BL32" s="331">
        <v>135</v>
      </c>
      <c r="BM32" s="331">
        <v>3803300</v>
      </c>
      <c r="BN32" s="331">
        <v>131</v>
      </c>
      <c r="BO32" s="331">
        <v>83272</v>
      </c>
      <c r="BP32" s="331">
        <v>33309</v>
      </c>
      <c r="BQ32" s="331">
        <v>38807</v>
      </c>
      <c r="BR32" s="331">
        <v>19306</v>
      </c>
      <c r="BS32" s="331">
        <v>48455945</v>
      </c>
      <c r="BT32" s="331">
        <v>0</v>
      </c>
      <c r="BU32" s="331">
        <v>654155.25749999995</v>
      </c>
      <c r="BV32" s="331">
        <v>28</v>
      </c>
      <c r="BW32" s="331">
        <v>27</v>
      </c>
      <c r="BX32" s="331">
        <v>2203783</v>
      </c>
      <c r="BY32" s="331">
        <v>0</v>
      </c>
      <c r="BZ32" s="331">
        <v>11019</v>
      </c>
      <c r="CA32" s="331">
        <v>0</v>
      </c>
      <c r="CB32" s="331">
        <v>0</v>
      </c>
      <c r="CC32" s="331">
        <v>0</v>
      </c>
      <c r="CD32" s="331">
        <v>0</v>
      </c>
      <c r="CE32" s="331">
        <v>0</v>
      </c>
      <c r="CF32" s="331">
        <v>0</v>
      </c>
      <c r="CG32" s="331">
        <v>0</v>
      </c>
      <c r="CH32" s="331">
        <v>0</v>
      </c>
      <c r="CI32" s="331">
        <v>0</v>
      </c>
      <c r="CJ32" s="331">
        <v>0</v>
      </c>
      <c r="CK32" s="331">
        <v>1119</v>
      </c>
      <c r="CL32" s="331">
        <v>23480198</v>
      </c>
      <c r="CM32" s="331">
        <v>0</v>
      </c>
      <c r="CN32" s="331">
        <v>0</v>
      </c>
      <c r="CO32" s="331">
        <v>97291</v>
      </c>
      <c r="CP32" s="331">
        <v>45409</v>
      </c>
      <c r="CQ32" s="331">
        <v>33662581</v>
      </c>
      <c r="CR32" s="331">
        <v>6786</v>
      </c>
      <c r="CS32" s="331">
        <v>10604</v>
      </c>
      <c r="CT32" s="331">
        <v>29376316</v>
      </c>
      <c r="CU32" s="331">
        <v>307836</v>
      </c>
      <c r="CV32" s="331">
        <v>3024</v>
      </c>
      <c r="CW32" s="331">
        <v>22130</v>
      </c>
      <c r="CX32" s="331">
        <v>19664</v>
      </c>
      <c r="CY32" s="331">
        <v>18144</v>
      </c>
      <c r="CZ32" s="331">
        <v>317885202</v>
      </c>
      <c r="DA32" s="331">
        <v>2797</v>
      </c>
      <c r="DB32" s="331">
        <v>28</v>
      </c>
      <c r="DC32" s="331">
        <v>3</v>
      </c>
      <c r="DD32" s="331">
        <v>497556</v>
      </c>
      <c r="DE32" s="331">
        <v>2</v>
      </c>
      <c r="DF32" s="331">
        <v>5337</v>
      </c>
      <c r="DG32" s="331">
        <v>161</v>
      </c>
      <c r="DH32" s="331">
        <v>0</v>
      </c>
      <c r="DI32" s="331">
        <v>0</v>
      </c>
      <c r="DJ32" s="331">
        <v>1</v>
      </c>
      <c r="DK32" s="331">
        <v>11274</v>
      </c>
      <c r="DL32" s="331">
        <v>3417</v>
      </c>
      <c r="DM32" s="331">
        <v>361214388</v>
      </c>
      <c r="DN32" s="331">
        <v>2271</v>
      </c>
      <c r="DO32" s="331">
        <v>2115294</v>
      </c>
      <c r="DP32" s="331">
        <v>1527</v>
      </c>
      <c r="DQ32" s="331">
        <v>67887786</v>
      </c>
      <c r="DR32" s="331">
        <v>1070228</v>
      </c>
      <c r="DS32" s="331">
        <v>11274</v>
      </c>
      <c r="DT32" s="331">
        <v>361214388</v>
      </c>
      <c r="DU32" s="331">
        <v>2115294</v>
      </c>
      <c r="DV32" s="331">
        <v>0</v>
      </c>
      <c r="DW32" s="331">
        <v>7422</v>
      </c>
      <c r="DX32" s="331">
        <v>237302340</v>
      </c>
      <c r="DY32" s="331">
        <v>3852</v>
      </c>
      <c r="DZ32" s="331">
        <v>123912048</v>
      </c>
      <c r="EA32" s="331">
        <v>2643753</v>
      </c>
      <c r="EB32" s="331">
        <v>3182528737.3704214</v>
      </c>
      <c r="EC32" s="331">
        <v>35710</v>
      </c>
      <c r="ED32" s="331">
        <v>567442</v>
      </c>
      <c r="EE32" s="331">
        <v>260131</v>
      </c>
      <c r="EF32" s="331">
        <v>307351</v>
      </c>
      <c r="EG32" s="331">
        <v>20973</v>
      </c>
      <c r="EH32" s="331">
        <v>1531515</v>
      </c>
      <c r="EI32" s="242"/>
      <c r="EJ32" s="331"/>
      <c r="EK32" s="331">
        <v>8566</v>
      </c>
      <c r="EL32" s="331">
        <v>7170</v>
      </c>
      <c r="EM32" s="331">
        <v>3090405</v>
      </c>
      <c r="EN32" s="331">
        <v>46356.074999999997</v>
      </c>
      <c r="EO32" s="331">
        <v>95184</v>
      </c>
      <c r="EP32" s="331">
        <v>64833</v>
      </c>
      <c r="EQ32" s="331">
        <v>25534851</v>
      </c>
      <c r="ER32" s="331">
        <v>383022.76500000001</v>
      </c>
      <c r="ES32" s="331">
        <v>103750</v>
      </c>
      <c r="ET32" s="331">
        <v>70364</v>
      </c>
      <c r="EU32" s="331">
        <v>28625256</v>
      </c>
      <c r="EV32" s="331">
        <v>429378.84</v>
      </c>
      <c r="EW32" s="331">
        <v>1136567</v>
      </c>
      <c r="EX32" s="331">
        <v>45409</v>
      </c>
      <c r="EY32" s="331">
        <v>228769692</v>
      </c>
      <c r="EZ32" s="331">
        <v>38807</v>
      </c>
      <c r="FA32" s="331">
        <v>19306</v>
      </c>
      <c r="FB32" s="331">
        <v>48455945</v>
      </c>
      <c r="FC32" s="331">
        <v>654155.25749999995</v>
      </c>
      <c r="FD32" s="331">
        <v>128</v>
      </c>
      <c r="FE32" s="331">
        <v>120</v>
      </c>
      <c r="FF32" s="331">
        <v>158493</v>
      </c>
    </row>
    <row r="33" spans="1:162" s="248" customFormat="1" ht="15" customHeight="1">
      <c r="A33" s="236"/>
      <c r="B33" s="331"/>
      <c r="C33" s="331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1"/>
      <c r="BB33" s="331"/>
      <c r="BC33" s="331"/>
      <c r="BD33" s="331"/>
      <c r="BE33" s="331"/>
      <c r="BF33" s="331"/>
      <c r="BG33" s="331"/>
      <c r="BH33" s="331"/>
      <c r="BI33" s="331"/>
      <c r="BJ33" s="331"/>
      <c r="BK33" s="331"/>
      <c r="BL33" s="331"/>
      <c r="BM33" s="331"/>
      <c r="BN33" s="331"/>
      <c r="BO33" s="331"/>
      <c r="BP33" s="331"/>
      <c r="BQ33" s="331"/>
      <c r="BR33" s="331"/>
      <c r="BS33" s="331"/>
      <c r="BT33" s="331"/>
      <c r="BU33" s="331"/>
      <c r="BV33" s="331"/>
      <c r="BW33" s="331"/>
      <c r="BX33" s="331"/>
      <c r="BY33" s="331"/>
      <c r="BZ33" s="331"/>
      <c r="CA33" s="331"/>
      <c r="CB33" s="331"/>
      <c r="CC33" s="331"/>
      <c r="CD33" s="331"/>
      <c r="CE33" s="331"/>
      <c r="CF33" s="331"/>
      <c r="CG33" s="331"/>
      <c r="CH33" s="331"/>
      <c r="CI33" s="331"/>
      <c r="CJ33" s="331"/>
      <c r="CK33" s="331"/>
      <c r="CL33" s="331"/>
      <c r="CM33" s="331"/>
      <c r="CN33" s="331"/>
      <c r="CO33" s="331"/>
      <c r="CP33" s="331"/>
      <c r="CQ33" s="331"/>
      <c r="CR33" s="331"/>
      <c r="CS33" s="331"/>
      <c r="CT33" s="331"/>
      <c r="CU33" s="331"/>
      <c r="CV33" s="331"/>
      <c r="CW33" s="331"/>
      <c r="CX33" s="331"/>
      <c r="CY33" s="331"/>
      <c r="CZ33" s="331"/>
      <c r="DA33" s="331"/>
      <c r="DB33" s="331"/>
      <c r="DC33" s="331"/>
      <c r="DD33" s="331"/>
      <c r="DE33" s="331"/>
      <c r="DF33" s="331"/>
      <c r="DG33" s="331"/>
      <c r="DH33" s="331"/>
      <c r="DI33" s="331"/>
      <c r="DJ33" s="331"/>
      <c r="DK33" s="331"/>
      <c r="DL33" s="331"/>
      <c r="DM33" s="331"/>
      <c r="DN33" s="331"/>
      <c r="DO33" s="331"/>
      <c r="DP33" s="331"/>
      <c r="DQ33" s="331"/>
      <c r="DR33" s="331"/>
      <c r="DS33" s="331"/>
      <c r="DT33" s="331"/>
      <c r="DU33" s="331"/>
      <c r="DV33" s="331"/>
      <c r="DW33" s="331"/>
      <c r="DX33" s="331"/>
      <c r="DY33" s="331"/>
      <c r="DZ33" s="331"/>
      <c r="EA33" s="331"/>
      <c r="EB33" s="331"/>
      <c r="EC33" s="331"/>
      <c r="ED33" s="331"/>
      <c r="EE33" s="331"/>
      <c r="EF33" s="331"/>
      <c r="EG33" s="331"/>
      <c r="EH33" s="331"/>
      <c r="EI33" s="332"/>
      <c r="EJ33" s="331"/>
      <c r="EK33" s="331"/>
      <c r="EL33" s="331"/>
      <c r="EM33" s="331"/>
      <c r="EN33" s="331"/>
      <c r="EO33" s="331"/>
      <c r="EP33" s="331"/>
      <c r="EQ33" s="331"/>
      <c r="ER33" s="331"/>
      <c r="ES33" s="331"/>
      <c r="ET33" s="331"/>
      <c r="EU33" s="331"/>
      <c r="EV33" s="331"/>
      <c r="EW33" s="331"/>
      <c r="EX33" s="331"/>
      <c r="EY33" s="331"/>
      <c r="EZ33" s="331"/>
      <c r="FA33" s="331"/>
      <c r="FB33" s="331"/>
      <c r="FC33" s="331"/>
      <c r="FD33" s="331"/>
      <c r="FE33" s="331"/>
      <c r="FF33" s="331"/>
    </row>
    <row r="34" spans="1:162" s="333" customFormat="1" ht="11" customHeight="1">
      <c r="A34" s="260" t="s">
        <v>1150</v>
      </c>
      <c r="B34" s="261"/>
      <c r="C34" s="262"/>
      <c r="D34" s="262"/>
      <c r="E34" s="262"/>
      <c r="F34" s="262"/>
      <c r="G34" s="263"/>
      <c r="H34" s="262"/>
      <c r="I34" s="262"/>
      <c r="J34" s="262"/>
      <c r="K34" s="262"/>
      <c r="L34" s="262"/>
      <c r="M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4">
        <v>1829</v>
      </c>
      <c r="AI34" s="264">
        <v>1427</v>
      </c>
      <c r="AJ34" s="264">
        <v>71227050</v>
      </c>
      <c r="AK34" s="262"/>
      <c r="AL34" s="262"/>
      <c r="AM34" s="264">
        <v>142700</v>
      </c>
      <c r="AN34" s="262"/>
      <c r="AO34" s="265">
        <v>1283</v>
      </c>
      <c r="AP34" s="265">
        <v>1283</v>
      </c>
      <c r="AQ34" s="265">
        <v>64150000</v>
      </c>
      <c r="AR34" s="262"/>
      <c r="AS34" s="265">
        <v>128300</v>
      </c>
      <c r="AT34" s="262" t="s">
        <v>580</v>
      </c>
      <c r="AU34" s="262" t="s">
        <v>580</v>
      </c>
      <c r="AV34" s="262"/>
      <c r="AW34" s="262"/>
      <c r="AX34" s="262"/>
      <c r="AY34" s="266">
        <v>51</v>
      </c>
      <c r="AZ34" s="262"/>
      <c r="BA34" s="266">
        <v>7148150</v>
      </c>
      <c r="BB34" s="262"/>
      <c r="BC34" s="266">
        <v>764068.99999993562</v>
      </c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7"/>
      <c r="CB34" s="262"/>
      <c r="CC34" s="267"/>
      <c r="CD34" s="262"/>
      <c r="CE34" s="262"/>
      <c r="CF34" s="262"/>
      <c r="CG34" s="262"/>
      <c r="CH34" s="262"/>
      <c r="CI34" s="262"/>
      <c r="CJ34" s="262"/>
      <c r="CK34" s="268">
        <v>610</v>
      </c>
      <c r="CL34" s="268">
        <v>24400000</v>
      </c>
      <c r="CM34" s="268"/>
      <c r="CO34" s="262"/>
      <c r="CP34" s="262"/>
      <c r="CQ34" s="262"/>
      <c r="CR34" s="262"/>
      <c r="CS34" s="262"/>
      <c r="CT34" s="262"/>
      <c r="CU34" s="262"/>
      <c r="CV34" s="262"/>
      <c r="CW34" s="262"/>
      <c r="CX34" s="267">
        <f>BQ38+CA38+CA34</f>
        <v>1280784</v>
      </c>
      <c r="CZ34" s="267">
        <f>BS38+CC38+CH38</f>
        <v>1629170879</v>
      </c>
      <c r="DA34" s="262"/>
      <c r="DB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D34" s="269">
        <f>CJ38+CE38+BU38</f>
        <v>21993806.866499998</v>
      </c>
      <c r="EE34" s="262"/>
      <c r="EF34" s="262"/>
      <c r="EG34" s="262"/>
      <c r="EH34" s="262"/>
      <c r="EI34" s="270">
        <f>SUM(AF34,AX34,AS34,DI34,CU34)+(DO34)+BC34+BJ34+AM34+EE34+BO34+EF34</f>
        <v>1035068.9999999356</v>
      </c>
      <c r="EJ34" s="270">
        <f>SUM(Y34,AE34,DF34)+BD34+AL34+CW34+EG34+BP34</f>
        <v>0</v>
      </c>
      <c r="EK34" s="271"/>
      <c r="EL34" s="333">
        <f>SUM(EL3:EL33)</f>
        <v>214034</v>
      </c>
      <c r="EM34" s="333">
        <f t="shared" ref="EM34:EN34" si="24">SUM(EM3:EM33)</f>
        <v>88654126</v>
      </c>
      <c r="EN34" s="333">
        <f t="shared" si="24"/>
        <v>1329811.8900000001</v>
      </c>
    </row>
    <row r="35" spans="1:162" s="333" customFormat="1" ht="13.5" customHeight="1">
      <c r="A35" s="260" t="s">
        <v>1151</v>
      </c>
      <c r="B35" s="261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72"/>
      <c r="AN35" s="262"/>
      <c r="AO35" s="273">
        <v>148594</v>
      </c>
      <c r="AP35" s="333">
        <v>34391</v>
      </c>
      <c r="AQ35" s="265">
        <v>2295942895</v>
      </c>
      <c r="AR35" s="262"/>
      <c r="AS35" s="272">
        <v>7429600</v>
      </c>
      <c r="AT35" s="262"/>
      <c r="AU35" s="262"/>
      <c r="AW35" s="262"/>
      <c r="AX35" s="262"/>
      <c r="AY35" s="262"/>
      <c r="AZ35" s="262"/>
      <c r="BA35" s="262"/>
      <c r="BB35" s="262"/>
      <c r="BC35" s="272">
        <v>597800</v>
      </c>
      <c r="BD35" s="262"/>
      <c r="BE35" s="262"/>
      <c r="BF35" s="262"/>
      <c r="BG35" s="262"/>
      <c r="BH35" s="262"/>
      <c r="BI35" s="272"/>
      <c r="BJ35" s="272">
        <f>3542683.74650005-'[3]Juil 24'!BJ36</f>
        <v>-264846.08285707934</v>
      </c>
      <c r="BK35" s="262"/>
      <c r="BL35" s="262"/>
      <c r="BM35" s="262"/>
      <c r="BN35" s="262"/>
      <c r="BO35" s="272"/>
      <c r="BP35" s="262"/>
      <c r="BQ35" s="262"/>
      <c r="BR35" s="262"/>
      <c r="BS35" s="262"/>
      <c r="BT35" s="262"/>
      <c r="BU35" s="272"/>
      <c r="BV35" s="262"/>
      <c r="BW35" s="262"/>
      <c r="BX35" s="262"/>
      <c r="BY35" s="262"/>
      <c r="BZ35" s="262"/>
      <c r="CA35" s="267"/>
      <c r="CB35" s="262"/>
      <c r="CC35" s="267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72">
        <v>432590</v>
      </c>
      <c r="CO35" s="262"/>
      <c r="CQ35" s="262"/>
      <c r="CR35" s="262"/>
      <c r="CS35" s="262"/>
      <c r="CT35" s="262"/>
      <c r="CU35" s="272">
        <v>211698</v>
      </c>
      <c r="CV35" s="262"/>
      <c r="CW35" s="262"/>
      <c r="CX35" s="267"/>
      <c r="CZ35" s="267"/>
      <c r="DA35" s="262"/>
      <c r="DB35" s="262"/>
      <c r="DE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334">
        <v>-1150</v>
      </c>
      <c r="DV35" s="262"/>
      <c r="DW35" s="262"/>
      <c r="DX35" s="262"/>
      <c r="DY35" s="262"/>
      <c r="DZ35" s="262"/>
      <c r="EA35" s="262"/>
      <c r="ED35" s="334">
        <v>340000</v>
      </c>
      <c r="EE35" s="334">
        <v>1100939</v>
      </c>
      <c r="EF35" s="262"/>
      <c r="EG35" s="262"/>
      <c r="EH35" s="262"/>
      <c r="EI35" s="270">
        <f>EE35+ED35+DU35+CU35+CN35+BO35+BJ35+BC35+AS35+AM35+ED36+BJ36+BI35+BU35</f>
        <v>12750614.732937591</v>
      </c>
      <c r="EJ35" s="270"/>
      <c r="EK35" s="274"/>
    </row>
    <row r="36" spans="1:162" s="333" customFormat="1">
      <c r="A36" s="260" t="s">
        <v>1152</v>
      </c>
      <c r="B36" s="261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75">
        <v>-749971</v>
      </c>
      <c r="Z36" s="276"/>
      <c r="AA36" s="262"/>
      <c r="AB36" s="262"/>
      <c r="AC36" s="262"/>
      <c r="AD36" s="262"/>
      <c r="AE36" s="276">
        <v>646110</v>
      </c>
      <c r="AF36" s="262"/>
      <c r="AG36" s="262"/>
      <c r="AH36" s="262"/>
      <c r="AI36" s="262"/>
      <c r="AJ36" s="262"/>
      <c r="AK36" s="262"/>
      <c r="AL36" s="275">
        <v>-539224</v>
      </c>
      <c r="AM36" s="277"/>
      <c r="AN36" s="262"/>
      <c r="AO36" s="262"/>
      <c r="AP36" s="262"/>
      <c r="AQ36" s="262"/>
      <c r="AR36" s="262"/>
      <c r="AS36" s="277"/>
      <c r="AT36" s="262"/>
      <c r="AU36" s="262"/>
      <c r="AW36" s="262"/>
      <c r="AX36" s="262"/>
      <c r="AY36" s="278"/>
      <c r="BC36" s="277"/>
      <c r="BD36" s="335"/>
      <c r="BE36" s="262"/>
      <c r="BF36" s="262"/>
      <c r="BG36" s="262"/>
      <c r="BH36" s="262"/>
      <c r="BI36" s="262"/>
      <c r="BJ36" s="272">
        <v>2903583.8157946714</v>
      </c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N36" s="335">
        <v>323372</v>
      </c>
      <c r="CO36" s="262"/>
      <c r="CP36" s="262"/>
      <c r="CQ36" s="262"/>
      <c r="CR36" s="262"/>
      <c r="CS36" s="262"/>
      <c r="CT36" s="262"/>
      <c r="CU36" s="262"/>
      <c r="CV36" s="262"/>
      <c r="CW36" s="335">
        <v>1583</v>
      </c>
      <c r="CX36" s="267">
        <v>4</v>
      </c>
      <c r="CY36" s="333">
        <v>4</v>
      </c>
      <c r="CZ36" s="267">
        <v>51250000</v>
      </c>
      <c r="DA36" s="279"/>
      <c r="DB36" s="262"/>
      <c r="DC36" s="262"/>
      <c r="DD36" s="262"/>
      <c r="DE36" s="262"/>
      <c r="DF36" s="276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335">
        <v>3590560</v>
      </c>
      <c r="DW36" s="262"/>
      <c r="DY36" s="262"/>
      <c r="DZ36" s="262"/>
      <c r="EA36" s="262"/>
      <c r="EB36" s="262"/>
      <c r="EC36" s="262"/>
      <c r="ED36" s="262">
        <v>400</v>
      </c>
      <c r="EE36" s="262"/>
      <c r="EF36" s="335"/>
      <c r="EG36" s="262"/>
      <c r="EH36" s="335"/>
      <c r="EI36" s="270" t="s">
        <v>580</v>
      </c>
      <c r="EJ36" s="270">
        <f>SUM(Y36,AE36,DF36)+BD36+AL36+CW36+EF36+BP36+DV36+Z36+CN36</f>
        <v>3272430</v>
      </c>
      <c r="EK36" s="271"/>
    </row>
    <row r="37" spans="1:162" s="333" customFormat="1">
      <c r="A37" s="280" t="s">
        <v>1153</v>
      </c>
      <c r="B37" s="281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7">
        <f>BV38</f>
        <v>872</v>
      </c>
      <c r="CZ37" s="267">
        <f>BX38</f>
        <v>51344971</v>
      </c>
      <c r="DA37" s="279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D37" s="268">
        <f>BZ38</f>
        <v>256725.77499999999</v>
      </c>
      <c r="EE37" s="262"/>
      <c r="EF37" s="262"/>
      <c r="EG37" s="262"/>
      <c r="EH37" s="262"/>
      <c r="EI37" s="270">
        <f>SUM(AF37,AX37,AS37,DI37,CN37,CU37)+(DO37)+BC37+BJ37+AM37+EE37+BO37+EC37</f>
        <v>0</v>
      </c>
      <c r="EJ37" s="270">
        <f>SUM(Y37,AE37,DF37)+BD37+AL37+CW37+EF37+BP37</f>
        <v>0</v>
      </c>
      <c r="EK37" s="271"/>
      <c r="EM37" s="333">
        <f>+EM36-EM34</f>
        <v>-88654126</v>
      </c>
    </row>
    <row r="38" spans="1:162" ht="12.5" thickBot="1">
      <c r="A38" s="282" t="s">
        <v>75</v>
      </c>
      <c r="B38" s="283">
        <f>SUM(B3:B33)</f>
        <v>231526</v>
      </c>
      <c r="C38" s="283">
        <f>SUM(C3:C33)</f>
        <v>376609</v>
      </c>
      <c r="D38" s="283">
        <f>SUM(D3:D33)</f>
        <v>376621</v>
      </c>
      <c r="E38" s="283"/>
      <c r="F38" s="283"/>
      <c r="G38" s="283"/>
      <c r="H38" s="283"/>
      <c r="I38" s="283"/>
      <c r="J38" s="283"/>
      <c r="K38" s="283">
        <f>SUM(K3:K33)</f>
        <v>9713</v>
      </c>
      <c r="L38" s="283"/>
      <c r="M38" s="283"/>
      <c r="N38" s="283"/>
      <c r="O38" s="283">
        <f>SUM(O3:O34)</f>
        <v>33268009</v>
      </c>
      <c r="P38" s="283">
        <f>SUM(P3:P33)</f>
        <v>6433248637</v>
      </c>
      <c r="Q38" s="283">
        <f>SUM(Q3:Q33)</f>
        <v>187621</v>
      </c>
      <c r="R38" s="283">
        <f>SUM(R3:R33)</f>
        <v>30208845</v>
      </c>
      <c r="S38" s="283">
        <f>SUM(S3:S33)</f>
        <v>279661247</v>
      </c>
      <c r="T38" s="283">
        <f>SUM(T3:T33)</f>
        <v>31</v>
      </c>
      <c r="U38" s="284">
        <f>SUM(U2:U33)</f>
        <v>4121547</v>
      </c>
      <c r="V38" s="284"/>
      <c r="W38" s="284">
        <f>SUM(W2:W33)</f>
        <v>3339872</v>
      </c>
      <c r="X38" s="284">
        <f>SUM(X2:X33)</f>
        <v>27183135622.914639</v>
      </c>
      <c r="Y38" s="284">
        <f>SUM(Y3:Y36)</f>
        <v>87296889.728341758</v>
      </c>
      <c r="Z38" s="284">
        <f>SUM(Z2:Z33)</f>
        <v>222670</v>
      </c>
      <c r="AA38" s="284">
        <f>SUM(AA2:AA33)</f>
        <v>0</v>
      </c>
      <c r="AB38" s="284"/>
      <c r="AC38" s="284">
        <f>SUM(AC2:AC33)</f>
        <v>0</v>
      </c>
      <c r="AD38" s="284">
        <f>SUM(AD2:AD33)</f>
        <v>13272</v>
      </c>
      <c r="AE38" s="284">
        <f>SUM(AE2:AE33)+AE36</f>
        <v>646110</v>
      </c>
      <c r="AF38" s="284">
        <f>SUM(AF2:AF33)</f>
        <v>0</v>
      </c>
      <c r="AG38" s="284"/>
      <c r="AH38" s="284">
        <f>SUM(AH3:AH34)</f>
        <v>3295528</v>
      </c>
      <c r="AI38" s="284"/>
      <c r="AJ38" s="284">
        <f>SUM(AJ2:AJ34)</f>
        <v>28277288340.994511</v>
      </c>
      <c r="AK38" s="284">
        <f>SUM(AK2:AK34)</f>
        <v>259065</v>
      </c>
      <c r="AL38" s="284">
        <f>SUM(AL2:AL36)</f>
        <v>270761380.87661928</v>
      </c>
      <c r="AM38" s="284">
        <f>SUM(AM3:AM35)</f>
        <v>536346722</v>
      </c>
      <c r="AN38" s="284"/>
      <c r="AO38" s="284">
        <f>SUM(AO2:AO35)</f>
        <v>651617</v>
      </c>
      <c r="AP38" s="284"/>
      <c r="AQ38" s="284">
        <f>SUM(AQ2:AQ35)</f>
        <v>6503563657</v>
      </c>
      <c r="AR38" s="284">
        <f>SUM(AR2:AR34)</f>
        <v>93318</v>
      </c>
      <c r="AS38" s="284">
        <f>SUM(AS3:AS35)</f>
        <v>36749166</v>
      </c>
      <c r="AT38" s="284">
        <f>SUM(AT3:AT33)</f>
        <v>3388</v>
      </c>
      <c r="AU38" s="284"/>
      <c r="AV38" s="284">
        <f>SUM(AV3:AV33)</f>
        <v>15959847</v>
      </c>
      <c r="AW38" s="284">
        <f>SUM(AW3:AW33)</f>
        <v>10218</v>
      </c>
      <c r="AX38" s="284">
        <f>SUM(AX3:AX33)</f>
        <v>906867</v>
      </c>
      <c r="AY38" s="284">
        <f>SUM(AY3:AY34)</f>
        <v>10753</v>
      </c>
      <c r="AZ38" s="284">
        <f>SUM(AZ3:AZ34)</f>
        <v>8059</v>
      </c>
      <c r="BA38" s="284">
        <f>SUM(BA3:BA34)</f>
        <v>402645939</v>
      </c>
      <c r="BB38" s="284">
        <f>SUM(BB3:BB34)</f>
        <v>3730</v>
      </c>
      <c r="BC38" s="284">
        <f>SUM(BC3:BC35)</f>
        <v>2108609.9999999357</v>
      </c>
      <c r="BD38" s="284">
        <f>SUM(BD3:BD33)</f>
        <v>225917</v>
      </c>
      <c r="BE38" s="284">
        <f>SUM(BE3:BE33)</f>
        <v>84351</v>
      </c>
      <c r="BF38" s="284"/>
      <c r="BG38" s="284">
        <f>SUM(BG3:BG33)</f>
        <v>1510446009</v>
      </c>
      <c r="BH38" s="284">
        <f>SUM(BH3:BH33)</f>
        <v>12390</v>
      </c>
      <c r="BI38" s="284">
        <f>SUM(BI3:BI33)</f>
        <v>0</v>
      </c>
      <c r="BJ38" s="284">
        <f>SUM(BJ3:BJ36)+BI35</f>
        <v>2638734.7329375921</v>
      </c>
      <c r="BK38" s="284">
        <f>SUM(BK3:BK33)</f>
        <v>4615</v>
      </c>
      <c r="BL38" s="284"/>
      <c r="BM38" s="284">
        <f>SUM(BM3:BM33)</f>
        <v>99741863</v>
      </c>
      <c r="BN38" s="284">
        <f>SUM(BN3:BN33)</f>
        <v>3195</v>
      </c>
      <c r="BO38" s="284">
        <f>SUM(BO3:BO35)</f>
        <v>2207366</v>
      </c>
      <c r="BP38" s="284">
        <f>SUM(BP3:BP33)</f>
        <v>882946</v>
      </c>
      <c r="BQ38" s="284">
        <f>SUM(BQ3:BQ33)</f>
        <v>1280784</v>
      </c>
      <c r="BR38" s="284"/>
      <c r="BS38" s="284">
        <f>SUM(BS3:BS33)</f>
        <v>1629170879</v>
      </c>
      <c r="BT38" s="284">
        <f>SUM(BT3:BT33)</f>
        <v>0</v>
      </c>
      <c r="BU38" s="284">
        <f>SUM(BU3:BU33)+BU35</f>
        <v>21993806.866499998</v>
      </c>
      <c r="BV38" s="284">
        <f>SUM(BV3:BV33)</f>
        <v>872</v>
      </c>
      <c r="BW38" s="284"/>
      <c r="BX38" s="284">
        <f>SUM(BX3:BX33)</f>
        <v>51344971</v>
      </c>
      <c r="BY38" s="284">
        <f>SUM(BY3:BY33)</f>
        <v>0</v>
      </c>
      <c r="BZ38" s="284">
        <f>SUM(BZ3:BZ33)</f>
        <v>256725.77499999999</v>
      </c>
      <c r="CA38" s="284">
        <f>SUM(CA3:CA33)</f>
        <v>0</v>
      </c>
      <c r="CB38" s="284"/>
      <c r="CC38" s="284">
        <f>SUM(CC3:CC33)</f>
        <v>0</v>
      </c>
      <c r="CD38" s="284">
        <f>SUM(CD3:CD33)</f>
        <v>0</v>
      </c>
      <c r="CE38" s="284">
        <f>SUM(CE3:CE33)</f>
        <v>0</v>
      </c>
      <c r="CF38" s="284">
        <f>SUM(CF3:CF33)</f>
        <v>0</v>
      </c>
      <c r="CG38" s="284"/>
      <c r="CH38" s="284">
        <f>SUM(CH3:CH33)</f>
        <v>0</v>
      </c>
      <c r="CI38" s="284">
        <f>SUM(CI3:CI33)</f>
        <v>0</v>
      </c>
      <c r="CJ38" s="284">
        <f>SUM(CJ3:CJ33)</f>
        <v>0</v>
      </c>
      <c r="CK38" s="284">
        <f>SUM(CK3:CK34)</f>
        <v>75012</v>
      </c>
      <c r="CL38" s="284">
        <f>SUM(CL3:CL34)</f>
        <v>1605193655</v>
      </c>
      <c r="CM38" s="284">
        <f>SUM(CM3:CM34)</f>
        <v>0</v>
      </c>
      <c r="CN38" s="284">
        <f>SUM(CN3:CN35)</f>
        <v>432590</v>
      </c>
      <c r="CO38" s="284">
        <f>SUM(CO3:CO33)</f>
        <v>2799889</v>
      </c>
      <c r="CP38" s="284"/>
      <c r="CQ38" s="284">
        <f>SUM(CQ3:CQ33)</f>
        <v>895144649</v>
      </c>
      <c r="CR38" s="284">
        <f>SUM(CR3:CR33)</f>
        <v>201081</v>
      </c>
      <c r="CS38" s="284">
        <f>SUM(CS3:CS33)</f>
        <v>285078</v>
      </c>
      <c r="CT38" s="284">
        <f>SUM(CT3:CT33)</f>
        <v>805552711</v>
      </c>
      <c r="CU38" s="284">
        <f>SUM(CU3:CU35)</f>
        <v>8787425</v>
      </c>
      <c r="CV38" s="284">
        <f>SUM(CV3:CV33)</f>
        <v>86984</v>
      </c>
      <c r="CW38" s="284">
        <f>SUM(CW3:CW33)+CW36</f>
        <v>603582</v>
      </c>
      <c r="CX38" s="284">
        <f>SUM(CX3:CX33)</f>
        <v>558567</v>
      </c>
      <c r="CY38" s="284"/>
      <c r="CZ38" s="284">
        <f>SUM(CZ3:CZ33)</f>
        <v>7108397568</v>
      </c>
      <c r="DA38" s="284">
        <f>SUM(DA3:DA33)</f>
        <v>77868</v>
      </c>
      <c r="DB38" s="284">
        <f>SUM(DB3:DB33)</f>
        <v>729</v>
      </c>
      <c r="DC38" s="284"/>
      <c r="DD38" s="284">
        <f>SUM(DD3:DD33)</f>
        <v>10126074</v>
      </c>
      <c r="DE38" s="284">
        <f>SUM(DE3:DE33)</f>
        <v>40</v>
      </c>
      <c r="DF38" s="284">
        <f>SUM(DF3:DF33)+DF36</f>
        <v>114406</v>
      </c>
      <c r="DG38" s="284">
        <f>SUM(DG3:DG33)</f>
        <v>3460</v>
      </c>
      <c r="DH38" s="284">
        <f>SUM(DH3:DH33)</f>
        <v>0</v>
      </c>
      <c r="DI38" s="284">
        <f>SUM(DI3:DI33)</f>
        <v>0</v>
      </c>
      <c r="DJ38" s="284">
        <f>SUM(DJ3:DJ33)</f>
        <v>29</v>
      </c>
      <c r="DK38" s="284">
        <f>SUM(DK3:DK33)</f>
        <v>323372</v>
      </c>
      <c r="DL38" s="284"/>
      <c r="DM38" s="284">
        <f t="shared" ref="DM38:DT38" si="25">SUM(DM3:DM33)</f>
        <v>9363761849</v>
      </c>
      <c r="DN38" s="284">
        <f t="shared" si="25"/>
        <v>32962</v>
      </c>
      <c r="DO38" s="284">
        <f t="shared" si="25"/>
        <v>58030033</v>
      </c>
      <c r="DP38" s="284">
        <f t="shared" si="25"/>
        <v>15098</v>
      </c>
      <c r="DQ38" s="284">
        <f t="shared" si="25"/>
        <v>630585186</v>
      </c>
      <c r="DR38" s="284">
        <f t="shared" si="25"/>
        <v>10750277</v>
      </c>
      <c r="DS38" s="284">
        <f t="shared" si="25"/>
        <v>323372</v>
      </c>
      <c r="DT38" s="284">
        <f t="shared" si="25"/>
        <v>9363761849</v>
      </c>
      <c r="DU38" s="284">
        <f>SUM(DU3:DU35)</f>
        <v>58028883</v>
      </c>
      <c r="DV38" s="284">
        <f>SUM(DV3:DV33)+DV36</f>
        <v>3590572</v>
      </c>
      <c r="DW38" s="284">
        <f t="shared" ref="DW38:EC38" si="26">SUM(DW3:DW33)</f>
        <v>209621</v>
      </c>
      <c r="DX38" s="284">
        <f>SUM(DX3:DX33)</f>
        <v>6230294864</v>
      </c>
      <c r="DY38" s="284">
        <f>SUM(DY3:DY33)</f>
        <v>113751</v>
      </c>
      <c r="DZ38" s="284">
        <f t="shared" si="26"/>
        <v>3133466985</v>
      </c>
      <c r="EA38" s="284">
        <f t="shared" si="26"/>
        <v>76820618</v>
      </c>
      <c r="EB38" s="284">
        <f t="shared" si="26"/>
        <v>89711515423.909149</v>
      </c>
      <c r="EC38" s="284">
        <f t="shared" si="26"/>
        <v>998960</v>
      </c>
      <c r="ED38" s="284">
        <f>SUM(ED3:ED33)+ED35</f>
        <v>24580045</v>
      </c>
      <c r="EE38" s="284">
        <f>SUM(EE3:EE33)+EE35</f>
        <v>9854247</v>
      </c>
      <c r="EF38" s="284">
        <f>SUM(EF3:EF33)</f>
        <v>13707643</v>
      </c>
      <c r="EG38" s="284">
        <f>SUM(EG3:EG33)</f>
        <v>758937</v>
      </c>
      <c r="EH38" s="284">
        <f>SUM(EH3:EH36)</f>
        <v>40400683</v>
      </c>
      <c r="EI38" s="284">
        <f>SUM(EI3:EI37)</f>
        <v>507543866.68743759</v>
      </c>
      <c r="EJ38" s="284">
        <f>SUM(EJ3:EJ37)</f>
        <v>266182749</v>
      </c>
      <c r="EK38" s="284">
        <f>SUM(EK3:EK33)</f>
        <v>256075</v>
      </c>
      <c r="EL38" s="284">
        <f>SUM(EL3:EL33)</f>
        <v>214034</v>
      </c>
      <c r="EM38" s="284">
        <f>SUM(EM3:EM33)</f>
        <v>88654126</v>
      </c>
      <c r="EN38" s="284"/>
      <c r="EO38" s="284"/>
      <c r="EP38" s="284"/>
      <c r="EQ38" s="284"/>
      <c r="ER38" s="284"/>
      <c r="ES38" s="284"/>
      <c r="ET38" s="284"/>
      <c r="EU38" s="284">
        <f>SUM(EU3:EU33)</f>
        <v>839154810</v>
      </c>
      <c r="EV38" s="284">
        <f>SUM(EV3:EV33)</f>
        <v>12587322.149999999</v>
      </c>
      <c r="EW38" s="284">
        <f t="shared" ref="EW38:FF38" si="27">SUM(EW3:EW33)</f>
        <v>32962378</v>
      </c>
      <c r="EX38" s="284">
        <f t="shared" si="27"/>
        <v>1311838</v>
      </c>
      <c r="EY38" s="284">
        <f>SUM(EY3:EY33)</f>
        <v>6489238476</v>
      </c>
      <c r="EZ38" s="284">
        <f t="shared" si="27"/>
        <v>1280784</v>
      </c>
      <c r="FA38" s="284">
        <f t="shared" si="27"/>
        <v>639511</v>
      </c>
      <c r="FB38" s="284">
        <f t="shared" si="27"/>
        <v>1629170879</v>
      </c>
      <c r="FC38" s="284">
        <f t="shared" si="27"/>
        <v>21993806.866499998</v>
      </c>
      <c r="FD38" s="284">
        <f t="shared" si="27"/>
        <v>3278</v>
      </c>
      <c r="FE38" s="284">
        <f t="shared" si="27"/>
        <v>3045</v>
      </c>
      <c r="FF38" s="284">
        <f t="shared" si="27"/>
        <v>3898889</v>
      </c>
    </row>
    <row r="39" spans="1:162" ht="12.5" thickBot="1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6">
        <f>AS38/1.18</f>
        <v>31143361.016949154</v>
      </c>
      <c r="AT39" s="285"/>
      <c r="AU39" s="285"/>
      <c r="AV39" s="285"/>
      <c r="AW39" s="285"/>
      <c r="AX39" s="287">
        <f>AX38/1.18</f>
        <v>768531.35593220347</v>
      </c>
      <c r="AY39" s="337">
        <v>27119</v>
      </c>
      <c r="BA39" s="337">
        <v>916561392</v>
      </c>
      <c r="BB39" s="285"/>
      <c r="BC39" s="286">
        <f>BC38/1.18</f>
        <v>1786957.6271185896</v>
      </c>
      <c r="BD39" s="285"/>
      <c r="BE39" s="285"/>
      <c r="BF39" s="285"/>
      <c r="BG39" s="285"/>
      <c r="BH39" s="285"/>
      <c r="BI39" s="285"/>
      <c r="BJ39" s="287">
        <f>BJ38/1.18</f>
        <v>2236215.875370841</v>
      </c>
      <c r="BK39" s="285"/>
      <c r="BL39" s="285"/>
      <c r="BM39" s="285"/>
      <c r="BN39" s="285"/>
      <c r="BO39" s="287">
        <f>BO38/1.18</f>
        <v>1870649.1525423729</v>
      </c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  <c r="CF39" s="285"/>
      <c r="CG39" s="285"/>
      <c r="CH39" s="285"/>
      <c r="CI39" s="285"/>
      <c r="CJ39" s="285"/>
      <c r="CK39" s="338" t="s">
        <v>1154</v>
      </c>
      <c r="CL39" s="339"/>
      <c r="CM39" s="285"/>
      <c r="CN39" s="287">
        <f>CN38/1.18</f>
        <v>366601.69491525425</v>
      </c>
      <c r="CO39" s="285"/>
      <c r="CP39" s="285"/>
      <c r="CR39" s="285"/>
      <c r="CS39" s="285"/>
      <c r="CT39" s="285"/>
      <c r="CU39" s="287">
        <f>CU38/1.18</f>
        <v>7446970.3389830515</v>
      </c>
      <c r="CV39" s="285"/>
      <c r="CW39" s="285"/>
      <c r="CX39" s="285"/>
      <c r="CY39" s="285"/>
      <c r="CZ39" s="285"/>
      <c r="DA39" s="285"/>
      <c r="DB39" s="285"/>
      <c r="DC39" s="285"/>
      <c r="DD39" s="285"/>
      <c r="DE39" s="285"/>
      <c r="DF39" s="285"/>
      <c r="DG39" s="285"/>
      <c r="DH39" s="285"/>
      <c r="DI39" s="285"/>
      <c r="DJ39" s="285"/>
      <c r="DK39" s="285"/>
      <c r="DL39" s="285"/>
      <c r="DM39" s="285"/>
      <c r="DN39" s="285"/>
      <c r="DO39" s="285"/>
      <c r="DP39" s="285"/>
      <c r="DQ39" s="285"/>
      <c r="DR39" s="285"/>
      <c r="DS39" s="285"/>
      <c r="DT39" s="288"/>
      <c r="DU39" s="287">
        <f>DU38/1.18</f>
        <v>49177019.491525427</v>
      </c>
      <c r="DV39" s="285"/>
      <c r="DW39" s="289">
        <f>DW38+BE38</f>
        <v>293972</v>
      </c>
      <c r="DX39" s="289">
        <f>DX38+BG38</f>
        <v>7740740873</v>
      </c>
      <c r="DY39" s="289">
        <f>DY38+BK38</f>
        <v>118366</v>
      </c>
      <c r="DZ39" s="290">
        <f>DZ38+BM38</f>
        <v>3233208848</v>
      </c>
      <c r="EA39" s="285"/>
      <c r="EB39" s="285"/>
      <c r="EC39" s="285"/>
      <c r="ED39" s="285"/>
      <c r="EE39" s="285"/>
      <c r="EF39" s="285"/>
      <c r="EG39" s="285"/>
      <c r="EH39" s="291"/>
      <c r="EI39" s="285"/>
      <c r="EJ39" s="292"/>
      <c r="EK39" s="292"/>
      <c r="EL39" s="292"/>
      <c r="EM39" s="292"/>
      <c r="EN39" s="292"/>
      <c r="EO39" s="292"/>
      <c r="EP39" s="292"/>
      <c r="EQ39" s="292"/>
      <c r="ER39" s="292"/>
      <c r="ES39" s="292"/>
      <c r="ET39" s="292"/>
      <c r="EU39" s="292">
        <f>EU38/22*31</f>
        <v>1182445414.090909</v>
      </c>
      <c r="EV39" s="292">
        <f>EV38/1.18</f>
        <v>10667222.161016949</v>
      </c>
      <c r="EW39" s="340">
        <f ca="1">(EI40/27)*EW42+EI40</f>
        <v>430121920.92155731</v>
      </c>
      <c r="FD39" s="292">
        <f>FD38/22*31</f>
        <v>4619</v>
      </c>
      <c r="FE39" s="292">
        <f>FE38/22*31</f>
        <v>4290.681818181818</v>
      </c>
      <c r="FF39" s="292">
        <f>FF38/1.18</f>
        <v>3304143.220338983</v>
      </c>
    </row>
    <row r="40" spans="1:162" ht="12.5" thickBot="1">
      <c r="A40" s="285"/>
      <c r="B40" s="285"/>
      <c r="C40" s="285"/>
      <c r="D40" s="285"/>
      <c r="E40" s="285"/>
      <c r="F40" s="285"/>
      <c r="G40" s="285"/>
      <c r="H40" s="293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94">
        <f>Y38+EF38</f>
        <v>101004532.72834176</v>
      </c>
      <c r="Z40" s="285"/>
      <c r="AA40" s="294">
        <f>AA38+AH38+DB38</f>
        <v>3296257</v>
      </c>
      <c r="AC40" s="294">
        <f>AC38+AJ38+DD38</f>
        <v>28287414414.994511</v>
      </c>
      <c r="AD40" s="294">
        <f>AD38+AK38+DE38</f>
        <v>272377</v>
      </c>
      <c r="AE40" s="294">
        <f>AE38+AL38+DF38</f>
        <v>271521896.87661928</v>
      </c>
      <c r="AF40" s="294">
        <f>AF38+AM38</f>
        <v>536346722</v>
      </c>
      <c r="AG40" s="294">
        <f>AG38+AN38+DG38</f>
        <v>3460</v>
      </c>
      <c r="AH40" s="341"/>
      <c r="AI40" s="341"/>
      <c r="AK40" s="285"/>
      <c r="AL40" s="285"/>
      <c r="AM40" s="285"/>
      <c r="AN40" s="285"/>
      <c r="AO40" s="294">
        <f>AO38+AT38</f>
        <v>655005</v>
      </c>
      <c r="AP40" s="294"/>
      <c r="AQ40" s="294">
        <f>AQ38+AV38</f>
        <v>6519523504</v>
      </c>
      <c r="AR40" s="294">
        <f>AR38+AW38</f>
        <v>103536</v>
      </c>
      <c r="AS40" s="295">
        <f>AS38+AX38</f>
        <v>37656033</v>
      </c>
      <c r="AT40" s="285"/>
      <c r="AU40" s="285"/>
      <c r="AV40" s="285"/>
      <c r="AW40" s="285"/>
      <c r="AX40" s="285"/>
      <c r="AY40" s="296">
        <v>44140</v>
      </c>
      <c r="AZ40" s="342"/>
      <c r="BA40" s="297">
        <v>287331000</v>
      </c>
      <c r="BB40" s="298"/>
      <c r="BC40" s="299">
        <f>EE38</f>
        <v>9854247</v>
      </c>
      <c r="BD40" s="285"/>
      <c r="BE40" s="294">
        <f>BE38+BK38</f>
        <v>88966</v>
      </c>
      <c r="BF40" s="294"/>
      <c r="BG40" s="294">
        <f>BG38+BM38</f>
        <v>1610187872</v>
      </c>
      <c r="BH40" s="294"/>
      <c r="BI40" s="294">
        <f>BJ38+BO38</f>
        <v>4846100.7329375921</v>
      </c>
      <c r="BK40" s="285"/>
      <c r="BL40" s="285"/>
      <c r="BN40" s="285"/>
      <c r="BO40" s="285"/>
      <c r="BP40" s="294">
        <f>BP38</f>
        <v>882946</v>
      </c>
      <c r="BQ40" s="285"/>
      <c r="BR40" s="285"/>
      <c r="BS40" s="285"/>
      <c r="BT40" s="285"/>
      <c r="BU40" s="285"/>
      <c r="BV40" s="285"/>
      <c r="BW40" s="285"/>
      <c r="BX40" s="285"/>
      <c r="BY40" s="285"/>
      <c r="BZ40" s="285"/>
      <c r="CA40" s="285"/>
      <c r="CB40" s="285"/>
      <c r="CC40" s="285"/>
      <c r="CD40" s="285"/>
      <c r="CE40" s="285"/>
      <c r="CF40" s="285"/>
      <c r="CG40" s="285"/>
      <c r="CH40" s="285"/>
      <c r="CI40" s="285"/>
      <c r="CJ40" s="285"/>
      <c r="CK40" s="343"/>
      <c r="CL40" s="344"/>
      <c r="CN40" s="285"/>
      <c r="CO40" s="267">
        <f>CO38+O38</f>
        <v>36067898</v>
      </c>
      <c r="CP40" s="285"/>
      <c r="CQ40" s="267">
        <f>CQ38+P38</f>
        <v>7328393286</v>
      </c>
      <c r="CR40" s="285"/>
      <c r="CT40" s="285"/>
      <c r="CU40" s="285"/>
      <c r="CV40" s="285"/>
      <c r="CW40" s="285"/>
      <c r="CX40" s="287">
        <f>CX38+CX34+CX36+CX37</f>
        <v>1840227</v>
      </c>
      <c r="CY40" s="285"/>
      <c r="CZ40" s="287">
        <f>CZ38+CZ34+CZ36+CZ37</f>
        <v>8840163418</v>
      </c>
      <c r="DA40" s="285"/>
      <c r="DB40" s="285"/>
      <c r="DC40" s="285"/>
      <c r="DD40" s="285"/>
      <c r="DE40" s="285"/>
      <c r="DF40" s="300"/>
      <c r="DG40" s="285"/>
      <c r="DH40" s="285"/>
      <c r="DI40" s="285"/>
      <c r="DJ40" s="285"/>
      <c r="DK40" s="293"/>
      <c r="DL40" s="293"/>
      <c r="DM40" s="293"/>
      <c r="DN40" s="293"/>
      <c r="DO40" s="293"/>
      <c r="DP40" s="285"/>
      <c r="DQ40" s="285"/>
      <c r="DR40" s="285"/>
      <c r="DS40" s="285"/>
      <c r="DT40" s="301"/>
      <c r="DU40" s="285"/>
      <c r="DV40" s="285"/>
      <c r="DW40" s="285"/>
      <c r="DX40" s="285"/>
      <c r="DY40" s="285"/>
      <c r="DZ40" s="345"/>
      <c r="EC40" s="285"/>
      <c r="ED40" s="302">
        <f>(ED38+ED34+ED36)+ED37</f>
        <v>46830977.641499996</v>
      </c>
      <c r="EE40" s="293">
        <f>EE38/1.18</f>
        <v>8351056.7796610175</v>
      </c>
      <c r="EG40" s="285"/>
      <c r="EH40" s="303" t="s">
        <v>1155</v>
      </c>
      <c r="EI40" s="304">
        <f>EI38/1.18</f>
        <v>430121920.92155731</v>
      </c>
      <c r="EJ40" s="305">
        <f>EJ38/EI38</f>
        <v>0.52445269556163154</v>
      </c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46">
        <f ca="1">IF(EW44&lt;=EW43,(14000000-ED34),0)</f>
        <v>0</v>
      </c>
    </row>
    <row r="41" spans="1:162">
      <c r="A41" s="285"/>
      <c r="B41" s="285"/>
      <c r="C41" s="285"/>
      <c r="D41" s="285"/>
      <c r="H41" s="293"/>
      <c r="M41" s="341"/>
      <c r="O41" s="285"/>
      <c r="P41" s="285"/>
      <c r="Q41" s="285"/>
      <c r="T41" s="285"/>
      <c r="U41" s="285"/>
      <c r="V41" s="285"/>
      <c r="W41" s="285"/>
      <c r="X41" s="285"/>
      <c r="Y41" s="285"/>
      <c r="Z41" s="285"/>
      <c r="AA41" s="294">
        <f>AA38+AH38</f>
        <v>3295528</v>
      </c>
      <c r="AC41" s="294">
        <f>AC38+AJ38</f>
        <v>28277288340.994511</v>
      </c>
      <c r="AD41" s="285"/>
      <c r="AE41" s="285"/>
      <c r="AF41" s="287">
        <f>AF40/1.18</f>
        <v>454531120.33898306</v>
      </c>
      <c r="AG41" s="285"/>
      <c r="AH41" s="285"/>
      <c r="AI41" s="285"/>
      <c r="AK41" s="293"/>
      <c r="AL41" s="285"/>
      <c r="AM41" s="285"/>
      <c r="AN41" s="285"/>
      <c r="AO41" s="285"/>
      <c r="AP41" s="285"/>
      <c r="AQ41" s="285"/>
      <c r="AR41" s="285"/>
      <c r="AS41" s="286">
        <f>AS40/1.18</f>
        <v>31911892.372881357</v>
      </c>
      <c r="AT41" s="285"/>
      <c r="AV41" s="285"/>
      <c r="AW41" s="285"/>
      <c r="AX41" s="285"/>
      <c r="BB41" s="285"/>
      <c r="BC41" s="308">
        <f>BC38+BC40</f>
        <v>11962856.999999937</v>
      </c>
      <c r="BD41" s="285"/>
      <c r="BE41" s="285"/>
      <c r="BF41" s="285"/>
      <c r="BG41" s="285"/>
      <c r="BH41" s="285"/>
      <c r="BI41" s="287">
        <f>BI40/1.18</f>
        <v>4106865.0279132137</v>
      </c>
      <c r="BK41" s="285"/>
      <c r="BL41" s="285"/>
      <c r="BN41" s="285"/>
      <c r="BO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  <c r="CH41" s="293">
        <f>CH38+CC38+BS38</f>
        <v>1629170879</v>
      </c>
      <c r="CI41" s="285"/>
      <c r="CJ41" s="293">
        <f>(CJ38+CE38+BU38)/1.18</f>
        <v>18638819.378389828</v>
      </c>
      <c r="CN41" s="285"/>
      <c r="CO41" s="285"/>
      <c r="CP41" s="285"/>
      <c r="CQ41" s="285"/>
      <c r="CR41" s="285"/>
      <c r="CT41" s="285"/>
      <c r="CU41" s="285"/>
      <c r="CV41" s="285"/>
      <c r="CW41" s="285"/>
      <c r="CX41" s="285"/>
      <c r="CY41" s="285"/>
      <c r="CZ41" s="285"/>
      <c r="DA41" s="285"/>
      <c r="DB41" s="285"/>
      <c r="DC41" s="285"/>
      <c r="DD41" s="285"/>
      <c r="DE41" s="285"/>
      <c r="DF41" s="285"/>
      <c r="DG41" s="285"/>
      <c r="DH41" s="285"/>
      <c r="DI41" s="285"/>
      <c r="DJ41" s="285"/>
      <c r="DK41" s="285"/>
      <c r="DL41" s="285"/>
      <c r="DM41" s="285"/>
      <c r="DN41" s="285"/>
      <c r="DO41" s="287">
        <f>DO40/1.18</f>
        <v>0</v>
      </c>
      <c r="DP41" s="285"/>
      <c r="DQ41" s="285"/>
      <c r="DR41" s="285"/>
      <c r="DS41" s="285"/>
      <c r="DT41" s="301">
        <f>DT38+BG40</f>
        <v>10973949721</v>
      </c>
      <c r="DU41" s="287">
        <f>DU39+BI41</f>
        <v>53283884.519438639</v>
      </c>
      <c r="DV41" s="293">
        <f>BP38</f>
        <v>882946</v>
      </c>
      <c r="DW41" s="285"/>
      <c r="DX41" s="285"/>
      <c r="DY41" s="347">
        <f>DY39+BE38</f>
        <v>202717</v>
      </c>
      <c r="DZ41" s="347">
        <f>DZ39+BG38</f>
        <v>4743654857</v>
      </c>
      <c r="EA41" s="285"/>
      <c r="EB41" s="293"/>
      <c r="EC41" s="285"/>
      <c r="ED41" s="309">
        <f>ED40/1.18</f>
        <v>39687269.187711865</v>
      </c>
      <c r="EE41" s="341"/>
      <c r="EF41" s="341"/>
      <c r="EG41" s="285"/>
      <c r="EH41" s="291"/>
      <c r="EI41" s="348"/>
      <c r="EJ41" s="291"/>
      <c r="EK41" s="291"/>
      <c r="EL41" s="306"/>
      <c r="EM41" s="306"/>
      <c r="EN41" s="306"/>
      <c r="EO41" s="291"/>
      <c r="EP41" s="291"/>
      <c r="EQ41" s="291"/>
      <c r="ER41" s="291"/>
      <c r="ES41" s="291"/>
      <c r="ET41" s="291"/>
      <c r="EU41" s="291"/>
      <c r="EV41" s="291"/>
      <c r="EW41" s="340">
        <f ca="1">EW39+EW40</f>
        <v>430121920.92155731</v>
      </c>
    </row>
    <row r="42" spans="1:162">
      <c r="A42" s="285"/>
      <c r="B42" s="285"/>
      <c r="C42" s="285"/>
      <c r="D42" s="285"/>
      <c r="H42" s="293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341">
        <f>SUM(Y3:Y33)</f>
        <v>88046860.728341758</v>
      </c>
      <c r="Z42" s="285"/>
      <c r="AA42" s="285"/>
      <c r="AB42" s="285"/>
      <c r="AD42" s="285"/>
      <c r="AE42" s="293">
        <f>AE40+AL36</f>
        <v>270982672.87661928</v>
      </c>
      <c r="AF42" s="293"/>
      <c r="AG42" s="285"/>
      <c r="AI42" s="285"/>
      <c r="AK42" s="285"/>
      <c r="AL42" s="285"/>
      <c r="AM42" s="285"/>
      <c r="AN42" s="285"/>
      <c r="AO42" s="285"/>
      <c r="AP42" s="285"/>
      <c r="AQ42" s="285"/>
      <c r="AR42" s="285"/>
      <c r="AS42" s="310">
        <f>(SUM(AS3:AS33)+AS35)</f>
        <v>36620866</v>
      </c>
      <c r="AT42" s="285"/>
      <c r="AV42" s="285"/>
      <c r="AW42" s="285"/>
      <c r="AX42" s="285"/>
      <c r="AY42" s="295">
        <f>AY38+AY39+AY40</f>
        <v>82012</v>
      </c>
      <c r="BA42" s="294">
        <f>BA38+BA39+BA40</f>
        <v>1606538331</v>
      </c>
      <c r="BB42" s="285"/>
      <c r="BC42" s="286">
        <f>BC41/1.18</f>
        <v>10138014.406779608</v>
      </c>
      <c r="BD42" s="285"/>
      <c r="BE42" s="285"/>
      <c r="BF42" s="285"/>
      <c r="BG42" s="285"/>
      <c r="BH42" s="285"/>
      <c r="BI42" s="285"/>
      <c r="BJ42" s="285"/>
      <c r="BK42" s="285"/>
      <c r="BL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CH42" s="285"/>
      <c r="CI42" s="285"/>
      <c r="CJ42" s="285"/>
      <c r="CK42" s="341">
        <f>CK38-CK40</f>
        <v>75012</v>
      </c>
      <c r="CL42" s="341">
        <f>CL38-CL40</f>
        <v>1605193655</v>
      </c>
      <c r="CR42" s="285"/>
      <c r="CS42" s="285"/>
      <c r="CT42" s="285"/>
      <c r="CU42" s="311"/>
      <c r="CV42" s="285"/>
      <c r="CW42" s="285"/>
      <c r="CX42" s="312">
        <f>CX38+CX34+CX36+CX37</f>
        <v>1840227</v>
      </c>
      <c r="CY42" s="285"/>
      <c r="CZ42" s="312">
        <f>CZ38+CZ34+CZ36+CZ37</f>
        <v>8840163418</v>
      </c>
      <c r="DA42" s="285"/>
      <c r="DB42" s="285"/>
      <c r="DC42" s="285"/>
      <c r="DD42" s="285"/>
      <c r="DE42" s="285"/>
      <c r="DF42" s="285"/>
      <c r="DG42" s="285"/>
      <c r="DH42" s="285"/>
      <c r="DI42" s="285"/>
      <c r="DJ42" s="285"/>
      <c r="DK42" s="285"/>
      <c r="DL42" s="285"/>
      <c r="DM42" s="285"/>
      <c r="DN42" s="285"/>
      <c r="DO42" s="285"/>
      <c r="DP42" s="285"/>
      <c r="DQ42" s="313"/>
      <c r="DR42" s="313"/>
      <c r="DT42" s="285"/>
      <c r="DU42" s="285"/>
      <c r="DV42" s="285"/>
      <c r="DW42" s="285"/>
      <c r="DX42" s="285"/>
      <c r="DY42" s="285"/>
      <c r="DZ42" s="285"/>
      <c r="EA42" s="285"/>
      <c r="EB42" s="293"/>
      <c r="EC42" s="285"/>
      <c r="ED42" s="314">
        <f>(SUM(ED3:ED33)+ED35+ED37)/1.18</f>
        <v>21048110.826271188</v>
      </c>
      <c r="EE42" s="285"/>
      <c r="EG42" s="285"/>
      <c r="EH42" s="336" t="s">
        <v>1156</v>
      </c>
      <c r="EI42" s="348">
        <v>71276470.254237294</v>
      </c>
      <c r="EL42" s="306"/>
      <c r="EM42" s="306"/>
      <c r="EN42" s="306"/>
      <c r="EW42" s="349">
        <f ca="1">IF(EW44&lt;=EW43,(EW43-EW44),0)</f>
        <v>0</v>
      </c>
    </row>
    <row r="43" spans="1:162" ht="12.5" thickBot="1">
      <c r="A43" s="285"/>
      <c r="B43" s="285"/>
      <c r="C43" s="285"/>
      <c r="D43" s="285"/>
      <c r="H43" s="293"/>
      <c r="O43" s="285"/>
      <c r="P43" s="285"/>
      <c r="Q43" s="285"/>
      <c r="S43" s="341">
        <f>S38+EH38</f>
        <v>320061930</v>
      </c>
      <c r="T43" s="285"/>
      <c r="U43" s="285"/>
      <c r="V43" s="285"/>
      <c r="X43" s="285"/>
      <c r="Y43" s="293">
        <f>Y40-Y36</f>
        <v>101754503.72834176</v>
      </c>
      <c r="Z43" s="285"/>
      <c r="AA43" s="350"/>
      <c r="AB43" s="333"/>
      <c r="AD43" s="293"/>
      <c r="AE43" s="293"/>
      <c r="AF43" s="285"/>
      <c r="AG43" s="285"/>
      <c r="AH43" s="341">
        <f>AH38-AH34</f>
        <v>3293699</v>
      </c>
      <c r="AI43" s="285"/>
      <c r="AJ43" s="341">
        <f>AJ38-AJ34</f>
        <v>28206061290.994511</v>
      </c>
      <c r="AL43" s="341">
        <f>SUM(AL3:AL33)</f>
        <v>271300604.87661928</v>
      </c>
      <c r="AM43" s="341">
        <f>+SUM(AM3:AM33)</f>
        <v>536204022</v>
      </c>
      <c r="AO43" s="341">
        <f>SUM(AO3:AO33)+AO35</f>
        <v>650334</v>
      </c>
      <c r="AP43" s="285"/>
      <c r="AQ43" s="341">
        <f>SUM(AQ3:AQ33)+AQ35</f>
        <v>6439413657</v>
      </c>
      <c r="AS43" s="341">
        <f>(SUM(AS3:AS33)+AS35)/1.18</f>
        <v>31034632.203389831</v>
      </c>
      <c r="AT43" s="341"/>
      <c r="AU43" s="285"/>
      <c r="AV43" s="341"/>
      <c r="AW43" s="285"/>
      <c r="AX43" s="285"/>
      <c r="AY43" s="315"/>
      <c r="AZ43" s="285"/>
      <c r="BA43" s="285"/>
      <c r="BB43" s="285"/>
      <c r="BC43" s="285"/>
      <c r="BD43" s="285"/>
      <c r="BE43" s="285"/>
      <c r="BF43" s="285"/>
      <c r="BG43" s="341"/>
      <c r="BH43" s="285"/>
      <c r="BI43" s="285"/>
      <c r="BJ43" s="285"/>
      <c r="BK43" s="293"/>
      <c r="BL43" s="285"/>
      <c r="BN43" s="285"/>
      <c r="BP43" s="285"/>
      <c r="BQ43" s="285"/>
      <c r="BR43" s="285"/>
      <c r="BS43" s="285"/>
      <c r="BT43" s="285"/>
      <c r="BU43" s="285"/>
      <c r="BV43" s="285"/>
      <c r="BW43" s="285"/>
      <c r="BX43" s="285"/>
      <c r="BY43" s="285"/>
      <c r="BZ43" s="285"/>
      <c r="CA43" s="285"/>
      <c r="CB43" s="285"/>
      <c r="CC43" s="285"/>
      <c r="CD43" s="285"/>
      <c r="CE43" s="285"/>
      <c r="CF43" s="285"/>
      <c r="CG43" s="285"/>
      <c r="CH43" s="285"/>
      <c r="CI43" s="285"/>
      <c r="CJ43" s="285"/>
      <c r="CR43" s="285"/>
      <c r="CS43" s="285"/>
      <c r="CT43" s="285"/>
      <c r="CU43" s="311"/>
      <c r="CV43" s="285"/>
      <c r="CW43" s="285"/>
      <c r="CX43" s="315"/>
      <c r="CY43" s="285"/>
      <c r="CZ43" s="287"/>
      <c r="DA43" s="285"/>
      <c r="DB43" s="285"/>
      <c r="DC43" s="285"/>
      <c r="DD43" s="285"/>
      <c r="DE43" s="285"/>
      <c r="DF43" s="285"/>
      <c r="DG43" s="285"/>
      <c r="DH43" s="285"/>
      <c r="DI43" s="285"/>
      <c r="DJ43" s="285"/>
      <c r="DK43" s="285"/>
      <c r="DL43" s="285"/>
      <c r="DM43" s="285"/>
      <c r="DN43" s="285"/>
      <c r="DO43" s="285"/>
      <c r="DP43" s="285"/>
      <c r="DQ43" s="285"/>
      <c r="DR43" s="285"/>
      <c r="DT43" s="285"/>
      <c r="DU43" s="285"/>
      <c r="DV43" s="285"/>
      <c r="DW43" s="293">
        <f>+DW38+DY38</f>
        <v>323372</v>
      </c>
      <c r="DX43" s="293">
        <f>+DX38+DZ38</f>
        <v>9363761849</v>
      </c>
      <c r="DY43" s="285"/>
      <c r="DZ43" s="293"/>
      <c r="EA43" s="293"/>
      <c r="EB43" s="293"/>
      <c r="EC43" s="293"/>
      <c r="ED43" s="293">
        <f>ED38+ED34+ED36+ED37</f>
        <v>46830977.641499996</v>
      </c>
      <c r="EE43" s="285"/>
      <c r="EG43" s="285"/>
      <c r="EI43" s="348"/>
      <c r="EL43" s="306"/>
      <c r="EM43" s="306"/>
      <c r="EN43" s="306"/>
      <c r="EW43" s="351">
        <v>44592</v>
      </c>
    </row>
    <row r="44" spans="1:162" ht="17.5" customHeight="1" thickBot="1">
      <c r="D44" s="285"/>
      <c r="W44" s="288"/>
      <c r="Y44" s="341"/>
      <c r="AL44" s="341"/>
      <c r="AM44" s="341"/>
      <c r="BC44" s="341">
        <f>SUM(BC3:BC33)</f>
        <v>746741</v>
      </c>
      <c r="BD44" s="341"/>
      <c r="BK44" s="341"/>
      <c r="DZ44" s="293"/>
      <c r="EA44" s="293"/>
      <c r="EB44" s="293"/>
      <c r="EC44" s="293"/>
      <c r="ED44" s="293"/>
      <c r="EE44" s="306"/>
      <c r="EH44" s="316" t="s">
        <v>1157</v>
      </c>
      <c r="EI44" s="352">
        <f>EI40-EI42</f>
        <v>358845450.66732001</v>
      </c>
      <c r="EL44" s="306"/>
      <c r="EM44" s="306"/>
      <c r="EN44" s="306"/>
      <c r="EW44" s="351">
        <f ca="1">TODAY()-1</f>
        <v>45722</v>
      </c>
    </row>
    <row r="45" spans="1:162">
      <c r="D45" s="285"/>
      <c r="U45" s="353"/>
      <c r="V45" s="353"/>
      <c r="W45" s="353"/>
      <c r="Z45" s="353"/>
      <c r="AA45" s="353"/>
      <c r="AO45" s="341"/>
      <c r="AQ45" s="262"/>
      <c r="AY45" s="354">
        <f>AY39+AY38</f>
        <v>37872</v>
      </c>
      <c r="BA45" s="354">
        <f>BA39+BA38</f>
        <v>1319207331</v>
      </c>
      <c r="BC45" s="341">
        <f>BC35+BC34</f>
        <v>1361868.9999999357</v>
      </c>
      <c r="CK45" s="341"/>
      <c r="CL45" s="341"/>
      <c r="CY45" s="285"/>
      <c r="CZ45" s="333">
        <f>+CZ38+CZ37</f>
        <v>7159742539</v>
      </c>
      <c r="DZ45" s="293"/>
      <c r="EA45" s="293"/>
      <c r="EB45" s="293"/>
      <c r="EC45" s="293"/>
      <c r="ED45" s="293">
        <f>(ED36+ED38+ED37)/1.18</f>
        <v>21048449.809322033</v>
      </c>
      <c r="EI45" s="355"/>
      <c r="EL45" s="306"/>
      <c r="EM45" s="306"/>
      <c r="EN45" s="306"/>
    </row>
    <row r="46" spans="1:162" ht="15" hidden="1" customHeight="1">
      <c r="D46" s="285"/>
      <c r="F46" s="317">
        <f>+A4</f>
        <v>45537</v>
      </c>
      <c r="G46" s="318">
        <f>G4/G3-1</f>
        <v>1.3566154039605927E-3</v>
      </c>
      <c r="H46" s="318">
        <f>H4/H3-1</f>
        <v>-2.12482296377281E-3</v>
      </c>
      <c r="I46" s="318">
        <f>I4/I3-1</f>
        <v>1.9839562203594063E-3</v>
      </c>
      <c r="J46" s="356"/>
      <c r="K46" s="317">
        <f>F46</f>
        <v>45537</v>
      </c>
      <c r="L46" s="318">
        <f>L4/L3-1</f>
        <v>1.3576298799251596E-3</v>
      </c>
      <c r="M46" s="318">
        <f>M4/M3-1</f>
        <v>1.5846558362286878E-3</v>
      </c>
      <c r="N46" s="318">
        <f>N4/N3-1</f>
        <v>3.024845943892629E-3</v>
      </c>
      <c r="AY46" s="336"/>
      <c r="CY46" s="285"/>
      <c r="DZ46" s="293"/>
      <c r="EA46" s="293"/>
      <c r="EB46" s="293"/>
      <c r="EC46" s="293"/>
      <c r="ED46" s="293"/>
      <c r="EI46" s="355"/>
      <c r="EL46" s="306"/>
      <c r="EM46" s="306"/>
      <c r="EN46" s="306"/>
    </row>
    <row r="47" spans="1:162" ht="14.5" hidden="1">
      <c r="D47" s="285"/>
      <c r="F47" s="317">
        <f t="shared" ref="F47:F64" si="28">+A5</f>
        <v>45538</v>
      </c>
      <c r="G47" s="318">
        <f t="shared" ref="G47:I62" si="29">G5/G4-1</f>
        <v>1.2745991895506403E-3</v>
      </c>
      <c r="H47" s="318">
        <f t="shared" si="29"/>
        <v>-3.1409139347563508E-3</v>
      </c>
      <c r="I47" s="318">
        <f t="shared" si="29"/>
        <v>3.0489376119411382E-3</v>
      </c>
      <c r="J47" s="330"/>
      <c r="K47" s="317">
        <f t="shared" ref="K47:K66" si="30">F47</f>
        <v>45538</v>
      </c>
      <c r="L47" s="318">
        <f t="shared" ref="L47:N62" si="31">L5/L4-1</f>
        <v>4.4439757765659671E-3</v>
      </c>
      <c r="M47" s="318">
        <f t="shared" si="31"/>
        <v>4.0256894066357241E-3</v>
      </c>
      <c r="N47" s="318">
        <f t="shared" si="31"/>
        <v>6.0595009327704119E-3</v>
      </c>
      <c r="AY47" s="336"/>
      <c r="DZ47" s="293"/>
      <c r="EA47" s="293"/>
      <c r="EB47" s="293"/>
      <c r="EC47" s="293"/>
      <c r="ED47" s="293"/>
      <c r="EI47" s="355"/>
      <c r="EL47" s="306"/>
      <c r="EM47" s="306"/>
      <c r="EN47" s="306"/>
    </row>
    <row r="48" spans="1:162" ht="14.5" hidden="1">
      <c r="D48" s="285"/>
      <c r="F48" s="317">
        <f t="shared" si="28"/>
        <v>45539</v>
      </c>
      <c r="G48" s="318">
        <f t="shared" si="29"/>
        <v>1.3171363442194828E-3</v>
      </c>
      <c r="H48" s="318">
        <f t="shared" si="29"/>
        <v>-2.214504889942126E-3</v>
      </c>
      <c r="I48" s="318">
        <f t="shared" si="29"/>
        <v>-5.4361374372258187E-4</v>
      </c>
      <c r="J48" s="330"/>
      <c r="K48" s="317">
        <f t="shared" si="30"/>
        <v>45539</v>
      </c>
      <c r="L48" s="318">
        <f t="shared" si="31"/>
        <v>3.2544955531892406E-3</v>
      </c>
      <c r="M48" s="318">
        <f t="shared" si="31"/>
        <v>2.1127459277114902E-3</v>
      </c>
      <c r="N48" s="318">
        <f t="shared" si="31"/>
        <v>4.726385500174235E-3</v>
      </c>
      <c r="AY48" s="336"/>
      <c r="DZ48" s="293"/>
      <c r="EA48" s="293"/>
      <c r="EB48" s="293"/>
      <c r="EC48" s="293"/>
      <c r="ED48" s="293"/>
      <c r="EH48" s="330"/>
      <c r="EI48" s="330"/>
      <c r="EL48" s="306"/>
      <c r="EM48" s="306"/>
      <c r="EN48" s="306"/>
    </row>
    <row r="49" spans="4:144" ht="14.5" hidden="1">
      <c r="D49" s="285"/>
      <c r="F49" s="317">
        <f t="shared" si="28"/>
        <v>45540</v>
      </c>
      <c r="G49" s="318">
        <f>G7/G6-1</f>
        <v>1.3842022769952056E-3</v>
      </c>
      <c r="H49" s="318">
        <f t="shared" si="29"/>
        <v>-2.9168511619683812E-3</v>
      </c>
      <c r="I49" s="318">
        <f t="shared" si="29"/>
        <v>2.5488217411449021E-3</v>
      </c>
      <c r="J49" s="330"/>
      <c r="K49" s="317">
        <f t="shared" si="30"/>
        <v>45540</v>
      </c>
      <c r="L49" s="318">
        <f t="shared" si="31"/>
        <v>3.1891250834654716E-3</v>
      </c>
      <c r="M49" s="318">
        <f t="shared" si="31"/>
        <v>2.5683884381753064E-3</v>
      </c>
      <c r="N49" s="318">
        <f t="shared" si="31"/>
        <v>2.4561500888098386E-3</v>
      </c>
      <c r="AY49" s="336"/>
      <c r="DZ49" s="293"/>
      <c r="EA49" s="293"/>
      <c r="EB49" s="293"/>
      <c r="EC49" s="293"/>
      <c r="ED49" s="293"/>
      <c r="EH49" s="330"/>
      <c r="EI49" s="330"/>
      <c r="EL49" s="306"/>
      <c r="EM49" s="306"/>
      <c r="EN49" s="306"/>
    </row>
    <row r="50" spans="4:144" ht="14.5" hidden="1">
      <c r="D50" s="285"/>
      <c r="F50" s="317">
        <f t="shared" si="28"/>
        <v>45541</v>
      </c>
      <c r="G50" s="318">
        <f t="shared" si="29"/>
        <v>1.4876928429554681E-3</v>
      </c>
      <c r="H50" s="318">
        <f t="shared" si="29"/>
        <v>-1.7779054061740629E-3</v>
      </c>
      <c r="I50" s="318">
        <f t="shared" si="29"/>
        <v>3.9610140499832802E-3</v>
      </c>
      <c r="J50" s="330"/>
      <c r="K50" s="317">
        <f t="shared" si="30"/>
        <v>45541</v>
      </c>
      <c r="L50" s="318">
        <f t="shared" si="31"/>
        <v>2.8163837037185058E-3</v>
      </c>
      <c r="M50" s="318">
        <f t="shared" si="31"/>
        <v>1.5045543266103412E-3</v>
      </c>
      <c r="N50" s="318">
        <f t="shared" si="31"/>
        <v>1.1627746016804608E-3</v>
      </c>
      <c r="AY50" s="336"/>
      <c r="DZ50" s="293"/>
      <c r="EA50" s="293"/>
      <c r="EB50" s="293"/>
      <c r="EC50" s="293"/>
      <c r="ED50" s="293"/>
      <c r="EH50" s="330"/>
      <c r="EI50" s="330"/>
      <c r="EL50" s="306"/>
      <c r="EM50" s="306"/>
      <c r="EN50" s="306"/>
    </row>
    <row r="51" spans="4:144" ht="14.5" hidden="1">
      <c r="D51" s="285"/>
      <c r="F51" s="317">
        <f t="shared" si="28"/>
        <v>45542</v>
      </c>
      <c r="G51" s="318">
        <f t="shared" si="29"/>
        <v>1.075340690680715E-3</v>
      </c>
      <c r="H51" s="318">
        <f t="shared" si="29"/>
        <v>-1.6419502974021061E-3</v>
      </c>
      <c r="I51" s="318">
        <f t="shared" si="29"/>
        <v>-5.4227780639792833E-5</v>
      </c>
      <c r="J51" s="330"/>
      <c r="K51" s="317">
        <f t="shared" si="30"/>
        <v>45542</v>
      </c>
      <c r="L51" s="318">
        <f t="shared" si="31"/>
        <v>1.9168949274106506E-3</v>
      </c>
      <c r="M51" s="318">
        <f t="shared" si="31"/>
        <v>-1.2296769777787597E-3</v>
      </c>
      <c r="N51" s="318">
        <f t="shared" si="31"/>
        <v>-1.7144832353958028E-3</v>
      </c>
      <c r="AY51" s="336"/>
      <c r="DZ51" s="293"/>
      <c r="EA51" s="293"/>
      <c r="EB51" s="293"/>
      <c r="EC51" s="293"/>
      <c r="ED51" s="293"/>
      <c r="EI51" s="355"/>
      <c r="EL51" s="306"/>
      <c r="EM51" s="306"/>
      <c r="EN51" s="306"/>
    </row>
    <row r="52" spans="4:144" ht="14.5" hidden="1">
      <c r="D52" s="285"/>
      <c r="F52" s="317">
        <f t="shared" si="28"/>
        <v>45543</v>
      </c>
      <c r="G52" s="318">
        <f t="shared" si="29"/>
        <v>9.8603675893493836E-4</v>
      </c>
      <c r="H52" s="318">
        <f t="shared" si="29"/>
        <v>-5.5637849325901323E-3</v>
      </c>
      <c r="I52" s="318">
        <f t="shared" si="29"/>
        <v>-4.127210138370363E-3</v>
      </c>
      <c r="J52" s="330"/>
      <c r="K52" s="317">
        <f t="shared" si="30"/>
        <v>45543</v>
      </c>
      <c r="L52" s="318">
        <f t="shared" si="31"/>
        <v>8.4537958037533834E-4</v>
      </c>
      <c r="M52" s="318">
        <f t="shared" si="31"/>
        <v>6.0978796801225421E-4</v>
      </c>
      <c r="N52" s="318">
        <f t="shared" si="31"/>
        <v>-7.4098696693947197E-4</v>
      </c>
      <c r="AY52" s="336"/>
      <c r="DZ52" s="293"/>
      <c r="EA52" s="293"/>
      <c r="EB52" s="293"/>
      <c r="EC52" s="293"/>
      <c r="ED52" s="293"/>
      <c r="EI52" s="355"/>
      <c r="EL52" s="306"/>
      <c r="EM52" s="306"/>
      <c r="EN52" s="306"/>
    </row>
    <row r="53" spans="4:144" ht="14.5" hidden="1">
      <c r="D53" s="285"/>
      <c r="F53" s="317">
        <f t="shared" si="28"/>
        <v>45544</v>
      </c>
      <c r="G53" s="318">
        <f t="shared" si="29"/>
        <v>1.3873419528753761E-3</v>
      </c>
      <c r="H53" s="318">
        <f t="shared" si="29"/>
        <v>-9.8684874613208518E-4</v>
      </c>
      <c r="I53" s="318">
        <f t="shared" si="29"/>
        <v>1.4304059085452625E-3</v>
      </c>
      <c r="J53" s="330"/>
      <c r="K53" s="317">
        <f t="shared" si="30"/>
        <v>45544</v>
      </c>
      <c r="L53" s="318">
        <f t="shared" si="31"/>
        <v>1.7584849367981992E-3</v>
      </c>
      <c r="M53" s="318">
        <f t="shared" si="31"/>
        <v>2.1300552537493189E-3</v>
      </c>
      <c r="N53" s="318">
        <f t="shared" si="31"/>
        <v>2.612703142867101E-3</v>
      </c>
      <c r="AY53" s="336"/>
      <c r="DZ53" s="293"/>
      <c r="EA53" s="293"/>
      <c r="EB53" s="293"/>
      <c r="EC53" s="293"/>
      <c r="ED53" s="293"/>
      <c r="EI53" s="355"/>
      <c r="EL53" s="306"/>
      <c r="EM53" s="306"/>
      <c r="EN53" s="306"/>
    </row>
    <row r="54" spans="4:144" ht="14.5" hidden="1">
      <c r="D54" s="285"/>
      <c r="F54" s="317">
        <f t="shared" si="28"/>
        <v>45545</v>
      </c>
      <c r="G54" s="318">
        <f t="shared" si="29"/>
        <v>1.3789923947984395E-3</v>
      </c>
      <c r="H54" s="318">
        <f t="shared" si="29"/>
        <v>-1.4094217685727273E-3</v>
      </c>
      <c r="I54" s="318">
        <f t="shared" si="29"/>
        <v>3.9543960883472451E-3</v>
      </c>
      <c r="J54" s="330"/>
      <c r="K54" s="317">
        <f t="shared" si="30"/>
        <v>45545</v>
      </c>
      <c r="L54" s="318">
        <f t="shared" si="31"/>
        <v>2.7810239493497591E-3</v>
      </c>
      <c r="M54" s="318">
        <f t="shared" si="31"/>
        <v>1.2857415891072144E-3</v>
      </c>
      <c r="N54" s="318">
        <f t="shared" si="31"/>
        <v>2.4400022118999942E-3</v>
      </c>
      <c r="AY54" s="336"/>
      <c r="DZ54" s="293"/>
      <c r="EA54" s="293"/>
      <c r="EB54" s="293"/>
      <c r="EC54" s="293"/>
      <c r="ED54" s="293"/>
      <c r="EI54" s="355"/>
      <c r="EL54" s="306"/>
      <c r="EM54" s="306"/>
      <c r="EN54" s="306"/>
    </row>
    <row r="55" spans="4:144" ht="14.5" hidden="1">
      <c r="D55" s="285"/>
      <c r="F55" s="317">
        <f t="shared" si="28"/>
        <v>45546</v>
      </c>
      <c r="G55" s="318">
        <f t="shared" si="29"/>
        <v>1.3913894901516066E-3</v>
      </c>
      <c r="H55" s="318">
        <f t="shared" si="29"/>
        <v>3.1426413980306656E-4</v>
      </c>
      <c r="I55" s="318">
        <f t="shared" si="29"/>
        <v>1.2570971510625917E-3</v>
      </c>
      <c r="J55" s="330"/>
      <c r="K55" s="317">
        <f t="shared" si="30"/>
        <v>45546</v>
      </c>
      <c r="L55" s="318">
        <f t="shared" si="31"/>
        <v>2.5864569964644257E-3</v>
      </c>
      <c r="M55" s="318">
        <f t="shared" si="31"/>
        <v>1.9434884460769464E-3</v>
      </c>
      <c r="N55" s="318">
        <f t="shared" si="31"/>
        <v>3.0201689363902329E-3</v>
      </c>
      <c r="AY55" s="336"/>
      <c r="DZ55" s="293"/>
      <c r="EA55" s="293"/>
      <c r="EB55" s="293"/>
      <c r="EC55" s="293"/>
      <c r="ED55" s="293"/>
      <c r="EI55" s="355"/>
      <c r="EL55" s="306"/>
      <c r="EM55" s="306"/>
      <c r="EN55" s="306"/>
    </row>
    <row r="56" spans="4:144" ht="14.5" hidden="1">
      <c r="D56" s="285"/>
      <c r="F56" s="317">
        <f t="shared" si="28"/>
        <v>45547</v>
      </c>
      <c r="G56" s="318">
        <f t="shared" si="29"/>
        <v>1.2796166277906362E-3</v>
      </c>
      <c r="H56" s="318">
        <f t="shared" si="29"/>
        <v>1.0301610692731167E-3</v>
      </c>
      <c r="I56" s="318">
        <f t="shared" si="29"/>
        <v>1.7448944225650909E-3</v>
      </c>
      <c r="J56" s="330"/>
      <c r="K56" s="317">
        <f t="shared" si="30"/>
        <v>45547</v>
      </c>
      <c r="L56" s="318">
        <f t="shared" si="31"/>
        <v>2.672970626750315E-3</v>
      </c>
      <c r="M56" s="318">
        <f t="shared" si="31"/>
        <v>1.9281726811415378E-3</v>
      </c>
      <c r="N56" s="318">
        <f t="shared" si="31"/>
        <v>2.9148305754727044E-3</v>
      </c>
      <c r="AY56" s="336"/>
      <c r="DZ56" s="293"/>
      <c r="EA56" s="293"/>
      <c r="EB56" s="293"/>
      <c r="EC56" s="293"/>
      <c r="ED56" s="293"/>
      <c r="EI56" s="355"/>
      <c r="EL56" s="306"/>
      <c r="EM56" s="306"/>
      <c r="EN56" s="306"/>
    </row>
    <row r="57" spans="4:144" ht="14.5" hidden="1">
      <c r="D57" s="285"/>
      <c r="F57" s="317">
        <f t="shared" si="28"/>
        <v>45548</v>
      </c>
      <c r="G57" s="318">
        <f t="shared" si="29"/>
        <v>1.3318124812682353E-3</v>
      </c>
      <c r="H57" s="318">
        <f t="shared" si="29"/>
        <v>5.9162406154467106E-4</v>
      </c>
      <c r="I57" s="318">
        <f t="shared" si="29"/>
        <v>5.9024649070194002E-4</v>
      </c>
      <c r="J57" s="330"/>
      <c r="K57" s="317">
        <f t="shared" si="30"/>
        <v>45548</v>
      </c>
      <c r="L57" s="318">
        <f t="shared" si="31"/>
        <v>2.5924730236062121E-3</v>
      </c>
      <c r="M57" s="318">
        <f t="shared" si="31"/>
        <v>1.3713232116621121E-3</v>
      </c>
      <c r="N57" s="318">
        <f t="shared" si="31"/>
        <v>1.4737433767231245E-3</v>
      </c>
      <c r="AY57" s="336"/>
      <c r="DZ57" s="293"/>
      <c r="EA57" s="293"/>
      <c r="EB57" s="293"/>
      <c r="EC57" s="293"/>
      <c r="ED57" s="293"/>
      <c r="EI57" s="355"/>
      <c r="EL57" s="306"/>
      <c r="EM57" s="306"/>
      <c r="EN57" s="306"/>
    </row>
    <row r="58" spans="4:144" ht="14.5" hidden="1">
      <c r="D58" s="285"/>
      <c r="F58" s="317">
        <f t="shared" si="28"/>
        <v>45549</v>
      </c>
      <c r="G58" s="318">
        <f t="shared" si="29"/>
        <v>1.2457693388472357E-3</v>
      </c>
      <c r="H58" s="318">
        <f t="shared" si="29"/>
        <v>6.6572807324982719E-4</v>
      </c>
      <c r="I58" s="318">
        <f t="shared" si="29"/>
        <v>-2.9181139570566561E-4</v>
      </c>
      <c r="J58" s="330"/>
      <c r="K58" s="317">
        <f t="shared" si="30"/>
        <v>45549</v>
      </c>
      <c r="L58" s="318">
        <f t="shared" si="31"/>
        <v>1.8880996057921706E-3</v>
      </c>
      <c r="M58" s="318">
        <f t="shared" si="31"/>
        <v>-5.7539716789012374E-6</v>
      </c>
      <c r="N58" s="318">
        <f t="shared" si="31"/>
        <v>-4.1751652954780116E-4</v>
      </c>
      <c r="AY58" s="336"/>
      <c r="DZ58" s="293"/>
      <c r="EA58" s="293"/>
      <c r="EB58" s="293"/>
      <c r="EC58" s="293"/>
      <c r="ED58" s="293"/>
      <c r="EI58" s="355"/>
      <c r="EL58" s="306"/>
      <c r="EM58" s="306"/>
      <c r="EN58" s="306"/>
    </row>
    <row r="59" spans="4:144" ht="14.5" hidden="1">
      <c r="D59" s="285"/>
      <c r="F59" s="317">
        <f t="shared" si="28"/>
        <v>45550</v>
      </c>
      <c r="G59" s="318">
        <f t="shared" si="29"/>
        <v>9.6646847774528588E-4</v>
      </c>
      <c r="H59" s="318">
        <f t="shared" si="29"/>
        <v>-1.9044332292729171E-3</v>
      </c>
      <c r="I59" s="318">
        <f t="shared" si="29"/>
        <v>-2.3502382252688081E-3</v>
      </c>
      <c r="J59" s="330"/>
      <c r="K59" s="317">
        <f t="shared" si="30"/>
        <v>45550</v>
      </c>
      <c r="L59" s="318">
        <f t="shared" si="31"/>
        <v>9.2035742981666502E-4</v>
      </c>
      <c r="M59" s="318">
        <f t="shared" si="31"/>
        <v>3.4524028724058908E-5</v>
      </c>
      <c r="N59" s="318">
        <f t="shared" si="31"/>
        <v>-1.102430139481414E-3</v>
      </c>
      <c r="AY59" s="336"/>
      <c r="DZ59" s="293"/>
      <c r="EA59" s="293"/>
      <c r="EB59" s="293"/>
      <c r="EC59" s="293"/>
      <c r="ED59" s="293"/>
      <c r="EI59" s="355"/>
      <c r="EL59" s="306"/>
      <c r="EM59" s="306"/>
      <c r="EN59" s="306"/>
    </row>
    <row r="60" spans="4:144" ht="14.5" hidden="1">
      <c r="D60" s="285"/>
      <c r="F60" s="317">
        <f t="shared" si="28"/>
        <v>45551</v>
      </c>
      <c r="G60" s="318">
        <f t="shared" si="29"/>
        <v>1.3242041437413477E-3</v>
      </c>
      <c r="H60" s="318">
        <f t="shared" si="29"/>
        <v>-4.1396965174211875E-4</v>
      </c>
      <c r="I60" s="318">
        <f t="shared" si="29"/>
        <v>2.1563142190896833E-3</v>
      </c>
      <c r="J60" s="330"/>
      <c r="K60" s="317">
        <f t="shared" si="30"/>
        <v>45551</v>
      </c>
      <c r="L60" s="318">
        <f t="shared" si="31"/>
        <v>9.7302767290696757E-4</v>
      </c>
      <c r="M60" s="318">
        <f t="shared" si="31"/>
        <v>6.0990345113287603E-4</v>
      </c>
      <c r="N60" s="318">
        <f t="shared" si="31"/>
        <v>1.5766383328763567E-3</v>
      </c>
      <c r="AY60" s="336"/>
      <c r="DZ60" s="293"/>
      <c r="EA60" s="293"/>
      <c r="EB60" s="293"/>
      <c r="EC60" s="293"/>
      <c r="ED60" s="293"/>
      <c r="EI60" s="355"/>
      <c r="EL60" s="306"/>
      <c r="EM60" s="306"/>
      <c r="EN60" s="306"/>
    </row>
    <row r="61" spans="4:144" ht="14.5" hidden="1">
      <c r="D61" s="285"/>
      <c r="F61" s="317">
        <f t="shared" si="28"/>
        <v>45552</v>
      </c>
      <c r="G61" s="318">
        <f t="shared" si="29"/>
        <v>1.7316112584846444E-3</v>
      </c>
      <c r="H61" s="318">
        <f t="shared" si="29"/>
        <v>2.772841230047618E-4</v>
      </c>
      <c r="I61" s="318">
        <f t="shared" si="29"/>
        <v>1.2413410325651908E-2</v>
      </c>
      <c r="J61" s="330"/>
      <c r="K61" s="317">
        <f t="shared" si="30"/>
        <v>45552</v>
      </c>
      <c r="L61" s="318">
        <f t="shared" si="31"/>
        <v>1.8420950307178607E-3</v>
      </c>
      <c r="M61" s="318">
        <f t="shared" si="31"/>
        <v>1.1845615972030377E-3</v>
      </c>
      <c r="N61" s="318">
        <f t="shared" si="31"/>
        <v>2.2517281500240571E-3</v>
      </c>
      <c r="AY61" s="336"/>
      <c r="DZ61" s="293"/>
      <c r="EA61" s="293"/>
      <c r="EB61" s="293"/>
      <c r="EC61" s="293"/>
      <c r="ED61" s="293"/>
      <c r="EI61" s="355"/>
      <c r="EL61" s="306"/>
      <c r="EM61" s="306"/>
      <c r="EN61" s="306"/>
    </row>
    <row r="62" spans="4:144" ht="14.5" hidden="1">
      <c r="D62" s="285"/>
      <c r="F62" s="317">
        <f t="shared" si="28"/>
        <v>45553</v>
      </c>
      <c r="G62" s="318">
        <f t="shared" si="29"/>
        <v>1.3635269125293892E-3</v>
      </c>
      <c r="H62" s="318">
        <f t="shared" si="29"/>
        <v>5.8970986036932516E-4</v>
      </c>
      <c r="I62" s="318">
        <f t="shared" si="29"/>
        <v>6.7312295811927658E-3</v>
      </c>
      <c r="J62" s="330"/>
      <c r="K62" s="317">
        <f t="shared" si="30"/>
        <v>45553</v>
      </c>
      <c r="L62" s="318">
        <f t="shared" si="31"/>
        <v>2.0764300927116341E-3</v>
      </c>
      <c r="M62" s="318">
        <f t="shared" si="31"/>
        <v>1.3210039630118242E-3</v>
      </c>
      <c r="N62" s="318">
        <f t="shared" si="31"/>
        <v>2.7588279078660793E-3</v>
      </c>
      <c r="AY62" s="336"/>
      <c r="DZ62" s="293"/>
      <c r="EA62" s="293"/>
      <c r="EB62" s="293"/>
      <c r="EC62" s="293"/>
      <c r="ED62" s="293"/>
      <c r="EI62" s="355"/>
      <c r="EL62" s="306"/>
      <c r="EM62" s="306"/>
      <c r="EN62" s="306"/>
    </row>
    <row r="63" spans="4:144" ht="14.5" hidden="1">
      <c r="D63" s="285"/>
      <c r="F63" s="317">
        <f t="shared" si="28"/>
        <v>45554</v>
      </c>
      <c r="G63" s="318">
        <f t="shared" ref="G63:I64" si="32">G21/G20-1</f>
        <v>1.3631136031924118E-3</v>
      </c>
      <c r="H63" s="318">
        <f t="shared" si="32"/>
        <v>4.2487988819961409E-4</v>
      </c>
      <c r="I63" s="318">
        <f t="shared" si="32"/>
        <v>1.7346972719174403E-3</v>
      </c>
      <c r="J63" s="330"/>
      <c r="K63" s="317">
        <f t="shared" si="30"/>
        <v>45554</v>
      </c>
      <c r="L63" s="318">
        <f t="shared" ref="L63:N64" si="33">L21/L20-1</f>
        <v>2.1108588193714528E-3</v>
      </c>
      <c r="M63" s="318">
        <f t="shared" si="33"/>
        <v>1.2160146839508279E-3</v>
      </c>
      <c r="N63" s="318">
        <f t="shared" si="33"/>
        <v>1.9817083551820769E-3</v>
      </c>
      <c r="AY63" s="336"/>
      <c r="DZ63" s="293"/>
      <c r="EA63" s="293"/>
      <c r="EB63" s="293"/>
      <c r="EC63" s="293"/>
      <c r="ED63" s="293"/>
      <c r="EI63" s="355"/>
      <c r="EL63" s="306"/>
      <c r="EM63" s="306"/>
      <c r="EN63" s="306"/>
    </row>
    <row r="64" spans="4:144" ht="14.5" hidden="1">
      <c r="D64" s="285"/>
      <c r="F64" s="317">
        <f t="shared" si="28"/>
        <v>45555</v>
      </c>
      <c r="G64" s="318">
        <f t="shared" si="32"/>
        <v>1.44139988757086E-3</v>
      </c>
      <c r="H64" s="318">
        <f t="shared" si="32"/>
        <v>-2.0284152451255366E-4</v>
      </c>
      <c r="I64" s="318">
        <f t="shared" si="32"/>
        <v>6.7582775063135259E-4</v>
      </c>
      <c r="J64" s="330"/>
      <c r="K64" s="317">
        <f t="shared" si="30"/>
        <v>45555</v>
      </c>
      <c r="L64" s="318">
        <f t="shared" si="33"/>
        <v>1.9518133989091524E-3</v>
      </c>
      <c r="M64" s="318">
        <f t="shared" si="33"/>
        <v>9.5673495577242029E-4</v>
      </c>
      <c r="N64" s="318">
        <f t="shared" si="33"/>
        <v>5.505185749044017E-4</v>
      </c>
      <c r="AY64" s="336"/>
      <c r="DZ64" s="293"/>
      <c r="EA64" s="293"/>
      <c r="EB64" s="293"/>
      <c r="EC64" s="293"/>
      <c r="ED64" s="293"/>
      <c r="EI64" s="355"/>
      <c r="EL64" s="306"/>
      <c r="EM64" s="306"/>
      <c r="EN64" s="306"/>
    </row>
    <row r="65" spans="4:144" ht="14.5" hidden="1">
      <c r="D65" s="285"/>
      <c r="F65" s="317"/>
      <c r="G65" s="318"/>
      <c r="H65" s="318"/>
      <c r="I65" s="318"/>
      <c r="J65" s="330"/>
      <c r="K65" s="317">
        <f t="shared" si="30"/>
        <v>0</v>
      </c>
      <c r="L65" s="318"/>
      <c r="M65" s="318"/>
      <c r="N65" s="318"/>
      <c r="AY65" s="336"/>
      <c r="DZ65" s="293"/>
      <c r="EA65" s="293"/>
      <c r="EB65" s="293"/>
      <c r="EC65" s="293"/>
      <c r="ED65" s="293"/>
      <c r="EI65" s="355"/>
      <c r="EL65" s="306"/>
      <c r="EM65" s="306"/>
      <c r="EN65" s="306"/>
    </row>
    <row r="66" spans="4:144" ht="14.5" hidden="1">
      <c r="D66" s="285"/>
      <c r="F66" s="317"/>
      <c r="G66" s="318"/>
      <c r="H66" s="318"/>
      <c r="I66" s="318"/>
      <c r="J66" s="330"/>
      <c r="K66" s="317">
        <f t="shared" si="30"/>
        <v>0</v>
      </c>
      <c r="L66" s="318"/>
      <c r="M66" s="318"/>
      <c r="N66" s="318"/>
      <c r="AY66" s="336"/>
      <c r="DZ66" s="293"/>
      <c r="EA66" s="293"/>
      <c r="EB66" s="293"/>
      <c r="EC66" s="293"/>
      <c r="ED66" s="293"/>
      <c r="EI66" s="355"/>
      <c r="EL66" s="306"/>
      <c r="EM66" s="306"/>
      <c r="EN66" s="306"/>
    </row>
    <row r="67" spans="4:144" ht="14.5" hidden="1">
      <c r="D67" s="285"/>
      <c r="F67" s="357" t="s">
        <v>1158</v>
      </c>
      <c r="G67" s="358">
        <f>AVERAGE(G46:G66)</f>
        <v>1.3203615829627637E-3</v>
      </c>
      <c r="H67" s="358">
        <f>AVERAGE(H46:H66)</f>
        <v>-1.0739261732312627E-3</v>
      </c>
      <c r="I67" s="358">
        <f>AVERAGE(I46:I66)</f>
        <v>1.9402182920750944E-3</v>
      </c>
      <c r="J67" s="330"/>
      <c r="K67" s="357" t="s">
        <v>1158</v>
      </c>
      <c r="L67" s="358">
        <f>AVERAGE(L46:L66)</f>
        <v>2.2093671625181659E-3</v>
      </c>
      <c r="M67" s="358">
        <f>AVERAGE(M46:M66)</f>
        <v>1.3237849902867536E-3</v>
      </c>
      <c r="N67" s="358">
        <f>AVERAGE(N46:N66)</f>
        <v>1.8439531452720639E-3</v>
      </c>
      <c r="AY67" s="336"/>
      <c r="DZ67" s="293"/>
      <c r="EA67" s="293"/>
      <c r="EB67" s="293"/>
      <c r="EC67" s="293"/>
      <c r="ED67" s="293"/>
      <c r="EI67" s="355"/>
      <c r="EL67" s="306"/>
      <c r="EM67" s="306"/>
      <c r="EN67" s="306"/>
    </row>
    <row r="68" spans="4:144" ht="14.5" hidden="1">
      <c r="D68" s="285"/>
      <c r="F68" s="330"/>
      <c r="G68" s="330"/>
      <c r="H68" s="330"/>
      <c r="I68" s="330"/>
      <c r="J68" s="330"/>
      <c r="K68" s="330"/>
      <c r="L68" s="330"/>
      <c r="M68" s="330"/>
      <c r="N68" s="330"/>
      <c r="AY68" s="336"/>
      <c r="DZ68" s="293"/>
      <c r="EA68" s="293"/>
      <c r="EB68" s="293"/>
      <c r="EC68" s="293"/>
      <c r="ED68" s="293"/>
      <c r="EI68" s="355"/>
      <c r="EL68" s="306"/>
      <c r="EM68" s="306"/>
      <c r="EN68" s="306"/>
    </row>
    <row r="69" spans="4:144" ht="14.5" hidden="1">
      <c r="D69" s="285"/>
      <c r="F69" s="330"/>
      <c r="G69" s="330">
        <f>G3/H3</f>
        <v>1.3152871558664214</v>
      </c>
      <c r="H69" s="330"/>
      <c r="I69" s="330">
        <f>I3/H3</f>
        <v>0.60898249204889932</v>
      </c>
      <c r="J69" s="330"/>
      <c r="K69" s="330"/>
      <c r="L69" s="330">
        <f>L3/M3</f>
        <v>1.1672222743919616</v>
      </c>
      <c r="M69" s="330"/>
      <c r="N69" s="330">
        <f>N3/M3</f>
        <v>0.83432716687012864</v>
      </c>
      <c r="AY69" s="336"/>
      <c r="DZ69" s="293"/>
      <c r="EA69" s="293"/>
      <c r="EB69" s="293"/>
      <c r="EC69" s="293"/>
      <c r="ED69" s="293"/>
      <c r="EL69" s="306"/>
      <c r="EM69" s="306"/>
      <c r="EN69" s="306"/>
    </row>
    <row r="70" spans="4:144" ht="14.5" hidden="1">
      <c r="D70" s="285"/>
      <c r="F70" s="330"/>
      <c r="G70" s="330">
        <f t="shared" ref="G70:G90" si="34">G4/H4</f>
        <v>1.3198759975115464</v>
      </c>
      <c r="H70" s="330"/>
      <c r="I70" s="330">
        <f t="shared" ref="I70:I90" si="35">I4/H4</f>
        <v>0.61148999463480702</v>
      </c>
      <c r="J70" s="330"/>
      <c r="K70" s="330"/>
      <c r="L70" s="330">
        <f t="shared" ref="L70:L90" si="36">L4/M4</f>
        <v>1.1669577038920858</v>
      </c>
      <c r="M70" s="330"/>
      <c r="N70" s="330">
        <f t="shared" ref="N70:N90" si="37">N4/M4</f>
        <v>0.83552685550880734</v>
      </c>
      <c r="AY70" s="336"/>
      <c r="DZ70" s="293"/>
      <c r="EA70" s="293"/>
      <c r="EB70" s="293"/>
      <c r="EC70" s="293"/>
      <c r="ED70" s="293"/>
      <c r="EL70" s="306"/>
      <c r="EM70" s="306"/>
      <c r="EN70" s="306"/>
    </row>
    <row r="71" spans="4:144" ht="15" hidden="1" customHeight="1">
      <c r="D71" s="285"/>
      <c r="F71" s="330"/>
      <c r="G71" s="330">
        <f t="shared" si="34"/>
        <v>1.325722290002568</v>
      </c>
      <c r="H71" s="330"/>
      <c r="I71" s="330">
        <f t="shared" si="35"/>
        <v>0.61528695284283264</v>
      </c>
      <c r="J71" s="330"/>
      <c r="K71" s="330"/>
      <c r="L71" s="330">
        <f t="shared" si="36"/>
        <v>1.167443869243205</v>
      </c>
      <c r="M71" s="330"/>
      <c r="N71" s="330">
        <f t="shared" si="37"/>
        <v>0.83721934621602534</v>
      </c>
      <c r="AY71" s="336"/>
      <c r="DZ71" s="293"/>
      <c r="EA71" s="293"/>
      <c r="EB71" s="293"/>
      <c r="EC71" s="293"/>
      <c r="ED71" s="293"/>
      <c r="EL71" s="306"/>
      <c r="EM71" s="306"/>
      <c r="EN71" s="306"/>
    </row>
    <row r="72" spans="4:144" ht="14.5" hidden="1">
      <c r="D72" s="285"/>
      <c r="F72" s="330"/>
      <c r="G72" s="330">
        <f t="shared" si="34"/>
        <v>1.3304146567761539</v>
      </c>
      <c r="H72" s="330"/>
      <c r="I72" s="330">
        <f t="shared" si="35"/>
        <v>0.61631731210033625</v>
      </c>
      <c r="J72" s="330"/>
      <c r="K72" s="330"/>
      <c r="L72" s="330">
        <f t="shared" si="36"/>
        <v>1.1687739876414507</v>
      </c>
      <c r="M72" s="330"/>
      <c r="N72" s="330">
        <f t="shared" si="37"/>
        <v>0.8394029224882501</v>
      </c>
      <c r="AY72" s="336"/>
      <c r="DZ72" s="293"/>
      <c r="EA72" s="293"/>
      <c r="EB72" s="293"/>
      <c r="EC72" s="293"/>
      <c r="ED72" s="293"/>
      <c r="EL72" s="306"/>
      <c r="EM72" s="306"/>
      <c r="EN72" s="306"/>
    </row>
    <row r="73" spans="4:144" ht="14.5" hidden="1">
      <c r="D73" s="285"/>
      <c r="F73" s="330"/>
      <c r="G73" s="330">
        <f t="shared" si="34"/>
        <v>1.3361535808984228</v>
      </c>
      <c r="H73" s="330"/>
      <c r="I73" s="330">
        <f t="shared" si="35"/>
        <v>0.61969575534891785</v>
      </c>
      <c r="J73" s="330"/>
      <c r="K73" s="330"/>
      <c r="L73" s="330">
        <f t="shared" si="36"/>
        <v>1.1694976298912538</v>
      </c>
      <c r="M73" s="330"/>
      <c r="N73" s="330">
        <f t="shared" si="37"/>
        <v>0.83930895064597077</v>
      </c>
      <c r="AY73" s="336"/>
      <c r="DZ73" s="293"/>
      <c r="EA73" s="293"/>
      <c r="EB73" s="293"/>
      <c r="EC73" s="293"/>
      <c r="ED73" s="293"/>
      <c r="EL73" s="306"/>
      <c r="EM73" s="306"/>
      <c r="EN73" s="306"/>
    </row>
    <row r="74" spans="4:144" ht="14.5" hidden="1">
      <c r="D74" s="285"/>
      <c r="F74" s="330"/>
      <c r="G74" s="330">
        <f t="shared" si="34"/>
        <v>1.3405246931168171</v>
      </c>
      <c r="H74" s="330"/>
      <c r="I74" s="330">
        <f t="shared" si="35"/>
        <v>0.62325847355214214</v>
      </c>
      <c r="J74" s="330"/>
      <c r="K74" s="330"/>
      <c r="L74" s="330">
        <f t="shared" si="36"/>
        <v>1.1710295064471037</v>
      </c>
      <c r="M74" s="330"/>
      <c r="N74" s="330">
        <f t="shared" si="37"/>
        <v>0.83902252280992795</v>
      </c>
      <c r="AY74" s="336"/>
      <c r="DZ74" s="293"/>
      <c r="EA74" s="293"/>
      <c r="EB74" s="293"/>
      <c r="EC74" s="293"/>
      <c r="ED74" s="293"/>
      <c r="EL74" s="306"/>
      <c r="EM74" s="306"/>
      <c r="EN74" s="306"/>
    </row>
    <row r="75" spans="4:144" ht="14.5" hidden="1">
      <c r="D75" s="285"/>
      <c r="F75" s="330"/>
      <c r="G75" s="330">
        <f t="shared" si="34"/>
        <v>1.344173279582358</v>
      </c>
      <c r="H75" s="330"/>
      <c r="I75" s="330">
        <f t="shared" si="35"/>
        <v>0.62424966254742931</v>
      </c>
      <c r="J75" s="330"/>
      <c r="K75" s="330"/>
      <c r="L75" s="330">
        <f t="shared" si="36"/>
        <v>1.1747187715966572</v>
      </c>
      <c r="M75" s="330"/>
      <c r="N75" s="330">
        <f t="shared" si="37"/>
        <v>0.83861525863721098</v>
      </c>
      <c r="AY75" s="336"/>
      <c r="DZ75" s="293"/>
      <c r="EA75" s="293"/>
      <c r="EB75" s="293"/>
      <c r="EC75" s="293"/>
      <c r="ED75" s="293"/>
      <c r="EL75" s="306"/>
      <c r="EM75" s="306"/>
      <c r="EN75" s="306"/>
    </row>
    <row r="76" spans="4:144" ht="14.5" hidden="1">
      <c r="D76" s="285"/>
      <c r="F76" s="330"/>
      <c r="G76" s="330">
        <f t="shared" si="34"/>
        <v>1.3530266330407095</v>
      </c>
      <c r="H76" s="330"/>
      <c r="I76" s="330">
        <f t="shared" si="35"/>
        <v>0.62515146129221366</v>
      </c>
      <c r="J76" s="330"/>
      <c r="K76" s="330"/>
      <c r="L76" s="330">
        <f t="shared" si="36"/>
        <v>1.1749953568277847</v>
      </c>
      <c r="M76" s="330"/>
      <c r="N76" s="330">
        <f t="shared" si="37"/>
        <v>0.83748316850071969</v>
      </c>
      <c r="DZ76" s="293"/>
      <c r="EA76" s="293"/>
      <c r="EB76" s="293"/>
      <c r="EC76" s="293"/>
      <c r="ED76" s="293"/>
      <c r="EL76" s="306"/>
      <c r="EM76" s="306"/>
      <c r="EN76" s="306"/>
    </row>
    <row r="77" spans="4:144" ht="14.5" hidden="1">
      <c r="D77" s="285"/>
      <c r="F77" s="330"/>
      <c r="G77" s="330">
        <f t="shared" si="34"/>
        <v>1.3562421495167867</v>
      </c>
      <c r="H77" s="330"/>
      <c r="I77" s="330">
        <f t="shared" si="35"/>
        <v>0.62666410432177766</v>
      </c>
      <c r="J77" s="330"/>
      <c r="K77" s="330"/>
      <c r="L77" s="330">
        <f t="shared" si="36"/>
        <v>1.1745596914220187</v>
      </c>
      <c r="M77" s="330"/>
      <c r="N77" s="330">
        <f t="shared" si="37"/>
        <v>0.83788651882568932</v>
      </c>
      <c r="DZ77" s="293"/>
      <c r="EA77" s="293"/>
      <c r="EB77" s="293"/>
      <c r="EC77" s="293"/>
      <c r="ED77" s="293"/>
      <c r="EL77" s="306"/>
      <c r="EM77" s="306"/>
      <c r="EN77" s="306"/>
    </row>
    <row r="78" spans="4:144" ht="14.5" hidden="1">
      <c r="D78" s="285"/>
      <c r="F78" s="330"/>
      <c r="G78" s="330">
        <f t="shared" si="34"/>
        <v>1.3600292519600836</v>
      </c>
      <c r="H78" s="330"/>
      <c r="I78" s="330">
        <f t="shared" si="35"/>
        <v>0.63003016062786166</v>
      </c>
      <c r="J78" s="330"/>
      <c r="K78" s="330"/>
      <c r="L78" s="330">
        <f t="shared" si="36"/>
        <v>1.176313734563438</v>
      </c>
      <c r="M78" s="330"/>
      <c r="N78" s="330">
        <f t="shared" si="37"/>
        <v>0.83885241634612606</v>
      </c>
      <c r="DZ78" s="293"/>
      <c r="EA78" s="293"/>
      <c r="EB78" s="293"/>
      <c r="EC78" s="293"/>
      <c r="ED78" s="293"/>
      <c r="EL78" s="306"/>
      <c r="EM78" s="306"/>
      <c r="EN78" s="306"/>
    </row>
    <row r="79" spans="4:144" ht="14.5" hidden="1">
      <c r="D79" s="285"/>
      <c r="F79" s="330"/>
      <c r="G79" s="330">
        <f t="shared" si="34"/>
        <v>1.3614937137167711</v>
      </c>
      <c r="H79" s="330"/>
      <c r="I79" s="330">
        <f t="shared" si="35"/>
        <v>0.63062398724298041</v>
      </c>
      <c r="J79" s="330"/>
      <c r="K79" s="330"/>
      <c r="L79" s="330">
        <f t="shared" si="36"/>
        <v>1.1770686002274551</v>
      </c>
      <c r="M79" s="330"/>
      <c r="N79" s="330">
        <f t="shared" si="37"/>
        <v>0.83975384046968904</v>
      </c>
      <c r="DZ79" s="293"/>
      <c r="EA79" s="293"/>
      <c r="EB79" s="293"/>
      <c r="EC79" s="293"/>
      <c r="ED79" s="293"/>
      <c r="EL79" s="306"/>
      <c r="EM79" s="306"/>
      <c r="EN79" s="306"/>
    </row>
    <row r="80" spans="4:144" ht="14.5" hidden="1">
      <c r="D80" s="285"/>
      <c r="F80" s="330"/>
      <c r="G80" s="330">
        <f t="shared" si="34"/>
        <v>1.3618329963757578</v>
      </c>
      <c r="H80" s="330"/>
      <c r="I80" s="330">
        <f t="shared" si="35"/>
        <v>0.63107425139544815</v>
      </c>
      <c r="J80" s="330"/>
      <c r="K80" s="330"/>
      <c r="L80" s="330">
        <f t="shared" si="36"/>
        <v>1.1779435913687304</v>
      </c>
      <c r="M80" s="330"/>
      <c r="N80" s="330">
        <f t="shared" si="37"/>
        <v>0.84058079571317446</v>
      </c>
      <c r="DZ80" s="293"/>
      <c r="EA80" s="293"/>
      <c r="EB80" s="293"/>
      <c r="EC80" s="293"/>
      <c r="ED80" s="293"/>
      <c r="EL80" s="306"/>
      <c r="EM80" s="306"/>
      <c r="EN80" s="306"/>
    </row>
    <row r="81" spans="4:144" ht="14.5" hidden="1">
      <c r="D81" s="285"/>
      <c r="F81" s="330"/>
      <c r="G81" s="330">
        <f t="shared" si="34"/>
        <v>1.3628404133771344</v>
      </c>
      <c r="H81" s="330"/>
      <c r="I81" s="330">
        <f t="shared" si="35"/>
        <v>0.6310733825599838</v>
      </c>
      <c r="J81" s="330"/>
      <c r="K81" s="330"/>
      <c r="L81" s="330">
        <f t="shared" si="36"/>
        <v>1.1793800670913097</v>
      </c>
      <c r="M81" s="330"/>
      <c r="N81" s="330">
        <f t="shared" si="37"/>
        <v>0.84066677023815684</v>
      </c>
      <c r="DZ81" s="293"/>
      <c r="EA81" s="293"/>
      <c r="EB81" s="293"/>
      <c r="EC81" s="293"/>
      <c r="ED81" s="293"/>
      <c r="EL81" s="306"/>
      <c r="EM81" s="306"/>
      <c r="EN81" s="306"/>
    </row>
    <row r="82" spans="4:144" ht="14.5" hidden="1">
      <c r="D82" s="285"/>
      <c r="F82" s="330"/>
      <c r="G82" s="330">
        <f t="shared" si="34"/>
        <v>1.3636303911449397</v>
      </c>
      <c r="H82" s="330"/>
      <c r="I82" s="330">
        <f t="shared" si="35"/>
        <v>0.63046950690535142</v>
      </c>
      <c r="J82" s="330"/>
      <c r="K82" s="330"/>
      <c r="L82" s="330">
        <f t="shared" si="36"/>
        <v>1.1816136531025594</v>
      </c>
      <c r="M82" s="330"/>
      <c r="N82" s="330">
        <f t="shared" si="37"/>
        <v>0.84032061314675011</v>
      </c>
      <c r="DZ82" s="293"/>
      <c r="EA82" s="293"/>
      <c r="EB82" s="293"/>
      <c r="EC82" s="293"/>
      <c r="ED82" s="293"/>
      <c r="EL82" s="306"/>
      <c r="EM82" s="306"/>
      <c r="EN82" s="306"/>
    </row>
    <row r="83" spans="4:144" ht="14.5" hidden="1">
      <c r="D83" s="285"/>
      <c r="F83" s="330"/>
      <c r="G83" s="330">
        <f t="shared" si="34"/>
        <v>1.3675527097565192</v>
      </c>
      <c r="H83" s="330"/>
      <c r="I83" s="330">
        <f t="shared" si="35"/>
        <v>0.63018790415571602</v>
      </c>
      <c r="J83" s="330"/>
      <c r="K83" s="330"/>
      <c r="L83" s="330">
        <f t="shared" si="36"/>
        <v>1.1826603298081682</v>
      </c>
      <c r="M83" s="330"/>
      <c r="N83" s="330">
        <f t="shared" si="37"/>
        <v>0.83936524010633029</v>
      </c>
      <c r="DZ83" s="293"/>
      <c r="EA83" s="293"/>
      <c r="EB83" s="293"/>
      <c r="EC83" s="293"/>
      <c r="ED83" s="293"/>
      <c r="EL83" s="306"/>
      <c r="EM83" s="306"/>
      <c r="EN83" s="306"/>
    </row>
    <row r="84" spans="4:144" ht="14.5" hidden="1">
      <c r="D84" s="285"/>
      <c r="F84" s="330"/>
      <c r="G84" s="330">
        <f t="shared" si="34"/>
        <v>1.3699307384722794</v>
      </c>
      <c r="H84" s="330"/>
      <c r="I84" s="330">
        <f t="shared" si="35"/>
        <v>0.63180833677128623</v>
      </c>
      <c r="J84" s="330"/>
      <c r="K84" s="330"/>
      <c r="L84" s="330">
        <f t="shared" si="36"/>
        <v>1.183089520655074</v>
      </c>
      <c r="M84" s="330"/>
      <c r="N84" s="330">
        <f t="shared" si="37"/>
        <v>0.84017618916183645</v>
      </c>
      <c r="DZ84" s="293"/>
      <c r="EA84" s="293"/>
      <c r="EB84" s="293"/>
      <c r="EC84" s="293"/>
      <c r="ED84" s="293"/>
      <c r="EL84" s="306"/>
      <c r="EM84" s="306"/>
      <c r="EN84" s="306"/>
    </row>
    <row r="85" spans="4:144" ht="14.5" hidden="1">
      <c r="D85" s="285"/>
      <c r="F85" s="330"/>
      <c r="G85" s="330">
        <f t="shared" si="34"/>
        <v>1.3719225136313398</v>
      </c>
      <c r="H85" s="330"/>
      <c r="I85" s="330">
        <f t="shared" si="35"/>
        <v>0.63947391693855316</v>
      </c>
      <c r="J85" s="330"/>
      <c r="K85" s="330"/>
      <c r="L85" s="330">
        <f t="shared" si="36"/>
        <v>1.183866521164781</v>
      </c>
      <c r="M85" s="330"/>
      <c r="N85" s="330">
        <f t="shared" si="37"/>
        <v>0.84107173625868703</v>
      </c>
      <c r="DZ85" s="293"/>
      <c r="EA85" s="293"/>
      <c r="EB85" s="293"/>
      <c r="EC85" s="293"/>
      <c r="ED85" s="293"/>
      <c r="EL85" s="306"/>
      <c r="EM85" s="306"/>
      <c r="EN85" s="306"/>
    </row>
    <row r="86" spans="4:144" ht="14.5" hidden="1">
      <c r="D86" s="285"/>
      <c r="F86" s="330"/>
      <c r="G86" s="330">
        <f t="shared" si="34"/>
        <v>1.3729835049895642</v>
      </c>
      <c r="H86" s="330"/>
      <c r="I86" s="330">
        <f t="shared" si="35"/>
        <v>0.64339894398323305</v>
      </c>
      <c r="J86" s="330"/>
      <c r="K86" s="330"/>
      <c r="L86" s="330">
        <f t="shared" si="36"/>
        <v>1.1847596650223702</v>
      </c>
      <c r="M86" s="330"/>
      <c r="N86" s="330">
        <f t="shared" si="37"/>
        <v>0.84227945394057591</v>
      </c>
      <c r="DZ86" s="293"/>
      <c r="EA86" s="293"/>
      <c r="EB86" s="293"/>
      <c r="EC86" s="293"/>
      <c r="ED86" s="293"/>
      <c r="EL86" s="306"/>
      <c r="EM86" s="306"/>
      <c r="EN86" s="306"/>
    </row>
    <row r="87" spans="4:144" ht="14.5" hidden="1">
      <c r="D87" s="285"/>
      <c r="F87" s="330"/>
      <c r="G87" s="330">
        <f t="shared" si="34"/>
        <v>1.3742711373149963</v>
      </c>
      <c r="H87" s="330"/>
      <c r="I87" s="330">
        <f t="shared" si="35"/>
        <v>0.6442413211955923</v>
      </c>
      <c r="J87" s="330"/>
      <c r="K87" s="330"/>
      <c r="L87" s="330">
        <f t="shared" si="36"/>
        <v>1.1858185526376095</v>
      </c>
      <c r="M87" s="330"/>
      <c r="N87" s="330">
        <f t="shared" si="37"/>
        <v>0.84292359869838218</v>
      </c>
      <c r="DZ87" s="293"/>
      <c r="EA87" s="293"/>
      <c r="EB87" s="293"/>
      <c r="EC87" s="293"/>
      <c r="ED87" s="293"/>
      <c r="EL87" s="306"/>
      <c r="EM87" s="306"/>
      <c r="EN87" s="306"/>
    </row>
    <row r="88" spans="4:144" ht="14.5" hidden="1">
      <c r="D88" s="285"/>
      <c r="F88" s="330"/>
      <c r="G88" s="330">
        <f t="shared" si="34"/>
        <v>1.3765312292708982</v>
      </c>
      <c r="H88" s="330"/>
      <c r="I88" s="330">
        <f t="shared" si="35"/>
        <v>0.64480751109712775</v>
      </c>
      <c r="J88" s="330"/>
      <c r="K88" s="330"/>
      <c r="L88" s="330">
        <f t="shared" si="36"/>
        <v>1.1869974072653804</v>
      </c>
      <c r="M88" s="330"/>
      <c r="N88" s="330">
        <f t="shared" si="37"/>
        <v>0.84258151660666558</v>
      </c>
      <c r="DZ88" s="293"/>
      <c r="EA88" s="293"/>
      <c r="EB88" s="293"/>
      <c r="EC88" s="293"/>
      <c r="ED88" s="293"/>
      <c r="EL88" s="306"/>
      <c r="EM88" s="306"/>
      <c r="EN88" s="306"/>
    </row>
    <row r="89" spans="4:144" ht="14.5" hidden="1">
      <c r="D89" s="285"/>
      <c r="F89" s="330"/>
      <c r="G89" s="330">
        <f t="shared" si="34"/>
        <v>1.3802781682901486</v>
      </c>
      <c r="H89" s="330"/>
      <c r="I89" s="330">
        <f t="shared" si="35"/>
        <v>0.64583315141763264</v>
      </c>
      <c r="J89" s="330"/>
      <c r="K89" s="330"/>
      <c r="L89" s="330">
        <f t="shared" si="36"/>
        <v>1.1907406133956815</v>
      </c>
      <c r="M89" s="330"/>
      <c r="N89" s="330">
        <f t="shared" si="37"/>
        <v>0.84217553752349517</v>
      </c>
      <c r="DZ89" s="293"/>
      <c r="EA89" s="293"/>
      <c r="EB89" s="293"/>
      <c r="EC89" s="293"/>
      <c r="ED89" s="293"/>
      <c r="EL89" s="306"/>
      <c r="EM89" s="306"/>
      <c r="EN89" s="306"/>
    </row>
    <row r="90" spans="4:144" ht="14.5" hidden="1">
      <c r="D90" s="285"/>
      <c r="F90" s="330"/>
      <c r="G90" s="330">
        <f t="shared" si="34"/>
        <v>1.389369394251923</v>
      </c>
      <c r="H90" s="330"/>
      <c r="I90" s="330">
        <f t="shared" si="35"/>
        <v>0.64676602816883422</v>
      </c>
      <c r="J90" s="330"/>
      <c r="K90" s="330"/>
      <c r="L90" s="330">
        <f t="shared" si="36"/>
        <v>1.1910257144493444</v>
      </c>
      <c r="M90" s="330"/>
      <c r="N90" s="330">
        <f t="shared" si="37"/>
        <v>0.8410400320714736</v>
      </c>
      <c r="DZ90" s="293"/>
      <c r="EA90" s="293"/>
      <c r="EB90" s="293"/>
      <c r="EC90" s="293"/>
      <c r="ED90" s="293"/>
      <c r="EL90" s="306"/>
      <c r="EM90" s="306"/>
      <c r="EN90" s="306"/>
    </row>
    <row r="91" spans="4:144" ht="14.5" hidden="1">
      <c r="D91" s="285"/>
      <c r="F91" s="330"/>
      <c r="G91" s="357">
        <f>AVERAGE(G69:G90)</f>
        <v>1.3560948454029154</v>
      </c>
      <c r="H91" s="357"/>
      <c r="I91" s="357">
        <f>AVERAGE(I69:I90)</f>
        <v>0.62958566414313433</v>
      </c>
      <c r="J91" s="357"/>
      <c r="K91" s="357"/>
      <c r="L91" s="357">
        <f>AVERAGE(L69:L90)</f>
        <v>1.1780216710047922</v>
      </c>
      <c r="M91" s="357"/>
      <c r="N91" s="357">
        <f>AVERAGE(N69:N90)</f>
        <v>0.83957183867200313</v>
      </c>
      <c r="DZ91" s="293"/>
      <c r="EA91" s="293"/>
      <c r="EB91" s="293"/>
      <c r="EC91" s="293"/>
      <c r="ED91" s="293"/>
      <c r="EL91" s="306"/>
      <c r="EM91" s="306"/>
      <c r="EN91" s="306"/>
    </row>
    <row r="92" spans="4:144" hidden="1">
      <c r="D92" s="285"/>
      <c r="AO92" s="341"/>
      <c r="DZ92" s="293"/>
      <c r="EA92" s="293"/>
      <c r="EB92" s="293"/>
      <c r="EC92" s="293"/>
      <c r="ED92" s="293">
        <f>SUM(ED3:ED33)</f>
        <v>24240045</v>
      </c>
      <c r="EL92" s="306"/>
      <c r="EM92" s="306"/>
      <c r="EN92" s="306"/>
    </row>
    <row r="93" spans="4:144" hidden="1">
      <c r="CK93" s="319"/>
      <c r="CL93" s="319"/>
      <c r="DZ93" s="293"/>
      <c r="EA93" s="293"/>
      <c r="EB93" s="293"/>
      <c r="EC93" s="293"/>
      <c r="ED93" s="293">
        <f>ED41+EE40</f>
        <v>48038325.967372879</v>
      </c>
      <c r="EI93" s="341">
        <f>+EI40</f>
        <v>430121920.92155731</v>
      </c>
    </row>
    <row r="94" spans="4:144" hidden="1">
      <c r="CK94" s="320"/>
      <c r="CL94" s="320"/>
      <c r="DZ94" s="293"/>
      <c r="EA94" s="293"/>
      <c r="EB94" s="293"/>
      <c r="EC94" s="293"/>
      <c r="ED94" s="293">
        <f>ED34/1.18</f>
        <v>18638819.378389828</v>
      </c>
    </row>
    <row r="95" spans="4:144" hidden="1"/>
    <row r="96" spans="4:144" hidden="1"/>
    <row r="97" spans="138:140" hidden="1"/>
    <row r="98" spans="138:140" hidden="1"/>
    <row r="99" spans="138:140">
      <c r="EH99" s="359" t="s">
        <v>1159</v>
      </c>
      <c r="EI99" s="242">
        <f>EY38*1.5%</f>
        <v>97338577.140000001</v>
      </c>
    </row>
    <row r="100" spans="138:140">
      <c r="EH100" s="359" t="s">
        <v>1160</v>
      </c>
      <c r="EI100" s="242">
        <f>344477841*1.5%</f>
        <v>5167167.6150000002</v>
      </c>
    </row>
    <row r="101" spans="138:140">
      <c r="EH101" s="359" t="s">
        <v>1161</v>
      </c>
      <c r="EI101" s="242">
        <f>SUM(EI99:EI100)</f>
        <v>102505744.755</v>
      </c>
    </row>
    <row r="103" spans="138:140">
      <c r="EH103" s="321" t="s">
        <v>1162</v>
      </c>
      <c r="EI103" s="360">
        <f>EI44+EI101</f>
        <v>461351195.42232001</v>
      </c>
    </row>
    <row r="107" spans="138:140">
      <c r="EI107" s="410">
        <v>746582377.30250704</v>
      </c>
      <c r="EJ107" s="410">
        <v>390238050</v>
      </c>
    </row>
    <row r="110" spans="138:140">
      <c r="EH110" s="336" t="s">
        <v>4947</v>
      </c>
      <c r="EI110" s="341">
        <f>+EI107-EI38</f>
        <v>239038510.61506945</v>
      </c>
      <c r="EJ110" s="341">
        <f>+EJ107-EJ38</f>
        <v>124055301</v>
      </c>
    </row>
  </sheetData>
  <mergeCells count="32">
    <mergeCell ref="EZ1:FC1"/>
    <mergeCell ref="FD1:FF1"/>
    <mergeCell ref="EI1:EI2"/>
    <mergeCell ref="EJ1:EJ2"/>
    <mergeCell ref="EK1:EN1"/>
    <mergeCell ref="EO1:ER1"/>
    <mergeCell ref="ES1:EV1"/>
    <mergeCell ref="EW1:EY1"/>
    <mergeCell ref="EA1:EC1"/>
    <mergeCell ref="BQ1:BU1"/>
    <mergeCell ref="BV1:BZ1"/>
    <mergeCell ref="CA1:CE1"/>
    <mergeCell ref="CF1:CJ1"/>
    <mergeCell ref="CK1:CN1"/>
    <mergeCell ref="CO1:CR1"/>
    <mergeCell ref="CS1:CW1"/>
    <mergeCell ref="CX1:DA1"/>
    <mergeCell ref="DB1:DG1"/>
    <mergeCell ref="DH1:DI1"/>
    <mergeCell ref="DK1:DZ1"/>
    <mergeCell ref="BK1:BP1"/>
    <mergeCell ref="F1:I1"/>
    <mergeCell ref="J1:N1"/>
    <mergeCell ref="O1:Q1"/>
    <mergeCell ref="R1:T1"/>
    <mergeCell ref="U1:Z1"/>
    <mergeCell ref="AA1:AG1"/>
    <mergeCell ref="AH1:AN1"/>
    <mergeCell ref="AO1:AS1"/>
    <mergeCell ref="AT1:AX1"/>
    <mergeCell ref="AY1:BD1"/>
    <mergeCell ref="BE1:BJ1"/>
  </mergeCells>
  <pageMargins left="0.69930555555555596" right="0.69930555555555596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6"/>
  <sheetViews>
    <sheetView workbookViewId="0">
      <pane xSplit="2" ySplit="4" topLeftCell="Z53" activePane="bottomRight" state="frozen"/>
      <selection pane="topRight" activeCell="C1" sqref="C1"/>
      <selection pane="bottomLeft" activeCell="A5" sqref="A5"/>
      <selection pane="bottomRight" activeCell="AF70" sqref="AF70"/>
    </sheetView>
  </sheetViews>
  <sheetFormatPr baseColWidth="10" defaultRowHeight="14.5"/>
  <cols>
    <col min="1" max="1" width="7" bestFit="1" customWidth="1"/>
    <col min="2" max="2" width="17.90625" customWidth="1"/>
    <col min="3" max="3" width="12.90625" bestFit="1" customWidth="1"/>
    <col min="4" max="4" width="15.453125" bestFit="1" customWidth="1"/>
    <col min="5" max="5" width="15.1796875" bestFit="1" customWidth="1"/>
    <col min="6" max="6" width="15.453125" bestFit="1" customWidth="1"/>
    <col min="7" max="7" width="15.1796875" bestFit="1" customWidth="1"/>
    <col min="8" max="8" width="15.453125" bestFit="1" customWidth="1"/>
    <col min="9" max="9" width="15.1796875" bestFit="1" customWidth="1"/>
    <col min="10" max="10" width="15.453125" bestFit="1" customWidth="1"/>
    <col min="11" max="11" width="15.1796875" bestFit="1" customWidth="1"/>
    <col min="12" max="12" width="15.453125" bestFit="1" customWidth="1"/>
    <col min="13" max="13" width="15.1796875" bestFit="1" customWidth="1"/>
    <col min="14" max="14" width="15.453125" bestFit="1" customWidth="1"/>
    <col min="15" max="15" width="15.1796875" bestFit="1" customWidth="1"/>
    <col min="16" max="16" width="15.453125" bestFit="1" customWidth="1"/>
    <col min="17" max="17" width="15.1796875" bestFit="1" customWidth="1"/>
    <col min="18" max="18" width="15.453125" bestFit="1" customWidth="1"/>
    <col min="19" max="19" width="15.1796875" bestFit="1" customWidth="1"/>
    <col min="20" max="20" width="15.453125" bestFit="1" customWidth="1"/>
    <col min="21" max="21" width="15.1796875" bestFit="1" customWidth="1"/>
    <col min="22" max="22" width="15.453125" bestFit="1" customWidth="1"/>
    <col min="23" max="23" width="15.1796875" bestFit="1" customWidth="1"/>
    <col min="24" max="24" width="15.453125" bestFit="1" customWidth="1"/>
    <col min="25" max="25" width="15.1796875" bestFit="1" customWidth="1"/>
    <col min="26" max="26" width="15.453125" bestFit="1" customWidth="1"/>
    <col min="27" max="27" width="15.1796875" bestFit="1" customWidth="1"/>
    <col min="28" max="28" width="15.453125" bestFit="1" customWidth="1"/>
    <col min="29" max="29" width="15.1796875" bestFit="1" customWidth="1"/>
    <col min="30" max="30" width="15.453125" bestFit="1" customWidth="1"/>
    <col min="31" max="31" width="15.1796875" bestFit="1" customWidth="1"/>
    <col min="32" max="32" width="15.453125" bestFit="1" customWidth="1"/>
    <col min="33" max="33" width="15.1796875" bestFit="1" customWidth="1"/>
    <col min="34" max="35" width="19.36328125" bestFit="1" customWidth="1"/>
    <col min="36" max="36" width="14.81640625" bestFit="1" customWidth="1"/>
  </cols>
  <sheetData>
    <row r="2" spans="1:35" ht="15" thickBot="1">
      <c r="A2" s="193"/>
      <c r="B2" s="193"/>
      <c r="C2" s="193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02"/>
      <c r="AI2" s="202"/>
    </row>
    <row r="3" spans="1:35">
      <c r="A3" s="193"/>
      <c r="B3" s="193"/>
      <c r="C3" s="193"/>
      <c r="D3" s="599">
        <v>45200</v>
      </c>
      <c r="E3" s="600"/>
      <c r="F3" s="599">
        <v>45231</v>
      </c>
      <c r="G3" s="600"/>
      <c r="H3" s="599">
        <v>45261</v>
      </c>
      <c r="I3" s="600"/>
      <c r="J3" s="599">
        <v>45292</v>
      </c>
      <c r="K3" s="600"/>
      <c r="L3" s="599">
        <v>45323</v>
      </c>
      <c r="M3" s="600"/>
      <c r="N3" s="599">
        <v>45352</v>
      </c>
      <c r="O3" s="600"/>
      <c r="P3" s="599">
        <v>45383</v>
      </c>
      <c r="Q3" s="600"/>
      <c r="R3" s="599">
        <v>45413</v>
      </c>
      <c r="S3" s="600"/>
      <c r="T3" s="599">
        <v>45444</v>
      </c>
      <c r="U3" s="600"/>
      <c r="V3" s="599">
        <v>45474</v>
      </c>
      <c r="W3" s="600"/>
      <c r="X3" s="599">
        <v>45505</v>
      </c>
      <c r="Y3" s="600"/>
      <c r="Z3" s="599">
        <v>45536</v>
      </c>
      <c r="AA3" s="600"/>
      <c r="AB3" s="599">
        <v>45566</v>
      </c>
      <c r="AC3" s="600"/>
      <c r="AD3" s="599">
        <v>45597</v>
      </c>
      <c r="AE3" s="600"/>
      <c r="AF3" s="599">
        <v>45627</v>
      </c>
      <c r="AG3" s="600"/>
      <c r="AH3" s="601" t="s">
        <v>1010</v>
      </c>
      <c r="AI3" s="602"/>
    </row>
    <row r="4" spans="1:35" ht="15" thickBot="1">
      <c r="A4" s="193"/>
      <c r="B4" s="193"/>
      <c r="C4" s="193"/>
      <c r="D4" s="203" t="s">
        <v>1011</v>
      </c>
      <c r="E4" s="203" t="s">
        <v>956</v>
      </c>
      <c r="F4" s="203" t="s">
        <v>1011</v>
      </c>
      <c r="G4" s="203" t="s">
        <v>956</v>
      </c>
      <c r="H4" s="203" t="s">
        <v>1011</v>
      </c>
      <c r="I4" s="203" t="s">
        <v>956</v>
      </c>
      <c r="J4" s="203" t="s">
        <v>1011</v>
      </c>
      <c r="K4" s="203" t="s">
        <v>956</v>
      </c>
      <c r="L4" s="203" t="s">
        <v>1011</v>
      </c>
      <c r="M4" s="203" t="s">
        <v>956</v>
      </c>
      <c r="N4" s="203" t="s">
        <v>1011</v>
      </c>
      <c r="O4" s="203" t="s">
        <v>956</v>
      </c>
      <c r="P4" s="203" t="s">
        <v>1011</v>
      </c>
      <c r="Q4" s="203" t="s">
        <v>956</v>
      </c>
      <c r="R4" s="203" t="s">
        <v>1011</v>
      </c>
      <c r="S4" s="203" t="s">
        <v>956</v>
      </c>
      <c r="T4" s="203" t="s">
        <v>1011</v>
      </c>
      <c r="U4" s="203" t="s">
        <v>956</v>
      </c>
      <c r="V4" s="203" t="s">
        <v>1011</v>
      </c>
      <c r="W4" s="203" t="s">
        <v>956</v>
      </c>
      <c r="X4" s="203" t="s">
        <v>1011</v>
      </c>
      <c r="Y4" s="203" t="s">
        <v>956</v>
      </c>
      <c r="Z4" s="203" t="s">
        <v>1011</v>
      </c>
      <c r="AA4" s="203" t="s">
        <v>956</v>
      </c>
      <c r="AB4" s="203" t="s">
        <v>1011</v>
      </c>
      <c r="AC4" s="203" t="s">
        <v>956</v>
      </c>
      <c r="AD4" s="203" t="s">
        <v>1011</v>
      </c>
      <c r="AE4" s="203" t="s">
        <v>956</v>
      </c>
      <c r="AF4" s="203" t="s">
        <v>1011</v>
      </c>
      <c r="AG4" s="203" t="s">
        <v>956</v>
      </c>
      <c r="AH4" s="204" t="s">
        <v>1011</v>
      </c>
      <c r="AI4" s="204" t="s">
        <v>956</v>
      </c>
    </row>
    <row r="5" spans="1:35" ht="15" thickBot="1">
      <c r="A5" s="193"/>
      <c r="B5" s="193"/>
      <c r="C5" s="193"/>
      <c r="D5" s="205"/>
      <c r="E5" s="205"/>
      <c r="F5" s="205"/>
      <c r="G5" s="205"/>
      <c r="H5" s="205"/>
      <c r="I5" s="205"/>
      <c r="J5" s="205"/>
      <c r="K5" s="205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02"/>
      <c r="AI5" s="202"/>
    </row>
    <row r="6" spans="1:35" ht="15" thickBot="1">
      <c r="A6" s="593" t="s">
        <v>1012</v>
      </c>
      <c r="B6" s="596" t="s">
        <v>1013</v>
      </c>
      <c r="C6" s="206" t="s">
        <v>1014</v>
      </c>
      <c r="D6" s="207">
        <v>56513</v>
      </c>
      <c r="E6" s="207">
        <v>1655793240</v>
      </c>
      <c r="F6" s="207">
        <v>50667</v>
      </c>
      <c r="G6" s="207">
        <v>1502103993</v>
      </c>
      <c r="H6" s="207">
        <v>94312</v>
      </c>
      <c r="I6" s="207">
        <v>3017108152</v>
      </c>
      <c r="J6" s="207">
        <v>79884</v>
      </c>
      <c r="K6" s="207">
        <v>2509429015</v>
      </c>
      <c r="L6" s="207">
        <v>83792</v>
      </c>
      <c r="M6" s="207">
        <v>2608217469</v>
      </c>
      <c r="N6" s="207">
        <v>96780</v>
      </c>
      <c r="O6" s="207">
        <v>3085981543</v>
      </c>
      <c r="P6" s="207">
        <v>98131</v>
      </c>
      <c r="Q6" s="207">
        <v>3031850660</v>
      </c>
      <c r="R6" s="207">
        <v>104347</v>
      </c>
      <c r="S6" s="207">
        <v>3335440240</v>
      </c>
      <c r="T6" s="207">
        <v>112462</v>
      </c>
      <c r="U6" s="208">
        <v>3542398771</v>
      </c>
      <c r="V6" s="207">
        <v>113867</v>
      </c>
      <c r="W6" s="208">
        <v>3640846823</v>
      </c>
      <c r="X6" s="207">
        <v>110930</v>
      </c>
      <c r="Y6" s="207">
        <v>3440933383</v>
      </c>
      <c r="Z6" s="207">
        <v>101530</v>
      </c>
      <c r="AA6" s="207">
        <v>3173058544</v>
      </c>
      <c r="AB6" s="207">
        <v>108204</v>
      </c>
      <c r="AC6" s="207">
        <v>3070524865</v>
      </c>
      <c r="AD6" s="207">
        <v>96174</v>
      </c>
      <c r="AE6" s="207">
        <v>2862255287</v>
      </c>
      <c r="AF6" s="207">
        <f>'[1]Donnes mois encours'!$D$18</f>
        <v>87246</v>
      </c>
      <c r="AG6" s="207">
        <f>'[1]Donnes mois encours'!$E$18</f>
        <v>2808045332</v>
      </c>
      <c r="AH6" s="209">
        <f>J6+L6+N6+P6+R6+T6+V6+X6+Z6+AB6+AD6+AF6</f>
        <v>1193347</v>
      </c>
      <c r="AI6" s="209">
        <f>K6+M6+O6+Q6+S6+U6+W6+Y6+AA6+AC6+AE6+AG6</f>
        <v>37108981932</v>
      </c>
    </row>
    <row r="7" spans="1:35" ht="15" thickBot="1">
      <c r="A7" s="594"/>
      <c r="B7" s="597"/>
      <c r="C7" s="9" t="s">
        <v>1015</v>
      </c>
      <c r="D7" s="6">
        <v>56269</v>
      </c>
      <c r="E7" s="6">
        <v>1484445290</v>
      </c>
      <c r="F7" s="6">
        <v>74503</v>
      </c>
      <c r="G7" s="6">
        <v>1818901580</v>
      </c>
      <c r="H7" s="6">
        <v>98134</v>
      </c>
      <c r="I7" s="6">
        <v>2571642068</v>
      </c>
      <c r="J7" s="6">
        <v>82873</v>
      </c>
      <c r="K7" s="6">
        <v>2390755351</v>
      </c>
      <c r="L7" s="6">
        <v>83098</v>
      </c>
      <c r="M7" s="6">
        <v>2512911561</v>
      </c>
      <c r="N7" s="6">
        <v>94303</v>
      </c>
      <c r="O7" s="6">
        <v>2733876493</v>
      </c>
      <c r="P7" s="6">
        <v>88592</v>
      </c>
      <c r="Q7" s="6">
        <v>2556632309</v>
      </c>
      <c r="R7" s="6">
        <v>90905</v>
      </c>
      <c r="S7" s="6">
        <v>2591667833</v>
      </c>
      <c r="T7" s="6">
        <v>91582</v>
      </c>
      <c r="U7" s="210">
        <v>2527924325</v>
      </c>
      <c r="V7" s="6">
        <v>93937</v>
      </c>
      <c r="W7" s="210">
        <v>2673989697</v>
      </c>
      <c r="X7" s="6">
        <v>92980</v>
      </c>
      <c r="Y7" s="6">
        <v>2476080197</v>
      </c>
      <c r="Z7" s="6">
        <v>90883</v>
      </c>
      <c r="AA7" s="6">
        <v>2493042077</v>
      </c>
      <c r="AB7" s="6">
        <v>96294</v>
      </c>
      <c r="AC7" s="6">
        <v>2506308705</v>
      </c>
      <c r="AD7" s="6">
        <v>92914</v>
      </c>
      <c r="AE7" s="6">
        <v>2483127080</v>
      </c>
      <c r="AF7" s="6">
        <f>'[1]Donnes mois encours'!$D$7</f>
        <v>106191</v>
      </c>
      <c r="AG7" s="6">
        <f>'[1]Donnes mois encours'!$E$7</f>
        <v>3040931885</v>
      </c>
      <c r="AH7" s="209">
        <f t="shared" ref="AH7:AI12" si="0">J7+L7+N7+P7+R7+T7+V7+X7+Z7+AB7+AD7+AF7</f>
        <v>1104552</v>
      </c>
      <c r="AI7" s="211">
        <f t="shared" si="0"/>
        <v>30987247513</v>
      </c>
    </row>
    <row r="8" spans="1:35" ht="4.5" customHeight="1" thickBot="1">
      <c r="A8" s="594"/>
      <c r="B8" s="16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4"/>
      <c r="V8" s="213"/>
      <c r="W8" s="214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5">
        <f t="shared" si="0"/>
        <v>0</v>
      </c>
      <c r="AI8" s="215">
        <f t="shared" si="0"/>
        <v>0</v>
      </c>
    </row>
    <row r="9" spans="1:35">
      <c r="A9" s="594"/>
      <c r="B9" s="597" t="s">
        <v>1016</v>
      </c>
      <c r="C9" s="9" t="s">
        <v>1014</v>
      </c>
      <c r="D9" s="216">
        <v>177</v>
      </c>
      <c r="E9" s="216">
        <v>4057121</v>
      </c>
      <c r="F9" s="216">
        <v>130</v>
      </c>
      <c r="G9" s="216">
        <v>2982391</v>
      </c>
      <c r="H9" s="216">
        <v>329</v>
      </c>
      <c r="I9" s="216">
        <v>8586752</v>
      </c>
      <c r="J9" s="216">
        <v>268</v>
      </c>
      <c r="K9" s="216">
        <v>5223574</v>
      </c>
      <c r="L9" s="216">
        <v>307</v>
      </c>
      <c r="M9" s="216">
        <v>7835031</v>
      </c>
      <c r="N9" s="216">
        <v>303</v>
      </c>
      <c r="O9" s="216">
        <v>8227110</v>
      </c>
      <c r="P9" s="216">
        <v>298</v>
      </c>
      <c r="Q9" s="216">
        <v>7206066</v>
      </c>
      <c r="R9" s="216">
        <v>234</v>
      </c>
      <c r="S9" s="216">
        <v>8926243</v>
      </c>
      <c r="T9" s="216">
        <v>288</v>
      </c>
      <c r="U9" s="217">
        <v>7859624</v>
      </c>
      <c r="V9" s="216">
        <v>309</v>
      </c>
      <c r="W9" s="217">
        <v>6400071</v>
      </c>
      <c r="X9" s="216">
        <v>263</v>
      </c>
      <c r="Y9" s="216">
        <v>7568952</v>
      </c>
      <c r="Z9" s="216">
        <v>239</v>
      </c>
      <c r="AA9" s="216">
        <v>7378874</v>
      </c>
      <c r="AB9" s="216">
        <v>270</v>
      </c>
      <c r="AC9" s="216">
        <v>6878670</v>
      </c>
      <c r="AD9" s="216">
        <v>230</v>
      </c>
      <c r="AE9" s="216">
        <v>6648635</v>
      </c>
      <c r="AF9" s="216">
        <f>'[1]Donnes mois encours'!$D$49</f>
        <v>184</v>
      </c>
      <c r="AG9" s="216">
        <f>'[1]Donnes mois encours'!$E$49</f>
        <v>5618217</v>
      </c>
      <c r="AH9" s="218">
        <f t="shared" si="0"/>
        <v>3193</v>
      </c>
      <c r="AI9" s="209">
        <f t="shared" si="0"/>
        <v>85771067</v>
      </c>
    </row>
    <row r="10" spans="1:35" ht="15" thickBot="1">
      <c r="A10" s="595"/>
      <c r="B10" s="598"/>
      <c r="C10" s="219" t="s">
        <v>1015</v>
      </c>
      <c r="D10" s="220">
        <v>170</v>
      </c>
      <c r="E10" s="220">
        <v>4805141</v>
      </c>
      <c r="F10" s="220">
        <v>237</v>
      </c>
      <c r="G10" s="220">
        <v>4500124</v>
      </c>
      <c r="H10" s="220">
        <v>321</v>
      </c>
      <c r="I10" s="220">
        <v>6397233</v>
      </c>
      <c r="J10" s="220">
        <v>368</v>
      </c>
      <c r="K10" s="220">
        <v>9170324</v>
      </c>
      <c r="L10" s="220">
        <v>292</v>
      </c>
      <c r="M10" s="220">
        <v>9652077</v>
      </c>
      <c r="N10" s="220">
        <v>293</v>
      </c>
      <c r="O10" s="220">
        <v>6135809</v>
      </c>
      <c r="P10" s="220">
        <v>281</v>
      </c>
      <c r="Q10" s="220">
        <v>5857653</v>
      </c>
      <c r="R10" s="220">
        <v>293</v>
      </c>
      <c r="S10" s="220">
        <v>7418352</v>
      </c>
      <c r="T10" s="220">
        <v>274</v>
      </c>
      <c r="U10" s="221">
        <v>7217727</v>
      </c>
      <c r="V10" s="220">
        <v>337</v>
      </c>
      <c r="W10" s="221">
        <v>7191057</v>
      </c>
      <c r="X10" s="220">
        <v>256</v>
      </c>
      <c r="Y10" s="220">
        <v>4449058</v>
      </c>
      <c r="Z10" s="220">
        <v>333</v>
      </c>
      <c r="AA10" s="220">
        <v>7469236</v>
      </c>
      <c r="AB10" s="220">
        <v>301</v>
      </c>
      <c r="AC10" s="220">
        <v>5471308</v>
      </c>
      <c r="AD10" s="220">
        <v>262</v>
      </c>
      <c r="AE10" s="220">
        <v>5822801</v>
      </c>
      <c r="AF10" s="220">
        <f>'[1]Donnes mois encours'!$D$30-'[1]Donnes mois encours'!$D$38</f>
        <v>301</v>
      </c>
      <c r="AG10" s="220">
        <f>'[1]Donnes mois encours'!$E$30-'[1]Donnes mois encours'!$E$38</f>
        <v>6849133</v>
      </c>
      <c r="AH10" s="222">
        <f t="shared" si="0"/>
        <v>3591</v>
      </c>
      <c r="AI10" s="211">
        <f t="shared" si="0"/>
        <v>82704535</v>
      </c>
    </row>
    <row r="11" spans="1:35" ht="15" thickBot="1">
      <c r="A11" s="193"/>
      <c r="B11" s="193"/>
      <c r="C11" s="19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02">
        <f t="shared" si="0"/>
        <v>0</v>
      </c>
      <c r="AI11" s="202">
        <f t="shared" si="0"/>
        <v>0</v>
      </c>
    </row>
    <row r="12" spans="1:35" ht="15" thickBot="1">
      <c r="A12" s="587" t="s">
        <v>1017</v>
      </c>
      <c r="B12" s="588"/>
      <c r="C12" s="588"/>
      <c r="D12" s="223">
        <f t="shared" ref="D12:AA12" si="1">+(D6-D9)-(D7-D10)</f>
        <v>237</v>
      </c>
      <c r="E12" s="223">
        <f t="shared" si="1"/>
        <v>172095970</v>
      </c>
      <c r="F12" s="416">
        <f t="shared" si="1"/>
        <v>-23729</v>
      </c>
      <c r="G12" s="416">
        <f t="shared" si="1"/>
        <v>-315279854</v>
      </c>
      <c r="H12" s="223">
        <f t="shared" si="1"/>
        <v>-3830</v>
      </c>
      <c r="I12" s="223">
        <f t="shared" si="1"/>
        <v>443276565</v>
      </c>
      <c r="J12" s="223">
        <f t="shared" si="1"/>
        <v>-2889</v>
      </c>
      <c r="K12" s="223">
        <f t="shared" si="1"/>
        <v>122620414</v>
      </c>
      <c r="L12" s="223">
        <f>+(L6-L9)-(L7-L10)</f>
        <v>679</v>
      </c>
      <c r="M12" s="223">
        <f t="shared" si="1"/>
        <v>97122954</v>
      </c>
      <c r="N12" s="223">
        <f t="shared" si="1"/>
        <v>2467</v>
      </c>
      <c r="O12" s="223">
        <f t="shared" si="1"/>
        <v>350013749</v>
      </c>
      <c r="P12" s="223">
        <f t="shared" si="1"/>
        <v>9522</v>
      </c>
      <c r="Q12" s="223">
        <f t="shared" si="1"/>
        <v>473869938</v>
      </c>
      <c r="R12" s="223">
        <f t="shared" si="1"/>
        <v>13501</v>
      </c>
      <c r="S12" s="223">
        <f t="shared" si="1"/>
        <v>742264516</v>
      </c>
      <c r="T12" s="223">
        <f t="shared" si="1"/>
        <v>20866</v>
      </c>
      <c r="U12" s="223">
        <f t="shared" si="1"/>
        <v>1013832549</v>
      </c>
      <c r="V12" s="223">
        <f t="shared" si="1"/>
        <v>19958</v>
      </c>
      <c r="W12" s="223">
        <f t="shared" si="1"/>
        <v>967648112</v>
      </c>
      <c r="X12" s="223">
        <f t="shared" si="1"/>
        <v>17943</v>
      </c>
      <c r="Y12" s="223">
        <f t="shared" si="1"/>
        <v>961733292</v>
      </c>
      <c r="Z12" s="223">
        <f t="shared" si="1"/>
        <v>10741</v>
      </c>
      <c r="AA12" s="223">
        <f t="shared" si="1"/>
        <v>680106829</v>
      </c>
      <c r="AB12" s="223">
        <f>+(AB6-AB9)-(AB7-AB10)</f>
        <v>11941</v>
      </c>
      <c r="AC12" s="223">
        <f t="shared" ref="AC12:AG12" si="2">+(AC6-AC9)-(AC7-AC10)</f>
        <v>562808798</v>
      </c>
      <c r="AD12" s="223">
        <f>+(AD6-AD9)-(AD7-AD10)</f>
        <v>3292</v>
      </c>
      <c r="AE12" s="223">
        <f t="shared" si="2"/>
        <v>378302373</v>
      </c>
      <c r="AF12" s="223">
        <f>+(AF6-AF9)-(AF7-AF10)</f>
        <v>-18828</v>
      </c>
      <c r="AG12" s="223">
        <f t="shared" si="2"/>
        <v>-231655637</v>
      </c>
      <c r="AH12" s="224">
        <f t="shared" si="0"/>
        <v>89193</v>
      </c>
      <c r="AI12" s="225">
        <f t="shared" si="0"/>
        <v>6118667887</v>
      </c>
    </row>
    <row r="13" spans="1:35" ht="15" thickBot="1">
      <c r="A13" s="587" t="s">
        <v>1018</v>
      </c>
      <c r="B13" s="588"/>
      <c r="C13" s="589"/>
      <c r="D13" s="590">
        <v>122620414</v>
      </c>
      <c r="E13" s="591"/>
      <c r="F13" s="590">
        <v>122620414</v>
      </c>
      <c r="G13" s="591"/>
      <c r="H13" s="590">
        <v>122620414</v>
      </c>
      <c r="I13" s="591"/>
      <c r="J13" s="590">
        <v>122620414</v>
      </c>
      <c r="K13" s="591"/>
      <c r="L13" s="591">
        <f>+M12</f>
        <v>97122954</v>
      </c>
      <c r="M13" s="591"/>
      <c r="N13" s="591">
        <f>+O12</f>
        <v>350013749</v>
      </c>
      <c r="O13" s="591"/>
      <c r="P13" s="591">
        <f>+Q12</f>
        <v>473869938</v>
      </c>
      <c r="Q13" s="591"/>
      <c r="R13" s="591">
        <f>+S12</f>
        <v>742264516</v>
      </c>
      <c r="S13" s="591"/>
      <c r="T13" s="591"/>
      <c r="U13" s="592"/>
      <c r="V13" s="591"/>
      <c r="W13" s="592"/>
      <c r="X13" s="591"/>
      <c r="Y13" s="592"/>
      <c r="Z13" s="591"/>
      <c r="AA13" s="592"/>
      <c r="AB13" s="591"/>
      <c r="AC13" s="592"/>
      <c r="AD13" s="591"/>
      <c r="AE13" s="592"/>
      <c r="AF13" s="591"/>
      <c r="AG13" s="592"/>
      <c r="AH13" s="585"/>
      <c r="AI13" s="586"/>
    </row>
    <row r="15" spans="1:35" ht="15" thickBot="1">
      <c r="A15" s="193"/>
      <c r="B15" s="193"/>
      <c r="C15" s="19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02"/>
      <c r="AI15" s="202"/>
    </row>
    <row r="16" spans="1:35">
      <c r="A16" s="593" t="s">
        <v>1019</v>
      </c>
      <c r="B16" s="596" t="s">
        <v>1013</v>
      </c>
      <c r="C16" s="206" t="s">
        <v>1014</v>
      </c>
      <c r="D16" s="207">
        <v>40996</v>
      </c>
      <c r="E16" s="207">
        <v>837537359</v>
      </c>
      <c r="F16" s="207">
        <v>39228</v>
      </c>
      <c r="G16" s="207">
        <v>808384715</v>
      </c>
      <c r="H16" s="207">
        <v>44516</v>
      </c>
      <c r="I16" s="207">
        <v>962493099</v>
      </c>
      <c r="J16" s="207">
        <v>31147</v>
      </c>
      <c r="K16" s="207">
        <v>671133926</v>
      </c>
      <c r="L16" s="207">
        <v>40882</v>
      </c>
      <c r="M16" s="207">
        <v>883200233</v>
      </c>
      <c r="N16" s="207">
        <v>65716</v>
      </c>
      <c r="O16" s="207">
        <v>1321288625</v>
      </c>
      <c r="P16" s="207">
        <v>58493</v>
      </c>
      <c r="Q16" s="207">
        <v>1182950601</v>
      </c>
      <c r="R16" s="207">
        <v>80398</v>
      </c>
      <c r="S16" s="207">
        <v>1602703082</v>
      </c>
      <c r="T16" s="207">
        <v>77760</v>
      </c>
      <c r="U16" s="208">
        <v>1478558058</v>
      </c>
      <c r="V16" s="207">
        <v>57663</v>
      </c>
      <c r="W16" s="208">
        <v>1192316954</v>
      </c>
      <c r="X16" s="207">
        <v>59237</v>
      </c>
      <c r="Y16" s="207">
        <v>1218109305</v>
      </c>
      <c r="Z16" s="207">
        <v>52875</v>
      </c>
      <c r="AA16" s="207">
        <v>1140917711</v>
      </c>
      <c r="AB16" s="207">
        <v>55002</v>
      </c>
      <c r="AC16" s="207">
        <v>1150246612</v>
      </c>
      <c r="AD16" s="207">
        <v>49682</v>
      </c>
      <c r="AE16" s="207">
        <v>998611656</v>
      </c>
      <c r="AF16" s="207">
        <f>'[1]Donnes mois encours'!$D$19</f>
        <v>46209</v>
      </c>
      <c r="AG16" s="207">
        <f>'[1]Donnes mois encours'!$E$19</f>
        <v>1029434119</v>
      </c>
      <c r="AH16" s="209">
        <f>J16+L16+N16+P16+R16+T16+V16+X16+Z16+AB16+AD16+AF16</f>
        <v>675064</v>
      </c>
      <c r="AI16" s="209">
        <f t="shared" ref="AI16:AI22" si="3">K16+M16+O16+Q16+S16+U16+W16+Y16+AA16+AC16+AE16+AG16</f>
        <v>13869470882</v>
      </c>
    </row>
    <row r="17" spans="1:35" ht="15" thickBot="1">
      <c r="A17" s="594"/>
      <c r="B17" s="597"/>
      <c r="C17" s="9" t="s">
        <v>1015</v>
      </c>
      <c r="D17" s="6">
        <v>5633</v>
      </c>
      <c r="E17" s="6">
        <v>210356654</v>
      </c>
      <c r="F17" s="6">
        <v>5084</v>
      </c>
      <c r="G17" s="6">
        <v>179725066</v>
      </c>
      <c r="H17" s="6">
        <v>5563</v>
      </c>
      <c r="I17" s="6">
        <v>203675837</v>
      </c>
      <c r="J17" s="6">
        <v>4328</v>
      </c>
      <c r="K17" s="6">
        <v>154939856</v>
      </c>
      <c r="L17" s="6">
        <v>4879</v>
      </c>
      <c r="M17" s="6">
        <v>178381559</v>
      </c>
      <c r="N17" s="6">
        <v>6795</v>
      </c>
      <c r="O17" s="6">
        <v>227942172</v>
      </c>
      <c r="P17" s="6">
        <v>6056</v>
      </c>
      <c r="Q17" s="6">
        <v>200391179</v>
      </c>
      <c r="R17" s="6">
        <v>6389</v>
      </c>
      <c r="S17" s="6">
        <v>217304993</v>
      </c>
      <c r="T17" s="6">
        <v>5953</v>
      </c>
      <c r="U17" s="210">
        <v>213648163</v>
      </c>
      <c r="V17" s="6">
        <v>5844</v>
      </c>
      <c r="W17" s="210">
        <v>222621504</v>
      </c>
      <c r="X17" s="6">
        <v>6753</v>
      </c>
      <c r="Y17" s="6">
        <v>253812684</v>
      </c>
      <c r="Z17" s="6">
        <v>5960</v>
      </c>
      <c r="AA17" s="6">
        <v>242724943</v>
      </c>
      <c r="AB17" s="6">
        <v>6207</v>
      </c>
      <c r="AC17" s="6">
        <v>234114576</v>
      </c>
      <c r="AD17" s="6">
        <v>6069</v>
      </c>
      <c r="AE17" s="6">
        <v>222909884</v>
      </c>
      <c r="AF17" s="6">
        <f>'[1]Donnes mois encours'!$D$9</f>
        <v>6578</v>
      </c>
      <c r="AG17" s="6">
        <f>'[1]Donnes mois encours'!$E$9</f>
        <v>230483565</v>
      </c>
      <c r="AH17" s="211">
        <f t="shared" ref="AH17:AH22" si="4">J17+L17+N17+P17+R17+T17+V17+X17+Z17+AB17+AD17+AF17</f>
        <v>71811</v>
      </c>
      <c r="AI17" s="211">
        <f t="shared" si="3"/>
        <v>2599275078</v>
      </c>
    </row>
    <row r="18" spans="1:35" ht="7.5" customHeight="1" thickBot="1">
      <c r="A18" s="594"/>
      <c r="B18" s="16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4"/>
      <c r="V18" s="213"/>
      <c r="W18" s="214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5">
        <f t="shared" si="4"/>
        <v>0</v>
      </c>
      <c r="AI18" s="215">
        <f t="shared" si="3"/>
        <v>0</v>
      </c>
    </row>
    <row r="19" spans="1:35">
      <c r="A19" s="594"/>
      <c r="B19" s="597" t="s">
        <v>1016</v>
      </c>
      <c r="C19" s="9" t="s">
        <v>1014</v>
      </c>
      <c r="D19" s="216">
        <v>39</v>
      </c>
      <c r="E19" s="216">
        <v>2048630</v>
      </c>
      <c r="F19" s="216">
        <v>19</v>
      </c>
      <c r="G19" s="216">
        <v>844500</v>
      </c>
      <c r="H19" s="216">
        <v>31</v>
      </c>
      <c r="I19" s="216">
        <v>1968000</v>
      </c>
      <c r="J19" s="216">
        <v>26</v>
      </c>
      <c r="K19" s="216">
        <v>882600</v>
      </c>
      <c r="L19" s="216">
        <v>22</v>
      </c>
      <c r="M19" s="216">
        <v>861700</v>
      </c>
      <c r="N19" s="216">
        <v>43</v>
      </c>
      <c r="O19" s="216">
        <v>2418100</v>
      </c>
      <c r="P19" s="216">
        <v>48</v>
      </c>
      <c r="Q19" s="216">
        <v>1973600</v>
      </c>
      <c r="R19" s="216">
        <v>55</v>
      </c>
      <c r="S19" s="216">
        <v>2352300</v>
      </c>
      <c r="T19" s="216">
        <v>56</v>
      </c>
      <c r="U19" s="217">
        <v>2353710</v>
      </c>
      <c r="V19" s="216">
        <v>51</v>
      </c>
      <c r="W19" s="217">
        <v>1917500</v>
      </c>
      <c r="X19" s="216">
        <v>58</v>
      </c>
      <c r="Y19" s="216">
        <v>2436915</v>
      </c>
      <c r="Z19" s="216">
        <v>57</v>
      </c>
      <c r="AA19" s="216">
        <v>2783750</v>
      </c>
      <c r="AB19" s="216">
        <v>67</v>
      </c>
      <c r="AC19" s="216">
        <v>2674174</v>
      </c>
      <c r="AD19" s="216">
        <v>49</v>
      </c>
      <c r="AE19" s="216">
        <v>4750780</v>
      </c>
      <c r="AF19" s="216">
        <f>'[1]Donnes mois encours'!$D$50</f>
        <v>39</v>
      </c>
      <c r="AG19" s="216">
        <f>'[1]Donnes mois encours'!$E$50</f>
        <v>1653300</v>
      </c>
      <c r="AH19" s="218">
        <f t="shared" si="4"/>
        <v>571</v>
      </c>
      <c r="AI19" s="209">
        <f t="shared" si="3"/>
        <v>27058429</v>
      </c>
    </row>
    <row r="20" spans="1:35" ht="15" thickBot="1">
      <c r="A20" s="595"/>
      <c r="B20" s="598"/>
      <c r="C20" s="219" t="s">
        <v>1015</v>
      </c>
      <c r="D20" s="220">
        <v>16</v>
      </c>
      <c r="E20" s="220">
        <v>666183</v>
      </c>
      <c r="F20" s="220">
        <v>20</v>
      </c>
      <c r="G20" s="220">
        <v>623938</v>
      </c>
      <c r="H20" s="220">
        <v>12</v>
      </c>
      <c r="I20" s="220">
        <v>574450</v>
      </c>
      <c r="J20" s="220">
        <v>10</v>
      </c>
      <c r="K20" s="220">
        <v>717590</v>
      </c>
      <c r="L20" s="220">
        <v>18</v>
      </c>
      <c r="M20" s="220">
        <v>559400</v>
      </c>
      <c r="N20" s="220">
        <v>24</v>
      </c>
      <c r="O20" s="220">
        <v>1400100</v>
      </c>
      <c r="P20" s="220">
        <v>23</v>
      </c>
      <c r="Q20" s="220">
        <v>648772</v>
      </c>
      <c r="R20" s="220">
        <v>12</v>
      </c>
      <c r="S20" s="220">
        <v>180500</v>
      </c>
      <c r="T20" s="220">
        <v>11</v>
      </c>
      <c r="U20" s="221">
        <v>563900</v>
      </c>
      <c r="V20" s="220">
        <v>10</v>
      </c>
      <c r="W20" s="221">
        <v>296500</v>
      </c>
      <c r="X20" s="220">
        <v>22</v>
      </c>
      <c r="Y20" s="220">
        <v>480800</v>
      </c>
      <c r="Z20" s="220">
        <v>26</v>
      </c>
      <c r="AA20" s="220">
        <v>867550</v>
      </c>
      <c r="AB20" s="220">
        <v>19</v>
      </c>
      <c r="AC20" s="220">
        <v>274150</v>
      </c>
      <c r="AD20" s="220">
        <v>10</v>
      </c>
      <c r="AE20" s="220">
        <v>387000</v>
      </c>
      <c r="AF20" s="220">
        <f>'[1]Donnes mois encours'!$D$32</f>
        <v>10</v>
      </c>
      <c r="AG20" s="220">
        <f>'[1]Donnes mois encours'!$E$32</f>
        <v>3312650</v>
      </c>
      <c r="AH20" s="222">
        <f t="shared" si="4"/>
        <v>195</v>
      </c>
      <c r="AI20" s="211">
        <f t="shared" si="3"/>
        <v>9688912</v>
      </c>
    </row>
    <row r="21" spans="1:35" ht="15" thickBot="1">
      <c r="A21" s="193"/>
      <c r="B21" s="193"/>
      <c r="C21" s="19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02">
        <f t="shared" si="4"/>
        <v>0</v>
      </c>
      <c r="AI21" s="202">
        <f t="shared" si="3"/>
        <v>0</v>
      </c>
    </row>
    <row r="22" spans="1:35" ht="15" thickBot="1">
      <c r="A22" s="587" t="s">
        <v>1017</v>
      </c>
      <c r="B22" s="588"/>
      <c r="C22" s="588"/>
      <c r="D22" s="223">
        <f t="shared" ref="D22:AC22" si="5">+(D16-D19)-(D17-D20)</f>
        <v>35340</v>
      </c>
      <c r="E22" s="223">
        <f t="shared" si="5"/>
        <v>625798258</v>
      </c>
      <c r="F22" s="223">
        <f t="shared" si="5"/>
        <v>34145</v>
      </c>
      <c r="G22" s="223">
        <f t="shared" si="5"/>
        <v>628439087</v>
      </c>
      <c r="H22" s="223">
        <f t="shared" si="5"/>
        <v>38934</v>
      </c>
      <c r="I22" s="223">
        <f t="shared" si="5"/>
        <v>757423712</v>
      </c>
      <c r="J22" s="223">
        <f t="shared" si="5"/>
        <v>26803</v>
      </c>
      <c r="K22" s="223">
        <f t="shared" si="5"/>
        <v>516029060</v>
      </c>
      <c r="L22" s="223">
        <f>+(L16-L19)-(L17-L20)</f>
        <v>35999</v>
      </c>
      <c r="M22" s="223">
        <f t="shared" si="5"/>
        <v>704516374</v>
      </c>
      <c r="N22" s="223">
        <f t="shared" si="5"/>
        <v>58902</v>
      </c>
      <c r="O22" s="223">
        <f t="shared" si="5"/>
        <v>1092328453</v>
      </c>
      <c r="P22" s="223">
        <f t="shared" si="5"/>
        <v>52412</v>
      </c>
      <c r="Q22" s="223">
        <f t="shared" si="5"/>
        <v>981234594</v>
      </c>
      <c r="R22" s="223">
        <f t="shared" si="5"/>
        <v>73966</v>
      </c>
      <c r="S22" s="223">
        <f t="shared" si="5"/>
        <v>1383226289</v>
      </c>
      <c r="T22" s="223">
        <f t="shared" si="5"/>
        <v>71762</v>
      </c>
      <c r="U22" s="223">
        <f t="shared" si="5"/>
        <v>1263120085</v>
      </c>
      <c r="V22" s="223">
        <f t="shared" si="5"/>
        <v>51778</v>
      </c>
      <c r="W22" s="223">
        <f t="shared" si="5"/>
        <v>968074450</v>
      </c>
      <c r="X22" s="223">
        <f t="shared" si="5"/>
        <v>52448</v>
      </c>
      <c r="Y22" s="223">
        <f t="shared" si="5"/>
        <v>962340506</v>
      </c>
      <c r="Z22" s="223">
        <f t="shared" si="5"/>
        <v>46884</v>
      </c>
      <c r="AA22" s="223">
        <f t="shared" si="5"/>
        <v>896276568</v>
      </c>
      <c r="AB22" s="223">
        <f t="shared" si="5"/>
        <v>48747</v>
      </c>
      <c r="AC22" s="223">
        <f t="shared" si="5"/>
        <v>913732012</v>
      </c>
      <c r="AD22" s="223">
        <f>+($AD$16-$AD$19)-($AD$17-$AD$20)</f>
        <v>43574</v>
      </c>
      <c r="AE22" s="223">
        <f>+($AE$16-$AE$19)-($AE$17-$AE$20)</f>
        <v>771337992</v>
      </c>
      <c r="AF22" s="223">
        <f>+(AF16-AF19)-(AF17-AF20)</f>
        <v>39602</v>
      </c>
      <c r="AG22" s="223">
        <f t="shared" ref="AG22" si="6">+(AG16-AG19)-(AG17-AG20)</f>
        <v>800609904</v>
      </c>
      <c r="AH22" s="224">
        <f t="shared" si="4"/>
        <v>602877</v>
      </c>
      <c r="AI22" s="225">
        <f t="shared" si="3"/>
        <v>11252826287</v>
      </c>
    </row>
    <row r="23" spans="1:35" ht="15" thickBot="1">
      <c r="A23" s="587" t="s">
        <v>1018</v>
      </c>
      <c r="B23" s="588"/>
      <c r="C23" s="589"/>
      <c r="D23" s="590">
        <f>+E22</f>
        <v>625798258</v>
      </c>
      <c r="E23" s="591"/>
      <c r="F23" s="590">
        <f>+G22</f>
        <v>628439087</v>
      </c>
      <c r="G23" s="591"/>
      <c r="H23" s="590">
        <f>+I22</f>
        <v>757423712</v>
      </c>
      <c r="I23" s="591"/>
      <c r="J23" s="590">
        <f>+K22</f>
        <v>516029060</v>
      </c>
      <c r="K23" s="591"/>
      <c r="L23" s="591">
        <f>+M22</f>
        <v>704516374</v>
      </c>
      <c r="M23" s="591"/>
      <c r="N23" s="591">
        <f>+O22</f>
        <v>1092328453</v>
      </c>
      <c r="O23" s="591"/>
      <c r="P23" s="591">
        <f>+Q22</f>
        <v>981234594</v>
      </c>
      <c r="Q23" s="591"/>
      <c r="R23" s="591"/>
      <c r="S23" s="591"/>
      <c r="T23" s="591"/>
      <c r="U23" s="592"/>
      <c r="V23" s="591"/>
      <c r="W23" s="592"/>
      <c r="X23" s="591"/>
      <c r="Y23" s="592"/>
      <c r="Z23" s="591"/>
      <c r="AA23" s="592"/>
      <c r="AB23" s="591"/>
      <c r="AC23" s="592"/>
      <c r="AD23" s="591"/>
      <c r="AE23" s="592"/>
      <c r="AF23" s="591"/>
      <c r="AG23" s="592"/>
      <c r="AH23" s="585"/>
      <c r="AI23" s="586"/>
    </row>
    <row r="26" spans="1:35" ht="15" thickBot="1">
      <c r="A26" s="193"/>
      <c r="B26" s="193"/>
      <c r="C26" s="19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02"/>
      <c r="AI26" s="202"/>
    </row>
    <row r="27" spans="1:35">
      <c r="A27" s="593" t="s">
        <v>1020</v>
      </c>
      <c r="B27" s="596" t="s">
        <v>1013</v>
      </c>
      <c r="C27" s="206" t="s">
        <v>1014</v>
      </c>
      <c r="D27" s="207">
        <v>12333</v>
      </c>
      <c r="E27" s="207">
        <v>540692301</v>
      </c>
      <c r="F27" s="207">
        <v>12317</v>
      </c>
      <c r="G27" s="207">
        <v>559287423</v>
      </c>
      <c r="H27" s="207">
        <v>14021</v>
      </c>
      <c r="I27" s="207">
        <v>595854478</v>
      </c>
      <c r="J27" s="207">
        <v>11448</v>
      </c>
      <c r="K27" s="207">
        <v>527395246</v>
      </c>
      <c r="L27" s="207">
        <v>11858</v>
      </c>
      <c r="M27" s="207">
        <v>581249632</v>
      </c>
      <c r="N27" s="207">
        <v>13722</v>
      </c>
      <c r="O27" s="207">
        <v>622985306</v>
      </c>
      <c r="P27" s="207">
        <v>12830</v>
      </c>
      <c r="Q27" s="207">
        <v>560447944</v>
      </c>
      <c r="R27" s="207">
        <v>13550</v>
      </c>
      <c r="S27" s="207">
        <v>612391045</v>
      </c>
      <c r="T27" s="207">
        <v>13218</v>
      </c>
      <c r="U27" s="208">
        <v>558824282</v>
      </c>
      <c r="V27" s="207">
        <v>13090</v>
      </c>
      <c r="W27" s="208">
        <v>628941244</v>
      </c>
      <c r="X27" s="207">
        <v>12860</v>
      </c>
      <c r="Y27" s="207">
        <v>618626373</v>
      </c>
      <c r="Z27" s="207">
        <v>13063</v>
      </c>
      <c r="AA27" s="207">
        <v>626047391</v>
      </c>
      <c r="AB27" s="207">
        <v>13595</v>
      </c>
      <c r="AC27" s="207">
        <v>617977527</v>
      </c>
      <c r="AD27" s="207">
        <v>12601</v>
      </c>
      <c r="AE27" s="207">
        <v>591984167</v>
      </c>
      <c r="AF27" s="207">
        <f>'[1]Donnes mois encours'!$D$21</f>
        <v>11313</v>
      </c>
      <c r="AG27" s="207">
        <f>'[1]Donnes mois encours'!$E$21</f>
        <v>577841370</v>
      </c>
      <c r="AH27" s="209">
        <f t="shared" ref="AH27:AI33" si="7">J27+L27+N27+P27+R27+T27+V27+X27+Z27+AB27+AD27+AF27</f>
        <v>153148</v>
      </c>
      <c r="AI27" s="209">
        <f t="shared" si="7"/>
        <v>7124711527</v>
      </c>
    </row>
    <row r="28" spans="1:35" ht="15" thickBot="1">
      <c r="A28" s="594"/>
      <c r="B28" s="597"/>
      <c r="C28" s="9" t="s">
        <v>1015</v>
      </c>
      <c r="D28" s="6">
        <v>2018</v>
      </c>
      <c r="E28" s="6">
        <v>65963169</v>
      </c>
      <c r="F28" s="6">
        <v>1921</v>
      </c>
      <c r="G28" s="6">
        <v>63820718</v>
      </c>
      <c r="H28" s="6">
        <v>2136</v>
      </c>
      <c r="I28" s="6">
        <v>74977703</v>
      </c>
      <c r="J28" s="6">
        <v>2026</v>
      </c>
      <c r="K28" s="6">
        <v>70647552</v>
      </c>
      <c r="L28" s="6">
        <v>1859</v>
      </c>
      <c r="M28" s="6">
        <v>77430218</v>
      </c>
      <c r="N28" s="6">
        <v>2241</v>
      </c>
      <c r="O28" s="6">
        <v>79812753</v>
      </c>
      <c r="P28" s="6">
        <v>2099</v>
      </c>
      <c r="Q28" s="6">
        <v>78294451</v>
      </c>
      <c r="R28" s="6">
        <v>2072</v>
      </c>
      <c r="S28" s="6">
        <v>80804297</v>
      </c>
      <c r="T28" s="6">
        <v>1931</v>
      </c>
      <c r="U28" s="210">
        <v>75362129</v>
      </c>
      <c r="V28" s="6">
        <v>2005</v>
      </c>
      <c r="W28" s="210">
        <v>67621193</v>
      </c>
      <c r="X28" s="6">
        <v>1963</v>
      </c>
      <c r="Y28" s="6">
        <v>61709766</v>
      </c>
      <c r="Z28" s="6">
        <v>2039</v>
      </c>
      <c r="AA28" s="6">
        <v>60246461</v>
      </c>
      <c r="AB28" s="6">
        <v>2291</v>
      </c>
      <c r="AC28" s="6">
        <v>67895741</v>
      </c>
      <c r="AD28" s="6">
        <v>2092</v>
      </c>
      <c r="AE28" s="6">
        <v>68146739</v>
      </c>
      <c r="AF28" s="6">
        <f>'[1]Donnes mois encours'!$D$10</f>
        <v>2217</v>
      </c>
      <c r="AG28" s="6">
        <f>'[1]Donnes mois encours'!$E$10</f>
        <v>82630281</v>
      </c>
      <c r="AH28" s="211">
        <f t="shared" si="7"/>
        <v>24835</v>
      </c>
      <c r="AI28" s="211">
        <f t="shared" si="7"/>
        <v>870601581</v>
      </c>
    </row>
    <row r="29" spans="1:35" ht="6.75" customHeight="1" thickBot="1">
      <c r="A29" s="594"/>
      <c r="B29" s="16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4"/>
      <c r="V29" s="213"/>
      <c r="W29" s="214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5">
        <f t="shared" si="7"/>
        <v>0</v>
      </c>
      <c r="AI29" s="215">
        <f t="shared" si="7"/>
        <v>0</v>
      </c>
    </row>
    <row r="30" spans="1:35">
      <c r="A30" s="594"/>
      <c r="B30" s="597" t="s">
        <v>1016</v>
      </c>
      <c r="C30" s="9" t="s">
        <v>1014</v>
      </c>
      <c r="D30" s="216">
        <v>42</v>
      </c>
      <c r="E30" s="216">
        <v>1256164</v>
      </c>
      <c r="F30" s="216">
        <v>25</v>
      </c>
      <c r="G30" s="216">
        <v>587500</v>
      </c>
      <c r="H30" s="216">
        <v>42</v>
      </c>
      <c r="I30" s="216">
        <v>1676550</v>
      </c>
      <c r="J30" s="216">
        <v>52</v>
      </c>
      <c r="K30" s="216">
        <v>1624525</v>
      </c>
      <c r="L30" s="216">
        <v>34</v>
      </c>
      <c r="M30" s="216">
        <v>1258984</v>
      </c>
      <c r="N30" s="216">
        <v>37</v>
      </c>
      <c r="O30" s="216">
        <v>1318200</v>
      </c>
      <c r="P30" s="216">
        <v>33</v>
      </c>
      <c r="Q30" s="216">
        <v>1116400</v>
      </c>
      <c r="R30" s="216">
        <v>50</v>
      </c>
      <c r="S30" s="216">
        <v>2156798</v>
      </c>
      <c r="T30" s="216">
        <v>35</v>
      </c>
      <c r="U30" s="217">
        <v>1520400</v>
      </c>
      <c r="V30" s="216">
        <v>56</v>
      </c>
      <c r="W30" s="217">
        <v>1872296</v>
      </c>
      <c r="X30" s="216">
        <v>32</v>
      </c>
      <c r="Y30" s="216">
        <v>1258460</v>
      </c>
      <c r="Z30" s="216">
        <v>30</v>
      </c>
      <c r="AA30" s="216">
        <v>911900</v>
      </c>
      <c r="AB30" s="216">
        <v>37</v>
      </c>
      <c r="AC30" s="216">
        <v>1000350</v>
      </c>
      <c r="AD30" s="216">
        <v>33</v>
      </c>
      <c r="AE30" s="216">
        <v>717600</v>
      </c>
      <c r="AF30" s="216">
        <f>'[1]Donnes mois encours'!$D$52</f>
        <v>28</v>
      </c>
      <c r="AG30" s="216">
        <f>'[1]Donnes mois encours'!$E$52</f>
        <v>1056034</v>
      </c>
      <c r="AH30" s="218">
        <f t="shared" si="7"/>
        <v>457</v>
      </c>
      <c r="AI30" s="209">
        <f t="shared" si="7"/>
        <v>15811947</v>
      </c>
    </row>
    <row r="31" spans="1:35" ht="15" thickBot="1">
      <c r="A31" s="595"/>
      <c r="B31" s="598"/>
      <c r="C31" s="219" t="s">
        <v>1015</v>
      </c>
      <c r="D31" s="220">
        <v>1</v>
      </c>
      <c r="E31" s="220">
        <v>1100</v>
      </c>
      <c r="F31" s="220">
        <v>1</v>
      </c>
      <c r="G31" s="220">
        <v>3531</v>
      </c>
      <c r="H31" s="220">
        <v>4</v>
      </c>
      <c r="I31" s="220">
        <v>482000</v>
      </c>
      <c r="J31" s="220">
        <v>2</v>
      </c>
      <c r="K31" s="220">
        <v>104900</v>
      </c>
      <c r="L31" s="220">
        <v>7</v>
      </c>
      <c r="M31" s="220">
        <v>260310</v>
      </c>
      <c r="N31" s="220">
        <v>4</v>
      </c>
      <c r="O31" s="220">
        <v>168738</v>
      </c>
      <c r="P31" s="220">
        <v>4</v>
      </c>
      <c r="Q31" s="220">
        <v>77600</v>
      </c>
      <c r="R31" s="220">
        <v>5</v>
      </c>
      <c r="S31" s="220">
        <v>239000</v>
      </c>
      <c r="T31" s="220">
        <v>3</v>
      </c>
      <c r="U31" s="221">
        <v>90000</v>
      </c>
      <c r="V31" s="220">
        <v>3</v>
      </c>
      <c r="W31" s="221">
        <v>65100</v>
      </c>
      <c r="X31" s="220">
        <v>3</v>
      </c>
      <c r="Y31" s="220">
        <v>57000</v>
      </c>
      <c r="Z31" s="220">
        <v>1</v>
      </c>
      <c r="AA31" s="220">
        <v>5000</v>
      </c>
      <c r="AB31" s="220">
        <v>2</v>
      </c>
      <c r="AC31" s="220">
        <v>18000</v>
      </c>
      <c r="AD31" s="220">
        <v>2</v>
      </c>
      <c r="AE31" s="220">
        <v>21550</v>
      </c>
      <c r="AF31" s="220">
        <f>'[1]Donnes mois encours'!$D$31</f>
        <v>6</v>
      </c>
      <c r="AG31" s="220">
        <f>'[1]Donnes mois encours'!$E$31</f>
        <v>6755000</v>
      </c>
      <c r="AH31" s="222">
        <f t="shared" si="7"/>
        <v>42</v>
      </c>
      <c r="AI31" s="211">
        <f t="shared" si="7"/>
        <v>7862198</v>
      </c>
    </row>
    <row r="32" spans="1:35" ht="15" thickBot="1">
      <c r="A32" s="193"/>
      <c r="B32" s="193"/>
      <c r="C32" s="19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02">
        <f t="shared" si="7"/>
        <v>0</v>
      </c>
      <c r="AI32" s="202">
        <f t="shared" si="7"/>
        <v>0</v>
      </c>
    </row>
    <row r="33" spans="1:36" ht="15" thickBot="1">
      <c r="A33" s="587" t="s">
        <v>1017</v>
      </c>
      <c r="B33" s="588"/>
      <c r="C33" s="588"/>
      <c r="D33" s="223">
        <f t="shared" ref="D33:AC33" si="8">+(D27-D30)-(D28-D31)</f>
        <v>10274</v>
      </c>
      <c r="E33" s="223">
        <f t="shared" si="8"/>
        <v>473474068</v>
      </c>
      <c r="F33" s="223">
        <f t="shared" si="8"/>
        <v>10372</v>
      </c>
      <c r="G33" s="223">
        <f t="shared" si="8"/>
        <v>494882736</v>
      </c>
      <c r="H33" s="223">
        <f t="shared" si="8"/>
        <v>11847</v>
      </c>
      <c r="I33" s="223">
        <f t="shared" si="8"/>
        <v>519682225</v>
      </c>
      <c r="J33" s="223">
        <f t="shared" si="8"/>
        <v>9372</v>
      </c>
      <c r="K33" s="223">
        <f t="shared" si="8"/>
        <v>455228069</v>
      </c>
      <c r="L33" s="223">
        <f>+(L27-L30)-(L28-L31)</f>
        <v>9972</v>
      </c>
      <c r="M33" s="223">
        <f t="shared" si="8"/>
        <v>502820740</v>
      </c>
      <c r="N33" s="223">
        <f t="shared" si="8"/>
        <v>11448</v>
      </c>
      <c r="O33" s="223">
        <f t="shared" si="8"/>
        <v>542023091</v>
      </c>
      <c r="P33" s="223">
        <f t="shared" si="8"/>
        <v>10702</v>
      </c>
      <c r="Q33" s="223">
        <f t="shared" si="8"/>
        <v>481114693</v>
      </c>
      <c r="R33" s="223">
        <f t="shared" si="8"/>
        <v>11433</v>
      </c>
      <c r="S33" s="223">
        <f t="shared" si="8"/>
        <v>529668950</v>
      </c>
      <c r="T33" s="223">
        <f t="shared" si="8"/>
        <v>11255</v>
      </c>
      <c r="U33" s="223">
        <f t="shared" si="8"/>
        <v>482031753</v>
      </c>
      <c r="V33" s="223">
        <f t="shared" si="8"/>
        <v>11032</v>
      </c>
      <c r="W33" s="223">
        <f t="shared" si="8"/>
        <v>559512855</v>
      </c>
      <c r="X33" s="223">
        <f t="shared" si="8"/>
        <v>10868</v>
      </c>
      <c r="Y33" s="223">
        <f t="shared" si="8"/>
        <v>555715147</v>
      </c>
      <c r="Z33" s="223">
        <f t="shared" si="8"/>
        <v>10995</v>
      </c>
      <c r="AA33" s="223">
        <f t="shared" si="8"/>
        <v>564894030</v>
      </c>
      <c r="AB33" s="223">
        <f t="shared" si="8"/>
        <v>11269</v>
      </c>
      <c r="AC33" s="223">
        <f t="shared" si="8"/>
        <v>549099436</v>
      </c>
      <c r="AD33" s="223">
        <f>+($AD$27-$AD$30)-($AD$28-$AD$31)</f>
        <v>10478</v>
      </c>
      <c r="AE33" s="223">
        <f>+($AE$27-$AE$30)-($AE$28-$AE$31)</f>
        <v>523141378</v>
      </c>
      <c r="AF33" s="223">
        <f>+(AF27-AF30)-(AF28-AF31)</f>
        <v>9074</v>
      </c>
      <c r="AG33" s="223">
        <f t="shared" ref="AG33" si="9">+(AG27-AG30)-(AG28-AG31)</f>
        <v>500910055</v>
      </c>
      <c r="AH33" s="224">
        <f t="shared" si="7"/>
        <v>127898</v>
      </c>
      <c r="AI33" s="225">
        <f t="shared" si="7"/>
        <v>6246160197</v>
      </c>
      <c r="AJ33" s="193"/>
    </row>
    <row r="34" spans="1:36" ht="15" thickBot="1">
      <c r="A34" s="587" t="s">
        <v>1018</v>
      </c>
      <c r="B34" s="588"/>
      <c r="C34" s="589"/>
      <c r="D34" s="590">
        <f>+E33</f>
        <v>473474068</v>
      </c>
      <c r="E34" s="591"/>
      <c r="F34" s="590">
        <f>+G33</f>
        <v>494882736</v>
      </c>
      <c r="G34" s="591"/>
      <c r="H34" s="590">
        <f>+I33</f>
        <v>519682225</v>
      </c>
      <c r="I34" s="591"/>
      <c r="J34" s="590">
        <f>+K33</f>
        <v>455228069</v>
      </c>
      <c r="K34" s="591"/>
      <c r="L34" s="591">
        <f>+M33</f>
        <v>502820740</v>
      </c>
      <c r="M34" s="591"/>
      <c r="N34" s="591">
        <f>+O33</f>
        <v>542023091</v>
      </c>
      <c r="O34" s="591"/>
      <c r="P34" s="591">
        <f>+Q33</f>
        <v>481114693</v>
      </c>
      <c r="Q34" s="591"/>
      <c r="R34" s="591" t="s">
        <v>1021</v>
      </c>
      <c r="S34" s="591"/>
      <c r="T34" s="591"/>
      <c r="U34" s="592"/>
      <c r="V34" s="591"/>
      <c r="W34" s="592"/>
      <c r="X34" s="591"/>
      <c r="Y34" s="592"/>
      <c r="Z34" s="591"/>
      <c r="AA34" s="592"/>
      <c r="AB34" s="591"/>
      <c r="AC34" s="592"/>
      <c r="AD34" s="591"/>
      <c r="AE34" s="592"/>
      <c r="AF34" s="591"/>
      <c r="AG34" s="592"/>
      <c r="AH34" s="585"/>
      <c r="AI34" s="586"/>
      <c r="AJ34" s="193"/>
    </row>
    <row r="36" spans="1:36" ht="15" thickBot="1">
      <c r="A36" s="193"/>
      <c r="B36" s="193"/>
      <c r="C36" s="19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02"/>
      <c r="AI36" s="202"/>
      <c r="AJ36" s="193"/>
    </row>
    <row r="37" spans="1:36">
      <c r="A37" s="593" t="s">
        <v>1022</v>
      </c>
      <c r="B37" s="596" t="s">
        <v>1013</v>
      </c>
      <c r="C37" s="206" t="s">
        <v>1014</v>
      </c>
      <c r="D37" s="207">
        <v>17775</v>
      </c>
      <c r="E37" s="207">
        <v>710241453</v>
      </c>
      <c r="F37" s="207">
        <v>18107</v>
      </c>
      <c r="G37" s="207">
        <v>689323677</v>
      </c>
      <c r="H37" s="207">
        <v>18504</v>
      </c>
      <c r="I37" s="207">
        <v>787491708</v>
      </c>
      <c r="J37" s="207">
        <v>22137</v>
      </c>
      <c r="K37" s="207">
        <v>935317882</v>
      </c>
      <c r="L37" s="207">
        <v>22663</v>
      </c>
      <c r="M37" s="207">
        <v>854274855</v>
      </c>
      <c r="N37" s="207">
        <v>28001</v>
      </c>
      <c r="O37" s="207">
        <v>1036382269</v>
      </c>
      <c r="P37" s="207">
        <v>35861</v>
      </c>
      <c r="Q37" s="207">
        <v>1272588369</v>
      </c>
      <c r="R37" s="207">
        <v>38204</v>
      </c>
      <c r="S37" s="207">
        <v>1317242016</v>
      </c>
      <c r="T37" s="207">
        <v>32521</v>
      </c>
      <c r="U37" s="208">
        <v>1112365389</v>
      </c>
      <c r="V37" s="207">
        <v>31579</v>
      </c>
      <c r="W37" s="208">
        <v>1160491600</v>
      </c>
      <c r="X37" s="207">
        <v>31112</v>
      </c>
      <c r="Y37" s="207">
        <v>1114417538</v>
      </c>
      <c r="Z37" s="207">
        <v>30961</v>
      </c>
      <c r="AA37" s="207">
        <v>1127417921</v>
      </c>
      <c r="AB37" s="207">
        <v>32124</v>
      </c>
      <c r="AC37" s="207">
        <v>1143634728</v>
      </c>
      <c r="AD37" s="207">
        <v>27738</v>
      </c>
      <c r="AE37" s="207">
        <v>1015353279</v>
      </c>
      <c r="AF37" s="207">
        <f>'[1]Donnes mois encours'!$D$20</f>
        <v>22780</v>
      </c>
      <c r="AG37" s="207">
        <f>'[1]Donnes mois encours'!$E$20</f>
        <v>951986234</v>
      </c>
      <c r="AH37" s="209">
        <f t="shared" ref="AH37:AI43" si="10">J37+L37+N37+P37+R37+T37+V37+X37+Z37+AB37+AD37+AF37</f>
        <v>355681</v>
      </c>
      <c r="AI37" s="209">
        <f t="shared" si="10"/>
        <v>13041472080</v>
      </c>
      <c r="AJ37" s="193"/>
    </row>
    <row r="38" spans="1:36" ht="15" thickBot="1">
      <c r="A38" s="594"/>
      <c r="B38" s="597"/>
      <c r="C38" s="9" t="s">
        <v>1015</v>
      </c>
      <c r="D38" s="6">
        <v>11267</v>
      </c>
      <c r="E38" s="6">
        <v>315334127</v>
      </c>
      <c r="F38" s="6">
        <v>12417</v>
      </c>
      <c r="G38" s="6">
        <v>335082505</v>
      </c>
      <c r="H38" s="6">
        <v>14223</v>
      </c>
      <c r="I38" s="6">
        <v>421594872</v>
      </c>
      <c r="J38" s="6">
        <v>13096</v>
      </c>
      <c r="K38" s="6">
        <v>439795878</v>
      </c>
      <c r="L38" s="6">
        <v>13748</v>
      </c>
      <c r="M38" s="6">
        <v>470889133</v>
      </c>
      <c r="N38" s="6">
        <v>14213</v>
      </c>
      <c r="O38" s="6">
        <v>482291656</v>
      </c>
      <c r="P38" s="6">
        <v>13847</v>
      </c>
      <c r="Q38" s="6">
        <v>462848231</v>
      </c>
      <c r="R38" s="6">
        <v>13367</v>
      </c>
      <c r="S38" s="6">
        <v>415524131</v>
      </c>
      <c r="T38" s="6">
        <v>11839</v>
      </c>
      <c r="U38" s="210">
        <v>356648224</v>
      </c>
      <c r="V38" s="6">
        <v>11626</v>
      </c>
      <c r="W38" s="210">
        <v>380759045</v>
      </c>
      <c r="X38" s="6">
        <v>8786</v>
      </c>
      <c r="Y38" s="6">
        <v>294731098</v>
      </c>
      <c r="Z38" s="6">
        <v>9784</v>
      </c>
      <c r="AA38" s="6">
        <v>326117044</v>
      </c>
      <c r="AB38" s="6">
        <v>12191</v>
      </c>
      <c r="AC38" s="6">
        <v>371148790</v>
      </c>
      <c r="AD38" s="6">
        <v>11056</v>
      </c>
      <c r="AE38" s="6">
        <v>357964295</v>
      </c>
      <c r="AF38" s="6">
        <f>'[1]Donnes mois encours'!$D$8</f>
        <v>13212</v>
      </c>
      <c r="AG38" s="6">
        <f>'[1]Donnes mois encours'!$E$8</f>
        <v>462996782</v>
      </c>
      <c r="AH38" s="211">
        <f t="shared" si="10"/>
        <v>146765</v>
      </c>
      <c r="AI38" s="211">
        <f t="shared" si="10"/>
        <v>4821714307</v>
      </c>
      <c r="AJ38" s="193"/>
    </row>
    <row r="39" spans="1:36" ht="7.5" customHeight="1" thickBot="1">
      <c r="A39" s="594"/>
      <c r="B39" s="16"/>
      <c r="C39" s="212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4"/>
      <c r="V39" s="213"/>
      <c r="W39" s="214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5">
        <f t="shared" si="10"/>
        <v>0</v>
      </c>
      <c r="AI39" s="215">
        <f t="shared" si="10"/>
        <v>0</v>
      </c>
      <c r="AJ39" s="193"/>
    </row>
    <row r="40" spans="1:36">
      <c r="A40" s="594"/>
      <c r="B40" s="597" t="s">
        <v>1016</v>
      </c>
      <c r="C40" s="9" t="s">
        <v>1014</v>
      </c>
      <c r="D40" s="216">
        <v>31</v>
      </c>
      <c r="E40" s="216">
        <v>2284238</v>
      </c>
      <c r="F40" s="216">
        <v>63</v>
      </c>
      <c r="G40" s="216">
        <v>3093815</v>
      </c>
      <c r="H40" s="216">
        <v>64</v>
      </c>
      <c r="I40" s="216">
        <v>1166350</v>
      </c>
      <c r="J40" s="216">
        <v>62</v>
      </c>
      <c r="K40" s="216">
        <v>1360908</v>
      </c>
      <c r="L40" s="216">
        <v>75</v>
      </c>
      <c r="M40" s="216">
        <v>1717976</v>
      </c>
      <c r="N40" s="216">
        <v>75</v>
      </c>
      <c r="O40" s="216">
        <v>2237956</v>
      </c>
      <c r="P40" s="216">
        <v>100</v>
      </c>
      <c r="Q40" s="216">
        <v>2957877</v>
      </c>
      <c r="R40" s="216">
        <v>108</v>
      </c>
      <c r="S40" s="216">
        <v>2026130</v>
      </c>
      <c r="T40" s="216">
        <v>65</v>
      </c>
      <c r="U40" s="217">
        <v>3837396</v>
      </c>
      <c r="V40" s="216">
        <v>101</v>
      </c>
      <c r="W40" s="217">
        <v>3171344</v>
      </c>
      <c r="X40" s="216">
        <v>103</v>
      </c>
      <c r="Y40" s="216">
        <v>3190900</v>
      </c>
      <c r="Z40" s="216">
        <v>85</v>
      </c>
      <c r="AA40" s="216">
        <v>3432512</v>
      </c>
      <c r="AB40" s="216">
        <v>111</v>
      </c>
      <c r="AC40" s="216">
        <v>5527839</v>
      </c>
      <c r="AD40" s="216">
        <v>73</v>
      </c>
      <c r="AE40" s="216">
        <v>2445123</v>
      </c>
      <c r="AF40" s="216">
        <f>'[1]Donnes mois encours'!$D$51</f>
        <v>39</v>
      </c>
      <c r="AG40" s="216">
        <f>'[1]Donnes mois encours'!$E$51</f>
        <v>1611790</v>
      </c>
      <c r="AH40" s="218">
        <f t="shared" si="10"/>
        <v>997</v>
      </c>
      <c r="AI40" s="209">
        <f t="shared" si="10"/>
        <v>33517751</v>
      </c>
      <c r="AJ40" s="193"/>
    </row>
    <row r="41" spans="1:36" ht="15" thickBot="1">
      <c r="A41" s="595"/>
      <c r="B41" s="598"/>
      <c r="C41" s="219" t="s">
        <v>1015</v>
      </c>
      <c r="D41" s="220">
        <v>68</v>
      </c>
      <c r="E41" s="220">
        <v>1177523</v>
      </c>
      <c r="F41" s="220">
        <v>26</v>
      </c>
      <c r="G41" s="220">
        <v>804501</v>
      </c>
      <c r="H41" s="220">
        <v>31</v>
      </c>
      <c r="I41" s="220">
        <v>716835</v>
      </c>
      <c r="J41" s="220">
        <v>29</v>
      </c>
      <c r="K41" s="220">
        <v>728035</v>
      </c>
      <c r="L41" s="220">
        <v>23</v>
      </c>
      <c r="M41" s="220">
        <v>323315</v>
      </c>
      <c r="N41" s="220">
        <v>19</v>
      </c>
      <c r="O41" s="220">
        <v>576300</v>
      </c>
      <c r="P41" s="220">
        <v>37</v>
      </c>
      <c r="Q41" s="220">
        <v>692148</v>
      </c>
      <c r="R41" s="220">
        <v>25</v>
      </c>
      <c r="S41" s="220">
        <v>482450</v>
      </c>
      <c r="T41" s="220">
        <v>24</v>
      </c>
      <c r="U41" s="221">
        <v>763550</v>
      </c>
      <c r="V41" s="220">
        <v>22</v>
      </c>
      <c r="W41" s="221">
        <v>446990</v>
      </c>
      <c r="X41" s="220">
        <v>17</v>
      </c>
      <c r="Y41" s="220">
        <v>850300</v>
      </c>
      <c r="Z41" s="220">
        <v>16</v>
      </c>
      <c r="AA41" s="220">
        <v>695004</v>
      </c>
      <c r="AB41" s="220">
        <v>15</v>
      </c>
      <c r="AC41" s="220">
        <v>375600</v>
      </c>
      <c r="AD41" s="220">
        <v>26</v>
      </c>
      <c r="AE41" s="220">
        <v>991994</v>
      </c>
      <c r="AF41" s="220">
        <f>'[1]Donnes mois encours'!$D$33</f>
        <v>29</v>
      </c>
      <c r="AG41" s="220">
        <f>'[1]Donnes mois encours'!$E$33</f>
        <v>1560087</v>
      </c>
      <c r="AH41" s="222">
        <f t="shared" si="10"/>
        <v>282</v>
      </c>
      <c r="AI41" s="211">
        <f t="shared" si="10"/>
        <v>8485773</v>
      </c>
      <c r="AJ41" s="193"/>
    </row>
    <row r="42" spans="1:36" ht="15" thickBot="1">
      <c r="A42" s="193"/>
      <c r="B42" s="193"/>
      <c r="C42" s="19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02">
        <f t="shared" si="10"/>
        <v>0</v>
      </c>
      <c r="AI42" s="202">
        <f t="shared" si="10"/>
        <v>0</v>
      </c>
      <c r="AJ42" s="193"/>
    </row>
    <row r="43" spans="1:36" ht="15" thickBot="1">
      <c r="A43" s="587" t="s">
        <v>1017</v>
      </c>
      <c r="B43" s="588"/>
      <c r="C43" s="588"/>
      <c r="D43" s="223">
        <f t="shared" ref="D43:AC43" si="11">+(D37-D40)-(D38-D41)</f>
        <v>6545</v>
      </c>
      <c r="E43" s="223">
        <f t="shared" si="11"/>
        <v>393800611</v>
      </c>
      <c r="F43" s="223">
        <f t="shared" si="11"/>
        <v>5653</v>
      </c>
      <c r="G43" s="223">
        <f t="shared" si="11"/>
        <v>351951858</v>
      </c>
      <c r="H43" s="223">
        <f t="shared" si="11"/>
        <v>4248</v>
      </c>
      <c r="I43" s="223">
        <f t="shared" si="11"/>
        <v>365447321</v>
      </c>
      <c r="J43" s="223">
        <f t="shared" si="11"/>
        <v>9008</v>
      </c>
      <c r="K43" s="223">
        <f t="shared" si="11"/>
        <v>494889131</v>
      </c>
      <c r="L43" s="223">
        <f>+(L37-L40)-(L38-L41)</f>
        <v>8863</v>
      </c>
      <c r="M43" s="223">
        <f t="shared" si="11"/>
        <v>381991061</v>
      </c>
      <c r="N43" s="223">
        <f t="shared" si="11"/>
        <v>13732</v>
      </c>
      <c r="O43" s="223">
        <f t="shared" si="11"/>
        <v>552428957</v>
      </c>
      <c r="P43" s="223">
        <f t="shared" si="11"/>
        <v>21951</v>
      </c>
      <c r="Q43" s="223">
        <f t="shared" si="11"/>
        <v>807474409</v>
      </c>
      <c r="R43" s="223">
        <f t="shared" si="11"/>
        <v>24754</v>
      </c>
      <c r="S43" s="223">
        <f t="shared" si="11"/>
        <v>900174205</v>
      </c>
      <c r="T43" s="223">
        <f t="shared" si="11"/>
        <v>20641</v>
      </c>
      <c r="U43" s="223">
        <f t="shared" si="11"/>
        <v>752643319</v>
      </c>
      <c r="V43" s="223">
        <f t="shared" si="11"/>
        <v>19874</v>
      </c>
      <c r="W43" s="223">
        <f t="shared" si="11"/>
        <v>777008201</v>
      </c>
      <c r="X43" s="223">
        <f t="shared" si="11"/>
        <v>22240</v>
      </c>
      <c r="Y43" s="223">
        <f t="shared" si="11"/>
        <v>817345840</v>
      </c>
      <c r="Z43" s="223">
        <f t="shared" si="11"/>
        <v>21108</v>
      </c>
      <c r="AA43" s="223">
        <f t="shared" si="11"/>
        <v>798563369</v>
      </c>
      <c r="AB43" s="223">
        <f t="shared" si="11"/>
        <v>19837</v>
      </c>
      <c r="AC43" s="223">
        <f t="shared" si="11"/>
        <v>767333699</v>
      </c>
      <c r="AD43" s="223">
        <f>+($AD$37-$AD$40)-($AD$38-$AD$41)</f>
        <v>16635</v>
      </c>
      <c r="AE43" s="223">
        <f>+($AE$37-$AE$40)-($AE$38-$AE$41)</f>
        <v>655935855</v>
      </c>
      <c r="AF43" s="223">
        <f>+(AF37-AF40)-(AF38-AF41)</f>
        <v>9558</v>
      </c>
      <c r="AG43" s="223">
        <f t="shared" ref="AG43" si="12">+(AG37-AG40)-(AG38-AG41)</f>
        <v>488937749</v>
      </c>
      <c r="AH43" s="224">
        <f t="shared" si="10"/>
        <v>208201</v>
      </c>
      <c r="AI43" s="225">
        <f t="shared" si="10"/>
        <v>8194725795</v>
      </c>
      <c r="AJ43" s="193"/>
    </row>
    <row r="44" spans="1:36" ht="15" thickBot="1">
      <c r="A44" s="587" t="s">
        <v>1018</v>
      </c>
      <c r="B44" s="588"/>
      <c r="C44" s="589"/>
      <c r="D44" s="590" t="s">
        <v>1021</v>
      </c>
      <c r="E44" s="591"/>
      <c r="F44" s="590" t="s">
        <v>1021</v>
      </c>
      <c r="G44" s="591"/>
      <c r="H44" s="590" t="s">
        <v>1021</v>
      </c>
      <c r="I44" s="591"/>
      <c r="J44" s="590" t="s">
        <v>1021</v>
      </c>
      <c r="K44" s="591"/>
      <c r="L44" s="591" t="s">
        <v>1021</v>
      </c>
      <c r="M44" s="591"/>
      <c r="N44" s="591" t="s">
        <v>1021</v>
      </c>
      <c r="O44" s="591"/>
      <c r="P44" s="591" t="s">
        <v>1021</v>
      </c>
      <c r="Q44" s="591"/>
      <c r="R44" s="591" t="s">
        <v>1021</v>
      </c>
      <c r="S44" s="591"/>
      <c r="T44" s="591"/>
      <c r="U44" s="592"/>
      <c r="V44" s="591"/>
      <c r="W44" s="592"/>
      <c r="X44" s="591"/>
      <c r="Y44" s="592"/>
      <c r="Z44" s="591"/>
      <c r="AA44" s="592"/>
      <c r="AB44" s="591"/>
      <c r="AC44" s="592"/>
      <c r="AD44" s="591"/>
      <c r="AE44" s="592"/>
      <c r="AF44" s="591"/>
      <c r="AG44" s="592"/>
      <c r="AH44" s="585"/>
      <c r="AI44" s="586"/>
      <c r="AJ44" s="193"/>
    </row>
    <row r="46" spans="1:36" ht="15" thickBot="1">
      <c r="A46" s="193"/>
      <c r="B46" s="193"/>
      <c r="C46" s="19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02"/>
      <c r="AI46" s="202"/>
      <c r="AJ46" s="193"/>
    </row>
    <row r="47" spans="1:36">
      <c r="A47" s="593" t="s">
        <v>1079</v>
      </c>
      <c r="B47" s="596" t="s">
        <v>1013</v>
      </c>
      <c r="C47" s="206" t="s">
        <v>1014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>
        <v>0</v>
      </c>
      <c r="U47" s="208">
        <v>0</v>
      </c>
      <c r="V47" s="207">
        <v>0</v>
      </c>
      <c r="W47" s="208">
        <v>0</v>
      </c>
      <c r="X47" s="207">
        <v>0</v>
      </c>
      <c r="Y47" s="207"/>
      <c r="Z47" s="207">
        <v>0</v>
      </c>
      <c r="AA47" s="207">
        <v>0</v>
      </c>
      <c r="AB47" s="207">
        <v>0</v>
      </c>
      <c r="AC47" s="207">
        <v>0</v>
      </c>
      <c r="AD47" s="207">
        <v>0</v>
      </c>
      <c r="AE47" s="207">
        <v>0</v>
      </c>
      <c r="AF47" s="207"/>
      <c r="AG47" s="207"/>
      <c r="AH47" s="209">
        <f t="shared" ref="AH47:AI53" si="13">J47+L47+N47+P47+R47+T47+V47+X47+Z47+AB47+AD47+AF47</f>
        <v>0</v>
      </c>
      <c r="AI47" s="209">
        <f t="shared" si="13"/>
        <v>0</v>
      </c>
      <c r="AJ47" s="90">
        <v>1411340816</v>
      </c>
    </row>
    <row r="48" spans="1:36" ht="15" thickBot="1">
      <c r="A48" s="594"/>
      <c r="B48" s="597"/>
      <c r="C48" s="9" t="s">
        <v>1015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43</v>
      </c>
      <c r="U48" s="210">
        <v>467784</v>
      </c>
      <c r="V48" s="6">
        <v>155</v>
      </c>
      <c r="W48" s="210">
        <v>3125200</v>
      </c>
      <c r="X48" s="6">
        <v>0</v>
      </c>
      <c r="Y48" s="6">
        <v>2196825</v>
      </c>
      <c r="Z48" s="6">
        <v>246</v>
      </c>
      <c r="AA48" s="6">
        <v>5223634</v>
      </c>
      <c r="AB48" s="6">
        <v>319</v>
      </c>
      <c r="AC48" s="6">
        <v>4498088</v>
      </c>
      <c r="AD48" s="6">
        <v>294</v>
      </c>
      <c r="AE48" s="6">
        <v>7966041</v>
      </c>
      <c r="AF48" s="6">
        <f>'[1]Donnes mois encours'!$D$11</f>
        <v>327</v>
      </c>
      <c r="AG48" s="6">
        <f>'[1]Donnes mois encours'!$E$11</f>
        <v>6179003</v>
      </c>
      <c r="AH48" s="211">
        <f t="shared" si="13"/>
        <v>1384</v>
      </c>
      <c r="AI48" s="211">
        <f t="shared" si="13"/>
        <v>29656575</v>
      </c>
      <c r="AJ48" s="193"/>
    </row>
    <row r="49" spans="1:36" ht="7.5" customHeight="1" thickBot="1">
      <c r="A49" s="594"/>
      <c r="B49" s="16"/>
      <c r="C49" s="212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4"/>
      <c r="V49" s="213"/>
      <c r="W49" s="214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5">
        <f t="shared" si="13"/>
        <v>0</v>
      </c>
      <c r="AI49" s="215">
        <f t="shared" si="13"/>
        <v>0</v>
      </c>
      <c r="AJ49" s="193"/>
    </row>
    <row r="50" spans="1:36">
      <c r="A50" s="594"/>
      <c r="B50" s="597" t="s">
        <v>1016</v>
      </c>
      <c r="C50" s="9" t="s">
        <v>1014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>
        <v>0</v>
      </c>
      <c r="U50" s="217">
        <v>0</v>
      </c>
      <c r="V50" s="216"/>
      <c r="W50" s="217"/>
      <c r="X50" s="216">
        <v>0</v>
      </c>
      <c r="Y50" s="216"/>
      <c r="Z50" s="216"/>
      <c r="AA50" s="216"/>
      <c r="AB50" s="216"/>
      <c r="AC50" s="216"/>
      <c r="AD50" s="216"/>
      <c r="AE50" s="216"/>
      <c r="AF50" s="216"/>
      <c r="AG50" s="216"/>
      <c r="AH50" s="218">
        <f t="shared" si="13"/>
        <v>0</v>
      </c>
      <c r="AI50" s="209">
        <f t="shared" si="13"/>
        <v>0</v>
      </c>
      <c r="AJ50" s="193"/>
    </row>
    <row r="51" spans="1:36" ht="15" thickBot="1">
      <c r="A51" s="595"/>
      <c r="B51" s="598"/>
      <c r="C51" s="219" t="s">
        <v>1015</v>
      </c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>
        <v>0</v>
      </c>
      <c r="U51" s="221">
        <v>0</v>
      </c>
      <c r="V51" s="220"/>
      <c r="W51" s="221"/>
      <c r="X51" s="220">
        <v>9</v>
      </c>
      <c r="Y51" s="220">
        <v>109300</v>
      </c>
      <c r="Z51" s="220">
        <v>4</v>
      </c>
      <c r="AA51" s="220">
        <v>71550</v>
      </c>
      <c r="AB51" s="220">
        <v>2</v>
      </c>
      <c r="AC51" s="220">
        <v>46000</v>
      </c>
      <c r="AD51" s="220">
        <v>5</v>
      </c>
      <c r="AE51" s="220">
        <v>150500</v>
      </c>
      <c r="AF51" s="220">
        <f>+'[1]Donnes mois encours'!$D$34</f>
        <v>9</v>
      </c>
      <c r="AG51" s="220">
        <f>+'[1]Donnes mois encours'!$E$34</f>
        <v>381200</v>
      </c>
      <c r="AH51" s="222">
        <f t="shared" si="13"/>
        <v>29</v>
      </c>
      <c r="AI51" s="211">
        <f t="shared" si="13"/>
        <v>758550</v>
      </c>
      <c r="AJ51" s="193"/>
    </row>
    <row r="52" spans="1:36" ht="15" thickBot="1">
      <c r="A52" s="193"/>
      <c r="B52" s="193"/>
      <c r="C52" s="19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02">
        <f t="shared" si="13"/>
        <v>0</v>
      </c>
      <c r="AI52" s="202">
        <f t="shared" si="13"/>
        <v>0</v>
      </c>
      <c r="AJ52" s="193"/>
    </row>
    <row r="53" spans="1:36" ht="15" thickBot="1">
      <c r="A53" s="587" t="s">
        <v>1017</v>
      </c>
      <c r="B53" s="588"/>
      <c r="C53" s="588"/>
      <c r="D53" s="223">
        <f t="shared" ref="D53:Y53" si="14">+(D47-D50)-(D48-D51)</f>
        <v>0</v>
      </c>
      <c r="E53" s="223">
        <f t="shared" si="14"/>
        <v>0</v>
      </c>
      <c r="F53" s="223">
        <f t="shared" si="14"/>
        <v>0</v>
      </c>
      <c r="G53" s="223">
        <f t="shared" si="14"/>
        <v>0</v>
      </c>
      <c r="H53" s="223">
        <f t="shared" si="14"/>
        <v>0</v>
      </c>
      <c r="I53" s="223">
        <f t="shared" si="14"/>
        <v>0</v>
      </c>
      <c r="J53" s="223">
        <f t="shared" si="14"/>
        <v>0</v>
      </c>
      <c r="K53" s="223">
        <f t="shared" si="14"/>
        <v>0</v>
      </c>
      <c r="L53" s="223">
        <f t="shared" si="14"/>
        <v>0</v>
      </c>
      <c r="M53" s="223">
        <f t="shared" si="14"/>
        <v>0</v>
      </c>
      <c r="N53" s="223">
        <f t="shared" si="14"/>
        <v>0</v>
      </c>
      <c r="O53" s="223">
        <f t="shared" si="14"/>
        <v>0</v>
      </c>
      <c r="P53" s="223">
        <f t="shared" si="14"/>
        <v>0</v>
      </c>
      <c r="Q53" s="223">
        <f t="shared" si="14"/>
        <v>0</v>
      </c>
      <c r="R53" s="223">
        <f t="shared" si="14"/>
        <v>0</v>
      </c>
      <c r="S53" s="223">
        <f t="shared" si="14"/>
        <v>0</v>
      </c>
      <c r="T53" s="223">
        <f>+(T47-T50)-(T48-T51)</f>
        <v>-43</v>
      </c>
      <c r="U53" s="223">
        <f t="shared" si="14"/>
        <v>-467784</v>
      </c>
      <c r="V53" s="223">
        <f t="shared" si="14"/>
        <v>-155</v>
      </c>
      <c r="W53" s="223">
        <f t="shared" si="14"/>
        <v>-3125200</v>
      </c>
      <c r="X53" s="223">
        <f t="shared" si="14"/>
        <v>9</v>
      </c>
      <c r="Y53" s="223">
        <f t="shared" si="14"/>
        <v>-2087525</v>
      </c>
      <c r="Z53" s="223">
        <f>+(Z47-Z50)-(Z48-Z51)</f>
        <v>-242</v>
      </c>
      <c r="AA53" s="223">
        <f>+(AA47-AA50)-(AA48-AA51)</f>
        <v>-5152084</v>
      </c>
      <c r="AB53" s="223">
        <f t="shared" ref="AB53:AC53" si="15">+(AB47-AB50)-(AB48-AB51)</f>
        <v>-317</v>
      </c>
      <c r="AC53" s="223">
        <f t="shared" si="15"/>
        <v>-4452088</v>
      </c>
      <c r="AD53" s="223">
        <f>+($AD$47-$AD$50)-($AD$48-$AD$51)</f>
        <v>-289</v>
      </c>
      <c r="AE53" s="223">
        <f>+($AE$47-$AE$50)-($AE$48-$AE$51)</f>
        <v>-7815541</v>
      </c>
      <c r="AF53" s="223">
        <f>+(AF47-AF50)-(AF48-AF51)</f>
        <v>-318</v>
      </c>
      <c r="AG53" s="223">
        <f t="shared" ref="AG53" si="16">+(AG47-AG50)-(AG48-AG51)</f>
        <v>-5797803</v>
      </c>
      <c r="AH53" s="224">
        <f t="shared" si="13"/>
        <v>-1355</v>
      </c>
      <c r="AI53" s="225">
        <f t="shared" si="13"/>
        <v>-28898025</v>
      </c>
      <c r="AJ53" s="22">
        <f>+AJ47-AI48+AI51</f>
        <v>1382442791</v>
      </c>
    </row>
    <row r="54" spans="1:36" ht="15" thickBot="1">
      <c r="A54" s="587" t="s">
        <v>1018</v>
      </c>
      <c r="B54" s="588"/>
      <c r="C54" s="589"/>
      <c r="D54" s="590" t="s">
        <v>1021</v>
      </c>
      <c r="E54" s="591"/>
      <c r="F54" s="590" t="s">
        <v>1021</v>
      </c>
      <c r="G54" s="591"/>
      <c r="H54" s="590" t="s">
        <v>1021</v>
      </c>
      <c r="I54" s="591"/>
      <c r="J54" s="590" t="s">
        <v>1021</v>
      </c>
      <c r="K54" s="591"/>
      <c r="L54" s="591" t="s">
        <v>1021</v>
      </c>
      <c r="M54" s="591"/>
      <c r="N54" s="591" t="s">
        <v>1021</v>
      </c>
      <c r="O54" s="591"/>
      <c r="P54" s="591" t="s">
        <v>1021</v>
      </c>
      <c r="Q54" s="591"/>
      <c r="R54" s="591" t="s">
        <v>1021</v>
      </c>
      <c r="S54" s="591"/>
      <c r="T54" s="591"/>
      <c r="U54" s="592"/>
      <c r="V54" s="591"/>
      <c r="W54" s="592"/>
      <c r="X54" s="591"/>
      <c r="Y54" s="592"/>
      <c r="Z54" s="591"/>
      <c r="AA54" s="592"/>
      <c r="AB54" s="591"/>
      <c r="AC54" s="592"/>
      <c r="AD54" s="591"/>
      <c r="AE54" s="592"/>
      <c r="AF54" s="591"/>
      <c r="AG54" s="592"/>
      <c r="AH54" s="585"/>
      <c r="AI54" s="586"/>
      <c r="AJ54" s="193"/>
    </row>
    <row r="55" spans="1:36">
      <c r="A55" s="193"/>
      <c r="B55" s="193"/>
      <c r="C55" s="19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02"/>
      <c r="AI55" s="202"/>
      <c r="AJ55" s="193"/>
    </row>
    <row r="57" spans="1:36" hidden="1">
      <c r="A57" s="193"/>
      <c r="B57" s="193"/>
      <c r="C57" s="193"/>
      <c r="D57" s="21"/>
      <c r="E57" s="21">
        <f>+E6+E16+E27+E37</f>
        <v>3744264353</v>
      </c>
      <c r="F57" s="21"/>
      <c r="G57" s="21">
        <f>+G6+G16+G27+G37</f>
        <v>3559099808</v>
      </c>
      <c r="H57" s="21"/>
      <c r="I57" s="21">
        <f>+I6+I16+I27+I37</f>
        <v>5362947437</v>
      </c>
      <c r="J57" s="21"/>
      <c r="K57" s="21">
        <f>+K6+K16+K27+K37</f>
        <v>4643276069</v>
      </c>
      <c r="L57" s="21"/>
      <c r="M57" s="21">
        <f t="shared" ref="M57:Y57" si="17">+M6+M16+M27+M37</f>
        <v>4926942189</v>
      </c>
      <c r="N57" s="21"/>
      <c r="O57" s="21">
        <f t="shared" si="17"/>
        <v>6066637743</v>
      </c>
      <c r="P57" s="21"/>
      <c r="Q57" s="21">
        <f t="shared" si="17"/>
        <v>6047837574</v>
      </c>
      <c r="R57" s="21"/>
      <c r="S57" s="21">
        <f t="shared" si="17"/>
        <v>6867776383</v>
      </c>
      <c r="T57" s="21"/>
      <c r="U57" s="21">
        <f t="shared" si="17"/>
        <v>6692146500</v>
      </c>
      <c r="V57" s="21"/>
      <c r="W57" s="21">
        <f t="shared" si="17"/>
        <v>6622596621</v>
      </c>
      <c r="X57" s="21"/>
      <c r="Y57" s="21">
        <f t="shared" si="17"/>
        <v>6392086599</v>
      </c>
      <c r="Z57" s="21"/>
      <c r="AA57" s="21">
        <f>+AA6+AA16+AA27+AA37</f>
        <v>6067441567</v>
      </c>
      <c r="AB57" s="21"/>
      <c r="AC57" s="21">
        <f>+AC6+AC16+AC27+AC37</f>
        <v>5982383732</v>
      </c>
      <c r="AD57" s="21"/>
      <c r="AE57" s="21">
        <f>+AE6+AE16+AE27+AE37</f>
        <v>5468204389</v>
      </c>
      <c r="AF57" s="21"/>
      <c r="AG57" s="21"/>
      <c r="AH57" s="202"/>
      <c r="AI57" s="202"/>
      <c r="AJ57" s="193"/>
    </row>
    <row r="58" spans="1:36" hidden="1">
      <c r="A58" s="193"/>
      <c r="B58" s="193"/>
      <c r="C58" s="19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02"/>
      <c r="AI58" s="202"/>
      <c r="AJ58" s="193"/>
    </row>
    <row r="59" spans="1:36" hidden="1">
      <c r="A59" s="193"/>
      <c r="B59" s="193"/>
      <c r="C59" s="193"/>
      <c r="D59" s="21"/>
      <c r="E59" s="21">
        <f>+AVERAGE(E57,G57,I57,K57,M57,O57,Q57,S57)</f>
        <v>5152347694.5</v>
      </c>
      <c r="F59" s="21"/>
      <c r="G59" s="21">
        <f>+AVERAGE(G57,I57,K57,M57,O57,Q57,S57,U57)</f>
        <v>5520832962.875</v>
      </c>
      <c r="H59" s="21"/>
      <c r="I59" s="21">
        <f>+AVERAGE(I57,K57,M57,O57,Q57,S57,U57,W57)</f>
        <v>5903770064.5</v>
      </c>
      <c r="J59" s="21"/>
      <c r="K59" s="21">
        <f>+AVERAGE(K57,M57,O57,Q57,S57,U57,W57,Y57)</f>
        <v>6032412459.75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02"/>
      <c r="AI59" s="202"/>
      <c r="AJ59" s="193"/>
    </row>
    <row r="60" spans="1:36">
      <c r="A60" s="193"/>
      <c r="B60" s="193"/>
      <c r="C60" s="193"/>
      <c r="D60" s="21"/>
      <c r="E60" s="21">
        <f>+E6-E7+E16-E17+E27-E28+E37-E38</f>
        <v>1668165113</v>
      </c>
      <c r="F60" s="21">
        <f t="shared" ref="F60:AG60" si="18">+F6-F7+F16-F17+F27-F28+F37-F38</f>
        <v>26394</v>
      </c>
      <c r="G60" s="21">
        <f t="shared" si="18"/>
        <v>1161569939</v>
      </c>
      <c r="H60" s="21">
        <f t="shared" si="18"/>
        <v>51297</v>
      </c>
      <c r="I60" s="21">
        <f t="shared" si="18"/>
        <v>2091056957</v>
      </c>
      <c r="J60" s="21">
        <f t="shared" si="18"/>
        <v>42293</v>
      </c>
      <c r="K60" s="21">
        <f t="shared" si="18"/>
        <v>1587137432</v>
      </c>
      <c r="L60" s="21">
        <f t="shared" si="18"/>
        <v>55611</v>
      </c>
      <c r="M60" s="21">
        <f t="shared" si="18"/>
        <v>1687329718</v>
      </c>
      <c r="N60" s="21">
        <f t="shared" si="18"/>
        <v>86667</v>
      </c>
      <c r="O60" s="21">
        <f t="shared" si="18"/>
        <v>2542714669</v>
      </c>
      <c r="P60" s="21">
        <f t="shared" si="18"/>
        <v>94721</v>
      </c>
      <c r="Q60" s="21">
        <f t="shared" si="18"/>
        <v>2749671404</v>
      </c>
      <c r="R60" s="21">
        <f t="shared" si="18"/>
        <v>123766</v>
      </c>
      <c r="S60" s="21">
        <f t="shared" si="18"/>
        <v>3562475129</v>
      </c>
      <c r="T60" s="21">
        <f t="shared" si="18"/>
        <v>124656</v>
      </c>
      <c r="U60" s="21">
        <f t="shared" si="18"/>
        <v>3518563659</v>
      </c>
      <c r="V60" s="21">
        <f t="shared" si="18"/>
        <v>102787</v>
      </c>
      <c r="W60" s="21">
        <f t="shared" si="18"/>
        <v>3277605182</v>
      </c>
      <c r="X60" s="21">
        <f t="shared" si="18"/>
        <v>103657</v>
      </c>
      <c r="Y60" s="21">
        <f t="shared" si="18"/>
        <v>3305752854</v>
      </c>
      <c r="Z60" s="21">
        <f t="shared" si="18"/>
        <v>89763</v>
      </c>
      <c r="AA60" s="21">
        <f t="shared" si="18"/>
        <v>2945311042</v>
      </c>
      <c r="AB60" s="21">
        <f t="shared" si="18"/>
        <v>91942</v>
      </c>
      <c r="AC60" s="21">
        <f t="shared" si="18"/>
        <v>2802915920</v>
      </c>
      <c r="AD60" s="21">
        <f t="shared" si="18"/>
        <v>74064</v>
      </c>
      <c r="AE60" s="21">
        <f t="shared" si="18"/>
        <v>2336056391</v>
      </c>
      <c r="AF60" s="21">
        <f t="shared" si="18"/>
        <v>39350</v>
      </c>
      <c r="AG60" s="21">
        <f t="shared" si="18"/>
        <v>1550264542</v>
      </c>
      <c r="AH60" s="202"/>
      <c r="AI60" s="202"/>
      <c r="AJ60" s="193"/>
    </row>
    <row r="61" spans="1:36">
      <c r="A61" s="193"/>
      <c r="B61" s="193"/>
      <c r="C61" s="19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02"/>
      <c r="AI61" s="202"/>
      <c r="AJ61" s="193"/>
    </row>
    <row r="63" spans="1:36">
      <c r="K63" s="21">
        <v>1587137432</v>
      </c>
      <c r="L63" s="21"/>
      <c r="M63" s="21">
        <v>1687329718</v>
      </c>
      <c r="N63" s="21"/>
      <c r="O63" s="21">
        <v>2542714669</v>
      </c>
      <c r="P63" s="21"/>
      <c r="Q63" s="21">
        <v>2749671404</v>
      </c>
      <c r="R63" s="21"/>
      <c r="S63" s="21">
        <v>3562475129</v>
      </c>
      <c r="T63" s="21"/>
      <c r="U63" s="21">
        <v>3518563659</v>
      </c>
      <c r="V63" s="21"/>
      <c r="W63" s="21">
        <v>3277605182</v>
      </c>
      <c r="X63" s="21"/>
      <c r="Y63" s="21">
        <v>3305752854</v>
      </c>
      <c r="Z63" s="21"/>
      <c r="AA63" s="509">
        <v>2945311042</v>
      </c>
      <c r="AB63" s="21"/>
      <c r="AC63" s="21">
        <v>2802915920</v>
      </c>
      <c r="AD63" s="21"/>
      <c r="AE63" s="21">
        <v>2336056391</v>
      </c>
      <c r="AG63" s="21">
        <v>1550264542</v>
      </c>
    </row>
    <row r="66" spans="11:33">
      <c r="K66" s="22">
        <f>+K60-K63</f>
        <v>0</v>
      </c>
      <c r="L66" s="22">
        <f t="shared" ref="L66:AG66" si="19">+L60-L63</f>
        <v>55611</v>
      </c>
      <c r="M66" s="22">
        <f t="shared" si="19"/>
        <v>0</v>
      </c>
      <c r="N66" s="22">
        <f t="shared" si="19"/>
        <v>86667</v>
      </c>
      <c r="O66" s="22">
        <f t="shared" si="19"/>
        <v>0</v>
      </c>
      <c r="P66" s="22">
        <f t="shared" si="19"/>
        <v>94721</v>
      </c>
      <c r="Q66" s="22">
        <f t="shared" si="19"/>
        <v>0</v>
      </c>
      <c r="R66" s="22">
        <f t="shared" si="19"/>
        <v>123766</v>
      </c>
      <c r="S66" s="22">
        <f t="shared" si="19"/>
        <v>0</v>
      </c>
      <c r="T66" s="22">
        <f t="shared" si="19"/>
        <v>124656</v>
      </c>
      <c r="U66" s="22">
        <f t="shared" si="19"/>
        <v>0</v>
      </c>
      <c r="V66" s="22">
        <f t="shared" si="19"/>
        <v>102787</v>
      </c>
      <c r="W66" s="22">
        <f t="shared" si="19"/>
        <v>0</v>
      </c>
      <c r="X66" s="22">
        <f t="shared" si="19"/>
        <v>103657</v>
      </c>
      <c r="Y66" s="22">
        <f t="shared" si="19"/>
        <v>0</v>
      </c>
      <c r="Z66" s="22">
        <f t="shared" si="19"/>
        <v>89763</v>
      </c>
      <c r="AA66" s="22">
        <f t="shared" si="19"/>
        <v>0</v>
      </c>
      <c r="AB66" s="22">
        <f t="shared" si="19"/>
        <v>91942</v>
      </c>
      <c r="AC66" s="22">
        <f t="shared" si="19"/>
        <v>0</v>
      </c>
      <c r="AD66" s="22">
        <f t="shared" si="19"/>
        <v>74064</v>
      </c>
      <c r="AE66" s="22">
        <f t="shared" si="19"/>
        <v>0</v>
      </c>
      <c r="AG66" s="22">
        <f t="shared" si="19"/>
        <v>0</v>
      </c>
    </row>
  </sheetData>
  <mergeCells count="121">
    <mergeCell ref="X54:Y54"/>
    <mergeCell ref="Z54:AA54"/>
    <mergeCell ref="AB54:AC54"/>
    <mergeCell ref="AD54:AE54"/>
    <mergeCell ref="AF54:AG54"/>
    <mergeCell ref="AH54:AI54"/>
    <mergeCell ref="L54:M54"/>
    <mergeCell ref="N54:O54"/>
    <mergeCell ref="P54:Q54"/>
    <mergeCell ref="R54:S54"/>
    <mergeCell ref="T54:U54"/>
    <mergeCell ref="V54:W54"/>
    <mergeCell ref="A53:C53"/>
    <mergeCell ref="A54:C54"/>
    <mergeCell ref="D54:E54"/>
    <mergeCell ref="F54:G54"/>
    <mergeCell ref="H54:I54"/>
    <mergeCell ref="J54:K54"/>
    <mergeCell ref="AD44:AE44"/>
    <mergeCell ref="AF44:AG44"/>
    <mergeCell ref="AH44:AI44"/>
    <mergeCell ref="A47:A51"/>
    <mergeCell ref="B47:B48"/>
    <mergeCell ref="B50:B51"/>
    <mergeCell ref="R44:S44"/>
    <mergeCell ref="T44:U44"/>
    <mergeCell ref="V44:W44"/>
    <mergeCell ref="X44:Y44"/>
    <mergeCell ref="Z44:AA44"/>
    <mergeCell ref="AB44:AC44"/>
    <mergeCell ref="F44:G44"/>
    <mergeCell ref="H44:I44"/>
    <mergeCell ref="J44:K44"/>
    <mergeCell ref="L44:M44"/>
    <mergeCell ref="N44:O44"/>
    <mergeCell ref="P44:Q44"/>
    <mergeCell ref="A37:A41"/>
    <mergeCell ref="B37:B38"/>
    <mergeCell ref="B40:B41"/>
    <mergeCell ref="A43:C43"/>
    <mergeCell ref="A44:C44"/>
    <mergeCell ref="D44:E44"/>
    <mergeCell ref="X34:Y34"/>
    <mergeCell ref="Z34:AA34"/>
    <mergeCell ref="AB34:AC34"/>
    <mergeCell ref="AD34:AE34"/>
    <mergeCell ref="AF34:AG34"/>
    <mergeCell ref="AH34:AI34"/>
    <mergeCell ref="L34:M34"/>
    <mergeCell ref="N34:O34"/>
    <mergeCell ref="P34:Q34"/>
    <mergeCell ref="R34:S34"/>
    <mergeCell ref="T34:U34"/>
    <mergeCell ref="V34:W34"/>
    <mergeCell ref="AD23:AE23"/>
    <mergeCell ref="AF23:AG23"/>
    <mergeCell ref="AH23:AI23"/>
    <mergeCell ref="A27:A31"/>
    <mergeCell ref="B27:B28"/>
    <mergeCell ref="B30:B31"/>
    <mergeCell ref="R23:S23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A22:C22"/>
    <mergeCell ref="A23:C23"/>
    <mergeCell ref="D23:E23"/>
    <mergeCell ref="X13:Y13"/>
    <mergeCell ref="Z13:AA13"/>
    <mergeCell ref="AB13:AC13"/>
    <mergeCell ref="A33:C33"/>
    <mergeCell ref="A34:C34"/>
    <mergeCell ref="D34:E34"/>
    <mergeCell ref="F34:G34"/>
    <mergeCell ref="H34:I34"/>
    <mergeCell ref="J34:K34"/>
    <mergeCell ref="AH13:AI13"/>
    <mergeCell ref="L13:M13"/>
    <mergeCell ref="N13:O13"/>
    <mergeCell ref="P13:Q13"/>
    <mergeCell ref="R13:S13"/>
    <mergeCell ref="T13:U13"/>
    <mergeCell ref="V13:W13"/>
    <mergeCell ref="A16:A20"/>
    <mergeCell ref="B16:B17"/>
    <mergeCell ref="B19:B20"/>
    <mergeCell ref="A12:C12"/>
    <mergeCell ref="A13:C13"/>
    <mergeCell ref="D13:E13"/>
    <mergeCell ref="F13:G13"/>
    <mergeCell ref="H13:I13"/>
    <mergeCell ref="J13:K13"/>
    <mergeCell ref="AB3:AC3"/>
    <mergeCell ref="AD3:AE3"/>
    <mergeCell ref="AF3:AG3"/>
    <mergeCell ref="AD13:AE13"/>
    <mergeCell ref="AF13:AG13"/>
    <mergeCell ref="AH3:AI3"/>
    <mergeCell ref="A6:A10"/>
    <mergeCell ref="B6:B7"/>
    <mergeCell ref="B9:B10"/>
    <mergeCell ref="P3:Q3"/>
    <mergeCell ref="R3:S3"/>
    <mergeCell ref="T3:U3"/>
    <mergeCell ref="V3:W3"/>
    <mergeCell ref="X3:Y3"/>
    <mergeCell ref="Z3:AA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F103"/>
  <sheetViews>
    <sheetView zoomScale="90" zoomScaleNormal="90" workbookViewId="0">
      <pane xSplit="1" ySplit="2" topLeftCell="EF30" activePane="bottomRight" state="frozen"/>
      <selection activeCell="EL99" sqref="EL99"/>
      <selection pane="topRight" activeCell="EL99" sqref="EL99"/>
      <selection pane="bottomLeft" activeCell="EL99" sqref="EL99"/>
      <selection pane="bottomRight" activeCell="EI100" sqref="EI100"/>
    </sheetView>
  </sheetViews>
  <sheetFormatPr baseColWidth="10" defaultColWidth="10" defaultRowHeight="12"/>
  <cols>
    <col min="1" max="1" width="27" style="474" bestFit="1" customWidth="1"/>
    <col min="2" max="2" width="15.90625" style="474" bestFit="1" customWidth="1"/>
    <col min="3" max="3" width="10.1796875" style="474" bestFit="1" customWidth="1"/>
    <col min="4" max="4" width="17.1796875" style="474" bestFit="1" customWidth="1"/>
    <col min="5" max="5" width="10.90625" style="474" bestFit="1" customWidth="1"/>
    <col min="6" max="6" width="10.1796875" style="474" bestFit="1" customWidth="1"/>
    <col min="7" max="9" width="11.36328125" style="474" customWidth="1"/>
    <col min="10" max="14" width="10.1796875" style="474" bestFit="1" customWidth="1"/>
    <col min="15" max="15" width="10.90625" style="474" bestFit="1" customWidth="1"/>
    <col min="16" max="16" width="14.1796875" style="474" bestFit="1" customWidth="1"/>
    <col min="17" max="18" width="10.1796875" style="474" bestFit="1" customWidth="1"/>
    <col min="19" max="19" width="12.81640625" style="474" bestFit="1" customWidth="1"/>
    <col min="20" max="22" width="10.1796875" style="474" bestFit="1" customWidth="1"/>
    <col min="23" max="23" width="11.6328125" style="474" bestFit="1" customWidth="1"/>
    <col min="24" max="24" width="15.54296875" style="474" bestFit="1" customWidth="1"/>
    <col min="25" max="25" width="12.453125" style="474" customWidth="1"/>
    <col min="26" max="27" width="10.1796875" style="474" bestFit="1" customWidth="1"/>
    <col min="28" max="28" width="14.81640625" style="474" bestFit="1" customWidth="1"/>
    <col min="29" max="29" width="15.54296875" style="474" bestFit="1" customWidth="1"/>
    <col min="30" max="30" width="10.1796875" style="474" bestFit="1" customWidth="1"/>
    <col min="31" max="31" width="12.453125" style="474" bestFit="1" customWidth="1"/>
    <col min="32" max="32" width="13.90625" style="474" bestFit="1" customWidth="1"/>
    <col min="33" max="34" width="10.1796875" style="474" bestFit="1" customWidth="1"/>
    <col min="35" max="35" width="11.6328125" style="474" bestFit="1" customWidth="1"/>
    <col min="36" max="36" width="16.08984375" style="474" bestFit="1" customWidth="1"/>
    <col min="37" max="37" width="10.81640625" style="474" bestFit="1" customWidth="1"/>
    <col min="38" max="38" width="12.453125" style="474" bestFit="1" customWidth="1"/>
    <col min="39" max="39" width="13.08984375" style="474" customWidth="1"/>
    <col min="40" max="42" width="10.1796875" style="474" bestFit="1" customWidth="1"/>
    <col min="43" max="43" width="14.1796875" style="474" bestFit="1" customWidth="1"/>
    <col min="44" max="44" width="10.1796875" style="474" bestFit="1" customWidth="1"/>
    <col min="45" max="45" width="12.54296875" style="474" bestFit="1" customWidth="1"/>
    <col min="46" max="46" width="11.6328125" style="474" bestFit="1" customWidth="1"/>
    <col min="47" max="47" width="10.1796875" style="474" bestFit="1" customWidth="1"/>
    <col min="48" max="48" width="11.6328125" style="474" bestFit="1" customWidth="1"/>
    <col min="49" max="49" width="10.1796875" style="474" bestFit="1" customWidth="1"/>
    <col min="50" max="50" width="11.453125" style="474" bestFit="1" customWidth="1"/>
    <col min="51" max="51" width="14.81640625" style="453" customWidth="1"/>
    <col min="52" max="52" width="10.1796875" style="474" bestFit="1" customWidth="1"/>
    <col min="53" max="53" width="13.90625" style="474" bestFit="1" customWidth="1"/>
    <col min="54" max="54" width="12.453125" style="474" customWidth="1"/>
    <col min="55" max="55" width="11.453125" style="474" bestFit="1" customWidth="1"/>
    <col min="56" max="56" width="12.54296875" style="474" bestFit="1" customWidth="1"/>
    <col min="57" max="57" width="11.36328125" style="474" customWidth="1"/>
    <col min="58" max="58" width="10.1796875" style="474" bestFit="1" customWidth="1"/>
    <col min="59" max="59" width="14.1796875" style="474" bestFit="1" customWidth="1"/>
    <col min="60" max="60" width="12.81640625" style="474" customWidth="1"/>
    <col min="61" max="61" width="11.6328125" style="474" bestFit="1" customWidth="1"/>
    <col min="62" max="62" width="12.81640625" style="474" bestFit="1" customWidth="1"/>
    <col min="63" max="64" width="10.1796875" style="474" bestFit="1" customWidth="1"/>
    <col min="65" max="65" width="12.81640625" style="474" bestFit="1" customWidth="1"/>
    <col min="66" max="66" width="10.1796875" style="474" bestFit="1" customWidth="1"/>
    <col min="67" max="67" width="13" style="474" customWidth="1"/>
    <col min="68" max="68" width="10.1796875" style="474" bestFit="1" customWidth="1"/>
    <col min="69" max="70" width="10.1796875" style="474" customWidth="1"/>
    <col min="71" max="71" width="12.81640625" style="474" bestFit="1" customWidth="1"/>
    <col min="72" max="75" width="10.1796875" style="474" customWidth="1"/>
    <col min="76" max="76" width="12.81640625" style="474" bestFit="1" customWidth="1"/>
    <col min="77" max="80" width="10.1796875" style="474" customWidth="1"/>
    <col min="81" max="81" width="13.6328125" style="474" bestFit="1" customWidth="1"/>
    <col min="82" max="82" width="10.1796875" style="474" customWidth="1"/>
    <col min="83" max="83" width="10.90625" style="474" bestFit="1" customWidth="1"/>
    <col min="84" max="85" width="10.90625" style="474" customWidth="1"/>
    <col min="86" max="86" width="14.1796875" style="474" bestFit="1" customWidth="1"/>
    <col min="87" max="87" width="10.90625" style="474" customWidth="1"/>
    <col min="88" max="88" width="11.6328125" style="474" bestFit="1" customWidth="1"/>
    <col min="89" max="89" width="12.54296875" style="474" customWidth="1"/>
    <col min="90" max="90" width="15.81640625" style="474" bestFit="1" customWidth="1"/>
    <col min="91" max="91" width="10.1796875" style="474" bestFit="1" customWidth="1"/>
    <col min="92" max="92" width="13.6328125" style="474" bestFit="1" customWidth="1"/>
    <col min="93" max="93" width="16.08984375" style="474" bestFit="1" customWidth="1"/>
    <col min="94" max="94" width="13.36328125" style="474" bestFit="1" customWidth="1"/>
    <col min="95" max="95" width="14.1796875" style="474" bestFit="1" customWidth="1"/>
    <col min="96" max="97" width="10.1796875" style="474" bestFit="1" customWidth="1"/>
    <col min="98" max="98" width="14.1796875" style="474" bestFit="1" customWidth="1"/>
    <col min="99" max="99" width="12.81640625" style="474" bestFit="1" customWidth="1"/>
    <col min="100" max="101" width="10.1796875" style="474" bestFit="1" customWidth="1"/>
    <col min="102" max="102" width="12.81640625" style="474" bestFit="1" customWidth="1"/>
    <col min="103" max="103" width="16.6328125" style="474" bestFit="1" customWidth="1"/>
    <col min="104" max="104" width="15.81640625" style="474" bestFit="1" customWidth="1"/>
    <col min="105" max="106" width="10.1796875" style="474" bestFit="1" customWidth="1"/>
    <col min="107" max="107" width="12.453125" style="474" customWidth="1"/>
    <col min="108" max="108" width="11.6328125" style="474" bestFit="1" customWidth="1"/>
    <col min="109" max="109" width="12.453125" style="474" bestFit="1" customWidth="1"/>
    <col min="110" max="113" width="10.1796875" style="474" bestFit="1" customWidth="1"/>
    <col min="114" max="114" width="12.453125" style="474" customWidth="1"/>
    <col min="115" max="115" width="12" style="474" bestFit="1" customWidth="1"/>
    <col min="116" max="116" width="10.1796875" style="474" bestFit="1" customWidth="1"/>
    <col min="117" max="117" width="14.1796875" style="474" bestFit="1" customWidth="1"/>
    <col min="118" max="118" width="12.453125" style="474" customWidth="1"/>
    <col min="119" max="119" width="11.6328125" style="474" bestFit="1" customWidth="1"/>
    <col min="120" max="120" width="12.453125" style="474" customWidth="1"/>
    <col min="121" max="121" width="14.1796875" style="474" bestFit="1" customWidth="1"/>
    <col min="122" max="122" width="15.1796875" style="474" bestFit="1" customWidth="1"/>
    <col min="123" max="123" width="10.1796875" style="474" bestFit="1" customWidth="1"/>
    <col min="124" max="124" width="18.36328125" style="474" bestFit="1" customWidth="1"/>
    <col min="125" max="125" width="13.90625" style="474" bestFit="1" customWidth="1"/>
    <col min="126" max="126" width="12.1796875" style="474" bestFit="1" customWidth="1"/>
    <col min="127" max="127" width="8.6328125" style="474" bestFit="1" customWidth="1"/>
    <col min="128" max="128" width="16.08984375" style="474" customWidth="1"/>
    <col min="129" max="129" width="9.1796875" style="474" bestFit="1" customWidth="1"/>
    <col min="130" max="130" width="14.1796875" style="474" bestFit="1" customWidth="1"/>
    <col min="131" max="131" width="11.6328125" style="474" bestFit="1" customWidth="1"/>
    <col min="132" max="132" width="15.54296875" style="474" bestFit="1" customWidth="1"/>
    <col min="133" max="133" width="14.6328125" style="474" customWidth="1"/>
    <col min="134" max="134" width="12.81640625" style="474" bestFit="1" customWidth="1"/>
    <col min="135" max="135" width="10.90625" style="474" bestFit="1" customWidth="1"/>
    <col min="136" max="136" width="15.36328125" style="474" bestFit="1" customWidth="1"/>
    <col min="137" max="137" width="10.1796875" style="474" bestFit="1" customWidth="1"/>
    <col min="138" max="138" width="39.08984375" style="474" bestFit="1" customWidth="1"/>
    <col min="139" max="139" width="20.81640625" style="474" customWidth="1"/>
    <col min="140" max="140" width="16.453125" style="474" bestFit="1" customWidth="1"/>
    <col min="141" max="152" width="16.453125" style="474" customWidth="1"/>
    <col min="153" max="153" width="13.6328125" style="474" customWidth="1"/>
    <col min="154" max="154" width="10.90625" style="474" customWidth="1"/>
    <col min="155" max="155" width="11.36328125" style="474" customWidth="1"/>
    <col min="156" max="156" width="12.81640625" style="474" customWidth="1"/>
    <col min="157" max="157" width="11.36328125" style="474" customWidth="1"/>
    <col min="158" max="158" width="11.6328125" style="474" bestFit="1" customWidth="1"/>
    <col min="159" max="160" width="10" style="474" customWidth="1"/>
    <col min="161" max="161" width="11.36328125" style="474" customWidth="1"/>
    <col min="162" max="162" width="10" style="474" customWidth="1"/>
    <col min="163" max="16384" width="10" style="474"/>
  </cols>
  <sheetData>
    <row r="1" spans="1:162" s="227" customFormat="1" ht="15" customHeight="1">
      <c r="A1" s="226" t="s">
        <v>1080</v>
      </c>
      <c r="B1" s="517" t="s">
        <v>1081</v>
      </c>
      <c r="C1" s="517" t="s">
        <v>1082</v>
      </c>
      <c r="D1" s="517" t="s">
        <v>1083</v>
      </c>
      <c r="E1" s="517" t="s">
        <v>1084</v>
      </c>
      <c r="F1" s="604" t="s">
        <v>1085</v>
      </c>
      <c r="G1" s="604"/>
      <c r="H1" s="604"/>
      <c r="I1" s="604"/>
      <c r="J1" s="604" t="s">
        <v>1086</v>
      </c>
      <c r="K1" s="604"/>
      <c r="L1" s="604"/>
      <c r="M1" s="604"/>
      <c r="N1" s="604"/>
      <c r="O1" s="604" t="s">
        <v>934</v>
      </c>
      <c r="P1" s="604"/>
      <c r="Q1" s="604"/>
      <c r="R1" s="604" t="s">
        <v>1087</v>
      </c>
      <c r="S1" s="604"/>
      <c r="T1" s="604"/>
      <c r="U1" s="604" t="s">
        <v>1088</v>
      </c>
      <c r="V1" s="604"/>
      <c r="W1" s="604"/>
      <c r="X1" s="604"/>
      <c r="Y1" s="604"/>
      <c r="Z1" s="604"/>
      <c r="AA1" s="605" t="s">
        <v>1089</v>
      </c>
      <c r="AB1" s="605"/>
      <c r="AC1" s="605"/>
      <c r="AD1" s="605"/>
      <c r="AE1" s="605"/>
      <c r="AF1" s="605"/>
      <c r="AG1" s="605"/>
      <c r="AH1" s="605" t="s">
        <v>1090</v>
      </c>
      <c r="AI1" s="605"/>
      <c r="AJ1" s="605"/>
      <c r="AK1" s="605"/>
      <c r="AL1" s="605"/>
      <c r="AM1" s="605"/>
      <c r="AN1" s="605"/>
      <c r="AO1" s="604" t="s">
        <v>1091</v>
      </c>
      <c r="AP1" s="604"/>
      <c r="AQ1" s="604"/>
      <c r="AR1" s="604"/>
      <c r="AS1" s="604"/>
      <c r="AT1" s="604" t="s">
        <v>1092</v>
      </c>
      <c r="AU1" s="604"/>
      <c r="AV1" s="604"/>
      <c r="AW1" s="604"/>
      <c r="AX1" s="604"/>
      <c r="AY1" s="604" t="s">
        <v>1093</v>
      </c>
      <c r="AZ1" s="604"/>
      <c r="BA1" s="604"/>
      <c r="BB1" s="604"/>
      <c r="BC1" s="604"/>
      <c r="BD1" s="604"/>
      <c r="BE1" s="604" t="s">
        <v>1094</v>
      </c>
      <c r="BF1" s="604"/>
      <c r="BG1" s="604"/>
      <c r="BH1" s="604"/>
      <c r="BI1" s="604"/>
      <c r="BJ1" s="604"/>
      <c r="BK1" s="603" t="s">
        <v>1095</v>
      </c>
      <c r="BL1" s="603"/>
      <c r="BM1" s="603"/>
      <c r="BN1" s="603"/>
      <c r="BO1" s="603"/>
      <c r="BP1" s="603"/>
      <c r="BQ1" s="603" t="s">
        <v>1096</v>
      </c>
      <c r="BR1" s="603"/>
      <c r="BS1" s="603"/>
      <c r="BT1" s="603"/>
      <c r="BU1" s="603"/>
      <c r="BV1" s="603" t="s">
        <v>1097</v>
      </c>
      <c r="BW1" s="603"/>
      <c r="BX1" s="603"/>
      <c r="BY1" s="603"/>
      <c r="BZ1" s="603"/>
      <c r="CA1" s="607" t="s">
        <v>1098</v>
      </c>
      <c r="CB1" s="608"/>
      <c r="CC1" s="608"/>
      <c r="CD1" s="608"/>
      <c r="CE1" s="609"/>
      <c r="CF1" s="607" t="s">
        <v>1099</v>
      </c>
      <c r="CG1" s="608"/>
      <c r="CH1" s="608"/>
      <c r="CI1" s="608"/>
      <c r="CJ1" s="609"/>
      <c r="CK1" s="610" t="s">
        <v>1100</v>
      </c>
      <c r="CL1" s="611"/>
      <c r="CM1" s="611"/>
      <c r="CN1" s="612"/>
      <c r="CO1" s="613" t="s">
        <v>1101</v>
      </c>
      <c r="CP1" s="614"/>
      <c r="CQ1" s="614"/>
      <c r="CR1" s="614"/>
      <c r="CS1" s="615" t="s">
        <v>1102</v>
      </c>
      <c r="CT1" s="616"/>
      <c r="CU1" s="616"/>
      <c r="CV1" s="616"/>
      <c r="CW1" s="617"/>
      <c r="CX1" s="615" t="s">
        <v>1103</v>
      </c>
      <c r="CY1" s="616"/>
      <c r="CZ1" s="616"/>
      <c r="DA1" s="617"/>
      <c r="DB1" s="615" t="s">
        <v>1104</v>
      </c>
      <c r="DC1" s="616"/>
      <c r="DD1" s="616"/>
      <c r="DE1" s="616"/>
      <c r="DF1" s="616"/>
      <c r="DG1" s="617"/>
      <c r="DH1" s="615" t="s">
        <v>1105</v>
      </c>
      <c r="DI1" s="617"/>
      <c r="DJ1" s="520" t="s">
        <v>1106</v>
      </c>
      <c r="DK1" s="618" t="s">
        <v>1107</v>
      </c>
      <c r="DL1" s="619"/>
      <c r="DM1" s="619"/>
      <c r="DN1" s="619"/>
      <c r="DO1" s="619"/>
      <c r="DP1" s="619"/>
      <c r="DQ1" s="619"/>
      <c r="DR1" s="619"/>
      <c r="DS1" s="619"/>
      <c r="DT1" s="619"/>
      <c r="DU1" s="619"/>
      <c r="DV1" s="619"/>
      <c r="DW1" s="619"/>
      <c r="DX1" s="619"/>
      <c r="DY1" s="619"/>
      <c r="DZ1" s="619"/>
      <c r="EA1" s="606" t="s">
        <v>1108</v>
      </c>
      <c r="EB1" s="606"/>
      <c r="EC1" s="606"/>
      <c r="ED1" s="520"/>
      <c r="EE1" s="517"/>
      <c r="EF1" s="517"/>
      <c r="EG1" s="517"/>
      <c r="EH1" s="517"/>
      <c r="EI1" s="622" t="s">
        <v>1109</v>
      </c>
      <c r="EJ1" s="624" t="s">
        <v>1110</v>
      </c>
      <c r="EK1" s="626" t="s">
        <v>1111</v>
      </c>
      <c r="EL1" s="621"/>
      <c r="EM1" s="621"/>
      <c r="EN1" s="627"/>
      <c r="EO1" s="620" t="s">
        <v>1112</v>
      </c>
      <c r="EP1" s="621"/>
      <c r="EQ1" s="621"/>
      <c r="ER1" s="627"/>
      <c r="ES1" s="620" t="s">
        <v>1113</v>
      </c>
      <c r="ET1" s="621"/>
      <c r="EU1" s="621"/>
      <c r="EV1" s="628"/>
      <c r="EW1" s="626" t="s">
        <v>1114</v>
      </c>
      <c r="EX1" s="621"/>
      <c r="EY1" s="628"/>
      <c r="EZ1" s="620" t="s">
        <v>1115</v>
      </c>
      <c r="FA1" s="621"/>
      <c r="FB1" s="621"/>
      <c r="FC1" s="621"/>
      <c r="FD1" s="606" t="s">
        <v>1116</v>
      </c>
      <c r="FE1" s="606"/>
      <c r="FF1" s="606"/>
    </row>
    <row r="2" spans="1:162" s="227" customFormat="1" ht="80.5">
      <c r="A2" s="228"/>
      <c r="B2" s="517" t="s">
        <v>75</v>
      </c>
      <c r="C2" s="517" t="s">
        <v>75</v>
      </c>
      <c r="D2" s="517"/>
      <c r="E2" s="517" t="s">
        <v>75</v>
      </c>
      <c r="F2" s="517" t="s">
        <v>1117</v>
      </c>
      <c r="G2" s="518" t="s">
        <v>1118</v>
      </c>
      <c r="H2" s="518" t="s">
        <v>1119</v>
      </c>
      <c r="I2" s="518" t="s">
        <v>1120</v>
      </c>
      <c r="J2" s="517" t="s">
        <v>1117</v>
      </c>
      <c r="K2" s="518" t="s">
        <v>1121</v>
      </c>
      <c r="L2" s="518" t="s">
        <v>1122</v>
      </c>
      <c r="M2" s="518" t="s">
        <v>1119</v>
      </c>
      <c r="N2" s="518" t="s">
        <v>1123</v>
      </c>
      <c r="O2" s="518" t="s">
        <v>1124</v>
      </c>
      <c r="P2" s="518" t="s">
        <v>1125</v>
      </c>
      <c r="Q2" s="518" t="s">
        <v>1126</v>
      </c>
      <c r="R2" s="518" t="s">
        <v>1124</v>
      </c>
      <c r="S2" s="518" t="s">
        <v>1125</v>
      </c>
      <c r="T2" s="518" t="s">
        <v>1126</v>
      </c>
      <c r="U2" s="517" t="s">
        <v>1124</v>
      </c>
      <c r="V2" s="517" t="s">
        <v>1117</v>
      </c>
      <c r="W2" s="518" t="s">
        <v>1127</v>
      </c>
      <c r="X2" s="517" t="s">
        <v>1125</v>
      </c>
      <c r="Y2" s="517" t="s">
        <v>1128</v>
      </c>
      <c r="Z2" s="517" t="s">
        <v>1126</v>
      </c>
      <c r="AA2" s="517" t="s">
        <v>1124</v>
      </c>
      <c r="AB2" s="517" t="s">
        <v>1117</v>
      </c>
      <c r="AC2" s="517" t="s">
        <v>1125</v>
      </c>
      <c r="AD2" s="517" t="s">
        <v>1126</v>
      </c>
      <c r="AE2" s="517" t="s">
        <v>1128</v>
      </c>
      <c r="AF2" s="517" t="s">
        <v>1129</v>
      </c>
      <c r="AG2" s="517" t="s">
        <v>1130</v>
      </c>
      <c r="AH2" s="517" t="s">
        <v>1124</v>
      </c>
      <c r="AI2" s="517" t="s">
        <v>1117</v>
      </c>
      <c r="AJ2" s="517" t="s">
        <v>1125</v>
      </c>
      <c r="AK2" s="517" t="s">
        <v>1126</v>
      </c>
      <c r="AL2" s="517" t="s">
        <v>1128</v>
      </c>
      <c r="AM2" s="517" t="s">
        <v>1129</v>
      </c>
      <c r="AN2" s="517" t="s">
        <v>1130</v>
      </c>
      <c r="AO2" s="517" t="s">
        <v>1124</v>
      </c>
      <c r="AP2" s="517" t="s">
        <v>1117</v>
      </c>
      <c r="AQ2" s="517" t="s">
        <v>1125</v>
      </c>
      <c r="AR2" s="517" t="s">
        <v>1126</v>
      </c>
      <c r="AS2" s="517" t="s">
        <v>1129</v>
      </c>
      <c r="AT2" s="517" t="s">
        <v>1124</v>
      </c>
      <c r="AU2" s="517" t="s">
        <v>1117</v>
      </c>
      <c r="AV2" s="517" t="s">
        <v>1125</v>
      </c>
      <c r="AW2" s="517" t="s">
        <v>1126</v>
      </c>
      <c r="AX2" s="517" t="s">
        <v>1129</v>
      </c>
      <c r="AY2" s="517" t="s">
        <v>1131</v>
      </c>
      <c r="AZ2" s="517" t="s">
        <v>1117</v>
      </c>
      <c r="BA2" s="229" t="s">
        <v>1125</v>
      </c>
      <c r="BB2" s="517" t="s">
        <v>1126</v>
      </c>
      <c r="BC2" s="517" t="s">
        <v>1129</v>
      </c>
      <c r="BD2" s="517" t="s">
        <v>1128</v>
      </c>
      <c r="BE2" s="517" t="s">
        <v>1131</v>
      </c>
      <c r="BF2" s="517" t="s">
        <v>1117</v>
      </c>
      <c r="BG2" s="229" t="s">
        <v>1125</v>
      </c>
      <c r="BH2" s="517" t="s">
        <v>1126</v>
      </c>
      <c r="BI2" s="517" t="s">
        <v>1129</v>
      </c>
      <c r="BJ2" s="517" t="s">
        <v>1132</v>
      </c>
      <c r="BK2" s="517" t="s">
        <v>1133</v>
      </c>
      <c r="BL2" s="517" t="s">
        <v>1117</v>
      </c>
      <c r="BM2" s="517" t="s">
        <v>1125</v>
      </c>
      <c r="BN2" s="517" t="s">
        <v>1126</v>
      </c>
      <c r="BO2" s="517" t="s">
        <v>1129</v>
      </c>
      <c r="BP2" s="517" t="s">
        <v>1128</v>
      </c>
      <c r="BQ2" s="517" t="s">
        <v>1133</v>
      </c>
      <c r="BR2" s="517" t="s">
        <v>1117</v>
      </c>
      <c r="BS2" s="517" t="s">
        <v>1125</v>
      </c>
      <c r="BT2" s="517" t="s">
        <v>1126</v>
      </c>
      <c r="BU2" s="517" t="s">
        <v>1129</v>
      </c>
      <c r="BV2" s="230" t="s">
        <v>1133</v>
      </c>
      <c r="BW2" s="230" t="s">
        <v>1117</v>
      </c>
      <c r="BX2" s="230" t="s">
        <v>1125</v>
      </c>
      <c r="BY2" s="230" t="s">
        <v>1126</v>
      </c>
      <c r="BZ2" s="230" t="s">
        <v>1129</v>
      </c>
      <c r="CA2" s="517" t="s">
        <v>1133</v>
      </c>
      <c r="CB2" s="517" t="s">
        <v>1117</v>
      </c>
      <c r="CC2" s="517" t="s">
        <v>1125</v>
      </c>
      <c r="CD2" s="517" t="s">
        <v>1126</v>
      </c>
      <c r="CE2" s="517" t="s">
        <v>1129</v>
      </c>
      <c r="CF2" s="230" t="s">
        <v>1133</v>
      </c>
      <c r="CG2" s="230" t="s">
        <v>1117</v>
      </c>
      <c r="CH2" s="230" t="s">
        <v>1125</v>
      </c>
      <c r="CI2" s="230" t="s">
        <v>1126</v>
      </c>
      <c r="CJ2" s="230" t="s">
        <v>1129</v>
      </c>
      <c r="CK2" s="517" t="s">
        <v>1124</v>
      </c>
      <c r="CL2" s="517" t="s">
        <v>1125</v>
      </c>
      <c r="CM2" s="517" t="s">
        <v>1126</v>
      </c>
      <c r="CN2" s="517" t="s">
        <v>1129</v>
      </c>
      <c r="CO2" s="517" t="s">
        <v>1124</v>
      </c>
      <c r="CP2" s="517" t="s">
        <v>1117</v>
      </c>
      <c r="CQ2" s="517" t="s">
        <v>1125</v>
      </c>
      <c r="CR2" s="517" t="s">
        <v>1126</v>
      </c>
      <c r="CS2" s="231" t="s">
        <v>1124</v>
      </c>
      <c r="CT2" s="231" t="s">
        <v>1125</v>
      </c>
      <c r="CU2" s="231" t="s">
        <v>1129</v>
      </c>
      <c r="CV2" s="231" t="s">
        <v>1126</v>
      </c>
      <c r="CW2" s="231" t="s">
        <v>1134</v>
      </c>
      <c r="CX2" s="231" t="s">
        <v>1124</v>
      </c>
      <c r="CY2" s="231" t="s">
        <v>1117</v>
      </c>
      <c r="CZ2" s="231" t="s">
        <v>1125</v>
      </c>
      <c r="DA2" s="231" t="s">
        <v>1126</v>
      </c>
      <c r="DB2" s="231" t="s">
        <v>1124</v>
      </c>
      <c r="DC2" s="231" t="s">
        <v>1117</v>
      </c>
      <c r="DD2" s="231" t="s">
        <v>1125</v>
      </c>
      <c r="DE2" s="231" t="s">
        <v>1126</v>
      </c>
      <c r="DF2" s="231" t="s">
        <v>1128</v>
      </c>
      <c r="DG2" s="231" t="s">
        <v>1130</v>
      </c>
      <c r="DH2" s="231" t="s">
        <v>1133</v>
      </c>
      <c r="DI2" s="231" t="s">
        <v>1129</v>
      </c>
      <c r="DJ2" s="517" t="s">
        <v>1133</v>
      </c>
      <c r="DK2" s="517" t="s">
        <v>1124</v>
      </c>
      <c r="DL2" s="517" t="s">
        <v>1117</v>
      </c>
      <c r="DM2" s="517" t="s">
        <v>1125</v>
      </c>
      <c r="DN2" s="517" t="s">
        <v>1126</v>
      </c>
      <c r="DO2" s="517" t="s">
        <v>1129</v>
      </c>
      <c r="DP2" s="518" t="s">
        <v>1135</v>
      </c>
      <c r="DQ2" s="518" t="s">
        <v>1136</v>
      </c>
      <c r="DR2" s="518" t="s">
        <v>1137</v>
      </c>
      <c r="DS2" s="518" t="s">
        <v>1138</v>
      </c>
      <c r="DT2" s="518" t="s">
        <v>1139</v>
      </c>
      <c r="DU2" s="518" t="s">
        <v>1140</v>
      </c>
      <c r="DV2" s="517" t="s">
        <v>1128</v>
      </c>
      <c r="DW2" s="518" t="s">
        <v>1141</v>
      </c>
      <c r="DX2" s="518" t="s">
        <v>1142</v>
      </c>
      <c r="DY2" s="518" t="s">
        <v>1143</v>
      </c>
      <c r="DZ2" s="518" t="s">
        <v>1144</v>
      </c>
      <c r="EA2" s="231" t="s">
        <v>1124</v>
      </c>
      <c r="EB2" s="231" t="s">
        <v>1125</v>
      </c>
      <c r="EC2" s="231" t="s">
        <v>1126</v>
      </c>
      <c r="ED2" s="518" t="s">
        <v>1145</v>
      </c>
      <c r="EE2" s="518" t="s">
        <v>1146</v>
      </c>
      <c r="EF2" s="518" t="s">
        <v>1147</v>
      </c>
      <c r="EG2" s="518" t="s">
        <v>1148</v>
      </c>
      <c r="EH2" s="518" t="s">
        <v>1149</v>
      </c>
      <c r="EI2" s="623"/>
      <c r="EJ2" s="625"/>
      <c r="EK2" s="232" t="s">
        <v>1124</v>
      </c>
      <c r="EL2" s="231" t="s">
        <v>1117</v>
      </c>
      <c r="EM2" s="231" t="s">
        <v>1125</v>
      </c>
      <c r="EN2" s="233" t="s">
        <v>1129</v>
      </c>
      <c r="EO2" s="231" t="s">
        <v>1124</v>
      </c>
      <c r="EP2" s="231" t="s">
        <v>1117</v>
      </c>
      <c r="EQ2" s="231" t="s">
        <v>1125</v>
      </c>
      <c r="ER2" s="233" t="s">
        <v>1129</v>
      </c>
      <c r="ES2" s="231" t="s">
        <v>1124</v>
      </c>
      <c r="ET2" s="231" t="s">
        <v>1117</v>
      </c>
      <c r="EU2" s="231" t="s">
        <v>1125</v>
      </c>
      <c r="EV2" s="233" t="s">
        <v>1129</v>
      </c>
      <c r="EW2" s="231" t="s">
        <v>1124</v>
      </c>
      <c r="EX2" s="231" t="s">
        <v>1117</v>
      </c>
      <c r="EY2" s="234" t="s">
        <v>1125</v>
      </c>
      <c r="EZ2" s="231" t="s">
        <v>1124</v>
      </c>
      <c r="FA2" s="231" t="s">
        <v>1117</v>
      </c>
      <c r="FB2" s="231" t="s">
        <v>1125</v>
      </c>
      <c r="FC2" s="235" t="s">
        <v>1129</v>
      </c>
      <c r="FD2" s="519" t="s">
        <v>1124</v>
      </c>
      <c r="FE2" s="519" t="s">
        <v>1117</v>
      </c>
      <c r="FF2" s="519" t="s">
        <v>1129</v>
      </c>
    </row>
    <row r="3" spans="1:162" s="248" customFormat="1" ht="15" customHeight="1">
      <c r="A3" s="236">
        <v>45689</v>
      </c>
      <c r="B3" s="237">
        <v>3885</v>
      </c>
      <c r="C3" s="237">
        <v>4265</v>
      </c>
      <c r="D3" s="237">
        <v>4300</v>
      </c>
      <c r="E3" s="237">
        <v>518630</v>
      </c>
      <c r="F3" s="237">
        <v>315942</v>
      </c>
      <c r="G3" s="237">
        <v>5715836</v>
      </c>
      <c r="H3" s="237">
        <v>2396788</v>
      </c>
      <c r="I3" s="237">
        <v>1594534</v>
      </c>
      <c r="J3" s="237">
        <v>72761</v>
      </c>
      <c r="K3" s="237">
        <v>104</v>
      </c>
      <c r="L3" s="237">
        <v>159303</v>
      </c>
      <c r="M3" s="237">
        <v>159992</v>
      </c>
      <c r="N3" s="237">
        <v>14583</v>
      </c>
      <c r="O3" s="237">
        <v>1029688</v>
      </c>
      <c r="P3" s="237">
        <v>202003405</v>
      </c>
      <c r="Q3" s="237">
        <v>5631</v>
      </c>
      <c r="R3" s="237">
        <v>922982</v>
      </c>
      <c r="S3" s="237">
        <v>8723963</v>
      </c>
      <c r="T3" s="237">
        <v>2</v>
      </c>
      <c r="U3" s="237">
        <v>168054</v>
      </c>
      <c r="V3" s="237">
        <v>43606</v>
      </c>
      <c r="W3" s="237">
        <v>132832</v>
      </c>
      <c r="X3" s="237">
        <v>995664955</v>
      </c>
      <c r="Y3" s="237">
        <v>3257795</v>
      </c>
      <c r="Z3" s="237">
        <v>8044</v>
      </c>
      <c r="AA3" s="237">
        <v>0</v>
      </c>
      <c r="AB3" s="237">
        <v>344</v>
      </c>
      <c r="AC3" s="237">
        <v>0</v>
      </c>
      <c r="AD3" s="237">
        <v>476</v>
      </c>
      <c r="AE3" s="237">
        <v>0</v>
      </c>
      <c r="AF3" s="237">
        <v>0</v>
      </c>
      <c r="AG3" s="237">
        <v>0</v>
      </c>
      <c r="AH3" s="237">
        <v>116725</v>
      </c>
      <c r="AI3" s="237">
        <v>97555</v>
      </c>
      <c r="AJ3" s="237">
        <v>1006356877</v>
      </c>
      <c r="AK3" s="237">
        <v>8532</v>
      </c>
      <c r="AL3" s="237">
        <v>9788623</v>
      </c>
      <c r="AM3" s="237">
        <v>19605627</v>
      </c>
      <c r="AN3" s="237">
        <v>0</v>
      </c>
      <c r="AO3" s="237">
        <v>16874</v>
      </c>
      <c r="AP3" s="237">
        <v>13523</v>
      </c>
      <c r="AQ3" s="237">
        <v>147045546</v>
      </c>
      <c r="AR3" s="237">
        <v>2948</v>
      </c>
      <c r="AS3" s="237">
        <v>1071900</v>
      </c>
      <c r="AT3" s="237">
        <v>111</v>
      </c>
      <c r="AU3" s="237">
        <v>329</v>
      </c>
      <c r="AV3" s="237">
        <v>251305</v>
      </c>
      <c r="AW3" s="237">
        <v>305</v>
      </c>
      <c r="AX3" s="237">
        <v>24600</v>
      </c>
      <c r="AY3" s="237">
        <v>892</v>
      </c>
      <c r="AZ3" s="237">
        <v>592</v>
      </c>
      <c r="BA3" s="237">
        <v>21312004</v>
      </c>
      <c r="BB3" s="237">
        <v>527</v>
      </c>
      <c r="BC3" s="237">
        <v>16550</v>
      </c>
      <c r="BD3" s="237">
        <v>5294</v>
      </c>
      <c r="BE3" s="237">
        <v>3394</v>
      </c>
      <c r="BF3" s="237">
        <v>2248</v>
      </c>
      <c r="BG3" s="237">
        <v>67817119</v>
      </c>
      <c r="BH3" s="237">
        <v>8</v>
      </c>
      <c r="BI3" s="237">
        <v>0</v>
      </c>
      <c r="BJ3" s="237">
        <v>0</v>
      </c>
      <c r="BK3" s="237">
        <v>133</v>
      </c>
      <c r="BL3" s="237">
        <v>112</v>
      </c>
      <c r="BM3" s="237">
        <v>2954092</v>
      </c>
      <c r="BN3" s="237">
        <v>26</v>
      </c>
      <c r="BO3" s="237">
        <v>67750</v>
      </c>
      <c r="BP3" s="237">
        <v>27100</v>
      </c>
      <c r="BQ3" s="237">
        <v>49754</v>
      </c>
      <c r="BR3" s="237">
        <v>27148</v>
      </c>
      <c r="BS3" s="237">
        <v>63760619</v>
      </c>
      <c r="BT3" s="237">
        <v>0</v>
      </c>
      <c r="BU3" s="238">
        <v>860768.35649999999</v>
      </c>
      <c r="BV3" s="237">
        <v>53</v>
      </c>
      <c r="BW3" s="237">
        <v>39</v>
      </c>
      <c r="BX3" s="237">
        <v>3223220</v>
      </c>
      <c r="BY3" s="237">
        <v>0</v>
      </c>
      <c r="BZ3" s="237">
        <v>16116</v>
      </c>
      <c r="CA3" s="238">
        <v>0</v>
      </c>
      <c r="CB3" s="238">
        <v>0</v>
      </c>
      <c r="CC3" s="238">
        <v>0</v>
      </c>
      <c r="CD3" s="238">
        <v>0</v>
      </c>
      <c r="CE3" s="238">
        <v>0</v>
      </c>
      <c r="CF3" s="237">
        <v>0</v>
      </c>
      <c r="CG3" s="237">
        <v>0</v>
      </c>
      <c r="CH3" s="237">
        <v>0</v>
      </c>
      <c r="CI3" s="237">
        <v>0</v>
      </c>
      <c r="CJ3" s="237">
        <v>0</v>
      </c>
      <c r="CK3" s="239">
        <v>2606</v>
      </c>
      <c r="CL3" s="237">
        <v>575727</v>
      </c>
      <c r="CM3" s="237">
        <v>0</v>
      </c>
      <c r="CN3" s="237">
        <v>0</v>
      </c>
      <c r="CO3" s="237">
        <v>97440</v>
      </c>
      <c r="CP3" s="237">
        <v>41382</v>
      </c>
      <c r="CQ3" s="239">
        <v>33351923</v>
      </c>
      <c r="CR3" s="237">
        <v>6488</v>
      </c>
      <c r="CS3" s="237">
        <v>9180</v>
      </c>
      <c r="CT3" s="237">
        <v>36024422</v>
      </c>
      <c r="CU3" s="237">
        <v>381738</v>
      </c>
      <c r="CV3" s="237">
        <v>8121</v>
      </c>
      <c r="CW3" s="237">
        <v>29504</v>
      </c>
      <c r="CX3" s="237">
        <v>19870</v>
      </c>
      <c r="CY3" s="237">
        <v>18488</v>
      </c>
      <c r="CZ3" s="237">
        <v>166643776</v>
      </c>
      <c r="DA3" s="237">
        <v>2649</v>
      </c>
      <c r="DB3" s="237">
        <v>13</v>
      </c>
      <c r="DC3" s="237">
        <v>2</v>
      </c>
      <c r="DD3" s="237">
        <v>102400</v>
      </c>
      <c r="DE3" s="237">
        <v>1</v>
      </c>
      <c r="DF3" s="237">
        <v>1416</v>
      </c>
      <c r="DG3" s="237">
        <v>0</v>
      </c>
      <c r="DH3" s="237">
        <v>0</v>
      </c>
      <c r="DI3" s="237">
        <v>0</v>
      </c>
      <c r="DJ3" s="237">
        <v>1</v>
      </c>
      <c r="DK3" s="237">
        <v>9710</v>
      </c>
      <c r="DL3" s="237">
        <v>3031</v>
      </c>
      <c r="DM3" s="237">
        <v>285453992</v>
      </c>
      <c r="DN3" s="237">
        <v>1355</v>
      </c>
      <c r="DO3" s="237">
        <v>1893750</v>
      </c>
      <c r="DP3" s="237">
        <v>0</v>
      </c>
      <c r="DQ3" s="237">
        <v>10868001</v>
      </c>
      <c r="DR3" s="237">
        <v>0</v>
      </c>
      <c r="DS3" s="237">
        <v>9710</v>
      </c>
      <c r="DT3" s="237">
        <v>285453992</v>
      </c>
      <c r="DU3" s="240">
        <v>1893750</v>
      </c>
      <c r="DV3" s="237">
        <v>0</v>
      </c>
      <c r="DW3" s="237">
        <v>5798</v>
      </c>
      <c r="DX3" s="237">
        <v>168555941</v>
      </c>
      <c r="DY3" s="237">
        <v>3912</v>
      </c>
      <c r="DZ3" s="237">
        <v>116898051</v>
      </c>
      <c r="EA3" s="238">
        <v>2447480</v>
      </c>
      <c r="EB3" s="238">
        <v>3041265345</v>
      </c>
      <c r="EC3" s="238">
        <v>38127</v>
      </c>
      <c r="ED3" s="470">
        <v>607805</v>
      </c>
      <c r="EE3" s="470">
        <v>396215</v>
      </c>
      <c r="EF3" s="470">
        <v>568873</v>
      </c>
      <c r="EG3" s="470">
        <v>0</v>
      </c>
      <c r="EH3" s="470">
        <v>1516075</v>
      </c>
      <c r="EI3" s="242">
        <v>25493271.631499998</v>
      </c>
      <c r="EJ3" s="243">
        <v>13678605</v>
      </c>
      <c r="EK3" s="244">
        <v>8524</v>
      </c>
      <c r="EL3" s="245">
        <v>6970</v>
      </c>
      <c r="EM3" s="245">
        <v>3095040</v>
      </c>
      <c r="EN3" s="245">
        <v>46425.599999999999</v>
      </c>
      <c r="EO3" s="245">
        <v>98567</v>
      </c>
      <c r="EP3" s="245">
        <v>67533</v>
      </c>
      <c r="EQ3" s="245">
        <v>24468645</v>
      </c>
      <c r="ER3" s="245">
        <v>367029.67499999999</v>
      </c>
      <c r="ES3" s="246">
        <v>107091</v>
      </c>
      <c r="ET3" s="246">
        <v>72957</v>
      </c>
      <c r="EU3" s="246">
        <v>27563685</v>
      </c>
      <c r="EV3" s="247">
        <v>413455.27499999997</v>
      </c>
      <c r="EW3" s="246">
        <v>1020037</v>
      </c>
      <c r="EX3" s="246">
        <v>41382</v>
      </c>
      <c r="EY3" s="247">
        <v>207791643</v>
      </c>
      <c r="EZ3" s="246">
        <v>49754</v>
      </c>
      <c r="FA3" s="246">
        <v>27148</v>
      </c>
      <c r="FB3" s="246">
        <v>63760619</v>
      </c>
      <c r="FC3" s="247">
        <v>860768.35649999999</v>
      </c>
      <c r="FD3" s="246">
        <v>119</v>
      </c>
      <c r="FE3" s="246">
        <v>107</v>
      </c>
      <c r="FF3" s="246">
        <v>136997</v>
      </c>
    </row>
    <row r="4" spans="1:162" s="248" customFormat="1" ht="15" customHeight="1">
      <c r="A4" s="236">
        <v>45690</v>
      </c>
      <c r="B4" s="237">
        <v>1912</v>
      </c>
      <c r="C4" s="237">
        <v>1915</v>
      </c>
      <c r="D4" s="237">
        <v>1917</v>
      </c>
      <c r="E4" s="237">
        <v>517927</v>
      </c>
      <c r="F4" s="237">
        <v>289302</v>
      </c>
      <c r="G4" s="237">
        <v>5723496</v>
      </c>
      <c r="H4" s="237">
        <v>2395145</v>
      </c>
      <c r="I4" s="237">
        <v>1590140</v>
      </c>
      <c r="J4" s="237">
        <v>66146</v>
      </c>
      <c r="K4" s="237">
        <v>56</v>
      </c>
      <c r="L4" s="237">
        <v>160065</v>
      </c>
      <c r="M4" s="237">
        <v>160355</v>
      </c>
      <c r="N4" s="237">
        <v>142301</v>
      </c>
      <c r="O4" s="237">
        <v>983404</v>
      </c>
      <c r="P4" s="237">
        <v>187200965</v>
      </c>
      <c r="Q4" s="237">
        <v>5402</v>
      </c>
      <c r="R4" s="237">
        <v>880503</v>
      </c>
      <c r="S4" s="237">
        <v>8055678</v>
      </c>
      <c r="T4" s="237"/>
      <c r="U4" s="237">
        <v>135346</v>
      </c>
      <c r="V4" s="237">
        <v>34562</v>
      </c>
      <c r="W4" s="237">
        <v>109213</v>
      </c>
      <c r="X4" s="237">
        <v>664064817</v>
      </c>
      <c r="Y4" s="237">
        <v>2166264</v>
      </c>
      <c r="Z4" s="237">
        <v>6267</v>
      </c>
      <c r="AA4" s="237">
        <v>0</v>
      </c>
      <c r="AB4" s="237">
        <v>355</v>
      </c>
      <c r="AC4" s="237">
        <v>0</v>
      </c>
      <c r="AD4" s="237">
        <v>496</v>
      </c>
      <c r="AE4" s="237">
        <v>0</v>
      </c>
      <c r="AF4" s="237">
        <v>0</v>
      </c>
      <c r="AG4" s="237">
        <v>0</v>
      </c>
      <c r="AH4" s="237">
        <v>101607</v>
      </c>
      <c r="AI4" s="237">
        <v>86536</v>
      </c>
      <c r="AJ4" s="237">
        <v>688973909</v>
      </c>
      <c r="AK4" s="237">
        <v>7353</v>
      </c>
      <c r="AL4" s="237">
        <v>7683531</v>
      </c>
      <c r="AM4" s="237">
        <v>15248202</v>
      </c>
      <c r="AN4" s="237">
        <v>0</v>
      </c>
      <c r="AO4" s="237">
        <v>15710</v>
      </c>
      <c r="AP4" s="237">
        <v>12599</v>
      </c>
      <c r="AQ4" s="237">
        <v>112457409</v>
      </c>
      <c r="AR4" s="237">
        <v>2873</v>
      </c>
      <c r="AS4" s="237">
        <v>993200</v>
      </c>
      <c r="AT4" s="237">
        <v>115</v>
      </c>
      <c r="AU4" s="237">
        <v>361</v>
      </c>
      <c r="AV4" s="237">
        <v>396493</v>
      </c>
      <c r="AW4" s="237">
        <v>365</v>
      </c>
      <c r="AX4" s="237">
        <v>28700</v>
      </c>
      <c r="AY4" s="237">
        <v>547</v>
      </c>
      <c r="AZ4" s="237">
        <v>424</v>
      </c>
      <c r="BA4" s="237">
        <v>15497142</v>
      </c>
      <c r="BB4" s="237">
        <v>306</v>
      </c>
      <c r="BC4" s="237">
        <v>16700</v>
      </c>
      <c r="BD4" s="237">
        <v>5351</v>
      </c>
      <c r="BE4" s="237">
        <v>2711</v>
      </c>
      <c r="BF4" s="237">
        <v>1833</v>
      </c>
      <c r="BG4" s="237">
        <v>35845658</v>
      </c>
      <c r="BH4" s="237">
        <v>7</v>
      </c>
      <c r="BI4" s="237">
        <v>0</v>
      </c>
      <c r="BJ4" s="237">
        <v>0</v>
      </c>
      <c r="BK4" s="237">
        <v>99</v>
      </c>
      <c r="BL4" s="237">
        <v>80</v>
      </c>
      <c r="BM4" s="237">
        <v>2365050</v>
      </c>
      <c r="BN4" s="237">
        <v>36</v>
      </c>
      <c r="BO4" s="237">
        <v>49500</v>
      </c>
      <c r="BP4" s="237">
        <v>19800</v>
      </c>
      <c r="BQ4" s="237">
        <v>41924</v>
      </c>
      <c r="BR4" s="237">
        <v>22595</v>
      </c>
      <c r="BS4" s="237">
        <v>51080003</v>
      </c>
      <c r="BT4" s="237">
        <v>0</v>
      </c>
      <c r="BU4" s="238">
        <v>689580.0405</v>
      </c>
      <c r="BV4" s="237">
        <v>25</v>
      </c>
      <c r="BW4" s="237">
        <v>24</v>
      </c>
      <c r="BX4" s="237">
        <v>1507043</v>
      </c>
      <c r="BY4" s="237">
        <v>0</v>
      </c>
      <c r="BZ4" s="237">
        <v>7535</v>
      </c>
      <c r="CA4" s="238">
        <v>0</v>
      </c>
      <c r="CB4" s="238">
        <v>0</v>
      </c>
      <c r="CC4" s="238">
        <v>0</v>
      </c>
      <c r="CD4" s="238">
        <v>0</v>
      </c>
      <c r="CE4" s="238">
        <v>0</v>
      </c>
      <c r="CF4" s="237">
        <v>0</v>
      </c>
      <c r="CG4" s="237">
        <v>0</v>
      </c>
      <c r="CH4" s="237">
        <v>0</v>
      </c>
      <c r="CI4" s="237">
        <v>0</v>
      </c>
      <c r="CJ4" s="237">
        <v>0</v>
      </c>
      <c r="CK4" s="239">
        <v>0</v>
      </c>
      <c r="CL4" s="237">
        <v>0</v>
      </c>
      <c r="CM4" s="237">
        <v>0</v>
      </c>
      <c r="CN4" s="237">
        <v>0</v>
      </c>
      <c r="CO4" s="237">
        <v>92975</v>
      </c>
      <c r="CP4" s="237">
        <v>36994</v>
      </c>
      <c r="CQ4" s="239">
        <v>29826373</v>
      </c>
      <c r="CR4" s="237">
        <v>6449</v>
      </c>
      <c r="CS4" s="237">
        <v>11041</v>
      </c>
      <c r="CT4" s="237">
        <v>38182351</v>
      </c>
      <c r="CU4" s="237">
        <v>400435</v>
      </c>
      <c r="CV4" s="237">
        <v>7787</v>
      </c>
      <c r="CW4" s="237">
        <v>32145</v>
      </c>
      <c r="CX4" s="237">
        <v>18504</v>
      </c>
      <c r="CY4" s="237">
        <v>17284</v>
      </c>
      <c r="CZ4" s="237">
        <v>109712458</v>
      </c>
      <c r="DA4" s="237">
        <v>2480</v>
      </c>
      <c r="DB4" s="237">
        <v>10</v>
      </c>
      <c r="DC4" s="237">
        <v>1</v>
      </c>
      <c r="DD4" s="237">
        <v>85350</v>
      </c>
      <c r="DE4" s="237">
        <v>0</v>
      </c>
      <c r="DF4" s="237">
        <v>1368</v>
      </c>
      <c r="DG4" s="237">
        <v>0</v>
      </c>
      <c r="DH4" s="237">
        <v>0</v>
      </c>
      <c r="DI4" s="237">
        <v>0</v>
      </c>
      <c r="DJ4" s="237">
        <v>1</v>
      </c>
      <c r="DK4" s="237">
        <v>6710</v>
      </c>
      <c r="DL4" s="237">
        <v>2114</v>
      </c>
      <c r="DM4" s="237">
        <v>131809376</v>
      </c>
      <c r="DN4" s="237">
        <v>3247</v>
      </c>
      <c r="DO4" s="237">
        <v>1068200</v>
      </c>
      <c r="DP4" s="237">
        <v>0</v>
      </c>
      <c r="DQ4" s="237">
        <v>7083001</v>
      </c>
      <c r="DR4" s="237">
        <v>0</v>
      </c>
      <c r="DS4" s="237">
        <v>6710</v>
      </c>
      <c r="DT4" s="237">
        <v>131809376</v>
      </c>
      <c r="DU4" s="240">
        <v>1068200</v>
      </c>
      <c r="DV4" s="237">
        <v>0</v>
      </c>
      <c r="DW4" s="237">
        <v>4098</v>
      </c>
      <c r="DX4" s="237">
        <v>76086650</v>
      </c>
      <c r="DY4" s="237">
        <v>2612</v>
      </c>
      <c r="DZ4" s="237">
        <v>55722726</v>
      </c>
      <c r="EA4" s="238">
        <v>2291232</v>
      </c>
      <c r="EB4" s="238">
        <v>2077060075</v>
      </c>
      <c r="EC4" s="238">
        <v>34419</v>
      </c>
      <c r="ED4" s="470">
        <v>425085</v>
      </c>
      <c r="EE4" s="470">
        <v>308422</v>
      </c>
      <c r="EF4" s="470">
        <v>502384</v>
      </c>
      <c r="EG4" s="470">
        <v>0</v>
      </c>
      <c r="EH4" s="470">
        <v>1352419</v>
      </c>
      <c r="EI4" s="242">
        <v>19726133.795499999</v>
      </c>
      <c r="EJ4" s="243">
        <v>10410843</v>
      </c>
      <c r="EK4" s="244">
        <v>8204</v>
      </c>
      <c r="EL4" s="245">
        <v>6767</v>
      </c>
      <c r="EM4" s="245">
        <v>2755882</v>
      </c>
      <c r="EN4" s="245">
        <v>41338.229999999996</v>
      </c>
      <c r="EO4" s="245">
        <v>98489</v>
      </c>
      <c r="EP4" s="245">
        <v>66831</v>
      </c>
      <c r="EQ4" s="245">
        <v>23949235</v>
      </c>
      <c r="ER4" s="245">
        <v>359238.52499999997</v>
      </c>
      <c r="ES4" s="246">
        <v>106693</v>
      </c>
      <c r="ET4" s="246">
        <v>72015</v>
      </c>
      <c r="EU4" s="246">
        <v>26705117</v>
      </c>
      <c r="EV4" s="247">
        <v>400576.75499999995</v>
      </c>
      <c r="EW4" s="246">
        <v>969686</v>
      </c>
      <c r="EX4" s="246">
        <v>36994</v>
      </c>
      <c r="EY4" s="247">
        <v>190322221</v>
      </c>
      <c r="EZ4" s="246">
        <v>41924</v>
      </c>
      <c r="FA4" s="246">
        <v>22595</v>
      </c>
      <c r="FB4" s="246">
        <v>51080003</v>
      </c>
      <c r="FC4" s="247">
        <v>689580.0405</v>
      </c>
      <c r="FD4" s="246">
        <v>80</v>
      </c>
      <c r="FE4" s="246">
        <v>75</v>
      </c>
      <c r="FF4" s="246">
        <v>89998</v>
      </c>
    </row>
    <row r="5" spans="1:162" s="248" customFormat="1" ht="15" customHeight="1">
      <c r="A5" s="236">
        <v>45691</v>
      </c>
      <c r="B5" s="237">
        <v>7104</v>
      </c>
      <c r="C5" s="237">
        <v>7234</v>
      </c>
      <c r="D5" s="237">
        <v>7252</v>
      </c>
      <c r="E5" s="237">
        <v>515676</v>
      </c>
      <c r="F5" s="237">
        <v>316548</v>
      </c>
      <c r="G5" s="237">
        <v>5733819</v>
      </c>
      <c r="H5" s="237">
        <v>2398590</v>
      </c>
      <c r="I5" s="237">
        <v>1595342</v>
      </c>
      <c r="J5" s="237">
        <v>73838</v>
      </c>
      <c r="K5" s="237">
        <v>148</v>
      </c>
      <c r="L5" s="237">
        <v>160319</v>
      </c>
      <c r="M5" s="237">
        <v>160863</v>
      </c>
      <c r="N5" s="237">
        <v>142451</v>
      </c>
      <c r="O5" s="237">
        <v>1041176</v>
      </c>
      <c r="P5" s="237">
        <v>208254030</v>
      </c>
      <c r="Q5" s="237">
        <v>5574</v>
      </c>
      <c r="R5" s="237">
        <v>935115</v>
      </c>
      <c r="S5" s="237">
        <v>9013006</v>
      </c>
      <c r="T5" s="237"/>
      <c r="U5" s="237">
        <v>161767</v>
      </c>
      <c r="V5" s="237">
        <v>44096</v>
      </c>
      <c r="W5" s="237">
        <v>130471</v>
      </c>
      <c r="X5" s="237">
        <v>1244553763</v>
      </c>
      <c r="Y5" s="237">
        <v>4034610</v>
      </c>
      <c r="Z5" s="237">
        <v>7968</v>
      </c>
      <c r="AA5" s="237">
        <v>0</v>
      </c>
      <c r="AB5" s="237">
        <v>326</v>
      </c>
      <c r="AC5" s="237">
        <v>0</v>
      </c>
      <c r="AD5" s="237">
        <v>431</v>
      </c>
      <c r="AE5" s="237">
        <v>0</v>
      </c>
      <c r="AF5" s="237">
        <v>0</v>
      </c>
      <c r="AG5" s="237">
        <v>0</v>
      </c>
      <c r="AH5" s="237">
        <v>119598</v>
      </c>
      <c r="AI5" s="237">
        <v>100389</v>
      </c>
      <c r="AJ5" s="237">
        <v>1097457395</v>
      </c>
      <c r="AK5" s="237">
        <v>8676</v>
      </c>
      <c r="AL5" s="237">
        <v>10291864</v>
      </c>
      <c r="AM5" s="237">
        <v>20682427</v>
      </c>
      <c r="AN5" s="237">
        <v>0</v>
      </c>
      <c r="AO5" s="237">
        <v>16385</v>
      </c>
      <c r="AP5" s="237">
        <v>13055</v>
      </c>
      <c r="AQ5" s="237">
        <v>173732572</v>
      </c>
      <c r="AR5" s="237">
        <v>2910</v>
      </c>
      <c r="AS5" s="237">
        <v>1047500</v>
      </c>
      <c r="AT5" s="237">
        <v>111</v>
      </c>
      <c r="AU5" s="237">
        <v>336</v>
      </c>
      <c r="AV5" s="237">
        <v>706515</v>
      </c>
      <c r="AW5" s="237">
        <v>341</v>
      </c>
      <c r="AX5" s="237">
        <v>31200</v>
      </c>
      <c r="AY5" s="237">
        <v>750</v>
      </c>
      <c r="AZ5" s="237">
        <v>558</v>
      </c>
      <c r="BA5" s="237">
        <v>27927166</v>
      </c>
      <c r="BB5" s="237">
        <v>366</v>
      </c>
      <c r="BC5" s="237">
        <v>18700</v>
      </c>
      <c r="BD5" s="237">
        <v>6065</v>
      </c>
      <c r="BE5" s="237">
        <v>3387</v>
      </c>
      <c r="BF5" s="237">
        <v>2314</v>
      </c>
      <c r="BG5" s="237">
        <v>76700493</v>
      </c>
      <c r="BH5" s="237">
        <v>238</v>
      </c>
      <c r="BI5" s="237">
        <v>0</v>
      </c>
      <c r="BJ5" s="237">
        <v>0</v>
      </c>
      <c r="BK5" s="237">
        <v>142</v>
      </c>
      <c r="BL5" s="237">
        <v>114</v>
      </c>
      <c r="BM5" s="237">
        <v>2457602</v>
      </c>
      <c r="BN5" s="237">
        <v>113</v>
      </c>
      <c r="BO5" s="237">
        <v>56950</v>
      </c>
      <c r="BP5" s="237">
        <v>22780</v>
      </c>
      <c r="BQ5" s="237">
        <v>29785</v>
      </c>
      <c r="BR5" s="237">
        <v>15943</v>
      </c>
      <c r="BS5" s="237">
        <v>40523862</v>
      </c>
      <c r="BT5" s="237">
        <v>0</v>
      </c>
      <c r="BU5" s="238">
        <v>547072.13699999999</v>
      </c>
      <c r="BV5" s="237">
        <v>33</v>
      </c>
      <c r="BW5" s="237">
        <v>32</v>
      </c>
      <c r="BX5" s="237">
        <v>1360945</v>
      </c>
      <c r="BY5" s="237">
        <v>0</v>
      </c>
      <c r="BZ5" s="237">
        <v>6805</v>
      </c>
      <c r="CA5" s="238">
        <v>0</v>
      </c>
      <c r="CB5" s="238">
        <v>0</v>
      </c>
      <c r="CC5" s="238">
        <v>0</v>
      </c>
      <c r="CD5" s="238">
        <v>0</v>
      </c>
      <c r="CE5" s="238">
        <v>0</v>
      </c>
      <c r="CF5" s="237">
        <v>0</v>
      </c>
      <c r="CG5" s="237">
        <v>0</v>
      </c>
      <c r="CH5" s="237">
        <v>0</v>
      </c>
      <c r="CI5" s="237">
        <v>0</v>
      </c>
      <c r="CJ5" s="237">
        <v>0</v>
      </c>
      <c r="CK5" s="239">
        <v>386</v>
      </c>
      <c r="CL5" s="237">
        <v>105444951</v>
      </c>
      <c r="CM5" s="237">
        <v>0</v>
      </c>
      <c r="CN5" s="237">
        <v>0</v>
      </c>
      <c r="CO5" s="237">
        <v>103023</v>
      </c>
      <c r="CP5" s="237">
        <v>43574</v>
      </c>
      <c r="CQ5" s="239">
        <v>35315197</v>
      </c>
      <c r="CR5" s="237">
        <v>7006</v>
      </c>
      <c r="CS5" s="237">
        <v>14329</v>
      </c>
      <c r="CT5" s="237">
        <v>47854647</v>
      </c>
      <c r="CU5" s="237">
        <v>494212</v>
      </c>
      <c r="CV5" s="237">
        <v>9193</v>
      </c>
      <c r="CW5" s="237">
        <v>42143</v>
      </c>
      <c r="CX5" s="237">
        <v>20705</v>
      </c>
      <c r="CY5" s="237">
        <v>19443</v>
      </c>
      <c r="CZ5" s="237">
        <v>266025932</v>
      </c>
      <c r="DA5" s="237">
        <v>2651</v>
      </c>
      <c r="DB5" s="237">
        <v>28</v>
      </c>
      <c r="DC5" s="237">
        <v>2</v>
      </c>
      <c r="DD5" s="237">
        <v>217500</v>
      </c>
      <c r="DE5" s="237">
        <v>5</v>
      </c>
      <c r="DF5" s="237">
        <v>3187</v>
      </c>
      <c r="DG5" s="237">
        <v>0</v>
      </c>
      <c r="DH5" s="237">
        <v>0</v>
      </c>
      <c r="DI5" s="237">
        <v>0</v>
      </c>
      <c r="DJ5" s="237">
        <v>1</v>
      </c>
      <c r="DK5" s="237">
        <v>10662</v>
      </c>
      <c r="DL5" s="237">
        <v>3429</v>
      </c>
      <c r="DM5" s="237">
        <v>367091400</v>
      </c>
      <c r="DN5" s="237">
        <v>2999</v>
      </c>
      <c r="DO5" s="237">
        <v>2607800</v>
      </c>
      <c r="DP5" s="237">
        <v>0</v>
      </c>
      <c r="DQ5" s="237">
        <v>15849330</v>
      </c>
      <c r="DR5" s="237">
        <v>0</v>
      </c>
      <c r="DS5" s="237">
        <v>10662</v>
      </c>
      <c r="DT5" s="237">
        <v>367091400</v>
      </c>
      <c r="DU5" s="240">
        <v>2607800</v>
      </c>
      <c r="DV5" s="237">
        <v>0</v>
      </c>
      <c r="DW5" s="237">
        <v>6111</v>
      </c>
      <c r="DX5" s="237">
        <v>188108074</v>
      </c>
      <c r="DY5" s="237">
        <v>4551</v>
      </c>
      <c r="DZ5" s="237">
        <v>178983326</v>
      </c>
      <c r="EA5" s="238">
        <v>2457383</v>
      </c>
      <c r="EB5" s="238">
        <v>3704636976</v>
      </c>
      <c r="EC5" s="238">
        <v>39898</v>
      </c>
      <c r="ED5" s="470">
        <v>703457</v>
      </c>
      <c r="EE5" s="470">
        <v>394384</v>
      </c>
      <c r="EF5" s="470">
        <v>349559</v>
      </c>
      <c r="EG5" s="470">
        <v>0</v>
      </c>
      <c r="EH5" s="470">
        <v>1629340</v>
      </c>
      <c r="EI5" s="242">
        <v>27155237.567000002</v>
      </c>
      <c r="EJ5" s="243">
        <v>14750208</v>
      </c>
      <c r="EK5" s="244">
        <v>8661</v>
      </c>
      <c r="EL5" s="245">
        <v>7093</v>
      </c>
      <c r="EM5" s="245">
        <v>2793012</v>
      </c>
      <c r="EN5" s="245">
        <v>41895.18</v>
      </c>
      <c r="EO5" s="245">
        <v>95823</v>
      </c>
      <c r="EP5" s="245">
        <v>65501</v>
      </c>
      <c r="EQ5" s="245">
        <v>24655950</v>
      </c>
      <c r="ER5" s="245">
        <v>369839.25</v>
      </c>
      <c r="ES5" s="246">
        <v>104484</v>
      </c>
      <c r="ET5" s="246">
        <v>71014</v>
      </c>
      <c r="EU5" s="246">
        <v>27448962</v>
      </c>
      <c r="EV5" s="247">
        <v>411734.43</v>
      </c>
      <c r="EW5" s="246">
        <v>1039715</v>
      </c>
      <c r="EX5" s="246">
        <v>43574</v>
      </c>
      <c r="EY5" s="247">
        <v>216120265</v>
      </c>
      <c r="EZ5" s="246">
        <v>29785</v>
      </c>
      <c r="FA5" s="246">
        <v>15943</v>
      </c>
      <c r="FB5" s="246">
        <v>40523862</v>
      </c>
      <c r="FC5" s="247">
        <v>547072.13699999999</v>
      </c>
      <c r="FD5" s="246">
        <v>127</v>
      </c>
      <c r="FE5" s="246">
        <v>116</v>
      </c>
      <c r="FF5" s="246">
        <v>152996</v>
      </c>
    </row>
    <row r="6" spans="1:162" s="248" customFormat="1" ht="15" customHeight="1">
      <c r="A6" s="236">
        <v>45692</v>
      </c>
      <c r="B6" s="237">
        <v>7410</v>
      </c>
      <c r="C6" s="237">
        <v>7487</v>
      </c>
      <c r="D6" s="237">
        <v>7519</v>
      </c>
      <c r="E6" s="237">
        <v>517344</v>
      </c>
      <c r="F6" s="237">
        <v>317550</v>
      </c>
      <c r="G6" s="237">
        <v>5743818</v>
      </c>
      <c r="H6" s="237">
        <v>2395057</v>
      </c>
      <c r="I6" s="237">
        <v>1603184</v>
      </c>
      <c r="J6" s="237">
        <v>73500</v>
      </c>
      <c r="K6" s="237">
        <v>104</v>
      </c>
      <c r="L6" s="237">
        <v>160806</v>
      </c>
      <c r="M6" s="237">
        <v>161302</v>
      </c>
      <c r="N6" s="237">
        <v>142597</v>
      </c>
      <c r="O6" s="237">
        <v>1022128</v>
      </c>
      <c r="P6" s="237">
        <v>201488400</v>
      </c>
      <c r="Q6" s="237">
        <v>5398</v>
      </c>
      <c r="R6" s="237">
        <v>921320</v>
      </c>
      <c r="S6" s="237">
        <v>7038032</v>
      </c>
      <c r="T6" s="237"/>
      <c r="U6" s="237">
        <v>158612</v>
      </c>
      <c r="V6" s="237">
        <v>44313</v>
      </c>
      <c r="W6" s="237">
        <v>128193</v>
      </c>
      <c r="X6" s="237">
        <v>1230437460</v>
      </c>
      <c r="Y6" s="237">
        <v>4005887</v>
      </c>
      <c r="Z6" s="237">
        <v>7719</v>
      </c>
      <c r="AA6" s="237">
        <v>0</v>
      </c>
      <c r="AB6" s="237">
        <v>347</v>
      </c>
      <c r="AC6" s="237">
        <v>0</v>
      </c>
      <c r="AD6" s="237">
        <v>491</v>
      </c>
      <c r="AE6" s="237">
        <v>0</v>
      </c>
      <c r="AF6" s="237">
        <v>0</v>
      </c>
      <c r="AG6" s="237">
        <v>0</v>
      </c>
      <c r="AH6" s="237">
        <v>117587</v>
      </c>
      <c r="AI6" s="237">
        <v>98424</v>
      </c>
      <c r="AJ6" s="237">
        <v>1130830174</v>
      </c>
      <c r="AK6" s="237">
        <v>8235</v>
      </c>
      <c r="AL6" s="237">
        <v>10341750</v>
      </c>
      <c r="AM6" s="237">
        <v>20791344</v>
      </c>
      <c r="AN6" s="237">
        <v>0</v>
      </c>
      <c r="AO6" s="237">
        <v>16267</v>
      </c>
      <c r="AP6" s="237">
        <v>12988</v>
      </c>
      <c r="AQ6" s="237">
        <v>164404174</v>
      </c>
      <c r="AR6" s="237">
        <v>2860</v>
      </c>
      <c r="AS6" s="237">
        <v>1035400</v>
      </c>
      <c r="AT6" s="237">
        <v>100</v>
      </c>
      <c r="AU6" s="237">
        <v>331</v>
      </c>
      <c r="AV6" s="237">
        <v>784079</v>
      </c>
      <c r="AW6" s="237">
        <v>329</v>
      </c>
      <c r="AX6" s="237">
        <v>31200</v>
      </c>
      <c r="AY6" s="237">
        <v>736</v>
      </c>
      <c r="AZ6" s="237">
        <v>597</v>
      </c>
      <c r="BA6" s="237">
        <v>22074704</v>
      </c>
      <c r="BB6" s="237">
        <v>309</v>
      </c>
      <c r="BC6" s="237">
        <v>16100</v>
      </c>
      <c r="BD6" s="237">
        <v>4965</v>
      </c>
      <c r="BE6" s="237">
        <v>4043</v>
      </c>
      <c r="BF6" s="237">
        <v>2634</v>
      </c>
      <c r="BG6" s="237">
        <v>84922291</v>
      </c>
      <c r="BH6" s="237">
        <v>909</v>
      </c>
      <c r="BI6" s="237">
        <v>0</v>
      </c>
      <c r="BJ6" s="237">
        <v>0</v>
      </c>
      <c r="BK6" s="237">
        <v>112</v>
      </c>
      <c r="BL6" s="237">
        <v>98</v>
      </c>
      <c r="BM6" s="237">
        <v>2464700</v>
      </c>
      <c r="BN6" s="237">
        <v>470</v>
      </c>
      <c r="BO6" s="237">
        <v>56250</v>
      </c>
      <c r="BP6" s="237">
        <v>22500</v>
      </c>
      <c r="BQ6" s="237">
        <v>35193</v>
      </c>
      <c r="BR6" s="237">
        <v>18893</v>
      </c>
      <c r="BS6" s="237">
        <v>44464542</v>
      </c>
      <c r="BT6" s="237">
        <v>0</v>
      </c>
      <c r="BU6" s="238">
        <v>600271.31700000004</v>
      </c>
      <c r="BV6" s="237">
        <v>21</v>
      </c>
      <c r="BW6" s="237">
        <v>20</v>
      </c>
      <c r="BX6" s="237">
        <v>615268</v>
      </c>
      <c r="BY6" s="237">
        <v>0</v>
      </c>
      <c r="BZ6" s="237">
        <v>3076</v>
      </c>
      <c r="CA6" s="238">
        <v>0</v>
      </c>
      <c r="CB6" s="238">
        <v>0</v>
      </c>
      <c r="CC6" s="238">
        <v>0</v>
      </c>
      <c r="CD6" s="238">
        <v>0</v>
      </c>
      <c r="CE6" s="238">
        <v>0</v>
      </c>
      <c r="CF6" s="237">
        <v>0</v>
      </c>
      <c r="CG6" s="237">
        <v>0</v>
      </c>
      <c r="CH6" s="237">
        <v>0</v>
      </c>
      <c r="CI6" s="237">
        <v>0</v>
      </c>
      <c r="CJ6" s="237">
        <v>0</v>
      </c>
      <c r="CK6" s="239">
        <v>915</v>
      </c>
      <c r="CL6" s="237">
        <v>43800288</v>
      </c>
      <c r="CM6" s="237">
        <v>0</v>
      </c>
      <c r="CN6" s="237">
        <v>0</v>
      </c>
      <c r="CO6" s="237">
        <v>100066</v>
      </c>
      <c r="CP6" s="237">
        <v>42997</v>
      </c>
      <c r="CQ6" s="239">
        <v>33108291</v>
      </c>
      <c r="CR6" s="237">
        <v>6561</v>
      </c>
      <c r="CS6" s="237">
        <v>13010</v>
      </c>
      <c r="CT6" s="237">
        <v>41565123</v>
      </c>
      <c r="CU6" s="237">
        <v>427796</v>
      </c>
      <c r="CV6" s="237">
        <v>5364</v>
      </c>
      <c r="CW6" s="237">
        <v>38716</v>
      </c>
      <c r="CX6" s="237">
        <v>19811</v>
      </c>
      <c r="CY6" s="237">
        <v>18630</v>
      </c>
      <c r="CZ6" s="237">
        <v>299797415</v>
      </c>
      <c r="DA6" s="237">
        <v>2539</v>
      </c>
      <c r="DB6" s="237">
        <v>34</v>
      </c>
      <c r="DC6" s="237">
        <v>2</v>
      </c>
      <c r="DD6" s="237">
        <v>603325</v>
      </c>
      <c r="DE6" s="237">
        <v>1</v>
      </c>
      <c r="DF6" s="237">
        <v>5892</v>
      </c>
      <c r="DG6" s="237">
        <v>0</v>
      </c>
      <c r="DH6" s="237">
        <v>0</v>
      </c>
      <c r="DI6" s="237">
        <v>0</v>
      </c>
      <c r="DJ6" s="237">
        <v>1</v>
      </c>
      <c r="DK6" s="237">
        <v>10718</v>
      </c>
      <c r="DL6" s="237">
        <v>3515</v>
      </c>
      <c r="DM6" s="237">
        <v>364076577</v>
      </c>
      <c r="DN6" s="237">
        <v>3225</v>
      </c>
      <c r="DO6" s="237">
        <v>2263950</v>
      </c>
      <c r="DP6" s="237">
        <v>0</v>
      </c>
      <c r="DQ6" s="237">
        <v>89058152</v>
      </c>
      <c r="DR6" s="237">
        <v>0</v>
      </c>
      <c r="DS6" s="237">
        <v>10718</v>
      </c>
      <c r="DT6" s="237">
        <v>364076577</v>
      </c>
      <c r="DU6" s="240">
        <v>2263950</v>
      </c>
      <c r="DV6" s="237">
        <v>0</v>
      </c>
      <c r="DW6" s="237">
        <v>6616</v>
      </c>
      <c r="DX6" s="237">
        <v>225260289</v>
      </c>
      <c r="DY6" s="237">
        <v>4102</v>
      </c>
      <c r="DZ6" s="237">
        <v>138816288</v>
      </c>
      <c r="EA6" s="238">
        <v>2420674</v>
      </c>
      <c r="EB6" s="238">
        <v>3672474843</v>
      </c>
      <c r="EC6" s="238">
        <v>35787</v>
      </c>
      <c r="ED6" s="470">
        <v>2469253</v>
      </c>
      <c r="EE6" s="470">
        <v>365072</v>
      </c>
      <c r="EF6" s="470">
        <v>589574</v>
      </c>
      <c r="EG6" s="470">
        <v>0</v>
      </c>
      <c r="EH6" s="470">
        <v>1209157</v>
      </c>
      <c r="EI6" s="242">
        <v>28640768.272</v>
      </c>
      <c r="EJ6" s="243">
        <v>15009284</v>
      </c>
      <c r="EK6" s="244">
        <v>8430</v>
      </c>
      <c r="EL6" s="245">
        <v>6980</v>
      </c>
      <c r="EM6" s="245">
        <v>2907717</v>
      </c>
      <c r="EN6" s="245">
        <v>43615.754999999997</v>
      </c>
      <c r="EO6" s="245">
        <v>96006</v>
      </c>
      <c r="EP6" s="245">
        <v>65737</v>
      </c>
      <c r="EQ6" s="245">
        <v>24629480</v>
      </c>
      <c r="ER6" s="245">
        <v>369442.2</v>
      </c>
      <c r="ES6" s="246">
        <v>104436</v>
      </c>
      <c r="ET6" s="246">
        <v>71189</v>
      </c>
      <c r="EU6" s="246">
        <v>27537197</v>
      </c>
      <c r="EV6" s="247">
        <v>413057.95500000002</v>
      </c>
      <c r="EW6" s="246">
        <v>1017758</v>
      </c>
      <c r="EX6" s="246">
        <v>42997</v>
      </c>
      <c r="EY6" s="247">
        <v>207059494</v>
      </c>
      <c r="EZ6" s="246">
        <v>35193</v>
      </c>
      <c r="FA6" s="246">
        <v>18893</v>
      </c>
      <c r="FB6" s="246">
        <v>44464542</v>
      </c>
      <c r="FC6" s="247">
        <v>600271.31700000004</v>
      </c>
      <c r="FD6" s="246">
        <v>134</v>
      </c>
      <c r="FE6" s="246">
        <v>122</v>
      </c>
      <c r="FF6" s="246">
        <v>167998</v>
      </c>
    </row>
    <row r="7" spans="1:162" s="248" customFormat="1" ht="15" customHeight="1">
      <c r="A7" s="236">
        <v>45693</v>
      </c>
      <c r="B7" s="237">
        <v>7553</v>
      </c>
      <c r="C7" s="237">
        <v>7652</v>
      </c>
      <c r="D7" s="237">
        <v>7671</v>
      </c>
      <c r="E7" s="237">
        <v>519198</v>
      </c>
      <c r="F7" s="237">
        <v>327287</v>
      </c>
      <c r="G7" s="237">
        <v>5754107</v>
      </c>
      <c r="H7" s="237">
        <v>2405789</v>
      </c>
      <c r="I7" s="237">
        <v>1607715</v>
      </c>
      <c r="J7" s="237">
        <v>74111</v>
      </c>
      <c r="K7" s="237">
        <v>192</v>
      </c>
      <c r="L7" s="237">
        <v>161238</v>
      </c>
      <c r="M7" s="237">
        <v>161796</v>
      </c>
      <c r="N7" s="237">
        <v>142891</v>
      </c>
      <c r="O7" s="237">
        <v>1035123</v>
      </c>
      <c r="P7" s="237">
        <v>205929320</v>
      </c>
      <c r="Q7" s="237">
        <v>5528</v>
      </c>
      <c r="R7" s="237">
        <v>932270</v>
      </c>
      <c r="S7" s="237">
        <v>7165573</v>
      </c>
      <c r="T7" s="237"/>
      <c r="U7" s="237">
        <v>167900</v>
      </c>
      <c r="V7" s="237">
        <v>45206</v>
      </c>
      <c r="W7" s="237">
        <v>134379</v>
      </c>
      <c r="X7" s="237">
        <v>1230777215</v>
      </c>
      <c r="Y7" s="237">
        <v>3979279</v>
      </c>
      <c r="Z7" s="237">
        <v>8055</v>
      </c>
      <c r="AA7" s="237">
        <v>1</v>
      </c>
      <c r="AB7" s="237">
        <v>364</v>
      </c>
      <c r="AC7" s="237">
        <v>200000</v>
      </c>
      <c r="AD7" s="237">
        <v>487</v>
      </c>
      <c r="AE7" s="237">
        <v>1134</v>
      </c>
      <c r="AF7" s="237">
        <v>0</v>
      </c>
      <c r="AG7" s="237">
        <v>0</v>
      </c>
      <c r="AH7" s="237">
        <v>123699</v>
      </c>
      <c r="AI7" s="237">
        <v>102888</v>
      </c>
      <c r="AJ7" s="237">
        <v>1175420894</v>
      </c>
      <c r="AK7" s="237">
        <v>9061</v>
      </c>
      <c r="AL7" s="237">
        <v>11076993</v>
      </c>
      <c r="AM7" s="237">
        <v>22166067</v>
      </c>
      <c r="AN7" s="237">
        <v>0</v>
      </c>
      <c r="AO7" s="237">
        <v>17381</v>
      </c>
      <c r="AP7" s="237">
        <v>13763</v>
      </c>
      <c r="AQ7" s="237">
        <v>168078214</v>
      </c>
      <c r="AR7" s="237">
        <v>3112</v>
      </c>
      <c r="AS7" s="237">
        <v>1087900</v>
      </c>
      <c r="AT7" s="237">
        <v>85</v>
      </c>
      <c r="AU7" s="237">
        <v>323</v>
      </c>
      <c r="AV7" s="237">
        <v>1008621</v>
      </c>
      <c r="AW7" s="237">
        <v>334</v>
      </c>
      <c r="AX7" s="237">
        <v>31500</v>
      </c>
      <c r="AY7" s="237">
        <v>881</v>
      </c>
      <c r="AZ7" s="237">
        <v>474</v>
      </c>
      <c r="BA7" s="237">
        <v>18184945</v>
      </c>
      <c r="BB7" s="237">
        <v>323</v>
      </c>
      <c r="BC7" s="237">
        <v>24750</v>
      </c>
      <c r="BD7" s="237">
        <v>7528</v>
      </c>
      <c r="BE7" s="237">
        <v>4046</v>
      </c>
      <c r="BF7" s="237">
        <v>2486</v>
      </c>
      <c r="BG7" s="237">
        <v>80066167</v>
      </c>
      <c r="BH7" s="237">
        <v>34</v>
      </c>
      <c r="BI7" s="237">
        <v>0</v>
      </c>
      <c r="BJ7" s="237">
        <v>0</v>
      </c>
      <c r="BK7" s="237">
        <v>128</v>
      </c>
      <c r="BL7" s="237">
        <v>95</v>
      </c>
      <c r="BM7" s="237">
        <v>2758750</v>
      </c>
      <c r="BN7" s="237">
        <v>272</v>
      </c>
      <c r="BO7" s="237">
        <v>61700</v>
      </c>
      <c r="BP7" s="237">
        <v>24680</v>
      </c>
      <c r="BQ7" s="237">
        <v>40106</v>
      </c>
      <c r="BR7" s="237">
        <v>22500</v>
      </c>
      <c r="BS7" s="237">
        <v>49511388</v>
      </c>
      <c r="BT7" s="237">
        <v>0</v>
      </c>
      <c r="BU7" s="238">
        <v>668403.73800000001</v>
      </c>
      <c r="BV7" s="237">
        <v>25</v>
      </c>
      <c r="BW7" s="237">
        <v>24</v>
      </c>
      <c r="BX7" s="237">
        <v>611270</v>
      </c>
      <c r="BY7" s="237">
        <v>0</v>
      </c>
      <c r="BZ7" s="237">
        <v>3056</v>
      </c>
      <c r="CA7" s="238">
        <v>0</v>
      </c>
      <c r="CB7" s="238">
        <v>0</v>
      </c>
      <c r="CC7" s="238">
        <v>0</v>
      </c>
      <c r="CD7" s="238">
        <v>0</v>
      </c>
      <c r="CE7" s="238">
        <v>0</v>
      </c>
      <c r="CF7" s="237">
        <v>0</v>
      </c>
      <c r="CG7" s="237">
        <v>0</v>
      </c>
      <c r="CH7" s="237">
        <v>0</v>
      </c>
      <c r="CI7" s="237">
        <v>0</v>
      </c>
      <c r="CJ7" s="237">
        <v>0</v>
      </c>
      <c r="CK7" s="239">
        <v>3608</v>
      </c>
      <c r="CL7" s="237">
        <v>133536559</v>
      </c>
      <c r="CM7" s="237">
        <v>0</v>
      </c>
      <c r="CN7" s="237">
        <v>0</v>
      </c>
      <c r="CO7" s="237">
        <v>99825</v>
      </c>
      <c r="CP7" s="237">
        <v>43224</v>
      </c>
      <c r="CQ7" s="239">
        <v>32444548</v>
      </c>
      <c r="CR7" s="237">
        <v>6981</v>
      </c>
      <c r="CS7" s="237">
        <v>13743</v>
      </c>
      <c r="CT7" s="237">
        <v>41431715</v>
      </c>
      <c r="CU7" s="237">
        <v>428197</v>
      </c>
      <c r="CV7" s="237">
        <v>4499</v>
      </c>
      <c r="CW7" s="237">
        <v>39477</v>
      </c>
      <c r="CX7" s="237">
        <v>21643</v>
      </c>
      <c r="CY7" s="237">
        <v>20177</v>
      </c>
      <c r="CZ7" s="237">
        <v>319903549</v>
      </c>
      <c r="DA7" s="237">
        <v>2680</v>
      </c>
      <c r="DB7" s="237">
        <v>23</v>
      </c>
      <c r="DC7" s="237">
        <v>3</v>
      </c>
      <c r="DD7" s="237">
        <v>344600</v>
      </c>
      <c r="DE7" s="237">
        <v>2</v>
      </c>
      <c r="DF7" s="237">
        <v>3582</v>
      </c>
      <c r="DG7" s="237">
        <v>0</v>
      </c>
      <c r="DH7" s="237">
        <v>0</v>
      </c>
      <c r="DI7" s="237">
        <v>0</v>
      </c>
      <c r="DJ7" s="237">
        <v>1</v>
      </c>
      <c r="DK7" s="237">
        <v>11063</v>
      </c>
      <c r="DL7" s="237">
        <v>3690</v>
      </c>
      <c r="DM7" s="237">
        <v>377639693</v>
      </c>
      <c r="DN7" s="237">
        <v>1720</v>
      </c>
      <c r="DO7" s="237">
        <v>2675700</v>
      </c>
      <c r="DP7" s="237">
        <v>0</v>
      </c>
      <c r="DQ7" s="237">
        <v>33829558</v>
      </c>
      <c r="DR7" s="237">
        <v>0</v>
      </c>
      <c r="DS7" s="237">
        <v>11063</v>
      </c>
      <c r="DT7" s="237">
        <v>377639693</v>
      </c>
      <c r="DU7" s="240">
        <v>2675700</v>
      </c>
      <c r="DV7" s="237">
        <v>0</v>
      </c>
      <c r="DW7" s="237">
        <v>6155</v>
      </c>
      <c r="DX7" s="237">
        <v>207328066</v>
      </c>
      <c r="DY7" s="237">
        <v>4908</v>
      </c>
      <c r="DZ7" s="237">
        <v>170311627</v>
      </c>
      <c r="EA7" s="238">
        <v>2471551</v>
      </c>
      <c r="EB7" s="238">
        <v>3845013021</v>
      </c>
      <c r="EC7" s="238">
        <v>35840</v>
      </c>
      <c r="ED7" s="470">
        <v>658373</v>
      </c>
      <c r="EE7" s="470">
        <v>403153</v>
      </c>
      <c r="EF7" s="470">
        <v>583926</v>
      </c>
      <c r="EG7" s="470">
        <v>0</v>
      </c>
      <c r="EH7" s="470">
        <v>1178240</v>
      </c>
      <c r="EI7" s="242">
        <v>28754750.873</v>
      </c>
      <c r="EJ7" s="243">
        <v>15716599</v>
      </c>
      <c r="EK7" s="244">
        <v>8795</v>
      </c>
      <c r="EL7" s="245">
        <v>7330</v>
      </c>
      <c r="EM7" s="245">
        <v>2973339</v>
      </c>
      <c r="EN7" s="245">
        <v>44600.084999999999</v>
      </c>
      <c r="EO7" s="245">
        <v>97917</v>
      </c>
      <c r="EP7" s="245">
        <v>66981</v>
      </c>
      <c r="EQ7" s="245">
        <v>25456870</v>
      </c>
      <c r="ER7" s="245">
        <v>381853.05</v>
      </c>
      <c r="ES7" s="246">
        <v>106712</v>
      </c>
      <c r="ET7" s="246">
        <v>72684</v>
      </c>
      <c r="EU7" s="246">
        <v>28430209</v>
      </c>
      <c r="EV7" s="247">
        <v>426453.13500000001</v>
      </c>
      <c r="EW7" s="246">
        <v>1028236</v>
      </c>
      <c r="EX7" s="246">
        <v>43224</v>
      </c>
      <c r="EY7" s="247">
        <v>209943659</v>
      </c>
      <c r="EZ7" s="246">
        <v>40106</v>
      </c>
      <c r="FA7" s="246">
        <v>22500</v>
      </c>
      <c r="FB7" s="246">
        <v>49511388</v>
      </c>
      <c r="FC7" s="247">
        <v>668403.73800000001</v>
      </c>
      <c r="FD7" s="246">
        <v>119</v>
      </c>
      <c r="FE7" s="246">
        <v>114</v>
      </c>
      <c r="FF7" s="246">
        <v>119498</v>
      </c>
    </row>
    <row r="8" spans="1:162" s="248" customFormat="1" ht="15" customHeight="1">
      <c r="A8" s="236">
        <v>45694</v>
      </c>
      <c r="B8" s="237">
        <v>6965</v>
      </c>
      <c r="C8" s="237">
        <v>7138</v>
      </c>
      <c r="D8" s="237">
        <v>7179</v>
      </c>
      <c r="E8" s="237">
        <v>520858</v>
      </c>
      <c r="F8" s="237">
        <v>320997</v>
      </c>
      <c r="G8" s="237">
        <v>5764906</v>
      </c>
      <c r="H8" s="237">
        <v>2409219</v>
      </c>
      <c r="I8" s="237">
        <v>1610962</v>
      </c>
      <c r="J8" s="237">
        <v>73781</v>
      </c>
      <c r="K8" s="237">
        <v>250</v>
      </c>
      <c r="L8" s="237">
        <v>161754</v>
      </c>
      <c r="M8" s="237">
        <v>162294</v>
      </c>
      <c r="N8" s="237">
        <v>142950</v>
      </c>
      <c r="O8" s="237">
        <v>1020769</v>
      </c>
      <c r="P8" s="237">
        <v>203466960</v>
      </c>
      <c r="Q8" s="237">
        <v>5355</v>
      </c>
      <c r="R8" s="237">
        <v>918789</v>
      </c>
      <c r="S8" s="237">
        <v>7084952</v>
      </c>
      <c r="T8" s="237">
        <v>1</v>
      </c>
      <c r="U8" s="237">
        <v>164057</v>
      </c>
      <c r="V8" s="237">
        <v>44938</v>
      </c>
      <c r="W8" s="237">
        <v>131906</v>
      </c>
      <c r="X8" s="237">
        <v>1183803547</v>
      </c>
      <c r="Y8" s="237">
        <v>3834273</v>
      </c>
      <c r="Z8" s="237">
        <v>7670</v>
      </c>
      <c r="AA8" s="237">
        <v>0</v>
      </c>
      <c r="AB8" s="237">
        <v>346</v>
      </c>
      <c r="AC8" s="237">
        <v>0</v>
      </c>
      <c r="AD8" s="237">
        <v>480</v>
      </c>
      <c r="AE8" s="237">
        <v>0</v>
      </c>
      <c r="AF8" s="237">
        <v>0</v>
      </c>
      <c r="AG8" s="237">
        <v>0</v>
      </c>
      <c r="AH8" s="237">
        <v>121903</v>
      </c>
      <c r="AI8" s="237">
        <v>101610</v>
      </c>
      <c r="AJ8" s="237">
        <v>1194768622</v>
      </c>
      <c r="AK8" s="237">
        <v>8732</v>
      </c>
      <c r="AL8" s="237">
        <v>10920539</v>
      </c>
      <c r="AM8" s="237">
        <v>21928815</v>
      </c>
      <c r="AN8" s="237">
        <v>0</v>
      </c>
      <c r="AO8" s="237">
        <v>16328</v>
      </c>
      <c r="AP8" s="237">
        <v>13227</v>
      </c>
      <c r="AQ8" s="237">
        <v>153366942</v>
      </c>
      <c r="AR8" s="237">
        <v>2837</v>
      </c>
      <c r="AS8" s="237">
        <v>1022500</v>
      </c>
      <c r="AT8" s="237">
        <v>103</v>
      </c>
      <c r="AU8" s="237">
        <v>305</v>
      </c>
      <c r="AV8" s="237">
        <v>462971</v>
      </c>
      <c r="AW8" s="237">
        <v>275</v>
      </c>
      <c r="AX8" s="237">
        <v>26700</v>
      </c>
      <c r="AY8" s="237">
        <v>1001</v>
      </c>
      <c r="AZ8" s="237">
        <v>531</v>
      </c>
      <c r="BA8" s="237">
        <v>26002874</v>
      </c>
      <c r="BB8" s="237">
        <v>267</v>
      </c>
      <c r="BC8" s="237">
        <v>26550</v>
      </c>
      <c r="BD8" s="237">
        <v>8639</v>
      </c>
      <c r="BE8" s="237">
        <v>3604</v>
      </c>
      <c r="BF8" s="237">
        <v>2299</v>
      </c>
      <c r="BG8" s="237">
        <v>69408216</v>
      </c>
      <c r="BH8" s="237">
        <v>18</v>
      </c>
      <c r="BI8" s="237">
        <v>0</v>
      </c>
      <c r="BJ8" s="237">
        <v>0</v>
      </c>
      <c r="BK8" s="237">
        <v>182</v>
      </c>
      <c r="BL8" s="237">
        <v>140</v>
      </c>
      <c r="BM8" s="237">
        <v>4013001</v>
      </c>
      <c r="BN8" s="237">
        <v>94</v>
      </c>
      <c r="BO8" s="237">
        <v>91450</v>
      </c>
      <c r="BP8" s="237">
        <v>36580</v>
      </c>
      <c r="BQ8" s="237">
        <v>37961</v>
      </c>
      <c r="BR8" s="237">
        <v>20781</v>
      </c>
      <c r="BS8" s="237">
        <v>49601025</v>
      </c>
      <c r="BT8" s="237">
        <v>0</v>
      </c>
      <c r="BU8" s="238">
        <v>669613.83750000002</v>
      </c>
      <c r="BV8" s="237">
        <v>28</v>
      </c>
      <c r="BW8" s="237">
        <v>26</v>
      </c>
      <c r="BX8" s="237">
        <v>859817</v>
      </c>
      <c r="BY8" s="237">
        <v>0</v>
      </c>
      <c r="BZ8" s="237">
        <v>4299</v>
      </c>
      <c r="CA8" s="238">
        <v>0</v>
      </c>
      <c r="CB8" s="238">
        <v>0</v>
      </c>
      <c r="CC8" s="238">
        <v>0</v>
      </c>
      <c r="CD8" s="238">
        <v>0</v>
      </c>
      <c r="CE8" s="238">
        <v>0</v>
      </c>
      <c r="CF8" s="237">
        <v>0</v>
      </c>
      <c r="CG8" s="237">
        <v>0</v>
      </c>
      <c r="CH8" s="237">
        <v>0</v>
      </c>
      <c r="CI8" s="237">
        <v>0</v>
      </c>
      <c r="CJ8" s="237">
        <v>0</v>
      </c>
      <c r="CK8" s="239">
        <v>439</v>
      </c>
      <c r="CL8" s="237">
        <v>20812772</v>
      </c>
      <c r="CM8" s="237">
        <v>0</v>
      </c>
      <c r="CN8" s="237">
        <v>0</v>
      </c>
      <c r="CO8" s="237">
        <v>98549</v>
      </c>
      <c r="CP8" s="237">
        <v>42092</v>
      </c>
      <c r="CQ8" s="239">
        <v>32466092</v>
      </c>
      <c r="CR8" s="237">
        <v>6344</v>
      </c>
      <c r="CS8" s="237">
        <v>13053</v>
      </c>
      <c r="CT8" s="237">
        <v>38276843</v>
      </c>
      <c r="CU8" s="237">
        <v>398113</v>
      </c>
      <c r="CV8" s="237">
        <v>3380</v>
      </c>
      <c r="CW8" s="237">
        <v>34595</v>
      </c>
      <c r="CX8" s="237">
        <v>20291</v>
      </c>
      <c r="CY8" s="237">
        <v>19004</v>
      </c>
      <c r="CZ8" s="237">
        <v>308310669</v>
      </c>
      <c r="DA8" s="237">
        <v>2604</v>
      </c>
      <c r="DB8" s="237">
        <v>25</v>
      </c>
      <c r="DC8" s="237">
        <v>2</v>
      </c>
      <c r="DD8" s="237">
        <v>449100</v>
      </c>
      <c r="DE8" s="237">
        <v>3</v>
      </c>
      <c r="DF8" s="237">
        <v>4650</v>
      </c>
      <c r="DG8" s="237">
        <v>0</v>
      </c>
      <c r="DH8" s="237">
        <v>0</v>
      </c>
      <c r="DI8" s="237">
        <v>0</v>
      </c>
      <c r="DJ8" s="237">
        <v>1</v>
      </c>
      <c r="DK8" s="237">
        <v>10053</v>
      </c>
      <c r="DL8" s="237">
        <v>3452</v>
      </c>
      <c r="DM8" s="237">
        <v>335906121</v>
      </c>
      <c r="DN8" s="237">
        <v>1443</v>
      </c>
      <c r="DO8" s="237">
        <v>2369900</v>
      </c>
      <c r="DP8" s="237">
        <v>0</v>
      </c>
      <c r="DQ8" s="237">
        <v>31108068</v>
      </c>
      <c r="DR8" s="237">
        <v>0</v>
      </c>
      <c r="DS8" s="237">
        <v>10053</v>
      </c>
      <c r="DT8" s="237">
        <v>335906121</v>
      </c>
      <c r="DU8" s="240">
        <v>2369900</v>
      </c>
      <c r="DV8" s="237">
        <v>0</v>
      </c>
      <c r="DW8" s="237">
        <v>5701</v>
      </c>
      <c r="DX8" s="237">
        <v>187294479</v>
      </c>
      <c r="DY8" s="237">
        <v>4352</v>
      </c>
      <c r="DZ8" s="237">
        <v>148611642</v>
      </c>
      <c r="EA8" s="238">
        <v>2427136</v>
      </c>
      <c r="EB8" s="238">
        <v>3629060524</v>
      </c>
      <c r="EC8" s="238">
        <v>32705</v>
      </c>
      <c r="ED8" s="470">
        <v>1663808</v>
      </c>
      <c r="EE8" s="470">
        <v>369465</v>
      </c>
      <c r="EF8" s="470">
        <v>588540</v>
      </c>
      <c r="EG8" s="470">
        <v>0</v>
      </c>
      <c r="EH8" s="470">
        <v>1183651</v>
      </c>
      <c r="EI8" s="242">
        <v>29139452.497499999</v>
      </c>
      <c r="EJ8" s="243">
        <v>15427816</v>
      </c>
      <c r="EK8" s="244">
        <v>8507</v>
      </c>
      <c r="EL8" s="245">
        <v>7074</v>
      </c>
      <c r="EM8" s="245">
        <v>2921434</v>
      </c>
      <c r="EN8" s="245">
        <v>43821.509999999995</v>
      </c>
      <c r="EO8" s="245">
        <v>96490</v>
      </c>
      <c r="EP8" s="245">
        <v>65960</v>
      </c>
      <c r="EQ8" s="245">
        <v>24894810</v>
      </c>
      <c r="ER8" s="245">
        <v>373422.14999999997</v>
      </c>
      <c r="ES8" s="246">
        <v>104997</v>
      </c>
      <c r="ET8" s="246">
        <v>71472</v>
      </c>
      <c r="EU8" s="246">
        <v>27816244</v>
      </c>
      <c r="EV8" s="247">
        <v>417243.66</v>
      </c>
      <c r="EW8" s="246">
        <v>1014321</v>
      </c>
      <c r="EX8" s="246">
        <v>42092</v>
      </c>
      <c r="EY8" s="247">
        <v>208116808</v>
      </c>
      <c r="EZ8" s="246">
        <v>37961</v>
      </c>
      <c r="FA8" s="246">
        <v>20781</v>
      </c>
      <c r="FB8" s="246">
        <v>49601025</v>
      </c>
      <c r="FC8" s="247">
        <v>669613.83750000002</v>
      </c>
      <c r="FD8" s="246">
        <v>129</v>
      </c>
      <c r="FE8" s="246">
        <v>118</v>
      </c>
      <c r="FF8" s="246">
        <v>150995</v>
      </c>
    </row>
    <row r="9" spans="1:162" s="248" customFormat="1" ht="15" customHeight="1">
      <c r="A9" s="236">
        <v>45695</v>
      </c>
      <c r="B9" s="237">
        <v>7507</v>
      </c>
      <c r="C9" s="237">
        <v>7668</v>
      </c>
      <c r="D9" s="237">
        <v>7697</v>
      </c>
      <c r="E9" s="237">
        <v>523216</v>
      </c>
      <c r="F9" s="237">
        <v>322390</v>
      </c>
      <c r="G9" s="237">
        <v>5775340</v>
      </c>
      <c r="H9" s="237">
        <v>2413969</v>
      </c>
      <c r="I9" s="237">
        <v>1613943</v>
      </c>
      <c r="J9" s="237">
        <v>73637</v>
      </c>
      <c r="K9" s="237">
        <v>134</v>
      </c>
      <c r="L9" s="237">
        <v>162253</v>
      </c>
      <c r="M9" s="237">
        <v>162712</v>
      </c>
      <c r="N9" s="237">
        <v>142942</v>
      </c>
      <c r="O9" s="237">
        <v>1039867</v>
      </c>
      <c r="P9" s="237">
        <v>206497290</v>
      </c>
      <c r="Q9" s="237">
        <v>5632</v>
      </c>
      <c r="R9" s="237">
        <v>936224</v>
      </c>
      <c r="S9" s="237">
        <v>7191298</v>
      </c>
      <c r="T9" s="237"/>
      <c r="U9" s="237">
        <v>163013</v>
      </c>
      <c r="V9" s="237">
        <v>44820</v>
      </c>
      <c r="W9" s="237">
        <v>130412</v>
      </c>
      <c r="X9" s="237">
        <v>1162240229</v>
      </c>
      <c r="Y9" s="237">
        <v>3784163</v>
      </c>
      <c r="Z9" s="237">
        <v>7668</v>
      </c>
      <c r="AA9" s="237">
        <v>0</v>
      </c>
      <c r="AB9" s="237">
        <v>323</v>
      </c>
      <c r="AC9" s="237">
        <v>0</v>
      </c>
      <c r="AD9" s="237">
        <v>442</v>
      </c>
      <c r="AE9" s="237">
        <v>0</v>
      </c>
      <c r="AF9" s="237">
        <v>0</v>
      </c>
      <c r="AG9" s="237">
        <v>0</v>
      </c>
      <c r="AH9" s="237">
        <v>119340</v>
      </c>
      <c r="AI9" s="237">
        <v>99810</v>
      </c>
      <c r="AJ9" s="237">
        <v>1131496389</v>
      </c>
      <c r="AK9" s="237">
        <v>8395</v>
      </c>
      <c r="AL9" s="237">
        <v>10461630</v>
      </c>
      <c r="AM9" s="237">
        <v>21005450</v>
      </c>
      <c r="AN9" s="237">
        <v>0</v>
      </c>
      <c r="AO9" s="237">
        <v>16574</v>
      </c>
      <c r="AP9" s="237">
        <v>13324</v>
      </c>
      <c r="AQ9" s="237">
        <v>150838052</v>
      </c>
      <c r="AR9" s="237">
        <v>2886</v>
      </c>
      <c r="AS9" s="237">
        <v>1033400</v>
      </c>
      <c r="AT9" s="237">
        <v>104</v>
      </c>
      <c r="AU9" s="237">
        <v>303</v>
      </c>
      <c r="AV9" s="237">
        <v>544235</v>
      </c>
      <c r="AW9" s="237">
        <v>278</v>
      </c>
      <c r="AX9" s="237">
        <v>28700</v>
      </c>
      <c r="AY9" s="237">
        <v>1073</v>
      </c>
      <c r="AZ9" s="237">
        <v>539</v>
      </c>
      <c r="BA9" s="237">
        <v>25222265</v>
      </c>
      <c r="BB9" s="237">
        <v>305</v>
      </c>
      <c r="BC9" s="237">
        <v>17400</v>
      </c>
      <c r="BD9" s="237">
        <v>5362</v>
      </c>
      <c r="BE9" s="237">
        <v>3052</v>
      </c>
      <c r="BF9" s="237">
        <v>2108</v>
      </c>
      <c r="BG9" s="237">
        <v>73041158</v>
      </c>
      <c r="BH9" s="237">
        <v>8</v>
      </c>
      <c r="BI9" s="237">
        <v>0</v>
      </c>
      <c r="BJ9" s="237">
        <v>0</v>
      </c>
      <c r="BK9" s="237">
        <v>137</v>
      </c>
      <c r="BL9" s="237">
        <v>114</v>
      </c>
      <c r="BM9" s="237">
        <v>3975250</v>
      </c>
      <c r="BN9" s="237">
        <v>57</v>
      </c>
      <c r="BO9" s="237">
        <v>78500</v>
      </c>
      <c r="BP9" s="237">
        <v>31400</v>
      </c>
      <c r="BQ9" s="237">
        <v>38485</v>
      </c>
      <c r="BR9" s="237">
        <v>20951</v>
      </c>
      <c r="BS9" s="237">
        <v>49447803</v>
      </c>
      <c r="BT9" s="237">
        <v>0</v>
      </c>
      <c r="BU9" s="238">
        <v>667545.34050000005</v>
      </c>
      <c r="BV9" s="237">
        <v>19</v>
      </c>
      <c r="BW9" s="237">
        <v>19</v>
      </c>
      <c r="BX9" s="237">
        <v>347010</v>
      </c>
      <c r="BY9" s="237">
        <v>0</v>
      </c>
      <c r="BZ9" s="237">
        <v>1735</v>
      </c>
      <c r="CA9" s="238">
        <v>0</v>
      </c>
      <c r="CB9" s="238">
        <v>0</v>
      </c>
      <c r="CC9" s="238">
        <v>0</v>
      </c>
      <c r="CD9" s="238">
        <v>0</v>
      </c>
      <c r="CE9" s="238">
        <v>0</v>
      </c>
      <c r="CF9" s="237">
        <v>0</v>
      </c>
      <c r="CG9" s="237">
        <v>0</v>
      </c>
      <c r="CH9" s="237">
        <v>0</v>
      </c>
      <c r="CI9" s="237">
        <v>0</v>
      </c>
      <c r="CJ9" s="237">
        <v>0</v>
      </c>
      <c r="CK9" s="239">
        <v>2026</v>
      </c>
      <c r="CL9" s="237">
        <v>106408497</v>
      </c>
      <c r="CM9" s="237">
        <v>0</v>
      </c>
      <c r="CN9" s="237">
        <v>0</v>
      </c>
      <c r="CO9" s="237">
        <v>103071</v>
      </c>
      <c r="CP9" s="237">
        <v>42703</v>
      </c>
      <c r="CQ9" s="239">
        <v>34190523</v>
      </c>
      <c r="CR9" s="237">
        <v>6873</v>
      </c>
      <c r="CS9" s="237">
        <v>13773</v>
      </c>
      <c r="CT9" s="237">
        <v>40897625</v>
      </c>
      <c r="CU9" s="237">
        <v>424486</v>
      </c>
      <c r="CV9" s="237">
        <v>3258</v>
      </c>
      <c r="CW9" s="237">
        <v>37195</v>
      </c>
      <c r="CX9" s="237">
        <v>20774</v>
      </c>
      <c r="CY9" s="237">
        <v>19457</v>
      </c>
      <c r="CZ9" s="237">
        <v>239763784</v>
      </c>
      <c r="DA9" s="237">
        <v>2767</v>
      </c>
      <c r="DB9" s="237">
        <v>29</v>
      </c>
      <c r="DC9" s="237">
        <v>2</v>
      </c>
      <c r="DD9" s="237">
        <v>511071</v>
      </c>
      <c r="DE9" s="237">
        <v>2</v>
      </c>
      <c r="DF9" s="237">
        <v>5638</v>
      </c>
      <c r="DG9" s="237">
        <v>0</v>
      </c>
      <c r="DH9" s="237">
        <v>0</v>
      </c>
      <c r="DI9" s="237">
        <v>0</v>
      </c>
      <c r="DJ9" s="237">
        <v>1</v>
      </c>
      <c r="DK9" s="237">
        <v>9642</v>
      </c>
      <c r="DL9" s="237">
        <v>3405</v>
      </c>
      <c r="DM9" s="237">
        <v>326237498</v>
      </c>
      <c r="DN9" s="237">
        <v>1042</v>
      </c>
      <c r="DO9" s="237">
        <v>2399150</v>
      </c>
      <c r="DP9" s="237">
        <v>0</v>
      </c>
      <c r="DQ9" s="237">
        <v>16207756</v>
      </c>
      <c r="DR9" s="237">
        <v>0</v>
      </c>
      <c r="DS9" s="237">
        <v>9642</v>
      </c>
      <c r="DT9" s="237">
        <v>326237498</v>
      </c>
      <c r="DU9" s="240">
        <v>2399150</v>
      </c>
      <c r="DV9" s="237">
        <v>0</v>
      </c>
      <c r="DW9" s="237">
        <v>5275</v>
      </c>
      <c r="DX9" s="237">
        <v>171244851</v>
      </c>
      <c r="DY9" s="237">
        <v>4367</v>
      </c>
      <c r="DZ9" s="237">
        <v>154992647</v>
      </c>
      <c r="EA9" s="238">
        <v>2467204</v>
      </c>
      <c r="EB9" s="238">
        <v>3558849977</v>
      </c>
      <c r="EC9" s="238">
        <v>32939</v>
      </c>
      <c r="ED9" s="470">
        <v>660536</v>
      </c>
      <c r="EE9" s="470">
        <v>467754</v>
      </c>
      <c r="EF9" s="470">
        <v>569125</v>
      </c>
      <c r="EG9" s="470">
        <v>0</v>
      </c>
      <c r="EH9" s="470">
        <v>1246215</v>
      </c>
      <c r="EI9" s="242">
        <v>27362725.5255</v>
      </c>
      <c r="EJ9" s="243">
        <v>14894513</v>
      </c>
      <c r="EK9" s="244">
        <v>8622</v>
      </c>
      <c r="EL9" s="245">
        <v>7191</v>
      </c>
      <c r="EM9" s="245">
        <v>3057349</v>
      </c>
      <c r="EN9" s="245">
        <v>45860.235000000001</v>
      </c>
      <c r="EO9" s="245">
        <v>98310</v>
      </c>
      <c r="EP9" s="245">
        <v>67173</v>
      </c>
      <c r="EQ9" s="245">
        <v>25314130</v>
      </c>
      <c r="ER9" s="245">
        <v>379711.95</v>
      </c>
      <c r="ES9" s="246">
        <v>106932</v>
      </c>
      <c r="ET9" s="246">
        <v>72803</v>
      </c>
      <c r="EU9" s="246">
        <v>28371479</v>
      </c>
      <c r="EV9" s="247">
        <v>425572.185</v>
      </c>
      <c r="EW9" s="246">
        <v>1036006</v>
      </c>
      <c r="EX9" s="246">
        <v>42703</v>
      </c>
      <c r="EY9" s="247">
        <v>212316334</v>
      </c>
      <c r="EZ9" s="246">
        <v>38485</v>
      </c>
      <c r="FA9" s="246">
        <v>20951</v>
      </c>
      <c r="FB9" s="246">
        <v>49447803</v>
      </c>
      <c r="FC9" s="247">
        <v>667545.34050000005</v>
      </c>
      <c r="FD9" s="246">
        <v>118</v>
      </c>
      <c r="FE9" s="246">
        <v>113</v>
      </c>
      <c r="FF9" s="246">
        <v>152497</v>
      </c>
    </row>
    <row r="10" spans="1:162" s="248" customFormat="1" ht="15" customHeight="1">
      <c r="A10" s="236">
        <v>45696</v>
      </c>
      <c r="B10" s="237">
        <v>5225</v>
      </c>
      <c r="C10" s="237">
        <v>5262</v>
      </c>
      <c r="D10" s="237">
        <v>5302</v>
      </c>
      <c r="E10" s="237">
        <v>526619</v>
      </c>
      <c r="F10" s="237">
        <v>322255</v>
      </c>
      <c r="G10" s="237">
        <v>5785022</v>
      </c>
      <c r="H10" s="237">
        <v>2418130</v>
      </c>
      <c r="I10" s="237">
        <v>1614912</v>
      </c>
      <c r="J10" s="237">
        <v>72231</v>
      </c>
      <c r="K10" s="237">
        <v>46</v>
      </c>
      <c r="L10" s="237">
        <v>162570</v>
      </c>
      <c r="M10" s="237">
        <v>162899</v>
      </c>
      <c r="N10" s="237">
        <v>142728</v>
      </c>
      <c r="O10" s="237">
        <v>1049738</v>
      </c>
      <c r="P10" s="237">
        <v>206117700</v>
      </c>
      <c r="Q10" s="237">
        <v>5773</v>
      </c>
      <c r="R10" s="237">
        <v>940864</v>
      </c>
      <c r="S10" s="237">
        <v>7164711</v>
      </c>
      <c r="T10" s="237"/>
      <c r="U10" s="237">
        <v>166918</v>
      </c>
      <c r="V10" s="237">
        <v>43849</v>
      </c>
      <c r="W10" s="237">
        <v>132705</v>
      </c>
      <c r="X10" s="237">
        <v>1001149704</v>
      </c>
      <c r="Y10" s="237">
        <v>3268964</v>
      </c>
      <c r="Z10" s="237">
        <v>7740</v>
      </c>
      <c r="AA10" s="237">
        <v>0</v>
      </c>
      <c r="AB10" s="237">
        <v>336</v>
      </c>
      <c r="AC10" s="237">
        <v>0</v>
      </c>
      <c r="AD10" s="237">
        <v>497</v>
      </c>
      <c r="AE10" s="237">
        <v>0</v>
      </c>
      <c r="AF10" s="237">
        <v>0</v>
      </c>
      <c r="AG10" s="237">
        <v>0</v>
      </c>
      <c r="AH10" s="237">
        <v>119021</v>
      </c>
      <c r="AI10" s="237">
        <v>99105</v>
      </c>
      <c r="AJ10" s="237">
        <v>1034258488</v>
      </c>
      <c r="AK10" s="237">
        <v>8720</v>
      </c>
      <c r="AL10" s="237">
        <v>10090720</v>
      </c>
      <c r="AM10" s="237">
        <v>20138005</v>
      </c>
      <c r="AN10" s="237">
        <v>0</v>
      </c>
      <c r="AO10" s="237">
        <v>17090</v>
      </c>
      <c r="AP10" s="237">
        <v>13678</v>
      </c>
      <c r="AQ10" s="237">
        <v>143882285</v>
      </c>
      <c r="AR10" s="237">
        <v>2964</v>
      </c>
      <c r="AS10" s="237">
        <v>1023200</v>
      </c>
      <c r="AT10" s="237">
        <v>131</v>
      </c>
      <c r="AU10" s="237">
        <v>363</v>
      </c>
      <c r="AV10" s="237">
        <v>617237</v>
      </c>
      <c r="AW10" s="237">
        <v>345</v>
      </c>
      <c r="AX10" s="237">
        <v>34700</v>
      </c>
      <c r="AY10" s="237">
        <v>1089</v>
      </c>
      <c r="AZ10" s="237">
        <v>468</v>
      </c>
      <c r="BA10" s="237">
        <v>15644730</v>
      </c>
      <c r="BB10" s="237">
        <v>190</v>
      </c>
      <c r="BC10" s="237">
        <v>15700</v>
      </c>
      <c r="BD10" s="237">
        <v>5004</v>
      </c>
      <c r="BE10" s="237">
        <v>3694</v>
      </c>
      <c r="BF10" s="237">
        <v>2393</v>
      </c>
      <c r="BG10" s="237">
        <v>67578759</v>
      </c>
      <c r="BH10" s="237">
        <v>45</v>
      </c>
      <c r="BI10" s="237">
        <v>0</v>
      </c>
      <c r="BJ10" s="237">
        <v>0</v>
      </c>
      <c r="BK10" s="237">
        <v>171</v>
      </c>
      <c r="BL10" s="237">
        <v>122</v>
      </c>
      <c r="BM10" s="237">
        <v>3323851</v>
      </c>
      <c r="BN10" s="237">
        <v>36</v>
      </c>
      <c r="BO10" s="237">
        <v>76000</v>
      </c>
      <c r="BP10" s="237">
        <v>30400</v>
      </c>
      <c r="BQ10" s="237">
        <v>56338</v>
      </c>
      <c r="BR10" s="237">
        <v>29676</v>
      </c>
      <c r="BS10" s="237">
        <v>65686473</v>
      </c>
      <c r="BT10" s="237">
        <v>0</v>
      </c>
      <c r="BU10" s="238">
        <v>886767.38549999997</v>
      </c>
      <c r="BV10" s="237">
        <v>22</v>
      </c>
      <c r="BW10" s="237">
        <v>21</v>
      </c>
      <c r="BX10" s="237">
        <v>581665</v>
      </c>
      <c r="BY10" s="237">
        <v>1</v>
      </c>
      <c r="BZ10" s="237">
        <v>2908</v>
      </c>
      <c r="CA10" s="238">
        <v>0</v>
      </c>
      <c r="CB10" s="238">
        <v>0</v>
      </c>
      <c r="CC10" s="238">
        <v>0</v>
      </c>
      <c r="CD10" s="238">
        <v>0</v>
      </c>
      <c r="CE10" s="238">
        <v>0</v>
      </c>
      <c r="CF10" s="237">
        <v>0</v>
      </c>
      <c r="CG10" s="237">
        <v>0</v>
      </c>
      <c r="CH10" s="237">
        <v>0</v>
      </c>
      <c r="CI10" s="237">
        <v>0</v>
      </c>
      <c r="CJ10" s="237">
        <v>0</v>
      </c>
      <c r="CK10" s="239">
        <v>101</v>
      </c>
      <c r="CL10" s="237">
        <v>7258718</v>
      </c>
      <c r="CM10" s="237">
        <v>0</v>
      </c>
      <c r="CN10" s="237">
        <v>0</v>
      </c>
      <c r="CO10" s="237">
        <v>100074</v>
      </c>
      <c r="CP10" s="237">
        <v>42051</v>
      </c>
      <c r="CQ10" s="239">
        <v>33658300</v>
      </c>
      <c r="CR10" s="237">
        <v>6640</v>
      </c>
      <c r="CS10" s="237">
        <v>14025</v>
      </c>
      <c r="CT10" s="237">
        <v>39722284</v>
      </c>
      <c r="CU10" s="237">
        <v>422150</v>
      </c>
      <c r="CV10" s="237">
        <v>2729</v>
      </c>
      <c r="CW10" s="237">
        <v>36689</v>
      </c>
      <c r="CX10" s="237">
        <v>20413</v>
      </c>
      <c r="CY10" s="237">
        <v>19167</v>
      </c>
      <c r="CZ10" s="237">
        <v>185609047</v>
      </c>
      <c r="DA10" s="237">
        <v>2622</v>
      </c>
      <c r="DB10" s="237">
        <v>29</v>
      </c>
      <c r="DC10" s="237">
        <v>2</v>
      </c>
      <c r="DD10" s="237">
        <v>506650</v>
      </c>
      <c r="DE10" s="237">
        <v>1</v>
      </c>
      <c r="DF10" s="237">
        <v>5516</v>
      </c>
      <c r="DG10" s="237">
        <v>0</v>
      </c>
      <c r="DH10" s="237">
        <v>0</v>
      </c>
      <c r="DI10" s="237">
        <v>0</v>
      </c>
      <c r="DJ10" s="237">
        <v>1</v>
      </c>
      <c r="DK10" s="237">
        <v>9891</v>
      </c>
      <c r="DL10" s="237">
        <v>3125</v>
      </c>
      <c r="DM10" s="237">
        <v>286186090</v>
      </c>
      <c r="DN10" s="237">
        <v>919</v>
      </c>
      <c r="DO10" s="237">
        <v>1981400</v>
      </c>
      <c r="DP10" s="237">
        <v>0</v>
      </c>
      <c r="DQ10" s="237">
        <v>12331501</v>
      </c>
      <c r="DR10" s="237">
        <v>0</v>
      </c>
      <c r="DS10" s="237">
        <v>9891</v>
      </c>
      <c r="DT10" s="237">
        <v>286186090</v>
      </c>
      <c r="DU10" s="240">
        <v>1981400</v>
      </c>
      <c r="DV10" s="237">
        <v>0</v>
      </c>
      <c r="DW10" s="237">
        <v>5957</v>
      </c>
      <c r="DX10" s="237">
        <v>160930109</v>
      </c>
      <c r="DY10" s="237">
        <v>3934</v>
      </c>
      <c r="DZ10" s="237">
        <v>125255981</v>
      </c>
      <c r="EA10" s="238">
        <v>2499610</v>
      </c>
      <c r="EB10" s="238">
        <v>3098946692</v>
      </c>
      <c r="EC10" s="238">
        <v>32530</v>
      </c>
      <c r="ED10" s="470">
        <v>607849</v>
      </c>
      <c r="EE10" s="470">
        <v>285566</v>
      </c>
      <c r="EF10" s="470">
        <v>560352</v>
      </c>
      <c r="EG10" s="470">
        <v>0</v>
      </c>
      <c r="EH10" s="470">
        <v>1231897</v>
      </c>
      <c r="EI10" s="242">
        <v>26015154.705499999</v>
      </c>
      <c r="EJ10" s="243">
        <v>13997645</v>
      </c>
      <c r="EK10" s="244">
        <v>8614</v>
      </c>
      <c r="EL10" s="245">
        <v>7166</v>
      </c>
      <c r="EM10" s="245">
        <v>2865958</v>
      </c>
      <c r="EN10" s="245">
        <v>42989.369999999995</v>
      </c>
      <c r="EO10" s="245">
        <v>100930</v>
      </c>
      <c r="EP10" s="245">
        <v>69046</v>
      </c>
      <c r="EQ10" s="245">
        <v>25261530</v>
      </c>
      <c r="ER10" s="245">
        <v>378922.95</v>
      </c>
      <c r="ES10" s="246">
        <v>109544</v>
      </c>
      <c r="ET10" s="246">
        <v>74647</v>
      </c>
      <c r="EU10" s="246">
        <v>28127488</v>
      </c>
      <c r="EV10" s="247">
        <v>421912.32000000001</v>
      </c>
      <c r="EW10" s="246">
        <v>1040268</v>
      </c>
      <c r="EX10" s="246">
        <v>42051</v>
      </c>
      <c r="EY10" s="247">
        <v>211648512</v>
      </c>
      <c r="EZ10" s="246">
        <v>56338</v>
      </c>
      <c r="FA10" s="246">
        <v>29676</v>
      </c>
      <c r="FB10" s="246">
        <v>65686473</v>
      </c>
      <c r="FC10" s="247">
        <v>886767.38549999997</v>
      </c>
      <c r="FD10" s="246">
        <v>98</v>
      </c>
      <c r="FE10" s="246">
        <v>96</v>
      </c>
      <c r="FF10" s="246">
        <v>118997</v>
      </c>
    </row>
    <row r="11" spans="1:162" s="248" customFormat="1" ht="15" customHeight="1">
      <c r="A11" s="236">
        <v>45697</v>
      </c>
      <c r="B11" s="237">
        <v>2018</v>
      </c>
      <c r="C11" s="237">
        <v>2012</v>
      </c>
      <c r="D11" s="237">
        <v>2017</v>
      </c>
      <c r="E11" s="237">
        <v>527131</v>
      </c>
      <c r="F11" s="237">
        <v>296015</v>
      </c>
      <c r="G11" s="237">
        <v>5793007</v>
      </c>
      <c r="H11" s="237">
        <v>2416380</v>
      </c>
      <c r="I11" s="237">
        <v>1612484</v>
      </c>
      <c r="J11" s="237">
        <v>66199</v>
      </c>
      <c r="K11" s="237">
        <v>26</v>
      </c>
      <c r="L11" s="237">
        <v>162933</v>
      </c>
      <c r="M11" s="237">
        <v>163173</v>
      </c>
      <c r="N11" s="237">
        <v>142441</v>
      </c>
      <c r="O11" s="237">
        <v>984913</v>
      </c>
      <c r="P11" s="237">
        <v>188463805</v>
      </c>
      <c r="Q11" s="237">
        <v>5592</v>
      </c>
      <c r="R11" s="237">
        <v>876879</v>
      </c>
      <c r="S11" s="237">
        <v>6497827</v>
      </c>
      <c r="T11" s="237">
        <v>1</v>
      </c>
      <c r="U11" s="237">
        <v>137292</v>
      </c>
      <c r="V11" s="237">
        <v>34994</v>
      </c>
      <c r="W11" s="237">
        <v>110204</v>
      </c>
      <c r="X11" s="237">
        <v>652332728</v>
      </c>
      <c r="Y11" s="237">
        <v>2142893</v>
      </c>
      <c r="Z11" s="237">
        <v>6275</v>
      </c>
      <c r="AA11" s="237">
        <v>0</v>
      </c>
      <c r="AB11" s="237">
        <v>341</v>
      </c>
      <c r="AC11" s="237">
        <v>0</v>
      </c>
      <c r="AD11" s="237">
        <v>466</v>
      </c>
      <c r="AE11" s="237">
        <v>0</v>
      </c>
      <c r="AF11" s="237">
        <v>0</v>
      </c>
      <c r="AG11" s="237">
        <v>0</v>
      </c>
      <c r="AH11" s="237">
        <v>102283</v>
      </c>
      <c r="AI11" s="237">
        <v>86415</v>
      </c>
      <c r="AJ11" s="237">
        <v>713385958</v>
      </c>
      <c r="AK11" s="237">
        <v>7395</v>
      </c>
      <c r="AL11" s="237">
        <v>7841240</v>
      </c>
      <c r="AM11" s="237">
        <v>15565466</v>
      </c>
      <c r="AN11" s="237">
        <v>0</v>
      </c>
      <c r="AO11" s="237">
        <v>16240</v>
      </c>
      <c r="AP11" s="237">
        <v>13096</v>
      </c>
      <c r="AQ11" s="237">
        <v>102821473</v>
      </c>
      <c r="AR11" s="237">
        <v>2892</v>
      </c>
      <c r="AS11" s="237">
        <v>932400</v>
      </c>
      <c r="AT11" s="237">
        <v>113</v>
      </c>
      <c r="AU11" s="237">
        <v>339</v>
      </c>
      <c r="AV11" s="237">
        <v>387849</v>
      </c>
      <c r="AW11" s="237">
        <v>298</v>
      </c>
      <c r="AX11" s="237">
        <v>28400</v>
      </c>
      <c r="AY11" s="237">
        <v>631</v>
      </c>
      <c r="AZ11" s="237">
        <v>320</v>
      </c>
      <c r="BA11" s="237">
        <v>11466778</v>
      </c>
      <c r="BB11" s="237">
        <v>185</v>
      </c>
      <c r="BC11" s="237">
        <v>7100</v>
      </c>
      <c r="BD11" s="237">
        <v>2297</v>
      </c>
      <c r="BE11" s="237">
        <v>2832</v>
      </c>
      <c r="BF11" s="237">
        <v>1890</v>
      </c>
      <c r="BG11" s="237">
        <v>37172546</v>
      </c>
      <c r="BH11" s="237">
        <v>21</v>
      </c>
      <c r="BI11" s="237">
        <v>0</v>
      </c>
      <c r="BJ11" s="237">
        <v>0</v>
      </c>
      <c r="BK11" s="237">
        <v>57</v>
      </c>
      <c r="BL11" s="237">
        <v>44</v>
      </c>
      <c r="BM11" s="237">
        <v>1313050</v>
      </c>
      <c r="BN11" s="237">
        <v>186</v>
      </c>
      <c r="BO11" s="237">
        <v>25700</v>
      </c>
      <c r="BP11" s="237">
        <v>10280</v>
      </c>
      <c r="BQ11" s="237">
        <v>47950</v>
      </c>
      <c r="BR11" s="237">
        <v>24953</v>
      </c>
      <c r="BS11" s="237">
        <v>55027091</v>
      </c>
      <c r="BT11" s="237">
        <v>0</v>
      </c>
      <c r="BU11" s="238">
        <v>742865.72849999997</v>
      </c>
      <c r="BV11" s="237">
        <v>10</v>
      </c>
      <c r="BW11" s="237">
        <v>9</v>
      </c>
      <c r="BX11" s="237">
        <v>347685</v>
      </c>
      <c r="BY11" s="237">
        <v>0</v>
      </c>
      <c r="BZ11" s="237">
        <v>1738</v>
      </c>
      <c r="CA11" s="238">
        <v>0</v>
      </c>
      <c r="CB11" s="238">
        <v>0</v>
      </c>
      <c r="CC11" s="238">
        <v>0</v>
      </c>
      <c r="CD11" s="238">
        <v>0</v>
      </c>
      <c r="CE11" s="238">
        <v>0</v>
      </c>
      <c r="CF11" s="237">
        <v>0</v>
      </c>
      <c r="CG11" s="237">
        <v>0</v>
      </c>
      <c r="CH11" s="237">
        <v>0</v>
      </c>
      <c r="CI11" s="237">
        <v>0</v>
      </c>
      <c r="CJ11" s="237">
        <v>0</v>
      </c>
      <c r="CK11" s="239">
        <v>12</v>
      </c>
      <c r="CL11" s="237">
        <v>6455000</v>
      </c>
      <c r="CM11" s="237">
        <v>0</v>
      </c>
      <c r="CN11" s="237">
        <v>0</v>
      </c>
      <c r="CO11" s="237">
        <v>90507</v>
      </c>
      <c r="CP11" s="237">
        <v>37069</v>
      </c>
      <c r="CQ11" s="239">
        <v>29578395</v>
      </c>
      <c r="CR11" s="237">
        <v>6457</v>
      </c>
      <c r="CS11" s="237">
        <v>13790</v>
      </c>
      <c r="CT11" s="237">
        <v>37677973</v>
      </c>
      <c r="CU11" s="237">
        <v>389717</v>
      </c>
      <c r="CV11" s="237">
        <v>6990</v>
      </c>
      <c r="CW11" s="237">
        <v>30698</v>
      </c>
      <c r="CX11" s="237">
        <v>19008</v>
      </c>
      <c r="CY11" s="237">
        <v>18104</v>
      </c>
      <c r="CZ11" s="237">
        <v>115212778</v>
      </c>
      <c r="DA11" s="237">
        <v>2589</v>
      </c>
      <c r="DB11" s="237">
        <v>7</v>
      </c>
      <c r="DC11" s="237">
        <v>2</v>
      </c>
      <c r="DD11" s="237">
        <v>147700</v>
      </c>
      <c r="DE11" s="237">
        <v>1</v>
      </c>
      <c r="DF11" s="237">
        <v>1475</v>
      </c>
      <c r="DG11" s="237">
        <v>0</v>
      </c>
      <c r="DH11" s="237">
        <v>0</v>
      </c>
      <c r="DI11" s="237">
        <v>0</v>
      </c>
      <c r="DJ11" s="237">
        <v>1</v>
      </c>
      <c r="DK11" s="237">
        <v>7345</v>
      </c>
      <c r="DL11" s="237">
        <v>2221</v>
      </c>
      <c r="DM11" s="237">
        <v>147605426</v>
      </c>
      <c r="DN11" s="237">
        <v>765</v>
      </c>
      <c r="DO11" s="237">
        <v>1161200</v>
      </c>
      <c r="DP11" s="237">
        <v>0</v>
      </c>
      <c r="DQ11" s="237">
        <v>5679864</v>
      </c>
      <c r="DR11" s="237">
        <v>0</v>
      </c>
      <c r="DS11" s="237">
        <v>7345</v>
      </c>
      <c r="DT11" s="237">
        <v>147605426</v>
      </c>
      <c r="DU11" s="240">
        <v>1161200</v>
      </c>
      <c r="DV11" s="237">
        <v>0</v>
      </c>
      <c r="DW11" s="237">
        <v>4645</v>
      </c>
      <c r="DX11" s="237">
        <v>87806218</v>
      </c>
      <c r="DY11" s="237">
        <v>2700</v>
      </c>
      <c r="DZ11" s="237">
        <v>59799208</v>
      </c>
      <c r="EA11" s="238">
        <v>2299870</v>
      </c>
      <c r="EB11" s="238">
        <v>2105894062</v>
      </c>
      <c r="EC11" s="238">
        <v>33755</v>
      </c>
      <c r="ED11" s="470">
        <v>446218</v>
      </c>
      <c r="EE11" s="470">
        <v>301489</v>
      </c>
      <c r="EF11" s="470">
        <v>503839</v>
      </c>
      <c r="EG11" s="470">
        <v>0</v>
      </c>
      <c r="EH11" s="470">
        <v>1081285</v>
      </c>
      <c r="EI11" s="242">
        <v>20116225.398500003</v>
      </c>
      <c r="EJ11" s="243">
        <v>10532722</v>
      </c>
      <c r="EK11" s="244">
        <v>8375</v>
      </c>
      <c r="EL11" s="245">
        <v>6938</v>
      </c>
      <c r="EM11" s="245">
        <v>2536713</v>
      </c>
      <c r="EN11" s="245">
        <v>38050.695</v>
      </c>
      <c r="EO11" s="245">
        <v>100787</v>
      </c>
      <c r="EP11" s="245">
        <v>68395</v>
      </c>
      <c r="EQ11" s="245">
        <v>24625665</v>
      </c>
      <c r="ER11" s="245">
        <v>369384.97499999998</v>
      </c>
      <c r="ES11" s="246">
        <v>109162</v>
      </c>
      <c r="ET11" s="246">
        <v>73786</v>
      </c>
      <c r="EU11" s="246">
        <v>27162378</v>
      </c>
      <c r="EV11" s="247">
        <v>407435.67</v>
      </c>
      <c r="EW11" s="246">
        <v>966258</v>
      </c>
      <c r="EX11" s="246">
        <v>37069</v>
      </c>
      <c r="EY11" s="247">
        <v>190879822</v>
      </c>
      <c r="EZ11" s="246">
        <v>47950</v>
      </c>
      <c r="FA11" s="246">
        <v>24953</v>
      </c>
      <c r="FB11" s="246">
        <v>55027091</v>
      </c>
      <c r="FC11" s="247">
        <v>742865.72849999997</v>
      </c>
      <c r="FD11" s="246">
        <v>79</v>
      </c>
      <c r="FE11" s="246">
        <v>77</v>
      </c>
      <c r="FF11" s="246">
        <v>106496</v>
      </c>
    </row>
    <row r="12" spans="1:162" s="248" customFormat="1" ht="15" customHeight="1">
      <c r="A12" s="236">
        <v>45698</v>
      </c>
      <c r="B12" s="237">
        <v>8082</v>
      </c>
      <c r="C12" s="237">
        <v>8203</v>
      </c>
      <c r="D12" s="237">
        <v>8246</v>
      </c>
      <c r="E12" s="237">
        <v>525434</v>
      </c>
      <c r="F12" s="237">
        <v>324259</v>
      </c>
      <c r="G12" s="237">
        <v>5803383</v>
      </c>
      <c r="H12" s="237">
        <v>2419690</v>
      </c>
      <c r="I12" s="237">
        <v>1618102</v>
      </c>
      <c r="J12" s="237">
        <v>74149</v>
      </c>
      <c r="K12" s="237">
        <v>150</v>
      </c>
      <c r="L12" s="237">
        <v>163125</v>
      </c>
      <c r="M12" s="237">
        <v>163624</v>
      </c>
      <c r="N12" s="237">
        <v>142579</v>
      </c>
      <c r="O12" s="237">
        <v>1060966</v>
      </c>
      <c r="P12" s="237">
        <v>211524340</v>
      </c>
      <c r="Q12" s="237">
        <v>5434</v>
      </c>
      <c r="R12" s="237">
        <v>959442</v>
      </c>
      <c r="S12" s="237">
        <v>7413726</v>
      </c>
      <c r="T12" s="237">
        <v>1</v>
      </c>
      <c r="U12" s="237">
        <v>163807</v>
      </c>
      <c r="V12" s="237">
        <v>44384</v>
      </c>
      <c r="W12" s="237">
        <v>131887</v>
      </c>
      <c r="X12" s="237">
        <v>1321099861</v>
      </c>
      <c r="Y12" s="237">
        <v>4274731</v>
      </c>
      <c r="Z12" s="237">
        <v>8016</v>
      </c>
      <c r="AA12" s="237">
        <v>0</v>
      </c>
      <c r="AB12" s="237">
        <v>360</v>
      </c>
      <c r="AC12" s="237">
        <v>0</v>
      </c>
      <c r="AD12" s="237">
        <v>499</v>
      </c>
      <c r="AE12" s="237">
        <v>0</v>
      </c>
      <c r="AF12" s="237">
        <v>0</v>
      </c>
      <c r="AG12" s="237">
        <v>0</v>
      </c>
      <c r="AH12" s="237">
        <v>125023</v>
      </c>
      <c r="AI12" s="237">
        <v>104103</v>
      </c>
      <c r="AJ12" s="237">
        <v>1213885800</v>
      </c>
      <c r="AK12" s="237">
        <v>9039</v>
      </c>
      <c r="AL12" s="237">
        <v>11069347</v>
      </c>
      <c r="AM12" s="237">
        <v>22278430</v>
      </c>
      <c r="AN12" s="237">
        <v>0</v>
      </c>
      <c r="AO12" s="237">
        <v>17152</v>
      </c>
      <c r="AP12" s="237">
        <v>13817</v>
      </c>
      <c r="AQ12" s="237">
        <v>173573516</v>
      </c>
      <c r="AR12" s="237">
        <v>3082</v>
      </c>
      <c r="AS12" s="237">
        <v>1036800</v>
      </c>
      <c r="AT12" s="237">
        <v>104</v>
      </c>
      <c r="AU12" s="237">
        <v>297</v>
      </c>
      <c r="AV12" s="237">
        <v>654910</v>
      </c>
      <c r="AW12" s="237">
        <v>283</v>
      </c>
      <c r="AX12" s="237">
        <v>30400</v>
      </c>
      <c r="AY12" s="237">
        <v>1109</v>
      </c>
      <c r="AZ12" s="237">
        <v>500</v>
      </c>
      <c r="BA12" s="237">
        <v>23893803</v>
      </c>
      <c r="BB12" s="237">
        <v>255</v>
      </c>
      <c r="BC12" s="237">
        <v>19700</v>
      </c>
      <c r="BD12" s="237">
        <v>6431</v>
      </c>
      <c r="BE12" s="237">
        <v>3623</v>
      </c>
      <c r="BF12" s="237">
        <v>2441</v>
      </c>
      <c r="BG12" s="237">
        <v>76628231</v>
      </c>
      <c r="BH12" s="237">
        <v>20</v>
      </c>
      <c r="BI12" s="237">
        <v>0</v>
      </c>
      <c r="BJ12" s="237">
        <v>0</v>
      </c>
      <c r="BK12" s="237">
        <v>185</v>
      </c>
      <c r="BL12" s="237">
        <v>144</v>
      </c>
      <c r="BM12" s="237">
        <v>4102400</v>
      </c>
      <c r="BN12" s="237">
        <v>138</v>
      </c>
      <c r="BO12" s="237">
        <v>90400</v>
      </c>
      <c r="BP12" s="237">
        <v>36160</v>
      </c>
      <c r="BQ12" s="237">
        <v>33747</v>
      </c>
      <c r="BR12" s="237">
        <v>17846</v>
      </c>
      <c r="BS12" s="237">
        <v>45230641</v>
      </c>
      <c r="BT12" s="237">
        <v>0</v>
      </c>
      <c r="BU12" s="238">
        <v>610613.65350000001</v>
      </c>
      <c r="BV12" s="237">
        <v>33</v>
      </c>
      <c r="BW12" s="237">
        <v>30</v>
      </c>
      <c r="BX12" s="237">
        <v>1787710</v>
      </c>
      <c r="BY12" s="237">
        <v>0</v>
      </c>
      <c r="BZ12" s="237">
        <v>8939</v>
      </c>
      <c r="CA12" s="238">
        <v>0</v>
      </c>
      <c r="CB12" s="238">
        <v>0</v>
      </c>
      <c r="CC12" s="238">
        <v>0</v>
      </c>
      <c r="CD12" s="238">
        <v>0</v>
      </c>
      <c r="CE12" s="238">
        <v>0</v>
      </c>
      <c r="CF12" s="237">
        <v>0</v>
      </c>
      <c r="CG12" s="237">
        <v>0</v>
      </c>
      <c r="CH12" s="237">
        <v>0</v>
      </c>
      <c r="CI12" s="237">
        <v>0</v>
      </c>
      <c r="CJ12" s="237">
        <v>0</v>
      </c>
      <c r="CK12" s="239">
        <v>582</v>
      </c>
      <c r="CL12" s="237">
        <v>8907835</v>
      </c>
      <c r="CM12" s="237">
        <v>0</v>
      </c>
      <c r="CN12" s="237">
        <v>0</v>
      </c>
      <c r="CO12" s="237">
        <v>104549</v>
      </c>
      <c r="CP12" s="237">
        <v>43351</v>
      </c>
      <c r="CQ12" s="239">
        <v>34216011</v>
      </c>
      <c r="CR12" s="237">
        <v>7102</v>
      </c>
      <c r="CS12" s="237">
        <v>15285</v>
      </c>
      <c r="CT12" s="237">
        <v>43134557</v>
      </c>
      <c r="CU12" s="237">
        <v>442853</v>
      </c>
      <c r="CV12" s="237">
        <v>2932</v>
      </c>
      <c r="CW12" s="237">
        <v>43868</v>
      </c>
      <c r="CX12" s="237">
        <v>21646</v>
      </c>
      <c r="CY12" s="237">
        <v>20033</v>
      </c>
      <c r="CZ12" s="237">
        <v>324858117</v>
      </c>
      <c r="DA12" s="237">
        <v>2802</v>
      </c>
      <c r="DB12" s="237">
        <v>40</v>
      </c>
      <c r="DC12" s="237">
        <v>3</v>
      </c>
      <c r="DD12" s="237">
        <v>492200</v>
      </c>
      <c r="DE12" s="237">
        <v>3</v>
      </c>
      <c r="DF12" s="237">
        <v>5633</v>
      </c>
      <c r="DG12" s="237">
        <v>0</v>
      </c>
      <c r="DH12" s="237">
        <v>0</v>
      </c>
      <c r="DI12" s="237">
        <v>0</v>
      </c>
      <c r="DJ12" s="237">
        <v>1</v>
      </c>
      <c r="DK12" s="237">
        <v>10828</v>
      </c>
      <c r="DL12" s="237">
        <v>3598</v>
      </c>
      <c r="DM12" s="237">
        <v>354197219</v>
      </c>
      <c r="DN12" s="237">
        <v>1600</v>
      </c>
      <c r="DO12" s="237">
        <v>2492050</v>
      </c>
      <c r="DP12" s="237">
        <v>0</v>
      </c>
      <c r="DQ12" s="237">
        <v>39155001</v>
      </c>
      <c r="DR12" s="237">
        <v>0</v>
      </c>
      <c r="DS12" s="237">
        <v>10828</v>
      </c>
      <c r="DT12" s="237">
        <v>354197219</v>
      </c>
      <c r="DU12" s="240">
        <v>2492050</v>
      </c>
      <c r="DV12" s="237">
        <v>0</v>
      </c>
      <c r="DW12" s="237">
        <v>6192</v>
      </c>
      <c r="DX12" s="237">
        <v>196147946</v>
      </c>
      <c r="DY12" s="237">
        <v>4636</v>
      </c>
      <c r="DZ12" s="237">
        <v>158049273</v>
      </c>
      <c r="EA12" s="238">
        <v>2518122</v>
      </c>
      <c r="EB12" s="238">
        <v>3845600877</v>
      </c>
      <c r="EC12" s="238">
        <v>34171</v>
      </c>
      <c r="ED12" s="470">
        <v>776276</v>
      </c>
      <c r="EE12" s="470">
        <v>377421</v>
      </c>
      <c r="EF12" s="470">
        <v>348298</v>
      </c>
      <c r="EG12" s="470">
        <v>0</v>
      </c>
      <c r="EH12" s="470">
        <v>1258392</v>
      </c>
      <c r="EI12" s="242">
        <v>28739303.418499999</v>
      </c>
      <c r="EJ12" s="243">
        <v>15784468</v>
      </c>
      <c r="EK12" s="244">
        <v>8579</v>
      </c>
      <c r="EL12" s="245">
        <v>7109</v>
      </c>
      <c r="EM12" s="245">
        <v>2757561</v>
      </c>
      <c r="EN12" s="245">
        <v>41363.415000000001</v>
      </c>
      <c r="EO12" s="245">
        <v>96566</v>
      </c>
      <c r="EP12" s="245">
        <v>66039</v>
      </c>
      <c r="EQ12" s="245">
        <v>24804090</v>
      </c>
      <c r="ER12" s="245">
        <v>372061.35</v>
      </c>
      <c r="ES12" s="246">
        <v>105145</v>
      </c>
      <c r="ET12" s="246">
        <v>71618</v>
      </c>
      <c r="EU12" s="246">
        <v>27561651</v>
      </c>
      <c r="EV12" s="247">
        <v>413424.76499999996</v>
      </c>
      <c r="EW12" s="246">
        <v>1060370</v>
      </c>
      <c r="EX12" s="246">
        <v>43351</v>
      </c>
      <c r="EY12" s="247">
        <v>218178700</v>
      </c>
      <c r="EZ12" s="246">
        <v>33747</v>
      </c>
      <c r="FA12" s="246">
        <v>17846</v>
      </c>
      <c r="FB12" s="246">
        <v>45230641</v>
      </c>
      <c r="FC12" s="247">
        <v>610613.65350000001</v>
      </c>
      <c r="FD12" s="246">
        <v>131</v>
      </c>
      <c r="FE12" s="246">
        <v>118</v>
      </c>
      <c r="FF12" s="246">
        <v>161996</v>
      </c>
    </row>
    <row r="13" spans="1:162" s="248" customFormat="1" ht="15" customHeight="1">
      <c r="A13" s="236">
        <v>45699</v>
      </c>
      <c r="B13" s="237">
        <v>7831</v>
      </c>
      <c r="C13" s="237">
        <v>7946</v>
      </c>
      <c r="D13" s="237">
        <v>7963</v>
      </c>
      <c r="E13" s="237">
        <v>526896</v>
      </c>
      <c r="F13" s="237">
        <v>329437</v>
      </c>
      <c r="G13" s="237">
        <v>5813942</v>
      </c>
      <c r="H13" s="237">
        <v>2422691</v>
      </c>
      <c r="I13" s="237">
        <v>1627625</v>
      </c>
      <c r="J13" s="237">
        <v>73998</v>
      </c>
      <c r="K13" s="237">
        <v>314</v>
      </c>
      <c r="L13" s="237">
        <v>163574</v>
      </c>
      <c r="M13" s="237">
        <v>164199</v>
      </c>
      <c r="N13" s="237">
        <v>142894</v>
      </c>
      <c r="O13" s="237">
        <v>1036537</v>
      </c>
      <c r="P13" s="237">
        <v>203854740</v>
      </c>
      <c r="Q13" s="237">
        <v>5473</v>
      </c>
      <c r="R13" s="237">
        <v>932348</v>
      </c>
      <c r="S13" s="237">
        <v>7089126</v>
      </c>
      <c r="T13" s="237">
        <v>1</v>
      </c>
      <c r="U13" s="237">
        <v>169231</v>
      </c>
      <c r="V13" s="237">
        <v>45262</v>
      </c>
      <c r="W13" s="237">
        <v>135221</v>
      </c>
      <c r="X13" s="237">
        <v>1216307324</v>
      </c>
      <c r="Y13" s="237">
        <v>3950734</v>
      </c>
      <c r="Z13" s="237">
        <v>7857</v>
      </c>
      <c r="AA13" s="237">
        <v>0</v>
      </c>
      <c r="AB13" s="237">
        <v>306</v>
      </c>
      <c r="AC13" s="237">
        <v>0</v>
      </c>
      <c r="AD13" s="237">
        <v>433</v>
      </c>
      <c r="AE13" s="237">
        <v>0</v>
      </c>
      <c r="AF13" s="237">
        <v>0</v>
      </c>
      <c r="AG13" s="237">
        <v>0</v>
      </c>
      <c r="AH13" s="237">
        <v>118449</v>
      </c>
      <c r="AI13" s="237">
        <v>98550</v>
      </c>
      <c r="AJ13" s="237">
        <v>1103670232</v>
      </c>
      <c r="AK13" s="237">
        <v>8409</v>
      </c>
      <c r="AL13" s="237">
        <v>10257364</v>
      </c>
      <c r="AM13" s="237">
        <v>20568145</v>
      </c>
      <c r="AN13" s="237">
        <v>0</v>
      </c>
      <c r="AO13" s="237">
        <v>17198</v>
      </c>
      <c r="AP13" s="237">
        <v>13824</v>
      </c>
      <c r="AQ13" s="237">
        <v>152601687</v>
      </c>
      <c r="AR13" s="237">
        <v>2928</v>
      </c>
      <c r="AS13" s="237">
        <v>988900</v>
      </c>
      <c r="AT13" s="237">
        <v>116</v>
      </c>
      <c r="AU13" s="237">
        <v>334</v>
      </c>
      <c r="AV13" s="237">
        <v>526027</v>
      </c>
      <c r="AW13" s="237">
        <v>320</v>
      </c>
      <c r="AX13" s="237">
        <v>31900</v>
      </c>
      <c r="AY13" s="237">
        <v>942</v>
      </c>
      <c r="AZ13" s="237">
        <v>504</v>
      </c>
      <c r="BA13" s="237">
        <v>21567950</v>
      </c>
      <c r="BB13" s="237">
        <v>274</v>
      </c>
      <c r="BC13" s="237">
        <v>27300</v>
      </c>
      <c r="BD13" s="237">
        <v>8816</v>
      </c>
      <c r="BE13" s="237">
        <v>3397</v>
      </c>
      <c r="BF13" s="237">
        <v>2309</v>
      </c>
      <c r="BG13" s="237">
        <v>64870884</v>
      </c>
      <c r="BH13" s="237">
        <v>28</v>
      </c>
      <c r="BI13" s="237">
        <v>0</v>
      </c>
      <c r="BJ13" s="237">
        <v>0</v>
      </c>
      <c r="BK13" s="237">
        <v>160</v>
      </c>
      <c r="BL13" s="237">
        <v>126</v>
      </c>
      <c r="BM13" s="237">
        <v>5653150</v>
      </c>
      <c r="BN13" s="237">
        <v>128</v>
      </c>
      <c r="BO13" s="237">
        <v>103000</v>
      </c>
      <c r="BP13" s="237">
        <v>41200</v>
      </c>
      <c r="BQ13" s="237">
        <v>52391</v>
      </c>
      <c r="BR13" s="237">
        <v>30014</v>
      </c>
      <c r="BS13" s="237">
        <v>67485639</v>
      </c>
      <c r="BT13" s="237">
        <v>0</v>
      </c>
      <c r="BU13" s="238">
        <v>911056.12650000001</v>
      </c>
      <c r="BV13" s="237">
        <v>23</v>
      </c>
      <c r="BW13" s="237">
        <v>21</v>
      </c>
      <c r="BX13" s="237">
        <v>626830</v>
      </c>
      <c r="BY13" s="237">
        <v>0</v>
      </c>
      <c r="BZ13" s="237">
        <v>3134</v>
      </c>
      <c r="CA13" s="238">
        <v>0</v>
      </c>
      <c r="CB13" s="238">
        <v>0</v>
      </c>
      <c r="CC13" s="238">
        <v>0</v>
      </c>
      <c r="CD13" s="238">
        <v>0</v>
      </c>
      <c r="CE13" s="238">
        <v>0</v>
      </c>
      <c r="CF13" s="237">
        <v>0</v>
      </c>
      <c r="CG13" s="237">
        <v>0</v>
      </c>
      <c r="CH13" s="237">
        <v>0</v>
      </c>
      <c r="CI13" s="237">
        <v>0</v>
      </c>
      <c r="CJ13" s="237">
        <v>0</v>
      </c>
      <c r="CK13" s="239">
        <v>363</v>
      </c>
      <c r="CL13" s="237">
        <v>32501753</v>
      </c>
      <c r="CM13" s="237">
        <v>0</v>
      </c>
      <c r="CN13" s="237">
        <v>0</v>
      </c>
      <c r="CO13" s="237">
        <v>100827</v>
      </c>
      <c r="CP13" s="237">
        <v>42673</v>
      </c>
      <c r="CQ13" s="239">
        <v>32487592</v>
      </c>
      <c r="CR13" s="237">
        <v>6543</v>
      </c>
      <c r="CS13" s="237">
        <v>13975</v>
      </c>
      <c r="CT13" s="237">
        <v>38918548</v>
      </c>
      <c r="CU13" s="237">
        <v>406233</v>
      </c>
      <c r="CV13" s="237">
        <v>2069</v>
      </c>
      <c r="CW13" s="237">
        <v>36754</v>
      </c>
      <c r="CX13" s="237">
        <v>20832</v>
      </c>
      <c r="CY13" s="237">
        <v>19276</v>
      </c>
      <c r="CZ13" s="237">
        <v>381319549</v>
      </c>
      <c r="DA13" s="237">
        <v>2840</v>
      </c>
      <c r="DB13" s="237">
        <v>35</v>
      </c>
      <c r="DC13" s="237">
        <v>2</v>
      </c>
      <c r="DD13" s="237">
        <v>485350</v>
      </c>
      <c r="DE13" s="237">
        <v>2</v>
      </c>
      <c r="DF13" s="237">
        <v>5871</v>
      </c>
      <c r="DG13" s="237">
        <v>0</v>
      </c>
      <c r="DH13" s="237">
        <v>0</v>
      </c>
      <c r="DI13" s="237">
        <v>0</v>
      </c>
      <c r="DJ13" s="237">
        <v>1</v>
      </c>
      <c r="DK13" s="237">
        <v>10023</v>
      </c>
      <c r="DL13" s="237">
        <v>3455</v>
      </c>
      <c r="DM13" s="237">
        <v>316688334</v>
      </c>
      <c r="DN13" s="237">
        <v>1635</v>
      </c>
      <c r="DO13" s="237">
        <v>2301250</v>
      </c>
      <c r="DP13" s="237">
        <v>0</v>
      </c>
      <c r="DQ13" s="237">
        <v>16017078</v>
      </c>
      <c r="DR13" s="237">
        <v>0</v>
      </c>
      <c r="DS13" s="237">
        <v>10023</v>
      </c>
      <c r="DT13" s="237">
        <v>316688334</v>
      </c>
      <c r="DU13" s="240">
        <v>2301250</v>
      </c>
      <c r="DV13" s="237">
        <v>0</v>
      </c>
      <c r="DW13" s="237">
        <v>5643</v>
      </c>
      <c r="DX13" s="237">
        <v>185840218</v>
      </c>
      <c r="DY13" s="237">
        <v>4380</v>
      </c>
      <c r="DZ13" s="237">
        <v>130848116</v>
      </c>
      <c r="EA13" s="238">
        <v>2476848</v>
      </c>
      <c r="EB13" s="238">
        <v>3646654715</v>
      </c>
      <c r="EC13" s="238">
        <v>31831</v>
      </c>
      <c r="ED13" s="470">
        <v>2398900</v>
      </c>
      <c r="EE13" s="470">
        <v>472417</v>
      </c>
      <c r="EF13" s="470">
        <v>622064</v>
      </c>
      <c r="EG13" s="470">
        <v>0</v>
      </c>
      <c r="EH13" s="470">
        <v>1181049</v>
      </c>
      <c r="EI13" s="242">
        <v>28761450.021499999</v>
      </c>
      <c r="EJ13" s="243">
        <v>14922803</v>
      </c>
      <c r="EK13" s="244">
        <v>8863</v>
      </c>
      <c r="EL13" s="245">
        <v>7409</v>
      </c>
      <c r="EM13" s="245">
        <v>2984363</v>
      </c>
      <c r="EN13" s="245">
        <v>44765.445</v>
      </c>
      <c r="EO13" s="245">
        <v>99402</v>
      </c>
      <c r="EP13" s="245">
        <v>68361</v>
      </c>
      <c r="EQ13" s="245">
        <v>25363430</v>
      </c>
      <c r="ER13" s="245">
        <v>380451.45</v>
      </c>
      <c r="ES13" s="246">
        <v>108265</v>
      </c>
      <c r="ET13" s="246">
        <v>74110</v>
      </c>
      <c r="EU13" s="246">
        <v>28347793</v>
      </c>
      <c r="EV13" s="247">
        <v>425216.89500000002</v>
      </c>
      <c r="EW13" s="246">
        <v>1029099</v>
      </c>
      <c r="EX13" s="246">
        <v>42673</v>
      </c>
      <c r="EY13" s="247">
        <v>207994539</v>
      </c>
      <c r="EZ13" s="246">
        <v>52391</v>
      </c>
      <c r="FA13" s="246">
        <v>30014</v>
      </c>
      <c r="FB13" s="246">
        <v>67485639</v>
      </c>
      <c r="FC13" s="247">
        <v>911056.12650000001</v>
      </c>
      <c r="FD13" s="246">
        <v>100</v>
      </c>
      <c r="FE13" s="246">
        <v>95</v>
      </c>
      <c r="FF13" s="246">
        <v>123998</v>
      </c>
    </row>
    <row r="14" spans="1:162" s="248" customFormat="1" ht="15" customHeight="1">
      <c r="A14" s="236">
        <v>45700</v>
      </c>
      <c r="B14" s="237">
        <v>7273</v>
      </c>
      <c r="C14" s="237">
        <v>7379</v>
      </c>
      <c r="D14" s="237">
        <v>7416</v>
      </c>
      <c r="E14" s="237">
        <v>527951</v>
      </c>
      <c r="F14" s="237">
        <v>325382</v>
      </c>
      <c r="G14" s="237">
        <v>5823442</v>
      </c>
      <c r="H14" s="237">
        <v>2425088</v>
      </c>
      <c r="I14" s="237">
        <v>1630356</v>
      </c>
      <c r="J14" s="237">
        <v>73826</v>
      </c>
      <c r="K14" s="237">
        <v>232</v>
      </c>
      <c r="L14" s="237">
        <v>164148</v>
      </c>
      <c r="M14" s="237">
        <v>164698</v>
      </c>
      <c r="N14" s="237">
        <v>143168</v>
      </c>
      <c r="O14" s="237">
        <v>1032458</v>
      </c>
      <c r="P14" s="237">
        <v>204088405</v>
      </c>
      <c r="Q14" s="237">
        <v>5402</v>
      </c>
      <c r="R14" s="237">
        <v>927737</v>
      </c>
      <c r="S14" s="237">
        <v>7118915</v>
      </c>
      <c r="T14" s="237">
        <v>1</v>
      </c>
      <c r="U14" s="237">
        <v>162399</v>
      </c>
      <c r="V14" s="237">
        <v>44908</v>
      </c>
      <c r="W14" s="237">
        <v>129667</v>
      </c>
      <c r="X14" s="237">
        <v>1135260036</v>
      </c>
      <c r="Y14" s="237">
        <v>3677992</v>
      </c>
      <c r="Z14" s="237">
        <v>7517</v>
      </c>
      <c r="AA14" s="237">
        <v>0</v>
      </c>
      <c r="AB14" s="237">
        <v>323</v>
      </c>
      <c r="AC14" s="237">
        <v>0</v>
      </c>
      <c r="AD14" s="237">
        <v>436</v>
      </c>
      <c r="AE14" s="237">
        <v>0</v>
      </c>
      <c r="AF14" s="237">
        <v>0</v>
      </c>
      <c r="AG14" s="237">
        <v>0</v>
      </c>
      <c r="AH14" s="237">
        <v>121622</v>
      </c>
      <c r="AI14" s="237">
        <v>101362</v>
      </c>
      <c r="AJ14" s="237">
        <v>1071295922</v>
      </c>
      <c r="AK14" s="237">
        <v>8830</v>
      </c>
      <c r="AL14" s="237">
        <v>10288631</v>
      </c>
      <c r="AM14" s="237">
        <v>20595868</v>
      </c>
      <c r="AN14" s="237">
        <v>0</v>
      </c>
      <c r="AO14" s="237">
        <v>16913</v>
      </c>
      <c r="AP14" s="237">
        <v>13499</v>
      </c>
      <c r="AQ14" s="237">
        <v>155085667</v>
      </c>
      <c r="AR14" s="237">
        <v>2951</v>
      </c>
      <c r="AS14" s="237">
        <v>1003300</v>
      </c>
      <c r="AT14" s="237">
        <v>95</v>
      </c>
      <c r="AU14" s="237">
        <v>324</v>
      </c>
      <c r="AV14" s="237">
        <v>613210</v>
      </c>
      <c r="AW14" s="237">
        <v>321</v>
      </c>
      <c r="AX14" s="237">
        <v>27900</v>
      </c>
      <c r="AY14" s="237">
        <v>1052</v>
      </c>
      <c r="AZ14" s="237">
        <v>502</v>
      </c>
      <c r="BA14" s="237">
        <v>26430909</v>
      </c>
      <c r="BB14" s="237">
        <v>281</v>
      </c>
      <c r="BC14" s="237">
        <v>22450</v>
      </c>
      <c r="BD14" s="237">
        <v>7102</v>
      </c>
      <c r="BE14" s="237">
        <v>3461</v>
      </c>
      <c r="BF14" s="237">
        <v>2256</v>
      </c>
      <c r="BG14" s="237">
        <v>70674929</v>
      </c>
      <c r="BH14" s="237">
        <v>14</v>
      </c>
      <c r="BI14" s="237">
        <v>0</v>
      </c>
      <c r="BJ14" s="237">
        <v>0</v>
      </c>
      <c r="BK14" s="237">
        <v>137</v>
      </c>
      <c r="BL14" s="237">
        <v>101</v>
      </c>
      <c r="BM14" s="237">
        <v>4199150</v>
      </c>
      <c r="BN14" s="237">
        <v>98</v>
      </c>
      <c r="BO14" s="237">
        <v>77300</v>
      </c>
      <c r="BP14" s="237">
        <v>30920</v>
      </c>
      <c r="BQ14" s="237">
        <v>49762</v>
      </c>
      <c r="BR14" s="237">
        <v>26157</v>
      </c>
      <c r="BS14" s="237">
        <v>61609198</v>
      </c>
      <c r="BT14" s="237">
        <v>0</v>
      </c>
      <c r="BU14" s="238">
        <v>831724.17299999995</v>
      </c>
      <c r="BV14" s="237">
        <v>27</v>
      </c>
      <c r="BW14" s="237">
        <v>25</v>
      </c>
      <c r="BX14" s="237">
        <v>686890</v>
      </c>
      <c r="BY14" s="237">
        <v>0</v>
      </c>
      <c r="BZ14" s="237">
        <v>3434</v>
      </c>
      <c r="CA14" s="238">
        <v>0</v>
      </c>
      <c r="CB14" s="238">
        <v>0</v>
      </c>
      <c r="CC14" s="238">
        <v>0</v>
      </c>
      <c r="CD14" s="238">
        <v>0</v>
      </c>
      <c r="CE14" s="238">
        <v>0</v>
      </c>
      <c r="CF14" s="237">
        <v>0</v>
      </c>
      <c r="CG14" s="237">
        <v>0</v>
      </c>
      <c r="CH14" s="237">
        <v>0</v>
      </c>
      <c r="CI14" s="237">
        <v>0</v>
      </c>
      <c r="CJ14" s="237">
        <v>0</v>
      </c>
      <c r="CK14" s="239">
        <v>442</v>
      </c>
      <c r="CL14" s="237">
        <v>31964043</v>
      </c>
      <c r="CM14" s="237">
        <v>0</v>
      </c>
      <c r="CN14" s="237">
        <v>0</v>
      </c>
      <c r="CO14" s="237">
        <v>98676</v>
      </c>
      <c r="CP14" s="237">
        <v>42613</v>
      </c>
      <c r="CQ14" s="239">
        <v>32450282</v>
      </c>
      <c r="CR14" s="237">
        <v>6615</v>
      </c>
      <c r="CS14" s="237">
        <v>12896</v>
      </c>
      <c r="CT14" s="237">
        <v>34516016</v>
      </c>
      <c r="CU14" s="237">
        <v>358204</v>
      </c>
      <c r="CV14" s="237">
        <v>2056</v>
      </c>
      <c r="CW14" s="237">
        <v>32162</v>
      </c>
      <c r="CX14" s="237">
        <v>21533</v>
      </c>
      <c r="CY14" s="237">
        <v>19923</v>
      </c>
      <c r="CZ14" s="237">
        <v>282336453</v>
      </c>
      <c r="DA14" s="237">
        <v>2664</v>
      </c>
      <c r="DB14" s="237">
        <v>35</v>
      </c>
      <c r="DC14" s="237">
        <v>2</v>
      </c>
      <c r="DD14" s="237">
        <v>314000</v>
      </c>
      <c r="DE14" s="237">
        <v>1</v>
      </c>
      <c r="DF14" s="237">
        <v>4524</v>
      </c>
      <c r="DG14" s="237">
        <v>0</v>
      </c>
      <c r="DH14" s="237">
        <v>0</v>
      </c>
      <c r="DI14" s="237">
        <v>0</v>
      </c>
      <c r="DJ14" s="237">
        <v>1</v>
      </c>
      <c r="DK14" s="237">
        <v>9115</v>
      </c>
      <c r="DL14" s="237">
        <v>3168</v>
      </c>
      <c r="DM14" s="237">
        <v>288362975</v>
      </c>
      <c r="DN14" s="237">
        <v>1441</v>
      </c>
      <c r="DO14" s="237">
        <v>2252500</v>
      </c>
      <c r="DP14" s="237">
        <v>0</v>
      </c>
      <c r="DQ14" s="237">
        <v>18851704</v>
      </c>
      <c r="DR14" s="237">
        <v>0</v>
      </c>
      <c r="DS14" s="237">
        <v>9115</v>
      </c>
      <c r="DT14" s="237">
        <v>288362975</v>
      </c>
      <c r="DU14" s="240">
        <v>2252500</v>
      </c>
      <c r="DV14" s="237">
        <v>0</v>
      </c>
      <c r="DW14" s="237">
        <v>5064</v>
      </c>
      <c r="DX14" s="237">
        <v>161145196</v>
      </c>
      <c r="DY14" s="237">
        <v>4051</v>
      </c>
      <c r="DZ14" s="237">
        <v>127217779</v>
      </c>
      <c r="EA14" s="238">
        <v>2458361</v>
      </c>
      <c r="EB14" s="238">
        <v>3407007000</v>
      </c>
      <c r="EC14" s="238">
        <v>31784</v>
      </c>
      <c r="ED14" s="470">
        <v>684276</v>
      </c>
      <c r="EE14" s="470">
        <v>460453</v>
      </c>
      <c r="EF14" s="470">
        <v>587346</v>
      </c>
      <c r="EG14" s="470">
        <v>0</v>
      </c>
      <c r="EH14" s="470">
        <v>1172322</v>
      </c>
      <c r="EI14" s="242">
        <v>26859518.623</v>
      </c>
      <c r="EJ14" s="243">
        <v>14628677</v>
      </c>
      <c r="EK14" s="244">
        <v>8722</v>
      </c>
      <c r="EL14" s="245">
        <v>7284</v>
      </c>
      <c r="EM14" s="245">
        <v>3187155</v>
      </c>
      <c r="EN14" s="245">
        <v>47807.324999999997</v>
      </c>
      <c r="EO14" s="245">
        <v>99828</v>
      </c>
      <c r="EP14" s="245">
        <v>68329</v>
      </c>
      <c r="EQ14" s="245">
        <v>24853675</v>
      </c>
      <c r="ER14" s="245">
        <v>372805.125</v>
      </c>
      <c r="ES14" s="246">
        <v>108550</v>
      </c>
      <c r="ET14" s="246">
        <v>74051</v>
      </c>
      <c r="EU14" s="246">
        <v>28040830</v>
      </c>
      <c r="EV14" s="247">
        <v>420612.45</v>
      </c>
      <c r="EW14" s="246">
        <v>1022584</v>
      </c>
      <c r="EX14" s="246">
        <v>42613</v>
      </c>
      <c r="EY14" s="247">
        <v>208497857</v>
      </c>
      <c r="EZ14" s="246">
        <v>49762</v>
      </c>
      <c r="FA14" s="246">
        <v>26157</v>
      </c>
      <c r="FB14" s="246">
        <v>61609198</v>
      </c>
      <c r="FC14" s="247">
        <v>831724.17299999995</v>
      </c>
      <c r="FD14" s="246">
        <v>90</v>
      </c>
      <c r="FE14" s="246">
        <v>95</v>
      </c>
      <c r="FF14" s="246">
        <v>121497</v>
      </c>
    </row>
    <row r="15" spans="1:162" s="248" customFormat="1" ht="15" customHeight="1">
      <c r="A15" s="236">
        <v>45701</v>
      </c>
      <c r="B15" s="237">
        <v>7465</v>
      </c>
      <c r="C15" s="237">
        <v>7567</v>
      </c>
      <c r="D15" s="237">
        <v>7590</v>
      </c>
      <c r="E15" s="237">
        <v>530516</v>
      </c>
      <c r="F15" s="237">
        <v>318996</v>
      </c>
      <c r="G15" s="237">
        <v>5833219</v>
      </c>
      <c r="H15" s="237">
        <v>2427707</v>
      </c>
      <c r="I15" s="237">
        <v>1632600</v>
      </c>
      <c r="J15" s="237">
        <v>73424</v>
      </c>
      <c r="K15" s="237">
        <v>280</v>
      </c>
      <c r="L15" s="237">
        <v>164640</v>
      </c>
      <c r="M15" s="237">
        <v>165246</v>
      </c>
      <c r="N15" s="237">
        <v>143329</v>
      </c>
      <c r="O15" s="237">
        <v>1029752</v>
      </c>
      <c r="P15" s="237">
        <v>203097065</v>
      </c>
      <c r="Q15" s="237">
        <v>5379</v>
      </c>
      <c r="R15" s="237">
        <v>927975</v>
      </c>
      <c r="S15" s="237">
        <v>7090227</v>
      </c>
      <c r="T15" s="237">
        <v>1</v>
      </c>
      <c r="U15" s="237">
        <v>159343</v>
      </c>
      <c r="V15" s="237">
        <v>44337</v>
      </c>
      <c r="W15" s="237">
        <v>127348</v>
      </c>
      <c r="X15" s="237">
        <v>1133333688</v>
      </c>
      <c r="Y15" s="237">
        <v>3656723</v>
      </c>
      <c r="Z15" s="237">
        <v>7492</v>
      </c>
      <c r="AA15" s="237">
        <v>0</v>
      </c>
      <c r="AB15" s="237">
        <v>284</v>
      </c>
      <c r="AC15" s="237">
        <v>0</v>
      </c>
      <c r="AD15" s="237">
        <v>373</v>
      </c>
      <c r="AE15" s="237">
        <v>0</v>
      </c>
      <c r="AF15" s="237">
        <v>0</v>
      </c>
      <c r="AG15" s="237">
        <v>0</v>
      </c>
      <c r="AH15" s="237">
        <v>118497</v>
      </c>
      <c r="AI15" s="237">
        <v>99025</v>
      </c>
      <c r="AJ15" s="237">
        <v>1074456668</v>
      </c>
      <c r="AK15" s="237">
        <v>8310</v>
      </c>
      <c r="AL15" s="237">
        <v>10132639</v>
      </c>
      <c r="AM15" s="237">
        <v>20311567</v>
      </c>
      <c r="AN15" s="237">
        <v>0</v>
      </c>
      <c r="AO15" s="237">
        <v>17131</v>
      </c>
      <c r="AP15" s="237">
        <v>13641</v>
      </c>
      <c r="AQ15" s="237">
        <v>147781211</v>
      </c>
      <c r="AR15" s="237">
        <v>2867</v>
      </c>
      <c r="AS15" s="237">
        <v>993600</v>
      </c>
      <c r="AT15" s="237">
        <v>116</v>
      </c>
      <c r="AU15" s="237">
        <v>334</v>
      </c>
      <c r="AV15" s="237">
        <v>613051</v>
      </c>
      <c r="AW15" s="237">
        <v>302</v>
      </c>
      <c r="AX15" s="237">
        <v>31500</v>
      </c>
      <c r="AY15" s="237">
        <v>715</v>
      </c>
      <c r="AZ15" s="237">
        <v>438</v>
      </c>
      <c r="BA15" s="237">
        <v>16780653</v>
      </c>
      <c r="BB15" s="237">
        <v>191</v>
      </c>
      <c r="BC15" s="237">
        <v>21500</v>
      </c>
      <c r="BD15" s="237">
        <v>7108</v>
      </c>
      <c r="BE15" s="237">
        <v>3553</v>
      </c>
      <c r="BF15" s="237">
        <v>2277</v>
      </c>
      <c r="BG15" s="237">
        <v>77130210</v>
      </c>
      <c r="BH15" s="237">
        <v>18</v>
      </c>
      <c r="BI15" s="237">
        <v>0</v>
      </c>
      <c r="BJ15" s="237">
        <v>0</v>
      </c>
      <c r="BK15" s="237">
        <v>125</v>
      </c>
      <c r="BL15" s="237">
        <v>108</v>
      </c>
      <c r="BM15" s="237">
        <v>1751600</v>
      </c>
      <c r="BN15" s="237">
        <v>82</v>
      </c>
      <c r="BO15" s="237">
        <v>45450</v>
      </c>
      <c r="BP15" s="237">
        <v>18180</v>
      </c>
      <c r="BQ15" s="237">
        <v>40145</v>
      </c>
      <c r="BR15" s="237">
        <v>20865</v>
      </c>
      <c r="BS15" s="237">
        <v>48183257</v>
      </c>
      <c r="BT15" s="237">
        <v>0</v>
      </c>
      <c r="BU15" s="238">
        <v>650473.96950000001</v>
      </c>
      <c r="BV15" s="237">
        <v>35</v>
      </c>
      <c r="BW15" s="237">
        <v>33</v>
      </c>
      <c r="BX15" s="237">
        <v>1134040</v>
      </c>
      <c r="BY15" s="237">
        <v>0</v>
      </c>
      <c r="BZ15" s="237">
        <v>5670</v>
      </c>
      <c r="CA15" s="238">
        <v>0</v>
      </c>
      <c r="CB15" s="238">
        <v>0</v>
      </c>
      <c r="CC15" s="238">
        <v>0</v>
      </c>
      <c r="CD15" s="238">
        <v>0</v>
      </c>
      <c r="CE15" s="238">
        <v>0</v>
      </c>
      <c r="CF15" s="237">
        <v>0</v>
      </c>
      <c r="CG15" s="237">
        <v>0</v>
      </c>
      <c r="CH15" s="237">
        <v>0</v>
      </c>
      <c r="CI15" s="237">
        <v>0</v>
      </c>
      <c r="CJ15" s="237">
        <v>0</v>
      </c>
      <c r="CK15" s="239">
        <v>124</v>
      </c>
      <c r="CL15" s="237">
        <v>16552180</v>
      </c>
      <c r="CM15" s="237">
        <v>0</v>
      </c>
      <c r="CN15" s="237">
        <v>0</v>
      </c>
      <c r="CO15" s="237">
        <v>99734</v>
      </c>
      <c r="CP15" s="237">
        <v>42020</v>
      </c>
      <c r="CQ15" s="239">
        <v>33026456</v>
      </c>
      <c r="CR15" s="237">
        <v>6527</v>
      </c>
      <c r="CS15" s="237">
        <v>14120</v>
      </c>
      <c r="CT15" s="237">
        <v>38773448</v>
      </c>
      <c r="CU15" s="237">
        <v>391068</v>
      </c>
      <c r="CV15" s="237">
        <v>1928</v>
      </c>
      <c r="CW15" s="237">
        <v>35994</v>
      </c>
      <c r="CX15" s="237">
        <v>20392</v>
      </c>
      <c r="CY15" s="237">
        <v>19134</v>
      </c>
      <c r="CZ15" s="237">
        <v>253865927</v>
      </c>
      <c r="DA15" s="237">
        <v>2720</v>
      </c>
      <c r="DB15" s="237">
        <v>31</v>
      </c>
      <c r="DC15" s="237">
        <v>2</v>
      </c>
      <c r="DD15" s="237">
        <v>235550</v>
      </c>
      <c r="DE15" s="237">
        <v>5</v>
      </c>
      <c r="DF15" s="237">
        <v>2947</v>
      </c>
      <c r="DG15" s="237">
        <v>0</v>
      </c>
      <c r="DH15" s="237">
        <v>0</v>
      </c>
      <c r="DI15" s="237">
        <v>0</v>
      </c>
      <c r="DJ15" s="237">
        <v>1</v>
      </c>
      <c r="DK15" s="237">
        <v>9561</v>
      </c>
      <c r="DL15" s="237">
        <v>3340</v>
      </c>
      <c r="DM15" s="237">
        <v>313959232</v>
      </c>
      <c r="DN15" s="237">
        <v>1548</v>
      </c>
      <c r="DO15" s="237">
        <v>2073100</v>
      </c>
      <c r="DP15" s="237">
        <v>0</v>
      </c>
      <c r="DQ15" s="237">
        <v>41807021</v>
      </c>
      <c r="DR15" s="237">
        <v>0</v>
      </c>
      <c r="DS15" s="237">
        <v>9561</v>
      </c>
      <c r="DT15" s="237">
        <v>313959232</v>
      </c>
      <c r="DU15" s="240">
        <v>2073100</v>
      </c>
      <c r="DV15" s="237">
        <v>0</v>
      </c>
      <c r="DW15" s="237">
        <v>5375</v>
      </c>
      <c r="DX15" s="237">
        <v>172809739</v>
      </c>
      <c r="DY15" s="237">
        <v>4186</v>
      </c>
      <c r="DZ15" s="237">
        <v>141149493</v>
      </c>
      <c r="EA15" s="238">
        <v>2441350</v>
      </c>
      <c r="EB15" s="238">
        <v>3367764463</v>
      </c>
      <c r="EC15" s="238">
        <v>30815</v>
      </c>
      <c r="ED15" s="470">
        <v>772398</v>
      </c>
      <c r="EE15" s="470">
        <v>536480</v>
      </c>
      <c r="EF15" s="470">
        <v>550440</v>
      </c>
      <c r="EG15" s="470">
        <v>0</v>
      </c>
      <c r="EH15" s="470">
        <v>1211085</v>
      </c>
      <c r="EI15" s="242">
        <v>26410422.089500003</v>
      </c>
      <c r="EJ15" s="243">
        <v>14404031</v>
      </c>
      <c r="EK15" s="244">
        <v>8605</v>
      </c>
      <c r="EL15" s="245">
        <v>7039</v>
      </c>
      <c r="EM15" s="245">
        <v>2766928</v>
      </c>
      <c r="EN15" s="245">
        <v>41503.919999999998</v>
      </c>
      <c r="EO15" s="245">
        <v>96736</v>
      </c>
      <c r="EP15" s="245">
        <v>66159</v>
      </c>
      <c r="EQ15" s="245">
        <v>24441280</v>
      </c>
      <c r="ER15" s="245">
        <v>366619.2</v>
      </c>
      <c r="ES15" s="246">
        <v>105341</v>
      </c>
      <c r="ET15" s="246">
        <v>71626</v>
      </c>
      <c r="EU15" s="246">
        <v>27208208</v>
      </c>
      <c r="EV15" s="247">
        <v>408123.12</v>
      </c>
      <c r="EW15" s="246">
        <v>1024145</v>
      </c>
      <c r="EX15" s="246">
        <v>42020</v>
      </c>
      <c r="EY15" s="247">
        <v>208915313</v>
      </c>
      <c r="EZ15" s="246">
        <v>40145</v>
      </c>
      <c r="FA15" s="246">
        <v>20865</v>
      </c>
      <c r="FB15" s="246">
        <v>48183257</v>
      </c>
      <c r="FC15" s="247">
        <v>650473.96950000001</v>
      </c>
      <c r="FD15" s="246">
        <v>132</v>
      </c>
      <c r="FE15" s="246">
        <v>117</v>
      </c>
      <c r="FF15" s="246">
        <v>169492</v>
      </c>
    </row>
    <row r="16" spans="1:162" s="248" customFormat="1" ht="15" customHeight="1">
      <c r="A16" s="236">
        <v>45702</v>
      </c>
      <c r="B16" s="237">
        <v>6841</v>
      </c>
      <c r="C16" s="237">
        <v>6960</v>
      </c>
      <c r="D16" s="237">
        <v>6992</v>
      </c>
      <c r="E16" s="237">
        <v>533962</v>
      </c>
      <c r="F16" s="237">
        <v>333882</v>
      </c>
      <c r="G16" s="237">
        <v>5842832</v>
      </c>
      <c r="H16" s="237">
        <v>2431524</v>
      </c>
      <c r="I16" s="237">
        <v>1635933</v>
      </c>
      <c r="J16" s="237">
        <v>73809</v>
      </c>
      <c r="K16" s="237">
        <v>306</v>
      </c>
      <c r="L16" s="237">
        <v>165199</v>
      </c>
      <c r="M16" s="237">
        <v>165874</v>
      </c>
      <c r="N16" s="237">
        <v>143462</v>
      </c>
      <c r="O16" s="237">
        <v>1085219</v>
      </c>
      <c r="P16" s="237">
        <v>213249795</v>
      </c>
      <c r="Q16" s="237">
        <v>5563</v>
      </c>
      <c r="R16" s="237">
        <v>978777</v>
      </c>
      <c r="S16" s="237">
        <v>7457303</v>
      </c>
      <c r="T16" s="237">
        <v>1</v>
      </c>
      <c r="U16" s="237">
        <v>162536</v>
      </c>
      <c r="V16" s="237">
        <v>44565</v>
      </c>
      <c r="W16" s="237">
        <v>129814</v>
      </c>
      <c r="X16" s="237">
        <v>1151936628</v>
      </c>
      <c r="Y16" s="237">
        <v>3741335</v>
      </c>
      <c r="Z16" s="237">
        <v>7870</v>
      </c>
      <c r="AA16" s="237">
        <v>1</v>
      </c>
      <c r="AB16" s="237">
        <v>334</v>
      </c>
      <c r="AC16" s="237">
        <v>145500</v>
      </c>
      <c r="AD16" s="237">
        <v>429</v>
      </c>
      <c r="AE16" s="237">
        <v>1134</v>
      </c>
      <c r="AF16" s="237">
        <v>0</v>
      </c>
      <c r="AG16" s="237">
        <v>0</v>
      </c>
      <c r="AH16" s="237">
        <v>120532</v>
      </c>
      <c r="AI16" s="237">
        <v>100748</v>
      </c>
      <c r="AJ16" s="237">
        <v>1045483118</v>
      </c>
      <c r="AK16" s="237">
        <v>8622</v>
      </c>
      <c r="AL16" s="237">
        <v>10119558</v>
      </c>
      <c r="AM16" s="237">
        <v>20255923</v>
      </c>
      <c r="AN16" s="237">
        <v>0</v>
      </c>
      <c r="AO16" s="237">
        <v>16916</v>
      </c>
      <c r="AP16" s="237">
        <v>13591</v>
      </c>
      <c r="AQ16" s="237">
        <v>148922277</v>
      </c>
      <c r="AR16" s="237">
        <v>2838</v>
      </c>
      <c r="AS16" s="237">
        <v>1012900</v>
      </c>
      <c r="AT16" s="237">
        <v>104</v>
      </c>
      <c r="AU16" s="237">
        <v>285</v>
      </c>
      <c r="AV16" s="237">
        <v>674456</v>
      </c>
      <c r="AW16" s="237">
        <v>252</v>
      </c>
      <c r="AX16" s="237">
        <v>30500</v>
      </c>
      <c r="AY16" s="237">
        <v>550</v>
      </c>
      <c r="AZ16" s="237">
        <v>456</v>
      </c>
      <c r="BA16" s="237">
        <v>17677558</v>
      </c>
      <c r="BB16" s="237">
        <v>173</v>
      </c>
      <c r="BC16" s="237">
        <v>17750</v>
      </c>
      <c r="BD16" s="237">
        <v>5712</v>
      </c>
      <c r="BE16" s="237">
        <v>1021</v>
      </c>
      <c r="BF16" s="237">
        <v>885</v>
      </c>
      <c r="BG16" s="237">
        <v>25327282</v>
      </c>
      <c r="BH16" s="237">
        <v>3736</v>
      </c>
      <c r="BI16" s="237">
        <v>0</v>
      </c>
      <c r="BJ16" s="237">
        <v>0</v>
      </c>
      <c r="BK16" s="237">
        <v>110</v>
      </c>
      <c r="BL16" s="237">
        <v>89</v>
      </c>
      <c r="BM16" s="237">
        <v>1568450</v>
      </c>
      <c r="BN16" s="237">
        <v>117</v>
      </c>
      <c r="BO16" s="237">
        <v>39150</v>
      </c>
      <c r="BP16" s="237">
        <v>15660</v>
      </c>
      <c r="BQ16" s="237">
        <v>40455</v>
      </c>
      <c r="BR16" s="237">
        <v>21476</v>
      </c>
      <c r="BS16" s="237">
        <v>51728142</v>
      </c>
      <c r="BT16" s="237">
        <v>0</v>
      </c>
      <c r="BU16" s="238">
        <v>698329.91700000002</v>
      </c>
      <c r="BV16" s="237">
        <v>28</v>
      </c>
      <c r="BW16" s="237">
        <v>28</v>
      </c>
      <c r="BX16" s="237">
        <v>729655</v>
      </c>
      <c r="BY16" s="237">
        <v>0</v>
      </c>
      <c r="BZ16" s="237">
        <v>3648</v>
      </c>
      <c r="CA16" s="238">
        <v>0</v>
      </c>
      <c r="CB16" s="238">
        <v>0</v>
      </c>
      <c r="CC16" s="238">
        <v>0</v>
      </c>
      <c r="CD16" s="238">
        <v>0</v>
      </c>
      <c r="CE16" s="238">
        <v>0</v>
      </c>
      <c r="CF16" s="237">
        <v>0</v>
      </c>
      <c r="CG16" s="237">
        <v>0</v>
      </c>
      <c r="CH16" s="237">
        <v>0</v>
      </c>
      <c r="CI16" s="237">
        <v>0</v>
      </c>
      <c r="CJ16" s="237">
        <v>0</v>
      </c>
      <c r="CK16" s="239">
        <v>45</v>
      </c>
      <c r="CL16" s="237">
        <v>14723377</v>
      </c>
      <c r="CM16" s="237">
        <v>0</v>
      </c>
      <c r="CN16" s="237">
        <v>0</v>
      </c>
      <c r="CO16" s="237">
        <v>104230</v>
      </c>
      <c r="CP16" s="237">
        <v>42867</v>
      </c>
      <c r="CQ16" s="239">
        <v>33387103</v>
      </c>
      <c r="CR16" s="237">
        <v>6838</v>
      </c>
      <c r="CS16" s="237">
        <v>14001</v>
      </c>
      <c r="CT16" s="237">
        <v>37966694</v>
      </c>
      <c r="CU16" s="237">
        <v>388743</v>
      </c>
      <c r="CV16" s="237">
        <v>1805</v>
      </c>
      <c r="CW16" s="237">
        <v>37147</v>
      </c>
      <c r="CX16" s="237">
        <v>20625</v>
      </c>
      <c r="CY16" s="237">
        <v>19382</v>
      </c>
      <c r="CZ16" s="237">
        <v>257266741</v>
      </c>
      <c r="DA16" s="237">
        <v>2705</v>
      </c>
      <c r="DB16" s="237">
        <v>33</v>
      </c>
      <c r="DC16" s="237">
        <v>3</v>
      </c>
      <c r="DD16" s="237">
        <v>394100</v>
      </c>
      <c r="DE16" s="237">
        <v>2</v>
      </c>
      <c r="DF16" s="237">
        <v>4859</v>
      </c>
      <c r="DG16" s="237">
        <v>0</v>
      </c>
      <c r="DH16" s="237">
        <v>0</v>
      </c>
      <c r="DI16" s="237">
        <v>0</v>
      </c>
      <c r="DJ16" s="237">
        <v>1</v>
      </c>
      <c r="DK16" s="237">
        <v>10230</v>
      </c>
      <c r="DL16" s="237">
        <v>3348</v>
      </c>
      <c r="DM16" s="237">
        <v>318186000</v>
      </c>
      <c r="DN16" s="237">
        <v>1196</v>
      </c>
      <c r="DO16" s="237">
        <v>2235100</v>
      </c>
      <c r="DP16" s="237">
        <v>0</v>
      </c>
      <c r="DQ16" s="237">
        <v>15892260</v>
      </c>
      <c r="DR16" s="237">
        <v>0</v>
      </c>
      <c r="DS16" s="237">
        <v>10230</v>
      </c>
      <c r="DT16" s="237">
        <v>318186000</v>
      </c>
      <c r="DU16" s="240">
        <v>2235100</v>
      </c>
      <c r="DV16" s="237">
        <v>0</v>
      </c>
      <c r="DW16" s="237">
        <v>5877</v>
      </c>
      <c r="DX16" s="237">
        <v>187812224</v>
      </c>
      <c r="DY16" s="237">
        <v>4353</v>
      </c>
      <c r="DZ16" s="237">
        <v>130373776</v>
      </c>
      <c r="EA16" s="238">
        <v>2555414</v>
      </c>
      <c r="EB16" s="238">
        <v>3326824179</v>
      </c>
      <c r="EC16" s="238">
        <v>35388</v>
      </c>
      <c r="ED16" s="470">
        <v>985280</v>
      </c>
      <c r="EE16" s="470">
        <v>602436</v>
      </c>
      <c r="EF16" s="470">
        <v>544895</v>
      </c>
      <c r="EG16" s="470">
        <v>0</v>
      </c>
      <c r="EH16" s="470">
        <v>1224975</v>
      </c>
      <c r="EI16" s="242">
        <v>26833528.822000001</v>
      </c>
      <c r="EJ16" s="243">
        <v>14470300</v>
      </c>
      <c r="EK16" s="244">
        <v>8607</v>
      </c>
      <c r="EL16" s="245">
        <v>7086</v>
      </c>
      <c r="EM16" s="245">
        <v>2775147</v>
      </c>
      <c r="EN16" s="245">
        <v>41627.205000000002</v>
      </c>
      <c r="EO16" s="245">
        <v>101264</v>
      </c>
      <c r="EP16" s="245">
        <v>68120</v>
      </c>
      <c r="EQ16" s="245">
        <v>25509980</v>
      </c>
      <c r="ER16" s="245">
        <v>382649.7</v>
      </c>
      <c r="ES16" s="246">
        <v>109871</v>
      </c>
      <c r="ET16" s="246">
        <v>73601</v>
      </c>
      <c r="EU16" s="246">
        <v>28285127</v>
      </c>
      <c r="EV16" s="247">
        <v>424276.90500000003</v>
      </c>
      <c r="EW16" s="246">
        <v>1079578</v>
      </c>
      <c r="EX16" s="246">
        <v>42867</v>
      </c>
      <c r="EY16" s="247">
        <v>218351771</v>
      </c>
      <c r="EZ16" s="246">
        <v>40455</v>
      </c>
      <c r="FA16" s="246">
        <v>21476</v>
      </c>
      <c r="FB16" s="246">
        <v>51728142</v>
      </c>
      <c r="FC16" s="247">
        <v>698329.91700000002</v>
      </c>
      <c r="FD16" s="246">
        <v>121</v>
      </c>
      <c r="FE16" s="246">
        <v>110</v>
      </c>
      <c r="FF16" s="246">
        <v>139492</v>
      </c>
    </row>
    <row r="17" spans="1:162" s="248" customFormat="1" ht="15" customHeight="1">
      <c r="A17" s="236">
        <v>45703</v>
      </c>
      <c r="B17" s="237">
        <v>4598</v>
      </c>
      <c r="C17" s="237">
        <v>4654</v>
      </c>
      <c r="D17" s="237">
        <v>4670</v>
      </c>
      <c r="E17" s="237">
        <v>538061</v>
      </c>
      <c r="F17" s="237">
        <v>320004</v>
      </c>
      <c r="G17" s="237">
        <v>5851463</v>
      </c>
      <c r="H17" s="237">
        <v>2435398</v>
      </c>
      <c r="I17" s="237">
        <v>1636332</v>
      </c>
      <c r="J17" s="237">
        <v>72080</v>
      </c>
      <c r="K17" s="237">
        <v>77</v>
      </c>
      <c r="L17" s="237">
        <v>16501</v>
      </c>
      <c r="M17" s="237">
        <v>164988</v>
      </c>
      <c r="N17" s="237">
        <v>143295</v>
      </c>
      <c r="O17" s="237">
        <v>1065010</v>
      </c>
      <c r="P17" s="237">
        <v>208500940</v>
      </c>
      <c r="Q17" s="237">
        <v>5665</v>
      </c>
      <c r="R17" s="237">
        <v>960517</v>
      </c>
      <c r="S17" s="237">
        <v>7295891</v>
      </c>
      <c r="T17" s="237">
        <v>1</v>
      </c>
      <c r="U17" s="237">
        <v>168826</v>
      </c>
      <c r="V17" s="237">
        <v>43919</v>
      </c>
      <c r="W17" s="237">
        <v>132616</v>
      </c>
      <c r="X17" s="237">
        <v>983511289</v>
      </c>
      <c r="Y17" s="237">
        <v>3197470</v>
      </c>
      <c r="Z17" s="237">
        <v>8074</v>
      </c>
      <c r="AA17" s="237">
        <v>0</v>
      </c>
      <c r="AB17" s="237">
        <v>309</v>
      </c>
      <c r="AC17" s="237">
        <v>0</v>
      </c>
      <c r="AD17" s="237">
        <v>411</v>
      </c>
      <c r="AE17" s="237">
        <v>0</v>
      </c>
      <c r="AF17" s="237">
        <v>0</v>
      </c>
      <c r="AG17" s="237">
        <v>0</v>
      </c>
      <c r="AH17" s="237">
        <v>114448</v>
      </c>
      <c r="AI17" s="237">
        <v>96022</v>
      </c>
      <c r="AJ17" s="237">
        <v>926470270</v>
      </c>
      <c r="AK17" s="237">
        <v>8431</v>
      </c>
      <c r="AL17" s="237">
        <v>9337473</v>
      </c>
      <c r="AM17" s="237">
        <v>18578405</v>
      </c>
      <c r="AN17" s="237">
        <v>0</v>
      </c>
      <c r="AO17" s="237">
        <v>16826</v>
      </c>
      <c r="AP17" s="237">
        <v>13676</v>
      </c>
      <c r="AQ17" s="237">
        <v>131705796</v>
      </c>
      <c r="AR17" s="237">
        <v>2942</v>
      </c>
      <c r="AS17" s="237">
        <v>962800</v>
      </c>
      <c r="AT17" s="237">
        <v>128</v>
      </c>
      <c r="AU17" s="237">
        <v>348</v>
      </c>
      <c r="AV17" s="237">
        <v>473061</v>
      </c>
      <c r="AW17" s="237">
        <v>336</v>
      </c>
      <c r="AX17" s="237">
        <v>32200</v>
      </c>
      <c r="AY17" s="237">
        <v>537</v>
      </c>
      <c r="AZ17" s="237">
        <v>431</v>
      </c>
      <c r="BA17" s="237">
        <v>15974929</v>
      </c>
      <c r="BB17" s="237">
        <v>233</v>
      </c>
      <c r="BC17" s="237">
        <v>15350</v>
      </c>
      <c r="BD17" s="237">
        <v>4861</v>
      </c>
      <c r="BE17" s="237">
        <v>2</v>
      </c>
      <c r="BF17" s="237">
        <v>2</v>
      </c>
      <c r="BG17" s="237">
        <v>2</v>
      </c>
      <c r="BH17" s="237">
        <v>4878</v>
      </c>
      <c r="BI17" s="237">
        <v>0</v>
      </c>
      <c r="BJ17" s="237">
        <v>0</v>
      </c>
      <c r="BK17" s="237">
        <v>90</v>
      </c>
      <c r="BL17" s="237">
        <v>64</v>
      </c>
      <c r="BM17" s="237">
        <v>1186850</v>
      </c>
      <c r="BN17" s="237">
        <v>107</v>
      </c>
      <c r="BO17" s="237">
        <v>27750</v>
      </c>
      <c r="BP17" s="237">
        <v>11100</v>
      </c>
      <c r="BQ17" s="237">
        <v>57559</v>
      </c>
      <c r="BR17" s="237">
        <v>30246</v>
      </c>
      <c r="BS17" s="237">
        <v>67137731</v>
      </c>
      <c r="BT17" s="237">
        <v>0</v>
      </c>
      <c r="BU17" s="238">
        <v>906359.36849999998</v>
      </c>
      <c r="BV17" s="237">
        <v>27</v>
      </c>
      <c r="BW17" s="237">
        <v>24</v>
      </c>
      <c r="BX17" s="237">
        <v>711005</v>
      </c>
      <c r="BY17" s="237">
        <v>0</v>
      </c>
      <c r="BZ17" s="237">
        <v>3555</v>
      </c>
      <c r="CA17" s="238">
        <v>0</v>
      </c>
      <c r="CB17" s="238">
        <v>0</v>
      </c>
      <c r="CC17" s="238">
        <v>0</v>
      </c>
      <c r="CD17" s="238">
        <v>0</v>
      </c>
      <c r="CE17" s="238">
        <v>0</v>
      </c>
      <c r="CF17" s="237">
        <v>0</v>
      </c>
      <c r="CG17" s="237">
        <v>0</v>
      </c>
      <c r="CH17" s="237">
        <v>0</v>
      </c>
      <c r="CI17" s="237">
        <v>0</v>
      </c>
      <c r="CJ17" s="237">
        <v>0</v>
      </c>
      <c r="CK17" s="239">
        <v>150</v>
      </c>
      <c r="CL17" s="237">
        <v>2764554</v>
      </c>
      <c r="CM17" s="237">
        <v>0</v>
      </c>
      <c r="CN17" s="237">
        <v>0</v>
      </c>
      <c r="CO17" s="237">
        <v>100722</v>
      </c>
      <c r="CP17" s="237">
        <v>41781</v>
      </c>
      <c r="CQ17" s="239">
        <v>31608579</v>
      </c>
      <c r="CR17" s="237">
        <v>6758</v>
      </c>
      <c r="CS17" s="237">
        <v>14397</v>
      </c>
      <c r="CT17" s="237">
        <v>38119065</v>
      </c>
      <c r="CU17" s="237">
        <v>395871</v>
      </c>
      <c r="CV17" s="237">
        <v>1627</v>
      </c>
      <c r="CW17" s="237">
        <v>36654</v>
      </c>
      <c r="CX17" s="237">
        <v>19740</v>
      </c>
      <c r="CY17" s="237">
        <v>18412</v>
      </c>
      <c r="CZ17" s="237">
        <v>166500559</v>
      </c>
      <c r="DA17" s="237">
        <v>2707</v>
      </c>
      <c r="DB17" s="237">
        <v>20</v>
      </c>
      <c r="DC17" s="237">
        <v>2</v>
      </c>
      <c r="DD17" s="237">
        <v>298900</v>
      </c>
      <c r="DE17" s="237">
        <v>1</v>
      </c>
      <c r="DF17" s="237">
        <v>3682</v>
      </c>
      <c r="DG17" s="237">
        <v>0</v>
      </c>
      <c r="DH17" s="237">
        <v>0</v>
      </c>
      <c r="DI17" s="237">
        <v>0</v>
      </c>
      <c r="DJ17" s="237">
        <v>1</v>
      </c>
      <c r="DK17" s="237">
        <v>9953</v>
      </c>
      <c r="DL17" s="237">
        <v>2984</v>
      </c>
      <c r="DM17" s="237">
        <v>306336873</v>
      </c>
      <c r="DN17" s="237">
        <v>1366</v>
      </c>
      <c r="DO17" s="237">
        <v>1952850</v>
      </c>
      <c r="DP17" s="237">
        <v>0</v>
      </c>
      <c r="DQ17" s="237">
        <v>17508880</v>
      </c>
      <c r="DR17" s="237"/>
      <c r="DS17" s="237">
        <v>9953</v>
      </c>
      <c r="DT17" s="237">
        <v>306336873</v>
      </c>
      <c r="DU17" s="240">
        <v>1952850</v>
      </c>
      <c r="DV17" s="237">
        <v>0</v>
      </c>
      <c r="DW17" s="237">
        <v>6188</v>
      </c>
      <c r="DX17" s="237">
        <v>180289631</v>
      </c>
      <c r="DY17" s="237">
        <v>3765</v>
      </c>
      <c r="DZ17" s="237">
        <v>126047242</v>
      </c>
      <c r="EA17" s="238">
        <v>2528953</v>
      </c>
      <c r="EB17" s="238">
        <v>2888596294</v>
      </c>
      <c r="EC17" s="238">
        <v>36505</v>
      </c>
      <c r="ED17" s="470">
        <v>497785</v>
      </c>
      <c r="EE17" s="470">
        <v>665177</v>
      </c>
      <c r="EF17" s="470">
        <v>556599</v>
      </c>
      <c r="EG17" s="470">
        <v>0</v>
      </c>
      <c r="EH17" s="470">
        <v>1147183</v>
      </c>
      <c r="EI17" s="242">
        <v>24588803.158500001</v>
      </c>
      <c r="EJ17" s="243">
        <v>13147839</v>
      </c>
      <c r="EK17" s="244">
        <v>8566</v>
      </c>
      <c r="EL17" s="245">
        <v>7031</v>
      </c>
      <c r="EM17" s="245">
        <v>2936321</v>
      </c>
      <c r="EN17" s="245">
        <v>44044.814999999995</v>
      </c>
      <c r="EO17" s="245">
        <v>99548</v>
      </c>
      <c r="EP17" s="245">
        <v>67804</v>
      </c>
      <c r="EQ17" s="245">
        <v>24777265</v>
      </c>
      <c r="ER17" s="245">
        <v>371658.97499999998</v>
      </c>
      <c r="ES17" s="246">
        <v>108114</v>
      </c>
      <c r="ET17" s="246">
        <v>73287</v>
      </c>
      <c r="EU17" s="246">
        <v>27713586</v>
      </c>
      <c r="EV17" s="247">
        <v>415703.79</v>
      </c>
      <c r="EW17" s="246">
        <v>1057618</v>
      </c>
      <c r="EX17" s="246">
        <v>41781</v>
      </c>
      <c r="EY17" s="247">
        <v>212395933</v>
      </c>
      <c r="EZ17" s="246">
        <v>57559</v>
      </c>
      <c r="FA17" s="246">
        <v>30246</v>
      </c>
      <c r="FB17" s="246">
        <v>67137731</v>
      </c>
      <c r="FC17" s="247">
        <v>906359.36849999998</v>
      </c>
      <c r="FD17" s="246">
        <v>100</v>
      </c>
      <c r="FE17" s="246">
        <v>92</v>
      </c>
      <c r="FF17" s="246">
        <v>134997</v>
      </c>
    </row>
    <row r="18" spans="1:162" s="248" customFormat="1" ht="15" customHeight="1">
      <c r="A18" s="236">
        <v>45704</v>
      </c>
      <c r="B18" s="237">
        <v>2229</v>
      </c>
      <c r="C18" s="237">
        <v>2225</v>
      </c>
      <c r="D18" s="237">
        <v>2230</v>
      </c>
      <c r="E18" s="237">
        <v>538418</v>
      </c>
      <c r="F18" s="237">
        <v>290043</v>
      </c>
      <c r="G18" s="237">
        <v>5858497</v>
      </c>
      <c r="H18" s="237">
        <v>2432482</v>
      </c>
      <c r="I18" s="237">
        <v>1630932</v>
      </c>
      <c r="J18" s="237">
        <v>66069</v>
      </c>
      <c r="K18" s="237">
        <v>118</v>
      </c>
      <c r="L18" s="237">
        <v>166011</v>
      </c>
      <c r="M18" s="237">
        <v>166332</v>
      </c>
      <c r="N18" s="237">
        <v>143134</v>
      </c>
      <c r="O18" s="237">
        <v>1005544</v>
      </c>
      <c r="P18" s="237">
        <v>191374345</v>
      </c>
      <c r="Q18" s="237">
        <v>5445</v>
      </c>
      <c r="R18" s="237">
        <v>903983</v>
      </c>
      <c r="S18" s="237">
        <v>6688758</v>
      </c>
      <c r="T18" s="237">
        <v>1</v>
      </c>
      <c r="U18" s="237">
        <v>134521</v>
      </c>
      <c r="V18" s="237">
        <v>34664</v>
      </c>
      <c r="W18" s="237">
        <v>108556</v>
      </c>
      <c r="X18" s="237">
        <v>629440499</v>
      </c>
      <c r="Y18" s="237">
        <v>2070740</v>
      </c>
      <c r="Z18" s="237">
        <v>6266</v>
      </c>
      <c r="AA18" s="237">
        <v>0</v>
      </c>
      <c r="AB18" s="237">
        <v>314</v>
      </c>
      <c r="AC18" s="237">
        <v>0</v>
      </c>
      <c r="AD18" s="237">
        <v>417</v>
      </c>
      <c r="AE18" s="237">
        <v>0</v>
      </c>
      <c r="AF18" s="237">
        <v>0</v>
      </c>
      <c r="AG18" s="237">
        <v>0</v>
      </c>
      <c r="AH18" s="237">
        <v>100038</v>
      </c>
      <c r="AI18" s="237">
        <v>85206</v>
      </c>
      <c r="AJ18" s="237">
        <v>680756551</v>
      </c>
      <c r="AK18" s="237">
        <v>7472</v>
      </c>
      <c r="AL18" s="237">
        <v>7525939</v>
      </c>
      <c r="AM18" s="237">
        <v>14954744</v>
      </c>
      <c r="AN18" s="237">
        <v>0</v>
      </c>
      <c r="AO18" s="237">
        <v>15098</v>
      </c>
      <c r="AP18" s="237">
        <v>12495</v>
      </c>
      <c r="AQ18" s="237">
        <v>95086713</v>
      </c>
      <c r="AR18" s="237">
        <v>2907</v>
      </c>
      <c r="AS18" s="237">
        <v>889700</v>
      </c>
      <c r="AT18" s="237">
        <v>99</v>
      </c>
      <c r="AU18" s="237">
        <v>331</v>
      </c>
      <c r="AV18" s="237">
        <v>246276</v>
      </c>
      <c r="AW18" s="237">
        <v>336</v>
      </c>
      <c r="AX18" s="237">
        <v>22800</v>
      </c>
      <c r="AY18" s="237">
        <v>378</v>
      </c>
      <c r="AZ18" s="237">
        <v>318</v>
      </c>
      <c r="BA18" s="237">
        <v>7799885</v>
      </c>
      <c r="BB18" s="237">
        <v>167</v>
      </c>
      <c r="BC18" s="237">
        <v>7400</v>
      </c>
      <c r="BD18" s="237">
        <v>2252</v>
      </c>
      <c r="BE18" s="237">
        <v>9</v>
      </c>
      <c r="BF18" s="237">
        <v>7</v>
      </c>
      <c r="BG18" s="237">
        <v>10</v>
      </c>
      <c r="BH18" s="237">
        <v>3146</v>
      </c>
      <c r="BI18" s="237">
        <v>0</v>
      </c>
      <c r="BJ18" s="237">
        <v>0</v>
      </c>
      <c r="BK18" s="237">
        <v>39</v>
      </c>
      <c r="BL18" s="237">
        <v>33</v>
      </c>
      <c r="BM18" s="237">
        <v>1010700</v>
      </c>
      <c r="BN18" s="237">
        <v>159</v>
      </c>
      <c r="BO18" s="237">
        <v>21200</v>
      </c>
      <c r="BP18" s="237">
        <v>8480</v>
      </c>
      <c r="BQ18" s="237">
        <v>43555</v>
      </c>
      <c r="BR18" s="237">
        <v>22562</v>
      </c>
      <c r="BS18" s="237">
        <v>53494973</v>
      </c>
      <c r="BT18" s="237">
        <v>0</v>
      </c>
      <c r="BU18" s="238">
        <v>722182.13549999997</v>
      </c>
      <c r="BV18" s="237">
        <v>16</v>
      </c>
      <c r="BW18" s="237">
        <v>16</v>
      </c>
      <c r="BX18" s="237">
        <v>292475</v>
      </c>
      <c r="BY18" s="237">
        <v>0</v>
      </c>
      <c r="BZ18" s="237">
        <v>1462</v>
      </c>
      <c r="CA18" s="238">
        <v>0</v>
      </c>
      <c r="CB18" s="238">
        <v>0</v>
      </c>
      <c r="CC18" s="238">
        <v>0</v>
      </c>
      <c r="CD18" s="238">
        <v>0</v>
      </c>
      <c r="CE18" s="238">
        <v>0</v>
      </c>
      <c r="CF18" s="237">
        <v>0</v>
      </c>
      <c r="CG18" s="237">
        <v>0</v>
      </c>
      <c r="CH18" s="237">
        <v>0</v>
      </c>
      <c r="CI18" s="237">
        <v>0</v>
      </c>
      <c r="CJ18" s="237">
        <v>0</v>
      </c>
      <c r="CK18" s="239">
        <v>1</v>
      </c>
      <c r="CL18" s="237">
        <v>48500</v>
      </c>
      <c r="CM18" s="237">
        <v>0</v>
      </c>
      <c r="CN18" s="237">
        <v>0</v>
      </c>
      <c r="CO18" s="237">
        <v>94589</v>
      </c>
      <c r="CP18" s="237">
        <v>37152</v>
      </c>
      <c r="CQ18" s="239">
        <v>28318602</v>
      </c>
      <c r="CR18" s="237">
        <v>6650</v>
      </c>
      <c r="CS18" s="237">
        <v>13023</v>
      </c>
      <c r="CT18" s="237">
        <v>33060939</v>
      </c>
      <c r="CU18" s="237">
        <v>342576</v>
      </c>
      <c r="CV18" s="237">
        <v>1566</v>
      </c>
      <c r="CW18" s="237">
        <v>29455</v>
      </c>
      <c r="CX18" s="237">
        <v>17983</v>
      </c>
      <c r="CY18" s="237">
        <v>17130</v>
      </c>
      <c r="CZ18" s="237">
        <v>100809173</v>
      </c>
      <c r="DA18" s="237">
        <v>2439</v>
      </c>
      <c r="DB18" s="237">
        <v>8</v>
      </c>
      <c r="DC18" s="237">
        <v>1</v>
      </c>
      <c r="DD18" s="237">
        <v>184700</v>
      </c>
      <c r="DE18" s="237">
        <v>0</v>
      </c>
      <c r="DF18" s="237">
        <v>1675</v>
      </c>
      <c r="DG18" s="237">
        <v>0</v>
      </c>
      <c r="DH18" s="237">
        <v>0</v>
      </c>
      <c r="DI18" s="237">
        <v>0</v>
      </c>
      <c r="DJ18" s="237">
        <v>1</v>
      </c>
      <c r="DK18" s="237">
        <v>7674</v>
      </c>
      <c r="DL18" s="237">
        <v>2138</v>
      </c>
      <c r="DM18" s="237">
        <v>147528885</v>
      </c>
      <c r="DN18" s="237">
        <v>5962</v>
      </c>
      <c r="DO18" s="237">
        <v>1061800</v>
      </c>
      <c r="DP18" s="237">
        <v>0</v>
      </c>
      <c r="DQ18" s="237">
        <v>2693600</v>
      </c>
      <c r="DR18" s="237"/>
      <c r="DS18" s="237">
        <v>7674</v>
      </c>
      <c r="DT18" s="237">
        <v>147528885</v>
      </c>
      <c r="DU18" s="240">
        <v>1061800</v>
      </c>
      <c r="DV18" s="237">
        <v>0</v>
      </c>
      <c r="DW18" s="237">
        <v>5032</v>
      </c>
      <c r="DX18" s="237">
        <v>96018678</v>
      </c>
      <c r="DY18" s="237">
        <v>2642</v>
      </c>
      <c r="DZ18" s="237">
        <v>51510207</v>
      </c>
      <c r="EA18" s="238">
        <v>2336559</v>
      </c>
      <c r="EB18" s="238">
        <v>1976141984</v>
      </c>
      <c r="EC18" s="238">
        <v>31525</v>
      </c>
      <c r="ED18" s="470">
        <v>404346</v>
      </c>
      <c r="EE18" s="470">
        <v>259543</v>
      </c>
      <c r="EF18" s="470">
        <v>497863</v>
      </c>
      <c r="EG18" s="470">
        <v>0</v>
      </c>
      <c r="EH18" s="470">
        <v>1027953</v>
      </c>
      <c r="EI18" s="242">
        <v>19141064.545499999</v>
      </c>
      <c r="EJ18" s="243">
        <v>10136404</v>
      </c>
      <c r="EK18" s="244">
        <v>8418</v>
      </c>
      <c r="EL18" s="245">
        <v>6886</v>
      </c>
      <c r="EM18" s="245">
        <v>2596029</v>
      </c>
      <c r="EN18" s="245">
        <v>38940.434999999998</v>
      </c>
      <c r="EO18" s="245">
        <v>96931</v>
      </c>
      <c r="EP18" s="245">
        <v>65818</v>
      </c>
      <c r="EQ18" s="245">
        <v>23158265</v>
      </c>
      <c r="ER18" s="245">
        <v>347373.97499999998</v>
      </c>
      <c r="ES18" s="246">
        <v>105349</v>
      </c>
      <c r="ET18" s="246">
        <v>71145</v>
      </c>
      <c r="EU18" s="246">
        <v>25754294</v>
      </c>
      <c r="EV18" s="247">
        <v>386314.41</v>
      </c>
      <c r="EW18" s="246">
        <v>994784</v>
      </c>
      <c r="EX18" s="246">
        <v>37152</v>
      </c>
      <c r="EY18" s="247">
        <v>193938653</v>
      </c>
      <c r="EZ18" s="246">
        <v>43555</v>
      </c>
      <c r="FA18" s="246">
        <v>22562</v>
      </c>
      <c r="FB18" s="246">
        <v>53494973</v>
      </c>
      <c r="FC18" s="247">
        <v>722182.13549999997</v>
      </c>
      <c r="FD18" s="246">
        <v>74</v>
      </c>
      <c r="FE18" s="246">
        <v>69</v>
      </c>
      <c r="FF18" s="246">
        <v>66997</v>
      </c>
    </row>
    <row r="19" spans="1:162" s="248" customFormat="1" ht="15" customHeight="1">
      <c r="A19" s="236">
        <v>45705</v>
      </c>
      <c r="B19" s="237">
        <v>7231</v>
      </c>
      <c r="C19" s="237">
        <v>7293</v>
      </c>
      <c r="D19" s="237">
        <v>7341</v>
      </c>
      <c r="E19" s="237">
        <v>535993</v>
      </c>
      <c r="F19" s="237">
        <v>320509</v>
      </c>
      <c r="G19" s="237">
        <v>5868189</v>
      </c>
      <c r="H19" s="237">
        <v>2434826</v>
      </c>
      <c r="I19" s="237">
        <v>1635407</v>
      </c>
      <c r="J19" s="237">
        <v>73464</v>
      </c>
      <c r="K19" s="237">
        <v>302</v>
      </c>
      <c r="L19" s="237">
        <v>166283</v>
      </c>
      <c r="M19" s="237">
        <v>166899</v>
      </c>
      <c r="N19" s="237">
        <v>143300</v>
      </c>
      <c r="O19" s="237">
        <v>1045461</v>
      </c>
      <c r="P19" s="237">
        <v>207142895</v>
      </c>
      <c r="Q19" s="237">
        <v>5354</v>
      </c>
      <c r="R19" s="237">
        <v>947073</v>
      </c>
      <c r="S19" s="237">
        <v>7288731</v>
      </c>
      <c r="T19" s="237">
        <v>1</v>
      </c>
      <c r="U19" s="237">
        <v>162933</v>
      </c>
      <c r="V19" s="237">
        <v>44097</v>
      </c>
      <c r="W19" s="237">
        <v>130788</v>
      </c>
      <c r="X19" s="237">
        <v>1252500529</v>
      </c>
      <c r="Y19" s="237">
        <v>4051188</v>
      </c>
      <c r="Z19" s="237">
        <v>7766</v>
      </c>
      <c r="AA19" s="237">
        <v>0</v>
      </c>
      <c r="AB19" s="237">
        <v>337</v>
      </c>
      <c r="AC19" s="237">
        <v>0</v>
      </c>
      <c r="AD19" s="237">
        <v>455</v>
      </c>
      <c r="AE19" s="237">
        <v>0</v>
      </c>
      <c r="AF19" s="237">
        <v>0</v>
      </c>
      <c r="AG19" s="237">
        <v>0</v>
      </c>
      <c r="AH19" s="237">
        <v>118392</v>
      </c>
      <c r="AI19" s="237">
        <v>99375</v>
      </c>
      <c r="AJ19" s="237">
        <v>1075297533</v>
      </c>
      <c r="AK19" s="237">
        <v>8427</v>
      </c>
      <c r="AL19" s="237">
        <v>10021144</v>
      </c>
      <c r="AM19" s="237">
        <v>20183217</v>
      </c>
      <c r="AN19" s="237">
        <v>0</v>
      </c>
      <c r="AO19" s="237">
        <v>15813</v>
      </c>
      <c r="AP19" s="237">
        <v>12790</v>
      </c>
      <c r="AQ19" s="237">
        <v>158354457</v>
      </c>
      <c r="AR19" s="237">
        <v>2840</v>
      </c>
      <c r="AS19" s="237">
        <v>936700</v>
      </c>
      <c r="AT19" s="237">
        <v>85</v>
      </c>
      <c r="AU19" s="237">
        <v>294</v>
      </c>
      <c r="AV19" s="237">
        <v>376230</v>
      </c>
      <c r="AW19" s="237">
        <v>295</v>
      </c>
      <c r="AX19" s="237">
        <v>23600</v>
      </c>
      <c r="AY19" s="237">
        <v>441</v>
      </c>
      <c r="AZ19" s="237">
        <v>351</v>
      </c>
      <c r="BA19" s="237">
        <v>16400490</v>
      </c>
      <c r="BB19" s="237">
        <v>180</v>
      </c>
      <c r="BC19" s="237">
        <v>13150</v>
      </c>
      <c r="BD19" s="237">
        <v>4128</v>
      </c>
      <c r="BE19" s="237">
        <v>2903</v>
      </c>
      <c r="BF19" s="237">
        <v>2285</v>
      </c>
      <c r="BG19" s="237">
        <v>69417350</v>
      </c>
      <c r="BH19" s="237">
        <v>2679</v>
      </c>
      <c r="BI19" s="237">
        <v>0</v>
      </c>
      <c r="BJ19" s="237">
        <v>0</v>
      </c>
      <c r="BK19" s="237">
        <v>133</v>
      </c>
      <c r="BL19" s="237">
        <v>99</v>
      </c>
      <c r="BM19" s="237">
        <v>2646965</v>
      </c>
      <c r="BN19" s="237">
        <v>135</v>
      </c>
      <c r="BO19" s="237">
        <v>56850</v>
      </c>
      <c r="BP19" s="237">
        <v>22740</v>
      </c>
      <c r="BQ19" s="237">
        <v>37362</v>
      </c>
      <c r="BR19" s="237">
        <v>20820</v>
      </c>
      <c r="BS19" s="237">
        <v>43267630</v>
      </c>
      <c r="BT19" s="237">
        <v>0</v>
      </c>
      <c r="BU19" s="238">
        <v>584113.005</v>
      </c>
      <c r="BV19" s="237">
        <v>23</v>
      </c>
      <c r="BW19" s="237">
        <v>23</v>
      </c>
      <c r="BX19" s="237">
        <v>1010265</v>
      </c>
      <c r="BY19" s="237">
        <v>0</v>
      </c>
      <c r="BZ19" s="237">
        <v>5051</v>
      </c>
      <c r="CA19" s="238">
        <v>0</v>
      </c>
      <c r="CB19" s="238">
        <v>0</v>
      </c>
      <c r="CC19" s="238">
        <v>0</v>
      </c>
      <c r="CD19" s="238">
        <v>0</v>
      </c>
      <c r="CE19" s="238">
        <v>0</v>
      </c>
      <c r="CF19" s="237">
        <v>0</v>
      </c>
      <c r="CG19" s="237">
        <v>0</v>
      </c>
      <c r="CH19" s="237">
        <v>0</v>
      </c>
      <c r="CI19" s="237">
        <v>0</v>
      </c>
      <c r="CJ19" s="237">
        <v>0</v>
      </c>
      <c r="CK19" s="239">
        <v>956</v>
      </c>
      <c r="CL19" s="237">
        <v>7417201</v>
      </c>
      <c r="CM19" s="237">
        <v>0</v>
      </c>
      <c r="CN19" s="237">
        <v>0</v>
      </c>
      <c r="CO19" s="237">
        <v>102455</v>
      </c>
      <c r="CP19" s="237">
        <v>42690</v>
      </c>
      <c r="CQ19" s="239">
        <v>33641055</v>
      </c>
      <c r="CR19" s="237">
        <v>6990</v>
      </c>
      <c r="CS19" s="237">
        <v>14953</v>
      </c>
      <c r="CT19" s="237">
        <v>38882930</v>
      </c>
      <c r="CU19" s="237">
        <v>404721</v>
      </c>
      <c r="CV19" s="237">
        <v>1706</v>
      </c>
      <c r="CW19" s="237">
        <v>35402</v>
      </c>
      <c r="CX19" s="237">
        <v>21512</v>
      </c>
      <c r="CY19" s="237">
        <v>20077</v>
      </c>
      <c r="CZ19" s="237">
        <v>394309938</v>
      </c>
      <c r="DA19" s="237">
        <v>3017</v>
      </c>
      <c r="DB19" s="237">
        <v>36</v>
      </c>
      <c r="DC19" s="237">
        <v>3</v>
      </c>
      <c r="DD19" s="237">
        <v>354900</v>
      </c>
      <c r="DE19" s="237">
        <v>2</v>
      </c>
      <c r="DF19" s="237">
        <v>4403</v>
      </c>
      <c r="DG19" s="237">
        <v>0</v>
      </c>
      <c r="DH19" s="237">
        <v>0</v>
      </c>
      <c r="DI19" s="237">
        <v>0</v>
      </c>
      <c r="DJ19" s="237">
        <v>1</v>
      </c>
      <c r="DK19" s="237">
        <v>12111</v>
      </c>
      <c r="DL19" s="237">
        <v>3290</v>
      </c>
      <c r="DM19" s="237">
        <v>373473759</v>
      </c>
      <c r="DN19" s="237">
        <v>4489</v>
      </c>
      <c r="DO19" s="237">
        <v>2217000</v>
      </c>
      <c r="DP19" s="237">
        <v>0</v>
      </c>
      <c r="DQ19" s="237">
        <v>17181631</v>
      </c>
      <c r="DR19" s="237">
        <v>0</v>
      </c>
      <c r="DS19" s="237">
        <v>12111</v>
      </c>
      <c r="DT19" s="237">
        <v>373473759</v>
      </c>
      <c r="DU19" s="240">
        <v>2217000</v>
      </c>
      <c r="DV19" s="237">
        <v>0</v>
      </c>
      <c r="DW19" s="237">
        <v>7978</v>
      </c>
      <c r="DX19" s="237">
        <v>222854744</v>
      </c>
      <c r="DY19" s="237">
        <v>4133</v>
      </c>
      <c r="DZ19" s="237">
        <v>150619015</v>
      </c>
      <c r="EA19" s="238">
        <v>2482643</v>
      </c>
      <c r="EB19" s="238">
        <v>3681782858</v>
      </c>
      <c r="EC19" s="238">
        <v>34492</v>
      </c>
      <c r="ED19" s="470">
        <v>666708</v>
      </c>
      <c r="EE19" s="470">
        <v>362906</v>
      </c>
      <c r="EF19" s="470">
        <v>337804</v>
      </c>
      <c r="EG19" s="470">
        <v>0</v>
      </c>
      <c r="EH19" s="470">
        <v>1242911</v>
      </c>
      <c r="EI19" s="242">
        <v>25987847.824999999</v>
      </c>
      <c r="EJ19" s="243">
        <v>14476809</v>
      </c>
      <c r="EK19" s="244">
        <v>8486</v>
      </c>
      <c r="EL19" s="245">
        <v>6959</v>
      </c>
      <c r="EM19" s="245">
        <v>2536088</v>
      </c>
      <c r="EN19" s="245">
        <v>38041.32</v>
      </c>
      <c r="EO19" s="245">
        <v>93562</v>
      </c>
      <c r="EP19" s="245">
        <v>64564</v>
      </c>
      <c r="EQ19" s="245">
        <v>23552900</v>
      </c>
      <c r="ER19" s="245">
        <v>353293.5</v>
      </c>
      <c r="ES19" s="246">
        <v>102048</v>
      </c>
      <c r="ET19" s="246">
        <v>70004</v>
      </c>
      <c r="EU19" s="246">
        <v>26088988</v>
      </c>
      <c r="EV19" s="247">
        <v>391334.82</v>
      </c>
      <c r="EW19" s="246">
        <v>1045868</v>
      </c>
      <c r="EX19" s="246">
        <v>42690</v>
      </c>
      <c r="EY19" s="247">
        <v>214694962</v>
      </c>
      <c r="EZ19" s="246">
        <v>37362</v>
      </c>
      <c r="FA19" s="246">
        <v>20820</v>
      </c>
      <c r="FB19" s="246">
        <v>43267630</v>
      </c>
      <c r="FC19" s="247">
        <v>584113.005</v>
      </c>
      <c r="FD19" s="246">
        <v>130</v>
      </c>
      <c r="FE19" s="246">
        <v>118</v>
      </c>
      <c r="FF19" s="246">
        <v>142497</v>
      </c>
    </row>
    <row r="20" spans="1:162" s="248" customFormat="1" ht="15" customHeight="1">
      <c r="A20" s="236">
        <v>45706</v>
      </c>
      <c r="B20" s="237">
        <v>6549</v>
      </c>
      <c r="C20" s="237">
        <v>6612</v>
      </c>
      <c r="D20" s="237">
        <v>6636</v>
      </c>
      <c r="E20" s="237">
        <v>538011</v>
      </c>
      <c r="F20" s="237">
        <v>319166</v>
      </c>
      <c r="G20" s="237">
        <v>5877749</v>
      </c>
      <c r="H20" s="237">
        <v>2436927</v>
      </c>
      <c r="I20" s="237">
        <v>1641807</v>
      </c>
      <c r="J20" s="237">
        <v>73516</v>
      </c>
      <c r="K20" s="237">
        <v>416</v>
      </c>
      <c r="L20" s="237">
        <v>166856</v>
      </c>
      <c r="M20" s="237">
        <v>167515</v>
      </c>
      <c r="N20" s="237">
        <v>143597</v>
      </c>
      <c r="O20" s="237">
        <v>1031196</v>
      </c>
      <c r="P20" s="237">
        <v>200294205</v>
      </c>
      <c r="Q20" s="237">
        <v>5166</v>
      </c>
      <c r="R20" s="237">
        <v>932569</v>
      </c>
      <c r="S20" s="237">
        <v>7033674</v>
      </c>
      <c r="T20" s="237">
        <v>1</v>
      </c>
      <c r="U20" s="237">
        <v>160349</v>
      </c>
      <c r="V20" s="237">
        <v>44501</v>
      </c>
      <c r="W20" s="237">
        <v>129458</v>
      </c>
      <c r="X20" s="237">
        <v>1123975499</v>
      </c>
      <c r="Y20" s="237">
        <v>3662549</v>
      </c>
      <c r="Z20" s="237">
        <v>7444</v>
      </c>
      <c r="AA20" s="237">
        <v>0</v>
      </c>
      <c r="AB20" s="237">
        <v>332</v>
      </c>
      <c r="AC20" s="237">
        <v>0</v>
      </c>
      <c r="AD20" s="237">
        <v>496</v>
      </c>
      <c r="AE20" s="237">
        <v>0</v>
      </c>
      <c r="AF20" s="237">
        <v>0</v>
      </c>
      <c r="AG20" s="237">
        <v>0</v>
      </c>
      <c r="AH20" s="237">
        <v>115270</v>
      </c>
      <c r="AI20" s="237">
        <v>96710</v>
      </c>
      <c r="AJ20" s="237">
        <v>1005049237</v>
      </c>
      <c r="AK20" s="237">
        <v>7726</v>
      </c>
      <c r="AL20" s="237">
        <v>9571320</v>
      </c>
      <c r="AM20" s="237">
        <v>19210494</v>
      </c>
      <c r="AN20" s="237">
        <v>0</v>
      </c>
      <c r="AO20" s="237">
        <v>16104</v>
      </c>
      <c r="AP20" s="237">
        <v>13020</v>
      </c>
      <c r="AQ20" s="237">
        <v>147342505</v>
      </c>
      <c r="AR20" s="237">
        <v>2768</v>
      </c>
      <c r="AS20" s="237">
        <v>919500</v>
      </c>
      <c r="AT20" s="237">
        <v>90</v>
      </c>
      <c r="AU20" s="237">
        <v>328</v>
      </c>
      <c r="AV20" s="237">
        <v>328850</v>
      </c>
      <c r="AW20" s="237">
        <v>321</v>
      </c>
      <c r="AX20" s="237">
        <v>24500</v>
      </c>
      <c r="AY20" s="237">
        <v>456</v>
      </c>
      <c r="AZ20" s="237">
        <v>382</v>
      </c>
      <c r="BA20" s="237">
        <v>17483358</v>
      </c>
      <c r="BB20" s="237">
        <v>239</v>
      </c>
      <c r="BC20" s="237">
        <v>15200</v>
      </c>
      <c r="BD20" s="237">
        <v>4873</v>
      </c>
      <c r="BE20" s="237">
        <v>2539</v>
      </c>
      <c r="BF20" s="237">
        <v>1954</v>
      </c>
      <c r="BG20" s="237">
        <v>58925662</v>
      </c>
      <c r="BH20" s="237">
        <v>6</v>
      </c>
      <c r="BI20" s="237">
        <v>0</v>
      </c>
      <c r="BJ20" s="237">
        <v>0</v>
      </c>
      <c r="BK20" s="237">
        <v>124</v>
      </c>
      <c r="BL20" s="237">
        <v>99</v>
      </c>
      <c r="BM20" s="237">
        <v>2542650</v>
      </c>
      <c r="BN20" s="237">
        <v>70</v>
      </c>
      <c r="BO20" s="237">
        <v>58800</v>
      </c>
      <c r="BP20" s="237">
        <v>23520</v>
      </c>
      <c r="BQ20" s="237">
        <v>43842</v>
      </c>
      <c r="BR20" s="237">
        <v>24221</v>
      </c>
      <c r="BS20" s="237">
        <v>54119256</v>
      </c>
      <c r="BT20" s="237">
        <v>0</v>
      </c>
      <c r="BU20" s="238">
        <v>730609.95600000001</v>
      </c>
      <c r="BV20" s="237">
        <v>30</v>
      </c>
      <c r="BW20" s="237">
        <v>25</v>
      </c>
      <c r="BX20" s="237">
        <v>692360</v>
      </c>
      <c r="BY20" s="237">
        <v>0</v>
      </c>
      <c r="BZ20" s="237">
        <v>3462</v>
      </c>
      <c r="CA20" s="238">
        <v>0</v>
      </c>
      <c r="CB20" s="238">
        <v>0</v>
      </c>
      <c r="CC20" s="238">
        <v>0</v>
      </c>
      <c r="CD20" s="238">
        <v>0</v>
      </c>
      <c r="CE20" s="238">
        <v>0</v>
      </c>
      <c r="CF20" s="237">
        <v>0</v>
      </c>
      <c r="CG20" s="237">
        <v>0</v>
      </c>
      <c r="CH20" s="237">
        <v>0</v>
      </c>
      <c r="CI20" s="237">
        <v>0</v>
      </c>
      <c r="CJ20" s="237">
        <v>0</v>
      </c>
      <c r="CK20" s="239">
        <v>140</v>
      </c>
      <c r="CL20" s="237">
        <v>25907041</v>
      </c>
      <c r="CM20" s="237">
        <v>0</v>
      </c>
      <c r="CN20" s="237">
        <v>0</v>
      </c>
      <c r="CO20" s="237">
        <v>99931</v>
      </c>
      <c r="CP20" s="237">
        <v>42038</v>
      </c>
      <c r="CQ20" s="239">
        <v>31538640</v>
      </c>
      <c r="CR20" s="237">
        <v>6379</v>
      </c>
      <c r="CS20" s="237">
        <v>14635</v>
      </c>
      <c r="CT20" s="237">
        <v>37469517</v>
      </c>
      <c r="CU20" s="237">
        <v>389277</v>
      </c>
      <c r="CV20" s="237">
        <v>1731</v>
      </c>
      <c r="CW20" s="237">
        <v>34714</v>
      </c>
      <c r="CX20" s="237">
        <v>20500</v>
      </c>
      <c r="CY20" s="237">
        <v>19139</v>
      </c>
      <c r="CZ20" s="237">
        <v>269771067</v>
      </c>
      <c r="DA20" s="237">
        <v>2671</v>
      </c>
      <c r="DB20" s="237">
        <v>18</v>
      </c>
      <c r="DC20" s="237">
        <v>2</v>
      </c>
      <c r="DD20" s="237">
        <v>315450</v>
      </c>
      <c r="DE20" s="237">
        <v>1</v>
      </c>
      <c r="DF20" s="237">
        <v>3562</v>
      </c>
      <c r="DG20" s="237">
        <v>0</v>
      </c>
      <c r="DH20" s="237">
        <v>0</v>
      </c>
      <c r="DI20" s="237">
        <v>0</v>
      </c>
      <c r="DJ20" s="237">
        <v>1</v>
      </c>
      <c r="DK20" s="237">
        <v>9836</v>
      </c>
      <c r="DL20" s="237">
        <v>3205</v>
      </c>
      <c r="DM20" s="237">
        <v>304457090</v>
      </c>
      <c r="DN20" s="237">
        <v>1919</v>
      </c>
      <c r="DO20" s="237">
        <v>2105750</v>
      </c>
      <c r="DP20" s="237">
        <v>0</v>
      </c>
      <c r="DQ20" s="237">
        <v>19030478</v>
      </c>
      <c r="DR20" s="237">
        <v>0</v>
      </c>
      <c r="DS20" s="237">
        <v>9836</v>
      </c>
      <c r="DT20" s="237">
        <v>304457090</v>
      </c>
      <c r="DU20" s="240">
        <v>2105750</v>
      </c>
      <c r="DV20" s="237">
        <v>0</v>
      </c>
      <c r="DW20" s="237">
        <v>5761</v>
      </c>
      <c r="DX20" s="237">
        <v>176647917</v>
      </c>
      <c r="DY20" s="237">
        <v>4075</v>
      </c>
      <c r="DZ20" s="237">
        <v>127809173</v>
      </c>
      <c r="EA20" s="238">
        <v>2447630</v>
      </c>
      <c r="EB20" s="238">
        <v>3287246061</v>
      </c>
      <c r="EC20" s="238">
        <v>29852</v>
      </c>
      <c r="ED20" s="470">
        <v>597225</v>
      </c>
      <c r="EE20" s="470">
        <v>325166</v>
      </c>
      <c r="EF20" s="470">
        <v>594838</v>
      </c>
      <c r="EG20" s="470">
        <v>0</v>
      </c>
      <c r="EH20" s="470">
        <v>1161954</v>
      </c>
      <c r="EI20" s="242">
        <v>24903882.091000002</v>
      </c>
      <c r="EJ20" s="243">
        <v>13895376</v>
      </c>
      <c r="EK20" s="244">
        <v>8321</v>
      </c>
      <c r="EL20" s="245">
        <v>6922</v>
      </c>
      <c r="EM20" s="245">
        <v>2507034</v>
      </c>
      <c r="EN20" s="245">
        <v>37605.51</v>
      </c>
      <c r="EO20" s="245">
        <v>93672</v>
      </c>
      <c r="EP20" s="245">
        <v>64426</v>
      </c>
      <c r="EQ20" s="245">
        <v>23219975</v>
      </c>
      <c r="ER20" s="245">
        <v>348299.625</v>
      </c>
      <c r="ES20" s="246">
        <v>101993</v>
      </c>
      <c r="ET20" s="246">
        <v>69874</v>
      </c>
      <c r="EU20" s="246">
        <v>25727009</v>
      </c>
      <c r="EV20" s="247">
        <v>385905.13500000001</v>
      </c>
      <c r="EW20" s="246">
        <v>1029134</v>
      </c>
      <c r="EX20" s="246">
        <v>42038</v>
      </c>
      <c r="EY20" s="247">
        <v>206105836</v>
      </c>
      <c r="EZ20" s="246">
        <v>43842</v>
      </c>
      <c r="FA20" s="246">
        <v>24221</v>
      </c>
      <c r="FB20" s="246">
        <v>54119256</v>
      </c>
      <c r="FC20" s="247">
        <v>730609.95600000001</v>
      </c>
      <c r="FD20" s="246">
        <v>108</v>
      </c>
      <c r="FE20" s="246">
        <v>101</v>
      </c>
      <c r="FF20" s="246">
        <v>137993</v>
      </c>
    </row>
    <row r="21" spans="1:162" s="248" customFormat="1" ht="15" customHeight="1">
      <c r="A21" s="236">
        <v>45707</v>
      </c>
      <c r="B21" s="237">
        <v>6032</v>
      </c>
      <c r="C21" s="237">
        <v>6165</v>
      </c>
      <c r="D21" s="237">
        <v>6189</v>
      </c>
      <c r="E21" s="237">
        <v>539205</v>
      </c>
      <c r="F21" s="237">
        <v>298401</v>
      </c>
      <c r="G21" s="237">
        <v>5885842</v>
      </c>
      <c r="H21" s="237">
        <v>2440053</v>
      </c>
      <c r="I21" s="237">
        <v>1643951</v>
      </c>
      <c r="J21" s="237">
        <v>71379</v>
      </c>
      <c r="K21" s="237">
        <v>206</v>
      </c>
      <c r="L21" s="237">
        <v>167479</v>
      </c>
      <c r="M21" s="237">
        <v>167912</v>
      </c>
      <c r="N21" s="237">
        <v>143757</v>
      </c>
      <c r="O21" s="237">
        <v>746706</v>
      </c>
      <c r="P21" s="237">
        <v>153649040</v>
      </c>
      <c r="Q21" s="237">
        <v>4144</v>
      </c>
      <c r="R21" s="237">
        <v>650521</v>
      </c>
      <c r="S21" s="237">
        <v>5136385</v>
      </c>
      <c r="T21" s="237">
        <v>1</v>
      </c>
      <c r="U21" s="237">
        <v>136310</v>
      </c>
      <c r="V21" s="237">
        <v>41858</v>
      </c>
      <c r="W21" s="237">
        <v>111213</v>
      </c>
      <c r="X21" s="237">
        <v>937340849</v>
      </c>
      <c r="Y21" s="237">
        <v>3045831</v>
      </c>
      <c r="Z21" s="237">
        <v>6255</v>
      </c>
      <c r="AA21" s="237">
        <v>0</v>
      </c>
      <c r="AB21" s="237">
        <v>282</v>
      </c>
      <c r="AC21" s="237">
        <v>0</v>
      </c>
      <c r="AD21" s="237">
        <v>409</v>
      </c>
      <c r="AE21" s="237">
        <v>0</v>
      </c>
      <c r="AF21" s="237">
        <v>0</v>
      </c>
      <c r="AG21" s="237">
        <v>0</v>
      </c>
      <c r="AH21" s="237">
        <v>97682</v>
      </c>
      <c r="AI21" s="237">
        <v>83168</v>
      </c>
      <c r="AJ21" s="237">
        <v>865812391</v>
      </c>
      <c r="AK21" s="237">
        <v>6912</v>
      </c>
      <c r="AL21" s="237">
        <v>8220225</v>
      </c>
      <c r="AM21" s="237">
        <v>16466683</v>
      </c>
      <c r="AN21" s="237">
        <v>0</v>
      </c>
      <c r="AO21" s="237">
        <v>13940</v>
      </c>
      <c r="AP21" s="237">
        <v>11436</v>
      </c>
      <c r="AQ21" s="237">
        <v>115718361</v>
      </c>
      <c r="AR21" s="237">
        <v>2435</v>
      </c>
      <c r="AS21" s="237">
        <v>805000</v>
      </c>
      <c r="AT21" s="237">
        <v>84</v>
      </c>
      <c r="AU21" s="237">
        <v>312</v>
      </c>
      <c r="AV21" s="237">
        <v>443965</v>
      </c>
      <c r="AW21" s="237">
        <v>306</v>
      </c>
      <c r="AX21" s="237">
        <v>22900</v>
      </c>
      <c r="AY21" s="237">
        <v>818</v>
      </c>
      <c r="AZ21" s="237">
        <v>633</v>
      </c>
      <c r="BA21" s="237">
        <v>36920531</v>
      </c>
      <c r="BB21" s="237">
        <v>412</v>
      </c>
      <c r="BC21" s="237">
        <v>20350</v>
      </c>
      <c r="BD21" s="237">
        <v>5971</v>
      </c>
      <c r="BE21" s="237">
        <v>2242</v>
      </c>
      <c r="BF21" s="237">
        <v>1725</v>
      </c>
      <c r="BG21" s="237">
        <v>55370095</v>
      </c>
      <c r="BH21" s="237">
        <v>6</v>
      </c>
      <c r="BI21" s="237">
        <v>0</v>
      </c>
      <c r="BJ21" s="237">
        <v>0</v>
      </c>
      <c r="BK21" s="237">
        <v>134</v>
      </c>
      <c r="BL21" s="237">
        <v>103</v>
      </c>
      <c r="BM21" s="237">
        <v>2249050</v>
      </c>
      <c r="BN21" s="237">
        <v>36</v>
      </c>
      <c r="BO21" s="237">
        <v>55000</v>
      </c>
      <c r="BP21" s="237">
        <v>22000</v>
      </c>
      <c r="BQ21" s="237">
        <v>42352</v>
      </c>
      <c r="BR21" s="237">
        <v>24544</v>
      </c>
      <c r="BS21" s="237">
        <v>58129407</v>
      </c>
      <c r="BT21" s="237">
        <v>0</v>
      </c>
      <c r="BU21" s="238">
        <v>784746.99450000003</v>
      </c>
      <c r="BV21" s="237">
        <v>27</v>
      </c>
      <c r="BW21" s="237">
        <v>26</v>
      </c>
      <c r="BX21" s="237">
        <v>729066</v>
      </c>
      <c r="BY21" s="237">
        <v>0</v>
      </c>
      <c r="BZ21" s="237">
        <v>3645</v>
      </c>
      <c r="CA21" s="238">
        <v>0</v>
      </c>
      <c r="CB21" s="238">
        <v>0</v>
      </c>
      <c r="CC21" s="238">
        <v>0</v>
      </c>
      <c r="CD21" s="238">
        <v>0</v>
      </c>
      <c r="CE21" s="238">
        <v>0</v>
      </c>
      <c r="CF21" s="237">
        <v>0</v>
      </c>
      <c r="CG21" s="237">
        <v>0</v>
      </c>
      <c r="CH21" s="237">
        <v>0</v>
      </c>
      <c r="CI21" s="237">
        <v>0</v>
      </c>
      <c r="CJ21" s="237">
        <v>0</v>
      </c>
      <c r="CK21" s="239">
        <v>31</v>
      </c>
      <c r="CL21" s="237">
        <v>3616800</v>
      </c>
      <c r="CM21" s="237">
        <v>0</v>
      </c>
      <c r="CN21" s="237">
        <v>0</v>
      </c>
      <c r="CO21" s="237">
        <v>78630</v>
      </c>
      <c r="CP21" s="237">
        <v>40520</v>
      </c>
      <c r="CQ21" s="239">
        <v>26907380</v>
      </c>
      <c r="CR21" s="237">
        <v>21379</v>
      </c>
      <c r="CS21" s="237">
        <v>12889</v>
      </c>
      <c r="CT21" s="237">
        <v>33954673</v>
      </c>
      <c r="CU21" s="237">
        <v>360243</v>
      </c>
      <c r="CV21" s="237">
        <v>1241</v>
      </c>
      <c r="CW21" s="237">
        <v>33101</v>
      </c>
      <c r="CX21" s="237">
        <v>18561</v>
      </c>
      <c r="CY21" s="237">
        <v>17398</v>
      </c>
      <c r="CZ21" s="237">
        <v>254549227</v>
      </c>
      <c r="DA21" s="237">
        <v>2592</v>
      </c>
      <c r="DB21" s="237">
        <v>27</v>
      </c>
      <c r="DC21" s="237">
        <v>1</v>
      </c>
      <c r="DD21" s="237">
        <v>411650</v>
      </c>
      <c r="DE21" s="237">
        <v>0</v>
      </c>
      <c r="DF21" s="237">
        <v>4462</v>
      </c>
      <c r="DG21" s="237">
        <v>0</v>
      </c>
      <c r="DH21" s="237">
        <v>0</v>
      </c>
      <c r="DI21" s="237">
        <v>0</v>
      </c>
      <c r="DJ21" s="237">
        <v>1</v>
      </c>
      <c r="DK21" s="237">
        <v>8940</v>
      </c>
      <c r="DL21" s="237">
        <v>2883</v>
      </c>
      <c r="DM21" s="237">
        <v>286497412</v>
      </c>
      <c r="DN21" s="237">
        <v>1451</v>
      </c>
      <c r="DO21" s="237">
        <v>1863100</v>
      </c>
      <c r="DP21" s="237">
        <v>0</v>
      </c>
      <c r="DQ21" s="237">
        <v>12579652</v>
      </c>
      <c r="DR21" s="237">
        <v>0</v>
      </c>
      <c r="DS21" s="237">
        <v>8940</v>
      </c>
      <c r="DT21" s="237">
        <v>286497412</v>
      </c>
      <c r="DU21" s="240">
        <v>1863100</v>
      </c>
      <c r="DV21" s="237">
        <v>0</v>
      </c>
      <c r="DW21" s="237">
        <v>5354</v>
      </c>
      <c r="DX21" s="237">
        <v>178148580</v>
      </c>
      <c r="DY21" s="237">
        <v>3586</v>
      </c>
      <c r="DZ21" s="237">
        <v>108348832</v>
      </c>
      <c r="EA21" s="238">
        <v>1809895</v>
      </c>
      <c r="EB21" s="238">
        <v>2837436282</v>
      </c>
      <c r="EC21" s="238">
        <v>41984</v>
      </c>
      <c r="ED21" s="470">
        <v>1685232</v>
      </c>
      <c r="EE21" s="470">
        <v>230919</v>
      </c>
      <c r="EF21" s="470">
        <v>541533</v>
      </c>
      <c r="EG21" s="470">
        <v>0</v>
      </c>
      <c r="EH21" s="470">
        <v>965249</v>
      </c>
      <c r="EI21" s="242">
        <v>22770188.9745</v>
      </c>
      <c r="EJ21" s="243">
        <v>11873123</v>
      </c>
      <c r="EK21" s="244">
        <v>7925</v>
      </c>
      <c r="EL21" s="245">
        <v>6711</v>
      </c>
      <c r="EM21" s="245">
        <v>2779232</v>
      </c>
      <c r="EN21" s="245">
        <v>41688.479999999996</v>
      </c>
      <c r="EO21" s="245">
        <v>82443</v>
      </c>
      <c r="EP21" s="245">
        <v>59610</v>
      </c>
      <c r="EQ21" s="245">
        <v>21279100</v>
      </c>
      <c r="ER21" s="245">
        <v>319186.5</v>
      </c>
      <c r="ES21" s="246">
        <v>90368</v>
      </c>
      <c r="ET21" s="246">
        <v>64903</v>
      </c>
      <c r="EU21" s="246">
        <v>24058332</v>
      </c>
      <c r="EV21" s="247">
        <v>360874.98</v>
      </c>
      <c r="EW21" s="246">
        <v>734968</v>
      </c>
      <c r="EX21" s="246">
        <v>40520</v>
      </c>
      <c r="EY21" s="247">
        <v>156498088</v>
      </c>
      <c r="EZ21" s="246">
        <v>42352</v>
      </c>
      <c r="FA21" s="246">
        <v>24544</v>
      </c>
      <c r="FB21" s="246">
        <v>58129407</v>
      </c>
      <c r="FC21" s="247">
        <v>784746.99450000003</v>
      </c>
      <c r="FD21" s="246">
        <v>107</v>
      </c>
      <c r="FE21" s="246">
        <v>99</v>
      </c>
      <c r="FF21" s="246">
        <v>111495</v>
      </c>
    </row>
    <row r="22" spans="1:162" s="248" customFormat="1" ht="15" customHeight="1">
      <c r="A22" s="236">
        <v>45708</v>
      </c>
      <c r="B22" s="237">
        <v>6563</v>
      </c>
      <c r="C22" s="237">
        <v>6630</v>
      </c>
      <c r="D22" s="237">
        <v>6670</v>
      </c>
      <c r="E22" s="237">
        <v>541323</v>
      </c>
      <c r="F22" s="237">
        <v>467704</v>
      </c>
      <c r="G22" s="237">
        <v>5895411</v>
      </c>
      <c r="H22" s="237">
        <v>2443279</v>
      </c>
      <c r="I22" s="237">
        <v>1646671</v>
      </c>
      <c r="J22" s="237">
        <v>72824</v>
      </c>
      <c r="K22" s="237">
        <v>262</v>
      </c>
      <c r="L22" s="237">
        <v>167878</v>
      </c>
      <c r="M22" s="237">
        <v>168414</v>
      </c>
      <c r="N22" s="237">
        <v>143864</v>
      </c>
      <c r="O22" s="237">
        <v>1043557</v>
      </c>
      <c r="P22" s="237">
        <v>206467710</v>
      </c>
      <c r="Q22" s="237">
        <v>5126</v>
      </c>
      <c r="R22" s="237">
        <v>946762</v>
      </c>
      <c r="S22" s="237">
        <v>7254233</v>
      </c>
      <c r="T22" s="237"/>
      <c r="U22" s="237">
        <v>161148</v>
      </c>
      <c r="V22" s="237">
        <v>44278</v>
      </c>
      <c r="W22" s="237">
        <v>129145</v>
      </c>
      <c r="X22" s="237">
        <v>1191566116</v>
      </c>
      <c r="Y22" s="237">
        <v>3881262</v>
      </c>
      <c r="Z22" s="237">
        <v>7415</v>
      </c>
      <c r="AA22" s="237">
        <v>0</v>
      </c>
      <c r="AB22" s="237">
        <v>280</v>
      </c>
      <c r="AC22" s="237">
        <v>0</v>
      </c>
      <c r="AD22" s="237">
        <v>390</v>
      </c>
      <c r="AE22" s="237">
        <v>0</v>
      </c>
      <c r="AF22" s="237">
        <v>0</v>
      </c>
      <c r="AG22" s="237">
        <v>0</v>
      </c>
      <c r="AH22" s="237">
        <v>120938</v>
      </c>
      <c r="AI22" s="237">
        <v>100684</v>
      </c>
      <c r="AJ22" s="237">
        <v>1125901339</v>
      </c>
      <c r="AK22" s="237">
        <v>8671</v>
      </c>
      <c r="AL22" s="237">
        <v>10510742</v>
      </c>
      <c r="AM22" s="237">
        <v>21057935</v>
      </c>
      <c r="AN22" s="237">
        <v>0</v>
      </c>
      <c r="AO22" s="237">
        <v>16651</v>
      </c>
      <c r="AP22" s="237">
        <v>13400</v>
      </c>
      <c r="AQ22" s="237">
        <v>151324620</v>
      </c>
      <c r="AR22" s="237">
        <v>2971</v>
      </c>
      <c r="AS22" s="237">
        <v>979600</v>
      </c>
      <c r="AT22" s="237">
        <v>88</v>
      </c>
      <c r="AU22" s="237">
        <v>315</v>
      </c>
      <c r="AV22" s="237">
        <v>613152</v>
      </c>
      <c r="AW22" s="237">
        <v>316</v>
      </c>
      <c r="AX22" s="237">
        <v>28300</v>
      </c>
      <c r="AY22" s="237">
        <v>1288</v>
      </c>
      <c r="AZ22" s="237">
        <v>976</v>
      </c>
      <c r="BA22" s="237">
        <v>57421699</v>
      </c>
      <c r="BB22" s="237">
        <v>481</v>
      </c>
      <c r="BC22" s="237">
        <v>12200</v>
      </c>
      <c r="BD22" s="237">
        <v>3793</v>
      </c>
      <c r="BE22" s="237">
        <v>2353</v>
      </c>
      <c r="BF22" s="237">
        <v>1803</v>
      </c>
      <c r="BG22" s="237">
        <v>50319563</v>
      </c>
      <c r="BH22" s="237">
        <v>12</v>
      </c>
      <c r="BI22" s="237">
        <v>0</v>
      </c>
      <c r="BJ22" s="237">
        <v>0</v>
      </c>
      <c r="BK22" s="237">
        <v>209</v>
      </c>
      <c r="BL22" s="237">
        <v>171</v>
      </c>
      <c r="BM22" s="237">
        <v>6784199</v>
      </c>
      <c r="BN22" s="237">
        <v>85</v>
      </c>
      <c r="BO22" s="237">
        <v>124550</v>
      </c>
      <c r="BP22" s="237">
        <v>49820</v>
      </c>
      <c r="BQ22" s="237">
        <v>35048</v>
      </c>
      <c r="BR22" s="237">
        <v>18982</v>
      </c>
      <c r="BS22" s="237">
        <v>45272641</v>
      </c>
      <c r="BT22" s="237">
        <v>0</v>
      </c>
      <c r="BU22" s="238">
        <f t="shared" ref="BU22:BU27" si="0">BS22*0.0135</f>
        <v>611180.65350000001</v>
      </c>
      <c r="BV22" s="237">
        <v>25</v>
      </c>
      <c r="BW22" s="237">
        <v>24</v>
      </c>
      <c r="BX22" s="237">
        <v>733470</v>
      </c>
      <c r="BY22" s="237">
        <v>0</v>
      </c>
      <c r="BZ22" s="237">
        <v>3667</v>
      </c>
      <c r="CA22" s="238">
        <v>0</v>
      </c>
      <c r="CB22" s="238">
        <v>0</v>
      </c>
      <c r="CC22" s="238">
        <v>0</v>
      </c>
      <c r="CD22" s="238">
        <v>0</v>
      </c>
      <c r="CE22" s="238">
        <v>0</v>
      </c>
      <c r="CF22" s="237">
        <v>0</v>
      </c>
      <c r="CG22" s="237">
        <v>0</v>
      </c>
      <c r="CH22" s="237">
        <v>0</v>
      </c>
      <c r="CI22" s="237">
        <v>0</v>
      </c>
      <c r="CJ22" s="237">
        <v>0</v>
      </c>
      <c r="CK22" s="239">
        <v>1241</v>
      </c>
      <c r="CL22" s="237">
        <v>64804300</v>
      </c>
      <c r="CM22" s="237">
        <v>0</v>
      </c>
      <c r="CN22" s="237">
        <v>0</v>
      </c>
      <c r="CO22" s="237">
        <v>105064</v>
      </c>
      <c r="CP22" s="237">
        <v>42474</v>
      </c>
      <c r="CQ22" s="239">
        <v>33404444</v>
      </c>
      <c r="CR22" s="237">
        <v>6822</v>
      </c>
      <c r="CS22" s="237">
        <v>14846</v>
      </c>
      <c r="CT22" s="237">
        <v>39931121</v>
      </c>
      <c r="CU22" s="237">
        <v>411127</v>
      </c>
      <c r="CV22" s="237">
        <v>1533</v>
      </c>
      <c r="CW22" s="237">
        <v>38477</v>
      </c>
      <c r="CX22" s="237">
        <v>22071</v>
      </c>
      <c r="CY22" s="237">
        <v>20419</v>
      </c>
      <c r="CZ22" s="237">
        <v>316385901</v>
      </c>
      <c r="DA22" s="237">
        <v>3032</v>
      </c>
      <c r="DB22" s="237">
        <v>16</v>
      </c>
      <c r="DC22" s="237">
        <v>3</v>
      </c>
      <c r="DD22" s="237">
        <v>180900</v>
      </c>
      <c r="DE22" s="237">
        <v>2</v>
      </c>
      <c r="DF22" s="237">
        <v>2228</v>
      </c>
      <c r="DG22" s="237">
        <v>0</v>
      </c>
      <c r="DH22" s="237">
        <v>0</v>
      </c>
      <c r="DI22" s="237">
        <v>0</v>
      </c>
      <c r="DJ22" s="237">
        <v>1</v>
      </c>
      <c r="DK22" s="237">
        <v>9232</v>
      </c>
      <c r="DL22" s="237">
        <v>3224</v>
      </c>
      <c r="DM22" s="237">
        <v>281163633</v>
      </c>
      <c r="DN22" s="237">
        <v>2219</v>
      </c>
      <c r="DO22" s="237">
        <v>1930900</v>
      </c>
      <c r="DP22" s="237">
        <v>0</v>
      </c>
      <c r="DQ22" s="237">
        <v>66959397</v>
      </c>
      <c r="DR22" s="237">
        <v>0</v>
      </c>
      <c r="DS22" s="237">
        <f t="shared" ref="DS22:DS27" si="1">DK22</f>
        <v>9232</v>
      </c>
      <c r="DT22" s="237">
        <f t="shared" ref="DT22" si="2">DM22</f>
        <v>281163633</v>
      </c>
      <c r="DU22" s="240">
        <f t="shared" ref="DU22:DU27" si="3">DO22</f>
        <v>1930900</v>
      </c>
      <c r="DV22" s="237">
        <v>0</v>
      </c>
      <c r="DW22" s="237">
        <v>5394</v>
      </c>
      <c r="DX22" s="237">
        <v>160194512</v>
      </c>
      <c r="DY22" s="237">
        <f t="shared" ref="DY22:DZ30" si="4">DS22-DW22</f>
        <v>3838</v>
      </c>
      <c r="DZ22" s="237">
        <f t="shared" si="4"/>
        <v>120969121</v>
      </c>
      <c r="EA22" s="238">
        <f t="shared" ref="EA22:EA30" si="5">SUM(U22,AA22,AO22,AT22,CK22,CO22,CS22,CX22,DB22,DH22,DJ22,DS22,R22,BK22,BE22,AY22,AH22,O22+BQ22)+BV22+CA22+CF22</f>
        <v>2480538</v>
      </c>
      <c r="EB22" s="238">
        <f t="shared" ref="EB22:EB30" si="6">SUM(X22,AC22,AQ22,AV22,CL22,CQ22,CT22,CZ22,DD22,DT22,S22,BM22,BG22,BA22,AJ22,P22+BS22+CC22)+BX22+CH22</f>
        <v>3579529041</v>
      </c>
      <c r="EC22" s="238">
        <f t="shared" ref="EC22:EC30" si="7">SUM(Z22,AD22,AR22,AW22,CM22,CR22,CV22,DA22,DE22,DP22,T22,BN22,BH22,BB22,AK22+BT22+CD22)+BY22+CI22</f>
        <v>31730</v>
      </c>
      <c r="ED22" s="470">
        <v>1185695</v>
      </c>
      <c r="EE22" s="470">
        <v>337520</v>
      </c>
      <c r="EF22" s="470">
        <v>456607</v>
      </c>
      <c r="EG22" s="470">
        <v>0</v>
      </c>
      <c r="EH22" s="470">
        <v>1229134</v>
      </c>
      <c r="EI22" s="242">
        <f t="shared" ref="EI22:EI30" si="8">SUM(AF22,AX22,AS22,DI22,CN22,CU22)+BZ22+BU22+(DO22)+BC22+BJ22+AM22+ED22+EE22+BO22+EV22+FF22</f>
        <v>27213390.528499998</v>
      </c>
      <c r="EJ22" s="243">
        <f t="shared" ref="EJ22:EJ30" si="9">SUM(Y22,AE22,DF22)+BD22+AL22+CW22+EF22+BP22</f>
        <v>14942929</v>
      </c>
      <c r="EK22" s="244">
        <v>8447</v>
      </c>
      <c r="EL22" s="245">
        <v>6953</v>
      </c>
      <c r="EM22" s="245">
        <v>2701895</v>
      </c>
      <c r="EN22" s="245">
        <f t="shared" ref="EN22:EN27" si="10">EM22*1.5%</f>
        <v>40528.424999999996</v>
      </c>
      <c r="EO22" s="245">
        <v>92054</v>
      </c>
      <c r="EP22" s="245">
        <v>62968</v>
      </c>
      <c r="EQ22" s="245">
        <v>23446230</v>
      </c>
      <c r="ER22" s="245">
        <f t="shared" ref="ER22:ER27" si="11">EQ22*1.5%</f>
        <v>351693.45</v>
      </c>
      <c r="ES22" s="246">
        <f t="shared" ref="ES22:ES27" si="12">EK22+EO22</f>
        <v>100501</v>
      </c>
      <c r="ET22" s="246">
        <v>68464</v>
      </c>
      <c r="EU22" s="246">
        <f t="shared" ref="EU22:EV27" si="13">EM22+EQ22</f>
        <v>26148125</v>
      </c>
      <c r="EV22" s="247">
        <f t="shared" si="13"/>
        <v>392221.875</v>
      </c>
      <c r="EW22" s="246">
        <f t="shared" ref="EW22:EW27" si="14">O22+CO22-ES22</f>
        <v>1048120</v>
      </c>
      <c r="EX22" s="246">
        <f t="shared" ref="EX22:EX27" si="15">CP22</f>
        <v>42474</v>
      </c>
      <c r="EY22" s="247">
        <f t="shared" ref="EY22:EY27" si="16">P22+CQ22-EU22</f>
        <v>213724029</v>
      </c>
      <c r="EZ22" s="246">
        <f t="shared" ref="EZ22:FB27" si="17">BQ22+CA22+CF22</f>
        <v>35048</v>
      </c>
      <c r="FA22" s="246">
        <f t="shared" si="17"/>
        <v>18982</v>
      </c>
      <c r="FB22" s="246">
        <f t="shared" si="17"/>
        <v>45272641</v>
      </c>
      <c r="FC22" s="247">
        <f t="shared" ref="FC22:FC27" si="18">BU22+CJ22+CE22</f>
        <v>611180.65350000001</v>
      </c>
      <c r="FD22" s="246">
        <v>117</v>
      </c>
      <c r="FE22" s="246">
        <v>110</v>
      </c>
      <c r="FF22" s="246">
        <v>138494</v>
      </c>
    </row>
    <row r="23" spans="1:162" s="248" customFormat="1" ht="15" customHeight="1">
      <c r="A23" s="236">
        <v>45709</v>
      </c>
      <c r="B23" s="237">
        <v>6516</v>
      </c>
      <c r="C23" s="237">
        <v>6585</v>
      </c>
      <c r="D23" s="237">
        <v>6608</v>
      </c>
      <c r="E23" s="237">
        <v>691424</v>
      </c>
      <c r="F23" s="237">
        <v>316194</v>
      </c>
      <c r="G23" s="237">
        <v>5905320</v>
      </c>
      <c r="H23" s="237">
        <v>2447274</v>
      </c>
      <c r="I23" s="237">
        <v>1649573</v>
      </c>
      <c r="J23" s="237">
        <v>73272</v>
      </c>
      <c r="K23" s="237">
        <v>204</v>
      </c>
      <c r="L23" s="237">
        <v>168386</v>
      </c>
      <c r="M23" s="237">
        <v>168858</v>
      </c>
      <c r="N23" s="237">
        <v>143940</v>
      </c>
      <c r="O23" s="237">
        <v>1040157</v>
      </c>
      <c r="P23" s="237">
        <v>203932810</v>
      </c>
      <c r="Q23" s="237">
        <v>5312</v>
      </c>
      <c r="R23" s="237">
        <v>942378</v>
      </c>
      <c r="S23" s="237">
        <v>7164606</v>
      </c>
      <c r="T23" s="237"/>
      <c r="U23" s="237">
        <v>163052</v>
      </c>
      <c r="V23" s="237">
        <v>44223</v>
      </c>
      <c r="W23" s="237">
        <v>130645</v>
      </c>
      <c r="X23" s="237">
        <v>1166443432</v>
      </c>
      <c r="Y23" s="237">
        <v>3795932</v>
      </c>
      <c r="Z23" s="237">
        <v>7669</v>
      </c>
      <c r="AA23" s="237">
        <v>0</v>
      </c>
      <c r="AB23" s="237">
        <v>310</v>
      </c>
      <c r="AC23" s="237">
        <v>0</v>
      </c>
      <c r="AD23" s="237">
        <v>425</v>
      </c>
      <c r="AE23" s="237">
        <v>0</v>
      </c>
      <c r="AF23" s="237">
        <v>0</v>
      </c>
      <c r="AG23" s="237">
        <v>0</v>
      </c>
      <c r="AH23" s="237">
        <v>116957</v>
      </c>
      <c r="AI23" s="237">
        <v>98068</v>
      </c>
      <c r="AJ23" s="237">
        <v>1029058463</v>
      </c>
      <c r="AK23" s="237">
        <v>8309</v>
      </c>
      <c r="AL23" s="237">
        <v>9866087</v>
      </c>
      <c r="AM23" s="237">
        <v>19762079</v>
      </c>
      <c r="AN23" s="237">
        <v>0</v>
      </c>
      <c r="AO23" s="237">
        <v>16685</v>
      </c>
      <c r="AP23" s="237">
        <v>13371</v>
      </c>
      <c r="AQ23" s="237">
        <v>147274299</v>
      </c>
      <c r="AR23" s="237">
        <v>2845</v>
      </c>
      <c r="AS23" s="237">
        <v>981300</v>
      </c>
      <c r="AT23" s="237">
        <v>103</v>
      </c>
      <c r="AU23" s="237">
        <v>305</v>
      </c>
      <c r="AV23" s="237">
        <v>316325</v>
      </c>
      <c r="AW23" s="237">
        <v>291</v>
      </c>
      <c r="AX23" s="237">
        <v>25100</v>
      </c>
      <c r="AY23" s="237">
        <v>746</v>
      </c>
      <c r="AZ23" s="237">
        <v>635</v>
      </c>
      <c r="BA23" s="237">
        <v>29597788</v>
      </c>
      <c r="BB23" s="237">
        <v>353</v>
      </c>
      <c r="BC23" s="237">
        <v>16500</v>
      </c>
      <c r="BD23" s="237">
        <v>4962</v>
      </c>
      <c r="BE23" s="237">
        <v>2293</v>
      </c>
      <c r="BF23" s="237">
        <v>1752</v>
      </c>
      <c r="BG23" s="237">
        <v>49161622</v>
      </c>
      <c r="BH23" s="237">
        <v>9</v>
      </c>
      <c r="BI23" s="237">
        <v>0</v>
      </c>
      <c r="BJ23" s="237">
        <v>0</v>
      </c>
      <c r="BK23" s="237">
        <v>166</v>
      </c>
      <c r="BL23" s="237">
        <v>116</v>
      </c>
      <c r="BM23" s="237">
        <v>3862950</v>
      </c>
      <c r="BN23" s="237">
        <v>44</v>
      </c>
      <c r="BO23" s="237">
        <v>78300</v>
      </c>
      <c r="BP23" s="237">
        <v>31320</v>
      </c>
      <c r="BQ23" s="237">
        <v>33948</v>
      </c>
      <c r="BR23" s="237">
        <v>18629</v>
      </c>
      <c r="BS23" s="237">
        <v>44054073</v>
      </c>
      <c r="BT23" s="237">
        <v>0</v>
      </c>
      <c r="BU23" s="238">
        <f t="shared" si="0"/>
        <v>594729.98549999995</v>
      </c>
      <c r="BV23" s="237">
        <v>31</v>
      </c>
      <c r="BW23" s="237">
        <v>30</v>
      </c>
      <c r="BX23" s="237">
        <v>781933</v>
      </c>
      <c r="BY23" s="237">
        <v>0</v>
      </c>
      <c r="BZ23" s="237">
        <v>3910</v>
      </c>
      <c r="CA23" s="238">
        <v>0</v>
      </c>
      <c r="CB23" s="238">
        <v>0</v>
      </c>
      <c r="CC23" s="238">
        <v>0</v>
      </c>
      <c r="CD23" s="238">
        <v>0</v>
      </c>
      <c r="CE23" s="238">
        <v>0</v>
      </c>
      <c r="CF23" s="237">
        <v>0</v>
      </c>
      <c r="CG23" s="237">
        <v>0</v>
      </c>
      <c r="CH23" s="237">
        <v>0</v>
      </c>
      <c r="CI23" s="237">
        <v>0</v>
      </c>
      <c r="CJ23" s="237">
        <v>0</v>
      </c>
      <c r="CK23" s="239">
        <v>167</v>
      </c>
      <c r="CL23" s="237">
        <v>9700097</v>
      </c>
      <c r="CM23" s="237">
        <v>0</v>
      </c>
      <c r="CN23" s="237">
        <v>0</v>
      </c>
      <c r="CO23" s="237">
        <v>105554</v>
      </c>
      <c r="CP23" s="237">
        <v>42767</v>
      </c>
      <c r="CQ23" s="239">
        <v>34066150</v>
      </c>
      <c r="CR23" s="237">
        <v>6922</v>
      </c>
      <c r="CS23" s="237">
        <v>15128</v>
      </c>
      <c r="CT23" s="237">
        <v>41955655</v>
      </c>
      <c r="CU23" s="237">
        <v>435873</v>
      </c>
      <c r="CV23" s="237">
        <v>1341</v>
      </c>
      <c r="CW23" s="237">
        <v>38970</v>
      </c>
      <c r="CX23" s="237">
        <v>21116</v>
      </c>
      <c r="CY23" s="237">
        <v>19274</v>
      </c>
      <c r="CZ23" s="237">
        <v>314983349</v>
      </c>
      <c r="DA23" s="237">
        <v>2858</v>
      </c>
      <c r="DB23" s="237">
        <v>23</v>
      </c>
      <c r="DC23" s="237">
        <v>1</v>
      </c>
      <c r="DD23" s="237">
        <v>344350</v>
      </c>
      <c r="DE23" s="237">
        <v>0</v>
      </c>
      <c r="DF23" s="237">
        <v>4215</v>
      </c>
      <c r="DG23" s="237">
        <v>0</v>
      </c>
      <c r="DH23" s="237">
        <v>0</v>
      </c>
      <c r="DI23" s="237">
        <v>0</v>
      </c>
      <c r="DJ23" s="237">
        <v>1</v>
      </c>
      <c r="DK23" s="237">
        <v>9132</v>
      </c>
      <c r="DL23" s="237">
        <v>3108</v>
      </c>
      <c r="DM23" s="237">
        <v>293142177</v>
      </c>
      <c r="DN23" s="237">
        <v>1246</v>
      </c>
      <c r="DO23" s="237">
        <v>1986600</v>
      </c>
      <c r="DP23" s="237">
        <v>0</v>
      </c>
      <c r="DQ23" s="237">
        <v>19167531</v>
      </c>
      <c r="DR23" s="237">
        <v>0</v>
      </c>
      <c r="DS23" s="237">
        <f t="shared" si="1"/>
        <v>9132</v>
      </c>
      <c r="DT23" s="237">
        <v>293142177</v>
      </c>
      <c r="DU23" s="240">
        <f t="shared" si="3"/>
        <v>1986600</v>
      </c>
      <c r="DV23" s="237">
        <v>0</v>
      </c>
      <c r="DW23" s="237">
        <v>5198</v>
      </c>
      <c r="DX23" s="237">
        <v>167531471</v>
      </c>
      <c r="DY23" s="237">
        <f t="shared" si="4"/>
        <v>3934</v>
      </c>
      <c r="DZ23" s="237">
        <f t="shared" si="4"/>
        <v>125610706</v>
      </c>
      <c r="EA23" s="238">
        <f t="shared" si="5"/>
        <v>2467637</v>
      </c>
      <c r="EB23" s="238">
        <f t="shared" si="6"/>
        <v>3375840079</v>
      </c>
      <c r="EC23" s="238">
        <f t="shared" si="7"/>
        <v>31066</v>
      </c>
      <c r="ED23" s="470">
        <v>595849</v>
      </c>
      <c r="EE23" s="470">
        <v>367727</v>
      </c>
      <c r="EF23" s="470">
        <v>571810</v>
      </c>
      <c r="EG23" s="470">
        <v>0</v>
      </c>
      <c r="EH23" s="470">
        <v>1254780</v>
      </c>
      <c r="EI23" s="242">
        <f t="shared" si="8"/>
        <v>25368680.0955</v>
      </c>
      <c r="EJ23" s="243">
        <f t="shared" si="9"/>
        <v>14313296</v>
      </c>
      <c r="EK23" s="244">
        <v>8415</v>
      </c>
      <c r="EL23" s="245">
        <v>6984</v>
      </c>
      <c r="EM23" s="245">
        <v>2708709</v>
      </c>
      <c r="EN23" s="245">
        <f t="shared" si="10"/>
        <v>40630.635000000002</v>
      </c>
      <c r="EO23" s="245">
        <v>92953</v>
      </c>
      <c r="EP23" s="245">
        <v>63516</v>
      </c>
      <c r="EQ23" s="245">
        <v>23539165</v>
      </c>
      <c r="ER23" s="245">
        <f t="shared" si="11"/>
        <v>353087.47499999998</v>
      </c>
      <c r="ES23" s="246">
        <f t="shared" si="12"/>
        <v>101368</v>
      </c>
      <c r="ET23" s="246">
        <v>68969</v>
      </c>
      <c r="EU23" s="246">
        <f t="shared" si="13"/>
        <v>26247874</v>
      </c>
      <c r="EV23" s="247">
        <f t="shared" si="13"/>
        <v>393718.11</v>
      </c>
      <c r="EW23" s="246">
        <f t="shared" si="14"/>
        <v>1044343</v>
      </c>
      <c r="EX23" s="246">
        <f t="shared" si="15"/>
        <v>42767</v>
      </c>
      <c r="EY23" s="247">
        <f t="shared" si="16"/>
        <v>211751086</v>
      </c>
      <c r="EZ23" s="246">
        <f t="shared" si="17"/>
        <v>33948</v>
      </c>
      <c r="FA23" s="246">
        <f t="shared" si="17"/>
        <v>18629</v>
      </c>
      <c r="FB23" s="246">
        <f t="shared" si="17"/>
        <v>44054073</v>
      </c>
      <c r="FC23" s="247">
        <f t="shared" si="18"/>
        <v>594729.98549999995</v>
      </c>
      <c r="FD23" s="246">
        <v>109</v>
      </c>
      <c r="FE23" s="246">
        <v>102</v>
      </c>
      <c r="FF23" s="246">
        <v>126994</v>
      </c>
    </row>
    <row r="24" spans="1:162" s="248" customFormat="1" ht="15" customHeight="1">
      <c r="A24" s="236">
        <v>45710</v>
      </c>
      <c r="B24" s="237">
        <v>4187</v>
      </c>
      <c r="C24" s="237">
        <v>4213</v>
      </c>
      <c r="D24" s="237">
        <v>4243</v>
      </c>
      <c r="E24" s="237">
        <v>696256</v>
      </c>
      <c r="F24" s="237">
        <v>311282</v>
      </c>
      <c r="G24" s="237">
        <v>5913847</v>
      </c>
      <c r="H24" s="237">
        <v>2450034</v>
      </c>
      <c r="I24" s="237">
        <v>1650373</v>
      </c>
      <c r="J24" s="237">
        <v>70808</v>
      </c>
      <c r="K24" s="237">
        <v>80</v>
      </c>
      <c r="L24" s="237">
        <v>168756</v>
      </c>
      <c r="M24" s="237">
        <v>169190</v>
      </c>
      <c r="N24" s="237">
        <v>143885</v>
      </c>
      <c r="O24" s="237">
        <v>991161</v>
      </c>
      <c r="P24" s="237">
        <v>193962045</v>
      </c>
      <c r="Q24" s="237">
        <v>5180</v>
      </c>
      <c r="R24" s="237">
        <v>892002</v>
      </c>
      <c r="S24" s="237">
        <v>6781287</v>
      </c>
      <c r="T24" s="237"/>
      <c r="U24" s="237">
        <v>159160</v>
      </c>
      <c r="V24" s="237">
        <v>42508</v>
      </c>
      <c r="W24" s="237">
        <v>126909</v>
      </c>
      <c r="X24" s="237">
        <v>932669182</v>
      </c>
      <c r="Y24" s="237">
        <v>3038226</v>
      </c>
      <c r="Z24" s="237">
        <v>7335</v>
      </c>
      <c r="AA24" s="237">
        <v>0</v>
      </c>
      <c r="AB24" s="237">
        <v>333</v>
      </c>
      <c r="AC24" s="237">
        <v>0</v>
      </c>
      <c r="AD24" s="237">
        <v>487</v>
      </c>
      <c r="AE24" s="237">
        <v>0</v>
      </c>
      <c r="AF24" s="237">
        <v>0</v>
      </c>
      <c r="AG24" s="237">
        <v>0</v>
      </c>
      <c r="AH24" s="237">
        <v>107735</v>
      </c>
      <c r="AI24" s="237">
        <v>91112</v>
      </c>
      <c r="AJ24" s="237">
        <v>891624078</v>
      </c>
      <c r="AK24" s="237">
        <v>7717</v>
      </c>
      <c r="AL24" s="237">
        <v>8888559</v>
      </c>
      <c r="AM24" s="237">
        <v>17708783</v>
      </c>
      <c r="AN24" s="237">
        <v>0</v>
      </c>
      <c r="AO24" s="237">
        <v>16511</v>
      </c>
      <c r="AP24" s="237">
        <v>13506</v>
      </c>
      <c r="AQ24" s="237">
        <v>124217475</v>
      </c>
      <c r="AR24" s="237">
        <v>3021</v>
      </c>
      <c r="AS24" s="237">
        <v>927300</v>
      </c>
      <c r="AT24" s="237">
        <v>107</v>
      </c>
      <c r="AU24" s="237">
        <v>339</v>
      </c>
      <c r="AV24" s="237">
        <v>537313</v>
      </c>
      <c r="AW24" s="237">
        <v>348</v>
      </c>
      <c r="AX24" s="237">
        <v>29000</v>
      </c>
      <c r="AY24" s="237">
        <v>623</v>
      </c>
      <c r="AZ24" s="237">
        <v>492</v>
      </c>
      <c r="BA24" s="237">
        <v>18746147</v>
      </c>
      <c r="BB24" s="237">
        <v>272</v>
      </c>
      <c r="BC24" s="237">
        <v>9000</v>
      </c>
      <c r="BD24" s="237">
        <v>2759</v>
      </c>
      <c r="BE24" s="237">
        <v>2248</v>
      </c>
      <c r="BF24" s="237">
        <v>1770</v>
      </c>
      <c r="BG24" s="237">
        <v>49540925</v>
      </c>
      <c r="BH24" s="237">
        <v>19</v>
      </c>
      <c r="BI24" s="237">
        <v>0</v>
      </c>
      <c r="BJ24" s="237">
        <v>0</v>
      </c>
      <c r="BK24" s="237">
        <v>192</v>
      </c>
      <c r="BL24" s="237">
        <v>103</v>
      </c>
      <c r="BM24" s="237">
        <v>4129970</v>
      </c>
      <c r="BN24" s="237">
        <v>13</v>
      </c>
      <c r="BO24" s="237">
        <v>81500</v>
      </c>
      <c r="BP24" s="237">
        <v>32600</v>
      </c>
      <c r="BQ24" s="237">
        <v>50675</v>
      </c>
      <c r="BR24" s="237">
        <v>27391</v>
      </c>
      <c r="BS24" s="237">
        <v>60342347</v>
      </c>
      <c r="BT24" s="237">
        <v>0</v>
      </c>
      <c r="BU24" s="238">
        <f t="shared" si="0"/>
        <v>814621.68449999997</v>
      </c>
      <c r="BV24" s="237">
        <v>29</v>
      </c>
      <c r="BW24" s="237">
        <v>26</v>
      </c>
      <c r="BX24" s="237">
        <v>795225</v>
      </c>
      <c r="BY24" s="237">
        <v>0</v>
      </c>
      <c r="BZ24" s="237">
        <v>3976</v>
      </c>
      <c r="CA24" s="238">
        <v>0</v>
      </c>
      <c r="CB24" s="238">
        <v>0</v>
      </c>
      <c r="CC24" s="238">
        <v>0</v>
      </c>
      <c r="CD24" s="238">
        <v>0</v>
      </c>
      <c r="CE24" s="238">
        <v>0</v>
      </c>
      <c r="CF24" s="237">
        <v>0</v>
      </c>
      <c r="CG24" s="237">
        <v>0</v>
      </c>
      <c r="CH24" s="237">
        <v>0</v>
      </c>
      <c r="CI24" s="237">
        <v>0</v>
      </c>
      <c r="CJ24" s="237">
        <v>0</v>
      </c>
      <c r="CK24" s="239">
        <v>11</v>
      </c>
      <c r="CL24" s="237">
        <v>643291</v>
      </c>
      <c r="CM24" s="237">
        <v>0</v>
      </c>
      <c r="CN24" s="237">
        <v>0</v>
      </c>
      <c r="CO24" s="237">
        <v>97973</v>
      </c>
      <c r="CP24" s="237">
        <v>40752</v>
      </c>
      <c r="CQ24" s="239">
        <v>31400421</v>
      </c>
      <c r="CR24" s="237">
        <v>6463</v>
      </c>
      <c r="CS24" s="237">
        <v>14267</v>
      </c>
      <c r="CT24" s="237">
        <v>39060166</v>
      </c>
      <c r="CU24" s="237">
        <v>414184</v>
      </c>
      <c r="CV24" s="237">
        <v>1177</v>
      </c>
      <c r="CW24" s="237">
        <v>36672</v>
      </c>
      <c r="CX24" s="237">
        <v>19513</v>
      </c>
      <c r="CY24" s="237">
        <v>18041</v>
      </c>
      <c r="CZ24" s="237">
        <v>197609182</v>
      </c>
      <c r="DA24" s="237">
        <v>2645</v>
      </c>
      <c r="DB24" s="237">
        <v>21</v>
      </c>
      <c r="DC24" s="237">
        <v>2</v>
      </c>
      <c r="DD24" s="237">
        <v>320300</v>
      </c>
      <c r="DE24" s="237">
        <v>1</v>
      </c>
      <c r="DF24" s="237">
        <v>3379</v>
      </c>
      <c r="DG24" s="237">
        <v>0</v>
      </c>
      <c r="DH24" s="237">
        <v>0</v>
      </c>
      <c r="DI24" s="237">
        <v>0</v>
      </c>
      <c r="DJ24" s="237">
        <v>1</v>
      </c>
      <c r="DK24" s="237">
        <v>9000</v>
      </c>
      <c r="DL24" s="237">
        <v>2769</v>
      </c>
      <c r="DM24" s="237">
        <v>256452887</v>
      </c>
      <c r="DN24" s="237">
        <v>1471</v>
      </c>
      <c r="DO24" s="237">
        <v>1815000</v>
      </c>
      <c r="DP24" s="237">
        <v>0</v>
      </c>
      <c r="DQ24" s="237">
        <v>18036847</v>
      </c>
      <c r="DR24" s="237">
        <v>0</v>
      </c>
      <c r="DS24" s="237">
        <f t="shared" si="1"/>
        <v>9000</v>
      </c>
      <c r="DT24" s="237">
        <v>256452887</v>
      </c>
      <c r="DU24" s="240">
        <f t="shared" si="3"/>
        <v>1815000</v>
      </c>
      <c r="DV24" s="237">
        <v>0</v>
      </c>
      <c r="DW24" s="237">
        <v>5456</v>
      </c>
      <c r="DX24" s="237">
        <v>142025368</v>
      </c>
      <c r="DY24" s="237">
        <f t="shared" si="4"/>
        <v>3544</v>
      </c>
      <c r="DZ24" s="237">
        <f t="shared" si="4"/>
        <v>114427519</v>
      </c>
      <c r="EA24" s="238">
        <f t="shared" si="5"/>
        <v>2361229</v>
      </c>
      <c r="EB24" s="238">
        <f t="shared" si="6"/>
        <v>2808832241</v>
      </c>
      <c r="EC24" s="238">
        <f t="shared" si="7"/>
        <v>29498</v>
      </c>
      <c r="ED24" s="470">
        <v>491287</v>
      </c>
      <c r="EE24" s="470">
        <v>307515</v>
      </c>
      <c r="EF24" s="470">
        <v>564790</v>
      </c>
      <c r="EG24" s="470">
        <v>0</v>
      </c>
      <c r="EH24" s="470">
        <v>1143930</v>
      </c>
      <c r="EI24" s="242">
        <f t="shared" si="8"/>
        <v>23120170.714500003</v>
      </c>
      <c r="EJ24" s="243">
        <f t="shared" si="9"/>
        <v>12566985</v>
      </c>
      <c r="EK24" s="244">
        <v>8581</v>
      </c>
      <c r="EL24" s="245">
        <v>7178</v>
      </c>
      <c r="EM24" s="245">
        <v>2824442</v>
      </c>
      <c r="EN24" s="245">
        <f t="shared" si="10"/>
        <v>42366.63</v>
      </c>
      <c r="EO24" s="245">
        <v>94574</v>
      </c>
      <c r="EP24" s="245">
        <v>65051</v>
      </c>
      <c r="EQ24" s="245">
        <v>23276160</v>
      </c>
      <c r="ER24" s="245">
        <f t="shared" si="11"/>
        <v>349142.39999999997</v>
      </c>
      <c r="ES24" s="246">
        <f t="shared" si="12"/>
        <v>103155</v>
      </c>
      <c r="ET24" s="246">
        <v>70709</v>
      </c>
      <c r="EU24" s="246">
        <f t="shared" si="13"/>
        <v>26100602</v>
      </c>
      <c r="EV24" s="247">
        <f t="shared" si="13"/>
        <v>391509.02999999997</v>
      </c>
      <c r="EW24" s="246">
        <f t="shared" si="14"/>
        <v>985979</v>
      </c>
      <c r="EX24" s="246">
        <f t="shared" si="15"/>
        <v>40752</v>
      </c>
      <c r="EY24" s="247">
        <f t="shared" si="16"/>
        <v>199261864</v>
      </c>
      <c r="EZ24" s="246">
        <f t="shared" si="17"/>
        <v>50675</v>
      </c>
      <c r="FA24" s="246">
        <f t="shared" si="17"/>
        <v>27391</v>
      </c>
      <c r="FB24" s="246">
        <f t="shared" si="17"/>
        <v>60342347</v>
      </c>
      <c r="FC24" s="247">
        <f t="shared" si="18"/>
        <v>814621.68449999997</v>
      </c>
      <c r="FD24" s="246">
        <v>99</v>
      </c>
      <c r="FE24" s="246">
        <v>96</v>
      </c>
      <c r="FF24" s="246">
        <v>126495</v>
      </c>
    </row>
    <row r="25" spans="1:162" s="248" customFormat="1" ht="15" customHeight="1">
      <c r="A25" s="236">
        <v>45711</v>
      </c>
      <c r="B25" s="237">
        <v>2448</v>
      </c>
      <c r="C25" s="237">
        <v>2449</v>
      </c>
      <c r="D25" s="237">
        <v>2452</v>
      </c>
      <c r="E25" s="237">
        <v>698880</v>
      </c>
      <c r="F25" s="237">
        <v>290098</v>
      </c>
      <c r="G25" s="237">
        <v>5921301</v>
      </c>
      <c r="H25" s="237">
        <v>2447747</v>
      </c>
      <c r="I25" s="237">
        <v>1646162</v>
      </c>
      <c r="J25" s="237">
        <v>65383</v>
      </c>
      <c r="K25" s="237">
        <v>104</v>
      </c>
      <c r="L25" s="237">
        <v>169034</v>
      </c>
      <c r="M25" s="237">
        <v>169309</v>
      </c>
      <c r="N25" s="237">
        <v>143738</v>
      </c>
      <c r="O25" s="237">
        <v>1010386</v>
      </c>
      <c r="P25" s="237">
        <v>191570450</v>
      </c>
      <c r="Q25" s="237">
        <v>5536</v>
      </c>
      <c r="R25" s="237">
        <v>910532</v>
      </c>
      <c r="S25" s="237">
        <v>6699792</v>
      </c>
      <c r="T25" s="237">
        <v>1</v>
      </c>
      <c r="U25" s="237">
        <v>136467</v>
      </c>
      <c r="V25" s="237">
        <v>34371</v>
      </c>
      <c r="W25" s="237">
        <v>110323</v>
      </c>
      <c r="X25" s="237">
        <v>635363416</v>
      </c>
      <c r="Y25" s="237">
        <v>2091337</v>
      </c>
      <c r="Z25" s="237">
        <v>6396</v>
      </c>
      <c r="AA25" s="237">
        <v>0</v>
      </c>
      <c r="AB25" s="237">
        <v>313</v>
      </c>
      <c r="AC25" s="237">
        <v>0</v>
      </c>
      <c r="AD25" s="237">
        <v>447</v>
      </c>
      <c r="AE25" s="237">
        <v>0</v>
      </c>
      <c r="AF25" s="237">
        <v>0</v>
      </c>
      <c r="AG25" s="237">
        <v>0</v>
      </c>
      <c r="AH25" s="237">
        <v>99067</v>
      </c>
      <c r="AI25" s="237">
        <v>84256</v>
      </c>
      <c r="AJ25" s="237">
        <v>668040335</v>
      </c>
      <c r="AK25" s="237">
        <v>6937</v>
      </c>
      <c r="AL25" s="237">
        <v>7438556</v>
      </c>
      <c r="AM25" s="237">
        <v>14769984</v>
      </c>
      <c r="AN25" s="237">
        <v>0</v>
      </c>
      <c r="AO25" s="237">
        <v>15645</v>
      </c>
      <c r="AP25" s="237">
        <v>12716</v>
      </c>
      <c r="AQ25" s="237">
        <v>82557355</v>
      </c>
      <c r="AR25" s="237">
        <v>2833</v>
      </c>
      <c r="AS25" s="237">
        <v>866400</v>
      </c>
      <c r="AT25" s="237">
        <v>119</v>
      </c>
      <c r="AU25" s="237">
        <v>355</v>
      </c>
      <c r="AV25" s="237">
        <v>391275</v>
      </c>
      <c r="AW25" s="237">
        <v>338</v>
      </c>
      <c r="AX25" s="237">
        <v>29100</v>
      </c>
      <c r="AY25" s="237">
        <v>478</v>
      </c>
      <c r="AZ25" s="237">
        <v>410</v>
      </c>
      <c r="BA25" s="237">
        <v>14757816</v>
      </c>
      <c r="BB25" s="237">
        <v>145</v>
      </c>
      <c r="BC25" s="237">
        <v>11200</v>
      </c>
      <c r="BD25" s="237">
        <v>3277</v>
      </c>
      <c r="BE25" s="237">
        <v>1760</v>
      </c>
      <c r="BF25" s="237">
        <v>1361</v>
      </c>
      <c r="BG25" s="237">
        <v>29163400</v>
      </c>
      <c r="BH25" s="237">
        <v>4</v>
      </c>
      <c r="BI25" s="237">
        <v>0</v>
      </c>
      <c r="BJ25" s="237">
        <v>0</v>
      </c>
      <c r="BK25" s="237">
        <v>95</v>
      </c>
      <c r="BL25" s="237">
        <v>80</v>
      </c>
      <c r="BM25" s="237">
        <v>2252950</v>
      </c>
      <c r="BN25" s="237">
        <v>22</v>
      </c>
      <c r="BO25" s="237">
        <v>45150</v>
      </c>
      <c r="BP25" s="237">
        <v>18060</v>
      </c>
      <c r="BQ25" s="237">
        <v>44951</v>
      </c>
      <c r="BR25" s="237">
        <v>24600</v>
      </c>
      <c r="BS25" s="237">
        <v>50971782</v>
      </c>
      <c r="BT25" s="237">
        <v>0</v>
      </c>
      <c r="BU25" s="238">
        <f t="shared" si="0"/>
        <v>688119.05700000003</v>
      </c>
      <c r="BV25" s="237">
        <v>17</v>
      </c>
      <c r="BW25" s="237">
        <v>17</v>
      </c>
      <c r="BX25" s="237">
        <v>669625</v>
      </c>
      <c r="BY25" s="237">
        <v>0</v>
      </c>
      <c r="BZ25" s="237">
        <v>3348</v>
      </c>
      <c r="CA25" s="238">
        <v>0</v>
      </c>
      <c r="CB25" s="238">
        <v>0</v>
      </c>
      <c r="CC25" s="238">
        <v>0</v>
      </c>
      <c r="CD25" s="238">
        <v>0</v>
      </c>
      <c r="CE25" s="238">
        <v>0</v>
      </c>
      <c r="CF25" s="237">
        <v>0</v>
      </c>
      <c r="CG25" s="237">
        <v>0</v>
      </c>
      <c r="CH25" s="237">
        <v>0</v>
      </c>
      <c r="CI25" s="237">
        <v>0</v>
      </c>
      <c r="CJ25" s="237">
        <v>0</v>
      </c>
      <c r="CK25" s="239">
        <v>2</v>
      </c>
      <c r="CL25" s="237">
        <v>440000</v>
      </c>
      <c r="CM25" s="237">
        <v>0</v>
      </c>
      <c r="CN25" s="237">
        <v>0</v>
      </c>
      <c r="CO25" s="237">
        <v>95876</v>
      </c>
      <c r="CP25" s="237">
        <v>37646</v>
      </c>
      <c r="CQ25" s="239">
        <v>28539362</v>
      </c>
      <c r="CR25" s="237">
        <v>6870</v>
      </c>
      <c r="CS25" s="237">
        <v>12911</v>
      </c>
      <c r="CT25" s="237">
        <v>33233862</v>
      </c>
      <c r="CU25" s="237">
        <v>350570</v>
      </c>
      <c r="CV25" s="237">
        <v>1101</v>
      </c>
      <c r="CW25" s="237">
        <v>29863</v>
      </c>
      <c r="CX25" s="237">
        <v>19161</v>
      </c>
      <c r="CY25" s="237">
        <v>17990</v>
      </c>
      <c r="CZ25" s="237">
        <v>103183359</v>
      </c>
      <c r="DA25" s="237">
        <v>2639</v>
      </c>
      <c r="DB25" s="237">
        <v>2</v>
      </c>
      <c r="DC25" s="237">
        <v>1</v>
      </c>
      <c r="DD25" s="237">
        <v>4200</v>
      </c>
      <c r="DE25" s="237">
        <v>0</v>
      </c>
      <c r="DF25" s="237">
        <v>110</v>
      </c>
      <c r="DG25" s="237">
        <v>0</v>
      </c>
      <c r="DH25" s="237">
        <v>0</v>
      </c>
      <c r="DI25" s="237">
        <v>0</v>
      </c>
      <c r="DJ25" s="237">
        <v>1</v>
      </c>
      <c r="DK25" s="237">
        <v>6493</v>
      </c>
      <c r="DL25" s="237">
        <v>1970</v>
      </c>
      <c r="DM25" s="237">
        <v>121101189</v>
      </c>
      <c r="DN25" s="237">
        <v>2266</v>
      </c>
      <c r="DO25" s="237">
        <v>943650</v>
      </c>
      <c r="DP25" s="237">
        <v>0</v>
      </c>
      <c r="DQ25" s="237">
        <v>5962210</v>
      </c>
      <c r="DR25" s="237">
        <v>0</v>
      </c>
      <c r="DS25" s="237">
        <f t="shared" si="1"/>
        <v>6493</v>
      </c>
      <c r="DT25" s="237">
        <v>121101189</v>
      </c>
      <c r="DU25" s="240">
        <f t="shared" si="3"/>
        <v>943650</v>
      </c>
      <c r="DV25" s="237">
        <v>0</v>
      </c>
      <c r="DW25" s="237">
        <v>4117</v>
      </c>
      <c r="DX25" s="237">
        <v>70206272</v>
      </c>
      <c r="DY25" s="237">
        <f t="shared" si="4"/>
        <v>2376</v>
      </c>
      <c r="DZ25" s="237">
        <f t="shared" si="4"/>
        <v>50894917</v>
      </c>
      <c r="EA25" s="238">
        <f t="shared" si="5"/>
        <v>2353963</v>
      </c>
      <c r="EB25" s="238">
        <f t="shared" si="6"/>
        <v>1968940168</v>
      </c>
      <c r="EC25" s="238">
        <f t="shared" si="7"/>
        <v>27733</v>
      </c>
      <c r="ED25" s="470">
        <v>415221</v>
      </c>
      <c r="EE25" s="470">
        <v>253655</v>
      </c>
      <c r="EF25" s="470">
        <v>469060</v>
      </c>
      <c r="EG25" s="470">
        <v>0</v>
      </c>
      <c r="EH25" s="470">
        <v>1037882</v>
      </c>
      <c r="EI25" s="242">
        <f t="shared" si="8"/>
        <v>18887043.256999999</v>
      </c>
      <c r="EJ25" s="243">
        <f t="shared" si="9"/>
        <v>10050263</v>
      </c>
      <c r="EK25" s="244">
        <v>8182</v>
      </c>
      <c r="EL25" s="245">
        <v>6766</v>
      </c>
      <c r="EM25" s="245">
        <v>2592570</v>
      </c>
      <c r="EN25" s="245">
        <f t="shared" si="10"/>
        <v>38888.549999999996</v>
      </c>
      <c r="EO25" s="245">
        <v>95400</v>
      </c>
      <c r="EP25" s="245">
        <v>64815</v>
      </c>
      <c r="EQ25" s="245">
        <v>23017510</v>
      </c>
      <c r="ER25" s="245">
        <f t="shared" si="11"/>
        <v>345262.64999999997</v>
      </c>
      <c r="ES25" s="246">
        <f t="shared" si="12"/>
        <v>103582</v>
      </c>
      <c r="ET25" s="246">
        <v>70124</v>
      </c>
      <c r="EU25" s="246">
        <f t="shared" si="13"/>
        <v>25610080</v>
      </c>
      <c r="EV25" s="247">
        <f t="shared" si="13"/>
        <v>384151.19999999995</v>
      </c>
      <c r="EW25" s="246">
        <f t="shared" si="14"/>
        <v>1002680</v>
      </c>
      <c r="EX25" s="246">
        <f t="shared" si="15"/>
        <v>37646</v>
      </c>
      <c r="EY25" s="247">
        <f t="shared" si="16"/>
        <v>194499732</v>
      </c>
      <c r="EZ25" s="246">
        <f t="shared" si="17"/>
        <v>44951</v>
      </c>
      <c r="FA25" s="246">
        <f t="shared" si="17"/>
        <v>24600</v>
      </c>
      <c r="FB25" s="246">
        <f t="shared" si="17"/>
        <v>50971782</v>
      </c>
      <c r="FC25" s="247">
        <f t="shared" si="18"/>
        <v>688119.05700000003</v>
      </c>
      <c r="FD25" s="246">
        <v>96</v>
      </c>
      <c r="FE25" s="246">
        <v>94</v>
      </c>
      <c r="FF25" s="246">
        <v>126495</v>
      </c>
    </row>
    <row r="26" spans="1:162" s="248" customFormat="1" ht="15" customHeight="1">
      <c r="A26" s="236">
        <v>45712</v>
      </c>
      <c r="B26" s="237">
        <v>6967</v>
      </c>
      <c r="C26" s="237">
        <v>7053</v>
      </c>
      <c r="D26" s="237">
        <v>7096</v>
      </c>
      <c r="E26" s="237">
        <v>697984</v>
      </c>
      <c r="F26" s="237">
        <v>316491</v>
      </c>
      <c r="G26" s="237">
        <v>5931562</v>
      </c>
      <c r="H26" s="237">
        <v>2452652</v>
      </c>
      <c r="I26" s="237">
        <v>1651892</v>
      </c>
      <c r="J26" s="237">
        <v>72732</v>
      </c>
      <c r="K26" s="237">
        <v>252</v>
      </c>
      <c r="L26" s="237">
        <v>169274</v>
      </c>
      <c r="M26" s="237">
        <v>169823</v>
      </c>
      <c r="N26" s="237">
        <v>144000</v>
      </c>
      <c r="O26" s="237">
        <v>1057022</v>
      </c>
      <c r="P26" s="237">
        <v>207989235</v>
      </c>
      <c r="Q26" s="237">
        <v>5630</v>
      </c>
      <c r="R26" s="237">
        <v>957698</v>
      </c>
      <c r="S26" s="237">
        <v>7327646</v>
      </c>
      <c r="T26" s="237"/>
      <c r="U26" s="237">
        <v>159310</v>
      </c>
      <c r="V26" s="237">
        <v>43464</v>
      </c>
      <c r="W26" s="237">
        <v>128529</v>
      </c>
      <c r="X26" s="237">
        <v>1252929253</v>
      </c>
      <c r="Y26" s="237">
        <v>4074938</v>
      </c>
      <c r="Z26" s="237">
        <v>7934</v>
      </c>
      <c r="AA26" s="237">
        <v>0</v>
      </c>
      <c r="AB26" s="237">
        <v>354</v>
      </c>
      <c r="AC26" s="237">
        <v>0</v>
      </c>
      <c r="AD26" s="237">
        <v>499</v>
      </c>
      <c r="AE26" s="237">
        <v>0</v>
      </c>
      <c r="AF26" s="237">
        <v>0</v>
      </c>
      <c r="AG26" s="237">
        <v>0</v>
      </c>
      <c r="AH26" s="237">
        <v>119269</v>
      </c>
      <c r="AI26" s="237">
        <v>99986</v>
      </c>
      <c r="AJ26" s="237">
        <v>1049490672</v>
      </c>
      <c r="AK26" s="237">
        <v>8407</v>
      </c>
      <c r="AL26" s="237">
        <v>10014587</v>
      </c>
      <c r="AM26" s="237">
        <v>20081780</v>
      </c>
      <c r="AN26" s="237">
        <v>0</v>
      </c>
      <c r="AO26" s="237">
        <v>16504</v>
      </c>
      <c r="AP26" s="237">
        <v>13480</v>
      </c>
      <c r="AQ26" s="237">
        <v>137928826</v>
      </c>
      <c r="AR26" s="237">
        <v>3043</v>
      </c>
      <c r="AS26" s="237">
        <v>952500</v>
      </c>
      <c r="AT26" s="237">
        <v>101</v>
      </c>
      <c r="AU26" s="237">
        <v>329</v>
      </c>
      <c r="AV26" s="237">
        <v>481150</v>
      </c>
      <c r="AW26" s="237">
        <v>324</v>
      </c>
      <c r="AX26" s="237">
        <v>27000</v>
      </c>
      <c r="AY26" s="237">
        <v>659</v>
      </c>
      <c r="AZ26" s="237">
        <v>553</v>
      </c>
      <c r="BA26" s="237">
        <v>23372852</v>
      </c>
      <c r="BB26" s="237">
        <v>362</v>
      </c>
      <c r="BC26" s="237">
        <v>18000</v>
      </c>
      <c r="BD26" s="237">
        <v>5427</v>
      </c>
      <c r="BE26" s="237">
        <v>2464</v>
      </c>
      <c r="BF26" s="237">
        <v>1905</v>
      </c>
      <c r="BG26" s="237">
        <v>52647380</v>
      </c>
      <c r="BH26" s="237">
        <v>4</v>
      </c>
      <c r="BI26" s="237">
        <v>0</v>
      </c>
      <c r="BJ26" s="237">
        <v>0</v>
      </c>
      <c r="BK26" s="237">
        <v>119</v>
      </c>
      <c r="BL26" s="237">
        <v>89</v>
      </c>
      <c r="BM26" s="237">
        <v>2319050</v>
      </c>
      <c r="BN26" s="237">
        <v>69</v>
      </c>
      <c r="BO26" s="237">
        <v>48900</v>
      </c>
      <c r="BP26" s="237">
        <v>19560</v>
      </c>
      <c r="BQ26" s="237">
        <v>33363</v>
      </c>
      <c r="BR26" s="237">
        <v>17328</v>
      </c>
      <c r="BS26" s="237">
        <v>40269889</v>
      </c>
      <c r="BT26" s="237">
        <v>0</v>
      </c>
      <c r="BU26" s="238">
        <f t="shared" si="0"/>
        <v>543643.50150000001</v>
      </c>
      <c r="BV26" s="237">
        <v>29</v>
      </c>
      <c r="BW26" s="237">
        <v>27</v>
      </c>
      <c r="BX26" s="237">
        <v>1312920</v>
      </c>
      <c r="BY26" s="237">
        <v>0</v>
      </c>
      <c r="BZ26" s="237">
        <v>6565</v>
      </c>
      <c r="CA26" s="238">
        <v>0</v>
      </c>
      <c r="CB26" s="238">
        <v>0</v>
      </c>
      <c r="CC26" s="238">
        <v>0</v>
      </c>
      <c r="CD26" s="238">
        <v>0</v>
      </c>
      <c r="CE26" s="238">
        <v>0</v>
      </c>
      <c r="CF26" s="237">
        <v>0</v>
      </c>
      <c r="CG26" s="237">
        <v>0</v>
      </c>
      <c r="CH26" s="237">
        <v>0</v>
      </c>
      <c r="CI26" s="237">
        <v>0</v>
      </c>
      <c r="CJ26" s="237">
        <v>0</v>
      </c>
      <c r="CK26" s="239">
        <v>2942</v>
      </c>
      <c r="CL26" s="237">
        <v>9061532</v>
      </c>
      <c r="CM26" s="237">
        <v>0</v>
      </c>
      <c r="CN26" s="237">
        <v>0</v>
      </c>
      <c r="CO26" s="237">
        <v>104315</v>
      </c>
      <c r="CP26" s="237">
        <v>43105</v>
      </c>
      <c r="CQ26" s="239">
        <v>33711713</v>
      </c>
      <c r="CR26" s="237">
        <v>7082</v>
      </c>
      <c r="CS26" s="237">
        <v>15014</v>
      </c>
      <c r="CT26" s="237">
        <v>39917307</v>
      </c>
      <c r="CU26" s="237">
        <v>421292</v>
      </c>
      <c r="CV26" s="237">
        <v>1430</v>
      </c>
      <c r="CW26" s="237">
        <v>37950</v>
      </c>
      <c r="CX26" s="237">
        <v>22093</v>
      </c>
      <c r="CY26" s="237">
        <v>20137</v>
      </c>
      <c r="CZ26" s="237">
        <v>348092976</v>
      </c>
      <c r="DA26" s="237">
        <v>3015</v>
      </c>
      <c r="DB26" s="237">
        <v>28</v>
      </c>
      <c r="DC26" s="237">
        <v>2</v>
      </c>
      <c r="DD26" s="237">
        <v>327600</v>
      </c>
      <c r="DE26" s="237">
        <v>1</v>
      </c>
      <c r="DF26" s="237">
        <v>4119</v>
      </c>
      <c r="DG26" s="237">
        <v>0</v>
      </c>
      <c r="DH26" s="237">
        <v>0</v>
      </c>
      <c r="DI26" s="237">
        <v>0</v>
      </c>
      <c r="DJ26" s="237">
        <v>1</v>
      </c>
      <c r="DK26" s="237">
        <v>10137</v>
      </c>
      <c r="DL26" s="237">
        <v>3129</v>
      </c>
      <c r="DM26" s="237">
        <v>332845651</v>
      </c>
      <c r="DN26" s="237">
        <v>2442</v>
      </c>
      <c r="DO26" s="237">
        <v>2258350</v>
      </c>
      <c r="DP26" s="237">
        <v>0</v>
      </c>
      <c r="DQ26" s="237">
        <v>16609703</v>
      </c>
      <c r="DR26" s="237">
        <v>0</v>
      </c>
      <c r="DS26" s="237">
        <f t="shared" si="1"/>
        <v>10137</v>
      </c>
      <c r="DT26" s="237">
        <f t="shared" ref="DT26" si="19">DM26</f>
        <v>332845651</v>
      </c>
      <c r="DU26" s="240">
        <f t="shared" si="3"/>
        <v>2258350</v>
      </c>
      <c r="DV26" s="237">
        <v>0</v>
      </c>
      <c r="DW26" s="237">
        <v>6038</v>
      </c>
      <c r="DX26" s="237">
        <v>181854686</v>
      </c>
      <c r="DY26" s="237">
        <f t="shared" si="4"/>
        <v>4099</v>
      </c>
      <c r="DZ26" s="237">
        <f t="shared" si="4"/>
        <v>150990965</v>
      </c>
      <c r="EA26" s="238">
        <f t="shared" si="5"/>
        <v>2501068</v>
      </c>
      <c r="EB26" s="238">
        <f t="shared" si="6"/>
        <v>3540025652</v>
      </c>
      <c r="EC26" s="238">
        <f t="shared" si="7"/>
        <v>32170</v>
      </c>
      <c r="ED26" s="470">
        <v>661680</v>
      </c>
      <c r="EE26" s="470">
        <v>358743</v>
      </c>
      <c r="EF26" s="470">
        <v>340973</v>
      </c>
      <c r="EG26" s="470">
        <v>0</v>
      </c>
      <c r="EH26" s="470">
        <v>1233922</v>
      </c>
      <c r="EI26" s="242">
        <f t="shared" si="8"/>
        <v>25973415.7115</v>
      </c>
      <c r="EJ26" s="243">
        <f t="shared" si="9"/>
        <v>14497554</v>
      </c>
      <c r="EK26" s="244">
        <v>8617</v>
      </c>
      <c r="EL26" s="245">
        <v>7120</v>
      </c>
      <c r="EM26" s="245">
        <v>2898254</v>
      </c>
      <c r="EN26" s="245">
        <f t="shared" si="10"/>
        <v>43473.81</v>
      </c>
      <c r="EO26" s="245">
        <v>94299</v>
      </c>
      <c r="EP26" s="245">
        <v>64213</v>
      </c>
      <c r="EQ26" s="245">
        <v>23532760</v>
      </c>
      <c r="ER26" s="245">
        <f t="shared" si="11"/>
        <v>352991.39999999997</v>
      </c>
      <c r="ES26" s="246">
        <f t="shared" si="12"/>
        <v>102916</v>
      </c>
      <c r="ET26" s="246">
        <v>69746</v>
      </c>
      <c r="EU26" s="246">
        <f t="shared" si="13"/>
        <v>26431014</v>
      </c>
      <c r="EV26" s="247">
        <f t="shared" si="13"/>
        <v>396465.20999999996</v>
      </c>
      <c r="EW26" s="246">
        <f t="shared" si="14"/>
        <v>1058421</v>
      </c>
      <c r="EX26" s="246">
        <f t="shared" si="15"/>
        <v>43105</v>
      </c>
      <c r="EY26" s="247">
        <f t="shared" si="16"/>
        <v>215269934</v>
      </c>
      <c r="EZ26" s="246">
        <f t="shared" si="17"/>
        <v>33363</v>
      </c>
      <c r="FA26" s="246">
        <f t="shared" si="17"/>
        <v>17328</v>
      </c>
      <c r="FB26" s="246">
        <f t="shared" si="17"/>
        <v>40269889</v>
      </c>
      <c r="FC26" s="247">
        <f t="shared" si="18"/>
        <v>543643.50150000001</v>
      </c>
      <c r="FD26" s="246">
        <v>154</v>
      </c>
      <c r="FE26" s="246">
        <v>144</v>
      </c>
      <c r="FF26" s="246">
        <v>198497</v>
      </c>
    </row>
    <row r="27" spans="1:162" s="248" customFormat="1" ht="15" customHeight="1">
      <c r="A27" s="236">
        <v>45713</v>
      </c>
      <c r="B27" s="237">
        <v>6684</v>
      </c>
      <c r="C27" s="237">
        <v>6757</v>
      </c>
      <c r="D27" s="237">
        <v>6800</v>
      </c>
      <c r="E27" s="237">
        <v>701796</v>
      </c>
      <c r="F27" s="237">
        <v>322761</v>
      </c>
      <c r="G27" s="237">
        <v>5941313</v>
      </c>
      <c r="H27" s="237">
        <v>2454332</v>
      </c>
      <c r="I27" s="237">
        <v>1659566</v>
      </c>
      <c r="J27" s="237">
        <v>72978</v>
      </c>
      <c r="K27" s="237">
        <v>288</v>
      </c>
      <c r="L27" s="237">
        <v>169796</v>
      </c>
      <c r="M27" s="237">
        <v>170308</v>
      </c>
      <c r="N27" s="237">
        <v>144281</v>
      </c>
      <c r="O27" s="237">
        <v>1039654</v>
      </c>
      <c r="P27" s="237">
        <v>203335745</v>
      </c>
      <c r="Q27" s="237">
        <v>5388</v>
      </c>
      <c r="R27" s="237">
        <v>937819</v>
      </c>
      <c r="S27" s="237">
        <v>7119387</v>
      </c>
      <c r="T27" s="237">
        <v>1</v>
      </c>
      <c r="U27" s="237">
        <v>164147</v>
      </c>
      <c r="V27" s="237">
        <v>44392</v>
      </c>
      <c r="W27" s="237">
        <v>131580</v>
      </c>
      <c r="X27" s="237">
        <v>1179551154</v>
      </c>
      <c r="Y27" s="237">
        <v>3828164</v>
      </c>
      <c r="Z27" s="237">
        <v>7987</v>
      </c>
      <c r="AA27" s="237">
        <v>0</v>
      </c>
      <c r="AB27" s="237">
        <v>332</v>
      </c>
      <c r="AC27" s="237">
        <v>0</v>
      </c>
      <c r="AD27" s="237">
        <v>467</v>
      </c>
      <c r="AE27" s="237">
        <v>0</v>
      </c>
      <c r="AF27" s="237">
        <v>0</v>
      </c>
      <c r="AG27" s="237">
        <v>0</v>
      </c>
      <c r="AH27" s="237">
        <v>115418</v>
      </c>
      <c r="AI27" s="237">
        <v>96528</v>
      </c>
      <c r="AJ27" s="237">
        <v>1044819804</v>
      </c>
      <c r="AK27" s="237">
        <v>8197</v>
      </c>
      <c r="AL27" s="237">
        <v>9806041</v>
      </c>
      <c r="AM27" s="237">
        <v>19667411</v>
      </c>
      <c r="AN27" s="237">
        <v>0</v>
      </c>
      <c r="AO27" s="237">
        <v>17345</v>
      </c>
      <c r="AP27" s="237">
        <v>13846</v>
      </c>
      <c r="AQ27" s="237">
        <v>143588336</v>
      </c>
      <c r="AR27" s="237">
        <v>3113</v>
      </c>
      <c r="AS27" s="237">
        <v>949000</v>
      </c>
      <c r="AT27" s="237">
        <v>90</v>
      </c>
      <c r="AU27" s="237">
        <v>348</v>
      </c>
      <c r="AV27" s="237">
        <v>161250</v>
      </c>
      <c r="AW27" s="237">
        <v>356</v>
      </c>
      <c r="AX27" s="237">
        <v>19500</v>
      </c>
      <c r="AY27" s="237">
        <v>780</v>
      </c>
      <c r="AZ27" s="237">
        <v>638</v>
      </c>
      <c r="BA27" s="237">
        <v>39011339</v>
      </c>
      <c r="BB27" s="237">
        <v>434</v>
      </c>
      <c r="BC27" s="237">
        <v>24650</v>
      </c>
      <c r="BD27" s="237">
        <v>7737</v>
      </c>
      <c r="BE27" s="237">
        <v>2550</v>
      </c>
      <c r="BF27" s="237">
        <v>1897</v>
      </c>
      <c r="BG27" s="237">
        <v>56011177</v>
      </c>
      <c r="BH27" s="237">
        <v>7</v>
      </c>
      <c r="BI27" s="237">
        <v>0</v>
      </c>
      <c r="BJ27" s="237">
        <v>0</v>
      </c>
      <c r="BK27" s="237">
        <v>149</v>
      </c>
      <c r="BL27" s="237">
        <v>113</v>
      </c>
      <c r="BM27" s="237">
        <v>3651450</v>
      </c>
      <c r="BN27" s="237">
        <v>77</v>
      </c>
      <c r="BO27" s="237">
        <v>76000</v>
      </c>
      <c r="BP27" s="237">
        <v>30400</v>
      </c>
      <c r="BQ27" s="237">
        <v>44989</v>
      </c>
      <c r="BR27" s="237">
        <v>25537</v>
      </c>
      <c r="BS27" s="237">
        <v>52671644</v>
      </c>
      <c r="BT27" s="237">
        <v>0</v>
      </c>
      <c r="BU27" s="238">
        <f t="shared" si="0"/>
        <v>711067.19400000002</v>
      </c>
      <c r="BV27" s="237">
        <v>44</v>
      </c>
      <c r="BW27" s="237">
        <v>37</v>
      </c>
      <c r="BX27" s="237">
        <v>1545060</v>
      </c>
      <c r="BY27" s="237">
        <v>0</v>
      </c>
      <c r="BZ27" s="237">
        <v>7725</v>
      </c>
      <c r="CA27" s="238">
        <v>0</v>
      </c>
      <c r="CB27" s="238">
        <v>0</v>
      </c>
      <c r="CC27" s="238">
        <v>0</v>
      </c>
      <c r="CD27" s="238">
        <v>0</v>
      </c>
      <c r="CE27" s="238">
        <v>0</v>
      </c>
      <c r="CF27" s="237">
        <v>0</v>
      </c>
      <c r="CG27" s="237">
        <v>0</v>
      </c>
      <c r="CH27" s="237">
        <v>0</v>
      </c>
      <c r="CI27" s="237">
        <v>0</v>
      </c>
      <c r="CJ27" s="237">
        <v>0</v>
      </c>
      <c r="CK27" s="239">
        <v>3837</v>
      </c>
      <c r="CL27" s="237">
        <v>39270417</v>
      </c>
      <c r="CM27" s="237">
        <v>0</v>
      </c>
      <c r="CN27" s="237">
        <v>0</v>
      </c>
      <c r="CO27" s="237">
        <v>101951</v>
      </c>
      <c r="CP27" s="237">
        <v>42771</v>
      </c>
      <c r="CQ27" s="239">
        <v>32749101</v>
      </c>
      <c r="CR27" s="237">
        <v>6945</v>
      </c>
      <c r="CS27" s="237">
        <v>14764</v>
      </c>
      <c r="CT27" s="237">
        <v>40041630</v>
      </c>
      <c r="CU27" s="237">
        <v>421907</v>
      </c>
      <c r="CV27" s="237">
        <v>1164</v>
      </c>
      <c r="CW27" s="237">
        <v>37745</v>
      </c>
      <c r="CX27" s="237">
        <v>21705</v>
      </c>
      <c r="CY27" s="237">
        <v>20057</v>
      </c>
      <c r="CZ27" s="237">
        <v>279061068</v>
      </c>
      <c r="DA27" s="237">
        <v>2963</v>
      </c>
      <c r="DB27" s="237">
        <v>28</v>
      </c>
      <c r="DC27" s="237">
        <v>1</v>
      </c>
      <c r="DD27" s="237">
        <v>408650</v>
      </c>
      <c r="DE27" s="237">
        <v>0</v>
      </c>
      <c r="DF27" s="237">
        <v>4591</v>
      </c>
      <c r="DG27" s="237">
        <v>0</v>
      </c>
      <c r="DH27" s="237">
        <v>0</v>
      </c>
      <c r="DI27" s="237">
        <v>0</v>
      </c>
      <c r="DJ27" s="237">
        <v>1</v>
      </c>
      <c r="DK27" s="237">
        <v>9347</v>
      </c>
      <c r="DL27" s="237">
        <v>3147</v>
      </c>
      <c r="DM27" s="237">
        <v>303078771</v>
      </c>
      <c r="DN27" s="237">
        <v>1667</v>
      </c>
      <c r="DO27" s="237">
        <v>2049700</v>
      </c>
      <c r="DP27" s="237">
        <v>0</v>
      </c>
      <c r="DQ27" s="237">
        <v>34963136</v>
      </c>
      <c r="DR27" s="237">
        <v>0</v>
      </c>
      <c r="DS27" s="237">
        <f t="shared" si="1"/>
        <v>9347</v>
      </c>
      <c r="DT27" s="237">
        <v>303078771</v>
      </c>
      <c r="DU27" s="240">
        <f t="shared" si="3"/>
        <v>2049700</v>
      </c>
      <c r="DV27" s="237">
        <v>0</v>
      </c>
      <c r="DW27" s="237">
        <v>5386</v>
      </c>
      <c r="DX27" s="237">
        <v>173591984</v>
      </c>
      <c r="DY27" s="237">
        <f t="shared" si="4"/>
        <v>3961</v>
      </c>
      <c r="DZ27" s="237">
        <f t="shared" si="4"/>
        <v>129486787</v>
      </c>
      <c r="EA27" s="238">
        <f t="shared" si="5"/>
        <v>2474618</v>
      </c>
      <c r="EB27" s="238">
        <f t="shared" si="6"/>
        <v>3426075983</v>
      </c>
      <c r="EC27" s="238">
        <f t="shared" si="7"/>
        <v>31711</v>
      </c>
      <c r="ED27" s="470">
        <v>590648</v>
      </c>
      <c r="EE27" s="470">
        <v>397046</v>
      </c>
      <c r="EF27" s="470">
        <v>594393</v>
      </c>
      <c r="EG27" s="470">
        <v>0</v>
      </c>
      <c r="EH27" s="470">
        <v>1195856</v>
      </c>
      <c r="EI27" s="242">
        <f t="shared" si="8"/>
        <v>25491035.544</v>
      </c>
      <c r="EJ27" s="243">
        <f t="shared" si="9"/>
        <v>14309071</v>
      </c>
      <c r="EK27" s="244">
        <v>8535</v>
      </c>
      <c r="EL27" s="245">
        <v>7024</v>
      </c>
      <c r="EM27" s="245">
        <v>2884365</v>
      </c>
      <c r="EN27" s="245">
        <f t="shared" si="10"/>
        <v>43265.474999999999</v>
      </c>
      <c r="EO27" s="245">
        <v>97081</v>
      </c>
      <c r="EP27" s="245">
        <v>65990</v>
      </c>
      <c r="EQ27" s="245">
        <v>24241525</v>
      </c>
      <c r="ER27" s="245">
        <f t="shared" si="11"/>
        <v>363622.875</v>
      </c>
      <c r="ES27" s="246">
        <f t="shared" si="12"/>
        <v>105616</v>
      </c>
      <c r="ET27" s="246">
        <v>71509</v>
      </c>
      <c r="EU27" s="246">
        <f t="shared" si="13"/>
        <v>27125890</v>
      </c>
      <c r="EV27" s="247">
        <f t="shared" si="13"/>
        <v>406888.35</v>
      </c>
      <c r="EW27" s="246">
        <f t="shared" si="14"/>
        <v>1035989</v>
      </c>
      <c r="EX27" s="246">
        <f t="shared" si="15"/>
        <v>42771</v>
      </c>
      <c r="EY27" s="247">
        <f t="shared" si="16"/>
        <v>208958956</v>
      </c>
      <c r="EZ27" s="246">
        <f t="shared" si="17"/>
        <v>44989</v>
      </c>
      <c r="FA27" s="246">
        <f t="shared" si="17"/>
        <v>25537</v>
      </c>
      <c r="FB27" s="246">
        <f t="shared" si="17"/>
        <v>52671644</v>
      </c>
      <c r="FC27" s="247">
        <f t="shared" si="18"/>
        <v>711067.19400000002</v>
      </c>
      <c r="FD27" s="246">
        <v>143</v>
      </c>
      <c r="FE27" s="246">
        <v>129</v>
      </c>
      <c r="FF27" s="246">
        <v>169493</v>
      </c>
    </row>
    <row r="28" spans="1:162" s="248" customFormat="1" ht="15" customHeight="1">
      <c r="A28" s="236">
        <v>45714</v>
      </c>
      <c r="B28" s="237">
        <v>6319</v>
      </c>
      <c r="C28" s="237">
        <v>6399</v>
      </c>
      <c r="D28" s="237">
        <v>6435</v>
      </c>
      <c r="E28" s="237">
        <v>704578</v>
      </c>
      <c r="F28" s="237">
        <v>324995</v>
      </c>
      <c r="G28" s="237">
        <v>5951110</v>
      </c>
      <c r="H28" s="237">
        <v>2457347</v>
      </c>
      <c r="I28" s="237">
        <v>1663282</v>
      </c>
      <c r="J28" s="237">
        <v>72984</v>
      </c>
      <c r="K28" s="237">
        <v>300</v>
      </c>
      <c r="L28" s="237">
        <v>170281</v>
      </c>
      <c r="M28" s="237">
        <v>170873</v>
      </c>
      <c r="N28" s="237">
        <v>144723</v>
      </c>
      <c r="O28" s="237">
        <v>1032687</v>
      </c>
      <c r="P28" s="237">
        <v>202816820</v>
      </c>
      <c r="Q28" s="237">
        <v>5274</v>
      </c>
      <c r="R28" s="237">
        <v>930356</v>
      </c>
      <c r="S28" s="237">
        <v>7080123</v>
      </c>
      <c r="T28" s="237"/>
      <c r="U28" s="237">
        <v>167386</v>
      </c>
      <c r="V28" s="237">
        <v>44599</v>
      </c>
      <c r="W28" s="237">
        <v>134153</v>
      </c>
      <c r="X28" s="237">
        <v>1176231771</v>
      </c>
      <c r="Y28" s="237">
        <v>3791993</v>
      </c>
      <c r="Z28" s="237">
        <v>7787</v>
      </c>
      <c r="AA28" s="237">
        <v>0</v>
      </c>
      <c r="AB28" s="237">
        <v>337</v>
      </c>
      <c r="AC28" s="237">
        <v>0</v>
      </c>
      <c r="AD28" s="237">
        <v>485</v>
      </c>
      <c r="AE28" s="237">
        <v>0</v>
      </c>
      <c r="AF28" s="237">
        <v>0</v>
      </c>
      <c r="AG28" s="237">
        <v>0</v>
      </c>
      <c r="AH28" s="237">
        <v>117293</v>
      </c>
      <c r="AI28" s="237">
        <v>97897</v>
      </c>
      <c r="AJ28" s="237">
        <v>1113177353</v>
      </c>
      <c r="AK28" s="237">
        <v>8233</v>
      </c>
      <c r="AL28" s="237">
        <v>10110557</v>
      </c>
      <c r="AM28" s="237">
        <v>20401347</v>
      </c>
      <c r="AN28" s="237">
        <v>0</v>
      </c>
      <c r="AO28" s="237">
        <v>16759</v>
      </c>
      <c r="AP28" s="237">
        <v>13605</v>
      </c>
      <c r="AQ28" s="237">
        <v>154832913</v>
      </c>
      <c r="AR28" s="237">
        <v>3156</v>
      </c>
      <c r="AS28" s="237">
        <v>954700</v>
      </c>
      <c r="AT28" s="237">
        <v>108</v>
      </c>
      <c r="AU28" s="237">
        <v>314</v>
      </c>
      <c r="AV28" s="237">
        <v>561490</v>
      </c>
      <c r="AW28" s="237">
        <v>315</v>
      </c>
      <c r="AX28" s="237">
        <v>30300</v>
      </c>
      <c r="AY28" s="237">
        <v>1710</v>
      </c>
      <c r="AZ28" s="237">
        <v>1182</v>
      </c>
      <c r="BA28" s="237">
        <v>83345832</v>
      </c>
      <c r="BB28" s="237">
        <v>1170</v>
      </c>
      <c r="BC28" s="237">
        <v>12900</v>
      </c>
      <c r="BD28" s="237">
        <v>4100</v>
      </c>
      <c r="BE28" s="237">
        <v>2515</v>
      </c>
      <c r="BF28" s="237">
        <v>1858</v>
      </c>
      <c r="BG28" s="237">
        <v>54967203</v>
      </c>
      <c r="BH28" s="237">
        <v>23</v>
      </c>
      <c r="BI28" s="237">
        <v>0</v>
      </c>
      <c r="BJ28" s="237">
        <v>0</v>
      </c>
      <c r="BK28" s="237">
        <v>144</v>
      </c>
      <c r="BL28" s="237">
        <v>114</v>
      </c>
      <c r="BM28" s="237">
        <v>2984500</v>
      </c>
      <c r="BN28" s="237">
        <v>35</v>
      </c>
      <c r="BO28" s="237">
        <v>64500</v>
      </c>
      <c r="BP28" s="237">
        <v>25800</v>
      </c>
      <c r="BQ28" s="237">
        <v>51300</v>
      </c>
      <c r="BR28" s="237">
        <v>28302</v>
      </c>
      <c r="BS28" s="237">
        <v>62018157</v>
      </c>
      <c r="BT28" s="237">
        <v>0</v>
      </c>
      <c r="BU28" s="238">
        <v>837245.11950000003</v>
      </c>
      <c r="BV28" s="237">
        <v>41</v>
      </c>
      <c r="BW28" s="237">
        <v>37</v>
      </c>
      <c r="BX28" s="237">
        <v>1146494</v>
      </c>
      <c r="BY28" s="237">
        <v>0</v>
      </c>
      <c r="BZ28" s="237">
        <v>5732</v>
      </c>
      <c r="CA28" s="238">
        <v>0</v>
      </c>
      <c r="CB28" s="238">
        <v>0</v>
      </c>
      <c r="CC28" s="238">
        <v>0</v>
      </c>
      <c r="CD28" s="238">
        <v>0</v>
      </c>
      <c r="CE28" s="238">
        <v>0</v>
      </c>
      <c r="CF28" s="237">
        <v>0</v>
      </c>
      <c r="CG28" s="237">
        <v>0</v>
      </c>
      <c r="CH28" s="237">
        <v>0</v>
      </c>
      <c r="CI28" s="237">
        <v>0</v>
      </c>
      <c r="CJ28" s="237">
        <v>0</v>
      </c>
      <c r="CK28" s="239">
        <v>5516</v>
      </c>
      <c r="CL28" s="237">
        <v>10220793</v>
      </c>
      <c r="CM28" s="237">
        <v>0</v>
      </c>
      <c r="CN28" s="237">
        <v>0</v>
      </c>
      <c r="CO28" s="237">
        <v>100988</v>
      </c>
      <c r="CP28" s="237">
        <v>42840</v>
      </c>
      <c r="CQ28" s="239">
        <v>32620339</v>
      </c>
      <c r="CR28" s="237">
        <v>6931</v>
      </c>
      <c r="CS28" s="237">
        <v>14725</v>
      </c>
      <c r="CT28" s="237">
        <v>45210291</v>
      </c>
      <c r="CU28" s="237">
        <v>431037</v>
      </c>
      <c r="CV28" s="237">
        <v>1235</v>
      </c>
      <c r="CW28" s="237">
        <v>37390</v>
      </c>
      <c r="CX28" s="237">
        <v>22175</v>
      </c>
      <c r="CY28" s="237">
        <v>20313</v>
      </c>
      <c r="CZ28" s="237">
        <v>253447472</v>
      </c>
      <c r="DA28" s="237">
        <v>2964</v>
      </c>
      <c r="DB28" s="237">
        <v>28</v>
      </c>
      <c r="DC28" s="237">
        <v>2</v>
      </c>
      <c r="DD28" s="237">
        <v>267450</v>
      </c>
      <c r="DE28" s="237">
        <v>1</v>
      </c>
      <c r="DF28" s="237">
        <v>3131</v>
      </c>
      <c r="DG28" s="237">
        <v>0</v>
      </c>
      <c r="DH28" s="237">
        <v>0</v>
      </c>
      <c r="DI28" s="237">
        <v>0</v>
      </c>
      <c r="DJ28" s="237">
        <v>1</v>
      </c>
      <c r="DK28" s="237">
        <v>9375</v>
      </c>
      <c r="DL28" s="237">
        <v>3166</v>
      </c>
      <c r="DM28" s="237">
        <v>303782810</v>
      </c>
      <c r="DN28" s="237">
        <v>2180</v>
      </c>
      <c r="DO28" s="237">
        <v>2139950</v>
      </c>
      <c r="DP28" s="237">
        <v>0</v>
      </c>
      <c r="DQ28" s="237">
        <v>28742452</v>
      </c>
      <c r="DR28" s="237">
        <v>0</v>
      </c>
      <c r="DS28" s="237">
        <v>9375</v>
      </c>
      <c r="DT28" s="237">
        <v>303782810</v>
      </c>
      <c r="DU28" s="240">
        <v>2139950</v>
      </c>
      <c r="DV28" s="237">
        <v>0</v>
      </c>
      <c r="DW28" s="237">
        <v>5374</v>
      </c>
      <c r="DX28" s="237">
        <v>180561261</v>
      </c>
      <c r="DY28" s="237">
        <v>4001</v>
      </c>
      <c r="DZ28" s="237">
        <f t="shared" si="4"/>
        <v>123221549</v>
      </c>
      <c r="EA28" s="238">
        <f t="shared" si="5"/>
        <v>2473107</v>
      </c>
      <c r="EB28" s="238">
        <f t="shared" si="6"/>
        <v>3504711811</v>
      </c>
      <c r="EC28" s="238">
        <f t="shared" si="7"/>
        <v>32335</v>
      </c>
      <c r="ED28" s="470">
        <v>1022641</v>
      </c>
      <c r="EE28" s="470">
        <v>448614</v>
      </c>
      <c r="EF28" s="470">
        <v>568159</v>
      </c>
      <c r="EG28" s="470">
        <v>0</v>
      </c>
      <c r="EH28" s="470">
        <v>1191355</v>
      </c>
      <c r="EI28" s="242">
        <f t="shared" si="8"/>
        <v>26903557.6895</v>
      </c>
      <c r="EJ28" s="243">
        <f t="shared" si="9"/>
        <v>14541130</v>
      </c>
      <c r="EK28" s="244">
        <v>8480</v>
      </c>
      <c r="EL28" s="245">
        <v>7116</v>
      </c>
      <c r="EM28" s="245">
        <v>2921208</v>
      </c>
      <c r="EN28" s="245">
        <v>43818.119999999995</v>
      </c>
      <c r="EO28" s="245">
        <v>97486</v>
      </c>
      <c r="EP28" s="245">
        <v>66668</v>
      </c>
      <c r="EQ28" s="245">
        <v>24618630</v>
      </c>
      <c r="ER28" s="245">
        <v>369279.45</v>
      </c>
      <c r="ES28" s="246">
        <v>105966</v>
      </c>
      <c r="ET28" s="246">
        <v>72196</v>
      </c>
      <c r="EU28" s="246">
        <v>27539838</v>
      </c>
      <c r="EV28" s="247">
        <v>413097.57</v>
      </c>
      <c r="EW28" s="246">
        <v>1027709</v>
      </c>
      <c r="EX28" s="246">
        <v>42840</v>
      </c>
      <c r="EY28" s="247">
        <v>207897321</v>
      </c>
      <c r="EZ28" s="246">
        <v>51300</v>
      </c>
      <c r="FA28" s="246">
        <v>28302</v>
      </c>
      <c r="FB28" s="246">
        <v>62018157</v>
      </c>
      <c r="FC28" s="247">
        <v>837245.11950000003</v>
      </c>
      <c r="FD28" s="246">
        <v>128</v>
      </c>
      <c r="FE28" s="246">
        <v>121</v>
      </c>
      <c r="FF28" s="246">
        <v>141494</v>
      </c>
    </row>
    <row r="29" spans="1:162" s="248" customFormat="1" ht="15" customHeight="1">
      <c r="A29" s="236">
        <v>45715</v>
      </c>
      <c r="B29" s="237">
        <v>6821</v>
      </c>
      <c r="C29" s="237">
        <v>6916</v>
      </c>
      <c r="D29" s="237">
        <v>6959</v>
      </c>
      <c r="E29" s="237">
        <v>706585</v>
      </c>
      <c r="F29" s="237">
        <v>317715</v>
      </c>
      <c r="G29" s="237">
        <v>5961001</v>
      </c>
      <c r="H29" s="237">
        <v>2457860</v>
      </c>
      <c r="I29" s="237">
        <v>1667749</v>
      </c>
      <c r="J29" s="237">
        <v>72910</v>
      </c>
      <c r="K29" s="237">
        <v>474</v>
      </c>
      <c r="L29" s="237">
        <v>170840</v>
      </c>
      <c r="M29" s="237">
        <v>171640</v>
      </c>
      <c r="N29" s="237">
        <v>145208</v>
      </c>
      <c r="O29" s="237">
        <v>1040131</v>
      </c>
      <c r="P29" s="237">
        <v>203181815</v>
      </c>
      <c r="Q29" s="237">
        <v>5396</v>
      </c>
      <c r="R29" s="237">
        <v>936938</v>
      </c>
      <c r="S29" s="237">
        <v>7083406</v>
      </c>
      <c r="T29" s="237"/>
      <c r="U29" s="237">
        <v>161608</v>
      </c>
      <c r="V29" s="237">
        <v>44063</v>
      </c>
      <c r="W29" s="237">
        <v>129817</v>
      </c>
      <c r="X29" s="237">
        <v>1210258146</v>
      </c>
      <c r="Y29" s="237">
        <v>3914177</v>
      </c>
      <c r="Z29" s="237">
        <v>7854</v>
      </c>
      <c r="AA29" s="237">
        <v>0</v>
      </c>
      <c r="AB29" s="237">
        <v>361</v>
      </c>
      <c r="AC29" s="237">
        <v>0</v>
      </c>
      <c r="AD29" s="237">
        <v>511</v>
      </c>
      <c r="AE29" s="237">
        <v>0</v>
      </c>
      <c r="AF29" s="237">
        <v>0</v>
      </c>
      <c r="AG29" s="237">
        <v>0</v>
      </c>
      <c r="AH29" s="237">
        <v>118793</v>
      </c>
      <c r="AI29" s="237">
        <v>98865</v>
      </c>
      <c r="AJ29" s="237">
        <v>1098405208</v>
      </c>
      <c r="AK29" s="237">
        <v>8632</v>
      </c>
      <c r="AL29" s="237">
        <v>10311367</v>
      </c>
      <c r="AM29" s="237">
        <v>20632517</v>
      </c>
      <c r="AN29" s="237">
        <v>0</v>
      </c>
      <c r="AO29" s="237">
        <v>16753</v>
      </c>
      <c r="AP29" s="237">
        <v>13643</v>
      </c>
      <c r="AQ29" s="237">
        <v>152455168</v>
      </c>
      <c r="AR29" s="237">
        <v>2938</v>
      </c>
      <c r="AS29" s="237">
        <v>979000</v>
      </c>
      <c r="AT29" s="237">
        <v>96</v>
      </c>
      <c r="AU29" s="237">
        <v>322</v>
      </c>
      <c r="AV29" s="237">
        <v>379384</v>
      </c>
      <c r="AW29" s="237">
        <v>307</v>
      </c>
      <c r="AX29" s="237">
        <v>24500</v>
      </c>
      <c r="AY29" s="237">
        <v>1290</v>
      </c>
      <c r="AZ29" s="237">
        <v>1038</v>
      </c>
      <c r="BA29" s="237">
        <v>62744397</v>
      </c>
      <c r="BB29" s="237">
        <v>712</v>
      </c>
      <c r="BC29" s="237">
        <v>20500</v>
      </c>
      <c r="BD29" s="237">
        <v>5999</v>
      </c>
      <c r="BE29" s="237">
        <v>2512</v>
      </c>
      <c r="BF29" s="237">
        <v>1879</v>
      </c>
      <c r="BG29" s="237">
        <v>57904744</v>
      </c>
      <c r="BH29" s="237">
        <v>16</v>
      </c>
      <c r="BI29" s="237">
        <v>0</v>
      </c>
      <c r="BJ29" s="237">
        <v>0</v>
      </c>
      <c r="BK29" s="237">
        <v>159</v>
      </c>
      <c r="BL29" s="237">
        <v>127</v>
      </c>
      <c r="BM29" s="237">
        <v>3900733</v>
      </c>
      <c r="BN29" s="237">
        <v>24</v>
      </c>
      <c r="BO29" s="237">
        <v>80300</v>
      </c>
      <c r="BP29" s="237">
        <v>32120</v>
      </c>
      <c r="BQ29" s="237">
        <v>32840</v>
      </c>
      <c r="BR29" s="237">
        <v>17212</v>
      </c>
      <c r="BS29" s="237">
        <v>41765692</v>
      </c>
      <c r="BT29" s="237">
        <v>0</v>
      </c>
      <c r="BU29" s="238">
        <f t="shared" ref="BU29:BU30" si="20">BS29*0.0135</f>
        <v>563836.84199999995</v>
      </c>
      <c r="BV29" s="237">
        <v>36</v>
      </c>
      <c r="BW29" s="237">
        <v>34</v>
      </c>
      <c r="BX29" s="237">
        <v>1303320</v>
      </c>
      <c r="BY29" s="237">
        <v>0</v>
      </c>
      <c r="BZ29" s="237">
        <v>6517</v>
      </c>
      <c r="CA29" s="238">
        <v>0</v>
      </c>
      <c r="CB29" s="238">
        <v>0</v>
      </c>
      <c r="CC29" s="238">
        <v>0</v>
      </c>
      <c r="CD29" s="238">
        <v>0</v>
      </c>
      <c r="CE29" s="238">
        <v>0</v>
      </c>
      <c r="CF29" s="237">
        <v>0</v>
      </c>
      <c r="CG29" s="237">
        <v>0</v>
      </c>
      <c r="CH29" s="237">
        <v>0</v>
      </c>
      <c r="CI29" s="237">
        <v>0</v>
      </c>
      <c r="CJ29" s="237">
        <v>0</v>
      </c>
      <c r="CK29" s="239">
        <v>7154</v>
      </c>
      <c r="CL29" s="237">
        <v>8469919</v>
      </c>
      <c r="CM29" s="237">
        <v>0</v>
      </c>
      <c r="CN29" s="237">
        <v>0</v>
      </c>
      <c r="CO29" s="237">
        <v>103409</v>
      </c>
      <c r="CP29" s="237">
        <v>42784</v>
      </c>
      <c r="CQ29" s="239">
        <v>33410335</v>
      </c>
      <c r="CR29" s="237">
        <v>6746</v>
      </c>
      <c r="CS29" s="237">
        <v>15365</v>
      </c>
      <c r="CT29" s="237">
        <v>42241794</v>
      </c>
      <c r="CU29" s="237">
        <v>446485</v>
      </c>
      <c r="CV29" s="237">
        <v>1738</v>
      </c>
      <c r="CW29" s="237">
        <v>38802</v>
      </c>
      <c r="CX29" s="237">
        <v>21900</v>
      </c>
      <c r="CY29" s="237">
        <v>20381</v>
      </c>
      <c r="CZ29" s="237">
        <v>249859186</v>
      </c>
      <c r="DA29" s="237">
        <v>3084</v>
      </c>
      <c r="DB29" s="237">
        <v>19</v>
      </c>
      <c r="DC29" s="237">
        <v>1</v>
      </c>
      <c r="DD29" s="237">
        <v>282800</v>
      </c>
      <c r="DE29" s="237">
        <v>0</v>
      </c>
      <c r="DF29" s="237">
        <v>3142</v>
      </c>
      <c r="DG29" s="237">
        <v>0</v>
      </c>
      <c r="DH29" s="237">
        <v>0</v>
      </c>
      <c r="DI29" s="237">
        <v>0</v>
      </c>
      <c r="DJ29" s="237">
        <v>1</v>
      </c>
      <c r="DK29" s="237">
        <v>9582</v>
      </c>
      <c r="DL29" s="237">
        <v>3082</v>
      </c>
      <c r="DM29" s="237">
        <v>333343394</v>
      </c>
      <c r="DN29" s="237">
        <v>1487</v>
      </c>
      <c r="DO29" s="237">
        <v>2114850</v>
      </c>
      <c r="DP29" s="237">
        <v>0</v>
      </c>
      <c r="DQ29" s="237">
        <v>21669304</v>
      </c>
      <c r="DR29" s="237">
        <v>0</v>
      </c>
      <c r="DS29" s="237">
        <f t="shared" ref="DS29:DS30" si="21">DK29</f>
        <v>9582</v>
      </c>
      <c r="DT29" s="237">
        <f t="shared" ref="DT29" si="22">DM29</f>
        <v>333343394</v>
      </c>
      <c r="DU29" s="240">
        <f t="shared" ref="DU29:DU30" si="23">DO29</f>
        <v>2114850</v>
      </c>
      <c r="DV29" s="237">
        <v>0</v>
      </c>
      <c r="DW29" s="237">
        <v>5668</v>
      </c>
      <c r="DX29" s="237">
        <v>181379764</v>
      </c>
      <c r="DY29" s="237">
        <f t="shared" ref="DY29:DY30" si="24">DS29-DW29</f>
        <v>3914</v>
      </c>
      <c r="DZ29" s="237">
        <f t="shared" si="4"/>
        <v>151963630</v>
      </c>
      <c r="EA29" s="238">
        <f t="shared" si="5"/>
        <v>2468586</v>
      </c>
      <c r="EB29" s="238">
        <f t="shared" si="6"/>
        <v>3506989441</v>
      </c>
      <c r="EC29" s="238">
        <f t="shared" si="7"/>
        <v>32562</v>
      </c>
      <c r="ED29" s="470">
        <v>2368345</v>
      </c>
      <c r="EE29" s="470">
        <v>434833</v>
      </c>
      <c r="EF29" s="470">
        <v>566495</v>
      </c>
      <c r="EG29" s="470">
        <v>0</v>
      </c>
      <c r="EH29" s="470">
        <v>1219036</v>
      </c>
      <c r="EI29" s="242">
        <f t="shared" si="8"/>
        <v>28238754.442000002</v>
      </c>
      <c r="EJ29" s="243">
        <f t="shared" si="9"/>
        <v>14872102</v>
      </c>
      <c r="EK29" s="244">
        <v>8550</v>
      </c>
      <c r="EL29" s="245">
        <v>7094</v>
      </c>
      <c r="EM29" s="245">
        <v>2898295</v>
      </c>
      <c r="EN29" s="245">
        <f t="shared" ref="EN29:EN30" si="25">EM29*1.5%</f>
        <v>43474.424999999996</v>
      </c>
      <c r="EO29" s="245">
        <v>95479</v>
      </c>
      <c r="EP29" s="245">
        <v>64764</v>
      </c>
      <c r="EQ29" s="245">
        <v>24439945</v>
      </c>
      <c r="ER29" s="245">
        <f t="shared" ref="ER29:ER30" si="26">EQ29*1.5%</f>
        <v>366599.17499999999</v>
      </c>
      <c r="ES29" s="246">
        <f t="shared" ref="ES29:ES30" si="27">EK29+EO29</f>
        <v>104029</v>
      </c>
      <c r="ET29" s="246">
        <v>70260</v>
      </c>
      <c r="EU29" s="246">
        <f t="shared" ref="EU29:EV30" si="28">EM29+EQ29</f>
        <v>27338240</v>
      </c>
      <c r="EV29" s="247">
        <f t="shared" si="28"/>
        <v>410073.59999999998</v>
      </c>
      <c r="EW29" s="246">
        <f t="shared" ref="EW29:EW30" si="29">O29+CO29-ES29</f>
        <v>1039511</v>
      </c>
      <c r="EX29" s="246">
        <f t="shared" ref="EX29:EX30" si="30">CP29</f>
        <v>42784</v>
      </c>
      <c r="EY29" s="247">
        <f t="shared" ref="EY29:EY30" si="31">P29+CQ29-EU29</f>
        <v>209253910</v>
      </c>
      <c r="EZ29" s="246">
        <f t="shared" ref="EZ29:FB30" si="32">BQ29+CA29+CF29</f>
        <v>32840</v>
      </c>
      <c r="FA29" s="246">
        <f t="shared" si="32"/>
        <v>17212</v>
      </c>
      <c r="FB29" s="246">
        <f t="shared" si="32"/>
        <v>41765692</v>
      </c>
      <c r="FC29" s="247">
        <f t="shared" ref="FC29:FC30" si="33">BU29+CJ29+CE29</f>
        <v>563836.84199999995</v>
      </c>
      <c r="FD29" s="246">
        <v>119</v>
      </c>
      <c r="FE29" s="246">
        <v>111</v>
      </c>
      <c r="FF29" s="246">
        <v>156997</v>
      </c>
    </row>
    <row r="30" spans="1:162" s="248" customFormat="1" ht="15" customHeight="1">
      <c r="A30" s="236">
        <v>45716</v>
      </c>
      <c r="B30" s="237">
        <v>5897</v>
      </c>
      <c r="C30" s="237">
        <v>5970</v>
      </c>
      <c r="D30" s="237">
        <v>6011</v>
      </c>
      <c r="E30" s="237">
        <v>709106</v>
      </c>
      <c r="F30" s="237">
        <v>324870</v>
      </c>
      <c r="G30" s="237">
        <v>5971141</v>
      </c>
      <c r="H30" s="237">
        <v>2459056</v>
      </c>
      <c r="I30" s="237">
        <v>1672586</v>
      </c>
      <c r="J30" s="237">
        <v>74395</v>
      </c>
      <c r="K30" s="237">
        <v>282</v>
      </c>
      <c r="L30" s="237">
        <v>171607</v>
      </c>
      <c r="M30" s="237">
        <v>172039</v>
      </c>
      <c r="N30" s="237">
        <v>145729</v>
      </c>
      <c r="O30" s="237">
        <v>1059715</v>
      </c>
      <c r="P30" s="237">
        <v>208783005</v>
      </c>
      <c r="Q30" s="237">
        <v>5408</v>
      </c>
      <c r="R30" s="237">
        <v>950397</v>
      </c>
      <c r="S30" s="237">
        <v>7254578</v>
      </c>
      <c r="T30" s="237">
        <v>1</v>
      </c>
      <c r="U30" s="237">
        <v>170536</v>
      </c>
      <c r="V30" s="237">
        <v>44788</v>
      </c>
      <c r="W30" s="237">
        <v>136164</v>
      </c>
      <c r="X30" s="237">
        <v>1306177166</v>
      </c>
      <c r="Y30" s="237">
        <v>4248483</v>
      </c>
      <c r="Z30" s="237">
        <v>8515</v>
      </c>
      <c r="AA30" s="237">
        <v>0</v>
      </c>
      <c r="AB30" s="237">
        <v>354</v>
      </c>
      <c r="AC30" s="237">
        <v>0</v>
      </c>
      <c r="AD30" s="237">
        <v>479</v>
      </c>
      <c r="AE30" s="237">
        <v>0</v>
      </c>
      <c r="AF30" s="237">
        <v>0</v>
      </c>
      <c r="AG30" s="237">
        <v>0</v>
      </c>
      <c r="AH30" s="237">
        <v>119310</v>
      </c>
      <c r="AI30" s="237">
        <v>99084</v>
      </c>
      <c r="AJ30" s="237">
        <v>1163136445</v>
      </c>
      <c r="AK30" s="237">
        <v>8553</v>
      </c>
      <c r="AL30" s="237">
        <v>10642004</v>
      </c>
      <c r="AM30" s="237">
        <v>21368301</v>
      </c>
      <c r="AN30" s="237">
        <v>0</v>
      </c>
      <c r="AO30" s="237">
        <v>16867</v>
      </c>
      <c r="AP30" s="237">
        <v>13660</v>
      </c>
      <c r="AQ30" s="237">
        <v>167858304</v>
      </c>
      <c r="AR30" s="237">
        <v>3029</v>
      </c>
      <c r="AS30" s="237">
        <v>1025500</v>
      </c>
      <c r="AT30" s="237">
        <v>118</v>
      </c>
      <c r="AU30" s="237">
        <v>333</v>
      </c>
      <c r="AV30" s="237">
        <v>651471</v>
      </c>
      <c r="AW30" s="237">
        <v>329</v>
      </c>
      <c r="AX30" s="237">
        <v>34200</v>
      </c>
      <c r="AY30" s="237">
        <v>1231</v>
      </c>
      <c r="AZ30" s="237">
        <v>944</v>
      </c>
      <c r="BA30" s="237">
        <v>63251386</v>
      </c>
      <c r="BB30" s="237">
        <v>515</v>
      </c>
      <c r="BC30" s="237">
        <v>21250</v>
      </c>
      <c r="BD30" s="237">
        <v>6835</v>
      </c>
      <c r="BE30" s="237">
        <v>2517</v>
      </c>
      <c r="BF30" s="237">
        <v>1908</v>
      </c>
      <c r="BG30" s="237">
        <v>62859386</v>
      </c>
      <c r="BH30" s="237">
        <v>11</v>
      </c>
      <c r="BI30" s="237">
        <v>0</v>
      </c>
      <c r="BJ30" s="237">
        <v>0</v>
      </c>
      <c r="BK30" s="237">
        <v>158</v>
      </c>
      <c r="BL30" s="237">
        <v>127</v>
      </c>
      <c r="BM30" s="237">
        <v>3695400</v>
      </c>
      <c r="BN30" s="237">
        <v>39</v>
      </c>
      <c r="BO30" s="237">
        <v>81200</v>
      </c>
      <c r="BP30" s="237">
        <v>32480</v>
      </c>
      <c r="BQ30" s="237">
        <v>38425</v>
      </c>
      <c r="BR30" s="237">
        <v>20812</v>
      </c>
      <c r="BS30" s="237">
        <v>50510684</v>
      </c>
      <c r="BT30" s="237">
        <v>0</v>
      </c>
      <c r="BU30" s="238">
        <f t="shared" si="20"/>
        <v>681894.23399999994</v>
      </c>
      <c r="BV30" s="237">
        <v>34</v>
      </c>
      <c r="BW30" s="237">
        <v>30</v>
      </c>
      <c r="BX30" s="237">
        <v>1292855</v>
      </c>
      <c r="BY30" s="237">
        <v>0</v>
      </c>
      <c r="BZ30" s="237">
        <v>6464</v>
      </c>
      <c r="CA30" s="238">
        <v>0</v>
      </c>
      <c r="CB30" s="238">
        <v>0</v>
      </c>
      <c r="CC30" s="238">
        <v>0</v>
      </c>
      <c r="CD30" s="238">
        <v>0</v>
      </c>
      <c r="CE30" s="238">
        <v>0</v>
      </c>
      <c r="CF30" s="237">
        <v>0</v>
      </c>
      <c r="CG30" s="237">
        <v>0</v>
      </c>
      <c r="CH30" s="237">
        <v>0</v>
      </c>
      <c r="CI30" s="237">
        <v>0</v>
      </c>
      <c r="CJ30" s="237">
        <v>0</v>
      </c>
      <c r="CK30" s="239">
        <v>2223</v>
      </c>
      <c r="CL30" s="237">
        <v>32295245</v>
      </c>
      <c r="CM30" s="237">
        <v>0</v>
      </c>
      <c r="CN30" s="237">
        <v>0</v>
      </c>
      <c r="CO30" s="237">
        <v>107366</v>
      </c>
      <c r="CP30" s="237">
        <v>43566</v>
      </c>
      <c r="CQ30" s="239">
        <v>41910453</v>
      </c>
      <c r="CR30" s="237">
        <v>7380</v>
      </c>
      <c r="CS30" s="237">
        <v>20792</v>
      </c>
      <c r="CT30" s="237">
        <v>63765797</v>
      </c>
      <c r="CU30" s="237">
        <v>671997</v>
      </c>
      <c r="CV30" s="237">
        <v>2297</v>
      </c>
      <c r="CW30" s="237">
        <v>57775</v>
      </c>
      <c r="CX30" s="237">
        <v>24415</v>
      </c>
      <c r="CY30" s="237">
        <v>20233</v>
      </c>
      <c r="CZ30" s="237">
        <v>350401535</v>
      </c>
      <c r="DA30" s="237">
        <v>3168</v>
      </c>
      <c r="DB30" s="237">
        <v>31</v>
      </c>
      <c r="DC30" s="237">
        <v>2</v>
      </c>
      <c r="DD30" s="237">
        <v>272700</v>
      </c>
      <c r="DE30" s="237">
        <v>1</v>
      </c>
      <c r="DF30" s="237">
        <v>4040</v>
      </c>
      <c r="DG30" s="237">
        <v>0</v>
      </c>
      <c r="DH30" s="237">
        <v>0</v>
      </c>
      <c r="DI30" s="237">
        <v>0</v>
      </c>
      <c r="DJ30" s="237">
        <v>1</v>
      </c>
      <c r="DK30" s="237">
        <v>10114</v>
      </c>
      <c r="DL30" s="237">
        <v>3422</v>
      </c>
      <c r="DM30" s="237">
        <v>343301294</v>
      </c>
      <c r="DN30" s="237">
        <v>2934</v>
      </c>
      <c r="DO30" s="237">
        <v>2302950</v>
      </c>
      <c r="DP30" s="237">
        <v>0</v>
      </c>
      <c r="DQ30" s="237">
        <v>15608250</v>
      </c>
      <c r="DR30" s="237">
        <v>0</v>
      </c>
      <c r="DS30" s="237">
        <f t="shared" si="21"/>
        <v>10114</v>
      </c>
      <c r="DT30" s="237">
        <v>343301294</v>
      </c>
      <c r="DU30" s="240">
        <f t="shared" si="23"/>
        <v>2302950</v>
      </c>
      <c r="DV30" s="237">
        <v>0</v>
      </c>
      <c r="DW30" s="237">
        <v>5739</v>
      </c>
      <c r="DX30" s="237">
        <v>207987098</v>
      </c>
      <c r="DY30" s="237">
        <f t="shared" si="24"/>
        <v>4375</v>
      </c>
      <c r="DZ30" s="237">
        <f t="shared" si="4"/>
        <v>135314196</v>
      </c>
      <c r="EA30" s="238">
        <f t="shared" si="5"/>
        <v>2524250</v>
      </c>
      <c r="EB30" s="238">
        <f t="shared" si="6"/>
        <v>3867417704</v>
      </c>
      <c r="EC30" s="238">
        <f t="shared" si="7"/>
        <v>34317</v>
      </c>
      <c r="ED30" s="470">
        <v>720151</v>
      </c>
      <c r="EE30" s="470">
        <v>480189</v>
      </c>
      <c r="EF30" s="470">
        <v>575642</v>
      </c>
      <c r="EG30" s="470">
        <v>0</v>
      </c>
      <c r="EH30" s="470">
        <v>1546992</v>
      </c>
      <c r="EI30" s="242">
        <f t="shared" si="8"/>
        <v>27970830.969000001</v>
      </c>
      <c r="EJ30" s="243">
        <f t="shared" si="9"/>
        <v>15567259</v>
      </c>
      <c r="EK30" s="244">
        <v>8596</v>
      </c>
      <c r="EL30" s="245">
        <v>7109</v>
      </c>
      <c r="EM30" s="245">
        <v>3279804</v>
      </c>
      <c r="EN30" s="245">
        <f t="shared" si="25"/>
        <v>49197.06</v>
      </c>
      <c r="EO30" s="245">
        <v>97675</v>
      </c>
      <c r="EP30" s="245">
        <v>66180</v>
      </c>
      <c r="EQ30" s="245">
        <v>24936045</v>
      </c>
      <c r="ER30" s="245">
        <f t="shared" si="26"/>
        <v>374040.67499999999</v>
      </c>
      <c r="ES30" s="246">
        <f t="shared" si="27"/>
        <v>106271</v>
      </c>
      <c r="ET30" s="246">
        <v>71700</v>
      </c>
      <c r="EU30" s="246">
        <f t="shared" si="28"/>
        <v>28215849</v>
      </c>
      <c r="EV30" s="247">
        <f t="shared" si="28"/>
        <v>423237.73499999999</v>
      </c>
      <c r="EW30" s="246">
        <f t="shared" si="29"/>
        <v>1060810</v>
      </c>
      <c r="EX30" s="246">
        <f t="shared" si="30"/>
        <v>43566</v>
      </c>
      <c r="EY30" s="247">
        <f t="shared" si="31"/>
        <v>222477609</v>
      </c>
      <c r="EZ30" s="246">
        <f t="shared" si="32"/>
        <v>38425</v>
      </c>
      <c r="FA30" s="246">
        <f t="shared" si="32"/>
        <v>20812</v>
      </c>
      <c r="FB30" s="246">
        <f t="shared" si="32"/>
        <v>50510684</v>
      </c>
      <c r="FC30" s="247">
        <f t="shared" si="33"/>
        <v>681894.23399999994</v>
      </c>
      <c r="FD30" s="246">
        <v>128</v>
      </c>
      <c r="FE30" s="246">
        <v>116</v>
      </c>
      <c r="FF30" s="246">
        <v>153497</v>
      </c>
    </row>
    <row r="31" spans="1:162" s="248" customFormat="1" ht="15" customHeight="1">
      <c r="A31" s="236"/>
      <c r="B31" s="331"/>
      <c r="C31" s="331"/>
      <c r="D31" s="331"/>
      <c r="E31" s="331"/>
      <c r="F31" s="331"/>
      <c r="G31" s="331"/>
      <c r="H31" s="331"/>
      <c r="I31" s="331"/>
      <c r="J31" s="331"/>
      <c r="K31" s="331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1"/>
      <c r="BB31" s="331"/>
      <c r="BC31" s="331"/>
      <c r="BD31" s="331"/>
      <c r="BE31" s="331"/>
      <c r="BF31" s="331"/>
      <c r="BG31" s="331"/>
      <c r="BH31" s="331"/>
      <c r="BI31" s="331"/>
      <c r="BJ31" s="331"/>
      <c r="BK31" s="331"/>
      <c r="BL31" s="331"/>
      <c r="BM31" s="331"/>
      <c r="BN31" s="331"/>
      <c r="BO31" s="331"/>
      <c r="BP31" s="331"/>
      <c r="BQ31" s="331"/>
      <c r="BR31" s="331"/>
      <c r="BS31" s="331"/>
      <c r="BT31" s="331"/>
      <c r="BU31" s="331"/>
      <c r="BV31" s="331"/>
      <c r="BW31" s="331"/>
      <c r="BX31" s="331"/>
      <c r="BY31" s="331"/>
      <c r="BZ31" s="331"/>
      <c r="CA31" s="331"/>
      <c r="CB31" s="331"/>
      <c r="CC31" s="331"/>
      <c r="CD31" s="331"/>
      <c r="CE31" s="331"/>
      <c r="CF31" s="331"/>
      <c r="CG31" s="331"/>
      <c r="CH31" s="331"/>
      <c r="CI31" s="331"/>
      <c r="CJ31" s="331"/>
      <c r="CK31" s="331"/>
      <c r="CL31" s="331"/>
      <c r="CM31" s="331"/>
      <c r="CN31" s="331"/>
      <c r="CO31" s="331"/>
      <c r="CP31" s="331"/>
      <c r="CQ31" s="331"/>
      <c r="CR31" s="331"/>
      <c r="CS31" s="331"/>
      <c r="CT31" s="331"/>
      <c r="CU31" s="331"/>
      <c r="CV31" s="331"/>
      <c r="CW31" s="331"/>
      <c r="CX31" s="331"/>
      <c r="CY31" s="331"/>
      <c r="CZ31" s="331"/>
      <c r="DA31" s="331"/>
      <c r="DB31" s="331"/>
      <c r="DC31" s="331"/>
      <c r="DD31" s="331"/>
      <c r="DE31" s="331"/>
      <c r="DF31" s="331"/>
      <c r="DG31" s="331"/>
      <c r="DH31" s="331"/>
      <c r="DI31" s="331"/>
      <c r="DJ31" s="331"/>
      <c r="DK31" s="331"/>
      <c r="DL31" s="331"/>
      <c r="DM31" s="331"/>
      <c r="DN31" s="331"/>
      <c r="DO31" s="331"/>
      <c r="DP31" s="331"/>
      <c r="DQ31" s="331"/>
      <c r="DR31" s="331"/>
      <c r="DS31" s="331"/>
      <c r="DT31" s="331"/>
      <c r="DU31" s="331"/>
      <c r="DV31" s="331"/>
      <c r="DW31" s="331"/>
      <c r="DX31" s="331"/>
      <c r="DY31" s="331"/>
      <c r="DZ31" s="331"/>
      <c r="EA31" s="331"/>
      <c r="EB31" s="331"/>
      <c r="EC31" s="331"/>
      <c r="ED31" s="331"/>
      <c r="EE31" s="331"/>
      <c r="EF31" s="331"/>
      <c r="EG31" s="331"/>
      <c r="EH31" s="331"/>
      <c r="EI31" s="332"/>
      <c r="EJ31" s="331"/>
      <c r="EK31" s="331"/>
      <c r="EL31" s="331"/>
      <c r="EM31" s="331"/>
      <c r="EN31" s="331"/>
      <c r="EO31" s="331"/>
      <c r="EP31" s="331"/>
      <c r="EQ31" s="331"/>
      <c r="ER31" s="331"/>
      <c r="ES31" s="331"/>
      <c r="ET31" s="331"/>
      <c r="EU31" s="331"/>
      <c r="EV31" s="331"/>
      <c r="EW31" s="331"/>
      <c r="EX31" s="331"/>
      <c r="EY31" s="331"/>
      <c r="EZ31" s="331"/>
      <c r="FA31" s="331"/>
      <c r="FB31" s="331"/>
      <c r="FC31" s="331"/>
      <c r="FD31" s="331"/>
      <c r="FE31" s="331"/>
      <c r="FF31" s="331"/>
    </row>
    <row r="32" spans="1:162" s="248" customFormat="1" ht="15" customHeight="1">
      <c r="A32" s="236"/>
      <c r="B32" s="331"/>
      <c r="C32" s="331"/>
      <c r="D32" s="331"/>
      <c r="E32" s="331"/>
      <c r="F32" s="331"/>
      <c r="G32" s="331"/>
      <c r="H32" s="331"/>
      <c r="I32" s="331"/>
      <c r="J32" s="331"/>
      <c r="K32" s="331"/>
      <c r="L32" s="331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1"/>
      <c r="BB32" s="331"/>
      <c r="BC32" s="331"/>
      <c r="BD32" s="331"/>
      <c r="BE32" s="331"/>
      <c r="BF32" s="331"/>
      <c r="BG32" s="331"/>
      <c r="BH32" s="331"/>
      <c r="BI32" s="331"/>
      <c r="BJ32" s="331"/>
      <c r="BK32" s="331"/>
      <c r="BL32" s="331"/>
      <c r="BM32" s="331"/>
      <c r="BN32" s="331"/>
      <c r="BO32" s="331"/>
      <c r="BP32" s="331"/>
      <c r="BQ32" s="331"/>
      <c r="BR32" s="331"/>
      <c r="BS32" s="331"/>
      <c r="BT32" s="331"/>
      <c r="BU32" s="331"/>
      <c r="BV32" s="331"/>
      <c r="BW32" s="331"/>
      <c r="BX32" s="331"/>
      <c r="BY32" s="331"/>
      <c r="BZ32" s="331"/>
      <c r="CA32" s="331"/>
      <c r="CB32" s="331"/>
      <c r="CC32" s="331"/>
      <c r="CD32" s="331"/>
      <c r="CE32" s="331"/>
      <c r="CF32" s="331"/>
      <c r="CG32" s="331"/>
      <c r="CH32" s="331"/>
      <c r="CI32" s="331"/>
      <c r="CJ32" s="331"/>
      <c r="CK32" s="331"/>
      <c r="CL32" s="331"/>
      <c r="CM32" s="331"/>
      <c r="CN32" s="331"/>
      <c r="CO32" s="331"/>
      <c r="CP32" s="331"/>
      <c r="CQ32" s="331"/>
      <c r="CR32" s="331"/>
      <c r="CS32" s="331"/>
      <c r="CT32" s="331"/>
      <c r="CU32" s="331"/>
      <c r="CV32" s="331"/>
      <c r="CW32" s="331"/>
      <c r="CX32" s="331"/>
      <c r="CY32" s="331"/>
      <c r="CZ32" s="331"/>
      <c r="DA32" s="331"/>
      <c r="DB32" s="331"/>
      <c r="DC32" s="331"/>
      <c r="DD32" s="331"/>
      <c r="DE32" s="331"/>
      <c r="DF32" s="331"/>
      <c r="DG32" s="331"/>
      <c r="DH32" s="331"/>
      <c r="DI32" s="331"/>
      <c r="DJ32" s="331"/>
      <c r="DK32" s="331"/>
      <c r="DL32" s="331"/>
      <c r="DM32" s="331"/>
      <c r="DN32" s="331"/>
      <c r="DO32" s="331"/>
      <c r="DP32" s="331"/>
      <c r="DQ32" s="331"/>
      <c r="DR32" s="331"/>
      <c r="DS32" s="331"/>
      <c r="DT32" s="331"/>
      <c r="DU32" s="331"/>
      <c r="DV32" s="331"/>
      <c r="DW32" s="331"/>
      <c r="DX32" s="331"/>
      <c r="DY32" s="331"/>
      <c r="DZ32" s="331"/>
      <c r="EA32" s="331"/>
      <c r="EB32" s="331"/>
      <c r="EC32" s="331"/>
      <c r="ED32" s="331"/>
      <c r="EE32" s="331"/>
      <c r="EF32" s="331"/>
      <c r="EG32" s="331"/>
      <c r="EH32" s="331"/>
      <c r="EI32" s="332"/>
      <c r="EJ32" s="331"/>
      <c r="EK32" s="331"/>
      <c r="EL32" s="331"/>
      <c r="EM32" s="331"/>
      <c r="EN32" s="331"/>
      <c r="EO32" s="331"/>
      <c r="EP32" s="331"/>
      <c r="EQ32" s="331"/>
      <c r="ER32" s="331"/>
      <c r="ES32" s="331"/>
      <c r="ET32" s="331"/>
      <c r="EU32" s="331"/>
      <c r="EV32" s="331"/>
      <c r="EW32" s="331"/>
      <c r="EX32" s="331"/>
      <c r="EY32" s="331"/>
      <c r="EZ32" s="331"/>
      <c r="FA32" s="331"/>
      <c r="FB32" s="331"/>
      <c r="FC32" s="331"/>
      <c r="FD32" s="331"/>
      <c r="FE32" s="331"/>
      <c r="FF32" s="331"/>
    </row>
    <row r="33" spans="1:162" s="248" customFormat="1" ht="15" customHeight="1">
      <c r="A33" s="236"/>
      <c r="B33" s="331"/>
      <c r="C33" s="331"/>
      <c r="D33" s="331"/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1"/>
      <c r="BB33" s="331"/>
      <c r="BC33" s="331"/>
      <c r="BD33" s="331"/>
      <c r="BE33" s="331"/>
      <c r="BF33" s="331"/>
      <c r="BG33" s="331"/>
      <c r="BH33" s="331"/>
      <c r="BI33" s="331"/>
      <c r="BJ33" s="331"/>
      <c r="BK33" s="331"/>
      <c r="BL33" s="331"/>
      <c r="BM33" s="331"/>
      <c r="BN33" s="331"/>
      <c r="BO33" s="331"/>
      <c r="BP33" s="331"/>
      <c r="BQ33" s="331"/>
      <c r="BR33" s="331"/>
      <c r="BS33" s="331"/>
      <c r="BT33" s="331"/>
      <c r="BU33" s="331"/>
      <c r="BV33" s="331"/>
      <c r="BW33" s="331"/>
      <c r="BX33" s="331"/>
      <c r="BY33" s="331"/>
      <c r="BZ33" s="331"/>
      <c r="CA33" s="331"/>
      <c r="CB33" s="331"/>
      <c r="CC33" s="331"/>
      <c r="CD33" s="331"/>
      <c r="CE33" s="331"/>
      <c r="CF33" s="331"/>
      <c r="CG33" s="331"/>
      <c r="CH33" s="331"/>
      <c r="CI33" s="331"/>
      <c r="CJ33" s="331"/>
      <c r="CK33" s="331"/>
      <c r="CL33" s="331"/>
      <c r="CM33" s="331"/>
      <c r="CN33" s="331"/>
      <c r="CO33" s="331"/>
      <c r="CP33" s="331"/>
      <c r="CQ33" s="331"/>
      <c r="CR33" s="331"/>
      <c r="CS33" s="331"/>
      <c r="CT33" s="331"/>
      <c r="CU33" s="331"/>
      <c r="CV33" s="331"/>
      <c r="CW33" s="331"/>
      <c r="CX33" s="331"/>
      <c r="CY33" s="331"/>
      <c r="CZ33" s="331"/>
      <c r="DA33" s="331"/>
      <c r="DB33" s="331"/>
      <c r="DC33" s="331"/>
      <c r="DD33" s="331"/>
      <c r="DE33" s="331"/>
      <c r="DF33" s="331"/>
      <c r="DG33" s="331"/>
      <c r="DH33" s="331"/>
      <c r="DI33" s="331"/>
      <c r="DJ33" s="331"/>
      <c r="DK33" s="331"/>
      <c r="DL33" s="331"/>
      <c r="DM33" s="331"/>
      <c r="DN33" s="331"/>
      <c r="DO33" s="331"/>
      <c r="DP33" s="331"/>
      <c r="DQ33" s="331"/>
      <c r="DR33" s="331"/>
      <c r="DS33" s="331"/>
      <c r="DT33" s="331"/>
      <c r="DU33" s="331"/>
      <c r="DV33" s="331"/>
      <c r="DW33" s="331"/>
      <c r="DX33" s="331"/>
      <c r="DY33" s="331"/>
      <c r="DZ33" s="331"/>
      <c r="EA33" s="331"/>
      <c r="EB33" s="331"/>
      <c r="EC33" s="331"/>
      <c r="ED33" s="331"/>
      <c r="EE33" s="331"/>
      <c r="EF33" s="331"/>
      <c r="EG33" s="331"/>
      <c r="EH33" s="331"/>
      <c r="EI33" s="332"/>
      <c r="EJ33" s="331"/>
      <c r="EK33" s="331"/>
      <c r="EL33" s="331"/>
      <c r="EM33" s="331"/>
      <c r="EN33" s="331"/>
      <c r="EO33" s="331"/>
      <c r="EP33" s="331"/>
      <c r="EQ33" s="331"/>
      <c r="ER33" s="331"/>
      <c r="ES33" s="331"/>
      <c r="ET33" s="331"/>
      <c r="EU33" s="331"/>
      <c r="EV33" s="331"/>
      <c r="EW33" s="331"/>
      <c r="EX33" s="331"/>
      <c r="EY33" s="331"/>
      <c r="EZ33" s="331"/>
      <c r="FA33" s="331"/>
      <c r="FB33" s="331"/>
      <c r="FC33" s="331"/>
      <c r="FD33" s="331"/>
      <c r="FE33" s="331"/>
      <c r="FF33" s="331"/>
    </row>
    <row r="34" spans="1:162" s="471" customFormat="1" ht="11.15" customHeight="1">
      <c r="A34" s="260" t="s">
        <v>1150</v>
      </c>
      <c r="B34" s="261"/>
      <c r="C34" s="262"/>
      <c r="D34" s="262"/>
      <c r="E34" s="262"/>
      <c r="F34" s="262"/>
      <c r="G34" s="427"/>
      <c r="H34" s="262"/>
      <c r="I34" s="262"/>
      <c r="J34" s="262"/>
      <c r="K34" s="262"/>
      <c r="L34" s="262"/>
      <c r="M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4">
        <v>2326</v>
      </c>
      <c r="AI34" s="264">
        <v>2046</v>
      </c>
      <c r="AJ34" s="264">
        <v>101829900</v>
      </c>
      <c r="AK34" s="262"/>
      <c r="AL34" s="262"/>
      <c r="AM34" s="264">
        <v>204600</v>
      </c>
      <c r="AN34" s="262"/>
      <c r="AO34" s="265">
        <v>2120</v>
      </c>
      <c r="AP34" s="265">
        <v>2120</v>
      </c>
      <c r="AQ34" s="265">
        <v>106000000</v>
      </c>
      <c r="AR34" s="262"/>
      <c r="AS34" s="265">
        <v>212000</v>
      </c>
      <c r="AT34" s="262"/>
      <c r="AU34" s="262" t="s">
        <v>580</v>
      </c>
      <c r="AV34" s="262"/>
      <c r="AW34" s="262"/>
      <c r="AX34" s="262"/>
      <c r="AY34" s="266">
        <v>-21387</v>
      </c>
      <c r="AZ34" s="262"/>
      <c r="BA34" s="266">
        <v>-698588193</v>
      </c>
      <c r="BB34" s="262"/>
      <c r="BC34" s="266">
        <v>620266.49999995832</v>
      </c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T34" s="262"/>
      <c r="BU34" s="262"/>
      <c r="BV34" s="262"/>
      <c r="BW34" s="262"/>
      <c r="BX34" s="262"/>
      <c r="BY34" s="262"/>
      <c r="BZ34" s="262"/>
      <c r="CA34" s="267"/>
      <c r="CB34" s="262"/>
      <c r="CC34" s="267"/>
      <c r="CD34" s="262"/>
      <c r="CE34" s="262"/>
      <c r="CF34" s="262"/>
      <c r="CG34" s="262"/>
      <c r="CH34" s="262"/>
      <c r="CI34" s="262"/>
      <c r="CJ34" s="262"/>
      <c r="CK34" s="268">
        <v>507</v>
      </c>
      <c r="CL34" s="268">
        <v>20280000</v>
      </c>
      <c r="CM34" s="268"/>
      <c r="CO34" s="262"/>
      <c r="CP34" s="262"/>
      <c r="CQ34" s="262"/>
      <c r="CR34" s="262"/>
      <c r="CS34" s="262"/>
      <c r="CT34" s="262"/>
      <c r="CU34" s="262"/>
      <c r="CV34" s="262"/>
      <c r="CW34" s="262"/>
      <c r="CX34" s="267">
        <f>BQ38+CA38+CA34</f>
        <v>3079544</v>
      </c>
      <c r="CZ34" s="267">
        <f>BS38+CC38+CH38</f>
        <v>1871842819</v>
      </c>
      <c r="DA34" s="262"/>
      <c r="DB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D34" s="269">
        <f>CJ38+CE38+BU38</f>
        <v>24663162.211500004</v>
      </c>
      <c r="EE34" s="262"/>
      <c r="EF34" s="262"/>
      <c r="EG34" s="262"/>
      <c r="EH34" s="262"/>
      <c r="EI34" s="270">
        <f>SUM(AF34,AX34,AS34,DI34,CU34)+(DO34)+BC34+BJ34+AM34+EE34+BO34+EF34</f>
        <v>1036866.4999999583</v>
      </c>
      <c r="EJ34" s="270">
        <f>SUM(Y34,AE34,DF34)+BD34+AL34+CW34+EG34+BP34</f>
        <v>0</v>
      </c>
      <c r="EK34" s="271"/>
      <c r="EL34" s="471">
        <f>SUM(EL3:EL33)</f>
        <v>197289</v>
      </c>
      <c r="EM34" s="471">
        <f t="shared" ref="EM34:EN34" si="34">SUM(EM3:EM33)</f>
        <v>79441844</v>
      </c>
      <c r="EN34" s="471">
        <f t="shared" si="34"/>
        <v>1191627.6600000004</v>
      </c>
    </row>
    <row r="35" spans="1:162" s="471" customFormat="1" ht="13.5" customHeight="1">
      <c r="A35" s="260" t="s">
        <v>1151</v>
      </c>
      <c r="B35" s="261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428">
        <f>-7032660-16738729</f>
        <v>-23771389</v>
      </c>
      <c r="AN35" s="262"/>
      <c r="AO35" s="273">
        <v>123614</v>
      </c>
      <c r="AP35" s="471">
        <v>30573</v>
      </c>
      <c r="AQ35" s="265">
        <v>1965532747</v>
      </c>
      <c r="AR35" s="262"/>
      <c r="AS35" s="428">
        <v>6180800</v>
      </c>
      <c r="AT35" s="262"/>
      <c r="AU35" s="262"/>
      <c r="AW35" s="262"/>
      <c r="AX35" s="262"/>
      <c r="AY35" s="262"/>
      <c r="AZ35" s="262"/>
      <c r="BA35" s="262"/>
      <c r="BB35" s="262"/>
      <c r="BC35" s="428">
        <v>456600</v>
      </c>
      <c r="BD35" s="262"/>
      <c r="BE35" s="262">
        <v>2112</v>
      </c>
      <c r="BG35" s="262">
        <v>147373775</v>
      </c>
      <c r="BH35" s="262"/>
      <c r="BI35" s="428">
        <f>BE35*56</f>
        <v>118272</v>
      </c>
      <c r="BJ35" s="428"/>
      <c r="BK35" s="262"/>
      <c r="BL35" s="262"/>
      <c r="BM35" s="262"/>
      <c r="BN35" s="262"/>
      <c r="BO35" s="428"/>
      <c r="BP35" s="262"/>
      <c r="BQ35" s="262">
        <v>1895339</v>
      </c>
      <c r="BR35" s="262"/>
      <c r="BS35" s="262">
        <v>404477230</v>
      </c>
      <c r="BT35" s="262"/>
      <c r="BU35" s="428">
        <f>BS35*1.2%</f>
        <v>4853726.76</v>
      </c>
      <c r="BV35" s="262"/>
      <c r="BW35" s="262"/>
      <c r="BX35" s="262"/>
      <c r="BY35" s="262"/>
      <c r="BZ35" s="262"/>
      <c r="CA35" s="267"/>
      <c r="CB35" s="262"/>
      <c r="CC35" s="267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428">
        <v>3372140</v>
      </c>
      <c r="CO35" s="262"/>
      <c r="CQ35" s="262"/>
      <c r="CR35" s="262"/>
      <c r="CS35" s="262"/>
      <c r="CT35" s="262"/>
      <c r="CU35" s="428">
        <v>260118</v>
      </c>
      <c r="CV35" s="262"/>
      <c r="CW35" s="262"/>
      <c r="CX35" s="267"/>
      <c r="CZ35" s="267"/>
      <c r="DA35" s="262"/>
      <c r="DB35" s="262"/>
      <c r="DE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472">
        <v>-1950</v>
      </c>
      <c r="DV35" s="262"/>
      <c r="DW35" s="262"/>
      <c r="DX35" s="262"/>
      <c r="DY35" s="262"/>
      <c r="DZ35" s="262"/>
      <c r="EA35" s="262"/>
      <c r="ED35" s="472">
        <v>-1072272</v>
      </c>
      <c r="EE35" s="472">
        <v>2081739</v>
      </c>
      <c r="EF35" s="262"/>
      <c r="EG35" s="262"/>
      <c r="EH35" s="262"/>
      <c r="EI35" s="270">
        <f>EE35+ED35+DU35+CU35+CN35+BO35+BJ35+BC35+AS35+AM35+ED36+BJ36+BI35+BU35+EE36</f>
        <v>-5346653.7931999993</v>
      </c>
      <c r="EJ35" s="270"/>
      <c r="EK35" s="429"/>
    </row>
    <row r="36" spans="1:162" s="471" customFormat="1">
      <c r="A36" s="260" t="s">
        <v>1152</v>
      </c>
      <c r="B36" s="261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75">
        <v>-653278</v>
      </c>
      <c r="Z36" s="430"/>
      <c r="AA36" s="262"/>
      <c r="AB36" s="262"/>
      <c r="AC36" s="262"/>
      <c r="AD36" s="262"/>
      <c r="AE36" s="430">
        <v>868107</v>
      </c>
      <c r="AF36" s="262"/>
      <c r="AG36" s="262"/>
      <c r="AH36" s="262"/>
      <c r="AI36" s="262"/>
      <c r="AJ36" s="262"/>
      <c r="AK36" s="262"/>
      <c r="AL36" s="275">
        <v>-578988</v>
      </c>
      <c r="AM36" s="431"/>
      <c r="AN36" s="262"/>
      <c r="AO36" s="262"/>
      <c r="AP36" s="262"/>
      <c r="AQ36" s="262"/>
      <c r="AR36" s="262"/>
      <c r="AS36" s="431"/>
      <c r="AT36" s="262"/>
      <c r="AU36" s="262"/>
      <c r="AW36" s="262"/>
      <c r="AX36" s="262"/>
      <c r="AY36" s="432"/>
      <c r="BC36" s="431"/>
      <c r="BD36" s="473"/>
      <c r="BE36" s="262"/>
      <c r="BF36" s="262"/>
      <c r="BG36" s="262"/>
      <c r="BH36" s="262"/>
      <c r="BI36" s="262"/>
      <c r="BJ36" s="272">
        <f>(BG38-BG35)*0.14%</f>
        <v>2174861.4468000005</v>
      </c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N36" s="473">
        <v>1729653</v>
      </c>
      <c r="CO36" s="262"/>
      <c r="CP36" s="262"/>
      <c r="CQ36" s="262"/>
      <c r="CR36" s="262"/>
      <c r="CS36" s="262"/>
      <c r="CT36" s="262"/>
      <c r="CU36" s="262"/>
      <c r="CV36" s="262"/>
      <c r="CW36" s="473">
        <v>21458</v>
      </c>
      <c r="CX36" s="267">
        <v>7</v>
      </c>
      <c r="CY36" s="471">
        <v>6</v>
      </c>
      <c r="CZ36" s="267">
        <v>85200000</v>
      </c>
      <c r="DA36" s="279"/>
      <c r="DB36" s="262"/>
      <c r="DC36" s="262"/>
      <c r="DD36" s="262"/>
      <c r="DE36" s="262"/>
      <c r="DF36" s="430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473">
        <v>3685599</v>
      </c>
      <c r="DW36" s="262"/>
      <c r="DY36" s="262"/>
      <c r="DZ36" s="262"/>
      <c r="EA36" s="262"/>
      <c r="EB36" s="262"/>
      <c r="EC36" s="262"/>
      <c r="ED36" s="262">
        <v>700</v>
      </c>
      <c r="EE36" s="472"/>
      <c r="EF36" s="473"/>
      <c r="EG36" s="262"/>
      <c r="EH36" s="473"/>
      <c r="EI36" s="270" t="s">
        <v>580</v>
      </c>
      <c r="EJ36" s="270">
        <f>SUM(Y36,AE36,DF36)+BD36+AL36+CW36+EF36+BP36+DV36+Z36+CN36+EK36+EL36</f>
        <v>5072551</v>
      </c>
      <c r="EK36" s="473"/>
    </row>
    <row r="37" spans="1:162" s="471" customFormat="1">
      <c r="A37" s="280" t="s">
        <v>1153</v>
      </c>
      <c r="B37" s="281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7">
        <f>BV38</f>
        <v>791</v>
      </c>
      <c r="CZ37" s="267">
        <f>BX38</f>
        <v>27435121</v>
      </c>
      <c r="DA37" s="279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D37" s="268">
        <f>BZ38</f>
        <v>137172</v>
      </c>
      <c r="EE37" s="262"/>
      <c r="EF37" s="262"/>
      <c r="EG37" s="262"/>
      <c r="EH37" s="262"/>
      <c r="EI37" s="270">
        <f>SUM(AF37,AX37,AS37,DI37,CN37,CU37)+(DO37)+BC37+BJ37+AM37+EE37+BO37+EC37</f>
        <v>0</v>
      </c>
      <c r="EJ37" s="270">
        <f>SUM(Y37,AE37,DF37)+BD37+AL37+CW37+EF37+BP37</f>
        <v>0</v>
      </c>
      <c r="EK37" s="271"/>
      <c r="EM37" s="471">
        <f>+EM36-EM34</f>
        <v>-79441844</v>
      </c>
    </row>
    <row r="38" spans="1:162" ht="12.5" thickBot="1">
      <c r="A38" s="282" t="s">
        <v>75</v>
      </c>
      <c r="B38" s="433">
        <f>SUM(B3:B33)</f>
        <v>166112</v>
      </c>
      <c r="C38" s="433">
        <f>SUM(C3:C33)</f>
        <v>168609</v>
      </c>
      <c r="D38" s="433">
        <f>SUM(D3:D33)</f>
        <v>169401</v>
      </c>
      <c r="E38" s="433"/>
      <c r="F38" s="433"/>
      <c r="G38" s="433"/>
      <c r="H38" s="433"/>
      <c r="I38" s="433"/>
      <c r="J38" s="433"/>
      <c r="K38" s="433">
        <f>SUM(K3:K33)</f>
        <v>5707</v>
      </c>
      <c r="L38" s="433"/>
      <c r="M38" s="433"/>
      <c r="N38" s="433"/>
      <c r="O38" s="433">
        <f>SUM(O3:O34)</f>
        <v>28660125</v>
      </c>
      <c r="P38" s="433">
        <f>SUM(P3:P34)</f>
        <v>5628237280</v>
      </c>
      <c r="Q38" s="433">
        <f>SUM(Q3:Q33)</f>
        <v>151160</v>
      </c>
      <c r="R38" s="433">
        <f>SUM(R3:R33)</f>
        <v>25790770</v>
      </c>
      <c r="S38" s="433">
        <f>SUM(S3:S33)</f>
        <v>201312834</v>
      </c>
      <c r="T38" s="433">
        <f>SUM(T3:T33)</f>
        <v>17</v>
      </c>
      <c r="U38" s="434">
        <f>SUM(U2:U33)</f>
        <v>4446028</v>
      </c>
      <c r="V38" s="434"/>
      <c r="W38" s="434">
        <f>SUM(W2:W33)</f>
        <v>3564148</v>
      </c>
      <c r="X38" s="434">
        <f>SUM(X2:X33)</f>
        <v>30300920256</v>
      </c>
      <c r="Y38" s="434">
        <f>SUM(Y3:Y36)+Z36</f>
        <v>97814655</v>
      </c>
      <c r="Z38" s="434">
        <f>SUM(Z2:Z33)</f>
        <v>210855</v>
      </c>
      <c r="AA38" s="434">
        <f>SUM(AA2:AA33)</f>
        <v>2</v>
      </c>
      <c r="AB38" s="434"/>
      <c r="AC38" s="434">
        <f>SUM(AC2:AC33)</f>
        <v>345500</v>
      </c>
      <c r="AD38" s="434">
        <f>SUM(AD2:AD33)</f>
        <v>12814</v>
      </c>
      <c r="AE38" s="434">
        <f>SUM(AE2:AE33)+AE36</f>
        <v>870375</v>
      </c>
      <c r="AF38" s="434">
        <f>SUM(AF2:AF33)</f>
        <v>0</v>
      </c>
      <c r="AG38" s="434"/>
      <c r="AH38" s="434">
        <f>SUM(AH3:AH34)</f>
        <v>3228822</v>
      </c>
      <c r="AI38" s="434"/>
      <c r="AJ38" s="434">
        <f>SUM(AJ2:AJ34)</f>
        <v>28520610025</v>
      </c>
      <c r="AK38" s="434">
        <f>SUM(AK2:AK34)</f>
        <v>230933</v>
      </c>
      <c r="AL38" s="434">
        <f>SUM(AL2:AL36)</f>
        <v>272050042</v>
      </c>
      <c r="AM38" s="434">
        <f>SUM(AM3:AM35)</f>
        <v>522418227</v>
      </c>
      <c r="AN38" s="434"/>
      <c r="AO38" s="434">
        <f>SUM(AO2:AO35)</f>
        <v>587394</v>
      </c>
      <c r="AP38" s="434"/>
      <c r="AQ38" s="434">
        <f>SUM(AQ2:AQ35)</f>
        <v>6076368900</v>
      </c>
      <c r="AR38" s="434">
        <f>SUM(AR2:AR34)</f>
        <v>81789</v>
      </c>
      <c r="AS38" s="434">
        <f>SUM(AS3:AS35)</f>
        <v>33804700</v>
      </c>
      <c r="AT38" s="434">
        <f>SUM(AT3:AT33)</f>
        <v>2924</v>
      </c>
      <c r="AU38" s="434"/>
      <c r="AV38" s="434">
        <f>SUM(AV3:AV33)</f>
        <v>14202151</v>
      </c>
      <c r="AW38" s="434">
        <f>SUM(AW3:AW33)</f>
        <v>8866</v>
      </c>
      <c r="AX38" s="434">
        <f>SUM(AX3:AX33)</f>
        <v>790900</v>
      </c>
      <c r="AY38" s="434">
        <f>SUM(AY3:AY34)</f>
        <v>2016</v>
      </c>
      <c r="AZ38" s="434">
        <f>SUM(AZ3:AZ34)</f>
        <v>15886</v>
      </c>
      <c r="BA38" s="434">
        <f>SUM(BA3:BA34)</f>
        <v>77923737</v>
      </c>
      <c r="BB38" s="434">
        <f>SUM(BB3:BB34)</f>
        <v>9627</v>
      </c>
      <c r="BC38" s="434">
        <f>SUM(BC3:BC35)</f>
        <v>1562766.4999999583</v>
      </c>
      <c r="BD38" s="434">
        <f>SUM(BD3:BD33)</f>
        <v>152648</v>
      </c>
      <c r="BE38" s="434">
        <f>SUM(BE3:BE33)+BE35</f>
        <v>76837</v>
      </c>
      <c r="BF38" s="434"/>
      <c r="BG38" s="434">
        <f>SUM(BG3:BG33)+BG35</f>
        <v>1700846237</v>
      </c>
      <c r="BH38" s="434">
        <f>SUM(BH3:BH33)</f>
        <v>15924</v>
      </c>
      <c r="BI38" s="434">
        <f>SUM(BI3:BI33)</f>
        <v>0</v>
      </c>
      <c r="BJ38" s="434">
        <f>SUM(BJ3:BJ36)+BI35</f>
        <v>2293133.4468000005</v>
      </c>
      <c r="BK38" s="434">
        <f>SUM(BK3:BK33)</f>
        <v>3789</v>
      </c>
      <c r="BL38" s="434"/>
      <c r="BM38" s="434">
        <f>SUM(BM3:BM33)</f>
        <v>86117513</v>
      </c>
      <c r="BN38" s="434">
        <f>SUM(BN3:BN33)</f>
        <v>2768</v>
      </c>
      <c r="BO38" s="434">
        <f>SUM(BO3:BO35)</f>
        <v>1819100</v>
      </c>
      <c r="BP38" s="434">
        <f>SUM(BP3:BP33)</f>
        <v>727640</v>
      </c>
      <c r="BQ38" s="434">
        <f>SUM(BQ3:BQ33)+BQ35</f>
        <v>3079544</v>
      </c>
      <c r="BR38" s="434"/>
      <c r="BS38" s="434">
        <f>SUM(BS3:BS33)+BS35</f>
        <v>1871842819</v>
      </c>
      <c r="BT38" s="434">
        <f>SUM(BT3:BT33)</f>
        <v>0</v>
      </c>
      <c r="BU38" s="434">
        <f>SUM(BU3:BU33)+BU35</f>
        <v>24663162.211500004</v>
      </c>
      <c r="BV38" s="434">
        <f>SUM(BV3:BV33)</f>
        <v>791</v>
      </c>
      <c r="BW38" s="434"/>
      <c r="BX38" s="434">
        <f>SUM(BX3:BX33)</f>
        <v>27435121</v>
      </c>
      <c r="BY38" s="434">
        <f>SUM(BY3:BY33)</f>
        <v>1</v>
      </c>
      <c r="BZ38" s="434">
        <f>SUM(BZ3:BZ33)</f>
        <v>137172</v>
      </c>
      <c r="CA38" s="434">
        <f>SUM(CA3:CA33)</f>
        <v>0</v>
      </c>
      <c r="CB38" s="434"/>
      <c r="CC38" s="434">
        <f>SUM(CC3:CC33)</f>
        <v>0</v>
      </c>
      <c r="CD38" s="434">
        <f>SUM(CD3:CD33)</f>
        <v>0</v>
      </c>
      <c r="CE38" s="434">
        <f>SUM(CE3:CE33)</f>
        <v>0</v>
      </c>
      <c r="CF38" s="434">
        <f>SUM(CF3:CF33)</f>
        <v>0</v>
      </c>
      <c r="CG38" s="434"/>
      <c r="CH38" s="434">
        <f>SUM(CH3:CH33)</f>
        <v>0</v>
      </c>
      <c r="CI38" s="434">
        <f>SUM(CI3:CI33)</f>
        <v>0</v>
      </c>
      <c r="CJ38" s="434">
        <f>SUM(CJ3:CJ33)</f>
        <v>0</v>
      </c>
      <c r="CK38" s="434">
        <f>SUM(CK3:CK34)</f>
        <v>36527</v>
      </c>
      <c r="CL38" s="434">
        <f>SUM(CL3:CL34)</f>
        <v>763881390</v>
      </c>
      <c r="CM38" s="434">
        <f>SUM(CM3:CM34)</f>
        <v>0</v>
      </c>
      <c r="CN38" s="434">
        <f>SUM(CN3:CN35)</f>
        <v>3372140</v>
      </c>
      <c r="CO38" s="434">
        <f>SUM(CO3:CO33)</f>
        <v>2792369</v>
      </c>
      <c r="CP38" s="434"/>
      <c r="CQ38" s="434">
        <f>SUM(CQ3:CQ33)</f>
        <v>913333660</v>
      </c>
      <c r="CR38" s="434">
        <f>SUM(CR3:CR33)</f>
        <v>203741</v>
      </c>
      <c r="CS38" s="434">
        <f>SUM(CS3:CS33)</f>
        <v>393930</v>
      </c>
      <c r="CT38" s="434">
        <f>SUM(CT3:CT33)</f>
        <v>1121786993</v>
      </c>
      <c r="CU38" s="434">
        <f>SUM(CU3:CU35)</f>
        <v>11911223</v>
      </c>
      <c r="CV38" s="434">
        <f>SUM(CV3:CV33)</f>
        <v>82998</v>
      </c>
      <c r="CW38" s="434">
        <f>SUM(CW3:CW33)+CW36</f>
        <v>1051515</v>
      </c>
      <c r="CX38" s="434">
        <f>SUM(CX3:CX33)</f>
        <v>578492</v>
      </c>
      <c r="CY38" s="434"/>
      <c r="CZ38" s="434">
        <f>SUM(CZ3:CZ33)</f>
        <v>7109590187</v>
      </c>
      <c r="DA38" s="434">
        <f>SUM(DA3:DA33)</f>
        <v>77106</v>
      </c>
      <c r="DB38" s="434">
        <f>SUM(DB3:DB33)</f>
        <v>677</v>
      </c>
      <c r="DC38" s="434"/>
      <c r="DD38" s="434">
        <f>SUM(DD3:DD33)</f>
        <v>8863446</v>
      </c>
      <c r="DE38" s="434">
        <f>SUM(DE3:DE33)</f>
        <v>39</v>
      </c>
      <c r="DF38" s="434">
        <f>SUM(DF3:DF33)+DF36</f>
        <v>103297</v>
      </c>
      <c r="DG38" s="434">
        <f>SUM(DG3:DG33)</f>
        <v>0</v>
      </c>
      <c r="DH38" s="434">
        <f>SUM(DH3:DH33)</f>
        <v>0</v>
      </c>
      <c r="DI38" s="434">
        <f>SUM(DI3:DI33)</f>
        <v>0</v>
      </c>
      <c r="DJ38" s="434">
        <f>SUM(DJ3:DJ33)</f>
        <v>28</v>
      </c>
      <c r="DK38" s="434">
        <f>SUM(DK3:DK33)</f>
        <v>266477</v>
      </c>
      <c r="DL38" s="434"/>
      <c r="DM38" s="434">
        <f t="shared" ref="DM38:DT38" si="35">SUM(DM3:DM33)</f>
        <v>8199905758</v>
      </c>
      <c r="DN38" s="434">
        <f t="shared" si="35"/>
        <v>57234</v>
      </c>
      <c r="DO38" s="434">
        <f t="shared" si="35"/>
        <v>56517500</v>
      </c>
      <c r="DP38" s="434">
        <f t="shared" si="35"/>
        <v>0</v>
      </c>
      <c r="DQ38" s="434">
        <f t="shared" si="35"/>
        <v>650451366</v>
      </c>
      <c r="DR38" s="434">
        <f t="shared" si="35"/>
        <v>0</v>
      </c>
      <c r="DS38" s="434">
        <f t="shared" si="35"/>
        <v>266477</v>
      </c>
      <c r="DT38" s="434">
        <f t="shared" si="35"/>
        <v>8199905758</v>
      </c>
      <c r="DU38" s="434">
        <f>SUM(DU3:DU35)</f>
        <v>56515550</v>
      </c>
      <c r="DV38" s="434">
        <f>SUM(DV3:DV33)+DV36</f>
        <v>3685599</v>
      </c>
      <c r="DW38" s="434">
        <f t="shared" ref="DW38:EC38" si="36">SUM(DW3:DW33)</f>
        <v>157190</v>
      </c>
      <c r="DX38" s="434">
        <f>SUM(DX3:DX33)</f>
        <v>4695661966</v>
      </c>
      <c r="DY38" s="434">
        <f>SUM(DY3:DY33)</f>
        <v>109287</v>
      </c>
      <c r="DZ38" s="434">
        <f t="shared" si="36"/>
        <v>3504243792</v>
      </c>
      <c r="EA38" s="434">
        <f t="shared" si="36"/>
        <v>67942911</v>
      </c>
      <c r="EB38" s="434">
        <f t="shared" si="36"/>
        <v>90576618348</v>
      </c>
      <c r="EC38" s="434">
        <f t="shared" si="36"/>
        <v>937469</v>
      </c>
      <c r="ED38" s="434">
        <f>SUM(ED3:ED33)+ED35</f>
        <v>24690055</v>
      </c>
      <c r="EE38" s="434">
        <f>SUM(EE3:EE33)+EE35</f>
        <v>13052019</v>
      </c>
      <c r="EF38" s="434">
        <f>SUM(EF3:EF33)</f>
        <v>14705781</v>
      </c>
      <c r="EG38" s="434">
        <f>SUM(EG3:EG33)</f>
        <v>0</v>
      </c>
      <c r="EH38" s="434">
        <f>SUM(EH3:EH36)</f>
        <v>34274239</v>
      </c>
      <c r="EI38" s="434">
        <f>SUM(EI3:EI37)</f>
        <v>712256821.49330008</v>
      </c>
      <c r="EJ38" s="284">
        <f>SUM(EJ3:EJ37)</f>
        <v>392891205</v>
      </c>
      <c r="EK38" s="284">
        <f>SUM(EK3:EK33)</f>
        <v>238227</v>
      </c>
      <c r="EL38" s="434">
        <f>SUM(EL3:EL33)</f>
        <v>197289</v>
      </c>
      <c r="EM38" s="434">
        <f>SUM(EM3:EM33)</f>
        <v>79441844</v>
      </c>
      <c r="EN38" s="434"/>
      <c r="EO38" s="434"/>
      <c r="EP38" s="434"/>
      <c r="EQ38" s="434"/>
      <c r="ER38" s="434"/>
      <c r="ES38" s="434"/>
      <c r="ET38" s="434"/>
      <c r="EU38" s="434">
        <f>SUM(EU3:EU33)</f>
        <v>758706089</v>
      </c>
      <c r="EV38" s="434">
        <f>SUM(EV3:EV33)</f>
        <v>11380591.334999997</v>
      </c>
      <c r="EW38" s="434">
        <f t="shared" ref="EW38:FF38" si="37">SUM(EW3:EW33)</f>
        <v>28513995</v>
      </c>
      <c r="EX38" s="434">
        <f t="shared" si="37"/>
        <v>1168496</v>
      </c>
      <c r="EY38" s="434">
        <f>SUM(EY3:EY33)</f>
        <v>5782864851</v>
      </c>
      <c r="EZ38" s="434">
        <f t="shared" si="37"/>
        <v>1184205</v>
      </c>
      <c r="FA38" s="434">
        <f t="shared" si="37"/>
        <v>640984</v>
      </c>
      <c r="FB38" s="434">
        <f t="shared" si="37"/>
        <v>1467365589</v>
      </c>
      <c r="FC38" s="434">
        <f t="shared" si="37"/>
        <v>19809435.451500002</v>
      </c>
      <c r="FD38" s="434">
        <f t="shared" si="37"/>
        <v>3189</v>
      </c>
      <c r="FE38" s="434">
        <f t="shared" si="37"/>
        <v>2975</v>
      </c>
      <c r="FF38" s="434">
        <f t="shared" si="37"/>
        <v>3845382</v>
      </c>
    </row>
    <row r="39" spans="1:162" ht="12.5" thickBot="1">
      <c r="A39" s="435"/>
      <c r="B39" s="435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435"/>
      <c r="AN39" s="435"/>
      <c r="AO39" s="435"/>
      <c r="AP39" s="435"/>
      <c r="AQ39" s="435"/>
      <c r="AR39" s="435"/>
      <c r="AS39" s="436">
        <f>AS38/1.18</f>
        <v>28648050.847457629</v>
      </c>
      <c r="AT39" s="435"/>
      <c r="AU39" s="435"/>
      <c r="AV39" s="435"/>
      <c r="AW39" s="435"/>
      <c r="AX39" s="437">
        <f>AX38/1.18</f>
        <v>670254.23728813569</v>
      </c>
      <c r="AY39" s="475">
        <v>21478</v>
      </c>
      <c r="BA39" s="475">
        <v>714932760</v>
      </c>
      <c r="BB39" s="435"/>
      <c r="BC39" s="436">
        <f>BC38/1.18</f>
        <v>1324378.3898304731</v>
      </c>
      <c r="BD39" s="435"/>
      <c r="BE39" s="435"/>
      <c r="BF39" s="435"/>
      <c r="BG39" s="435"/>
      <c r="BH39" s="435"/>
      <c r="BI39" s="435"/>
      <c r="BJ39" s="437">
        <f>BJ38/1.18</f>
        <v>1943333.429491526</v>
      </c>
      <c r="BK39" s="435"/>
      <c r="BL39" s="435"/>
      <c r="BM39" s="435"/>
      <c r="BN39" s="435"/>
      <c r="BO39" s="437">
        <f>BO38/1.18</f>
        <v>1541610.1694915255</v>
      </c>
      <c r="BP39" s="435"/>
      <c r="BQ39" s="435"/>
      <c r="BR39" s="435"/>
      <c r="BS39" s="435"/>
      <c r="BT39" s="435"/>
      <c r="BU39" s="435"/>
      <c r="BV39" s="435"/>
      <c r="BW39" s="435"/>
      <c r="BX39" s="435"/>
      <c r="BY39" s="435"/>
      <c r="BZ39" s="435"/>
      <c r="CA39" s="435"/>
      <c r="CB39" s="435"/>
      <c r="CC39" s="435"/>
      <c r="CD39" s="435"/>
      <c r="CE39" s="435"/>
      <c r="CF39" s="435"/>
      <c r="CG39" s="435"/>
      <c r="CH39" s="435"/>
      <c r="CI39" s="435"/>
      <c r="CJ39" s="435"/>
      <c r="CK39" s="476" t="s">
        <v>1154</v>
      </c>
      <c r="CL39" s="477"/>
      <c r="CM39" s="435"/>
      <c r="CN39" s="437">
        <f>CN38/1.18</f>
        <v>2857745.7627118644</v>
      </c>
      <c r="CO39" s="435"/>
      <c r="CP39" s="435"/>
      <c r="CR39" s="435"/>
      <c r="CS39" s="435"/>
      <c r="CT39" s="435"/>
      <c r="CU39" s="437">
        <f>CU38/1.18</f>
        <v>10094256.779661018</v>
      </c>
      <c r="CV39" s="435"/>
      <c r="CW39" s="435"/>
      <c r="CX39" s="435"/>
      <c r="CY39" s="435"/>
      <c r="CZ39" s="435"/>
      <c r="DA39" s="435"/>
      <c r="DB39" s="435"/>
      <c r="DC39" s="435"/>
      <c r="DD39" s="435"/>
      <c r="DE39" s="435"/>
      <c r="DF39" s="435"/>
      <c r="DG39" s="435"/>
      <c r="DH39" s="435"/>
      <c r="DI39" s="435"/>
      <c r="DJ39" s="435"/>
      <c r="DK39" s="435"/>
      <c r="DL39" s="435"/>
      <c r="DM39" s="435"/>
      <c r="DN39" s="435"/>
      <c r="DO39" s="435"/>
      <c r="DP39" s="435"/>
      <c r="DQ39" s="435"/>
      <c r="DR39" s="435"/>
      <c r="DS39" s="435"/>
      <c r="DT39" s="438"/>
      <c r="DU39" s="437">
        <f>DU38/1.18</f>
        <v>47894533.898305088</v>
      </c>
      <c r="DV39" s="435"/>
      <c r="DW39" s="439">
        <f>DW38+BE38</f>
        <v>234027</v>
      </c>
      <c r="DX39" s="439">
        <f>DX38+BG38</f>
        <v>6396508203</v>
      </c>
      <c r="DY39" s="439">
        <f>DY38+BK38</f>
        <v>113076</v>
      </c>
      <c r="DZ39" s="440">
        <f>DZ38+BM38</f>
        <v>3590361305</v>
      </c>
      <c r="EA39" s="435"/>
      <c r="EB39" s="435"/>
      <c r="EC39" s="435"/>
      <c r="ED39" s="435"/>
      <c r="EE39" s="435"/>
      <c r="EF39" s="435"/>
      <c r="EG39" s="435"/>
      <c r="EH39" s="441"/>
      <c r="EI39" s="435"/>
      <c r="EJ39" s="442"/>
      <c r="EK39" s="442"/>
      <c r="EL39" s="442"/>
      <c r="EM39" s="442"/>
      <c r="EN39" s="442"/>
      <c r="EO39" s="442"/>
      <c r="EP39" s="442"/>
      <c r="EQ39" s="442"/>
      <c r="ER39" s="442"/>
      <c r="ES39" s="442"/>
      <c r="ET39" s="442"/>
      <c r="EU39" s="442">
        <f>EU38/22*31</f>
        <v>1069085852.6818181</v>
      </c>
      <c r="EV39" s="442">
        <f>EV38/1.18</f>
        <v>9644568.9279660992</v>
      </c>
      <c r="EW39" s="478">
        <f ca="1">(EI40/27)*EW42+EI40</f>
        <v>603607475.84177971</v>
      </c>
      <c r="FD39" s="442">
        <f>FD38/22*31</f>
        <v>4493.5909090909099</v>
      </c>
      <c r="FE39" s="442">
        <f>FE38/22*31</f>
        <v>4192.045454545454</v>
      </c>
      <c r="FF39" s="442">
        <f>FF38/1.18</f>
        <v>3258798.3050847459</v>
      </c>
    </row>
    <row r="40" spans="1:162" ht="15" thickBot="1">
      <c r="A40" s="435"/>
      <c r="B40" s="435"/>
      <c r="C40" s="435"/>
      <c r="D40" s="435"/>
      <c r="E40" s="435"/>
      <c r="F40" s="435"/>
      <c r="G40" s="435"/>
      <c r="H40" s="443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44">
        <f>Y38+EF38</f>
        <v>112520436</v>
      </c>
      <c r="Z40" s="435"/>
      <c r="AA40" s="444">
        <f>AA38+AH38+DB38</f>
        <v>3229501</v>
      </c>
      <c r="AC40" s="444">
        <f>AC38+AJ38+DD38</f>
        <v>28529818971</v>
      </c>
      <c r="AD40" s="444">
        <f>AD38+AK38+DE38</f>
        <v>243786</v>
      </c>
      <c r="AE40" s="444">
        <f>AE38+AL38+DF38</f>
        <v>273023714</v>
      </c>
      <c r="AF40" s="444">
        <f>AF38+AM38</f>
        <v>522418227</v>
      </c>
      <c r="AG40" s="444">
        <f>AG38+AN38+DG38</f>
        <v>0</v>
      </c>
      <c r="AH40" s="479"/>
      <c r="AI40" s="479"/>
      <c r="AK40" s="435"/>
      <c r="AL40" s="435"/>
      <c r="AM40" s="435"/>
      <c r="AN40" s="435"/>
      <c r="AO40" s="444">
        <f>AO38+AT38</f>
        <v>590318</v>
      </c>
      <c r="AP40" s="444"/>
      <c r="AQ40" s="444">
        <f>AQ38+AV38</f>
        <v>6090571051</v>
      </c>
      <c r="AR40" s="444">
        <f>AR38+AW38</f>
        <v>90655</v>
      </c>
      <c r="AS40" s="445">
        <f>AS38+AX38</f>
        <v>34595600</v>
      </c>
      <c r="AT40" s="435"/>
      <c r="AU40" s="435"/>
      <c r="AV40" s="435"/>
      <c r="AW40" s="435"/>
      <c r="AX40" s="435"/>
      <c r="AY40" s="297">
        <f>BC40*'[4]Janv 25'!AY40/'[4]Janv 25'!BC40</f>
        <v>36087.654345048926</v>
      </c>
      <c r="AZ40" s="480"/>
      <c r="BA40" s="297">
        <f>BC40*'[4]Janv 25'!BA40/'[4]Janv 25'!BC40</f>
        <v>575319928.29300714</v>
      </c>
      <c r="BB40" s="298"/>
      <c r="BC40" s="299">
        <f>EE38+EE36</f>
        <v>13052019</v>
      </c>
      <c r="BD40" s="435"/>
      <c r="BE40" s="444">
        <f>BE38+BK38</f>
        <v>80626</v>
      </c>
      <c r="BF40" s="444"/>
      <c r="BG40" s="444">
        <f>BG38+BM38</f>
        <v>1786963750</v>
      </c>
      <c r="BH40" s="444"/>
      <c r="BI40" s="444">
        <f>BJ38+BO38</f>
        <v>4112233.4468000005</v>
      </c>
      <c r="BK40" s="481"/>
      <c r="BL40" s="482" t="s">
        <v>7764</v>
      </c>
      <c r="BM40" s="483" t="s">
        <v>7765</v>
      </c>
      <c r="BN40" s="435"/>
      <c r="BO40" s="435"/>
      <c r="BP40" s="444">
        <f>BP38</f>
        <v>727640</v>
      </c>
      <c r="BQ40" s="435"/>
      <c r="BR40" s="435"/>
      <c r="BS40" s="435"/>
      <c r="BT40" s="435"/>
      <c r="BU40" s="435"/>
      <c r="BV40" s="435"/>
      <c r="BW40" s="435"/>
      <c r="BX40" s="435"/>
      <c r="BY40" s="435"/>
      <c r="BZ40" s="435"/>
      <c r="CA40" s="435"/>
      <c r="CB40" s="435"/>
      <c r="CC40" s="435"/>
      <c r="CD40" s="435"/>
      <c r="CE40" s="435"/>
      <c r="CF40" s="435"/>
      <c r="CG40" s="435"/>
      <c r="CH40" s="435"/>
      <c r="CI40" s="435"/>
      <c r="CJ40" s="435"/>
      <c r="CK40" s="484"/>
      <c r="CL40" s="485"/>
      <c r="CN40" s="435"/>
      <c r="CO40" s="267">
        <f>CO38+O38</f>
        <v>31452494</v>
      </c>
      <c r="CP40" s="435"/>
      <c r="CQ40" s="267">
        <f>CQ38+P38</f>
        <v>6541570940</v>
      </c>
      <c r="CR40" s="435"/>
      <c r="CT40" s="435"/>
      <c r="CU40" s="435"/>
      <c r="CV40" s="435"/>
      <c r="CW40" s="435"/>
      <c r="CX40" s="437">
        <f>CX38+CX34+CX36+CX37</f>
        <v>3658834</v>
      </c>
      <c r="CY40" s="435"/>
      <c r="CZ40" s="437">
        <f>CZ38+CZ34+CZ36+CZ37</f>
        <v>9094068127</v>
      </c>
      <c r="DA40" s="435"/>
      <c r="DB40" s="435"/>
      <c r="DC40" s="435"/>
      <c r="DD40" s="435"/>
      <c r="DE40" s="435"/>
      <c r="DF40" s="446"/>
      <c r="DG40" s="435"/>
      <c r="DH40" s="435"/>
      <c r="DI40" s="435"/>
      <c r="DJ40" s="435"/>
      <c r="DK40" s="443"/>
      <c r="DL40" s="443"/>
      <c r="DM40" s="443"/>
      <c r="DN40" s="443"/>
      <c r="DO40" s="443"/>
      <c r="DP40" s="435"/>
      <c r="DQ40" s="435"/>
      <c r="DR40" s="435"/>
      <c r="DS40" s="435"/>
      <c r="DT40" s="447"/>
      <c r="DU40" s="435"/>
      <c r="DV40" s="435"/>
      <c r="DW40" s="435"/>
      <c r="DX40" s="435"/>
      <c r="DY40" s="435"/>
      <c r="DZ40" s="486"/>
      <c r="EC40" s="435"/>
      <c r="ED40" s="448">
        <f>(ED38+ED34+ED36)+ED37</f>
        <v>49491089.211500004</v>
      </c>
      <c r="EE40" s="443">
        <f>EE38/1.18</f>
        <v>11061033.050847458</v>
      </c>
      <c r="EG40" s="435"/>
      <c r="EH40" s="449" t="s">
        <v>1155</v>
      </c>
      <c r="EI40" s="450">
        <f>EI38/1.18</f>
        <v>603607475.84177971</v>
      </c>
      <c r="EJ40" s="451">
        <f>EJ38/EI38</f>
        <v>0.55161452041452408</v>
      </c>
      <c r="EK40" s="452"/>
      <c r="EL40" s="452"/>
      <c r="EM40" s="452"/>
      <c r="EN40" s="452"/>
      <c r="EO40" s="452"/>
      <c r="EP40" s="452"/>
      <c r="EQ40" s="452"/>
      <c r="ER40" s="452"/>
      <c r="ES40" s="452"/>
      <c r="ET40" s="452"/>
      <c r="EU40" s="452"/>
      <c r="EV40" s="452"/>
      <c r="EW40" s="487">
        <f ca="1">IF(EW44&lt;=EW43,(14000000-ED34),0)</f>
        <v>0</v>
      </c>
    </row>
    <row r="41" spans="1:162" ht="14.5">
      <c r="A41" s="435"/>
      <c r="B41" s="435"/>
      <c r="C41" s="435"/>
      <c r="D41" s="435"/>
      <c r="H41" s="443"/>
      <c r="M41" s="479"/>
      <c r="O41" s="435"/>
      <c r="P41" s="435"/>
      <c r="Q41" s="435"/>
      <c r="T41" s="435"/>
      <c r="U41" s="435"/>
      <c r="V41" s="435"/>
      <c r="W41" s="435"/>
      <c r="X41" s="435"/>
      <c r="Y41" s="435"/>
      <c r="Z41" s="435"/>
      <c r="AA41" s="444">
        <f>AA38+AH38</f>
        <v>3228824</v>
      </c>
      <c r="AC41" s="444">
        <f>AC38+AJ38</f>
        <v>28520955525</v>
      </c>
      <c r="AD41" s="435"/>
      <c r="AE41" s="435"/>
      <c r="AF41" s="437">
        <f>AF40/1.18</f>
        <v>442727311.01694918</v>
      </c>
      <c r="AG41" s="435"/>
      <c r="AH41" s="435"/>
      <c r="AI41" s="435"/>
      <c r="AK41" s="443"/>
      <c r="AL41" s="435"/>
      <c r="AM41" s="435"/>
      <c r="AN41" s="435"/>
      <c r="AO41" s="435"/>
      <c r="AP41" s="435"/>
      <c r="AQ41" s="435"/>
      <c r="AR41" s="435"/>
      <c r="AS41" s="436">
        <f>AS40/1.18</f>
        <v>29318305.084745765</v>
      </c>
      <c r="AT41" s="435"/>
      <c r="AV41" s="435"/>
      <c r="AW41" s="435"/>
      <c r="AX41" s="435"/>
      <c r="BB41" s="435"/>
      <c r="BC41" s="454">
        <f>BC38+BC40</f>
        <v>14614785.499999959</v>
      </c>
      <c r="BD41" s="435"/>
      <c r="BE41" s="435"/>
      <c r="BF41" s="435"/>
      <c r="BG41" s="435"/>
      <c r="BH41" s="435"/>
      <c r="BI41" s="437">
        <f>BI40/1.18</f>
        <v>3484943.5989830513</v>
      </c>
      <c r="BK41" s="488" t="s">
        <v>7766</v>
      </c>
      <c r="BL41" s="90">
        <v>1889677</v>
      </c>
      <c r="BM41" s="19">
        <v>2148440.7008000002</v>
      </c>
      <c r="BN41" s="435"/>
      <c r="BO41" s="435"/>
      <c r="BQ41" s="435"/>
      <c r="BR41" s="435"/>
      <c r="BS41" s="435"/>
      <c r="BT41" s="435"/>
      <c r="BU41" s="435"/>
      <c r="BV41" s="435"/>
      <c r="BW41" s="435"/>
      <c r="BX41" s="435"/>
      <c r="BY41" s="435"/>
      <c r="BZ41" s="435"/>
      <c r="CA41" s="435"/>
      <c r="CB41" s="435"/>
      <c r="CC41" s="435"/>
      <c r="CD41" s="435"/>
      <c r="CE41" s="435"/>
      <c r="CF41" s="435"/>
      <c r="CG41" s="435"/>
      <c r="CH41" s="443">
        <f>CH38+CC38+BS38</f>
        <v>1871842819</v>
      </c>
      <c r="CI41" s="435"/>
      <c r="CJ41" s="443">
        <f>(CJ38+CE38+BU38)/1.18</f>
        <v>20900984.925000004</v>
      </c>
      <c r="CN41" s="435"/>
      <c r="CO41" s="435"/>
      <c r="CP41" s="435"/>
      <c r="CQ41" s="435"/>
      <c r="CR41" s="435"/>
      <c r="CT41" s="435"/>
      <c r="CU41" s="435"/>
      <c r="CV41" s="435"/>
      <c r="CW41" s="435"/>
      <c r="CX41" s="435"/>
      <c r="CY41" s="435"/>
      <c r="CZ41" s="435"/>
      <c r="DA41" s="435"/>
      <c r="DB41" s="435"/>
      <c r="DC41" s="435"/>
      <c r="DD41" s="435"/>
      <c r="DE41" s="435"/>
      <c r="DF41" s="435"/>
      <c r="DG41" s="435"/>
      <c r="DH41" s="435"/>
      <c r="DI41" s="435"/>
      <c r="DJ41" s="435"/>
      <c r="DK41" s="435"/>
      <c r="DL41" s="435"/>
      <c r="DM41" s="435"/>
      <c r="DN41" s="435"/>
      <c r="DO41" s="437">
        <f>DO40/1.18</f>
        <v>0</v>
      </c>
      <c r="DP41" s="435"/>
      <c r="DQ41" s="435"/>
      <c r="DR41" s="435"/>
      <c r="DS41" s="435"/>
      <c r="DT41" s="447">
        <f>DT38+BG40</f>
        <v>9986869508</v>
      </c>
      <c r="DU41" s="437">
        <f>DU39+BI41</f>
        <v>51379477.497288138</v>
      </c>
      <c r="DV41" s="443">
        <f>BP38</f>
        <v>727640</v>
      </c>
      <c r="DW41" s="435"/>
      <c r="DX41" s="435"/>
      <c r="DY41" s="489">
        <f>DY39+BE38</f>
        <v>189913</v>
      </c>
      <c r="DZ41" s="489">
        <f>DZ39+BG38</f>
        <v>5291207542</v>
      </c>
      <c r="EA41" s="435"/>
      <c r="EB41" s="443"/>
      <c r="EC41" s="435"/>
      <c r="ED41" s="455">
        <f>ED40/1.18</f>
        <v>41941601.026694924</v>
      </c>
      <c r="EE41" s="479"/>
      <c r="EF41" s="479"/>
      <c r="EG41" s="435"/>
      <c r="EH41" s="441"/>
      <c r="EI41" s="490"/>
      <c r="EJ41" s="441"/>
      <c r="EK41" s="441"/>
      <c r="EL41" s="452"/>
      <c r="EM41" s="452"/>
      <c r="EN41" s="452"/>
      <c r="EO41" s="441"/>
      <c r="EP41" s="441"/>
      <c r="EQ41" s="441"/>
      <c r="ER41" s="441"/>
      <c r="ES41" s="441"/>
      <c r="ET41" s="441"/>
      <c r="EU41" s="441"/>
      <c r="EV41" s="441"/>
      <c r="EW41" s="478">
        <f ca="1">EW39+EW40</f>
        <v>603607475.84177971</v>
      </c>
    </row>
    <row r="42" spans="1:162" ht="14.5">
      <c r="A42" s="435"/>
      <c r="B42" s="435"/>
      <c r="C42" s="435"/>
      <c r="D42" s="435"/>
      <c r="H42" s="443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79">
        <f>SUM(Y3:Y33)</f>
        <v>98467933</v>
      </c>
      <c r="Z42" s="435"/>
      <c r="AA42" s="435"/>
      <c r="AB42" s="435"/>
      <c r="AD42" s="435"/>
      <c r="AE42" s="443">
        <f>AE40+AL36</f>
        <v>272444726</v>
      </c>
      <c r="AF42" s="443"/>
      <c r="AG42" s="435"/>
      <c r="AI42" s="435"/>
      <c r="AK42" s="435"/>
      <c r="AL42" s="435"/>
      <c r="AM42" s="435"/>
      <c r="AN42" s="435"/>
      <c r="AO42" s="435"/>
      <c r="AP42" s="435"/>
      <c r="AQ42" s="435"/>
      <c r="AR42" s="435"/>
      <c r="AS42" s="456">
        <f>(SUM(AS3:AS33)+AS35)</f>
        <v>33592700</v>
      </c>
      <c r="AT42" s="435"/>
      <c r="AV42" s="435"/>
      <c r="AW42" s="435"/>
      <c r="AX42" s="435"/>
      <c r="AY42" s="445">
        <f>AY38+AY39+AY40</f>
        <v>59581.654345048926</v>
      </c>
      <c r="BA42" s="444">
        <f>BA38+BA39+BA40</f>
        <v>1368176425.2930071</v>
      </c>
      <c r="BB42" s="435"/>
      <c r="BC42" s="436">
        <f>BC41/1.18</f>
        <v>12385411.440677932</v>
      </c>
      <c r="BD42" s="435">
        <f>BC40/1.18</f>
        <v>11061033.050847458</v>
      </c>
      <c r="BE42" s="435"/>
      <c r="BF42" s="435"/>
      <c r="BG42" s="435"/>
      <c r="BH42" s="435"/>
      <c r="BI42" s="435"/>
      <c r="BJ42" s="435"/>
      <c r="BK42" s="488" t="s">
        <v>7767</v>
      </c>
      <c r="BL42" s="90">
        <v>2080636</v>
      </c>
      <c r="BM42" s="19">
        <v>2371448.568</v>
      </c>
      <c r="BQ42" s="435"/>
      <c r="BR42" s="435"/>
      <c r="BS42" s="435"/>
      <c r="BT42" s="435"/>
      <c r="BU42" s="435"/>
      <c r="BV42" s="435"/>
      <c r="BW42" s="435"/>
      <c r="BX42" s="435"/>
      <c r="BY42" s="435"/>
      <c r="BZ42" s="435"/>
      <c r="CA42" s="435"/>
      <c r="CB42" s="435"/>
      <c r="CC42" s="435"/>
      <c r="CD42" s="435"/>
      <c r="CE42" s="435"/>
      <c r="CF42" s="435"/>
      <c r="CG42" s="435"/>
      <c r="CH42" s="435"/>
      <c r="CI42" s="435"/>
      <c r="CJ42" s="435"/>
      <c r="CK42" s="479">
        <f>CK38-CK40</f>
        <v>36527</v>
      </c>
      <c r="CL42" s="479">
        <f>CL38-CL40</f>
        <v>763881390</v>
      </c>
      <c r="CR42" s="435"/>
      <c r="CS42" s="435"/>
      <c r="CT42" s="435"/>
      <c r="CU42" s="457"/>
      <c r="CV42" s="435"/>
      <c r="CW42" s="435"/>
      <c r="CX42" s="458">
        <f>CX38+CX34+CX36+CX37</f>
        <v>3658834</v>
      </c>
      <c r="CY42" s="435"/>
      <c r="CZ42" s="458">
        <f>CZ38+CZ34+CZ36+CZ37</f>
        <v>9094068127</v>
      </c>
      <c r="DA42" s="435"/>
      <c r="DB42" s="435"/>
      <c r="DC42" s="435"/>
      <c r="DD42" s="435"/>
      <c r="DE42" s="435"/>
      <c r="DF42" s="435"/>
      <c r="DG42" s="435"/>
      <c r="DH42" s="435"/>
      <c r="DI42" s="435"/>
      <c r="DJ42" s="435"/>
      <c r="DK42" s="435"/>
      <c r="DL42" s="435"/>
      <c r="DM42" s="435"/>
      <c r="DN42" s="435"/>
      <c r="DO42" s="435"/>
      <c r="DP42" s="435"/>
      <c r="DQ42" s="459"/>
      <c r="DR42" s="459"/>
      <c r="DT42" s="435"/>
      <c r="DU42" s="435"/>
      <c r="DV42" s="435"/>
      <c r="DW42" s="435"/>
      <c r="DX42" s="435"/>
      <c r="DY42" s="435"/>
      <c r="DZ42" s="435"/>
      <c r="EA42" s="435"/>
      <c r="EB42" s="443"/>
      <c r="EC42" s="435"/>
      <c r="ED42" s="460">
        <f>(SUM(ED3:ED33)+ED35+ED37)/1.18</f>
        <v>21040022.881355934</v>
      </c>
      <c r="EE42" s="435"/>
      <c r="EG42" s="435"/>
      <c r="EI42" s="490"/>
      <c r="EL42" s="452"/>
      <c r="EM42" s="452"/>
      <c r="EN42" s="452"/>
      <c r="EW42" s="491">
        <f ca="1">IF(EW44&lt;=EW43,(EW43-EW44),0)</f>
        <v>0</v>
      </c>
    </row>
    <row r="43" spans="1:162" ht="15" thickBot="1">
      <c r="A43" s="435"/>
      <c r="B43" s="435"/>
      <c r="C43" s="435"/>
      <c r="D43" s="435"/>
      <c r="H43" s="443"/>
      <c r="O43" s="435"/>
      <c r="P43" s="435"/>
      <c r="Q43" s="435"/>
      <c r="S43" s="479">
        <f>S38+EH38</f>
        <v>235587073</v>
      </c>
      <c r="T43" s="435"/>
      <c r="U43" s="435"/>
      <c r="V43" s="435"/>
      <c r="X43" s="435"/>
      <c r="Y43" s="443">
        <f>Y40-Y36</f>
        <v>113173714</v>
      </c>
      <c r="Z43" s="435"/>
      <c r="AA43" s="492"/>
      <c r="AB43" s="471"/>
      <c r="AD43" s="443"/>
      <c r="AE43" s="443"/>
      <c r="AF43" s="435"/>
      <c r="AG43" s="435"/>
      <c r="AH43" s="479">
        <f>AH38-AH34</f>
        <v>3226496</v>
      </c>
      <c r="AI43" s="435"/>
      <c r="AJ43" s="479"/>
      <c r="AL43" s="479">
        <f>SUM(AL3:AL33)</f>
        <v>272629030</v>
      </c>
      <c r="AM43" s="479">
        <f>+SUM(AM3:AM33)</f>
        <v>545985016</v>
      </c>
      <c r="AO43" s="479">
        <f>SUM(AO3:AO33)+AO35</f>
        <v>585274</v>
      </c>
      <c r="AP43" s="435"/>
      <c r="AQ43" s="479">
        <f>SUM(AQ3:AQ33)+AQ35</f>
        <v>5970368900</v>
      </c>
      <c r="AS43" s="479">
        <f>(SUM(AS3:AS33)+AS35)/1.18</f>
        <v>28468389.830508474</v>
      </c>
      <c r="AT43" s="479"/>
      <c r="AU43" s="435"/>
      <c r="AV43" s="479"/>
      <c r="AW43" s="435"/>
      <c r="AX43" s="435"/>
      <c r="AY43" s="461"/>
      <c r="AZ43" s="435"/>
      <c r="BA43" s="435"/>
      <c r="BB43" s="435"/>
      <c r="BC43" s="435"/>
      <c r="BD43" s="435"/>
      <c r="BE43" s="435"/>
      <c r="BF43" s="435"/>
      <c r="BG43" s="479"/>
      <c r="BH43" s="435"/>
      <c r="BI43" s="435"/>
      <c r="BJ43" s="435"/>
      <c r="BK43" s="488"/>
      <c r="BL43" s="90">
        <f>SUM(BL41:BL42)</f>
        <v>3970313</v>
      </c>
      <c r="BM43" s="493">
        <f>SUM(BM41:BM42)</f>
        <v>4519889.2687999997</v>
      </c>
      <c r="BN43" s="435"/>
      <c r="BP43" s="435"/>
      <c r="BQ43" s="435"/>
      <c r="BR43" s="435"/>
      <c r="BS43" s="435"/>
      <c r="BT43" s="435"/>
      <c r="BU43" s="435"/>
      <c r="BV43" s="435"/>
      <c r="BW43" s="435"/>
      <c r="BX43" s="435"/>
      <c r="BY43" s="435"/>
      <c r="BZ43" s="435"/>
      <c r="CA43" s="435"/>
      <c r="CB43" s="435"/>
      <c r="CC43" s="435"/>
      <c r="CD43" s="435"/>
      <c r="CE43" s="435"/>
      <c r="CF43" s="435"/>
      <c r="CG43" s="435"/>
      <c r="CH43" s="435"/>
      <c r="CI43" s="435"/>
      <c r="CJ43" s="435"/>
      <c r="CR43" s="435"/>
      <c r="CS43" s="435"/>
      <c r="CT43" s="435"/>
      <c r="CU43" s="457"/>
      <c r="CV43" s="435"/>
      <c r="CW43" s="435"/>
      <c r="CX43" s="461"/>
      <c r="CY43" s="435"/>
      <c r="CZ43" s="437"/>
      <c r="DA43" s="435"/>
      <c r="DB43" s="435"/>
      <c r="DC43" s="435"/>
      <c r="DD43" s="435"/>
      <c r="DE43" s="435"/>
      <c r="DF43" s="435"/>
      <c r="DG43" s="435"/>
      <c r="DH43" s="435"/>
      <c r="DI43" s="435"/>
      <c r="DJ43" s="435"/>
      <c r="DK43" s="435"/>
      <c r="DL43" s="435"/>
      <c r="DM43" s="435"/>
      <c r="DN43" s="435"/>
      <c r="DO43" s="435"/>
      <c r="DP43" s="435"/>
      <c r="DQ43" s="435"/>
      <c r="DR43" s="435"/>
      <c r="DT43" s="435"/>
      <c r="DU43" s="435"/>
      <c r="DV43" s="435"/>
      <c r="DW43" s="443">
        <f>+DW38+DY38</f>
        <v>266477</v>
      </c>
      <c r="DX43" s="443">
        <f>+DX38+DZ38</f>
        <v>8199905758</v>
      </c>
      <c r="DY43" s="435"/>
      <c r="DZ43" s="443"/>
      <c r="EA43" s="443"/>
      <c r="EB43" s="443"/>
      <c r="EC43" s="443"/>
      <c r="ED43" s="443">
        <f>ED38+ED34+ED36+ED37</f>
        <v>49491089.211500004</v>
      </c>
      <c r="EE43" s="435"/>
      <c r="EG43" s="435"/>
      <c r="EI43" s="490"/>
      <c r="EL43" s="452"/>
      <c r="EM43" s="452"/>
      <c r="EN43" s="452"/>
      <c r="EW43" s="494">
        <v>44592</v>
      </c>
    </row>
    <row r="44" spans="1:162" ht="17.5" customHeight="1" thickBot="1">
      <c r="D44" s="435"/>
      <c r="W44" s="438"/>
      <c r="Y44" s="479"/>
      <c r="AJ44" s="462"/>
      <c r="AL44" s="479"/>
      <c r="AM44" s="479"/>
      <c r="BC44" s="479">
        <f>SUM(BC3:BC33)</f>
        <v>485900</v>
      </c>
      <c r="BD44" s="479"/>
      <c r="BK44" s="495"/>
      <c r="BL44" s="496"/>
      <c r="BM44" s="497">
        <f>BL43-BM43</f>
        <v>-549576.26879999973</v>
      </c>
      <c r="DZ44" s="443"/>
      <c r="EA44" s="443"/>
      <c r="EB44" s="443"/>
      <c r="EC44" s="443"/>
      <c r="ED44" s="443"/>
      <c r="EE44" s="452"/>
      <c r="EH44" s="463" t="s">
        <v>7825</v>
      </c>
      <c r="EI44" s="498">
        <f>EI40</f>
        <v>603607475.84177971</v>
      </c>
      <c r="EK44" s="479"/>
      <c r="EL44" s="452"/>
      <c r="EM44" s="452"/>
      <c r="EN44" s="452"/>
      <c r="EW44" s="494">
        <f ca="1">TODAY()-1</f>
        <v>45722</v>
      </c>
    </row>
    <row r="45" spans="1:162">
      <c r="D45" s="435"/>
      <c r="U45" s="499"/>
      <c r="V45" s="499"/>
      <c r="W45" s="499"/>
      <c r="Z45" s="499"/>
      <c r="AA45" s="499"/>
      <c r="AJ45" s="500"/>
      <c r="AO45" s="479"/>
      <c r="AQ45" s="262">
        <f>AQ38-AQ34-AQ35</f>
        <v>4004836153</v>
      </c>
      <c r="AR45" s="556">
        <f>AQ45*'[4]Janv 25'!AR45/'[4]Janv 25'!AQ45</f>
        <v>6290230.9453079132</v>
      </c>
      <c r="AY45" s="501">
        <f>AY39+AY38</f>
        <v>23494</v>
      </c>
      <c r="BA45" s="501">
        <f>BA39+BA38</f>
        <v>792856497</v>
      </c>
      <c r="BC45" s="479">
        <f>BC38</f>
        <v>1562766.4999999583</v>
      </c>
      <c r="CK45" s="479"/>
      <c r="CL45" s="479"/>
      <c r="CY45" s="435"/>
      <c r="CZ45" s="471">
        <f>+CZ38+CZ37</f>
        <v>7137025308</v>
      </c>
      <c r="DZ45" s="443"/>
      <c r="EA45" s="443"/>
      <c r="EB45" s="443"/>
      <c r="EC45" s="443"/>
      <c r="ED45" s="443">
        <f>(ED36+ED38+ED37)/1.18</f>
        <v>21040616.101694915</v>
      </c>
      <c r="EI45" s="502"/>
      <c r="EL45" s="452"/>
      <c r="EM45" s="452"/>
      <c r="EN45" s="452"/>
    </row>
    <row r="46" spans="1:162" ht="15" hidden="1" customHeight="1">
      <c r="D46" s="435"/>
      <c r="F46" s="317">
        <f>+A4</f>
        <v>45690</v>
      </c>
      <c r="G46" s="464">
        <f>G4/G3-1</f>
        <v>1.3401364209890687E-3</v>
      </c>
      <c r="H46" s="464">
        <f>H4/H3-1</f>
        <v>-6.8550076185291964E-4</v>
      </c>
      <c r="I46" s="464">
        <f>I4/I3-1</f>
        <v>-2.7556640372673469E-3</v>
      </c>
      <c r="J46" s="503"/>
      <c r="K46" s="317">
        <f>F46</f>
        <v>45690</v>
      </c>
      <c r="L46" s="464">
        <f>L4/L3-1</f>
        <v>4.7833374136079243E-3</v>
      </c>
      <c r="M46" s="464">
        <f>M4/M3-1</f>
        <v>2.268863443172231E-3</v>
      </c>
      <c r="N46" s="464">
        <f>N4/N3-1</f>
        <v>8.758005897277652</v>
      </c>
      <c r="AY46" s="474"/>
      <c r="CY46" s="435"/>
      <c r="DZ46" s="443"/>
      <c r="EA46" s="443"/>
      <c r="EB46" s="443"/>
      <c r="EC46" s="443"/>
      <c r="ED46" s="443"/>
      <c r="EH46" s="507" t="s">
        <v>1159</v>
      </c>
      <c r="EI46" s="242">
        <f>EY38*1.5%</f>
        <v>86742972.765000001</v>
      </c>
      <c r="EL46" s="452"/>
      <c r="EM46" s="452"/>
      <c r="EN46" s="452"/>
    </row>
    <row r="47" spans="1:162" ht="14.5" hidden="1">
      <c r="D47" s="435"/>
      <c r="F47" s="317">
        <f t="shared" ref="F47:F64" si="38">+A5</f>
        <v>45691</v>
      </c>
      <c r="G47" s="464">
        <f t="shared" ref="G47:I62" si="39">G5/G4-1</f>
        <v>1.8036179286227139E-3</v>
      </c>
      <c r="H47" s="464">
        <f>H5/H4-1</f>
        <v>1.4383262808723707E-3</v>
      </c>
      <c r="I47" s="464">
        <f t="shared" si="39"/>
        <v>3.2714100645225841E-3</v>
      </c>
      <c r="J47" s="504"/>
      <c r="K47" s="317">
        <f t="shared" ref="K47:K66" si="40">F47</f>
        <v>45691</v>
      </c>
      <c r="L47" s="464">
        <f t="shared" ref="L47:N62" si="41">L5/L4-1</f>
        <v>1.5868553400180119E-3</v>
      </c>
      <c r="M47" s="464">
        <f t="shared" si="41"/>
        <v>3.1679710642014136E-3</v>
      </c>
      <c r="N47" s="464">
        <f t="shared" si="41"/>
        <v>1.0541036254136937E-3</v>
      </c>
      <c r="AY47" s="474"/>
      <c r="DZ47" s="443"/>
      <c r="EA47" s="443"/>
      <c r="EB47" s="443"/>
      <c r="EC47" s="443"/>
      <c r="ED47" s="443"/>
      <c r="EH47" s="507" t="s">
        <v>1160</v>
      </c>
      <c r="EI47" s="242">
        <f>309986600*1.5%</f>
        <v>4649799</v>
      </c>
      <c r="EL47" s="452"/>
      <c r="EM47" s="452"/>
      <c r="EN47" s="452"/>
    </row>
    <row r="48" spans="1:162" ht="14.5" hidden="1">
      <c r="D48" s="435"/>
      <c r="F48" s="317">
        <f t="shared" si="38"/>
        <v>45692</v>
      </c>
      <c r="G48" s="464">
        <f t="shared" si="39"/>
        <v>1.7438639064120132E-3</v>
      </c>
      <c r="H48" s="464">
        <f t="shared" si="39"/>
        <v>-1.4729486906891465E-3</v>
      </c>
      <c r="I48" s="464">
        <f t="shared" si="39"/>
        <v>4.915560425288179E-3</v>
      </c>
      <c r="J48" s="504"/>
      <c r="K48" s="317">
        <f t="shared" si="40"/>
        <v>45692</v>
      </c>
      <c r="L48" s="464">
        <f t="shared" si="41"/>
        <v>3.0376935983882358E-3</v>
      </c>
      <c r="M48" s="464">
        <f t="shared" si="41"/>
        <v>2.7290302928579813E-3</v>
      </c>
      <c r="N48" s="464">
        <f t="shared" si="41"/>
        <v>1.0249138300186811E-3</v>
      </c>
      <c r="AY48" s="474"/>
      <c r="DZ48" s="443"/>
      <c r="EA48" s="443"/>
      <c r="EB48" s="443"/>
      <c r="EC48" s="443"/>
      <c r="ED48" s="443"/>
      <c r="EH48" s="507" t="s">
        <v>7768</v>
      </c>
      <c r="EI48" s="242">
        <f>SUM(EI46:EI47)/1.18</f>
        <v>77451501.495762721</v>
      </c>
      <c r="EL48" s="452"/>
      <c r="EM48" s="452"/>
      <c r="EN48" s="452"/>
    </row>
    <row r="49" spans="4:144" ht="14.5" hidden="1">
      <c r="D49" s="435"/>
      <c r="F49" s="317">
        <f t="shared" si="38"/>
        <v>45693</v>
      </c>
      <c r="G49" s="464">
        <f>G7/G6-1</f>
        <v>1.791317203992282E-3</v>
      </c>
      <c r="H49" s="464">
        <f t="shared" si="39"/>
        <v>4.4808954442421278E-3</v>
      </c>
      <c r="I49" s="464">
        <f t="shared" si="39"/>
        <v>2.826250760985749E-3</v>
      </c>
      <c r="J49" s="504"/>
      <c r="K49" s="317">
        <f t="shared" si="40"/>
        <v>45693</v>
      </c>
      <c r="L49" s="464">
        <f t="shared" si="41"/>
        <v>2.6864669228761073E-3</v>
      </c>
      <c r="M49" s="464">
        <f t="shared" si="41"/>
        <v>3.0625782693332049E-3</v>
      </c>
      <c r="N49" s="464">
        <f t="shared" si="41"/>
        <v>2.0617544548622302E-3</v>
      </c>
      <c r="AY49" s="474"/>
      <c r="DZ49" s="443"/>
      <c r="EA49" s="443"/>
      <c r="EB49" s="443"/>
      <c r="EC49" s="443"/>
      <c r="ED49" s="443"/>
      <c r="EL49" s="452"/>
      <c r="EM49" s="452"/>
      <c r="EN49" s="452"/>
    </row>
    <row r="50" spans="4:144" ht="14.5" hidden="1">
      <c r="D50" s="435"/>
      <c r="F50" s="317">
        <f t="shared" si="38"/>
        <v>45694</v>
      </c>
      <c r="G50" s="464">
        <f t="shared" si="39"/>
        <v>1.8767464699560588E-3</v>
      </c>
      <c r="H50" s="464">
        <f t="shared" si="39"/>
        <v>1.4257276926612494E-3</v>
      </c>
      <c r="I50" s="464">
        <f t="shared" si="39"/>
        <v>2.0196365649385317E-3</v>
      </c>
      <c r="J50" s="504"/>
      <c r="K50" s="317">
        <f t="shared" si="40"/>
        <v>45694</v>
      </c>
      <c r="L50" s="464">
        <f t="shared" si="41"/>
        <v>3.2002381572582284E-3</v>
      </c>
      <c r="M50" s="464">
        <f t="shared" si="41"/>
        <v>3.0779500111250968E-3</v>
      </c>
      <c r="N50" s="464">
        <f t="shared" si="41"/>
        <v>4.1290214219236177E-4</v>
      </c>
      <c r="AY50" s="474"/>
      <c r="DZ50" s="443"/>
      <c r="EA50" s="443"/>
      <c r="EB50" s="443"/>
      <c r="EC50" s="443"/>
      <c r="ED50" s="443"/>
      <c r="EH50" s="467" t="s">
        <v>1162</v>
      </c>
      <c r="EI50" s="508">
        <f>EI44+EI101</f>
        <v>680434436.16805089</v>
      </c>
      <c r="EL50" s="452"/>
      <c r="EM50" s="452"/>
      <c r="EN50" s="452"/>
    </row>
    <row r="51" spans="4:144" ht="14.5" hidden="1">
      <c r="D51" s="435"/>
      <c r="F51" s="317">
        <f t="shared" si="38"/>
        <v>45695</v>
      </c>
      <c r="G51" s="464">
        <f t="shared" si="39"/>
        <v>1.8099167618690348E-3</v>
      </c>
      <c r="H51" s="464">
        <f t="shared" si="39"/>
        <v>1.9715932839645678E-3</v>
      </c>
      <c r="I51" s="464">
        <f t="shared" si="39"/>
        <v>1.8504471241407305E-3</v>
      </c>
      <c r="J51" s="504"/>
      <c r="K51" s="317">
        <f t="shared" si="40"/>
        <v>45695</v>
      </c>
      <c r="L51" s="464">
        <f t="shared" si="41"/>
        <v>3.0849314390988258E-3</v>
      </c>
      <c r="M51" s="464">
        <f t="shared" si="41"/>
        <v>2.5755727260403649E-3</v>
      </c>
      <c r="N51" s="464">
        <f t="shared" si="41"/>
        <v>-5.5963623644683658E-5</v>
      </c>
      <c r="AY51" s="474"/>
      <c r="DZ51" s="443"/>
      <c r="EA51" s="443"/>
      <c r="EB51" s="443"/>
      <c r="EC51" s="443"/>
      <c r="ED51" s="443"/>
      <c r="EI51" s="502"/>
      <c r="EL51" s="452"/>
      <c r="EM51" s="452"/>
      <c r="EN51" s="452"/>
    </row>
    <row r="52" spans="4:144" ht="14.5" hidden="1">
      <c r="D52" s="435"/>
      <c r="F52" s="317">
        <f t="shared" si="38"/>
        <v>45696</v>
      </c>
      <c r="G52" s="464">
        <f t="shared" si="39"/>
        <v>1.6764380971510118E-3</v>
      </c>
      <c r="H52" s="464">
        <f t="shared" si="39"/>
        <v>1.7237172474044993E-3</v>
      </c>
      <c r="I52" s="464">
        <f t="shared" si="39"/>
        <v>6.0039295068037291E-4</v>
      </c>
      <c r="J52" s="504"/>
      <c r="K52" s="317">
        <f t="shared" si="40"/>
        <v>45696</v>
      </c>
      <c r="L52" s="464">
        <f t="shared" si="41"/>
        <v>1.9537389139183681E-3</v>
      </c>
      <c r="M52" s="464">
        <f t="shared" si="41"/>
        <v>1.1492698756083719E-3</v>
      </c>
      <c r="N52" s="464">
        <f t="shared" si="41"/>
        <v>-1.4971107162345954E-3</v>
      </c>
      <c r="AY52" s="474"/>
      <c r="DZ52" s="443"/>
      <c r="EA52" s="443"/>
      <c r="EB52" s="443"/>
      <c r="EC52" s="443"/>
      <c r="ED52" s="443"/>
      <c r="EI52" s="502"/>
      <c r="EL52" s="452"/>
      <c r="EM52" s="452"/>
      <c r="EN52" s="452"/>
    </row>
    <row r="53" spans="4:144" ht="14.5" hidden="1">
      <c r="D53" s="435"/>
      <c r="F53" s="317">
        <f t="shared" si="38"/>
        <v>45697</v>
      </c>
      <c r="G53" s="464">
        <f t="shared" si="39"/>
        <v>1.3802886142870729E-3</v>
      </c>
      <c r="H53" s="464">
        <f t="shared" si="39"/>
        <v>-7.2369971837737967E-4</v>
      </c>
      <c r="I53" s="464">
        <f t="shared" si="39"/>
        <v>-1.5034874965322853E-3</v>
      </c>
      <c r="J53" s="504"/>
      <c r="K53" s="317">
        <f t="shared" si="40"/>
        <v>45697</v>
      </c>
      <c r="L53" s="464">
        <f t="shared" si="41"/>
        <v>2.2328842959955519E-3</v>
      </c>
      <c r="M53" s="464">
        <f t="shared" si="41"/>
        <v>1.6820238307171387E-3</v>
      </c>
      <c r="N53" s="464">
        <f t="shared" si="41"/>
        <v>-2.010817779272478E-3</v>
      </c>
      <c r="AY53" s="474"/>
      <c r="DZ53" s="443"/>
      <c r="EA53" s="443"/>
      <c r="EB53" s="443"/>
      <c r="EC53" s="443"/>
      <c r="ED53" s="443"/>
      <c r="EI53" s="502"/>
      <c r="EL53" s="452"/>
      <c r="EM53" s="452"/>
      <c r="EN53" s="452"/>
    </row>
    <row r="54" spans="4:144" ht="14.5" hidden="1">
      <c r="D54" s="435"/>
      <c r="F54" s="317">
        <f t="shared" si="38"/>
        <v>45698</v>
      </c>
      <c r="G54" s="464">
        <f t="shared" si="39"/>
        <v>1.7911250581952309E-3</v>
      </c>
      <c r="H54" s="464">
        <f t="shared" si="39"/>
        <v>1.3698176611294244E-3</v>
      </c>
      <c r="I54" s="464">
        <f t="shared" si="39"/>
        <v>3.4840655783250352E-3</v>
      </c>
      <c r="J54" s="504"/>
      <c r="K54" s="317">
        <f t="shared" si="40"/>
        <v>45698</v>
      </c>
      <c r="L54" s="464">
        <f t="shared" si="41"/>
        <v>1.178398482811982E-3</v>
      </c>
      <c r="M54" s="464">
        <f t="shared" si="41"/>
        <v>2.7639376612551558E-3</v>
      </c>
      <c r="N54" s="464">
        <f t="shared" si="41"/>
        <v>9.6882217900740031E-4</v>
      </c>
      <c r="AY54" s="474"/>
      <c r="DZ54" s="443"/>
      <c r="EA54" s="443"/>
      <c r="EB54" s="443"/>
      <c r="EC54" s="443"/>
      <c r="ED54" s="443"/>
      <c r="EI54" s="502"/>
      <c r="EL54" s="452"/>
      <c r="EM54" s="452"/>
      <c r="EN54" s="452"/>
    </row>
    <row r="55" spans="4:144" ht="14.5" hidden="1">
      <c r="D55" s="435"/>
      <c r="F55" s="317">
        <f t="shared" si="38"/>
        <v>45699</v>
      </c>
      <c r="G55" s="464">
        <f t="shared" si="39"/>
        <v>1.819455996614483E-3</v>
      </c>
      <c r="H55" s="464">
        <f t="shared" si="39"/>
        <v>1.2402415185417404E-3</v>
      </c>
      <c r="I55" s="464">
        <f t="shared" si="39"/>
        <v>5.8852902969033227E-3</v>
      </c>
      <c r="J55" s="504"/>
      <c r="K55" s="317">
        <f t="shared" si="40"/>
        <v>45699</v>
      </c>
      <c r="L55" s="464">
        <f t="shared" si="41"/>
        <v>2.7524904214559776E-3</v>
      </c>
      <c r="M55" s="464">
        <f t="shared" si="41"/>
        <v>3.5141544027770255E-3</v>
      </c>
      <c r="N55" s="464">
        <f t="shared" si="41"/>
        <v>2.2093015100399516E-3</v>
      </c>
      <c r="AY55" s="474"/>
      <c r="DZ55" s="443"/>
      <c r="EA55" s="443"/>
      <c r="EB55" s="443"/>
      <c r="EC55" s="443"/>
      <c r="ED55" s="443"/>
      <c r="EI55" s="502"/>
      <c r="EL55" s="452"/>
      <c r="EM55" s="452"/>
      <c r="EN55" s="452"/>
    </row>
    <row r="56" spans="4:144" ht="14.5" hidden="1">
      <c r="D56" s="435"/>
      <c r="F56" s="317">
        <f t="shared" si="38"/>
        <v>45700</v>
      </c>
      <c r="G56" s="464">
        <f t="shared" si="39"/>
        <v>1.6340032287904815E-3</v>
      </c>
      <c r="H56" s="464">
        <f t="shared" si="39"/>
        <v>9.8939567613043344E-4</v>
      </c>
      <c r="I56" s="464">
        <f t="shared" si="39"/>
        <v>1.6779049228170528E-3</v>
      </c>
      <c r="J56" s="504"/>
      <c r="K56" s="317">
        <f t="shared" si="40"/>
        <v>45700</v>
      </c>
      <c r="L56" s="464">
        <f t="shared" si="41"/>
        <v>3.5091151405479692E-3</v>
      </c>
      <c r="M56" s="464">
        <f t="shared" si="41"/>
        <v>3.0389953653797708E-3</v>
      </c>
      <c r="N56" s="464">
        <f t="shared" si="41"/>
        <v>1.9175052836368778E-3</v>
      </c>
      <c r="AY56" s="474"/>
      <c r="DZ56" s="443"/>
      <c r="EA56" s="443"/>
      <c r="EB56" s="443"/>
      <c r="EC56" s="443"/>
      <c r="ED56" s="443"/>
      <c r="EI56" s="502"/>
      <c r="EL56" s="452"/>
      <c r="EM56" s="452"/>
      <c r="EN56" s="452"/>
    </row>
    <row r="57" spans="4:144" ht="14.5" hidden="1">
      <c r="D57" s="435"/>
      <c r="F57" s="317">
        <f t="shared" si="38"/>
        <v>45701</v>
      </c>
      <c r="G57" s="464">
        <f t="shared" si="39"/>
        <v>1.6789039883973178E-3</v>
      </c>
      <c r="H57" s="464">
        <f t="shared" si="39"/>
        <v>1.0799608096696556E-3</v>
      </c>
      <c r="I57" s="464">
        <f t="shared" si="39"/>
        <v>1.376386506996008E-3</v>
      </c>
      <c r="J57" s="504"/>
      <c r="K57" s="317">
        <f t="shared" si="40"/>
        <v>45701</v>
      </c>
      <c r="L57" s="464">
        <f t="shared" si="41"/>
        <v>2.9972951239125578E-3</v>
      </c>
      <c r="M57" s="464">
        <f t="shared" si="41"/>
        <v>3.3273020923143548E-3</v>
      </c>
      <c r="N57" s="464">
        <f t="shared" si="41"/>
        <v>1.1245529727312853E-3</v>
      </c>
      <c r="AY57" s="474"/>
      <c r="DZ57" s="443"/>
      <c r="EA57" s="443"/>
      <c r="EB57" s="443"/>
      <c r="EC57" s="443"/>
      <c r="ED57" s="443"/>
      <c r="EI57" s="502"/>
      <c r="EL57" s="452"/>
      <c r="EM57" s="452"/>
      <c r="EN57" s="452"/>
    </row>
    <row r="58" spans="4:144" ht="14.5" hidden="1">
      <c r="D58" s="435"/>
      <c r="F58" s="317">
        <f t="shared" si="38"/>
        <v>45702</v>
      </c>
      <c r="G58" s="464">
        <f t="shared" si="39"/>
        <v>1.6479751574558499E-3</v>
      </c>
      <c r="H58" s="464">
        <f t="shared" si="39"/>
        <v>1.5722655163905586E-3</v>
      </c>
      <c r="I58" s="464">
        <f t="shared" si="39"/>
        <v>2.0415288496875572E-3</v>
      </c>
      <c r="J58" s="504"/>
      <c r="K58" s="317">
        <f t="shared" si="40"/>
        <v>45702</v>
      </c>
      <c r="L58" s="464">
        <f t="shared" si="41"/>
        <v>3.3952866861031161E-3</v>
      </c>
      <c r="M58" s="464">
        <f t="shared" si="41"/>
        <v>3.8003945632572034E-3</v>
      </c>
      <c r="N58" s="464">
        <f t="shared" si="41"/>
        <v>9.2793503059396265E-4</v>
      </c>
      <c r="AY58" s="474"/>
      <c r="DZ58" s="443"/>
      <c r="EA58" s="443"/>
      <c r="EB58" s="443"/>
      <c r="EC58" s="443"/>
      <c r="ED58" s="443"/>
      <c r="EI58" s="502"/>
      <c r="EL58" s="452"/>
      <c r="EM58" s="452"/>
      <c r="EN58" s="452"/>
    </row>
    <row r="59" spans="4:144" ht="14.5" hidden="1">
      <c r="D59" s="435"/>
      <c r="F59" s="317">
        <f t="shared" si="38"/>
        <v>45703</v>
      </c>
      <c r="G59" s="464">
        <f t="shared" si="39"/>
        <v>1.4771946206908471E-3</v>
      </c>
      <c r="H59" s="464">
        <f t="shared" si="39"/>
        <v>1.5932394662772076E-3</v>
      </c>
      <c r="I59" s="464">
        <f t="shared" si="39"/>
        <v>2.4389751903042267E-4</v>
      </c>
      <c r="J59" s="504"/>
      <c r="K59" s="317">
        <f t="shared" si="40"/>
        <v>45703</v>
      </c>
      <c r="L59" s="464">
        <f t="shared" si="41"/>
        <v>-0.90011440747220017</v>
      </c>
      <c r="M59" s="464">
        <f t="shared" si="41"/>
        <v>-5.3414037160736116E-3</v>
      </c>
      <c r="N59" s="464">
        <f t="shared" si="41"/>
        <v>-1.164071322022564E-3</v>
      </c>
      <c r="AY59" s="474"/>
      <c r="DZ59" s="443"/>
      <c r="EA59" s="443"/>
      <c r="EB59" s="443"/>
      <c r="EC59" s="443"/>
      <c r="ED59" s="443"/>
      <c r="EI59" s="502"/>
      <c r="EL59" s="452"/>
      <c r="EM59" s="452"/>
      <c r="EN59" s="452"/>
    </row>
    <row r="60" spans="4:144" ht="14.5" hidden="1">
      <c r="D60" s="435"/>
      <c r="F60" s="317">
        <f t="shared" si="38"/>
        <v>45704</v>
      </c>
      <c r="G60" s="464">
        <f t="shared" si="39"/>
        <v>1.2020925365161528E-3</v>
      </c>
      <c r="H60" s="464">
        <f t="shared" si="39"/>
        <v>-1.1973402293998792E-3</v>
      </c>
      <c r="I60" s="464">
        <f t="shared" si="39"/>
        <v>-3.3000638012334882E-3</v>
      </c>
      <c r="J60" s="504"/>
      <c r="K60" s="317">
        <f t="shared" si="40"/>
        <v>45704</v>
      </c>
      <c r="L60" s="464">
        <f t="shared" si="41"/>
        <v>9.060662990121811</v>
      </c>
      <c r="M60" s="464">
        <f t="shared" si="41"/>
        <v>8.1460469852352446E-3</v>
      </c>
      <c r="N60" s="464">
        <f t="shared" si="41"/>
        <v>-1.1235562999406534E-3</v>
      </c>
      <c r="AY60" s="474"/>
      <c r="DZ60" s="443"/>
      <c r="EA60" s="443"/>
      <c r="EB60" s="443"/>
      <c r="EC60" s="443"/>
      <c r="ED60" s="443"/>
      <c r="EI60" s="502"/>
      <c r="EL60" s="452"/>
      <c r="EM60" s="452"/>
      <c r="EN60" s="452"/>
    </row>
    <row r="61" spans="4:144" ht="14.5" hidden="1">
      <c r="D61" s="435"/>
      <c r="F61" s="317">
        <f t="shared" si="38"/>
        <v>45705</v>
      </c>
      <c r="G61" s="464">
        <f t="shared" si="39"/>
        <v>1.6543492298450868E-3</v>
      </c>
      <c r="H61" s="464">
        <f t="shared" si="39"/>
        <v>9.6362480791234439E-4</v>
      </c>
      <c r="I61" s="464">
        <f t="shared" si="39"/>
        <v>2.7438299082978013E-3</v>
      </c>
      <c r="J61" s="504"/>
      <c r="K61" s="317">
        <f t="shared" si="40"/>
        <v>45705</v>
      </c>
      <c r="L61" s="464">
        <f t="shared" si="41"/>
        <v>1.6384456451681295E-3</v>
      </c>
      <c r="M61" s="464">
        <f t="shared" si="41"/>
        <v>3.4088449606810567E-3</v>
      </c>
      <c r="N61" s="464">
        <f t="shared" si="41"/>
        <v>1.1597523998490011E-3</v>
      </c>
      <c r="AY61" s="474"/>
      <c r="DZ61" s="443"/>
      <c r="EA61" s="443"/>
      <c r="EB61" s="443"/>
      <c r="EC61" s="443"/>
      <c r="ED61" s="443"/>
      <c r="EI61" s="502"/>
      <c r="EL61" s="452"/>
      <c r="EM61" s="452"/>
      <c r="EN61" s="452"/>
    </row>
    <row r="62" spans="4:144" ht="14.5" hidden="1">
      <c r="D62" s="435"/>
      <c r="F62" s="317">
        <f t="shared" si="38"/>
        <v>45706</v>
      </c>
      <c r="G62" s="464">
        <f t="shared" si="39"/>
        <v>1.6291227157134713E-3</v>
      </c>
      <c r="H62" s="464">
        <f t="shared" si="39"/>
        <v>8.6289533625816262E-4</v>
      </c>
      <c r="I62" s="464">
        <f t="shared" si="39"/>
        <v>3.9133989276063375E-3</v>
      </c>
      <c r="J62" s="504"/>
      <c r="K62" s="317">
        <f t="shared" si="40"/>
        <v>45706</v>
      </c>
      <c r="L62" s="464">
        <f t="shared" si="41"/>
        <v>3.4459325366995586E-3</v>
      </c>
      <c r="M62" s="464">
        <f t="shared" si="41"/>
        <v>3.6908549482022046E-3</v>
      </c>
      <c r="N62" s="464">
        <f t="shared" si="41"/>
        <v>2.0725750174459545E-3</v>
      </c>
      <c r="AY62" s="474"/>
      <c r="DZ62" s="443"/>
      <c r="EA62" s="443"/>
      <c r="EB62" s="443"/>
      <c r="EC62" s="443"/>
      <c r="ED62" s="443"/>
      <c r="EI62" s="502"/>
      <c r="EL62" s="452"/>
      <c r="EM62" s="452"/>
      <c r="EN62" s="452"/>
    </row>
    <row r="63" spans="4:144" ht="14.5" hidden="1">
      <c r="D63" s="435"/>
      <c r="F63" s="317">
        <f t="shared" si="38"/>
        <v>45707</v>
      </c>
      <c r="G63" s="464">
        <f t="shared" ref="G63:I64" si="42">G21/G20-1</f>
        <v>1.3768876486559556E-3</v>
      </c>
      <c r="H63" s="464">
        <f t="shared" si="42"/>
        <v>1.2827630864609141E-3</v>
      </c>
      <c r="I63" s="464">
        <f t="shared" si="42"/>
        <v>1.3058782183290596E-3</v>
      </c>
      <c r="J63" s="504"/>
      <c r="K63" s="317">
        <f t="shared" si="40"/>
        <v>45707</v>
      </c>
      <c r="L63" s="464">
        <f t="shared" ref="L63:N64" si="43">L21/L20-1</f>
        <v>3.7337584504002486E-3</v>
      </c>
      <c r="M63" s="464">
        <f t="shared" si="43"/>
        <v>2.3699370205654269E-3</v>
      </c>
      <c r="N63" s="464">
        <f t="shared" si="43"/>
        <v>1.1142294059067748E-3</v>
      </c>
      <c r="AY63" s="474"/>
      <c r="DZ63" s="443"/>
      <c r="EA63" s="443"/>
      <c r="EB63" s="443"/>
      <c r="EC63" s="443"/>
      <c r="ED63" s="443"/>
      <c r="EI63" s="502"/>
      <c r="EL63" s="452"/>
      <c r="EM63" s="452"/>
      <c r="EN63" s="452"/>
    </row>
    <row r="64" spans="4:144" ht="14.5" hidden="1">
      <c r="D64" s="435"/>
      <c r="F64" s="317">
        <f t="shared" si="38"/>
        <v>45708</v>
      </c>
      <c r="G64" s="464">
        <f t="shared" si="42"/>
        <v>1.6257656933367226E-3</v>
      </c>
      <c r="H64" s="464">
        <f t="shared" si="42"/>
        <v>1.322102429742289E-3</v>
      </c>
      <c r="I64" s="464">
        <f t="shared" si="42"/>
        <v>1.6545505310072706E-3</v>
      </c>
      <c r="J64" s="504"/>
      <c r="K64" s="317">
        <f t="shared" si="40"/>
        <v>45708</v>
      </c>
      <c r="L64" s="464">
        <f t="shared" si="43"/>
        <v>2.3823882397195906E-3</v>
      </c>
      <c r="M64" s="464">
        <f t="shared" si="43"/>
        <v>2.9896612511315368E-3</v>
      </c>
      <c r="N64" s="464">
        <f t="shared" si="43"/>
        <v>7.4431158134902198E-4</v>
      </c>
      <c r="AY64" s="474"/>
      <c r="DZ64" s="443"/>
      <c r="EA64" s="443"/>
      <c r="EB64" s="443"/>
      <c r="EC64" s="443"/>
      <c r="ED64" s="443"/>
      <c r="EI64" s="502"/>
      <c r="EL64" s="452"/>
      <c r="EM64" s="452"/>
      <c r="EN64" s="452"/>
    </row>
    <row r="65" spans="4:144" ht="14.5" hidden="1">
      <c r="D65" s="435"/>
      <c r="F65" s="317"/>
      <c r="G65" s="464"/>
      <c r="H65" s="464"/>
      <c r="I65" s="464"/>
      <c r="J65" s="504"/>
      <c r="K65" s="317">
        <f t="shared" si="40"/>
        <v>0</v>
      </c>
      <c r="L65" s="464"/>
      <c r="M65" s="464"/>
      <c r="N65" s="464"/>
      <c r="AY65" s="474"/>
      <c r="DZ65" s="443"/>
      <c r="EA65" s="443"/>
      <c r="EB65" s="443"/>
      <c r="EC65" s="443"/>
      <c r="ED65" s="443"/>
      <c r="EI65" s="502"/>
      <c r="EL65" s="452"/>
      <c r="EM65" s="452"/>
      <c r="EN65" s="452"/>
    </row>
    <row r="66" spans="4:144" ht="14.5" hidden="1">
      <c r="D66" s="435"/>
      <c r="F66" s="317"/>
      <c r="G66" s="464"/>
      <c r="H66" s="464"/>
      <c r="I66" s="464"/>
      <c r="J66" s="504"/>
      <c r="K66" s="317">
        <f t="shared" si="40"/>
        <v>0</v>
      </c>
      <c r="L66" s="464"/>
      <c r="M66" s="464"/>
      <c r="N66" s="464"/>
      <c r="AY66" s="474"/>
      <c r="DZ66" s="443"/>
      <c r="EA66" s="443"/>
      <c r="EB66" s="443"/>
      <c r="EC66" s="443"/>
      <c r="ED66" s="443"/>
      <c r="EI66" s="502"/>
      <c r="EL66" s="452"/>
      <c r="EM66" s="452"/>
      <c r="EN66" s="452"/>
    </row>
    <row r="67" spans="4:144" ht="14.5" hidden="1">
      <c r="D67" s="435"/>
      <c r="F67" s="505" t="s">
        <v>1158</v>
      </c>
      <c r="G67" s="506">
        <f>AVERAGE(G46:G66)</f>
        <v>1.6294316461837293E-3</v>
      </c>
      <c r="H67" s="506">
        <f>AVERAGE(H46:H66)</f>
        <v>1.0124777293335906E-3</v>
      </c>
      <c r="I67" s="506">
        <f>AVERAGE(I46:I66)</f>
        <v>1.6974323060275208E-3</v>
      </c>
      <c r="J67" s="504"/>
      <c r="K67" s="505" t="s">
        <v>1158</v>
      </c>
      <c r="L67" s="506">
        <f>AVERAGE(L46:L66)</f>
        <v>0.43200778102408377</v>
      </c>
      <c r="M67" s="506">
        <f>AVERAGE(M46:M66)</f>
        <v>2.7064202656726932E-3</v>
      </c>
      <c r="N67" s="506">
        <f>AVERAGE(N46:N66)</f>
        <v>0.46152352826155701</v>
      </c>
      <c r="AY67" s="474"/>
      <c r="DZ67" s="443"/>
      <c r="EA67" s="443"/>
      <c r="EB67" s="443"/>
      <c r="EC67" s="443"/>
      <c r="ED67" s="443"/>
      <c r="EI67" s="502"/>
      <c r="EL67" s="452"/>
      <c r="EM67" s="452"/>
      <c r="EN67" s="452"/>
    </row>
    <row r="68" spans="4:144" ht="14.5" hidden="1">
      <c r="D68" s="435"/>
      <c r="F68" s="504"/>
      <c r="G68" s="504"/>
      <c r="H68" s="504"/>
      <c r="I68" s="504"/>
      <c r="J68" s="504"/>
      <c r="K68" s="504"/>
      <c r="L68" s="504"/>
      <c r="M68" s="504"/>
      <c r="N68" s="504"/>
      <c r="AY68" s="474"/>
      <c r="DZ68" s="443"/>
      <c r="EA68" s="443"/>
      <c r="EB68" s="443"/>
      <c r="EC68" s="443"/>
      <c r="ED68" s="443"/>
      <c r="EI68" s="502"/>
      <c r="EL68" s="452"/>
      <c r="EM68" s="452"/>
      <c r="EN68" s="452"/>
    </row>
    <row r="69" spans="4:144" ht="14.5" hidden="1">
      <c r="D69" s="435"/>
      <c r="F69" s="504"/>
      <c r="G69" s="504">
        <f>G3/H3</f>
        <v>2.3847899772528902</v>
      </c>
      <c r="H69" s="504"/>
      <c r="I69" s="504">
        <f>I3/H3</f>
        <v>0.66527953244091675</v>
      </c>
      <c r="J69" s="504"/>
      <c r="K69" s="504"/>
      <c r="L69" s="504">
        <f>L3/M3</f>
        <v>0.99569353467673383</v>
      </c>
      <c r="M69" s="504"/>
      <c r="N69" s="504">
        <f>N3/M3</f>
        <v>9.1148307415370763E-2</v>
      </c>
      <c r="AY69" s="474"/>
      <c r="DZ69" s="443"/>
      <c r="EA69" s="443"/>
      <c r="EB69" s="443"/>
      <c r="EC69" s="443"/>
      <c r="ED69" s="443"/>
      <c r="EL69" s="452"/>
      <c r="EM69" s="452"/>
      <c r="EN69" s="452"/>
    </row>
    <row r="70" spans="4:144" ht="14.5" hidden="1">
      <c r="D70" s="435"/>
      <c r="F70" s="504"/>
      <c r="G70" s="504">
        <f t="shared" ref="G70:G90" si="44">G4/H4</f>
        <v>2.3896240102373758</v>
      </c>
      <c r="H70" s="504"/>
      <c r="I70" s="504">
        <f t="shared" ref="I70:I90" si="45">I4/H4</f>
        <v>0.6639013504401613</v>
      </c>
      <c r="J70" s="504"/>
      <c r="K70" s="504"/>
      <c r="L70" s="504">
        <f t="shared" ref="L70:L90" si="46">L4/M4</f>
        <v>0.99819151258145988</v>
      </c>
      <c r="M70" s="504"/>
      <c r="N70" s="504">
        <f t="shared" ref="N70:N90" si="47">N4/M4</f>
        <v>0.88741230395060955</v>
      </c>
      <c r="AY70" s="474"/>
      <c r="DZ70" s="443"/>
      <c r="EA70" s="443"/>
      <c r="EB70" s="443"/>
      <c r="EC70" s="443"/>
      <c r="ED70" s="443"/>
      <c r="EL70" s="452"/>
      <c r="EM70" s="452"/>
      <c r="EN70" s="452"/>
    </row>
    <row r="71" spans="4:144" ht="15" hidden="1" customHeight="1">
      <c r="D71" s="435"/>
      <c r="F71" s="504"/>
      <c r="G71" s="504">
        <f t="shared" si="44"/>
        <v>2.3904956662038948</v>
      </c>
      <c r="H71" s="504"/>
      <c r="I71" s="504">
        <f t="shared" si="45"/>
        <v>0.66511658932956441</v>
      </c>
      <c r="J71" s="504"/>
      <c r="K71" s="504"/>
      <c r="L71" s="504">
        <f t="shared" si="46"/>
        <v>0.99661824036602575</v>
      </c>
      <c r="M71" s="504"/>
      <c r="N71" s="504">
        <f t="shared" si="47"/>
        <v>0.88554235591776853</v>
      </c>
      <c r="AY71" s="474"/>
      <c r="DZ71" s="443"/>
      <c r="EA71" s="443"/>
      <c r="EB71" s="443"/>
      <c r="EC71" s="443"/>
      <c r="ED71" s="443"/>
      <c r="EL71" s="452"/>
      <c r="EM71" s="452"/>
      <c r="EN71" s="452"/>
    </row>
    <row r="72" spans="4:144" ht="14.5" hidden="1">
      <c r="D72" s="435"/>
      <c r="F72" s="504"/>
      <c r="G72" s="504">
        <f t="shared" si="44"/>
        <v>2.3981967861307685</v>
      </c>
      <c r="H72" s="504"/>
      <c r="I72" s="504">
        <f t="shared" si="45"/>
        <v>0.66937196066732441</v>
      </c>
      <c r="J72" s="504"/>
      <c r="K72" s="504"/>
      <c r="L72" s="504">
        <f t="shared" si="46"/>
        <v>0.99692502262836169</v>
      </c>
      <c r="M72" s="504"/>
      <c r="N72" s="504">
        <f t="shared" si="47"/>
        <v>0.88403739569255191</v>
      </c>
      <c r="AY72" s="474"/>
      <c r="DZ72" s="443"/>
      <c r="EA72" s="443"/>
      <c r="EB72" s="443"/>
      <c r="EC72" s="443"/>
      <c r="ED72" s="443"/>
      <c r="EL72" s="452"/>
      <c r="EM72" s="452"/>
      <c r="EN72" s="452"/>
    </row>
    <row r="73" spans="4:144" ht="14.5" hidden="1">
      <c r="D73" s="435"/>
      <c r="F73" s="504"/>
      <c r="G73" s="504">
        <f t="shared" si="44"/>
        <v>2.3917754217015705</v>
      </c>
      <c r="H73" s="504"/>
      <c r="I73" s="504">
        <f t="shared" si="45"/>
        <v>0.66826932869008882</v>
      </c>
      <c r="J73" s="504"/>
      <c r="K73" s="504"/>
      <c r="L73" s="504">
        <f t="shared" si="46"/>
        <v>0.99655121263813695</v>
      </c>
      <c r="M73" s="504"/>
      <c r="N73" s="504">
        <f t="shared" si="47"/>
        <v>0.88315533140497915</v>
      </c>
      <c r="AY73" s="474"/>
      <c r="DZ73" s="443"/>
      <c r="EA73" s="443"/>
      <c r="EB73" s="443"/>
      <c r="EC73" s="443"/>
      <c r="ED73" s="443"/>
      <c r="EL73" s="452"/>
      <c r="EM73" s="452"/>
      <c r="EN73" s="452"/>
    </row>
    <row r="74" spans="4:144" ht="14.5" hidden="1">
      <c r="D74" s="435"/>
      <c r="F74" s="504"/>
      <c r="G74" s="504">
        <f t="shared" si="44"/>
        <v>2.3928526215341983</v>
      </c>
      <c r="H74" s="504"/>
      <c r="I74" s="504">
        <f t="shared" si="45"/>
        <v>0.66866565472047168</v>
      </c>
      <c r="J74" s="504"/>
      <c r="K74" s="504"/>
      <c r="L74" s="504">
        <f t="shared" si="46"/>
        <v>0.99667270509076122</v>
      </c>
      <c r="M74" s="504"/>
      <c r="N74" s="504">
        <f t="shared" si="47"/>
        <v>0.88080890236237941</v>
      </c>
      <c r="AY74" s="474"/>
      <c r="DZ74" s="443"/>
      <c r="EA74" s="443"/>
      <c r="EB74" s="443"/>
      <c r="EC74" s="443"/>
      <c r="ED74" s="443"/>
      <c r="EL74" s="452"/>
      <c r="EM74" s="452"/>
      <c r="EN74" s="452"/>
    </row>
    <row r="75" spans="4:144" ht="14.5" hidden="1">
      <c r="D75" s="435"/>
      <c r="F75" s="504"/>
      <c r="G75" s="504">
        <f t="shared" si="44"/>
        <v>2.3924665146901223</v>
      </c>
      <c r="H75" s="504"/>
      <c r="I75" s="504">
        <f t="shared" si="45"/>
        <v>0.66858480784135998</v>
      </c>
      <c r="J75" s="504"/>
      <c r="K75" s="504"/>
      <c r="L75" s="504">
        <f t="shared" si="46"/>
        <v>0.99717906485077934</v>
      </c>
      <c r="M75" s="504"/>
      <c r="N75" s="504">
        <f t="shared" si="47"/>
        <v>0.87849697625251977</v>
      </c>
      <c r="AY75" s="474"/>
      <c r="DZ75" s="443"/>
      <c r="EA75" s="443"/>
      <c r="EB75" s="443"/>
      <c r="EC75" s="443"/>
      <c r="ED75" s="443"/>
      <c r="EL75" s="452"/>
      <c r="EM75" s="452"/>
      <c r="EN75" s="452"/>
    </row>
    <row r="76" spans="4:144" ht="14.5" hidden="1">
      <c r="D76" s="435"/>
      <c r="F76" s="504"/>
      <c r="G76" s="504">
        <f t="shared" si="44"/>
        <v>2.3923535955469721</v>
      </c>
      <c r="H76" s="504"/>
      <c r="I76" s="504">
        <f t="shared" si="45"/>
        <v>0.66783506263104131</v>
      </c>
      <c r="J76" s="504"/>
      <c r="K76" s="504"/>
      <c r="L76" s="504">
        <f t="shared" si="46"/>
        <v>0.9979803436485184</v>
      </c>
      <c r="M76" s="504"/>
      <c r="N76" s="504">
        <f t="shared" si="47"/>
        <v>0.87617480770293255</v>
      </c>
      <c r="DZ76" s="443"/>
      <c r="EA76" s="443"/>
      <c r="EB76" s="443"/>
      <c r="EC76" s="443"/>
      <c r="ED76" s="443"/>
      <c r="EL76" s="452"/>
      <c r="EM76" s="452"/>
      <c r="EN76" s="452"/>
    </row>
    <row r="77" spans="4:144" ht="14.5" hidden="1">
      <c r="D77" s="435"/>
      <c r="F77" s="504"/>
      <c r="G77" s="504">
        <f t="shared" si="44"/>
        <v>2.3973907249687549</v>
      </c>
      <c r="H77" s="504"/>
      <c r="I77" s="504">
        <f t="shared" si="45"/>
        <v>0.66731391585760513</v>
      </c>
      <c r="J77" s="504"/>
      <c r="K77" s="504"/>
      <c r="L77" s="504">
        <f t="shared" si="46"/>
        <v>0.99852916842860029</v>
      </c>
      <c r="M77" s="504"/>
      <c r="N77" s="504">
        <f t="shared" si="47"/>
        <v>0.87294466609059096</v>
      </c>
      <c r="DZ77" s="443"/>
      <c r="EA77" s="443"/>
      <c r="EB77" s="443"/>
      <c r="EC77" s="443"/>
      <c r="ED77" s="443"/>
      <c r="EL77" s="452"/>
      <c r="EM77" s="452"/>
      <c r="EN77" s="452"/>
    </row>
    <row r="78" spans="4:144" ht="14.5" hidden="1">
      <c r="D78" s="435"/>
      <c r="F78" s="504"/>
      <c r="G78" s="504">
        <f t="shared" si="44"/>
        <v>2.398399381738983</v>
      </c>
      <c r="H78" s="504"/>
      <c r="I78" s="504">
        <f t="shared" si="45"/>
        <v>0.66872285292744116</v>
      </c>
      <c r="J78" s="504"/>
      <c r="K78" s="504"/>
      <c r="L78" s="504">
        <f t="shared" si="46"/>
        <v>0.99695032513567694</v>
      </c>
      <c r="M78" s="504"/>
      <c r="N78" s="504">
        <f t="shared" si="47"/>
        <v>0.87138194885835818</v>
      </c>
      <c r="DZ78" s="443"/>
      <c r="EA78" s="443"/>
      <c r="EB78" s="443"/>
      <c r="EC78" s="443"/>
      <c r="ED78" s="443"/>
      <c r="EL78" s="452"/>
      <c r="EM78" s="452"/>
      <c r="EN78" s="452"/>
    </row>
    <row r="79" spans="4:144" ht="14.5" hidden="1">
      <c r="D79" s="435"/>
      <c r="F79" s="504"/>
      <c r="G79" s="504">
        <f t="shared" si="44"/>
        <v>2.3997868485910914</v>
      </c>
      <c r="H79" s="504"/>
      <c r="I79" s="504">
        <f t="shared" si="45"/>
        <v>0.67182525547005378</v>
      </c>
      <c r="J79" s="504"/>
      <c r="K79" s="504"/>
      <c r="L79" s="504">
        <f t="shared" si="46"/>
        <v>0.99619364307943414</v>
      </c>
      <c r="M79" s="504"/>
      <c r="N79" s="504">
        <f t="shared" si="47"/>
        <v>0.8702489052917497</v>
      </c>
      <c r="DZ79" s="443"/>
      <c r="EA79" s="443"/>
      <c r="EB79" s="443"/>
      <c r="EC79" s="443"/>
      <c r="ED79" s="443"/>
      <c r="EL79" s="452"/>
      <c r="EM79" s="452"/>
      <c r="EN79" s="452"/>
    </row>
    <row r="80" spans="4:144" ht="14.5" hidden="1">
      <c r="D80" s="435"/>
      <c r="F80" s="504"/>
      <c r="G80" s="504">
        <f t="shared" si="44"/>
        <v>2.4013322403145785</v>
      </c>
      <c r="H80" s="504"/>
      <c r="I80" s="504">
        <f t="shared" si="45"/>
        <v>0.67228735617016788</v>
      </c>
      <c r="J80" s="504"/>
      <c r="K80" s="504"/>
      <c r="L80" s="504">
        <f t="shared" si="46"/>
        <v>0.9966605544693925</v>
      </c>
      <c r="M80" s="504"/>
      <c r="N80" s="504">
        <f t="shared" si="47"/>
        <v>0.86927588677458134</v>
      </c>
      <c r="DZ80" s="443"/>
      <c r="EA80" s="443"/>
      <c r="EB80" s="443"/>
      <c r="EC80" s="443"/>
      <c r="ED80" s="443"/>
      <c r="EL80" s="452"/>
      <c r="EM80" s="452"/>
      <c r="EN80" s="452"/>
    </row>
    <row r="81" spans="4:144" ht="14.5" hidden="1">
      <c r="D81" s="435"/>
      <c r="F81" s="504"/>
      <c r="G81" s="504">
        <f t="shared" si="44"/>
        <v>2.4027689502893059</v>
      </c>
      <c r="H81" s="504"/>
      <c r="I81" s="504">
        <f t="shared" si="45"/>
        <v>0.67248642443260243</v>
      </c>
      <c r="J81" s="504"/>
      <c r="K81" s="504"/>
      <c r="L81" s="504">
        <f t="shared" si="46"/>
        <v>0.99633274027813079</v>
      </c>
      <c r="M81" s="504"/>
      <c r="N81" s="504">
        <f t="shared" si="47"/>
        <v>0.86736744005906341</v>
      </c>
      <c r="DZ81" s="443"/>
      <c r="EA81" s="443"/>
      <c r="EB81" s="443"/>
      <c r="EC81" s="443"/>
      <c r="ED81" s="443"/>
      <c r="EL81" s="452"/>
      <c r="EM81" s="452"/>
      <c r="EN81" s="452"/>
    </row>
    <row r="82" spans="4:144" ht="14.5" hidden="1">
      <c r="D82" s="435"/>
      <c r="F82" s="504"/>
      <c r="G82" s="504">
        <f t="shared" si="44"/>
        <v>2.4029505774978985</v>
      </c>
      <c r="H82" s="504"/>
      <c r="I82" s="504">
        <f t="shared" si="45"/>
        <v>0.67280150226771362</v>
      </c>
      <c r="J82" s="504"/>
      <c r="K82" s="504"/>
      <c r="L82" s="504">
        <f t="shared" si="46"/>
        <v>0.99593064615310412</v>
      </c>
      <c r="M82" s="504"/>
      <c r="N82" s="504">
        <f t="shared" si="47"/>
        <v>0.86488539493832672</v>
      </c>
      <c r="DZ82" s="443"/>
      <c r="EA82" s="443"/>
      <c r="EB82" s="443"/>
      <c r="EC82" s="443"/>
      <c r="ED82" s="443"/>
      <c r="EL82" s="452"/>
      <c r="EM82" s="452"/>
      <c r="EN82" s="452"/>
    </row>
    <row r="83" spans="4:144" ht="14.5" hidden="1">
      <c r="D83" s="435"/>
      <c r="F83" s="504"/>
      <c r="G83" s="504">
        <f t="shared" si="44"/>
        <v>2.4026721710373415</v>
      </c>
      <c r="H83" s="504"/>
      <c r="I83" s="504">
        <f t="shared" si="45"/>
        <v>0.67189510708311329</v>
      </c>
      <c r="J83" s="504"/>
      <c r="K83" s="504"/>
      <c r="L83" s="504">
        <f t="shared" si="46"/>
        <v>0.10001333430310083</v>
      </c>
      <c r="M83" s="504"/>
      <c r="N83" s="504">
        <f t="shared" si="47"/>
        <v>0.86851771037893666</v>
      </c>
      <c r="DZ83" s="443"/>
      <c r="EA83" s="443"/>
      <c r="EB83" s="443"/>
      <c r="EC83" s="443"/>
      <c r="ED83" s="443"/>
      <c r="EL83" s="452"/>
      <c r="EM83" s="452"/>
      <c r="EN83" s="452"/>
    </row>
    <row r="84" spans="4:144" ht="14.5" hidden="1">
      <c r="D84" s="435"/>
      <c r="F84" s="504"/>
      <c r="G84" s="504">
        <f t="shared" si="44"/>
        <v>2.4084441323717916</v>
      </c>
      <c r="H84" s="504"/>
      <c r="I84" s="504">
        <f t="shared" si="45"/>
        <v>0.67048060376191887</v>
      </c>
      <c r="J84" s="504"/>
      <c r="K84" s="504"/>
      <c r="L84" s="504">
        <f t="shared" si="46"/>
        <v>0.99807012481061974</v>
      </c>
      <c r="M84" s="504"/>
      <c r="N84" s="504">
        <f t="shared" si="47"/>
        <v>0.86053194815188905</v>
      </c>
      <c r="DZ84" s="443"/>
      <c r="EA84" s="443"/>
      <c r="EB84" s="443"/>
      <c r="EC84" s="443"/>
      <c r="ED84" s="443"/>
      <c r="EL84" s="452"/>
      <c r="EM84" s="452"/>
      <c r="EN84" s="452"/>
    </row>
    <row r="85" spans="4:144" ht="14.5" hidden="1">
      <c r="D85" s="435"/>
      <c r="F85" s="504"/>
      <c r="G85" s="504">
        <f t="shared" si="44"/>
        <v>2.4101061020376817</v>
      </c>
      <c r="H85" s="504"/>
      <c r="I85" s="504">
        <f t="shared" si="45"/>
        <v>0.67167304768390024</v>
      </c>
      <c r="J85" s="504"/>
      <c r="K85" s="504"/>
      <c r="L85" s="504">
        <f t="shared" si="46"/>
        <v>0.9963091450517978</v>
      </c>
      <c r="M85" s="504"/>
      <c r="N85" s="504">
        <f t="shared" si="47"/>
        <v>0.85860310726846778</v>
      </c>
      <c r="DZ85" s="443"/>
      <c r="EA85" s="443"/>
      <c r="EB85" s="443"/>
      <c r="EC85" s="443"/>
      <c r="ED85" s="443"/>
      <c r="EL85" s="452"/>
      <c r="EM85" s="452"/>
      <c r="EN85" s="452"/>
    </row>
    <row r="86" spans="4:144" ht="14.5" hidden="1">
      <c r="D86" s="435"/>
      <c r="F86" s="504"/>
      <c r="G86" s="504">
        <f t="shared" si="44"/>
        <v>2.4119511991947236</v>
      </c>
      <c r="H86" s="504"/>
      <c r="I86" s="504">
        <f t="shared" si="45"/>
        <v>0.67372022223070283</v>
      </c>
      <c r="J86" s="504"/>
      <c r="K86" s="504"/>
      <c r="L86" s="504">
        <f t="shared" si="46"/>
        <v>0.9960660239381548</v>
      </c>
      <c r="M86" s="504"/>
      <c r="N86" s="504">
        <f t="shared" si="47"/>
        <v>0.85721875652926605</v>
      </c>
      <c r="DZ86" s="443"/>
      <c r="EA86" s="443"/>
      <c r="EB86" s="443"/>
      <c r="EC86" s="443"/>
      <c r="ED86" s="443"/>
      <c r="EL86" s="452"/>
      <c r="EM86" s="452"/>
      <c r="EN86" s="452"/>
    </row>
    <row r="87" spans="4:144" ht="14.5" hidden="1">
      <c r="D87" s="435"/>
      <c r="F87" s="504"/>
      <c r="G87" s="504">
        <f t="shared" si="44"/>
        <v>2.4121779322006529</v>
      </c>
      <c r="H87" s="504"/>
      <c r="I87" s="504">
        <f t="shared" si="45"/>
        <v>0.6737357754114357</v>
      </c>
      <c r="J87" s="504"/>
      <c r="K87" s="504"/>
      <c r="L87" s="504">
        <f t="shared" si="46"/>
        <v>0.99742126828338651</v>
      </c>
      <c r="M87" s="504"/>
      <c r="N87" s="504">
        <f t="shared" si="47"/>
        <v>0.8561448854161704</v>
      </c>
      <c r="DZ87" s="443"/>
      <c r="EA87" s="443"/>
      <c r="EB87" s="443"/>
      <c r="EC87" s="443"/>
      <c r="ED87" s="443"/>
      <c r="EL87" s="452"/>
      <c r="EM87" s="452"/>
      <c r="EN87" s="452"/>
    </row>
    <row r="88" spans="4:144" ht="14.5" hidden="1">
      <c r="D88" s="435"/>
      <c r="F88" s="504"/>
      <c r="G88" s="504">
        <f t="shared" si="44"/>
        <v>2.4129094548760088</v>
      </c>
      <c r="H88" s="504"/>
      <c r="I88" s="504">
        <f t="shared" si="45"/>
        <v>0.67395946185433586</v>
      </c>
      <c r="J88" s="504"/>
      <c r="K88" s="504"/>
      <c r="L88" s="504">
        <f t="shared" si="46"/>
        <v>0.99681736672723176</v>
      </c>
      <c r="M88" s="504"/>
      <c r="N88" s="504">
        <f t="shared" si="47"/>
        <v>0.85422827080884012</v>
      </c>
      <c r="DZ88" s="443"/>
      <c r="EA88" s="443"/>
      <c r="EB88" s="443"/>
      <c r="EC88" s="443"/>
      <c r="ED88" s="443"/>
      <c r="EL88" s="452"/>
      <c r="EM88" s="452"/>
      <c r="EN88" s="452"/>
    </row>
    <row r="89" spans="4:144" ht="14.5" hidden="1">
      <c r="D89" s="435"/>
      <c r="F89" s="504"/>
      <c r="G89" s="504">
        <f t="shared" si="44"/>
        <v>2.4130195474638314</v>
      </c>
      <c r="H89" s="504"/>
      <c r="I89" s="504">
        <f t="shared" si="45"/>
        <v>0.67404508036288535</v>
      </c>
      <c r="J89" s="504"/>
      <c r="K89" s="504"/>
      <c r="L89" s="504">
        <f t="shared" si="46"/>
        <v>0.99720475192173308</v>
      </c>
      <c r="M89" s="504"/>
      <c r="N89" s="504">
        <f t="shared" si="47"/>
        <v>0.85243222115623773</v>
      </c>
      <c r="DZ89" s="443"/>
      <c r="EA89" s="443"/>
      <c r="EB89" s="443"/>
      <c r="EC89" s="443"/>
      <c r="ED89" s="443"/>
      <c r="EL89" s="452"/>
      <c r="EM89" s="452"/>
      <c r="EN89" s="452"/>
    </row>
    <row r="90" spans="4:144" ht="14.5" hidden="1">
      <c r="D90" s="435"/>
      <c r="F90" s="504"/>
      <c r="G90" s="504">
        <f t="shared" si="44"/>
        <v>2.4137816046634453</v>
      </c>
      <c r="H90" s="504"/>
      <c r="I90" s="504">
        <f t="shared" si="45"/>
        <v>0.67361228456421418</v>
      </c>
      <c r="J90" s="504"/>
      <c r="K90" s="504"/>
      <c r="L90" s="504">
        <f t="shared" si="46"/>
        <v>0.99743483657426557</v>
      </c>
      <c r="M90" s="504"/>
      <c r="N90" s="504">
        <f t="shared" si="47"/>
        <v>0.85043442283822923</v>
      </c>
      <c r="DZ90" s="443"/>
      <c r="EA90" s="443"/>
      <c r="EB90" s="443"/>
      <c r="EC90" s="443"/>
      <c r="ED90" s="443"/>
      <c r="EL90" s="452"/>
      <c r="EM90" s="452"/>
      <c r="EN90" s="452"/>
    </row>
    <row r="91" spans="4:144" ht="14.5" hidden="1">
      <c r="D91" s="435"/>
      <c r="F91" s="504"/>
      <c r="G91" s="505">
        <f>AVERAGE(G69:G90)</f>
        <v>2.4009202482065404</v>
      </c>
      <c r="H91" s="505"/>
      <c r="I91" s="505">
        <f>AVERAGE(I69:I90)</f>
        <v>0.67025378076540987</v>
      </c>
      <c r="J91" s="505"/>
      <c r="K91" s="505"/>
      <c r="L91" s="505">
        <f>AVERAGE(L69:L90)</f>
        <v>0.95617025298342739</v>
      </c>
      <c r="M91" s="505"/>
      <c r="N91" s="505">
        <f>AVERAGE(N69:N90)</f>
        <v>0.83368145205726452</v>
      </c>
      <c r="DZ91" s="443"/>
      <c r="EA91" s="443"/>
      <c r="EB91" s="443"/>
      <c r="EC91" s="443"/>
      <c r="ED91" s="443"/>
      <c r="EL91" s="452"/>
      <c r="EM91" s="452"/>
      <c r="EN91" s="452"/>
    </row>
    <row r="92" spans="4:144" hidden="1">
      <c r="D92" s="435"/>
      <c r="AO92" s="479"/>
      <c r="DZ92" s="443"/>
      <c r="EA92" s="443"/>
      <c r="EB92" s="443"/>
      <c r="EC92" s="443"/>
      <c r="ED92" s="443">
        <f>SUM(ED3:ED33)</f>
        <v>25762327</v>
      </c>
      <c r="EL92" s="452"/>
      <c r="EM92" s="452"/>
      <c r="EN92" s="452"/>
    </row>
    <row r="93" spans="4:144" hidden="1">
      <c r="CK93" s="465"/>
      <c r="CL93" s="465"/>
      <c r="DZ93" s="443"/>
      <c r="EA93" s="443"/>
      <c r="EB93" s="443"/>
      <c r="EC93" s="443"/>
      <c r="ED93" s="443">
        <f>ED41+EE40</f>
        <v>53002634.077542379</v>
      </c>
      <c r="EI93" s="479">
        <f>+EI40</f>
        <v>603607475.84177971</v>
      </c>
    </row>
    <row r="94" spans="4:144" hidden="1">
      <c r="CK94" s="466"/>
      <c r="CL94" s="466"/>
      <c r="DZ94" s="443"/>
      <c r="EA94" s="443"/>
      <c r="EB94" s="443"/>
      <c r="EC94" s="443"/>
      <c r="ED94" s="443">
        <f>ED34/1.18</f>
        <v>20900984.925000004</v>
      </c>
    </row>
    <row r="95" spans="4:144" hidden="1"/>
    <row r="96" spans="4:144" hidden="1"/>
    <row r="97" spans="53:139" hidden="1"/>
    <row r="98" spans="53:139" hidden="1"/>
    <row r="99" spans="53:139">
      <c r="EH99" s="507" t="s">
        <v>1159</v>
      </c>
      <c r="EI99" s="242">
        <f>EY38*1.5%</f>
        <v>86742972.765000001</v>
      </c>
    </row>
    <row r="100" spans="53:139">
      <c r="BA100" s="557">
        <f>BB100*'[4]Janv 25'!BA100/'[4]Janv 25'!BB100</f>
        <v>575319928.29300714</v>
      </c>
      <c r="BB100" s="479">
        <f>BD42</f>
        <v>11061033.050847458</v>
      </c>
      <c r="EH100" s="507" t="s">
        <v>1160</v>
      </c>
      <c r="EI100" s="242">
        <f>260856028*1.5%</f>
        <v>3912840.42</v>
      </c>
    </row>
    <row r="101" spans="53:139">
      <c r="EH101" s="507" t="s">
        <v>7768</v>
      </c>
      <c r="EI101" s="242">
        <f>SUM(EI99:EI100)/1.18</f>
        <v>76826960.326271191</v>
      </c>
    </row>
    <row r="103" spans="53:139">
      <c r="EH103" s="467" t="s">
        <v>1162</v>
      </c>
      <c r="EI103" s="508">
        <f>EI44+EI101</f>
        <v>680434436.16805089</v>
      </c>
    </row>
  </sheetData>
  <mergeCells count="32">
    <mergeCell ref="BK1:BP1"/>
    <mergeCell ref="F1:I1"/>
    <mergeCell ref="J1:N1"/>
    <mergeCell ref="O1:Q1"/>
    <mergeCell ref="R1:T1"/>
    <mergeCell ref="U1:Z1"/>
    <mergeCell ref="AA1:AG1"/>
    <mergeCell ref="AH1:AN1"/>
    <mergeCell ref="AO1:AS1"/>
    <mergeCell ref="AT1:AX1"/>
    <mergeCell ref="AY1:BD1"/>
    <mergeCell ref="BE1:BJ1"/>
    <mergeCell ref="EA1:EC1"/>
    <mergeCell ref="BQ1:BU1"/>
    <mergeCell ref="BV1:BZ1"/>
    <mergeCell ref="CA1:CE1"/>
    <mergeCell ref="CF1:CJ1"/>
    <mergeCell ref="CK1:CN1"/>
    <mergeCell ref="CO1:CR1"/>
    <mergeCell ref="CS1:CW1"/>
    <mergeCell ref="CX1:DA1"/>
    <mergeCell ref="DB1:DG1"/>
    <mergeCell ref="DH1:DI1"/>
    <mergeCell ref="DK1:DZ1"/>
    <mergeCell ref="EZ1:FC1"/>
    <mergeCell ref="FD1:FF1"/>
    <mergeCell ref="EI1:EI2"/>
    <mergeCell ref="EJ1:EJ2"/>
    <mergeCell ref="EK1:EN1"/>
    <mergeCell ref="EO1:ER1"/>
    <mergeCell ref="ES1:EV1"/>
    <mergeCell ref="EW1:EY1"/>
  </mergeCells>
  <pageMargins left="0.69930555555555596" right="0.69930555555555596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F110"/>
  <sheetViews>
    <sheetView zoomScale="80" zoomScaleNormal="80" workbookViewId="0">
      <pane xSplit="1" ySplit="2" topLeftCell="ED31" activePane="bottomRight" state="frozen"/>
      <selection activeCell="EI3" sqref="EI3:EJ5"/>
      <selection pane="topRight" activeCell="EI3" sqref="EI3:EJ5"/>
      <selection pane="bottomLeft" activeCell="EI3" sqref="EI3:EJ5"/>
      <selection pane="bottomRight" activeCell="EJ110" sqref="EJ110"/>
    </sheetView>
  </sheetViews>
  <sheetFormatPr baseColWidth="10" defaultColWidth="9" defaultRowHeight="12"/>
  <cols>
    <col min="1" max="1" width="24.1796875" style="385" bestFit="1" customWidth="1"/>
    <col min="2" max="2" width="14.1796875" style="385" bestFit="1" customWidth="1"/>
    <col min="3" max="3" width="9.1796875" style="385" bestFit="1" customWidth="1"/>
    <col min="4" max="4" width="15.453125" style="385" bestFit="1" customWidth="1"/>
    <col min="5" max="5" width="9.81640625" style="385" bestFit="1" customWidth="1"/>
    <col min="6" max="6" width="9.1796875" style="385" bestFit="1" customWidth="1"/>
    <col min="7" max="9" width="10.1796875" style="385" customWidth="1"/>
    <col min="10" max="14" width="9.1796875" style="385" bestFit="1" customWidth="1"/>
    <col min="15" max="15" width="9.81640625" style="385" bestFit="1" customWidth="1"/>
    <col min="16" max="16" width="12.81640625" style="385" bestFit="1" customWidth="1"/>
    <col min="17" max="18" width="9.1796875" style="385" bestFit="1" customWidth="1"/>
    <col min="19" max="19" width="11.453125" style="385" bestFit="1" customWidth="1"/>
    <col min="20" max="22" width="9.1796875" style="385" bestFit="1" customWidth="1"/>
    <col min="23" max="23" width="10.54296875" style="385" bestFit="1" customWidth="1"/>
    <col min="24" max="24" width="14" style="385" bestFit="1" customWidth="1"/>
    <col min="25" max="25" width="11.1796875" style="385" customWidth="1"/>
    <col min="26" max="27" width="9.1796875" style="385" bestFit="1" customWidth="1"/>
    <col min="28" max="28" width="13.1796875" style="385" bestFit="1" customWidth="1"/>
    <col min="29" max="29" width="14" style="385" bestFit="1" customWidth="1"/>
    <col min="30" max="30" width="9.1796875" style="385" bestFit="1" customWidth="1"/>
    <col min="31" max="31" width="11.1796875" style="385" bestFit="1" customWidth="1"/>
    <col min="32" max="32" width="12.54296875" style="385" bestFit="1" customWidth="1"/>
    <col min="33" max="34" width="9.1796875" style="385" bestFit="1" customWidth="1"/>
    <col min="35" max="35" width="10.54296875" style="385" bestFit="1" customWidth="1"/>
    <col min="36" max="36" width="14" style="385" bestFit="1" customWidth="1"/>
    <col min="37" max="37" width="9.81640625" style="385" bestFit="1" customWidth="1"/>
    <col min="38" max="38" width="11.1796875" style="385" bestFit="1" customWidth="1"/>
    <col min="39" max="39" width="11.81640625" style="385" customWidth="1"/>
    <col min="40" max="42" width="9.1796875" style="385" bestFit="1" customWidth="1"/>
    <col min="43" max="43" width="12.81640625" style="385" bestFit="1" customWidth="1"/>
    <col min="44" max="44" width="9.1796875" style="385" bestFit="1" customWidth="1"/>
    <col min="45" max="45" width="11.1796875" style="385" bestFit="1" customWidth="1"/>
    <col min="46" max="46" width="10.453125" style="385" bestFit="1" customWidth="1"/>
    <col min="47" max="47" width="9.1796875" style="385" bestFit="1" customWidth="1"/>
    <col min="48" max="48" width="10.453125" style="385" bestFit="1" customWidth="1"/>
    <col min="49" max="49" width="9.1796875" style="385" bestFit="1" customWidth="1"/>
    <col min="50" max="50" width="10.1796875" style="385" bestFit="1" customWidth="1"/>
    <col min="51" max="51" width="13.1796875" style="307" customWidth="1"/>
    <col min="52" max="52" width="9.1796875" style="385" bestFit="1" customWidth="1"/>
    <col min="53" max="53" width="12.54296875" style="385" bestFit="1" customWidth="1"/>
    <col min="54" max="54" width="11.1796875" style="385" customWidth="1"/>
    <col min="55" max="55" width="10.1796875" style="385" bestFit="1" customWidth="1"/>
    <col min="56" max="56" width="11.1796875" style="385" bestFit="1" customWidth="1"/>
    <col min="57" max="57" width="10.1796875" style="385" customWidth="1"/>
    <col min="58" max="58" width="9.1796875" style="385" bestFit="1" customWidth="1"/>
    <col min="59" max="59" width="12.81640625" style="385" bestFit="1" customWidth="1"/>
    <col min="60" max="60" width="11.54296875" style="385" customWidth="1"/>
    <col min="61" max="61" width="10.54296875" style="385" bestFit="1" customWidth="1"/>
    <col min="62" max="62" width="11.453125" style="385" bestFit="1" customWidth="1"/>
    <col min="63" max="64" width="9.1796875" style="385" bestFit="1" customWidth="1"/>
    <col min="65" max="65" width="11.453125" style="385" bestFit="1" customWidth="1"/>
    <col min="66" max="66" width="9.1796875" style="385" bestFit="1" customWidth="1"/>
    <col min="67" max="67" width="11.81640625" style="385" customWidth="1"/>
    <col min="68" max="68" width="9.1796875" style="385" bestFit="1" customWidth="1"/>
    <col min="69" max="70" width="9.1796875" style="385" customWidth="1"/>
    <col min="71" max="71" width="11.453125" style="385" bestFit="1" customWidth="1"/>
    <col min="72" max="75" width="9.1796875" style="385" customWidth="1"/>
    <col min="76" max="76" width="11.453125" style="385" bestFit="1" customWidth="1"/>
    <col min="77" max="80" width="9.1796875" style="385" customWidth="1"/>
    <col min="81" max="81" width="12.1796875" style="385" bestFit="1" customWidth="1"/>
    <col min="82" max="82" width="9.1796875" style="385" customWidth="1"/>
    <col min="83" max="83" width="9.81640625" style="385" bestFit="1" customWidth="1"/>
    <col min="84" max="85" width="9.81640625" style="385" customWidth="1"/>
    <col min="86" max="86" width="12.81640625" style="385" bestFit="1" customWidth="1"/>
    <col min="87" max="87" width="9.81640625" style="385" customWidth="1"/>
    <col min="88" max="88" width="10.453125" style="385" bestFit="1" customWidth="1"/>
    <col min="89" max="89" width="11.1796875" style="385" customWidth="1"/>
    <col min="90" max="90" width="14.1796875" style="385" bestFit="1" customWidth="1"/>
    <col min="91" max="91" width="9.1796875" style="385" bestFit="1" customWidth="1"/>
    <col min="92" max="92" width="12.1796875" style="385" bestFit="1" customWidth="1"/>
    <col min="93" max="93" width="14.453125" style="385" bestFit="1" customWidth="1"/>
    <col min="94" max="94" width="12" style="385" bestFit="1" customWidth="1"/>
    <col min="95" max="95" width="12.81640625" style="385" bestFit="1" customWidth="1"/>
    <col min="96" max="97" width="9.1796875" style="385" bestFit="1" customWidth="1"/>
    <col min="98" max="98" width="12.81640625" style="385" bestFit="1" customWidth="1"/>
    <col min="99" max="99" width="11.54296875" style="385" bestFit="1" customWidth="1"/>
    <col min="100" max="101" width="9.1796875" style="385" bestFit="1" customWidth="1"/>
    <col min="102" max="102" width="11.453125" style="385" bestFit="1" customWidth="1"/>
    <col min="103" max="103" width="15" style="385" bestFit="1" customWidth="1"/>
    <col min="104" max="104" width="14.1796875" style="385" bestFit="1" customWidth="1"/>
    <col min="105" max="106" width="9.1796875" style="385" bestFit="1" customWidth="1"/>
    <col min="107" max="107" width="11.1796875" style="385" customWidth="1"/>
    <col min="108" max="108" width="10.453125" style="385" bestFit="1" customWidth="1"/>
    <col min="109" max="109" width="11.1796875" style="385" bestFit="1" customWidth="1"/>
    <col min="110" max="113" width="9.1796875" style="385" bestFit="1" customWidth="1"/>
    <col min="114" max="114" width="11.1796875" style="385" customWidth="1"/>
    <col min="115" max="115" width="10.81640625" style="385" bestFit="1" customWidth="1"/>
    <col min="116" max="116" width="9.1796875" style="385" bestFit="1" customWidth="1"/>
    <col min="117" max="117" width="12.81640625" style="385" bestFit="1" customWidth="1"/>
    <col min="118" max="118" width="11.1796875" style="385" customWidth="1"/>
    <col min="119" max="119" width="10.453125" style="385" bestFit="1" customWidth="1"/>
    <col min="120" max="120" width="11.1796875" style="385" customWidth="1"/>
    <col min="121" max="121" width="12.81640625" style="385" bestFit="1" customWidth="1"/>
    <col min="122" max="122" width="13.81640625" style="385" bestFit="1" customWidth="1"/>
    <col min="123" max="123" width="9.1796875" style="385" bestFit="1" customWidth="1"/>
    <col min="124" max="124" width="16.453125" style="385" bestFit="1" customWidth="1"/>
    <col min="125" max="125" width="12.54296875" style="385" bestFit="1" customWidth="1"/>
    <col min="126" max="126" width="11" style="385" bestFit="1" customWidth="1"/>
    <col min="127" max="127" width="7.81640625" style="385" bestFit="1" customWidth="1"/>
    <col min="128" max="128" width="14.54296875" style="385" customWidth="1"/>
    <col min="129" max="129" width="8.1796875" style="385" bestFit="1" customWidth="1"/>
    <col min="130" max="130" width="12.81640625" style="385" bestFit="1" customWidth="1"/>
    <col min="131" max="131" width="10.453125" style="385" bestFit="1" customWidth="1"/>
    <col min="132" max="132" width="14" style="385" bestFit="1" customWidth="1"/>
    <col min="133" max="133" width="13.1796875" style="385" customWidth="1"/>
    <col min="134" max="134" width="14.1796875" style="385" bestFit="1" customWidth="1"/>
    <col min="135" max="135" width="13.1796875" style="385" bestFit="1" customWidth="1"/>
    <col min="136" max="136" width="13.81640625" style="385" bestFit="1" customWidth="1"/>
    <col min="137" max="137" width="9.1796875" style="385" bestFit="1" customWidth="1"/>
    <col min="138" max="138" width="23.81640625" style="385" bestFit="1" customWidth="1"/>
    <col min="139" max="139" width="18.81640625" style="385" customWidth="1"/>
    <col min="140" max="140" width="14.81640625" style="385" bestFit="1" customWidth="1"/>
    <col min="141" max="152" width="14.81640625" style="385" customWidth="1"/>
    <col min="153" max="153" width="12.1796875" style="385" customWidth="1"/>
    <col min="154" max="154" width="9.81640625" style="385" customWidth="1"/>
    <col min="155" max="155" width="10.1796875" style="385" customWidth="1"/>
    <col min="156" max="156" width="11.453125" style="385" customWidth="1"/>
    <col min="157" max="157" width="10.1796875" style="385" customWidth="1"/>
    <col min="158" max="158" width="10.08984375" style="385" bestFit="1" customWidth="1"/>
    <col min="159" max="160" width="9" style="385" customWidth="1"/>
    <col min="161" max="161" width="10.1796875" style="385" customWidth="1"/>
    <col min="162" max="163" width="9" style="385" customWidth="1"/>
    <col min="164" max="16384" width="9" style="385"/>
  </cols>
  <sheetData>
    <row r="1" spans="1:162" s="227" customFormat="1" ht="15" customHeight="1">
      <c r="A1" s="226" t="s">
        <v>1080</v>
      </c>
      <c r="B1" s="364" t="s">
        <v>1081</v>
      </c>
      <c r="C1" s="364" t="s">
        <v>1082</v>
      </c>
      <c r="D1" s="364" t="s">
        <v>1083</v>
      </c>
      <c r="E1" s="364" t="s">
        <v>1084</v>
      </c>
      <c r="F1" s="604" t="s">
        <v>1085</v>
      </c>
      <c r="G1" s="604"/>
      <c r="H1" s="604"/>
      <c r="I1" s="604"/>
      <c r="J1" s="604" t="s">
        <v>1086</v>
      </c>
      <c r="K1" s="604"/>
      <c r="L1" s="604"/>
      <c r="M1" s="604"/>
      <c r="N1" s="604"/>
      <c r="O1" s="604" t="s">
        <v>934</v>
      </c>
      <c r="P1" s="604"/>
      <c r="Q1" s="604"/>
      <c r="R1" s="604" t="s">
        <v>1087</v>
      </c>
      <c r="S1" s="604"/>
      <c r="T1" s="604"/>
      <c r="U1" s="604" t="s">
        <v>1088</v>
      </c>
      <c r="V1" s="604"/>
      <c r="W1" s="604"/>
      <c r="X1" s="604"/>
      <c r="Y1" s="604"/>
      <c r="Z1" s="604"/>
      <c r="AA1" s="605" t="s">
        <v>1089</v>
      </c>
      <c r="AB1" s="605"/>
      <c r="AC1" s="605"/>
      <c r="AD1" s="605"/>
      <c r="AE1" s="605"/>
      <c r="AF1" s="605"/>
      <c r="AG1" s="605"/>
      <c r="AH1" s="605" t="s">
        <v>1090</v>
      </c>
      <c r="AI1" s="605"/>
      <c r="AJ1" s="605"/>
      <c r="AK1" s="605"/>
      <c r="AL1" s="605"/>
      <c r="AM1" s="605"/>
      <c r="AN1" s="605"/>
      <c r="AO1" s="604" t="s">
        <v>1091</v>
      </c>
      <c r="AP1" s="604"/>
      <c r="AQ1" s="604"/>
      <c r="AR1" s="604"/>
      <c r="AS1" s="604"/>
      <c r="AT1" s="604" t="s">
        <v>1092</v>
      </c>
      <c r="AU1" s="604"/>
      <c r="AV1" s="604"/>
      <c r="AW1" s="604"/>
      <c r="AX1" s="604"/>
      <c r="AY1" s="604" t="s">
        <v>1093</v>
      </c>
      <c r="AZ1" s="604"/>
      <c r="BA1" s="604"/>
      <c r="BB1" s="604"/>
      <c r="BC1" s="604"/>
      <c r="BD1" s="604"/>
      <c r="BE1" s="604" t="s">
        <v>1094</v>
      </c>
      <c r="BF1" s="604"/>
      <c r="BG1" s="604"/>
      <c r="BH1" s="604"/>
      <c r="BI1" s="604"/>
      <c r="BJ1" s="604"/>
      <c r="BK1" s="603" t="s">
        <v>1095</v>
      </c>
      <c r="BL1" s="603"/>
      <c r="BM1" s="603"/>
      <c r="BN1" s="603"/>
      <c r="BO1" s="603"/>
      <c r="BP1" s="603"/>
      <c r="BQ1" s="603" t="s">
        <v>1096</v>
      </c>
      <c r="BR1" s="603"/>
      <c r="BS1" s="603"/>
      <c r="BT1" s="603"/>
      <c r="BU1" s="603"/>
      <c r="BV1" s="603" t="s">
        <v>1097</v>
      </c>
      <c r="BW1" s="603"/>
      <c r="BX1" s="603"/>
      <c r="BY1" s="603"/>
      <c r="BZ1" s="603"/>
      <c r="CA1" s="607" t="s">
        <v>1098</v>
      </c>
      <c r="CB1" s="608"/>
      <c r="CC1" s="608"/>
      <c r="CD1" s="608"/>
      <c r="CE1" s="609"/>
      <c r="CF1" s="607" t="s">
        <v>1099</v>
      </c>
      <c r="CG1" s="608"/>
      <c r="CH1" s="608"/>
      <c r="CI1" s="608"/>
      <c r="CJ1" s="609"/>
      <c r="CK1" s="610" t="s">
        <v>1100</v>
      </c>
      <c r="CL1" s="611"/>
      <c r="CM1" s="611"/>
      <c r="CN1" s="612"/>
      <c r="CO1" s="613" t="s">
        <v>1101</v>
      </c>
      <c r="CP1" s="614"/>
      <c r="CQ1" s="614"/>
      <c r="CR1" s="614"/>
      <c r="CS1" s="615" t="s">
        <v>1102</v>
      </c>
      <c r="CT1" s="616"/>
      <c r="CU1" s="616"/>
      <c r="CV1" s="616"/>
      <c r="CW1" s="617"/>
      <c r="CX1" s="615" t="s">
        <v>1103</v>
      </c>
      <c r="CY1" s="616"/>
      <c r="CZ1" s="616"/>
      <c r="DA1" s="617"/>
      <c r="DB1" s="615" t="s">
        <v>1104</v>
      </c>
      <c r="DC1" s="616"/>
      <c r="DD1" s="616"/>
      <c r="DE1" s="616"/>
      <c r="DF1" s="616"/>
      <c r="DG1" s="617"/>
      <c r="DH1" s="615" t="s">
        <v>1105</v>
      </c>
      <c r="DI1" s="617"/>
      <c r="DJ1" s="362" t="s">
        <v>1106</v>
      </c>
      <c r="DK1" s="618" t="s">
        <v>1107</v>
      </c>
      <c r="DL1" s="619"/>
      <c r="DM1" s="619"/>
      <c r="DN1" s="619"/>
      <c r="DO1" s="619"/>
      <c r="DP1" s="619"/>
      <c r="DQ1" s="619"/>
      <c r="DR1" s="619"/>
      <c r="DS1" s="619"/>
      <c r="DT1" s="619"/>
      <c r="DU1" s="619"/>
      <c r="DV1" s="619"/>
      <c r="DW1" s="619"/>
      <c r="DX1" s="619"/>
      <c r="DY1" s="619"/>
      <c r="DZ1" s="619"/>
      <c r="EA1" s="606" t="s">
        <v>1108</v>
      </c>
      <c r="EB1" s="606"/>
      <c r="EC1" s="606"/>
      <c r="ED1" s="362"/>
      <c r="EE1" s="364"/>
      <c r="EF1" s="364"/>
      <c r="EG1" s="364"/>
      <c r="EH1" s="364"/>
      <c r="EI1" s="622" t="s">
        <v>1109</v>
      </c>
      <c r="EJ1" s="624" t="s">
        <v>1110</v>
      </c>
      <c r="EK1" s="626" t="s">
        <v>1111</v>
      </c>
      <c r="EL1" s="621"/>
      <c r="EM1" s="621"/>
      <c r="EN1" s="627"/>
      <c r="EO1" s="620" t="s">
        <v>1112</v>
      </c>
      <c r="EP1" s="621"/>
      <c r="EQ1" s="621"/>
      <c r="ER1" s="627"/>
      <c r="ES1" s="620" t="s">
        <v>1113</v>
      </c>
      <c r="ET1" s="621"/>
      <c r="EU1" s="621"/>
      <c r="EV1" s="628"/>
      <c r="EW1" s="626" t="s">
        <v>1114</v>
      </c>
      <c r="EX1" s="621"/>
      <c r="EY1" s="628"/>
      <c r="EZ1" s="620" t="s">
        <v>1115</v>
      </c>
      <c r="FA1" s="621"/>
      <c r="FB1" s="621"/>
      <c r="FC1" s="621"/>
      <c r="FD1" s="606" t="s">
        <v>1116</v>
      </c>
      <c r="FE1" s="606"/>
      <c r="FF1" s="606"/>
    </row>
    <row r="2" spans="1:162" s="227" customFormat="1" ht="80.5">
      <c r="A2" s="228"/>
      <c r="B2" s="364" t="s">
        <v>75</v>
      </c>
      <c r="C2" s="364" t="s">
        <v>75</v>
      </c>
      <c r="D2" s="364"/>
      <c r="E2" s="364" t="s">
        <v>75</v>
      </c>
      <c r="F2" s="364" t="s">
        <v>1117</v>
      </c>
      <c r="G2" s="363" t="s">
        <v>1118</v>
      </c>
      <c r="H2" s="363" t="s">
        <v>1119</v>
      </c>
      <c r="I2" s="363" t="s">
        <v>1120</v>
      </c>
      <c r="J2" s="364" t="s">
        <v>1117</v>
      </c>
      <c r="K2" s="363" t="s">
        <v>1121</v>
      </c>
      <c r="L2" s="363" t="s">
        <v>1122</v>
      </c>
      <c r="M2" s="363" t="s">
        <v>1119</v>
      </c>
      <c r="N2" s="363" t="s">
        <v>1123</v>
      </c>
      <c r="O2" s="363" t="s">
        <v>1124</v>
      </c>
      <c r="P2" s="363" t="s">
        <v>1125</v>
      </c>
      <c r="Q2" s="363" t="s">
        <v>1126</v>
      </c>
      <c r="R2" s="363" t="s">
        <v>1124</v>
      </c>
      <c r="S2" s="363" t="s">
        <v>1125</v>
      </c>
      <c r="T2" s="363" t="s">
        <v>1126</v>
      </c>
      <c r="U2" s="364" t="s">
        <v>1124</v>
      </c>
      <c r="V2" s="364" t="s">
        <v>1117</v>
      </c>
      <c r="W2" s="363" t="s">
        <v>1127</v>
      </c>
      <c r="X2" s="364" t="s">
        <v>1125</v>
      </c>
      <c r="Y2" s="364" t="s">
        <v>1128</v>
      </c>
      <c r="Z2" s="364" t="s">
        <v>1126</v>
      </c>
      <c r="AA2" s="364" t="s">
        <v>1124</v>
      </c>
      <c r="AB2" s="364" t="s">
        <v>1117</v>
      </c>
      <c r="AC2" s="364" t="s">
        <v>1125</v>
      </c>
      <c r="AD2" s="364" t="s">
        <v>1126</v>
      </c>
      <c r="AE2" s="364" t="s">
        <v>1128</v>
      </c>
      <c r="AF2" s="364" t="s">
        <v>1129</v>
      </c>
      <c r="AG2" s="364" t="s">
        <v>1130</v>
      </c>
      <c r="AH2" s="364" t="s">
        <v>1124</v>
      </c>
      <c r="AI2" s="364" t="s">
        <v>1117</v>
      </c>
      <c r="AJ2" s="364" t="s">
        <v>1125</v>
      </c>
      <c r="AK2" s="364" t="s">
        <v>1126</v>
      </c>
      <c r="AL2" s="364" t="s">
        <v>1128</v>
      </c>
      <c r="AM2" s="364" t="s">
        <v>1129</v>
      </c>
      <c r="AN2" s="364" t="s">
        <v>1130</v>
      </c>
      <c r="AO2" s="364" t="s">
        <v>1124</v>
      </c>
      <c r="AP2" s="364" t="s">
        <v>1117</v>
      </c>
      <c r="AQ2" s="364" t="s">
        <v>1125</v>
      </c>
      <c r="AR2" s="364" t="s">
        <v>1126</v>
      </c>
      <c r="AS2" s="364" t="s">
        <v>1129</v>
      </c>
      <c r="AT2" s="364" t="s">
        <v>1124</v>
      </c>
      <c r="AU2" s="364" t="s">
        <v>1117</v>
      </c>
      <c r="AV2" s="364" t="s">
        <v>1125</v>
      </c>
      <c r="AW2" s="364" t="s">
        <v>1126</v>
      </c>
      <c r="AX2" s="364" t="s">
        <v>1129</v>
      </c>
      <c r="AY2" s="364" t="s">
        <v>1131</v>
      </c>
      <c r="AZ2" s="364" t="s">
        <v>1117</v>
      </c>
      <c r="BA2" s="229" t="s">
        <v>1125</v>
      </c>
      <c r="BB2" s="364" t="s">
        <v>1126</v>
      </c>
      <c r="BC2" s="364" t="s">
        <v>1129</v>
      </c>
      <c r="BD2" s="364" t="s">
        <v>1128</v>
      </c>
      <c r="BE2" s="364" t="s">
        <v>1131</v>
      </c>
      <c r="BF2" s="364" t="s">
        <v>1117</v>
      </c>
      <c r="BG2" s="229" t="s">
        <v>1125</v>
      </c>
      <c r="BH2" s="364" t="s">
        <v>1126</v>
      </c>
      <c r="BI2" s="364" t="s">
        <v>1129</v>
      </c>
      <c r="BJ2" s="364" t="s">
        <v>1132</v>
      </c>
      <c r="BK2" s="364" t="s">
        <v>1133</v>
      </c>
      <c r="BL2" s="364" t="s">
        <v>1117</v>
      </c>
      <c r="BM2" s="364" t="s">
        <v>1125</v>
      </c>
      <c r="BN2" s="364" t="s">
        <v>1126</v>
      </c>
      <c r="BO2" s="364" t="s">
        <v>1129</v>
      </c>
      <c r="BP2" s="364" t="s">
        <v>1128</v>
      </c>
      <c r="BQ2" s="364" t="s">
        <v>1133</v>
      </c>
      <c r="BR2" s="364" t="s">
        <v>1117</v>
      </c>
      <c r="BS2" s="364" t="s">
        <v>1125</v>
      </c>
      <c r="BT2" s="364" t="s">
        <v>1126</v>
      </c>
      <c r="BU2" s="364" t="s">
        <v>1129</v>
      </c>
      <c r="BV2" s="230" t="s">
        <v>1133</v>
      </c>
      <c r="BW2" s="230" t="s">
        <v>1117</v>
      </c>
      <c r="BX2" s="230" t="s">
        <v>1125</v>
      </c>
      <c r="BY2" s="230" t="s">
        <v>1126</v>
      </c>
      <c r="BZ2" s="230" t="s">
        <v>1129</v>
      </c>
      <c r="CA2" s="364" t="s">
        <v>1133</v>
      </c>
      <c r="CB2" s="364" t="s">
        <v>1117</v>
      </c>
      <c r="CC2" s="364" t="s">
        <v>1125</v>
      </c>
      <c r="CD2" s="364" t="s">
        <v>1126</v>
      </c>
      <c r="CE2" s="364" t="s">
        <v>1129</v>
      </c>
      <c r="CF2" s="230" t="s">
        <v>1133</v>
      </c>
      <c r="CG2" s="230" t="s">
        <v>1117</v>
      </c>
      <c r="CH2" s="230" t="s">
        <v>1125</v>
      </c>
      <c r="CI2" s="230" t="s">
        <v>1126</v>
      </c>
      <c r="CJ2" s="230" t="s">
        <v>1129</v>
      </c>
      <c r="CK2" s="364" t="s">
        <v>1124</v>
      </c>
      <c r="CL2" s="364" t="s">
        <v>1125</v>
      </c>
      <c r="CM2" s="364" t="s">
        <v>1126</v>
      </c>
      <c r="CN2" s="364" t="s">
        <v>1129</v>
      </c>
      <c r="CO2" s="364" t="s">
        <v>1124</v>
      </c>
      <c r="CP2" s="364" t="s">
        <v>1117</v>
      </c>
      <c r="CQ2" s="364" t="s">
        <v>1125</v>
      </c>
      <c r="CR2" s="364" t="s">
        <v>1126</v>
      </c>
      <c r="CS2" s="231" t="s">
        <v>1124</v>
      </c>
      <c r="CT2" s="231" t="s">
        <v>1125</v>
      </c>
      <c r="CU2" s="231" t="s">
        <v>1129</v>
      </c>
      <c r="CV2" s="231" t="s">
        <v>1126</v>
      </c>
      <c r="CW2" s="231" t="s">
        <v>1134</v>
      </c>
      <c r="CX2" s="231" t="s">
        <v>1124</v>
      </c>
      <c r="CY2" s="231" t="s">
        <v>1117</v>
      </c>
      <c r="CZ2" s="231" t="s">
        <v>1125</v>
      </c>
      <c r="DA2" s="231" t="s">
        <v>1126</v>
      </c>
      <c r="DB2" s="231" t="s">
        <v>1124</v>
      </c>
      <c r="DC2" s="231" t="s">
        <v>1117</v>
      </c>
      <c r="DD2" s="231" t="s">
        <v>1125</v>
      </c>
      <c r="DE2" s="231" t="s">
        <v>1126</v>
      </c>
      <c r="DF2" s="231" t="s">
        <v>1128</v>
      </c>
      <c r="DG2" s="231" t="s">
        <v>1130</v>
      </c>
      <c r="DH2" s="231" t="s">
        <v>1133</v>
      </c>
      <c r="DI2" s="231" t="s">
        <v>1129</v>
      </c>
      <c r="DJ2" s="364" t="s">
        <v>1133</v>
      </c>
      <c r="DK2" s="364" t="s">
        <v>1124</v>
      </c>
      <c r="DL2" s="364" t="s">
        <v>1117</v>
      </c>
      <c r="DM2" s="364" t="s">
        <v>1125</v>
      </c>
      <c r="DN2" s="364" t="s">
        <v>1126</v>
      </c>
      <c r="DO2" s="364" t="s">
        <v>1129</v>
      </c>
      <c r="DP2" s="363" t="s">
        <v>1135</v>
      </c>
      <c r="DQ2" s="363" t="s">
        <v>1136</v>
      </c>
      <c r="DR2" s="363" t="s">
        <v>1137</v>
      </c>
      <c r="DS2" s="363" t="s">
        <v>1138</v>
      </c>
      <c r="DT2" s="363" t="s">
        <v>1139</v>
      </c>
      <c r="DU2" s="363" t="s">
        <v>1140</v>
      </c>
      <c r="DV2" s="364" t="s">
        <v>1128</v>
      </c>
      <c r="DW2" s="363" t="s">
        <v>1141</v>
      </c>
      <c r="DX2" s="363" t="s">
        <v>1142</v>
      </c>
      <c r="DY2" s="363" t="s">
        <v>1143</v>
      </c>
      <c r="DZ2" s="363" t="s">
        <v>1144</v>
      </c>
      <c r="EA2" s="231" t="s">
        <v>1124</v>
      </c>
      <c r="EB2" s="231" t="s">
        <v>1125</v>
      </c>
      <c r="EC2" s="231" t="s">
        <v>1126</v>
      </c>
      <c r="ED2" s="363" t="s">
        <v>1145</v>
      </c>
      <c r="EE2" s="363" t="s">
        <v>1146</v>
      </c>
      <c r="EF2" s="363" t="s">
        <v>1147</v>
      </c>
      <c r="EG2" s="363" t="s">
        <v>1148</v>
      </c>
      <c r="EH2" s="363" t="s">
        <v>1149</v>
      </c>
      <c r="EI2" s="623"/>
      <c r="EJ2" s="625"/>
      <c r="EK2" s="232" t="s">
        <v>1124</v>
      </c>
      <c r="EL2" s="231" t="s">
        <v>1117</v>
      </c>
      <c r="EM2" s="231" t="s">
        <v>1125</v>
      </c>
      <c r="EN2" s="233" t="s">
        <v>1129</v>
      </c>
      <c r="EO2" s="231" t="s">
        <v>1124</v>
      </c>
      <c r="EP2" s="231" t="s">
        <v>1117</v>
      </c>
      <c r="EQ2" s="231" t="s">
        <v>1125</v>
      </c>
      <c r="ER2" s="233" t="s">
        <v>1129</v>
      </c>
      <c r="ES2" s="231" t="s">
        <v>1124</v>
      </c>
      <c r="ET2" s="231" t="s">
        <v>1117</v>
      </c>
      <c r="EU2" s="231" t="s">
        <v>1125</v>
      </c>
      <c r="EV2" s="233" t="s">
        <v>1129</v>
      </c>
      <c r="EW2" s="231" t="s">
        <v>1124</v>
      </c>
      <c r="EX2" s="231" t="s">
        <v>1117</v>
      </c>
      <c r="EY2" s="234" t="s">
        <v>1125</v>
      </c>
      <c r="EZ2" s="231" t="s">
        <v>1124</v>
      </c>
      <c r="FA2" s="231" t="s">
        <v>1117</v>
      </c>
      <c r="FB2" s="231" t="s">
        <v>1125</v>
      </c>
      <c r="FC2" s="235" t="s">
        <v>1129</v>
      </c>
      <c r="FD2" s="361" t="s">
        <v>1124</v>
      </c>
      <c r="FE2" s="361" t="s">
        <v>1117</v>
      </c>
      <c r="FF2" s="361" t="s">
        <v>1129</v>
      </c>
    </row>
    <row r="3" spans="1:162" s="248" customFormat="1" ht="15" customHeight="1">
      <c r="A3" s="236">
        <v>45566</v>
      </c>
      <c r="B3" s="237">
        <v>7079</v>
      </c>
      <c r="C3" s="237">
        <v>13087</v>
      </c>
      <c r="D3" s="237">
        <v>13087</v>
      </c>
      <c r="E3" s="237">
        <v>800888</v>
      </c>
      <c r="F3" s="237">
        <v>317548</v>
      </c>
      <c r="G3" s="237">
        <v>3522704</v>
      </c>
      <c r="H3" s="237">
        <v>2514137</v>
      </c>
      <c r="I3" s="237">
        <v>1629158</v>
      </c>
      <c r="J3" s="237">
        <v>8887</v>
      </c>
      <c r="K3" s="237">
        <v>289</v>
      </c>
      <c r="L3" s="237">
        <v>211253</v>
      </c>
      <c r="M3" s="237">
        <v>176197</v>
      </c>
      <c r="N3" s="237">
        <v>148421</v>
      </c>
      <c r="O3" s="237">
        <v>1094832</v>
      </c>
      <c r="P3" s="237">
        <v>214211060</v>
      </c>
      <c r="Q3" s="237">
        <v>6111</v>
      </c>
      <c r="R3" s="237">
        <v>995598</v>
      </c>
      <c r="S3" s="237">
        <v>9322089</v>
      </c>
      <c r="T3" s="237">
        <v>1</v>
      </c>
      <c r="U3" s="237">
        <v>155597</v>
      </c>
      <c r="V3" s="237">
        <v>43501</v>
      </c>
      <c r="W3" s="237">
        <v>124493</v>
      </c>
      <c r="X3" s="237">
        <v>1103943053</v>
      </c>
      <c r="Y3" s="237">
        <v>3577274</v>
      </c>
      <c r="Z3" s="237">
        <v>8132</v>
      </c>
      <c r="AA3" s="237">
        <v>0</v>
      </c>
      <c r="AB3" s="237">
        <v>334</v>
      </c>
      <c r="AC3" s="237">
        <v>0</v>
      </c>
      <c r="AD3" s="237">
        <v>462</v>
      </c>
      <c r="AE3" s="237">
        <v>0</v>
      </c>
      <c r="AF3" s="237">
        <v>0</v>
      </c>
      <c r="AG3" s="237">
        <v>0</v>
      </c>
      <c r="AH3" s="237">
        <v>112097</v>
      </c>
      <c r="AI3" s="237">
        <v>94243</v>
      </c>
      <c r="AJ3" s="237">
        <v>1048134647</v>
      </c>
      <c r="AK3" s="237">
        <v>8633</v>
      </c>
      <c r="AL3" s="237">
        <v>9817565</v>
      </c>
      <c r="AM3" s="237">
        <v>19439924</v>
      </c>
      <c r="AN3" s="237">
        <v>255348</v>
      </c>
      <c r="AO3" s="237">
        <v>17699</v>
      </c>
      <c r="AP3" s="237">
        <v>13614</v>
      </c>
      <c r="AQ3" s="237">
        <v>159987517</v>
      </c>
      <c r="AR3" s="237">
        <v>3311</v>
      </c>
      <c r="AS3" s="237">
        <v>1025100</v>
      </c>
      <c r="AT3" s="237">
        <v>100</v>
      </c>
      <c r="AU3" s="237">
        <v>363</v>
      </c>
      <c r="AV3" s="237">
        <v>420583</v>
      </c>
      <c r="AW3" s="237">
        <v>359</v>
      </c>
      <c r="AX3" s="237">
        <v>26200</v>
      </c>
      <c r="AY3" s="237">
        <v>1951</v>
      </c>
      <c r="AZ3" s="237">
        <v>1319</v>
      </c>
      <c r="BA3" s="237">
        <v>84404387</v>
      </c>
      <c r="BB3" s="237">
        <v>892</v>
      </c>
      <c r="BC3" s="237">
        <v>34400</v>
      </c>
      <c r="BD3" s="237">
        <v>10889</v>
      </c>
      <c r="BE3" s="237">
        <v>2695</v>
      </c>
      <c r="BF3" s="237">
        <v>1901</v>
      </c>
      <c r="BG3" s="237">
        <v>55430706</v>
      </c>
      <c r="BH3" s="237">
        <v>3</v>
      </c>
      <c r="BI3" s="237">
        <v>0</v>
      </c>
      <c r="BJ3" s="237">
        <v>0</v>
      </c>
      <c r="BK3" s="237">
        <v>155</v>
      </c>
      <c r="BL3" s="237">
        <v>118</v>
      </c>
      <c r="BM3" s="237">
        <v>2678724</v>
      </c>
      <c r="BN3" s="237">
        <v>59</v>
      </c>
      <c r="BO3" s="237">
        <v>65100</v>
      </c>
      <c r="BP3" s="237">
        <v>26040</v>
      </c>
      <c r="BQ3" s="237">
        <v>57355</v>
      </c>
      <c r="BR3" s="237">
        <v>31252</v>
      </c>
      <c r="BS3" s="237">
        <v>69614066</v>
      </c>
      <c r="BT3" s="237">
        <v>0</v>
      </c>
      <c r="BU3" s="238">
        <f t="shared" ref="BU3:BU33" si="0">BS3*0.0135</f>
        <v>939789.89099999995</v>
      </c>
      <c r="BV3" s="237">
        <v>69</v>
      </c>
      <c r="BW3" s="237">
        <v>63</v>
      </c>
      <c r="BX3" s="237">
        <v>4770767</v>
      </c>
      <c r="BY3" s="237">
        <v>0</v>
      </c>
      <c r="BZ3" s="237">
        <v>23854</v>
      </c>
      <c r="CA3" s="238">
        <v>0</v>
      </c>
      <c r="CB3" s="238">
        <v>0</v>
      </c>
      <c r="CC3" s="238">
        <v>0</v>
      </c>
      <c r="CD3" s="238">
        <v>0</v>
      </c>
      <c r="CE3" s="238">
        <v>0</v>
      </c>
      <c r="CF3" s="237">
        <v>0</v>
      </c>
      <c r="CG3" s="237">
        <v>0</v>
      </c>
      <c r="CH3" s="237">
        <v>0</v>
      </c>
      <c r="CI3" s="237">
        <v>0</v>
      </c>
      <c r="CJ3" s="237">
        <v>0</v>
      </c>
      <c r="CK3" s="239">
        <v>6488</v>
      </c>
      <c r="CL3" s="237">
        <v>58110479</v>
      </c>
      <c r="CM3" s="237">
        <v>0</v>
      </c>
      <c r="CN3" s="237">
        <v>0</v>
      </c>
      <c r="CO3" s="237">
        <v>93126</v>
      </c>
      <c r="CP3" s="237">
        <v>44046</v>
      </c>
      <c r="CQ3" s="239">
        <v>33864360</v>
      </c>
      <c r="CR3" s="237">
        <v>6194</v>
      </c>
      <c r="CS3" s="237">
        <v>7655</v>
      </c>
      <c r="CT3" s="237">
        <v>31373838</v>
      </c>
      <c r="CU3" s="237">
        <v>336299</v>
      </c>
      <c r="CV3" s="237">
        <v>8205</v>
      </c>
      <c r="CW3" s="237">
        <v>21564</v>
      </c>
      <c r="CX3" s="237">
        <v>19903</v>
      </c>
      <c r="CY3" s="237">
        <v>18191</v>
      </c>
      <c r="CZ3" s="237">
        <v>273115987</v>
      </c>
      <c r="DA3" s="237">
        <v>2687</v>
      </c>
      <c r="DB3" s="237">
        <v>23</v>
      </c>
      <c r="DC3" s="237">
        <v>1</v>
      </c>
      <c r="DD3" s="237">
        <v>217400</v>
      </c>
      <c r="DE3" s="237">
        <v>0</v>
      </c>
      <c r="DF3" s="237">
        <v>3106</v>
      </c>
      <c r="DG3" s="237">
        <v>92</v>
      </c>
      <c r="DH3" s="237">
        <v>0</v>
      </c>
      <c r="DI3" s="237">
        <v>0</v>
      </c>
      <c r="DJ3" s="237">
        <v>1</v>
      </c>
      <c r="DK3" s="237">
        <v>11613</v>
      </c>
      <c r="DL3" s="237">
        <v>3311</v>
      </c>
      <c r="DM3" s="237">
        <v>357231237</v>
      </c>
      <c r="DN3" s="237">
        <v>917</v>
      </c>
      <c r="DO3" s="237">
        <v>2184850</v>
      </c>
      <c r="DP3" s="237">
        <v>315</v>
      </c>
      <c r="DQ3" s="237">
        <v>19008786</v>
      </c>
      <c r="DR3" s="237">
        <v>290700</v>
      </c>
      <c r="DS3" s="237">
        <f>DK3</f>
        <v>11613</v>
      </c>
      <c r="DT3" s="237">
        <f>DM3</f>
        <v>357231237</v>
      </c>
      <c r="DU3" s="240">
        <f t="shared" ref="DU3:DU33" si="1">DO3</f>
        <v>2184850</v>
      </c>
      <c r="DV3" s="237">
        <v>0</v>
      </c>
      <c r="DW3" s="237">
        <v>7377</v>
      </c>
      <c r="DX3" s="237">
        <v>238110940</v>
      </c>
      <c r="DY3" s="237">
        <f>DS3-DW3</f>
        <v>4236</v>
      </c>
      <c r="DZ3" s="237">
        <f>DT3-DX3</f>
        <v>119120297</v>
      </c>
      <c r="EA3" s="238">
        <f t="shared" ref="EA3:EA33" si="2">SUM(U3,AA3,AO3,AT3,CK3,CO3,CS3,CX3,DB3,DH3,DJ3,DS3,R3,BK3,BE3,AY3,AH3,O3+BQ3)+BV3+CA3+CF3</f>
        <v>2576957</v>
      </c>
      <c r="EB3" s="238">
        <f t="shared" ref="EB3:EB33" si="3">SUM(X3,AC3,AQ3,AV3,CL3,CQ3,CT3,CZ3,DD3,DT3,S3,BM3,BG3,BA3,AJ3,P3+BS3+CC3)+BX3+CH3</f>
        <v>3506830900</v>
      </c>
      <c r="EC3" s="238">
        <f t="shared" ref="EC3:EC33" si="4">SUM(Z3,AD3,AR3,AW3,CM3,CR3,CV3,DA3,DE3,DP3,T3,BN3,BH3,BB3,AK3+BT3+CD3)+BY3+CI3</f>
        <v>39253</v>
      </c>
      <c r="ED3" s="241">
        <v>587394</v>
      </c>
      <c r="EE3" s="241">
        <v>259154</v>
      </c>
      <c r="EF3" s="241">
        <v>542300</v>
      </c>
      <c r="EG3" s="241">
        <v>42130</v>
      </c>
      <c r="EH3" s="241">
        <v>1536673</v>
      </c>
      <c r="EI3" s="242">
        <f t="shared" ref="EI3:EI12" si="5">SUM(AF3,AX3,AS3,DI3,CN3,CU3)+BZ3+BU3+(DO3)+BC3+BJ3+AM3+ED3+EE3+BO3+EV3+FF3</f>
        <v>25479184.005999997</v>
      </c>
      <c r="EJ3" s="243">
        <f t="shared" ref="EJ3:EJ33" si="6">SUM(Y3,AE3,DF3)+BD3+AL3+CW3+EF3+BP3</f>
        <v>13998738</v>
      </c>
      <c r="EK3" s="244">
        <v>8253</v>
      </c>
      <c r="EL3" s="245">
        <v>6910</v>
      </c>
      <c r="EM3" s="245">
        <v>3181986</v>
      </c>
      <c r="EN3" s="245">
        <f t="shared" ref="EN3:EN33" si="7">EM3*1.5%</f>
        <v>47729.79</v>
      </c>
      <c r="EO3" s="245">
        <v>93794</v>
      </c>
      <c r="EP3" s="245">
        <v>64381</v>
      </c>
      <c r="EQ3" s="245">
        <v>25026155</v>
      </c>
      <c r="ER3" s="245">
        <f t="shared" ref="ER3:ER33" si="8">EQ3*1.5%</f>
        <v>375392.32500000001</v>
      </c>
      <c r="ES3" s="246">
        <f t="shared" ref="ES3:ES33" si="9">EK3+EO3</f>
        <v>102047</v>
      </c>
      <c r="ET3" s="246">
        <v>69767</v>
      </c>
      <c r="EU3" s="246">
        <f t="shared" ref="EU3:EV18" si="10">EM3+EQ3</f>
        <v>28208141</v>
      </c>
      <c r="EV3" s="247">
        <f t="shared" si="10"/>
        <v>423122.11499999999</v>
      </c>
      <c r="EW3" s="246">
        <f t="shared" ref="EW3:EW33" si="11">O3+CO3-ES3</f>
        <v>1085911</v>
      </c>
      <c r="EX3" s="246">
        <f t="shared" ref="EX3:EX33" si="12">CP3</f>
        <v>44046</v>
      </c>
      <c r="EY3" s="247">
        <f t="shared" ref="EY3:EY33" si="13">P3+CQ3-EU3</f>
        <v>219867279</v>
      </c>
      <c r="EZ3" s="246">
        <f t="shared" ref="EZ3:FB18" si="14">BQ3+CA3+CF3</f>
        <v>57355</v>
      </c>
      <c r="FA3" s="246">
        <f t="shared" si="14"/>
        <v>31252</v>
      </c>
      <c r="FB3" s="246">
        <f t="shared" si="14"/>
        <v>69614066</v>
      </c>
      <c r="FC3" s="247">
        <f t="shared" ref="FC3:FC33" si="15">BU3+CJ3+CE3</f>
        <v>939789.89099999995</v>
      </c>
      <c r="FD3" s="246">
        <v>117</v>
      </c>
      <c r="FE3" s="246">
        <v>110</v>
      </c>
      <c r="FF3" s="246">
        <v>133997</v>
      </c>
    </row>
    <row r="4" spans="1:162" s="248" customFormat="1" ht="15" customHeight="1">
      <c r="A4" s="236">
        <v>45567</v>
      </c>
      <c r="B4" s="237">
        <v>7637</v>
      </c>
      <c r="C4" s="237">
        <v>13906</v>
      </c>
      <c r="D4" s="237">
        <v>13906</v>
      </c>
      <c r="E4" s="237">
        <v>801031</v>
      </c>
      <c r="F4" s="237">
        <v>319711</v>
      </c>
      <c r="G4" s="237">
        <v>3526784</v>
      </c>
      <c r="H4" s="237">
        <v>2512694</v>
      </c>
      <c r="I4" s="237">
        <v>1629838</v>
      </c>
      <c r="J4" s="237">
        <v>8966</v>
      </c>
      <c r="K4" s="237">
        <v>330</v>
      </c>
      <c r="L4" s="237">
        <v>211653</v>
      </c>
      <c r="M4" s="237">
        <v>176441</v>
      </c>
      <c r="N4" s="237">
        <v>148720</v>
      </c>
      <c r="O4" s="237">
        <v>1084096</v>
      </c>
      <c r="P4" s="237">
        <v>213143090</v>
      </c>
      <c r="Q4" s="237">
        <v>6114</v>
      </c>
      <c r="R4" s="237">
        <v>984515</v>
      </c>
      <c r="S4" s="237">
        <v>9258559</v>
      </c>
      <c r="T4" s="237">
        <v>3</v>
      </c>
      <c r="U4" s="237">
        <v>160407</v>
      </c>
      <c r="V4" s="237">
        <v>44061</v>
      </c>
      <c r="W4" s="237">
        <v>127259</v>
      </c>
      <c r="X4" s="237">
        <v>1015282086</v>
      </c>
      <c r="Y4" s="237">
        <v>3297428</v>
      </c>
      <c r="Z4" s="237">
        <v>8105</v>
      </c>
      <c r="AA4" s="237">
        <v>0</v>
      </c>
      <c r="AB4" s="237">
        <v>343</v>
      </c>
      <c r="AC4" s="237">
        <v>0</v>
      </c>
      <c r="AD4" s="237">
        <v>480</v>
      </c>
      <c r="AE4" s="237">
        <v>0</v>
      </c>
      <c r="AF4" s="237">
        <v>0</v>
      </c>
      <c r="AG4" s="237">
        <v>0</v>
      </c>
      <c r="AH4" s="237">
        <v>112178</v>
      </c>
      <c r="AI4" s="237">
        <v>94213</v>
      </c>
      <c r="AJ4" s="237">
        <v>995600587</v>
      </c>
      <c r="AK4" s="237">
        <v>8472</v>
      </c>
      <c r="AL4" s="237">
        <v>9544601</v>
      </c>
      <c r="AM4" s="237">
        <v>18883481</v>
      </c>
      <c r="AN4" s="237">
        <v>246981</v>
      </c>
      <c r="AO4" s="237">
        <v>18032</v>
      </c>
      <c r="AP4" s="237">
        <v>13903</v>
      </c>
      <c r="AQ4" s="237">
        <v>160626414</v>
      </c>
      <c r="AR4" s="237">
        <v>3163</v>
      </c>
      <c r="AS4" s="237">
        <v>1055000</v>
      </c>
      <c r="AT4" s="237">
        <v>106</v>
      </c>
      <c r="AU4" s="237">
        <v>331</v>
      </c>
      <c r="AV4" s="237">
        <v>403460</v>
      </c>
      <c r="AW4" s="237">
        <v>299</v>
      </c>
      <c r="AX4" s="237">
        <v>28000</v>
      </c>
      <c r="AY4" s="237">
        <v>1131</v>
      </c>
      <c r="AZ4" s="237">
        <v>898</v>
      </c>
      <c r="BA4" s="237">
        <v>41841024</v>
      </c>
      <c r="BB4" s="237">
        <v>353</v>
      </c>
      <c r="BC4" s="237">
        <v>23350</v>
      </c>
      <c r="BD4" s="237">
        <v>7323</v>
      </c>
      <c r="BE4" s="237">
        <v>2687</v>
      </c>
      <c r="BF4" s="237">
        <v>1910</v>
      </c>
      <c r="BG4" s="237">
        <v>52621827</v>
      </c>
      <c r="BH4" s="237">
        <v>7</v>
      </c>
      <c r="BI4" s="237">
        <v>0</v>
      </c>
      <c r="BJ4" s="237">
        <v>0</v>
      </c>
      <c r="BK4" s="237">
        <v>139</v>
      </c>
      <c r="BL4" s="237">
        <v>114</v>
      </c>
      <c r="BM4" s="237">
        <v>2961954</v>
      </c>
      <c r="BN4" s="237">
        <v>41</v>
      </c>
      <c r="BO4" s="237">
        <v>69550</v>
      </c>
      <c r="BP4" s="237">
        <v>27820</v>
      </c>
      <c r="BQ4" s="237">
        <v>62606</v>
      </c>
      <c r="BR4" s="237">
        <v>33398</v>
      </c>
      <c r="BS4" s="237">
        <v>78640688</v>
      </c>
      <c r="BT4" s="237">
        <v>0</v>
      </c>
      <c r="BU4" s="238">
        <f t="shared" si="0"/>
        <v>1061649.2879999999</v>
      </c>
      <c r="BV4" s="237">
        <v>35</v>
      </c>
      <c r="BW4" s="237">
        <v>32</v>
      </c>
      <c r="BX4" s="237">
        <v>3023395</v>
      </c>
      <c r="BY4" s="237">
        <v>0</v>
      </c>
      <c r="BZ4" s="237">
        <v>15117</v>
      </c>
      <c r="CA4" s="238">
        <v>0</v>
      </c>
      <c r="CB4" s="238">
        <v>0</v>
      </c>
      <c r="CC4" s="238">
        <v>0</v>
      </c>
      <c r="CD4" s="238">
        <v>0</v>
      </c>
      <c r="CE4" s="238">
        <v>0</v>
      </c>
      <c r="CF4" s="237">
        <v>0</v>
      </c>
      <c r="CG4" s="237">
        <v>0</v>
      </c>
      <c r="CH4" s="237">
        <v>0</v>
      </c>
      <c r="CI4" s="237">
        <v>0</v>
      </c>
      <c r="CJ4" s="237">
        <v>0</v>
      </c>
      <c r="CK4" s="239">
        <v>168</v>
      </c>
      <c r="CL4" s="237">
        <v>15572084</v>
      </c>
      <c r="CM4" s="237">
        <v>0</v>
      </c>
      <c r="CN4" s="237">
        <v>0</v>
      </c>
      <c r="CO4" s="237">
        <v>91117</v>
      </c>
      <c r="CP4" s="237">
        <v>43568</v>
      </c>
      <c r="CQ4" s="239">
        <v>31912484</v>
      </c>
      <c r="CR4" s="237">
        <v>6162</v>
      </c>
      <c r="CS4" s="237">
        <v>9085</v>
      </c>
      <c r="CT4" s="237">
        <v>31557905</v>
      </c>
      <c r="CU4" s="237">
        <v>335508</v>
      </c>
      <c r="CV4" s="237">
        <v>7071</v>
      </c>
      <c r="CW4" s="237">
        <v>22337</v>
      </c>
      <c r="CX4" s="237">
        <v>19761</v>
      </c>
      <c r="CY4" s="237">
        <v>18179</v>
      </c>
      <c r="CZ4" s="237">
        <v>224856490</v>
      </c>
      <c r="DA4" s="237">
        <v>2580</v>
      </c>
      <c r="DB4" s="237">
        <v>25</v>
      </c>
      <c r="DC4" s="237">
        <v>3</v>
      </c>
      <c r="DD4" s="237">
        <v>232750</v>
      </c>
      <c r="DE4" s="237">
        <v>2</v>
      </c>
      <c r="DF4" s="237">
        <v>3331</v>
      </c>
      <c r="DG4" s="237">
        <v>101</v>
      </c>
      <c r="DH4" s="237">
        <v>0</v>
      </c>
      <c r="DI4" s="237">
        <v>0</v>
      </c>
      <c r="DJ4" s="237">
        <v>1</v>
      </c>
      <c r="DK4" s="237">
        <v>11200</v>
      </c>
      <c r="DL4" s="237">
        <v>3252</v>
      </c>
      <c r="DM4" s="237">
        <v>343900198</v>
      </c>
      <c r="DN4" s="237">
        <v>783</v>
      </c>
      <c r="DO4" s="237">
        <v>2198900</v>
      </c>
      <c r="DP4" s="237">
        <v>168</v>
      </c>
      <c r="DQ4" s="237">
        <v>14137559</v>
      </c>
      <c r="DR4" s="237">
        <v>191850</v>
      </c>
      <c r="DS4" s="237">
        <f>DK4</f>
        <v>11200</v>
      </c>
      <c r="DT4" s="237">
        <f t="shared" ref="DT4:DT15" si="16">DM4</f>
        <v>343900198</v>
      </c>
      <c r="DU4" s="240">
        <f t="shared" si="1"/>
        <v>2198900</v>
      </c>
      <c r="DV4" s="237"/>
      <c r="DW4" s="237">
        <v>7093</v>
      </c>
      <c r="DX4" s="237">
        <v>223605331</v>
      </c>
      <c r="DY4" s="237">
        <f t="shared" ref="DY4:DZ15" si="17">DS4-DW4</f>
        <v>4107</v>
      </c>
      <c r="DZ4" s="237">
        <f t="shared" si="17"/>
        <v>120294867</v>
      </c>
      <c r="EA4" s="238">
        <f t="shared" si="2"/>
        <v>2557289</v>
      </c>
      <c r="EB4" s="238">
        <f t="shared" si="3"/>
        <v>3221434995</v>
      </c>
      <c r="EC4" s="238">
        <f t="shared" si="4"/>
        <v>36906</v>
      </c>
      <c r="ED4" s="241">
        <v>752672</v>
      </c>
      <c r="EE4" s="241">
        <v>251490</v>
      </c>
      <c r="EF4" s="241">
        <v>531581</v>
      </c>
      <c r="EG4" s="241">
        <v>39774</v>
      </c>
      <c r="EH4" s="241">
        <v>1452274</v>
      </c>
      <c r="EI4" s="242">
        <f t="shared" si="5"/>
        <v>25198874.123</v>
      </c>
      <c r="EJ4" s="243">
        <f t="shared" si="6"/>
        <v>13434421</v>
      </c>
      <c r="EK4" s="244">
        <v>8090</v>
      </c>
      <c r="EL4" s="245">
        <v>6818</v>
      </c>
      <c r="EM4" s="245">
        <v>2875089</v>
      </c>
      <c r="EN4" s="245">
        <f t="shared" si="7"/>
        <v>43126.334999999999</v>
      </c>
      <c r="EO4" s="245">
        <v>94153</v>
      </c>
      <c r="EP4" s="245">
        <v>64726</v>
      </c>
      <c r="EQ4" s="245">
        <v>25069100</v>
      </c>
      <c r="ER4" s="245">
        <f t="shared" si="8"/>
        <v>376036.5</v>
      </c>
      <c r="ES4" s="246">
        <f t="shared" si="9"/>
        <v>102243</v>
      </c>
      <c r="ET4" s="246">
        <v>70037</v>
      </c>
      <c r="EU4" s="246">
        <f t="shared" si="10"/>
        <v>27944189</v>
      </c>
      <c r="EV4" s="247">
        <f t="shared" si="10"/>
        <v>419162.83500000002</v>
      </c>
      <c r="EW4" s="246">
        <f t="shared" si="11"/>
        <v>1072970</v>
      </c>
      <c r="EX4" s="246">
        <f t="shared" si="12"/>
        <v>43568</v>
      </c>
      <c r="EY4" s="247">
        <f t="shared" si="13"/>
        <v>217111385</v>
      </c>
      <c r="EZ4" s="246">
        <f t="shared" si="14"/>
        <v>62606</v>
      </c>
      <c r="FA4" s="246">
        <f t="shared" si="14"/>
        <v>33398</v>
      </c>
      <c r="FB4" s="246">
        <f t="shared" si="14"/>
        <v>78640688</v>
      </c>
      <c r="FC4" s="247">
        <f t="shared" si="15"/>
        <v>1061649.2879999999</v>
      </c>
      <c r="FD4" s="246">
        <v>102</v>
      </c>
      <c r="FE4" s="246">
        <v>96</v>
      </c>
      <c r="FF4" s="246">
        <v>104994</v>
      </c>
    </row>
    <row r="5" spans="1:162" s="248" customFormat="1" ht="15" customHeight="1">
      <c r="A5" s="236">
        <v>45568</v>
      </c>
      <c r="B5" s="237">
        <v>3949</v>
      </c>
      <c r="C5" s="237">
        <v>7171</v>
      </c>
      <c r="D5" s="237">
        <v>7171</v>
      </c>
      <c r="E5" s="237">
        <v>799948</v>
      </c>
      <c r="F5" s="237">
        <v>305215</v>
      </c>
      <c r="G5" s="237">
        <v>3530594</v>
      </c>
      <c r="H5" s="237">
        <v>2508871</v>
      </c>
      <c r="I5" s="237">
        <v>1629456</v>
      </c>
      <c r="J5" s="237">
        <v>8846</v>
      </c>
      <c r="K5" s="237">
        <v>0</v>
      </c>
      <c r="L5" s="237">
        <v>211945</v>
      </c>
      <c r="M5" s="237">
        <v>176259</v>
      </c>
      <c r="N5" s="237">
        <v>148253</v>
      </c>
      <c r="O5" s="237">
        <v>1054091</v>
      </c>
      <c r="P5" s="237">
        <v>205796690</v>
      </c>
      <c r="Q5" s="237">
        <v>5669</v>
      </c>
      <c r="R5" s="237">
        <v>958201</v>
      </c>
      <c r="S5" s="237">
        <v>8974552</v>
      </c>
      <c r="T5" s="237"/>
      <c r="U5" s="237">
        <v>147890</v>
      </c>
      <c r="V5" s="237">
        <v>42824</v>
      </c>
      <c r="W5" s="237">
        <v>119108</v>
      </c>
      <c r="X5" s="237">
        <v>976880890</v>
      </c>
      <c r="Y5" s="237">
        <v>3161301</v>
      </c>
      <c r="Z5" s="237">
        <v>7750</v>
      </c>
      <c r="AA5" s="237">
        <v>0</v>
      </c>
      <c r="AB5" s="237">
        <v>344</v>
      </c>
      <c r="AC5" s="237">
        <v>0</v>
      </c>
      <c r="AD5" s="237">
        <v>516</v>
      </c>
      <c r="AE5" s="237">
        <v>0</v>
      </c>
      <c r="AF5" s="237">
        <v>0</v>
      </c>
      <c r="AG5" s="237">
        <v>0</v>
      </c>
      <c r="AH5" s="237">
        <v>109077</v>
      </c>
      <c r="AI5" s="237">
        <v>91657</v>
      </c>
      <c r="AJ5" s="237">
        <v>966656011</v>
      </c>
      <c r="AK5" s="237">
        <v>8348</v>
      </c>
      <c r="AL5" s="237">
        <v>9219709</v>
      </c>
      <c r="AM5" s="237">
        <v>18271610</v>
      </c>
      <c r="AN5" s="237">
        <v>238142</v>
      </c>
      <c r="AO5" s="237">
        <v>16880</v>
      </c>
      <c r="AP5" s="237">
        <v>13010</v>
      </c>
      <c r="AQ5" s="237">
        <v>147865499</v>
      </c>
      <c r="AR5" s="237">
        <v>3089</v>
      </c>
      <c r="AS5" s="237">
        <v>992100</v>
      </c>
      <c r="AT5" s="237">
        <v>104</v>
      </c>
      <c r="AU5" s="237">
        <v>337</v>
      </c>
      <c r="AV5" s="237">
        <v>773089</v>
      </c>
      <c r="AW5" s="237">
        <v>328</v>
      </c>
      <c r="AX5" s="237">
        <v>30800</v>
      </c>
      <c r="AY5" s="237">
        <v>1032</v>
      </c>
      <c r="AZ5" s="237">
        <v>828</v>
      </c>
      <c r="BA5" s="237">
        <v>34574883</v>
      </c>
      <c r="BB5" s="237">
        <v>280</v>
      </c>
      <c r="BC5" s="237">
        <v>34250</v>
      </c>
      <c r="BD5" s="237">
        <v>10545</v>
      </c>
      <c r="BE5" s="237">
        <v>2294</v>
      </c>
      <c r="BF5" s="237">
        <v>1638</v>
      </c>
      <c r="BG5" s="237">
        <v>37125621</v>
      </c>
      <c r="BH5" s="237">
        <v>932</v>
      </c>
      <c r="BI5" s="237">
        <v>0</v>
      </c>
      <c r="BJ5" s="237">
        <v>0</v>
      </c>
      <c r="BK5" s="237">
        <v>138</v>
      </c>
      <c r="BL5" s="237">
        <v>105</v>
      </c>
      <c r="BM5" s="237">
        <v>4235263</v>
      </c>
      <c r="BN5" s="237">
        <v>160</v>
      </c>
      <c r="BO5" s="237">
        <v>82000</v>
      </c>
      <c r="BP5" s="237">
        <v>32800</v>
      </c>
      <c r="BQ5" s="237">
        <v>45961</v>
      </c>
      <c r="BR5" s="237">
        <v>24089</v>
      </c>
      <c r="BS5" s="237">
        <v>53685941</v>
      </c>
      <c r="BT5" s="237">
        <v>0</v>
      </c>
      <c r="BU5" s="238">
        <f t="shared" si="0"/>
        <v>724760.20349999995</v>
      </c>
      <c r="BV5" s="237">
        <v>25</v>
      </c>
      <c r="BW5" s="237">
        <v>24</v>
      </c>
      <c r="BX5" s="237">
        <v>598959</v>
      </c>
      <c r="BY5" s="237">
        <v>0</v>
      </c>
      <c r="BZ5" s="237">
        <v>2995</v>
      </c>
      <c r="CA5" s="238">
        <v>0</v>
      </c>
      <c r="CB5" s="238">
        <v>0</v>
      </c>
      <c r="CC5" s="238">
        <v>0</v>
      </c>
      <c r="CD5" s="238">
        <v>0</v>
      </c>
      <c r="CE5" s="238">
        <v>0</v>
      </c>
      <c r="CF5" s="237">
        <v>0</v>
      </c>
      <c r="CG5" s="237">
        <v>0</v>
      </c>
      <c r="CH5" s="237">
        <v>0</v>
      </c>
      <c r="CI5" s="237">
        <v>0</v>
      </c>
      <c r="CJ5" s="237">
        <v>0</v>
      </c>
      <c r="CK5" s="239">
        <v>4235</v>
      </c>
      <c r="CL5" s="237">
        <v>59583580</v>
      </c>
      <c r="CM5" s="237">
        <v>0</v>
      </c>
      <c r="CN5" s="237">
        <v>0</v>
      </c>
      <c r="CO5" s="237">
        <v>88581</v>
      </c>
      <c r="CP5" s="237">
        <v>42507</v>
      </c>
      <c r="CQ5" s="239">
        <v>30519666</v>
      </c>
      <c r="CR5" s="237">
        <v>5826</v>
      </c>
      <c r="CS5" s="237">
        <v>9103</v>
      </c>
      <c r="CT5" s="237">
        <v>29543563</v>
      </c>
      <c r="CU5" s="237">
        <v>311997</v>
      </c>
      <c r="CV5" s="237">
        <v>5691</v>
      </c>
      <c r="CW5" s="237">
        <v>22191</v>
      </c>
      <c r="CX5" s="237">
        <v>19138</v>
      </c>
      <c r="CY5" s="237">
        <v>17532</v>
      </c>
      <c r="CZ5" s="237">
        <v>191272663</v>
      </c>
      <c r="DA5" s="237">
        <v>2432</v>
      </c>
      <c r="DB5" s="237">
        <v>34</v>
      </c>
      <c r="DC5" s="237">
        <v>1</v>
      </c>
      <c r="DD5" s="237">
        <v>355175</v>
      </c>
      <c r="DE5" s="237">
        <v>0</v>
      </c>
      <c r="DF5" s="237">
        <v>3817</v>
      </c>
      <c r="DG5" s="237">
        <v>119</v>
      </c>
      <c r="DH5" s="237">
        <v>0</v>
      </c>
      <c r="DI5" s="237">
        <v>0</v>
      </c>
      <c r="DJ5" s="237">
        <v>1</v>
      </c>
      <c r="DK5" s="237">
        <v>10952</v>
      </c>
      <c r="DL5" s="237">
        <v>3115</v>
      </c>
      <c r="DM5" s="237">
        <v>333106393</v>
      </c>
      <c r="DN5" s="237">
        <v>716</v>
      </c>
      <c r="DO5" s="237">
        <v>2029650</v>
      </c>
      <c r="DP5" s="237">
        <v>246</v>
      </c>
      <c r="DQ5" s="237">
        <v>18990506</v>
      </c>
      <c r="DR5" s="237">
        <v>173150</v>
      </c>
      <c r="DS5" s="237">
        <f>DK5</f>
        <v>10952</v>
      </c>
      <c r="DT5" s="237">
        <f t="shared" si="16"/>
        <v>333106393</v>
      </c>
      <c r="DU5" s="240">
        <f t="shared" si="1"/>
        <v>2029650</v>
      </c>
      <c r="DV5" s="237">
        <v>0</v>
      </c>
      <c r="DW5" s="237">
        <v>7044</v>
      </c>
      <c r="DX5" s="237">
        <v>219710448</v>
      </c>
      <c r="DY5" s="237">
        <f t="shared" si="17"/>
        <v>3908</v>
      </c>
      <c r="DZ5" s="237">
        <f t="shared" si="17"/>
        <v>113395945</v>
      </c>
      <c r="EA5" s="238">
        <f t="shared" si="2"/>
        <v>2467737</v>
      </c>
      <c r="EB5" s="238">
        <f t="shared" si="3"/>
        <v>3081548438</v>
      </c>
      <c r="EC5" s="238">
        <f t="shared" si="4"/>
        <v>35598</v>
      </c>
      <c r="ED5" s="241">
        <v>1074171</v>
      </c>
      <c r="EE5" s="241">
        <v>248773</v>
      </c>
      <c r="EF5" s="241">
        <v>501601</v>
      </c>
      <c r="EG5" s="241">
        <v>35058</v>
      </c>
      <c r="EH5" s="241">
        <v>1387646</v>
      </c>
      <c r="EI5" s="242">
        <f t="shared" si="5"/>
        <v>24323350.738499999</v>
      </c>
      <c r="EJ5" s="243">
        <f t="shared" si="6"/>
        <v>12951964</v>
      </c>
      <c r="EK5" s="244">
        <v>7782</v>
      </c>
      <c r="EL5" s="245">
        <v>6472</v>
      </c>
      <c r="EM5" s="245">
        <v>2839749</v>
      </c>
      <c r="EN5" s="245">
        <f t="shared" si="7"/>
        <v>42596.235000000001</v>
      </c>
      <c r="EO5" s="245">
        <v>90542</v>
      </c>
      <c r="EP5" s="245">
        <v>62474</v>
      </c>
      <c r="EQ5" s="245">
        <v>23643620</v>
      </c>
      <c r="ER5" s="245">
        <f t="shared" si="8"/>
        <v>354654.3</v>
      </c>
      <c r="ES5" s="246">
        <f t="shared" si="9"/>
        <v>98324</v>
      </c>
      <c r="ET5" s="246">
        <v>67512</v>
      </c>
      <c r="EU5" s="246">
        <f t="shared" si="10"/>
        <v>26483369</v>
      </c>
      <c r="EV5" s="247">
        <f t="shared" si="10"/>
        <v>397250.53499999997</v>
      </c>
      <c r="EW5" s="246">
        <f t="shared" si="11"/>
        <v>1044348</v>
      </c>
      <c r="EX5" s="246">
        <f t="shared" si="12"/>
        <v>42507</v>
      </c>
      <c r="EY5" s="247">
        <f t="shared" si="13"/>
        <v>209832987</v>
      </c>
      <c r="EZ5" s="246">
        <f t="shared" si="14"/>
        <v>45961</v>
      </c>
      <c r="FA5" s="246">
        <f t="shared" si="14"/>
        <v>24089</v>
      </c>
      <c r="FB5" s="246">
        <f t="shared" si="14"/>
        <v>53685941</v>
      </c>
      <c r="FC5" s="247">
        <f t="shared" si="15"/>
        <v>724760.20349999995</v>
      </c>
      <c r="FD5" s="246">
        <v>99</v>
      </c>
      <c r="FE5" s="246">
        <v>95</v>
      </c>
      <c r="FF5" s="246">
        <v>122994</v>
      </c>
    </row>
    <row r="6" spans="1:162" s="248" customFormat="1" ht="15" customHeight="1">
      <c r="A6" s="236">
        <v>45569</v>
      </c>
      <c r="B6" s="237">
        <v>9911</v>
      </c>
      <c r="C6" s="237">
        <v>15714</v>
      </c>
      <c r="D6" s="237">
        <v>15706</v>
      </c>
      <c r="E6" s="237">
        <v>798994</v>
      </c>
      <c r="F6" s="237">
        <v>304933</v>
      </c>
      <c r="G6" s="237">
        <v>3534269</v>
      </c>
      <c r="H6" s="237">
        <v>2510928</v>
      </c>
      <c r="I6" s="237">
        <v>1629295</v>
      </c>
      <c r="J6" s="237">
        <v>8885</v>
      </c>
      <c r="K6" s="237">
        <v>56</v>
      </c>
      <c r="L6" s="237">
        <v>212032</v>
      </c>
      <c r="M6" s="237">
        <v>176297</v>
      </c>
      <c r="N6" s="237">
        <v>147601</v>
      </c>
      <c r="O6" s="237">
        <v>1051780</v>
      </c>
      <c r="P6" s="237">
        <v>207695510</v>
      </c>
      <c r="Q6" s="237">
        <v>5933</v>
      </c>
      <c r="R6" s="237">
        <v>953148</v>
      </c>
      <c r="S6" s="237">
        <v>9046101</v>
      </c>
      <c r="T6" s="237"/>
      <c r="U6" s="237">
        <v>142437</v>
      </c>
      <c r="V6" s="237">
        <v>42095</v>
      </c>
      <c r="W6" s="237">
        <v>115204</v>
      </c>
      <c r="X6" s="237">
        <v>991610036</v>
      </c>
      <c r="Y6" s="237">
        <v>3212580</v>
      </c>
      <c r="Z6" s="237">
        <v>7462</v>
      </c>
      <c r="AA6" s="237">
        <v>0</v>
      </c>
      <c r="AB6" s="237">
        <v>281</v>
      </c>
      <c r="AC6" s="237">
        <v>0</v>
      </c>
      <c r="AD6" s="237">
        <v>391</v>
      </c>
      <c r="AE6" s="237">
        <v>0</v>
      </c>
      <c r="AF6" s="237">
        <v>0</v>
      </c>
      <c r="AG6" s="237">
        <v>0</v>
      </c>
      <c r="AH6" s="237">
        <v>105389</v>
      </c>
      <c r="AI6" s="237">
        <v>88668</v>
      </c>
      <c r="AJ6" s="237">
        <v>969714240</v>
      </c>
      <c r="AK6" s="237">
        <v>7828</v>
      </c>
      <c r="AL6" s="237">
        <v>9116508</v>
      </c>
      <c r="AM6" s="237">
        <v>18093601</v>
      </c>
      <c r="AN6" s="237">
        <v>236820</v>
      </c>
      <c r="AO6" s="237">
        <v>17166</v>
      </c>
      <c r="AP6" s="237">
        <v>13162</v>
      </c>
      <c r="AQ6" s="237">
        <v>162532759</v>
      </c>
      <c r="AR6" s="237">
        <v>3054</v>
      </c>
      <c r="AS6" s="237">
        <v>1064900</v>
      </c>
      <c r="AT6" s="237">
        <v>105</v>
      </c>
      <c r="AU6" s="237">
        <v>308</v>
      </c>
      <c r="AV6" s="237">
        <v>598341</v>
      </c>
      <c r="AW6" s="237">
        <v>289</v>
      </c>
      <c r="AX6" s="237">
        <v>30300</v>
      </c>
      <c r="AY6" s="237">
        <v>1418</v>
      </c>
      <c r="AZ6" s="237">
        <v>1085</v>
      </c>
      <c r="BA6" s="237">
        <v>40792013</v>
      </c>
      <c r="BB6" s="237">
        <v>316</v>
      </c>
      <c r="BC6" s="237">
        <v>25800</v>
      </c>
      <c r="BD6" s="237">
        <v>7983</v>
      </c>
      <c r="BE6" s="237">
        <v>2613</v>
      </c>
      <c r="BF6" s="237">
        <v>1811</v>
      </c>
      <c r="BG6" s="237">
        <v>56907720</v>
      </c>
      <c r="BH6" s="237">
        <v>3</v>
      </c>
      <c r="BI6" s="237">
        <v>0</v>
      </c>
      <c r="BJ6" s="237">
        <v>0</v>
      </c>
      <c r="BK6" s="237">
        <v>218</v>
      </c>
      <c r="BL6" s="237">
        <v>145</v>
      </c>
      <c r="BM6" s="237">
        <v>4593371</v>
      </c>
      <c r="BN6" s="237">
        <v>115</v>
      </c>
      <c r="BO6" s="237">
        <v>96800</v>
      </c>
      <c r="BP6" s="237">
        <v>38720</v>
      </c>
      <c r="BQ6" s="237">
        <v>40795</v>
      </c>
      <c r="BR6" s="237">
        <v>22173</v>
      </c>
      <c r="BS6" s="237">
        <v>52183598</v>
      </c>
      <c r="BT6" s="237">
        <v>0</v>
      </c>
      <c r="BU6" s="238">
        <f t="shared" si="0"/>
        <v>704478.57299999997</v>
      </c>
      <c r="BV6" s="237">
        <v>34</v>
      </c>
      <c r="BW6" s="237">
        <v>33</v>
      </c>
      <c r="BX6" s="237">
        <v>1143800</v>
      </c>
      <c r="BY6" s="237">
        <v>0</v>
      </c>
      <c r="BZ6" s="237">
        <v>5719</v>
      </c>
      <c r="CA6" s="238">
        <v>0</v>
      </c>
      <c r="CB6" s="238">
        <v>0</v>
      </c>
      <c r="CC6" s="238">
        <v>0</v>
      </c>
      <c r="CD6" s="238">
        <v>0</v>
      </c>
      <c r="CE6" s="238">
        <v>0</v>
      </c>
      <c r="CF6" s="237">
        <v>0</v>
      </c>
      <c r="CG6" s="237">
        <v>0</v>
      </c>
      <c r="CH6" s="237">
        <v>0</v>
      </c>
      <c r="CI6" s="237">
        <v>0</v>
      </c>
      <c r="CJ6" s="237">
        <v>0</v>
      </c>
      <c r="CK6" s="239">
        <v>1383</v>
      </c>
      <c r="CL6" s="237">
        <v>22142604</v>
      </c>
      <c r="CM6" s="237">
        <v>0</v>
      </c>
      <c r="CN6" s="237">
        <v>0</v>
      </c>
      <c r="CO6" s="237">
        <v>88507</v>
      </c>
      <c r="CP6" s="237">
        <v>42592</v>
      </c>
      <c r="CQ6" s="239">
        <v>30401513</v>
      </c>
      <c r="CR6" s="237">
        <v>6017</v>
      </c>
      <c r="CS6" s="237">
        <v>9203</v>
      </c>
      <c r="CT6" s="237">
        <v>27846695</v>
      </c>
      <c r="CU6" s="237">
        <v>295843</v>
      </c>
      <c r="CV6" s="237">
        <v>4551</v>
      </c>
      <c r="CW6" s="237">
        <v>20797</v>
      </c>
      <c r="CX6" s="237">
        <v>18009</v>
      </c>
      <c r="CY6" s="237">
        <v>16756</v>
      </c>
      <c r="CZ6" s="237">
        <v>189834026</v>
      </c>
      <c r="DA6" s="237">
        <v>2528</v>
      </c>
      <c r="DB6" s="237">
        <v>19</v>
      </c>
      <c r="DC6" s="237">
        <v>1</v>
      </c>
      <c r="DD6" s="237">
        <v>211000</v>
      </c>
      <c r="DE6" s="237">
        <v>0</v>
      </c>
      <c r="DF6" s="237">
        <v>2820</v>
      </c>
      <c r="DG6" s="237">
        <v>85</v>
      </c>
      <c r="DH6" s="237">
        <v>0</v>
      </c>
      <c r="DI6" s="237">
        <v>0</v>
      </c>
      <c r="DJ6" s="237">
        <v>1</v>
      </c>
      <c r="DK6" s="237">
        <v>10704</v>
      </c>
      <c r="DL6" s="237">
        <v>3274</v>
      </c>
      <c r="DM6" s="237">
        <v>320836100</v>
      </c>
      <c r="DN6" s="237">
        <v>760</v>
      </c>
      <c r="DO6" s="237">
        <v>2176250</v>
      </c>
      <c r="DP6" s="237">
        <v>236</v>
      </c>
      <c r="DQ6" s="237">
        <v>10603704</v>
      </c>
      <c r="DR6" s="237">
        <v>198450</v>
      </c>
      <c r="DS6" s="237">
        <f>DK6</f>
        <v>10704</v>
      </c>
      <c r="DT6" s="237">
        <f t="shared" si="16"/>
        <v>320836100</v>
      </c>
      <c r="DU6" s="240">
        <f t="shared" si="1"/>
        <v>2176250</v>
      </c>
      <c r="DV6" s="237">
        <v>0</v>
      </c>
      <c r="DW6" s="237">
        <v>6568</v>
      </c>
      <c r="DX6" s="237">
        <v>205954626</v>
      </c>
      <c r="DY6" s="237">
        <f t="shared" si="17"/>
        <v>4136</v>
      </c>
      <c r="DZ6" s="237">
        <f t="shared" si="17"/>
        <v>114881474</v>
      </c>
      <c r="EA6" s="238">
        <f t="shared" si="2"/>
        <v>2442929</v>
      </c>
      <c r="EB6" s="238">
        <f t="shared" si="3"/>
        <v>3088089427</v>
      </c>
      <c r="EC6" s="238">
        <f t="shared" si="4"/>
        <v>32790</v>
      </c>
      <c r="ED6" s="241">
        <v>1057980</v>
      </c>
      <c r="EE6" s="241">
        <v>221987</v>
      </c>
      <c r="EF6" s="241">
        <v>475112</v>
      </c>
      <c r="EG6" s="241">
        <v>35689</v>
      </c>
      <c r="EH6" s="241">
        <v>1375505</v>
      </c>
      <c r="EI6" s="242">
        <f t="shared" si="5"/>
        <v>24304184.017999999</v>
      </c>
      <c r="EJ6" s="243">
        <f t="shared" si="6"/>
        <v>12874520</v>
      </c>
      <c r="EK6" s="244">
        <v>7939</v>
      </c>
      <c r="EL6" s="245">
        <v>6648</v>
      </c>
      <c r="EM6" s="245">
        <v>2942263</v>
      </c>
      <c r="EN6" s="245">
        <f t="shared" si="7"/>
        <v>44133.945</v>
      </c>
      <c r="EO6" s="245">
        <v>93027</v>
      </c>
      <c r="EP6" s="245">
        <v>63890</v>
      </c>
      <c r="EQ6" s="245">
        <v>24192900</v>
      </c>
      <c r="ER6" s="245">
        <f t="shared" si="8"/>
        <v>362893.5</v>
      </c>
      <c r="ES6" s="246">
        <f t="shared" si="9"/>
        <v>100966</v>
      </c>
      <c r="ET6" s="246">
        <v>69046</v>
      </c>
      <c r="EU6" s="246">
        <f t="shared" si="10"/>
        <v>27135163</v>
      </c>
      <c r="EV6" s="247">
        <f t="shared" si="10"/>
        <v>407027.44500000001</v>
      </c>
      <c r="EW6" s="246">
        <f t="shared" si="11"/>
        <v>1039321</v>
      </c>
      <c r="EX6" s="246">
        <f t="shared" si="12"/>
        <v>42592</v>
      </c>
      <c r="EY6" s="247">
        <f t="shared" si="13"/>
        <v>210961860</v>
      </c>
      <c r="EZ6" s="246">
        <f t="shared" si="14"/>
        <v>40795</v>
      </c>
      <c r="FA6" s="246">
        <f t="shared" si="14"/>
        <v>22173</v>
      </c>
      <c r="FB6" s="246">
        <f t="shared" si="14"/>
        <v>52183598</v>
      </c>
      <c r="FC6" s="247">
        <f t="shared" si="15"/>
        <v>704478.57299999997</v>
      </c>
      <c r="FD6" s="246">
        <v>97</v>
      </c>
      <c r="FE6" s="246">
        <v>96</v>
      </c>
      <c r="FF6" s="246">
        <v>123498</v>
      </c>
    </row>
    <row r="7" spans="1:162" s="248" customFormat="1" ht="15" customHeight="1">
      <c r="A7" s="236">
        <v>45570</v>
      </c>
      <c r="B7" s="237">
        <v>5466</v>
      </c>
      <c r="C7" s="237">
        <v>12316</v>
      </c>
      <c r="D7" s="237">
        <v>12318</v>
      </c>
      <c r="E7" s="237">
        <v>800539</v>
      </c>
      <c r="F7" s="237">
        <v>316919</v>
      </c>
      <c r="G7" s="237">
        <v>3538028</v>
      </c>
      <c r="H7" s="237">
        <v>2513272</v>
      </c>
      <c r="I7" s="237">
        <v>1629450</v>
      </c>
      <c r="J7" s="237">
        <v>8496</v>
      </c>
      <c r="K7" s="237">
        <v>70</v>
      </c>
      <c r="L7" s="237">
        <v>212185</v>
      </c>
      <c r="M7" s="237">
        <v>176310</v>
      </c>
      <c r="N7" s="237">
        <v>147279</v>
      </c>
      <c r="O7" s="237">
        <v>1052488</v>
      </c>
      <c r="P7" s="237">
        <v>204333850</v>
      </c>
      <c r="Q7" s="237">
        <v>5966</v>
      </c>
      <c r="R7" s="237">
        <v>948929</v>
      </c>
      <c r="S7" s="237">
        <v>8826476</v>
      </c>
      <c r="T7" s="237">
        <v>2</v>
      </c>
      <c r="U7" s="237">
        <v>161725</v>
      </c>
      <c r="V7" s="237">
        <v>42956</v>
      </c>
      <c r="W7" s="237">
        <v>128393</v>
      </c>
      <c r="X7" s="237">
        <v>943814150</v>
      </c>
      <c r="Y7" s="237">
        <v>3068496</v>
      </c>
      <c r="Z7" s="237">
        <v>8559</v>
      </c>
      <c r="AA7" s="237">
        <v>0</v>
      </c>
      <c r="AB7" s="237">
        <v>350</v>
      </c>
      <c r="AC7" s="237">
        <v>0</v>
      </c>
      <c r="AD7" s="237">
        <v>492</v>
      </c>
      <c r="AE7" s="237">
        <v>0</v>
      </c>
      <c r="AF7" s="237">
        <v>0</v>
      </c>
      <c r="AG7" s="237">
        <v>0</v>
      </c>
      <c r="AH7" s="237">
        <v>112433</v>
      </c>
      <c r="AI7" s="237">
        <v>94375</v>
      </c>
      <c r="AJ7" s="237">
        <v>959166196</v>
      </c>
      <c r="AK7" s="237">
        <v>8662</v>
      </c>
      <c r="AL7" s="237">
        <v>9503848</v>
      </c>
      <c r="AM7" s="237">
        <v>18742580</v>
      </c>
      <c r="AN7" s="237">
        <v>245745</v>
      </c>
      <c r="AO7" s="237">
        <v>18016</v>
      </c>
      <c r="AP7" s="237">
        <v>14240</v>
      </c>
      <c r="AQ7" s="237">
        <v>144009694</v>
      </c>
      <c r="AR7" s="237">
        <v>3157</v>
      </c>
      <c r="AS7" s="237">
        <v>1036800</v>
      </c>
      <c r="AT7" s="237">
        <v>111</v>
      </c>
      <c r="AU7" s="237">
        <v>361</v>
      </c>
      <c r="AV7" s="237">
        <v>489693</v>
      </c>
      <c r="AW7" s="237">
        <v>355</v>
      </c>
      <c r="AX7" s="237">
        <v>29300</v>
      </c>
      <c r="AY7" s="237">
        <v>116</v>
      </c>
      <c r="AZ7" s="237">
        <v>81</v>
      </c>
      <c r="BA7" s="237">
        <v>3255800</v>
      </c>
      <c r="BB7" s="237">
        <v>77</v>
      </c>
      <c r="BC7" s="237">
        <v>26100</v>
      </c>
      <c r="BD7" s="237">
        <v>0</v>
      </c>
      <c r="BE7" s="237">
        <v>2945</v>
      </c>
      <c r="BF7" s="237">
        <v>2084</v>
      </c>
      <c r="BG7" s="237">
        <v>60525922</v>
      </c>
      <c r="BH7" s="237">
        <v>6</v>
      </c>
      <c r="BI7" s="237">
        <v>0</v>
      </c>
      <c r="BJ7" s="237">
        <v>0</v>
      </c>
      <c r="BK7" s="237">
        <v>195</v>
      </c>
      <c r="BL7" s="237">
        <v>143</v>
      </c>
      <c r="BM7" s="237">
        <v>3700000</v>
      </c>
      <c r="BN7" s="237">
        <v>34</v>
      </c>
      <c r="BO7" s="237">
        <v>87050</v>
      </c>
      <c r="BP7" s="237">
        <v>34820</v>
      </c>
      <c r="BQ7" s="237">
        <v>66020</v>
      </c>
      <c r="BR7" s="237">
        <v>33613</v>
      </c>
      <c r="BS7" s="237">
        <v>75807057</v>
      </c>
      <c r="BT7" s="237">
        <v>0</v>
      </c>
      <c r="BU7" s="238">
        <f t="shared" si="0"/>
        <v>1023395.2694999999</v>
      </c>
      <c r="BV7" s="237">
        <v>22</v>
      </c>
      <c r="BW7" s="237">
        <v>20</v>
      </c>
      <c r="BX7" s="237">
        <v>770405</v>
      </c>
      <c r="BY7" s="237">
        <v>0</v>
      </c>
      <c r="BZ7" s="237">
        <v>3852</v>
      </c>
      <c r="CA7" s="238">
        <v>0</v>
      </c>
      <c r="CB7" s="238">
        <v>0</v>
      </c>
      <c r="CC7" s="238">
        <v>0</v>
      </c>
      <c r="CD7" s="238">
        <v>0</v>
      </c>
      <c r="CE7" s="238">
        <v>0</v>
      </c>
      <c r="CF7" s="237">
        <v>0</v>
      </c>
      <c r="CG7" s="237">
        <v>0</v>
      </c>
      <c r="CH7" s="237">
        <v>0</v>
      </c>
      <c r="CI7" s="237">
        <v>0</v>
      </c>
      <c r="CJ7" s="237">
        <v>0</v>
      </c>
      <c r="CK7" s="239">
        <v>301</v>
      </c>
      <c r="CL7" s="237">
        <v>6266269</v>
      </c>
      <c r="CM7" s="237">
        <v>0</v>
      </c>
      <c r="CN7" s="237">
        <v>0</v>
      </c>
      <c r="CO7" s="237">
        <v>83760</v>
      </c>
      <c r="CP7" s="237">
        <v>42754</v>
      </c>
      <c r="CQ7" s="239">
        <v>27113465</v>
      </c>
      <c r="CR7" s="237">
        <v>5778</v>
      </c>
      <c r="CS7" s="237">
        <v>9732</v>
      </c>
      <c r="CT7" s="237">
        <v>29922840</v>
      </c>
      <c r="CU7" s="237">
        <v>320037</v>
      </c>
      <c r="CV7" s="237">
        <v>4050</v>
      </c>
      <c r="CW7" s="237">
        <v>21294</v>
      </c>
      <c r="CX7" s="237">
        <v>18551</v>
      </c>
      <c r="CY7" s="237">
        <v>17362</v>
      </c>
      <c r="CZ7" s="237">
        <v>158445261</v>
      </c>
      <c r="DA7" s="237">
        <v>2607</v>
      </c>
      <c r="DB7" s="237">
        <v>14</v>
      </c>
      <c r="DC7" s="237">
        <v>1</v>
      </c>
      <c r="DD7" s="237">
        <v>226200</v>
      </c>
      <c r="DE7" s="237">
        <v>0</v>
      </c>
      <c r="DF7" s="237">
        <v>2611</v>
      </c>
      <c r="DG7" s="237">
        <v>79</v>
      </c>
      <c r="DH7" s="237">
        <v>0</v>
      </c>
      <c r="DI7" s="237">
        <v>0</v>
      </c>
      <c r="DJ7" s="237">
        <v>1</v>
      </c>
      <c r="DK7" s="237">
        <v>11782</v>
      </c>
      <c r="DL7" s="237">
        <v>3226</v>
      </c>
      <c r="DM7" s="237">
        <v>309339884</v>
      </c>
      <c r="DN7" s="237">
        <v>738</v>
      </c>
      <c r="DO7" s="237">
        <v>1985850</v>
      </c>
      <c r="DP7" s="237">
        <v>160</v>
      </c>
      <c r="DQ7" s="237">
        <v>10434062</v>
      </c>
      <c r="DR7" s="237">
        <v>125700</v>
      </c>
      <c r="DS7" s="237">
        <f t="shared" ref="DS7:DS15" si="18">DK7</f>
        <v>11782</v>
      </c>
      <c r="DT7" s="237">
        <f t="shared" si="16"/>
        <v>309339884</v>
      </c>
      <c r="DU7" s="240">
        <f t="shared" si="1"/>
        <v>1985850</v>
      </c>
      <c r="DV7" s="237">
        <v>0</v>
      </c>
      <c r="DW7" s="237">
        <v>7672</v>
      </c>
      <c r="DX7" s="237">
        <v>200515394</v>
      </c>
      <c r="DY7" s="237">
        <f t="shared" si="17"/>
        <v>4110</v>
      </c>
      <c r="DZ7" s="237">
        <f t="shared" si="17"/>
        <v>108824490</v>
      </c>
      <c r="EA7" s="238">
        <f t="shared" si="2"/>
        <v>2487141</v>
      </c>
      <c r="EB7" s="238">
        <f t="shared" si="3"/>
        <v>2936013162</v>
      </c>
      <c r="EC7" s="238">
        <f t="shared" si="4"/>
        <v>33939</v>
      </c>
      <c r="ED7" s="241">
        <v>529632</v>
      </c>
      <c r="EE7" s="241">
        <v>170007</v>
      </c>
      <c r="EF7" s="241">
        <v>475499</v>
      </c>
      <c r="EG7" s="241">
        <v>0</v>
      </c>
      <c r="EH7" s="241">
        <v>1211119</v>
      </c>
      <c r="EI7" s="242">
        <f t="shared" si="5"/>
        <v>24490821.9745</v>
      </c>
      <c r="EJ7" s="243">
        <f t="shared" si="6"/>
        <v>13106568</v>
      </c>
      <c r="EK7" s="244">
        <v>8371</v>
      </c>
      <c r="EL7" s="245">
        <v>7040</v>
      </c>
      <c r="EM7" s="245">
        <v>2928912</v>
      </c>
      <c r="EN7" s="245">
        <f t="shared" si="7"/>
        <v>43933.68</v>
      </c>
      <c r="EO7" s="245">
        <v>98093</v>
      </c>
      <c r="EP7" s="245">
        <v>67038</v>
      </c>
      <c r="EQ7" s="245">
        <v>25252735</v>
      </c>
      <c r="ER7" s="245">
        <f t="shared" si="8"/>
        <v>378791.02499999997</v>
      </c>
      <c r="ES7" s="246">
        <f t="shared" si="9"/>
        <v>106464</v>
      </c>
      <c r="ET7" s="246">
        <v>72480</v>
      </c>
      <c r="EU7" s="246">
        <f t="shared" si="10"/>
        <v>28181647</v>
      </c>
      <c r="EV7" s="247">
        <f t="shared" si="10"/>
        <v>422724.70499999996</v>
      </c>
      <c r="EW7" s="246">
        <f t="shared" si="11"/>
        <v>1029784</v>
      </c>
      <c r="EX7" s="246">
        <f t="shared" si="12"/>
        <v>42754</v>
      </c>
      <c r="EY7" s="247">
        <f t="shared" si="13"/>
        <v>203265668</v>
      </c>
      <c r="EZ7" s="246">
        <f t="shared" si="14"/>
        <v>66020</v>
      </c>
      <c r="FA7" s="246">
        <f t="shared" si="14"/>
        <v>33613</v>
      </c>
      <c r="FB7" s="246">
        <f t="shared" si="14"/>
        <v>75807057</v>
      </c>
      <c r="FC7" s="247">
        <f t="shared" si="15"/>
        <v>1023395.2694999999</v>
      </c>
      <c r="FD7" s="246">
        <v>96</v>
      </c>
      <c r="FE7" s="246">
        <v>91</v>
      </c>
      <c r="FF7" s="246">
        <v>113494</v>
      </c>
    </row>
    <row r="8" spans="1:162" s="248" customFormat="1" ht="15" customHeight="1">
      <c r="A8" s="236">
        <v>45571</v>
      </c>
      <c r="B8" s="237">
        <v>2057</v>
      </c>
      <c r="C8" s="237">
        <v>2537</v>
      </c>
      <c r="D8" s="237">
        <v>2537</v>
      </c>
      <c r="E8" s="237">
        <v>799342</v>
      </c>
      <c r="F8" s="237">
        <v>317259</v>
      </c>
      <c r="G8" s="237">
        <v>3543166</v>
      </c>
      <c r="H8" s="237">
        <v>2512677</v>
      </c>
      <c r="I8" s="237">
        <v>1633908</v>
      </c>
      <c r="J8" s="237">
        <v>7235</v>
      </c>
      <c r="K8" s="237">
        <v>28</v>
      </c>
      <c r="L8" s="237">
        <v>212329</v>
      </c>
      <c r="M8" s="237">
        <v>176048</v>
      </c>
      <c r="N8" s="237">
        <v>146779</v>
      </c>
      <c r="O8" s="237">
        <v>1124729</v>
      </c>
      <c r="P8" s="237">
        <v>211661900</v>
      </c>
      <c r="Q8" s="237">
        <v>6546</v>
      </c>
      <c r="R8" s="237">
        <v>1012770</v>
      </c>
      <c r="S8" s="237">
        <v>9153314</v>
      </c>
      <c r="T8" s="237"/>
      <c r="U8" s="237">
        <v>163933</v>
      </c>
      <c r="V8" s="237">
        <v>37089</v>
      </c>
      <c r="W8" s="237">
        <v>131791</v>
      </c>
      <c r="X8" s="237">
        <v>787910986</v>
      </c>
      <c r="Y8" s="237">
        <v>2592551</v>
      </c>
      <c r="Z8" s="237">
        <v>7970</v>
      </c>
      <c r="AA8" s="237">
        <v>0</v>
      </c>
      <c r="AB8" s="237">
        <v>358</v>
      </c>
      <c r="AC8" s="237">
        <v>0</v>
      </c>
      <c r="AD8" s="237">
        <v>491</v>
      </c>
      <c r="AE8" s="237">
        <v>0</v>
      </c>
      <c r="AF8" s="237">
        <v>0</v>
      </c>
      <c r="AG8" s="237">
        <v>0</v>
      </c>
      <c r="AH8" s="237">
        <v>109119</v>
      </c>
      <c r="AI8" s="237">
        <v>92757</v>
      </c>
      <c r="AJ8" s="237">
        <v>729070109</v>
      </c>
      <c r="AK8" s="237">
        <v>8324</v>
      </c>
      <c r="AL8" s="237">
        <v>8303578</v>
      </c>
      <c r="AM8" s="237">
        <v>16234110</v>
      </c>
      <c r="AN8" s="237">
        <v>208469</v>
      </c>
      <c r="AO8" s="237">
        <v>19747</v>
      </c>
      <c r="AP8" s="237">
        <v>15701</v>
      </c>
      <c r="AQ8" s="237">
        <v>134163027</v>
      </c>
      <c r="AR8" s="237">
        <v>3532</v>
      </c>
      <c r="AS8" s="237">
        <v>1155300</v>
      </c>
      <c r="AT8" s="237">
        <v>142</v>
      </c>
      <c r="AU8" s="237">
        <v>404</v>
      </c>
      <c r="AV8" s="237">
        <v>292582</v>
      </c>
      <c r="AW8" s="237">
        <v>379</v>
      </c>
      <c r="AX8" s="237">
        <v>31700</v>
      </c>
      <c r="AY8" s="237">
        <v>901</v>
      </c>
      <c r="AZ8" s="237">
        <v>702</v>
      </c>
      <c r="BA8" s="237">
        <v>17133763</v>
      </c>
      <c r="BB8" s="237">
        <v>238</v>
      </c>
      <c r="BC8" s="237">
        <v>14850</v>
      </c>
      <c r="BD8" s="237">
        <v>4654</v>
      </c>
      <c r="BE8" s="237">
        <v>1291</v>
      </c>
      <c r="BF8" s="237">
        <v>998</v>
      </c>
      <c r="BG8" s="237">
        <v>20554442</v>
      </c>
      <c r="BH8" s="237">
        <v>1551</v>
      </c>
      <c r="BI8" s="237">
        <v>0</v>
      </c>
      <c r="BJ8" s="237">
        <v>0</v>
      </c>
      <c r="BK8" s="237">
        <v>32</v>
      </c>
      <c r="BL8" s="237">
        <v>26</v>
      </c>
      <c r="BM8" s="237">
        <v>266275</v>
      </c>
      <c r="BN8" s="237">
        <v>279</v>
      </c>
      <c r="BO8" s="237">
        <v>7400</v>
      </c>
      <c r="BP8" s="237">
        <v>2960</v>
      </c>
      <c r="BQ8" s="237">
        <v>65642</v>
      </c>
      <c r="BR8" s="237">
        <v>32544</v>
      </c>
      <c r="BS8" s="237">
        <v>82558671</v>
      </c>
      <c r="BT8" s="237">
        <v>0</v>
      </c>
      <c r="BU8" s="238">
        <f t="shared" si="0"/>
        <v>1114542.0585</v>
      </c>
      <c r="BV8" s="237">
        <v>24</v>
      </c>
      <c r="BW8" s="237">
        <v>23</v>
      </c>
      <c r="BX8" s="237">
        <v>738020</v>
      </c>
      <c r="BY8" s="237">
        <v>0</v>
      </c>
      <c r="BZ8" s="237">
        <v>3690</v>
      </c>
      <c r="CA8" s="238">
        <v>0</v>
      </c>
      <c r="CB8" s="238">
        <v>0</v>
      </c>
      <c r="CC8" s="238">
        <v>0</v>
      </c>
      <c r="CD8" s="238">
        <v>0</v>
      </c>
      <c r="CE8" s="238">
        <v>0</v>
      </c>
      <c r="CF8" s="237">
        <v>0</v>
      </c>
      <c r="CG8" s="237">
        <v>0</v>
      </c>
      <c r="CH8" s="237">
        <v>0</v>
      </c>
      <c r="CI8" s="237">
        <v>0</v>
      </c>
      <c r="CJ8" s="237">
        <v>0</v>
      </c>
      <c r="CK8" s="239">
        <v>0</v>
      </c>
      <c r="CL8" s="237">
        <v>0</v>
      </c>
      <c r="CM8" s="237">
        <v>0</v>
      </c>
      <c r="CN8" s="237">
        <v>0</v>
      </c>
      <c r="CO8" s="237">
        <v>90203</v>
      </c>
      <c r="CP8" s="237">
        <v>41349</v>
      </c>
      <c r="CQ8" s="239">
        <v>26543957</v>
      </c>
      <c r="CR8" s="237">
        <v>6878</v>
      </c>
      <c r="CS8" s="237">
        <v>14859</v>
      </c>
      <c r="CT8" s="237">
        <v>41285338</v>
      </c>
      <c r="CU8" s="237">
        <v>433689</v>
      </c>
      <c r="CV8" s="237">
        <v>5889</v>
      </c>
      <c r="CW8" s="237">
        <v>24336</v>
      </c>
      <c r="CX8" s="237">
        <v>18997</v>
      </c>
      <c r="CY8" s="237">
        <v>18050</v>
      </c>
      <c r="CZ8" s="237">
        <v>114475520</v>
      </c>
      <c r="DA8" s="237">
        <v>2675</v>
      </c>
      <c r="DB8" s="237">
        <v>9</v>
      </c>
      <c r="DC8" s="237">
        <v>1</v>
      </c>
      <c r="DD8" s="237">
        <v>109300</v>
      </c>
      <c r="DE8" s="237">
        <v>0</v>
      </c>
      <c r="DF8" s="237">
        <v>1337</v>
      </c>
      <c r="DG8" s="237">
        <v>42</v>
      </c>
      <c r="DH8" s="237">
        <v>0</v>
      </c>
      <c r="DI8" s="237">
        <v>0</v>
      </c>
      <c r="DJ8" s="237">
        <v>1</v>
      </c>
      <c r="DK8" s="237">
        <v>9317</v>
      </c>
      <c r="DL8" s="237">
        <v>2459</v>
      </c>
      <c r="DM8" s="237">
        <v>163623523</v>
      </c>
      <c r="DN8" s="237">
        <v>563</v>
      </c>
      <c r="DO8" s="237">
        <v>1210600</v>
      </c>
      <c r="DP8" s="237">
        <v>350</v>
      </c>
      <c r="DQ8" s="237">
        <v>3485101</v>
      </c>
      <c r="DR8" s="237">
        <v>168800</v>
      </c>
      <c r="DS8" s="237">
        <f t="shared" si="18"/>
        <v>9317</v>
      </c>
      <c r="DT8" s="237">
        <f t="shared" si="16"/>
        <v>163623523</v>
      </c>
      <c r="DU8" s="240">
        <f t="shared" si="1"/>
        <v>1210600</v>
      </c>
      <c r="DV8" s="237">
        <v>0</v>
      </c>
      <c r="DW8" s="237">
        <v>6327</v>
      </c>
      <c r="DX8" s="237">
        <v>106855770</v>
      </c>
      <c r="DY8" s="237">
        <f t="shared" si="17"/>
        <v>2990</v>
      </c>
      <c r="DZ8" s="237">
        <f t="shared" si="17"/>
        <v>56767753</v>
      </c>
      <c r="EA8" s="238">
        <f t="shared" si="2"/>
        <v>2631716</v>
      </c>
      <c r="EB8" s="238">
        <f t="shared" si="3"/>
        <v>2339540727</v>
      </c>
      <c r="EC8" s="238">
        <f t="shared" si="4"/>
        <v>38556</v>
      </c>
      <c r="ED8" s="241">
        <v>425190</v>
      </c>
      <c r="EE8" s="241">
        <v>157721</v>
      </c>
      <c r="EF8" s="241">
        <v>476835</v>
      </c>
      <c r="EG8" s="241">
        <v>32877</v>
      </c>
      <c r="EH8" s="241">
        <v>1189586</v>
      </c>
      <c r="EI8" s="242">
        <f t="shared" si="5"/>
        <v>21308506.528499998</v>
      </c>
      <c r="EJ8" s="243">
        <f t="shared" si="6"/>
        <v>11406251</v>
      </c>
      <c r="EK8" s="244">
        <v>9312</v>
      </c>
      <c r="EL8" s="245">
        <v>7824</v>
      </c>
      <c r="EM8" s="245">
        <v>2825408</v>
      </c>
      <c r="EN8" s="245">
        <f t="shared" si="7"/>
        <v>42381.119999999995</v>
      </c>
      <c r="EO8" s="245">
        <v>106402</v>
      </c>
      <c r="EP8" s="245">
        <v>72474</v>
      </c>
      <c r="EQ8" s="245">
        <v>25956090</v>
      </c>
      <c r="ER8" s="245">
        <f t="shared" si="8"/>
        <v>389341.35</v>
      </c>
      <c r="ES8" s="246">
        <f t="shared" si="9"/>
        <v>115714</v>
      </c>
      <c r="ET8" s="246">
        <v>78526</v>
      </c>
      <c r="EU8" s="246">
        <f t="shared" si="10"/>
        <v>28781498</v>
      </c>
      <c r="EV8" s="247">
        <f t="shared" si="10"/>
        <v>431722.47</v>
      </c>
      <c r="EW8" s="246">
        <f t="shared" si="11"/>
        <v>1099218</v>
      </c>
      <c r="EX8" s="246">
        <f t="shared" si="12"/>
        <v>41349</v>
      </c>
      <c r="EY8" s="247">
        <f t="shared" si="13"/>
        <v>209424359</v>
      </c>
      <c r="EZ8" s="246">
        <f t="shared" si="14"/>
        <v>65642</v>
      </c>
      <c r="FA8" s="246">
        <f t="shared" si="14"/>
        <v>32544</v>
      </c>
      <c r="FB8" s="246">
        <f t="shared" si="14"/>
        <v>82558671</v>
      </c>
      <c r="FC8" s="247">
        <f t="shared" si="15"/>
        <v>1114542.0585</v>
      </c>
      <c r="FD8" s="246">
        <v>87</v>
      </c>
      <c r="FE8" s="246">
        <v>84</v>
      </c>
      <c r="FF8" s="246">
        <v>87992</v>
      </c>
    </row>
    <row r="9" spans="1:162" s="248" customFormat="1" ht="15" customHeight="1">
      <c r="A9" s="236">
        <v>45572</v>
      </c>
      <c r="B9" s="237">
        <v>7638</v>
      </c>
      <c r="C9" s="237">
        <v>10368</v>
      </c>
      <c r="D9" s="237">
        <v>10372</v>
      </c>
      <c r="E9" s="237">
        <v>798814</v>
      </c>
      <c r="F9" s="237">
        <v>337680</v>
      </c>
      <c r="G9" s="237">
        <v>3548438</v>
      </c>
      <c r="H9" s="237">
        <v>2512750</v>
      </c>
      <c r="I9" s="237">
        <v>1641968</v>
      </c>
      <c r="J9" s="237">
        <v>9073</v>
      </c>
      <c r="K9" s="237">
        <v>134</v>
      </c>
      <c r="L9" s="237">
        <v>212421</v>
      </c>
      <c r="M9" s="237">
        <v>176074</v>
      </c>
      <c r="N9" s="237">
        <v>146602</v>
      </c>
      <c r="O9" s="237">
        <v>1137526</v>
      </c>
      <c r="P9" s="237">
        <v>225097820</v>
      </c>
      <c r="Q9" s="237">
        <v>6373</v>
      </c>
      <c r="R9" s="237">
        <v>1028914</v>
      </c>
      <c r="S9" s="237">
        <v>9743716</v>
      </c>
      <c r="T9" s="237"/>
      <c r="U9" s="237">
        <v>168049</v>
      </c>
      <c r="V9" s="237">
        <v>44535</v>
      </c>
      <c r="W9" s="237">
        <v>136048</v>
      </c>
      <c r="X9" s="237">
        <v>1385214262</v>
      </c>
      <c r="Y9" s="237">
        <v>4484195</v>
      </c>
      <c r="Z9" s="237">
        <v>9318</v>
      </c>
      <c r="AA9" s="237">
        <v>0</v>
      </c>
      <c r="AB9" s="237">
        <v>399</v>
      </c>
      <c r="AC9" s="237">
        <v>0</v>
      </c>
      <c r="AD9" s="237">
        <v>552</v>
      </c>
      <c r="AE9" s="237">
        <v>0</v>
      </c>
      <c r="AF9" s="237">
        <v>0</v>
      </c>
      <c r="AG9" s="237">
        <v>0</v>
      </c>
      <c r="AH9" s="237">
        <v>134164</v>
      </c>
      <c r="AI9" s="237">
        <v>112588</v>
      </c>
      <c r="AJ9" s="237">
        <v>1260285447</v>
      </c>
      <c r="AK9" s="237">
        <v>11052</v>
      </c>
      <c r="AL9" s="237">
        <v>11855797</v>
      </c>
      <c r="AM9" s="237">
        <v>23512506</v>
      </c>
      <c r="AN9" s="237">
        <v>309062</v>
      </c>
      <c r="AO9" s="237">
        <v>19898</v>
      </c>
      <c r="AP9" s="237">
        <v>15623</v>
      </c>
      <c r="AQ9" s="237">
        <v>195854690</v>
      </c>
      <c r="AR9" s="237">
        <v>3660</v>
      </c>
      <c r="AS9" s="237">
        <v>1278100</v>
      </c>
      <c r="AT9" s="237">
        <v>99</v>
      </c>
      <c r="AU9" s="237">
        <v>361</v>
      </c>
      <c r="AV9" s="237">
        <v>489206</v>
      </c>
      <c r="AW9" s="237">
        <v>366</v>
      </c>
      <c r="AX9" s="237">
        <v>27000</v>
      </c>
      <c r="AY9" s="237">
        <v>1109</v>
      </c>
      <c r="AZ9" s="237">
        <v>903</v>
      </c>
      <c r="BA9" s="237">
        <v>29676206</v>
      </c>
      <c r="BB9" s="237">
        <v>552</v>
      </c>
      <c r="BC9" s="237">
        <v>35200</v>
      </c>
      <c r="BD9" s="237">
        <v>10948</v>
      </c>
      <c r="BE9" s="237">
        <v>2587</v>
      </c>
      <c r="BF9" s="237">
        <v>1912</v>
      </c>
      <c r="BG9" s="237">
        <v>55399057</v>
      </c>
      <c r="BH9" s="237">
        <v>2108</v>
      </c>
      <c r="BI9" s="237">
        <v>0</v>
      </c>
      <c r="BJ9" s="237">
        <v>0</v>
      </c>
      <c r="BK9" s="237">
        <v>149</v>
      </c>
      <c r="BL9" s="237">
        <v>112</v>
      </c>
      <c r="BM9" s="237">
        <v>2048650</v>
      </c>
      <c r="BN9" s="237">
        <v>121</v>
      </c>
      <c r="BO9" s="237">
        <v>56700</v>
      </c>
      <c r="BP9" s="237">
        <v>22680</v>
      </c>
      <c r="BQ9" s="237">
        <v>32674</v>
      </c>
      <c r="BR9" s="237">
        <v>15793</v>
      </c>
      <c r="BS9" s="237">
        <v>48316804</v>
      </c>
      <c r="BT9" s="237">
        <v>0</v>
      </c>
      <c r="BU9" s="238">
        <f t="shared" si="0"/>
        <v>652276.85400000005</v>
      </c>
      <c r="BV9" s="237">
        <v>30</v>
      </c>
      <c r="BW9" s="237">
        <v>29</v>
      </c>
      <c r="BX9" s="237">
        <v>1118990</v>
      </c>
      <c r="BY9" s="237">
        <v>0</v>
      </c>
      <c r="BZ9" s="237">
        <v>5595</v>
      </c>
      <c r="CA9" s="238">
        <v>0</v>
      </c>
      <c r="CB9" s="238">
        <v>0</v>
      </c>
      <c r="CC9" s="238">
        <v>0</v>
      </c>
      <c r="CD9" s="238">
        <v>0</v>
      </c>
      <c r="CE9" s="238">
        <v>0</v>
      </c>
      <c r="CF9" s="237">
        <v>0</v>
      </c>
      <c r="CG9" s="237">
        <v>0</v>
      </c>
      <c r="CH9" s="237">
        <v>0</v>
      </c>
      <c r="CI9" s="237">
        <v>0</v>
      </c>
      <c r="CJ9" s="237">
        <v>0</v>
      </c>
      <c r="CK9" s="239">
        <v>1976</v>
      </c>
      <c r="CL9" s="237">
        <v>37435762</v>
      </c>
      <c r="CM9" s="237">
        <v>0</v>
      </c>
      <c r="CN9" s="237">
        <v>0</v>
      </c>
      <c r="CO9" s="237">
        <v>96053</v>
      </c>
      <c r="CP9" s="237">
        <v>46253</v>
      </c>
      <c r="CQ9" s="239">
        <v>31426883</v>
      </c>
      <c r="CR9" s="237">
        <v>7004</v>
      </c>
      <c r="CS9" s="237">
        <v>14532</v>
      </c>
      <c r="CT9" s="237">
        <v>40017655</v>
      </c>
      <c r="CU9" s="237">
        <v>416614</v>
      </c>
      <c r="CV9" s="237">
        <v>5231</v>
      </c>
      <c r="CW9" s="237">
        <v>27543</v>
      </c>
      <c r="CX9" s="237">
        <v>21754</v>
      </c>
      <c r="CY9" s="237">
        <v>20144</v>
      </c>
      <c r="CZ9" s="237">
        <v>370499010</v>
      </c>
      <c r="DA9" s="237">
        <v>3162</v>
      </c>
      <c r="DB9" s="237">
        <v>31</v>
      </c>
      <c r="DC9" s="237">
        <v>3</v>
      </c>
      <c r="DD9" s="237">
        <v>312300</v>
      </c>
      <c r="DE9" s="237">
        <v>3</v>
      </c>
      <c r="DF9" s="237">
        <v>4058</v>
      </c>
      <c r="DG9" s="237">
        <v>126</v>
      </c>
      <c r="DH9" s="237">
        <v>0</v>
      </c>
      <c r="DI9" s="237">
        <v>0</v>
      </c>
      <c r="DJ9" s="237">
        <v>1</v>
      </c>
      <c r="DK9" s="237">
        <v>12203</v>
      </c>
      <c r="DL9" s="237">
        <v>3501</v>
      </c>
      <c r="DM9" s="237">
        <v>353204126</v>
      </c>
      <c r="DN9" s="237">
        <v>867</v>
      </c>
      <c r="DO9" s="237">
        <v>2213950</v>
      </c>
      <c r="DP9" s="237">
        <v>244</v>
      </c>
      <c r="DQ9" s="237">
        <v>15821452</v>
      </c>
      <c r="DR9" s="237">
        <v>236050</v>
      </c>
      <c r="DS9" s="237">
        <f t="shared" si="18"/>
        <v>12203</v>
      </c>
      <c r="DT9" s="237">
        <f t="shared" si="16"/>
        <v>353204126</v>
      </c>
      <c r="DU9" s="240">
        <f t="shared" si="1"/>
        <v>2213950</v>
      </c>
      <c r="DV9" s="237">
        <v>0</v>
      </c>
      <c r="DW9" s="237">
        <v>7893</v>
      </c>
      <c r="DX9" s="237">
        <v>237299701</v>
      </c>
      <c r="DY9" s="237">
        <f t="shared" si="17"/>
        <v>4310</v>
      </c>
      <c r="DZ9" s="237">
        <f t="shared" si="17"/>
        <v>115904425</v>
      </c>
      <c r="EA9" s="238">
        <f t="shared" si="2"/>
        <v>2671749</v>
      </c>
      <c r="EB9" s="238">
        <f t="shared" si="3"/>
        <v>4046140584</v>
      </c>
      <c r="EC9" s="238">
        <f t="shared" si="4"/>
        <v>43373</v>
      </c>
      <c r="ED9" s="241">
        <v>750498</v>
      </c>
      <c r="EE9" s="241">
        <v>347596</v>
      </c>
      <c r="EF9" s="241">
        <v>420866</v>
      </c>
      <c r="EG9" s="241">
        <v>27159</v>
      </c>
      <c r="EH9" s="241">
        <v>1423258</v>
      </c>
      <c r="EI9" s="242">
        <f t="shared" si="5"/>
        <v>29889710.799000002</v>
      </c>
      <c r="EJ9" s="243">
        <f t="shared" si="6"/>
        <v>16826087</v>
      </c>
      <c r="EK9" s="244">
        <v>9089</v>
      </c>
      <c r="EL9" s="245">
        <v>7749</v>
      </c>
      <c r="EM9" s="245">
        <v>2974358</v>
      </c>
      <c r="EN9" s="245">
        <f t="shared" si="7"/>
        <v>44615.369999999995</v>
      </c>
      <c r="EO9" s="245">
        <v>102913</v>
      </c>
      <c r="EP9" s="245">
        <v>70725</v>
      </c>
      <c r="EQ9" s="245">
        <v>27437705</v>
      </c>
      <c r="ER9" s="245">
        <f t="shared" si="8"/>
        <v>411565.57500000001</v>
      </c>
      <c r="ES9" s="246">
        <f t="shared" si="9"/>
        <v>112002</v>
      </c>
      <c r="ET9" s="246">
        <v>76747</v>
      </c>
      <c r="EU9" s="246">
        <f t="shared" si="10"/>
        <v>30412063</v>
      </c>
      <c r="EV9" s="247">
        <f t="shared" si="10"/>
        <v>456180.94500000001</v>
      </c>
      <c r="EW9" s="246">
        <f t="shared" si="11"/>
        <v>1121577</v>
      </c>
      <c r="EX9" s="246">
        <f t="shared" si="12"/>
        <v>46253</v>
      </c>
      <c r="EY9" s="247">
        <f t="shared" si="13"/>
        <v>226112640</v>
      </c>
      <c r="EZ9" s="246">
        <f t="shared" si="14"/>
        <v>32674</v>
      </c>
      <c r="FA9" s="246">
        <f t="shared" si="14"/>
        <v>15793</v>
      </c>
      <c r="FB9" s="246">
        <f t="shared" si="14"/>
        <v>48316804</v>
      </c>
      <c r="FC9" s="247">
        <f t="shared" si="15"/>
        <v>652276.85400000005</v>
      </c>
      <c r="FD9" s="246">
        <v>108</v>
      </c>
      <c r="FE9" s="246">
        <v>105</v>
      </c>
      <c r="FF9" s="246">
        <v>137494</v>
      </c>
    </row>
    <row r="10" spans="1:162" s="248" customFormat="1" ht="15" customHeight="1">
      <c r="A10" s="236">
        <v>45573</v>
      </c>
      <c r="B10" s="237">
        <v>6604</v>
      </c>
      <c r="C10" s="237">
        <v>19608</v>
      </c>
      <c r="D10" s="237">
        <v>19609</v>
      </c>
      <c r="E10" s="237">
        <v>801046</v>
      </c>
      <c r="F10" s="237">
        <v>311974</v>
      </c>
      <c r="G10" s="237">
        <v>3551988</v>
      </c>
      <c r="H10" s="237">
        <v>2509229</v>
      </c>
      <c r="I10" s="237">
        <v>1645932</v>
      </c>
      <c r="J10" s="237">
        <v>8804</v>
      </c>
      <c r="K10" s="237">
        <v>138</v>
      </c>
      <c r="L10" s="237">
        <v>212667</v>
      </c>
      <c r="M10" s="237">
        <v>176094</v>
      </c>
      <c r="N10" s="237">
        <v>146734</v>
      </c>
      <c r="O10" s="237">
        <v>1051900</v>
      </c>
      <c r="P10" s="237">
        <v>204341975</v>
      </c>
      <c r="Q10" s="237">
        <v>5689</v>
      </c>
      <c r="R10" s="237">
        <v>951487</v>
      </c>
      <c r="S10" s="237">
        <v>8862862</v>
      </c>
      <c r="T10" s="237">
        <v>1</v>
      </c>
      <c r="U10" s="237">
        <v>143898</v>
      </c>
      <c r="V10" s="237">
        <v>42462</v>
      </c>
      <c r="W10" s="237">
        <v>116924</v>
      </c>
      <c r="X10" s="237">
        <v>1051621676</v>
      </c>
      <c r="Y10" s="237">
        <v>3412298</v>
      </c>
      <c r="Z10" s="237">
        <v>7278</v>
      </c>
      <c r="AA10" s="237">
        <v>0</v>
      </c>
      <c r="AB10" s="237">
        <v>337</v>
      </c>
      <c r="AC10" s="237">
        <v>0</v>
      </c>
      <c r="AD10" s="237">
        <v>476</v>
      </c>
      <c r="AE10" s="237">
        <v>0</v>
      </c>
      <c r="AF10" s="237">
        <v>0</v>
      </c>
      <c r="AG10" s="237">
        <v>0</v>
      </c>
      <c r="AH10" s="237">
        <v>113753</v>
      </c>
      <c r="AI10" s="237">
        <v>95855</v>
      </c>
      <c r="AJ10" s="237">
        <v>1022532630</v>
      </c>
      <c r="AK10" s="237">
        <v>8617</v>
      </c>
      <c r="AL10" s="237">
        <v>9831392</v>
      </c>
      <c r="AM10" s="237">
        <v>19444557</v>
      </c>
      <c r="AN10" s="237">
        <v>254932</v>
      </c>
      <c r="AO10" s="237">
        <v>16953</v>
      </c>
      <c r="AP10" s="237">
        <v>13411</v>
      </c>
      <c r="AQ10" s="237">
        <v>152739124</v>
      </c>
      <c r="AR10" s="237">
        <v>2939</v>
      </c>
      <c r="AS10" s="237">
        <v>1041300</v>
      </c>
      <c r="AT10" s="237">
        <v>92</v>
      </c>
      <c r="AU10" s="237">
        <v>343</v>
      </c>
      <c r="AV10" s="237">
        <v>396840</v>
      </c>
      <c r="AW10" s="237">
        <v>340</v>
      </c>
      <c r="AX10" s="237">
        <v>24700</v>
      </c>
      <c r="AY10" s="237">
        <v>925</v>
      </c>
      <c r="AZ10" s="237">
        <v>719</v>
      </c>
      <c r="BA10" s="237">
        <v>26442970</v>
      </c>
      <c r="BB10" s="237">
        <v>176</v>
      </c>
      <c r="BC10" s="237">
        <v>19850</v>
      </c>
      <c r="BD10" s="237">
        <v>6102</v>
      </c>
      <c r="BE10" s="237">
        <v>2860</v>
      </c>
      <c r="BF10" s="237">
        <v>2042</v>
      </c>
      <c r="BG10" s="237">
        <v>52756439</v>
      </c>
      <c r="BH10" s="237">
        <v>10</v>
      </c>
      <c r="BI10" s="237">
        <v>0</v>
      </c>
      <c r="BJ10" s="237">
        <v>0</v>
      </c>
      <c r="BK10" s="237">
        <v>157</v>
      </c>
      <c r="BL10" s="237">
        <v>111</v>
      </c>
      <c r="BM10" s="237">
        <v>3584030</v>
      </c>
      <c r="BN10" s="237">
        <v>33</v>
      </c>
      <c r="BO10" s="237">
        <v>79550</v>
      </c>
      <c r="BP10" s="237">
        <v>31820</v>
      </c>
      <c r="BQ10" s="237">
        <v>31581</v>
      </c>
      <c r="BR10" s="237">
        <v>15417</v>
      </c>
      <c r="BS10" s="237">
        <v>41873719</v>
      </c>
      <c r="BT10" s="237">
        <v>0</v>
      </c>
      <c r="BU10" s="238">
        <f t="shared" si="0"/>
        <v>565295.20649999997</v>
      </c>
      <c r="BV10" s="237">
        <v>31</v>
      </c>
      <c r="BW10" s="237">
        <v>30</v>
      </c>
      <c r="BX10" s="237">
        <v>900015</v>
      </c>
      <c r="BY10" s="237">
        <v>0</v>
      </c>
      <c r="BZ10" s="237">
        <v>4500</v>
      </c>
      <c r="CA10" s="238">
        <v>0</v>
      </c>
      <c r="CB10" s="238">
        <v>0</v>
      </c>
      <c r="CC10" s="238">
        <v>0</v>
      </c>
      <c r="CD10" s="238">
        <v>0</v>
      </c>
      <c r="CE10" s="238">
        <v>0</v>
      </c>
      <c r="CF10" s="237">
        <v>0</v>
      </c>
      <c r="CG10" s="237">
        <v>0</v>
      </c>
      <c r="CH10" s="237">
        <v>0</v>
      </c>
      <c r="CI10" s="237">
        <v>0</v>
      </c>
      <c r="CJ10" s="237">
        <v>0</v>
      </c>
      <c r="CK10" s="239">
        <v>2881</v>
      </c>
      <c r="CL10" s="237">
        <v>80789636</v>
      </c>
      <c r="CM10" s="237">
        <v>0</v>
      </c>
      <c r="CN10" s="237">
        <v>0</v>
      </c>
      <c r="CO10" s="237">
        <v>89736</v>
      </c>
      <c r="CP10" s="237">
        <v>42867</v>
      </c>
      <c r="CQ10" s="239">
        <v>28570986</v>
      </c>
      <c r="CR10" s="237">
        <v>5887</v>
      </c>
      <c r="CS10" s="237">
        <v>13751</v>
      </c>
      <c r="CT10" s="237">
        <v>36499544</v>
      </c>
      <c r="CU10" s="237">
        <v>381355</v>
      </c>
      <c r="CV10" s="237">
        <v>6277</v>
      </c>
      <c r="CW10" s="237">
        <v>25661</v>
      </c>
      <c r="CX10" s="237">
        <v>18746</v>
      </c>
      <c r="CY10" s="237">
        <v>17380</v>
      </c>
      <c r="CZ10" s="237">
        <v>288094319</v>
      </c>
      <c r="DA10" s="237">
        <v>2556</v>
      </c>
      <c r="DB10" s="237">
        <v>25</v>
      </c>
      <c r="DC10" s="237">
        <v>1</v>
      </c>
      <c r="DD10" s="237">
        <v>455850</v>
      </c>
      <c r="DE10" s="237">
        <v>0</v>
      </c>
      <c r="DF10" s="237">
        <v>5474</v>
      </c>
      <c r="DG10" s="237">
        <v>162</v>
      </c>
      <c r="DH10" s="237">
        <v>0</v>
      </c>
      <c r="DI10" s="237">
        <v>0</v>
      </c>
      <c r="DJ10" s="237">
        <v>1</v>
      </c>
      <c r="DK10" s="237">
        <v>10753</v>
      </c>
      <c r="DL10" s="237">
        <v>3156</v>
      </c>
      <c r="DM10" s="237">
        <v>303859462</v>
      </c>
      <c r="DN10" s="237">
        <v>783</v>
      </c>
      <c r="DO10" s="237">
        <v>2020500</v>
      </c>
      <c r="DP10" s="237">
        <v>169</v>
      </c>
      <c r="DQ10" s="237">
        <v>15247136</v>
      </c>
      <c r="DR10" s="237">
        <v>145000</v>
      </c>
      <c r="DS10" s="237">
        <f t="shared" si="18"/>
        <v>10753</v>
      </c>
      <c r="DT10" s="237">
        <f t="shared" si="16"/>
        <v>303859462</v>
      </c>
      <c r="DU10" s="240">
        <f t="shared" si="1"/>
        <v>2020500</v>
      </c>
      <c r="DV10" s="237">
        <v>0</v>
      </c>
      <c r="DW10" s="237">
        <v>6759</v>
      </c>
      <c r="DX10" s="237">
        <v>194708471</v>
      </c>
      <c r="DY10" s="237">
        <f t="shared" si="17"/>
        <v>3994</v>
      </c>
      <c r="DZ10" s="237">
        <f t="shared" si="17"/>
        <v>109150991</v>
      </c>
      <c r="EA10" s="238">
        <f t="shared" si="2"/>
        <v>2449530</v>
      </c>
      <c r="EB10" s="238">
        <f t="shared" si="3"/>
        <v>3304322077</v>
      </c>
      <c r="EC10" s="238">
        <f t="shared" si="4"/>
        <v>34759</v>
      </c>
      <c r="ED10" s="241">
        <v>1155862</v>
      </c>
      <c r="EE10" s="241">
        <v>301586</v>
      </c>
      <c r="EF10" s="241">
        <v>651414</v>
      </c>
      <c r="EG10" s="241">
        <v>46991</v>
      </c>
      <c r="EH10" s="241">
        <v>1277325</v>
      </c>
      <c r="EI10" s="242">
        <f t="shared" si="5"/>
        <v>25552916.3915</v>
      </c>
      <c r="EJ10" s="243">
        <f t="shared" si="6"/>
        <v>13964161</v>
      </c>
      <c r="EK10" s="244">
        <v>8321</v>
      </c>
      <c r="EL10" s="245">
        <v>7000</v>
      </c>
      <c r="EM10" s="245">
        <v>3071664</v>
      </c>
      <c r="EN10" s="245">
        <f t="shared" si="7"/>
        <v>46074.96</v>
      </c>
      <c r="EO10" s="245">
        <v>95168</v>
      </c>
      <c r="EP10" s="245">
        <v>66295</v>
      </c>
      <c r="EQ10" s="245">
        <v>24552615</v>
      </c>
      <c r="ER10" s="245">
        <f t="shared" si="8"/>
        <v>368289.22499999998</v>
      </c>
      <c r="ES10" s="246">
        <f t="shared" si="9"/>
        <v>103489</v>
      </c>
      <c r="ET10" s="246">
        <v>71811</v>
      </c>
      <c r="EU10" s="246">
        <f t="shared" si="10"/>
        <v>27624279</v>
      </c>
      <c r="EV10" s="247">
        <f t="shared" si="10"/>
        <v>414364.185</v>
      </c>
      <c r="EW10" s="246">
        <f t="shared" si="11"/>
        <v>1038147</v>
      </c>
      <c r="EX10" s="246">
        <f t="shared" si="12"/>
        <v>42867</v>
      </c>
      <c r="EY10" s="247">
        <f t="shared" si="13"/>
        <v>205288682</v>
      </c>
      <c r="EZ10" s="246">
        <f t="shared" si="14"/>
        <v>31581</v>
      </c>
      <c r="FA10" s="246">
        <f t="shared" si="14"/>
        <v>15417</v>
      </c>
      <c r="FB10" s="246">
        <f t="shared" si="14"/>
        <v>41873719</v>
      </c>
      <c r="FC10" s="247">
        <f t="shared" si="15"/>
        <v>565295.20649999997</v>
      </c>
      <c r="FD10" s="246">
        <v>84</v>
      </c>
      <c r="FE10" s="246">
        <v>81</v>
      </c>
      <c r="FF10" s="246">
        <v>99497</v>
      </c>
    </row>
    <row r="11" spans="1:162" s="248" customFormat="1" ht="15" customHeight="1">
      <c r="A11" s="236">
        <v>45574</v>
      </c>
      <c r="B11" s="237">
        <v>8148</v>
      </c>
      <c r="C11" s="237">
        <v>22512</v>
      </c>
      <c r="D11" s="237">
        <v>22512</v>
      </c>
      <c r="E11" s="237">
        <v>799959</v>
      </c>
      <c r="F11" s="237">
        <v>321375</v>
      </c>
      <c r="G11" s="237">
        <v>3555860</v>
      </c>
      <c r="H11" s="237">
        <v>2510991</v>
      </c>
      <c r="I11" s="237">
        <v>1647618</v>
      </c>
      <c r="J11" s="237">
        <v>8865</v>
      </c>
      <c r="K11" s="237">
        <v>72</v>
      </c>
      <c r="L11" s="237">
        <v>212852</v>
      </c>
      <c r="M11" s="237">
        <v>176087</v>
      </c>
      <c r="N11" s="237">
        <v>146836</v>
      </c>
      <c r="O11" s="237">
        <v>1056231</v>
      </c>
      <c r="P11" s="237">
        <v>205552080</v>
      </c>
      <c r="Q11" s="237">
        <v>5739</v>
      </c>
      <c r="R11" s="237">
        <v>955640</v>
      </c>
      <c r="S11" s="237">
        <v>8888510</v>
      </c>
      <c r="T11" s="237">
        <v>1</v>
      </c>
      <c r="U11" s="237">
        <v>147959</v>
      </c>
      <c r="V11" s="237">
        <v>43019</v>
      </c>
      <c r="W11" s="237">
        <v>119798</v>
      </c>
      <c r="X11" s="237">
        <v>1044360002</v>
      </c>
      <c r="Y11" s="237">
        <v>3389663</v>
      </c>
      <c r="Z11" s="237">
        <v>7299</v>
      </c>
      <c r="AA11" s="237">
        <v>0</v>
      </c>
      <c r="AB11" s="237">
        <v>335</v>
      </c>
      <c r="AC11" s="237">
        <v>0</v>
      </c>
      <c r="AD11" s="237">
        <v>476</v>
      </c>
      <c r="AE11" s="237">
        <v>0</v>
      </c>
      <c r="AF11" s="237">
        <v>0</v>
      </c>
      <c r="AG11" s="237">
        <v>0</v>
      </c>
      <c r="AH11" s="237">
        <v>119576</v>
      </c>
      <c r="AI11" s="237">
        <v>100334</v>
      </c>
      <c r="AJ11" s="237">
        <v>1021270841</v>
      </c>
      <c r="AK11" s="237">
        <v>8925</v>
      </c>
      <c r="AL11" s="237">
        <v>10053639</v>
      </c>
      <c r="AM11" s="237">
        <v>19864239</v>
      </c>
      <c r="AN11" s="237">
        <v>259034</v>
      </c>
      <c r="AO11" s="237">
        <v>17332</v>
      </c>
      <c r="AP11" s="237">
        <v>13659</v>
      </c>
      <c r="AQ11" s="237">
        <v>150431968</v>
      </c>
      <c r="AR11" s="237">
        <v>3116</v>
      </c>
      <c r="AS11" s="237">
        <v>1056400</v>
      </c>
      <c r="AT11" s="237">
        <v>119</v>
      </c>
      <c r="AU11" s="237">
        <v>368</v>
      </c>
      <c r="AV11" s="237">
        <v>762751</v>
      </c>
      <c r="AW11" s="237">
        <v>353</v>
      </c>
      <c r="AX11" s="237">
        <v>33300</v>
      </c>
      <c r="AY11" s="237">
        <v>995</v>
      </c>
      <c r="AZ11" s="237">
        <v>769</v>
      </c>
      <c r="BA11" s="237">
        <v>28082594</v>
      </c>
      <c r="BB11" s="237">
        <v>209</v>
      </c>
      <c r="BC11" s="237">
        <v>27200</v>
      </c>
      <c r="BD11" s="237">
        <v>8832</v>
      </c>
      <c r="BE11" s="237">
        <v>2916</v>
      </c>
      <c r="BF11" s="237">
        <v>2022</v>
      </c>
      <c r="BG11" s="237">
        <v>49813046</v>
      </c>
      <c r="BH11" s="237">
        <v>7</v>
      </c>
      <c r="BI11" s="237">
        <v>0</v>
      </c>
      <c r="BJ11" s="237">
        <v>0</v>
      </c>
      <c r="BK11" s="237">
        <v>151</v>
      </c>
      <c r="BL11" s="237">
        <v>116</v>
      </c>
      <c r="BM11" s="237">
        <v>2623540</v>
      </c>
      <c r="BN11" s="237">
        <v>60</v>
      </c>
      <c r="BO11" s="237">
        <v>65050</v>
      </c>
      <c r="BP11" s="237">
        <v>26020</v>
      </c>
      <c r="BQ11" s="237">
        <v>34925</v>
      </c>
      <c r="BR11" s="237">
        <v>17327</v>
      </c>
      <c r="BS11" s="237">
        <v>43857687</v>
      </c>
      <c r="BT11" s="237">
        <v>0</v>
      </c>
      <c r="BU11" s="238">
        <f t="shared" si="0"/>
        <v>592078.77449999994</v>
      </c>
      <c r="BV11" s="237">
        <v>29</v>
      </c>
      <c r="BW11" s="237">
        <v>29</v>
      </c>
      <c r="BX11" s="237">
        <v>1406070</v>
      </c>
      <c r="BY11" s="237">
        <v>0</v>
      </c>
      <c r="BZ11" s="237">
        <v>7030</v>
      </c>
      <c r="CA11" s="238">
        <v>0</v>
      </c>
      <c r="CB11" s="238">
        <v>0</v>
      </c>
      <c r="CC11" s="238">
        <v>0</v>
      </c>
      <c r="CD11" s="238">
        <v>0</v>
      </c>
      <c r="CE11" s="238">
        <v>0</v>
      </c>
      <c r="CF11" s="237">
        <v>0</v>
      </c>
      <c r="CG11" s="237">
        <v>0</v>
      </c>
      <c r="CH11" s="237">
        <v>0</v>
      </c>
      <c r="CI11" s="237">
        <v>0</v>
      </c>
      <c r="CJ11" s="237">
        <v>0</v>
      </c>
      <c r="CK11" s="239">
        <v>3128</v>
      </c>
      <c r="CL11" s="237">
        <v>18806800</v>
      </c>
      <c r="CM11" s="237">
        <v>0</v>
      </c>
      <c r="CN11" s="237">
        <v>0</v>
      </c>
      <c r="CO11" s="237">
        <v>88241</v>
      </c>
      <c r="CP11" s="237">
        <v>44035</v>
      </c>
      <c r="CQ11" s="239">
        <v>28233698</v>
      </c>
      <c r="CR11" s="237">
        <v>6242</v>
      </c>
      <c r="CS11" s="237">
        <v>12935</v>
      </c>
      <c r="CT11" s="237">
        <v>33844808</v>
      </c>
      <c r="CU11" s="237">
        <v>350580</v>
      </c>
      <c r="CV11" s="237">
        <v>3722</v>
      </c>
      <c r="CW11" s="237">
        <v>23555</v>
      </c>
      <c r="CX11" s="237">
        <v>20208</v>
      </c>
      <c r="CY11" s="237">
        <v>18557</v>
      </c>
      <c r="CZ11" s="237">
        <v>245636308</v>
      </c>
      <c r="DA11" s="237">
        <v>2640</v>
      </c>
      <c r="DB11" s="237">
        <v>24</v>
      </c>
      <c r="DC11" s="237">
        <v>4</v>
      </c>
      <c r="DD11" s="237">
        <v>361400</v>
      </c>
      <c r="DE11" s="237">
        <v>3</v>
      </c>
      <c r="DF11" s="237">
        <v>3931</v>
      </c>
      <c r="DG11" s="237">
        <v>116</v>
      </c>
      <c r="DH11" s="237">
        <v>0</v>
      </c>
      <c r="DI11" s="237">
        <v>0</v>
      </c>
      <c r="DJ11" s="237">
        <v>1</v>
      </c>
      <c r="DK11" s="237">
        <v>11191</v>
      </c>
      <c r="DL11" s="237">
        <v>3326</v>
      </c>
      <c r="DM11" s="237">
        <v>329287535</v>
      </c>
      <c r="DN11" s="237">
        <v>839</v>
      </c>
      <c r="DO11" s="237">
        <v>2208050</v>
      </c>
      <c r="DP11" s="237">
        <v>191</v>
      </c>
      <c r="DQ11" s="237">
        <v>9054306</v>
      </c>
      <c r="DR11" s="237">
        <v>188400</v>
      </c>
      <c r="DS11" s="237">
        <f t="shared" si="18"/>
        <v>11191</v>
      </c>
      <c r="DT11" s="237">
        <f t="shared" si="16"/>
        <v>329287535</v>
      </c>
      <c r="DU11" s="240">
        <f t="shared" si="1"/>
        <v>2208050</v>
      </c>
      <c r="DV11" s="237">
        <v>0</v>
      </c>
      <c r="DW11" s="237">
        <v>7080</v>
      </c>
      <c r="DX11" s="237">
        <v>208545723</v>
      </c>
      <c r="DY11" s="237">
        <f t="shared" si="17"/>
        <v>4111</v>
      </c>
      <c r="DZ11" s="237">
        <f t="shared" si="17"/>
        <v>120741812</v>
      </c>
      <c r="EA11" s="238">
        <f t="shared" si="2"/>
        <v>2471601</v>
      </c>
      <c r="EB11" s="238">
        <f t="shared" si="3"/>
        <v>3213219638</v>
      </c>
      <c r="EC11" s="238">
        <f t="shared" si="4"/>
        <v>33244</v>
      </c>
      <c r="ED11" s="241">
        <v>776359</v>
      </c>
      <c r="EE11" s="241">
        <v>314657</v>
      </c>
      <c r="EF11" s="241">
        <v>506027</v>
      </c>
      <c r="EG11" s="241">
        <v>37849</v>
      </c>
      <c r="EH11" s="241">
        <v>1267311</v>
      </c>
      <c r="EI11" s="242">
        <f t="shared" si="5"/>
        <v>25829731.794499997</v>
      </c>
      <c r="EJ11" s="243">
        <f t="shared" si="6"/>
        <v>14011667</v>
      </c>
      <c r="EK11" s="244">
        <v>8396</v>
      </c>
      <c r="EL11" s="245">
        <v>7061</v>
      </c>
      <c r="EM11" s="245">
        <v>2899728</v>
      </c>
      <c r="EN11" s="245">
        <f t="shared" si="7"/>
        <v>43495.92</v>
      </c>
      <c r="EO11" s="245">
        <v>95284</v>
      </c>
      <c r="EP11" s="245">
        <v>66431</v>
      </c>
      <c r="EQ11" s="245">
        <v>25319740</v>
      </c>
      <c r="ER11" s="245">
        <f t="shared" si="8"/>
        <v>379796.1</v>
      </c>
      <c r="ES11" s="246">
        <f t="shared" si="9"/>
        <v>103680</v>
      </c>
      <c r="ET11" s="246">
        <v>71989</v>
      </c>
      <c r="EU11" s="246">
        <f t="shared" si="10"/>
        <v>28219468</v>
      </c>
      <c r="EV11" s="247">
        <f t="shared" si="10"/>
        <v>423292.01999999996</v>
      </c>
      <c r="EW11" s="246">
        <f t="shared" si="11"/>
        <v>1040792</v>
      </c>
      <c r="EX11" s="246">
        <f t="shared" si="12"/>
        <v>44035</v>
      </c>
      <c r="EY11" s="247">
        <f t="shared" si="13"/>
        <v>205566310</v>
      </c>
      <c r="EZ11" s="246">
        <f t="shared" si="14"/>
        <v>34925</v>
      </c>
      <c r="FA11" s="246">
        <f t="shared" si="14"/>
        <v>17327</v>
      </c>
      <c r="FB11" s="246">
        <f t="shared" si="14"/>
        <v>43857687</v>
      </c>
      <c r="FC11" s="247">
        <f t="shared" si="15"/>
        <v>592078.77449999994</v>
      </c>
      <c r="FD11" s="246">
        <v>85</v>
      </c>
      <c r="FE11" s="246">
        <v>82</v>
      </c>
      <c r="FF11" s="246">
        <v>111496</v>
      </c>
    </row>
    <row r="12" spans="1:162" s="248" customFormat="1" ht="15" customHeight="1">
      <c r="A12" s="236">
        <v>45575</v>
      </c>
      <c r="B12" s="237">
        <v>7753</v>
      </c>
      <c r="C12" s="237">
        <v>15363</v>
      </c>
      <c r="D12" s="237">
        <v>15363</v>
      </c>
      <c r="E12" s="237">
        <v>799948</v>
      </c>
      <c r="F12" s="237">
        <v>319741</v>
      </c>
      <c r="G12" s="237">
        <v>3559585</v>
      </c>
      <c r="H12" s="237">
        <v>2510518</v>
      </c>
      <c r="I12" s="237">
        <v>1647903</v>
      </c>
      <c r="J12" s="237">
        <v>8868</v>
      </c>
      <c r="K12" s="237">
        <v>90</v>
      </c>
      <c r="L12" s="237">
        <v>213031</v>
      </c>
      <c r="M12" s="237">
        <v>175972</v>
      </c>
      <c r="N12" s="237">
        <v>146574</v>
      </c>
      <c r="O12" s="237">
        <v>1087905</v>
      </c>
      <c r="P12" s="237">
        <v>210065490</v>
      </c>
      <c r="Q12" s="237">
        <v>5727</v>
      </c>
      <c r="R12" s="237">
        <v>987424</v>
      </c>
      <c r="S12" s="237">
        <v>9123837</v>
      </c>
      <c r="T12" s="237">
        <v>1</v>
      </c>
      <c r="U12" s="237">
        <v>155360</v>
      </c>
      <c r="V12" s="237">
        <v>43799</v>
      </c>
      <c r="W12" s="237">
        <v>123957</v>
      </c>
      <c r="X12" s="237">
        <v>1029986706</v>
      </c>
      <c r="Y12" s="237">
        <v>3333336</v>
      </c>
      <c r="Z12" s="237">
        <v>7672</v>
      </c>
      <c r="AA12" s="237">
        <v>0</v>
      </c>
      <c r="AB12" s="237">
        <v>328</v>
      </c>
      <c r="AC12" s="237">
        <v>0</v>
      </c>
      <c r="AD12" s="237">
        <v>443</v>
      </c>
      <c r="AE12" s="237">
        <v>0</v>
      </c>
      <c r="AF12" s="237">
        <v>0</v>
      </c>
      <c r="AG12" s="237">
        <v>0</v>
      </c>
      <c r="AH12" s="237">
        <v>116493</v>
      </c>
      <c r="AI12" s="237">
        <v>98028</v>
      </c>
      <c r="AJ12" s="237">
        <v>999073949</v>
      </c>
      <c r="AK12" s="237">
        <v>8881</v>
      </c>
      <c r="AL12" s="237">
        <v>9778978</v>
      </c>
      <c r="AM12" s="237">
        <v>19322345</v>
      </c>
      <c r="AN12" s="237">
        <v>251973</v>
      </c>
      <c r="AO12" s="237">
        <v>16976</v>
      </c>
      <c r="AP12" s="237">
        <v>13428</v>
      </c>
      <c r="AQ12" s="237">
        <v>149373323</v>
      </c>
      <c r="AR12" s="237">
        <v>2969</v>
      </c>
      <c r="AS12" s="237">
        <v>1023700</v>
      </c>
      <c r="AT12" s="237">
        <v>86</v>
      </c>
      <c r="AU12" s="237">
        <v>296</v>
      </c>
      <c r="AV12" s="237">
        <v>433067</v>
      </c>
      <c r="AW12" s="237">
        <v>305</v>
      </c>
      <c r="AX12" s="237">
        <v>24700</v>
      </c>
      <c r="AY12" s="237">
        <v>959</v>
      </c>
      <c r="AZ12" s="237">
        <v>740</v>
      </c>
      <c r="BA12" s="237">
        <v>27512878</v>
      </c>
      <c r="BB12" s="237">
        <v>216</v>
      </c>
      <c r="BC12" s="237">
        <v>24950</v>
      </c>
      <c r="BD12" s="237">
        <v>7670</v>
      </c>
      <c r="BE12" s="237">
        <v>2644</v>
      </c>
      <c r="BF12" s="237">
        <v>1928</v>
      </c>
      <c r="BG12" s="237">
        <v>57052833</v>
      </c>
      <c r="BH12" s="237">
        <v>9</v>
      </c>
      <c r="BI12" s="237">
        <v>0</v>
      </c>
      <c r="BJ12" s="237">
        <v>0</v>
      </c>
      <c r="BK12" s="237">
        <v>175</v>
      </c>
      <c r="BL12" s="237">
        <v>132</v>
      </c>
      <c r="BM12" s="237">
        <v>2611550</v>
      </c>
      <c r="BN12" s="237">
        <v>44</v>
      </c>
      <c r="BO12" s="237">
        <v>67200</v>
      </c>
      <c r="BP12" s="237">
        <v>26880</v>
      </c>
      <c r="BQ12" s="237">
        <v>46063</v>
      </c>
      <c r="BR12" s="237">
        <v>23167</v>
      </c>
      <c r="BS12" s="237">
        <v>57683066</v>
      </c>
      <c r="BT12" s="237">
        <v>0</v>
      </c>
      <c r="BU12" s="238">
        <f t="shared" si="0"/>
        <v>778721.39099999995</v>
      </c>
      <c r="BV12" s="237">
        <v>37</v>
      </c>
      <c r="BW12" s="237">
        <v>36</v>
      </c>
      <c r="BX12" s="237">
        <v>1460310</v>
      </c>
      <c r="BY12" s="237">
        <v>0</v>
      </c>
      <c r="BZ12" s="237">
        <v>7302</v>
      </c>
      <c r="CA12" s="238">
        <v>0</v>
      </c>
      <c r="CB12" s="238">
        <v>0</v>
      </c>
      <c r="CC12" s="238">
        <v>0</v>
      </c>
      <c r="CD12" s="238">
        <v>0</v>
      </c>
      <c r="CE12" s="238">
        <v>0</v>
      </c>
      <c r="CF12" s="237">
        <v>0</v>
      </c>
      <c r="CG12" s="237">
        <v>0</v>
      </c>
      <c r="CH12" s="237">
        <v>0</v>
      </c>
      <c r="CI12" s="237">
        <v>0</v>
      </c>
      <c r="CJ12" s="237">
        <v>0</v>
      </c>
      <c r="CK12" s="239">
        <v>410</v>
      </c>
      <c r="CL12" s="237">
        <v>127400555</v>
      </c>
      <c r="CM12" s="237">
        <v>0</v>
      </c>
      <c r="CN12" s="237">
        <v>0</v>
      </c>
      <c r="CO12" s="237">
        <v>92483</v>
      </c>
      <c r="CP12" s="237">
        <v>43446</v>
      </c>
      <c r="CQ12" s="239">
        <v>28920413</v>
      </c>
      <c r="CR12" s="237">
        <v>6060</v>
      </c>
      <c r="CS12" s="237">
        <v>11802</v>
      </c>
      <c r="CT12" s="237">
        <v>29931454</v>
      </c>
      <c r="CU12" s="237">
        <v>314982</v>
      </c>
      <c r="CV12" s="237">
        <v>2544</v>
      </c>
      <c r="CW12" s="237">
        <v>22594</v>
      </c>
      <c r="CX12" s="237">
        <v>19231</v>
      </c>
      <c r="CY12" s="237">
        <v>17933</v>
      </c>
      <c r="CZ12" s="237">
        <v>210992040</v>
      </c>
      <c r="DA12" s="237">
        <v>2573</v>
      </c>
      <c r="DB12" s="237">
        <v>25</v>
      </c>
      <c r="DC12" s="237">
        <v>2</v>
      </c>
      <c r="DD12" s="237">
        <v>436460</v>
      </c>
      <c r="DE12" s="237">
        <v>1</v>
      </c>
      <c r="DF12" s="237">
        <v>4408</v>
      </c>
      <c r="DG12" s="237">
        <v>131</v>
      </c>
      <c r="DH12" s="237">
        <v>0</v>
      </c>
      <c r="DI12" s="237">
        <v>0</v>
      </c>
      <c r="DJ12" s="237">
        <v>1</v>
      </c>
      <c r="DK12" s="237">
        <v>10945</v>
      </c>
      <c r="DL12" s="237">
        <v>3274</v>
      </c>
      <c r="DM12" s="237">
        <v>337956927</v>
      </c>
      <c r="DN12" s="237">
        <v>1082</v>
      </c>
      <c r="DO12" s="237">
        <v>1970000</v>
      </c>
      <c r="DP12" s="237">
        <v>441</v>
      </c>
      <c r="DQ12" s="237">
        <v>13394102</v>
      </c>
      <c r="DR12" s="237">
        <v>274150</v>
      </c>
      <c r="DS12" s="237">
        <f t="shared" si="18"/>
        <v>10945</v>
      </c>
      <c r="DT12" s="237">
        <f t="shared" si="16"/>
        <v>337956927</v>
      </c>
      <c r="DU12" s="240">
        <f t="shared" si="1"/>
        <v>1970000</v>
      </c>
      <c r="DV12" s="237">
        <v>0</v>
      </c>
      <c r="DW12" s="237">
        <v>6884</v>
      </c>
      <c r="DX12" s="237">
        <v>226664051</v>
      </c>
      <c r="DY12" s="237">
        <f t="shared" si="17"/>
        <v>4061</v>
      </c>
      <c r="DZ12" s="237">
        <f t="shared" si="17"/>
        <v>111292876</v>
      </c>
      <c r="EA12" s="238">
        <f t="shared" si="2"/>
        <v>2549019</v>
      </c>
      <c r="EB12" s="238">
        <f t="shared" si="3"/>
        <v>3280014858</v>
      </c>
      <c r="EC12" s="238">
        <f t="shared" si="4"/>
        <v>32159</v>
      </c>
      <c r="ED12" s="241">
        <v>1957319</v>
      </c>
      <c r="EE12" s="241">
        <v>438372</v>
      </c>
      <c r="EF12" s="241">
        <v>505251</v>
      </c>
      <c r="EG12" s="241">
        <v>0</v>
      </c>
      <c r="EH12" s="241">
        <v>1302544</v>
      </c>
      <c r="EI12" s="242">
        <f t="shared" si="5"/>
        <v>26465060.620999999</v>
      </c>
      <c r="EJ12" s="243">
        <f t="shared" si="6"/>
        <v>13679117</v>
      </c>
      <c r="EK12" s="244">
        <v>8107</v>
      </c>
      <c r="EL12" s="245">
        <v>6870</v>
      </c>
      <c r="EM12" s="245">
        <v>2908737</v>
      </c>
      <c r="EN12" s="245">
        <f t="shared" si="7"/>
        <v>43631.055</v>
      </c>
      <c r="EO12" s="245">
        <v>95074</v>
      </c>
      <c r="EP12" s="245">
        <v>66320</v>
      </c>
      <c r="EQ12" s="245">
        <v>25055945</v>
      </c>
      <c r="ER12" s="245">
        <f t="shared" si="8"/>
        <v>375839.17499999999</v>
      </c>
      <c r="ES12" s="246">
        <f t="shared" si="9"/>
        <v>103181</v>
      </c>
      <c r="ET12" s="246">
        <v>71719</v>
      </c>
      <c r="EU12" s="246">
        <f t="shared" si="10"/>
        <v>27964682</v>
      </c>
      <c r="EV12" s="247">
        <f t="shared" si="10"/>
        <v>419470.23</v>
      </c>
      <c r="EW12" s="246">
        <f t="shared" si="11"/>
        <v>1077207</v>
      </c>
      <c r="EX12" s="246">
        <f t="shared" si="12"/>
        <v>43446</v>
      </c>
      <c r="EY12" s="247">
        <f t="shared" si="13"/>
        <v>211021221</v>
      </c>
      <c r="EZ12" s="246">
        <f t="shared" si="14"/>
        <v>46063</v>
      </c>
      <c r="FA12" s="246">
        <f t="shared" si="14"/>
        <v>23167</v>
      </c>
      <c r="FB12" s="246">
        <f t="shared" si="14"/>
        <v>57683066</v>
      </c>
      <c r="FC12" s="247">
        <f t="shared" si="15"/>
        <v>778721.39099999995</v>
      </c>
      <c r="FD12" s="246">
        <v>97</v>
      </c>
      <c r="FE12" s="246">
        <v>88</v>
      </c>
      <c r="FF12" s="246">
        <v>115999</v>
      </c>
    </row>
    <row r="13" spans="1:162" s="248" customFormat="1" ht="15" customHeight="1">
      <c r="A13" s="236">
        <v>45576</v>
      </c>
      <c r="B13" s="237">
        <v>7608</v>
      </c>
      <c r="C13" s="237">
        <v>15397</v>
      </c>
      <c r="D13" s="237">
        <v>15397</v>
      </c>
      <c r="E13" s="237">
        <v>799744</v>
      </c>
      <c r="F13" s="237">
        <v>317383</v>
      </c>
      <c r="G13" s="237">
        <v>3563234</v>
      </c>
      <c r="H13" s="237">
        <v>2510907</v>
      </c>
      <c r="I13" s="237">
        <v>1647279</v>
      </c>
      <c r="J13" s="237">
        <v>8855</v>
      </c>
      <c r="K13" s="237">
        <v>132</v>
      </c>
      <c r="L13" s="237">
        <v>213218</v>
      </c>
      <c r="M13" s="237">
        <v>175932</v>
      </c>
      <c r="N13" s="237">
        <v>146339</v>
      </c>
      <c r="O13" s="237">
        <v>1076805</v>
      </c>
      <c r="P13" s="237">
        <v>208108055</v>
      </c>
      <c r="Q13" s="237">
        <v>5715</v>
      </c>
      <c r="R13" s="237">
        <v>974806</v>
      </c>
      <c r="S13" s="237">
        <v>9051506</v>
      </c>
      <c r="T13" s="237"/>
      <c r="U13" s="237">
        <v>150670</v>
      </c>
      <c r="V13" s="237">
        <v>43188</v>
      </c>
      <c r="W13" s="237">
        <v>120974</v>
      </c>
      <c r="X13" s="237">
        <v>993332808</v>
      </c>
      <c r="Y13" s="237">
        <v>3213678</v>
      </c>
      <c r="Z13" s="237">
        <v>7862</v>
      </c>
      <c r="AA13" s="237">
        <v>0</v>
      </c>
      <c r="AB13" s="237">
        <v>317</v>
      </c>
      <c r="AC13" s="237">
        <v>0</v>
      </c>
      <c r="AD13" s="237">
        <v>443</v>
      </c>
      <c r="AE13" s="237">
        <v>0</v>
      </c>
      <c r="AF13" s="237">
        <v>0</v>
      </c>
      <c r="AG13" s="237">
        <v>0</v>
      </c>
      <c r="AH13" s="237">
        <v>113630</v>
      </c>
      <c r="AI13" s="237">
        <v>95349</v>
      </c>
      <c r="AJ13" s="237">
        <v>996605162</v>
      </c>
      <c r="AK13" s="237">
        <v>8806</v>
      </c>
      <c r="AL13" s="237">
        <v>9531654</v>
      </c>
      <c r="AM13" s="237">
        <v>18913121</v>
      </c>
      <c r="AN13" s="237">
        <v>245971</v>
      </c>
      <c r="AO13" s="237">
        <v>17689</v>
      </c>
      <c r="AP13" s="237">
        <v>13749</v>
      </c>
      <c r="AQ13" s="237">
        <v>153307632</v>
      </c>
      <c r="AR13" s="237">
        <v>3261</v>
      </c>
      <c r="AS13" s="237">
        <v>1057500</v>
      </c>
      <c r="AT13" s="237">
        <v>104</v>
      </c>
      <c r="AU13" s="237">
        <v>356</v>
      </c>
      <c r="AV13" s="237">
        <v>263395</v>
      </c>
      <c r="AW13" s="237">
        <v>340</v>
      </c>
      <c r="AX13" s="237">
        <v>23800</v>
      </c>
      <c r="AY13" s="237">
        <v>952</v>
      </c>
      <c r="AZ13" s="237">
        <v>717</v>
      </c>
      <c r="BA13" s="237">
        <v>25289692</v>
      </c>
      <c r="BB13" s="237">
        <v>234</v>
      </c>
      <c r="BC13" s="237">
        <v>24600</v>
      </c>
      <c r="BD13" s="237">
        <v>7745</v>
      </c>
      <c r="BE13" s="237">
        <v>2605</v>
      </c>
      <c r="BF13" s="237">
        <v>1892</v>
      </c>
      <c r="BG13" s="237">
        <v>42573330</v>
      </c>
      <c r="BH13" s="237">
        <v>16</v>
      </c>
      <c r="BI13" s="237">
        <v>0</v>
      </c>
      <c r="BJ13" s="237">
        <v>0</v>
      </c>
      <c r="BK13" s="237">
        <v>116</v>
      </c>
      <c r="BL13" s="237">
        <v>97</v>
      </c>
      <c r="BM13" s="237">
        <v>2728650</v>
      </c>
      <c r="BN13" s="237">
        <v>160</v>
      </c>
      <c r="BO13" s="237">
        <v>60300</v>
      </c>
      <c r="BP13" s="237">
        <v>24120</v>
      </c>
      <c r="BQ13" s="237">
        <v>46134</v>
      </c>
      <c r="BR13" s="237">
        <v>24056</v>
      </c>
      <c r="BS13" s="237">
        <v>57771057</v>
      </c>
      <c r="BT13" s="237">
        <v>0</v>
      </c>
      <c r="BU13" s="238">
        <f t="shared" si="0"/>
        <v>779909.26949999994</v>
      </c>
      <c r="BV13" s="237">
        <v>34</v>
      </c>
      <c r="BW13" s="237">
        <v>30</v>
      </c>
      <c r="BX13" s="237">
        <v>1171940</v>
      </c>
      <c r="BY13" s="237">
        <v>0</v>
      </c>
      <c r="BZ13" s="237">
        <v>5860</v>
      </c>
      <c r="CA13" s="238">
        <v>0</v>
      </c>
      <c r="CB13" s="238">
        <v>0</v>
      </c>
      <c r="CC13" s="238">
        <v>0</v>
      </c>
      <c r="CD13" s="238">
        <v>0</v>
      </c>
      <c r="CE13" s="238">
        <v>0</v>
      </c>
      <c r="CF13" s="237">
        <v>0</v>
      </c>
      <c r="CG13" s="237">
        <v>0</v>
      </c>
      <c r="CH13" s="237">
        <v>0</v>
      </c>
      <c r="CI13" s="237">
        <v>0</v>
      </c>
      <c r="CJ13" s="237">
        <v>0</v>
      </c>
      <c r="CK13" s="239">
        <v>3966</v>
      </c>
      <c r="CL13" s="237">
        <v>52032773</v>
      </c>
      <c r="CM13" s="237">
        <v>0</v>
      </c>
      <c r="CN13" s="237">
        <v>0</v>
      </c>
      <c r="CO13" s="237">
        <v>91688</v>
      </c>
      <c r="CP13" s="237">
        <v>43253</v>
      </c>
      <c r="CQ13" s="239">
        <v>28428612</v>
      </c>
      <c r="CR13" s="237">
        <v>6179</v>
      </c>
      <c r="CS13" s="237">
        <v>11426</v>
      </c>
      <c r="CT13" s="237">
        <v>30572368</v>
      </c>
      <c r="CU13" s="237">
        <v>321212</v>
      </c>
      <c r="CV13" s="237">
        <v>2208</v>
      </c>
      <c r="CW13" s="237">
        <v>22831</v>
      </c>
      <c r="CX13" s="237">
        <v>19705</v>
      </c>
      <c r="CY13" s="237">
        <v>17859</v>
      </c>
      <c r="CZ13" s="237">
        <v>219784645</v>
      </c>
      <c r="DA13" s="237">
        <v>2686</v>
      </c>
      <c r="DB13" s="237">
        <v>30</v>
      </c>
      <c r="DC13" s="237">
        <v>2</v>
      </c>
      <c r="DD13" s="237">
        <v>161100</v>
      </c>
      <c r="DE13" s="237">
        <v>1</v>
      </c>
      <c r="DF13" s="237">
        <v>2507</v>
      </c>
      <c r="DG13" s="237">
        <v>81</v>
      </c>
      <c r="DH13" s="237">
        <v>0</v>
      </c>
      <c r="DI13" s="237">
        <v>0</v>
      </c>
      <c r="DJ13" s="237">
        <v>1</v>
      </c>
      <c r="DK13" s="237">
        <v>10823</v>
      </c>
      <c r="DL13" s="237">
        <v>3257</v>
      </c>
      <c r="DM13" s="237">
        <v>327023647</v>
      </c>
      <c r="DN13" s="237">
        <v>779</v>
      </c>
      <c r="DO13" s="237">
        <v>2040350</v>
      </c>
      <c r="DP13" s="237">
        <v>265</v>
      </c>
      <c r="DQ13" s="237">
        <v>15613400</v>
      </c>
      <c r="DR13" s="237">
        <v>233050</v>
      </c>
      <c r="DS13" s="237">
        <f t="shared" si="18"/>
        <v>10823</v>
      </c>
      <c r="DT13" s="237">
        <f t="shared" si="16"/>
        <v>327023647</v>
      </c>
      <c r="DU13" s="240">
        <f t="shared" si="1"/>
        <v>2040350</v>
      </c>
      <c r="DV13" s="237">
        <v>0</v>
      </c>
      <c r="DW13" s="237">
        <v>6783</v>
      </c>
      <c r="DX13" s="237">
        <v>217624536</v>
      </c>
      <c r="DY13" s="237">
        <f t="shared" si="17"/>
        <v>4040</v>
      </c>
      <c r="DZ13" s="237">
        <f t="shared" si="17"/>
        <v>109399111</v>
      </c>
      <c r="EA13" s="238">
        <f t="shared" si="2"/>
        <v>2521184</v>
      </c>
      <c r="EB13" s="238">
        <f t="shared" si="3"/>
        <v>3148206372</v>
      </c>
      <c r="EC13" s="238">
        <f t="shared" si="4"/>
        <v>32461</v>
      </c>
      <c r="ED13" s="241">
        <v>637876</v>
      </c>
      <c r="EE13" s="241">
        <v>538999</v>
      </c>
      <c r="EF13" s="241">
        <v>501687</v>
      </c>
      <c r="EG13" s="241">
        <v>0</v>
      </c>
      <c r="EH13" s="241">
        <v>1279780</v>
      </c>
      <c r="EI13" s="242">
        <f>SUM(AF13,AX13,AS13,DI13,CN13,CU13)+BZ13+BU13+(DO13)+BC13+BJ13+AM13+ED13+EE13+BO13+EV13+FF13</f>
        <v>24956607.734500002</v>
      </c>
      <c r="EJ13" s="243">
        <f t="shared" si="6"/>
        <v>13304222</v>
      </c>
      <c r="EK13" s="244">
        <v>8399</v>
      </c>
      <c r="EL13" s="245">
        <v>7028</v>
      </c>
      <c r="EM13" s="245">
        <v>2872186</v>
      </c>
      <c r="EN13" s="245">
        <f t="shared" si="7"/>
        <v>43082.79</v>
      </c>
      <c r="EO13" s="245">
        <v>96716</v>
      </c>
      <c r="EP13" s="245">
        <v>66275</v>
      </c>
      <c r="EQ13" s="245">
        <v>24533445</v>
      </c>
      <c r="ER13" s="245">
        <f t="shared" si="8"/>
        <v>368001.67499999999</v>
      </c>
      <c r="ES13" s="246">
        <f t="shared" si="9"/>
        <v>105115</v>
      </c>
      <c r="ET13" s="246">
        <v>71754</v>
      </c>
      <c r="EU13" s="246">
        <f t="shared" si="10"/>
        <v>27405631</v>
      </c>
      <c r="EV13" s="247">
        <f t="shared" si="10"/>
        <v>411084.46499999997</v>
      </c>
      <c r="EW13" s="246">
        <f t="shared" si="11"/>
        <v>1063378</v>
      </c>
      <c r="EX13" s="246">
        <f t="shared" si="12"/>
        <v>43253</v>
      </c>
      <c r="EY13" s="247">
        <f t="shared" si="13"/>
        <v>209131036</v>
      </c>
      <c r="EZ13" s="246">
        <f t="shared" si="14"/>
        <v>46134</v>
      </c>
      <c r="FA13" s="246">
        <f t="shared" si="14"/>
        <v>24056</v>
      </c>
      <c r="FB13" s="246">
        <f t="shared" si="14"/>
        <v>57771057</v>
      </c>
      <c r="FC13" s="247">
        <f t="shared" si="15"/>
        <v>779909.26949999994</v>
      </c>
      <c r="FD13" s="246">
        <v>93</v>
      </c>
      <c r="FE13" s="246">
        <v>84</v>
      </c>
      <c r="FF13" s="246">
        <v>141996</v>
      </c>
    </row>
    <row r="14" spans="1:162" s="248" customFormat="1" ht="15" customHeight="1">
      <c r="A14" s="236">
        <v>45577</v>
      </c>
      <c r="B14" s="237">
        <v>5048</v>
      </c>
      <c r="C14" s="237">
        <v>9849</v>
      </c>
      <c r="D14" s="237">
        <v>9849</v>
      </c>
      <c r="E14" s="237">
        <v>800973</v>
      </c>
      <c r="F14" s="237">
        <v>311448</v>
      </c>
      <c r="G14" s="237">
        <v>3566629</v>
      </c>
      <c r="H14" s="237">
        <v>2512939</v>
      </c>
      <c r="I14" s="237">
        <v>1645085</v>
      </c>
      <c r="J14" s="237">
        <v>8400</v>
      </c>
      <c r="K14" s="237">
        <v>20</v>
      </c>
      <c r="L14" s="237">
        <v>213408</v>
      </c>
      <c r="M14" s="237">
        <v>175862</v>
      </c>
      <c r="N14" s="237">
        <v>145995</v>
      </c>
      <c r="O14" s="237">
        <v>1092448</v>
      </c>
      <c r="P14" s="237">
        <v>209109985</v>
      </c>
      <c r="Q14" s="237">
        <v>5982</v>
      </c>
      <c r="R14" s="237">
        <v>989517</v>
      </c>
      <c r="S14" s="237">
        <v>9095933</v>
      </c>
      <c r="T14" s="237"/>
      <c r="U14" s="237">
        <v>146184</v>
      </c>
      <c r="V14" s="237">
        <v>41671</v>
      </c>
      <c r="W14" s="237">
        <v>118045</v>
      </c>
      <c r="X14" s="237">
        <v>870050459</v>
      </c>
      <c r="Y14" s="237">
        <v>2811133</v>
      </c>
      <c r="Z14" s="237">
        <v>7247</v>
      </c>
      <c r="AA14" s="237">
        <v>0</v>
      </c>
      <c r="AB14" s="237">
        <v>328</v>
      </c>
      <c r="AC14" s="237">
        <v>0</v>
      </c>
      <c r="AD14" s="237">
        <v>459</v>
      </c>
      <c r="AE14" s="237">
        <v>0</v>
      </c>
      <c r="AF14" s="237">
        <v>0</v>
      </c>
      <c r="AG14" s="237">
        <v>0</v>
      </c>
      <c r="AH14" s="237">
        <v>114910</v>
      </c>
      <c r="AI14" s="237">
        <v>96426</v>
      </c>
      <c r="AJ14" s="237">
        <v>924009350</v>
      </c>
      <c r="AK14" s="237">
        <v>8825</v>
      </c>
      <c r="AL14" s="237">
        <v>9414474</v>
      </c>
      <c r="AM14" s="237">
        <v>18534309</v>
      </c>
      <c r="AN14" s="237">
        <v>241447</v>
      </c>
      <c r="AO14" s="237">
        <v>17119</v>
      </c>
      <c r="AP14" s="237">
        <v>13633</v>
      </c>
      <c r="AQ14" s="237">
        <v>132001504</v>
      </c>
      <c r="AR14" s="237">
        <v>3101</v>
      </c>
      <c r="AS14" s="237">
        <v>1012300</v>
      </c>
      <c r="AT14" s="237">
        <v>100</v>
      </c>
      <c r="AU14" s="237">
        <v>356</v>
      </c>
      <c r="AV14" s="237">
        <v>699552</v>
      </c>
      <c r="AW14" s="237">
        <v>348</v>
      </c>
      <c r="AX14" s="237">
        <v>29900</v>
      </c>
      <c r="AY14" s="237">
        <v>866</v>
      </c>
      <c r="AZ14" s="237">
        <v>662</v>
      </c>
      <c r="BA14" s="237">
        <v>21401087</v>
      </c>
      <c r="BB14" s="237">
        <v>128</v>
      </c>
      <c r="BC14" s="237">
        <v>27550</v>
      </c>
      <c r="BD14" s="237">
        <v>8357</v>
      </c>
      <c r="BE14" s="237">
        <v>2753</v>
      </c>
      <c r="BF14" s="237">
        <v>1934</v>
      </c>
      <c r="BG14" s="237">
        <v>45695969</v>
      </c>
      <c r="BH14" s="237">
        <v>9</v>
      </c>
      <c r="BI14" s="237">
        <v>0</v>
      </c>
      <c r="BJ14" s="237">
        <v>0</v>
      </c>
      <c r="BK14" s="237">
        <v>98</v>
      </c>
      <c r="BL14" s="237">
        <v>84</v>
      </c>
      <c r="BM14" s="237">
        <v>2598900</v>
      </c>
      <c r="BN14" s="237">
        <v>98</v>
      </c>
      <c r="BO14" s="237">
        <v>54300</v>
      </c>
      <c r="BP14" s="237">
        <v>21720</v>
      </c>
      <c r="BQ14" s="237">
        <v>44420</v>
      </c>
      <c r="BR14" s="237">
        <v>22072</v>
      </c>
      <c r="BS14" s="237">
        <v>54898745</v>
      </c>
      <c r="BT14" s="237">
        <v>0</v>
      </c>
      <c r="BU14" s="238">
        <f t="shared" si="0"/>
        <v>741133.0575</v>
      </c>
      <c r="BV14" s="237">
        <v>28</v>
      </c>
      <c r="BW14" s="237">
        <v>27</v>
      </c>
      <c r="BX14" s="237">
        <v>1122735</v>
      </c>
      <c r="BY14" s="237">
        <v>0</v>
      </c>
      <c r="BZ14" s="237">
        <v>5614</v>
      </c>
      <c r="CA14" s="238">
        <v>0</v>
      </c>
      <c r="CB14" s="238">
        <v>0</v>
      </c>
      <c r="CC14" s="238">
        <v>0</v>
      </c>
      <c r="CD14" s="238">
        <v>0</v>
      </c>
      <c r="CE14" s="238">
        <v>0</v>
      </c>
      <c r="CF14" s="237">
        <v>0</v>
      </c>
      <c r="CG14" s="237">
        <v>0</v>
      </c>
      <c r="CH14" s="237">
        <v>0</v>
      </c>
      <c r="CI14" s="237">
        <v>0</v>
      </c>
      <c r="CJ14" s="237">
        <v>0</v>
      </c>
      <c r="CK14" s="239">
        <v>2733</v>
      </c>
      <c r="CL14" s="237">
        <v>54598741</v>
      </c>
      <c r="CM14" s="237">
        <v>0</v>
      </c>
      <c r="CN14" s="237">
        <v>0</v>
      </c>
      <c r="CO14" s="237">
        <v>90171</v>
      </c>
      <c r="CP14" s="237">
        <v>42687</v>
      </c>
      <c r="CQ14" s="239">
        <v>27774650</v>
      </c>
      <c r="CR14" s="237">
        <v>6157</v>
      </c>
      <c r="CS14" s="237">
        <v>11904</v>
      </c>
      <c r="CT14" s="237">
        <v>29988368</v>
      </c>
      <c r="CU14" s="237">
        <v>313591</v>
      </c>
      <c r="CV14" s="237">
        <v>2202</v>
      </c>
      <c r="CW14" s="237">
        <v>22244</v>
      </c>
      <c r="CX14" s="237">
        <v>19557</v>
      </c>
      <c r="CY14" s="237">
        <v>17768</v>
      </c>
      <c r="CZ14" s="237">
        <v>167110230</v>
      </c>
      <c r="DA14" s="237">
        <v>2554</v>
      </c>
      <c r="DB14" s="237">
        <v>22</v>
      </c>
      <c r="DC14" s="237">
        <v>2</v>
      </c>
      <c r="DD14" s="237">
        <v>319200</v>
      </c>
      <c r="DE14" s="237">
        <v>1</v>
      </c>
      <c r="DF14" s="237">
        <v>3479</v>
      </c>
      <c r="DG14" s="237">
        <v>106</v>
      </c>
      <c r="DH14" s="237">
        <v>0</v>
      </c>
      <c r="DI14" s="237">
        <v>0</v>
      </c>
      <c r="DJ14" s="237">
        <v>1</v>
      </c>
      <c r="DK14" s="237">
        <v>10944</v>
      </c>
      <c r="DL14" s="237">
        <v>2912</v>
      </c>
      <c r="DM14" s="237">
        <v>279395833</v>
      </c>
      <c r="DN14" s="237">
        <v>751</v>
      </c>
      <c r="DO14" s="237">
        <v>1782400</v>
      </c>
      <c r="DP14" s="237">
        <v>247</v>
      </c>
      <c r="DQ14" s="237">
        <v>11083852</v>
      </c>
      <c r="DR14" s="237">
        <v>203150</v>
      </c>
      <c r="DS14" s="237">
        <f t="shared" si="18"/>
        <v>10944</v>
      </c>
      <c r="DT14" s="237">
        <f t="shared" si="16"/>
        <v>279395833</v>
      </c>
      <c r="DU14" s="240">
        <f t="shared" si="1"/>
        <v>1782400</v>
      </c>
      <c r="DV14" s="237">
        <v>0</v>
      </c>
      <c r="DW14" s="237">
        <v>7243</v>
      </c>
      <c r="DX14" s="237">
        <v>185471300</v>
      </c>
      <c r="DY14" s="237">
        <f t="shared" si="17"/>
        <v>3701</v>
      </c>
      <c r="DZ14" s="237">
        <f t="shared" si="17"/>
        <v>93924533</v>
      </c>
      <c r="EA14" s="238">
        <f t="shared" si="2"/>
        <v>2543775</v>
      </c>
      <c r="EB14" s="238">
        <f t="shared" si="3"/>
        <v>2829871241</v>
      </c>
      <c r="EC14" s="238">
        <f t="shared" si="4"/>
        <v>31376</v>
      </c>
      <c r="ED14" s="241">
        <v>515405</v>
      </c>
      <c r="EE14" s="241">
        <v>572988</v>
      </c>
      <c r="EF14" s="241">
        <v>485304</v>
      </c>
      <c r="EG14" s="241">
        <v>35889</v>
      </c>
      <c r="EH14" s="241">
        <v>1253194</v>
      </c>
      <c r="EI14" s="242">
        <f t="shared" ref="EI14:EI33" si="19">SUM(AF14,AX14,AS14,DI14,CN14,CU14)+BZ14+BU14+(DO14)+BC14+BJ14+AM14+ED14+EE14+BO14+EV14+FF14</f>
        <v>24087484.8125</v>
      </c>
      <c r="EJ14" s="243">
        <f t="shared" si="6"/>
        <v>12766711</v>
      </c>
      <c r="EK14" s="244">
        <v>8244</v>
      </c>
      <c r="EL14" s="245">
        <v>6844</v>
      </c>
      <c r="EM14" s="245">
        <v>2755252</v>
      </c>
      <c r="EN14" s="245">
        <f t="shared" si="7"/>
        <v>41328.78</v>
      </c>
      <c r="EO14" s="245">
        <v>97720</v>
      </c>
      <c r="EP14" s="245">
        <v>66555</v>
      </c>
      <c r="EQ14" s="245">
        <v>24644465</v>
      </c>
      <c r="ER14" s="245">
        <f t="shared" si="8"/>
        <v>369666.97499999998</v>
      </c>
      <c r="ES14" s="246">
        <f t="shared" si="9"/>
        <v>105964</v>
      </c>
      <c r="ET14" s="246">
        <v>71841</v>
      </c>
      <c r="EU14" s="246">
        <f t="shared" si="10"/>
        <v>27399717</v>
      </c>
      <c r="EV14" s="247">
        <f t="shared" si="10"/>
        <v>410995.755</v>
      </c>
      <c r="EW14" s="246">
        <f t="shared" si="11"/>
        <v>1076655</v>
      </c>
      <c r="EX14" s="246">
        <f t="shared" si="12"/>
        <v>42687</v>
      </c>
      <c r="EY14" s="247">
        <f t="shared" si="13"/>
        <v>209484918</v>
      </c>
      <c r="EZ14" s="246">
        <f t="shared" si="14"/>
        <v>44420</v>
      </c>
      <c r="FA14" s="246">
        <f t="shared" si="14"/>
        <v>22072</v>
      </c>
      <c r="FB14" s="246">
        <f t="shared" si="14"/>
        <v>54898745</v>
      </c>
      <c r="FC14" s="247">
        <f t="shared" si="15"/>
        <v>741133.0575</v>
      </c>
      <c r="FD14" s="246">
        <v>83</v>
      </c>
      <c r="FE14" s="246">
        <v>80</v>
      </c>
      <c r="FF14" s="246">
        <v>86999</v>
      </c>
    </row>
    <row r="15" spans="1:162" s="248" customFormat="1" ht="15" customHeight="1">
      <c r="A15" s="236">
        <v>45578</v>
      </c>
      <c r="B15" s="237">
        <v>1705</v>
      </c>
      <c r="C15" s="237">
        <v>3403</v>
      </c>
      <c r="D15" s="237">
        <v>3403</v>
      </c>
      <c r="E15" s="237">
        <v>799321</v>
      </c>
      <c r="F15" s="237">
        <v>285071</v>
      </c>
      <c r="G15" s="237">
        <v>3569447</v>
      </c>
      <c r="H15" s="237">
        <v>2507876</v>
      </c>
      <c r="I15" s="237">
        <v>1638725</v>
      </c>
      <c r="J15" s="237">
        <v>6834</v>
      </c>
      <c r="K15" s="237">
        <v>38</v>
      </c>
      <c r="L15" s="237">
        <v>213504</v>
      </c>
      <c r="M15" s="237">
        <v>175868</v>
      </c>
      <c r="N15" s="237">
        <v>145456</v>
      </c>
      <c r="O15" s="237">
        <v>1035350</v>
      </c>
      <c r="P15" s="237">
        <v>192842510</v>
      </c>
      <c r="Q15" s="237">
        <v>5771</v>
      </c>
      <c r="R15" s="237">
        <v>932601</v>
      </c>
      <c r="S15" s="237">
        <v>8343841</v>
      </c>
      <c r="T15" s="237"/>
      <c r="U15" s="237">
        <v>120239</v>
      </c>
      <c r="V15" s="237">
        <v>33127</v>
      </c>
      <c r="W15" s="237">
        <v>98414</v>
      </c>
      <c r="X15" s="237">
        <v>561976876</v>
      </c>
      <c r="Y15" s="237">
        <v>1846256</v>
      </c>
      <c r="Z15" s="237">
        <v>5902</v>
      </c>
      <c r="AA15" s="237">
        <v>0</v>
      </c>
      <c r="AB15" s="237">
        <v>297</v>
      </c>
      <c r="AC15" s="237">
        <v>0</v>
      </c>
      <c r="AD15" s="237">
        <v>396</v>
      </c>
      <c r="AE15" s="237">
        <v>0</v>
      </c>
      <c r="AF15" s="237">
        <v>0</v>
      </c>
      <c r="AG15" s="237">
        <v>0</v>
      </c>
      <c r="AH15" s="237">
        <v>98773</v>
      </c>
      <c r="AI15" s="237">
        <v>84467</v>
      </c>
      <c r="AJ15" s="237">
        <v>648320726</v>
      </c>
      <c r="AK15" s="237">
        <v>7626</v>
      </c>
      <c r="AL15" s="237">
        <v>7351600</v>
      </c>
      <c r="AM15" s="237">
        <v>14407813</v>
      </c>
      <c r="AN15" s="237">
        <v>183465</v>
      </c>
      <c r="AO15" s="237">
        <v>15876</v>
      </c>
      <c r="AP15" s="237">
        <v>12739</v>
      </c>
      <c r="AQ15" s="237">
        <v>95288432</v>
      </c>
      <c r="AR15" s="237">
        <v>3002</v>
      </c>
      <c r="AS15" s="237">
        <v>911900</v>
      </c>
      <c r="AT15" s="237">
        <v>120</v>
      </c>
      <c r="AU15" s="237">
        <v>404</v>
      </c>
      <c r="AV15" s="237">
        <v>383982</v>
      </c>
      <c r="AW15" s="237">
        <v>416</v>
      </c>
      <c r="AX15" s="237">
        <v>30800</v>
      </c>
      <c r="AY15" s="237">
        <v>623</v>
      </c>
      <c r="AZ15" s="237">
        <v>490</v>
      </c>
      <c r="BA15" s="237">
        <v>13339847</v>
      </c>
      <c r="BB15" s="237">
        <v>122</v>
      </c>
      <c r="BC15" s="237">
        <v>14250</v>
      </c>
      <c r="BD15" s="237">
        <v>4317</v>
      </c>
      <c r="BE15" s="237">
        <v>2363</v>
      </c>
      <c r="BF15" s="237">
        <v>1726</v>
      </c>
      <c r="BG15" s="237">
        <v>28481615</v>
      </c>
      <c r="BH15" s="237">
        <v>10</v>
      </c>
      <c r="BI15" s="237">
        <v>0</v>
      </c>
      <c r="BJ15" s="237">
        <v>0</v>
      </c>
      <c r="BK15" s="237">
        <v>9</v>
      </c>
      <c r="BL15" s="237">
        <v>9</v>
      </c>
      <c r="BM15" s="237">
        <v>44665</v>
      </c>
      <c r="BN15" s="237">
        <v>277</v>
      </c>
      <c r="BO15" s="237">
        <v>1550</v>
      </c>
      <c r="BP15" s="237">
        <v>620</v>
      </c>
      <c r="BQ15" s="237">
        <v>42100</v>
      </c>
      <c r="BR15" s="237">
        <v>20272</v>
      </c>
      <c r="BS15" s="237">
        <v>48315777</v>
      </c>
      <c r="BT15" s="237">
        <v>0</v>
      </c>
      <c r="BU15" s="238">
        <f t="shared" si="0"/>
        <v>652262.98950000003</v>
      </c>
      <c r="BV15" s="237">
        <v>36</v>
      </c>
      <c r="BW15" s="237">
        <v>34</v>
      </c>
      <c r="BX15" s="237">
        <v>1434705</v>
      </c>
      <c r="BY15" s="237">
        <v>0</v>
      </c>
      <c r="BZ15" s="237">
        <v>7174</v>
      </c>
      <c r="CA15" s="238">
        <v>0</v>
      </c>
      <c r="CB15" s="238">
        <v>0</v>
      </c>
      <c r="CC15" s="238">
        <v>0</v>
      </c>
      <c r="CD15" s="238">
        <v>0</v>
      </c>
      <c r="CE15" s="238">
        <v>0</v>
      </c>
      <c r="CF15" s="237">
        <v>0</v>
      </c>
      <c r="CG15" s="237">
        <v>0</v>
      </c>
      <c r="CH15" s="237">
        <v>0</v>
      </c>
      <c r="CI15" s="237">
        <v>0</v>
      </c>
      <c r="CJ15" s="237">
        <v>0</v>
      </c>
      <c r="CK15" s="239">
        <v>0</v>
      </c>
      <c r="CL15" s="237">
        <v>0</v>
      </c>
      <c r="CM15" s="237">
        <v>0</v>
      </c>
      <c r="CN15" s="237">
        <v>0</v>
      </c>
      <c r="CO15" s="237">
        <v>84589</v>
      </c>
      <c r="CP15" s="237">
        <v>38335</v>
      </c>
      <c r="CQ15" s="239">
        <v>24090822</v>
      </c>
      <c r="CR15" s="237">
        <v>7295</v>
      </c>
      <c r="CS15" s="237">
        <v>10447</v>
      </c>
      <c r="CT15" s="237">
        <v>25034795</v>
      </c>
      <c r="CU15" s="237">
        <v>263762</v>
      </c>
      <c r="CV15" s="237">
        <v>1990</v>
      </c>
      <c r="CW15" s="237">
        <v>18461</v>
      </c>
      <c r="CX15" s="237">
        <v>16867</v>
      </c>
      <c r="CY15" s="237">
        <v>15975</v>
      </c>
      <c r="CZ15" s="237">
        <v>102751809</v>
      </c>
      <c r="DA15" s="237">
        <v>2357</v>
      </c>
      <c r="DB15" s="237">
        <v>7</v>
      </c>
      <c r="DC15" s="237">
        <v>3</v>
      </c>
      <c r="DD15" s="237">
        <v>25650</v>
      </c>
      <c r="DE15" s="237">
        <v>5</v>
      </c>
      <c r="DF15" s="237">
        <v>504</v>
      </c>
      <c r="DG15" s="237">
        <v>16</v>
      </c>
      <c r="DH15" s="237">
        <v>0</v>
      </c>
      <c r="DI15" s="237">
        <v>0</v>
      </c>
      <c r="DJ15" s="237">
        <v>1</v>
      </c>
      <c r="DK15" s="237">
        <v>8534</v>
      </c>
      <c r="DL15" s="237">
        <v>2256</v>
      </c>
      <c r="DM15" s="237">
        <v>140788275</v>
      </c>
      <c r="DN15" s="237">
        <v>551</v>
      </c>
      <c r="DO15" s="237">
        <v>1027150</v>
      </c>
      <c r="DP15" s="237">
        <v>377</v>
      </c>
      <c r="DQ15" s="237">
        <v>9199636</v>
      </c>
      <c r="DR15" s="237">
        <v>219650</v>
      </c>
      <c r="DS15" s="237">
        <f t="shared" si="18"/>
        <v>8534</v>
      </c>
      <c r="DT15" s="237">
        <f t="shared" si="16"/>
        <v>140788275</v>
      </c>
      <c r="DU15" s="240">
        <f t="shared" si="1"/>
        <v>1027150</v>
      </c>
      <c r="DV15" s="237">
        <v>0</v>
      </c>
      <c r="DW15" s="237">
        <v>5787</v>
      </c>
      <c r="DX15" s="237">
        <v>94384574</v>
      </c>
      <c r="DY15" s="237">
        <f t="shared" si="17"/>
        <v>2747</v>
      </c>
      <c r="DZ15" s="237">
        <f t="shared" si="17"/>
        <v>46403701</v>
      </c>
      <c r="EA15" s="238">
        <f t="shared" si="2"/>
        <v>2368535</v>
      </c>
      <c r="EB15" s="238">
        <f t="shared" si="3"/>
        <v>1891464327</v>
      </c>
      <c r="EC15" s="238">
        <f t="shared" si="4"/>
        <v>29775</v>
      </c>
      <c r="ED15" s="241">
        <v>391003</v>
      </c>
      <c r="EE15" s="241">
        <v>135705</v>
      </c>
      <c r="EF15" s="241">
        <v>433953</v>
      </c>
      <c r="EG15" s="241">
        <v>30578</v>
      </c>
      <c r="EH15" s="241">
        <v>1077492</v>
      </c>
      <c r="EI15" s="242">
        <f t="shared" si="19"/>
        <v>18326204.0645</v>
      </c>
      <c r="EJ15" s="243">
        <f t="shared" si="6"/>
        <v>9655711</v>
      </c>
      <c r="EK15" s="244">
        <v>8169</v>
      </c>
      <c r="EL15" s="245">
        <v>6890</v>
      </c>
      <c r="EM15" s="245">
        <v>2580505</v>
      </c>
      <c r="EN15" s="245">
        <f t="shared" si="7"/>
        <v>38707.574999999997</v>
      </c>
      <c r="EO15" s="245">
        <v>97518</v>
      </c>
      <c r="EP15" s="245">
        <v>66071</v>
      </c>
      <c r="EQ15" s="245">
        <v>23542100</v>
      </c>
      <c r="ER15" s="245">
        <f t="shared" si="8"/>
        <v>353131.5</v>
      </c>
      <c r="ES15" s="246">
        <f t="shared" si="9"/>
        <v>105687</v>
      </c>
      <c r="ET15" s="246">
        <v>71423</v>
      </c>
      <c r="EU15" s="246">
        <f t="shared" si="10"/>
        <v>26122605</v>
      </c>
      <c r="EV15" s="247">
        <f t="shared" si="10"/>
        <v>391839.07500000001</v>
      </c>
      <c r="EW15" s="246">
        <f t="shared" si="11"/>
        <v>1014252</v>
      </c>
      <c r="EX15" s="246">
        <f t="shared" si="12"/>
        <v>38335</v>
      </c>
      <c r="EY15" s="247">
        <f t="shared" si="13"/>
        <v>190810727</v>
      </c>
      <c r="EZ15" s="246">
        <f t="shared" si="14"/>
        <v>42100</v>
      </c>
      <c r="FA15" s="246">
        <f t="shared" si="14"/>
        <v>20272</v>
      </c>
      <c r="FB15" s="246">
        <f t="shared" si="14"/>
        <v>48315777</v>
      </c>
      <c r="FC15" s="247">
        <f t="shared" si="15"/>
        <v>652262.98950000003</v>
      </c>
      <c r="FD15" s="246">
        <v>84</v>
      </c>
      <c r="FE15" s="246">
        <v>81</v>
      </c>
      <c r="FF15" s="246">
        <v>90995</v>
      </c>
    </row>
    <row r="16" spans="1:162" s="248" customFormat="1" ht="15" customHeight="1">
      <c r="A16" s="236">
        <v>45579</v>
      </c>
      <c r="B16" s="237">
        <v>8880</v>
      </c>
      <c r="C16" s="237">
        <v>16418</v>
      </c>
      <c r="D16" s="237">
        <v>16418</v>
      </c>
      <c r="E16" s="237">
        <v>796101</v>
      </c>
      <c r="F16" s="237">
        <v>314185</v>
      </c>
      <c r="G16" s="237">
        <v>3573231</v>
      </c>
      <c r="H16" s="237">
        <v>2507928</v>
      </c>
      <c r="I16" s="237">
        <v>1640009</v>
      </c>
      <c r="J16" s="237">
        <v>8836</v>
      </c>
      <c r="K16" s="237">
        <v>124</v>
      </c>
      <c r="L16" s="237">
        <v>213596</v>
      </c>
      <c r="M16" s="237">
        <v>176018</v>
      </c>
      <c r="N16" s="237">
        <v>145321</v>
      </c>
      <c r="O16" s="237">
        <v>1063727</v>
      </c>
      <c r="P16" s="237">
        <v>206057480</v>
      </c>
      <c r="Q16" s="237">
        <v>5928</v>
      </c>
      <c r="R16" s="237">
        <v>963730</v>
      </c>
      <c r="S16" s="237">
        <v>8964905</v>
      </c>
      <c r="T16" s="237">
        <v>0</v>
      </c>
      <c r="U16" s="237">
        <v>146424</v>
      </c>
      <c r="V16" s="237">
        <v>42257</v>
      </c>
      <c r="W16" s="237">
        <v>118331</v>
      </c>
      <c r="X16" s="237">
        <v>1026353021</v>
      </c>
      <c r="Y16" s="237">
        <v>3320886</v>
      </c>
      <c r="Z16" s="237">
        <v>7476</v>
      </c>
      <c r="AA16" s="237"/>
      <c r="AB16" s="237"/>
      <c r="AC16" s="237"/>
      <c r="AD16" s="237"/>
      <c r="AE16" s="237"/>
      <c r="AF16" s="237"/>
      <c r="AG16" s="237"/>
      <c r="AH16" s="237">
        <v>114120</v>
      </c>
      <c r="AI16" s="237">
        <v>96902</v>
      </c>
      <c r="AJ16" s="237">
        <v>988762329</v>
      </c>
      <c r="AK16" s="237">
        <v>8737</v>
      </c>
      <c r="AL16" s="237">
        <v>9539586</v>
      </c>
      <c r="AM16" s="237">
        <v>18891729</v>
      </c>
      <c r="AN16" s="237">
        <v>245503</v>
      </c>
      <c r="AO16" s="237">
        <v>17229</v>
      </c>
      <c r="AP16" s="237">
        <v>13229</v>
      </c>
      <c r="AQ16" s="237">
        <v>139718797</v>
      </c>
      <c r="AR16" s="237">
        <v>3049</v>
      </c>
      <c r="AS16" s="237">
        <v>1048300</v>
      </c>
      <c r="AT16" s="237">
        <v>92</v>
      </c>
      <c r="AU16" s="237">
        <v>311</v>
      </c>
      <c r="AV16" s="237">
        <v>410815</v>
      </c>
      <c r="AW16" s="237">
        <v>315</v>
      </c>
      <c r="AX16" s="237">
        <v>25200</v>
      </c>
      <c r="AY16" s="237">
        <v>89</v>
      </c>
      <c r="AZ16" s="237">
        <v>72</v>
      </c>
      <c r="BA16" s="237">
        <v>3654220</v>
      </c>
      <c r="BB16" s="237">
        <v>48</v>
      </c>
      <c r="BC16" s="237">
        <v>24550</v>
      </c>
      <c r="BD16" s="237">
        <v>7118</v>
      </c>
      <c r="BE16" s="237">
        <v>1825</v>
      </c>
      <c r="BF16" s="237">
        <v>1396</v>
      </c>
      <c r="BG16" s="237">
        <v>31830658</v>
      </c>
      <c r="BH16" s="237">
        <v>3862</v>
      </c>
      <c r="BI16" s="237">
        <v>0</v>
      </c>
      <c r="BJ16" s="237">
        <v>0</v>
      </c>
      <c r="BK16" s="237">
        <v>92</v>
      </c>
      <c r="BL16" s="237">
        <v>80</v>
      </c>
      <c r="BM16" s="237">
        <v>2139220</v>
      </c>
      <c r="BN16" s="237">
        <v>268</v>
      </c>
      <c r="BO16" s="237">
        <v>49350</v>
      </c>
      <c r="BP16" s="237">
        <v>19740</v>
      </c>
      <c r="BQ16" s="237">
        <v>45837</v>
      </c>
      <c r="BR16" s="237">
        <v>23360</v>
      </c>
      <c r="BS16" s="237">
        <v>52656378</v>
      </c>
      <c r="BT16" s="237">
        <v>0</v>
      </c>
      <c r="BU16" s="238">
        <f t="shared" si="0"/>
        <v>710861.103</v>
      </c>
      <c r="BV16" s="237">
        <v>44</v>
      </c>
      <c r="BW16" s="237">
        <v>38</v>
      </c>
      <c r="BX16" s="237">
        <v>2037530</v>
      </c>
      <c r="BY16" s="237">
        <v>0</v>
      </c>
      <c r="BZ16" s="237">
        <v>10187.65</v>
      </c>
      <c r="CA16" s="238">
        <v>0</v>
      </c>
      <c r="CB16" s="238">
        <v>0</v>
      </c>
      <c r="CC16" s="238">
        <v>0</v>
      </c>
      <c r="CD16" s="238">
        <v>0</v>
      </c>
      <c r="CE16" s="238">
        <v>0</v>
      </c>
      <c r="CF16" s="237">
        <v>0</v>
      </c>
      <c r="CG16" s="237">
        <v>0</v>
      </c>
      <c r="CH16" s="237">
        <v>0</v>
      </c>
      <c r="CI16" s="237">
        <v>0</v>
      </c>
      <c r="CJ16" s="237">
        <v>0</v>
      </c>
      <c r="CK16" s="239">
        <v>1997</v>
      </c>
      <c r="CL16" s="237">
        <v>26614930</v>
      </c>
      <c r="CM16" s="237">
        <v>0</v>
      </c>
      <c r="CN16" s="237">
        <v>0</v>
      </c>
      <c r="CO16" s="237">
        <v>91014</v>
      </c>
      <c r="CP16" s="237">
        <v>43394</v>
      </c>
      <c r="CQ16" s="239">
        <v>28855648</v>
      </c>
      <c r="CR16" s="237">
        <v>6222</v>
      </c>
      <c r="CS16" s="237">
        <v>10007</v>
      </c>
      <c r="CT16" s="237">
        <v>28767386</v>
      </c>
      <c r="CU16" s="237">
        <v>277422</v>
      </c>
      <c r="CV16" s="237">
        <v>1762</v>
      </c>
      <c r="CW16" s="237">
        <v>18176</v>
      </c>
      <c r="CX16" s="237">
        <v>19185</v>
      </c>
      <c r="CY16" s="237">
        <v>17795</v>
      </c>
      <c r="CZ16" s="237">
        <v>281471924</v>
      </c>
      <c r="DA16" s="237">
        <v>2615</v>
      </c>
      <c r="DB16" s="237">
        <v>25</v>
      </c>
      <c r="DC16" s="237">
        <v>1</v>
      </c>
      <c r="DD16" s="237">
        <v>259950</v>
      </c>
      <c r="DE16" s="237">
        <v>0</v>
      </c>
      <c r="DF16" s="237">
        <v>3223</v>
      </c>
      <c r="DG16" s="237">
        <v>98</v>
      </c>
      <c r="DH16" s="237">
        <v>0</v>
      </c>
      <c r="DI16" s="237">
        <v>0</v>
      </c>
      <c r="DJ16" s="237"/>
      <c r="DK16" s="237">
        <v>11664</v>
      </c>
      <c r="DL16" s="237">
        <v>3350</v>
      </c>
      <c r="DM16" s="237">
        <v>340320769</v>
      </c>
      <c r="DN16" s="237">
        <v>882</v>
      </c>
      <c r="DO16" s="237">
        <v>2046100</v>
      </c>
      <c r="DP16" s="237">
        <v>430</v>
      </c>
      <c r="DQ16" s="237">
        <v>13495780</v>
      </c>
      <c r="DR16" s="237">
        <v>276600</v>
      </c>
      <c r="DS16" s="237">
        <v>11664</v>
      </c>
      <c r="DT16" s="237">
        <v>340320769</v>
      </c>
      <c r="DU16" s="240">
        <f t="shared" si="1"/>
        <v>2046100</v>
      </c>
      <c r="DV16" s="237">
        <v>9</v>
      </c>
      <c r="DW16" s="237">
        <v>7456</v>
      </c>
      <c r="DX16" s="237">
        <v>226669589</v>
      </c>
      <c r="DY16" s="237">
        <v>4208</v>
      </c>
      <c r="DZ16" s="237">
        <v>113651180</v>
      </c>
      <c r="EA16" s="238">
        <f t="shared" si="2"/>
        <v>2487101</v>
      </c>
      <c r="EB16" s="238">
        <f t="shared" si="3"/>
        <v>3168875960</v>
      </c>
      <c r="EC16" s="238">
        <f t="shared" si="4"/>
        <v>34784</v>
      </c>
      <c r="ED16" s="241">
        <v>598336</v>
      </c>
      <c r="EE16" s="241">
        <v>211674</v>
      </c>
      <c r="EF16" s="241">
        <v>300782</v>
      </c>
      <c r="EG16" s="241">
        <v>19366</v>
      </c>
      <c r="EH16" s="241">
        <v>1300009</v>
      </c>
      <c r="EI16" s="242">
        <f t="shared" si="19"/>
        <v>24420640.812999997</v>
      </c>
      <c r="EJ16" s="243">
        <f t="shared" si="6"/>
        <v>13209511</v>
      </c>
      <c r="EK16" s="244">
        <v>8310</v>
      </c>
      <c r="EL16" s="245">
        <v>6992</v>
      </c>
      <c r="EM16" s="245">
        <v>2900444</v>
      </c>
      <c r="EN16" s="245">
        <f t="shared" si="7"/>
        <v>43506.659999999996</v>
      </c>
      <c r="EO16" s="245">
        <v>94761</v>
      </c>
      <c r="EP16" s="245">
        <v>65394</v>
      </c>
      <c r="EQ16" s="245">
        <v>24228560</v>
      </c>
      <c r="ER16" s="245">
        <f t="shared" si="8"/>
        <v>363428.39999999997</v>
      </c>
      <c r="ES16" s="246">
        <f t="shared" si="9"/>
        <v>103071</v>
      </c>
      <c r="ET16" s="246">
        <v>70800</v>
      </c>
      <c r="EU16" s="246">
        <f t="shared" si="10"/>
        <v>27129004</v>
      </c>
      <c r="EV16" s="247">
        <f t="shared" si="10"/>
        <v>406935.05999999994</v>
      </c>
      <c r="EW16" s="246">
        <f t="shared" si="11"/>
        <v>1051670</v>
      </c>
      <c r="EX16" s="246">
        <f t="shared" si="12"/>
        <v>43394</v>
      </c>
      <c r="EY16" s="247">
        <f t="shared" si="13"/>
        <v>207784124</v>
      </c>
      <c r="EZ16" s="246">
        <f t="shared" si="14"/>
        <v>45837</v>
      </c>
      <c r="FA16" s="246">
        <f t="shared" si="14"/>
        <v>23360</v>
      </c>
      <c r="FB16" s="246">
        <f t="shared" si="14"/>
        <v>52656378</v>
      </c>
      <c r="FC16" s="247">
        <f t="shared" si="15"/>
        <v>710861.103</v>
      </c>
      <c r="FD16" s="246">
        <v>117</v>
      </c>
      <c r="FE16" s="246">
        <v>112</v>
      </c>
      <c r="FF16" s="246">
        <v>119996</v>
      </c>
    </row>
    <row r="17" spans="1:162" s="248" customFormat="1" ht="15" customHeight="1">
      <c r="A17" s="236">
        <v>45580</v>
      </c>
      <c r="B17" s="237">
        <v>8617</v>
      </c>
      <c r="C17" s="237">
        <v>15182</v>
      </c>
      <c r="D17" s="237">
        <v>15182</v>
      </c>
      <c r="E17" s="237">
        <v>795609</v>
      </c>
      <c r="F17" s="237">
        <v>315750</v>
      </c>
      <c r="G17" s="237">
        <v>3577030</v>
      </c>
      <c r="H17" s="237">
        <v>2507333</v>
      </c>
      <c r="I17" s="237">
        <v>1644870</v>
      </c>
      <c r="J17" s="237">
        <v>8807</v>
      </c>
      <c r="K17" s="237">
        <v>158</v>
      </c>
      <c r="L17" s="237">
        <v>213817</v>
      </c>
      <c r="M17" s="237">
        <v>176269</v>
      </c>
      <c r="N17" s="237">
        <v>145416</v>
      </c>
      <c r="O17" s="237">
        <v>1036553</v>
      </c>
      <c r="P17" s="237">
        <v>195978065</v>
      </c>
      <c r="Q17" s="237">
        <v>5567</v>
      </c>
      <c r="R17" s="237">
        <v>937739</v>
      </c>
      <c r="S17" s="237">
        <v>8526363</v>
      </c>
      <c r="T17" s="237">
        <v>1</v>
      </c>
      <c r="U17" s="237">
        <v>146494</v>
      </c>
      <c r="V17" s="237">
        <v>42787</v>
      </c>
      <c r="W17" s="237">
        <v>117634</v>
      </c>
      <c r="X17" s="237">
        <v>1019628030</v>
      </c>
      <c r="Y17" s="237">
        <v>3304750</v>
      </c>
      <c r="Z17" s="237">
        <v>7324</v>
      </c>
      <c r="AA17" s="237">
        <v>0</v>
      </c>
      <c r="AB17" s="237">
        <v>333</v>
      </c>
      <c r="AC17" s="237">
        <v>0</v>
      </c>
      <c r="AD17" s="237">
        <v>424</v>
      </c>
      <c r="AE17" s="237">
        <v>0</v>
      </c>
      <c r="AF17" s="237">
        <v>0</v>
      </c>
      <c r="AG17" s="237">
        <v>0</v>
      </c>
      <c r="AH17" s="237">
        <v>115485</v>
      </c>
      <c r="AI17" s="237">
        <v>97313</v>
      </c>
      <c r="AJ17" s="237">
        <v>1033390005</v>
      </c>
      <c r="AK17" s="237">
        <v>8715</v>
      </c>
      <c r="AL17" s="237">
        <v>9862611</v>
      </c>
      <c r="AM17" s="237">
        <v>19459238</v>
      </c>
      <c r="AN17" s="237">
        <v>254853</v>
      </c>
      <c r="AO17" s="237">
        <v>16954</v>
      </c>
      <c r="AP17" s="237">
        <v>13139</v>
      </c>
      <c r="AQ17" s="237">
        <v>140140129</v>
      </c>
      <c r="AR17" s="237">
        <v>3107</v>
      </c>
      <c r="AS17" s="237">
        <v>992900</v>
      </c>
      <c r="AT17" s="237">
        <v>103</v>
      </c>
      <c r="AU17" s="237">
        <v>339</v>
      </c>
      <c r="AV17" s="237">
        <v>424946</v>
      </c>
      <c r="AW17" s="237">
        <v>362</v>
      </c>
      <c r="AX17" s="237">
        <v>26400</v>
      </c>
      <c r="AY17" s="237">
        <v>685</v>
      </c>
      <c r="AZ17" s="237">
        <v>546</v>
      </c>
      <c r="BA17" s="237">
        <v>16434360</v>
      </c>
      <c r="BB17" s="237">
        <v>168</v>
      </c>
      <c r="BC17" s="237">
        <v>29750</v>
      </c>
      <c r="BD17" s="237">
        <v>9673</v>
      </c>
      <c r="BE17" s="237">
        <v>2833</v>
      </c>
      <c r="BF17" s="237">
        <v>2022</v>
      </c>
      <c r="BG17" s="237">
        <v>57752415</v>
      </c>
      <c r="BH17" s="237">
        <v>2752</v>
      </c>
      <c r="BI17" s="237">
        <v>0</v>
      </c>
      <c r="BJ17" s="237">
        <v>0</v>
      </c>
      <c r="BK17" s="237">
        <v>86</v>
      </c>
      <c r="BL17" s="237">
        <v>65</v>
      </c>
      <c r="BM17" s="237">
        <v>2266250</v>
      </c>
      <c r="BN17" s="237">
        <v>276</v>
      </c>
      <c r="BO17" s="237">
        <v>45550</v>
      </c>
      <c r="BP17" s="237">
        <v>18220</v>
      </c>
      <c r="BQ17" s="237">
        <v>55813</v>
      </c>
      <c r="BR17" s="237">
        <v>27183</v>
      </c>
      <c r="BS17" s="237">
        <v>63020504</v>
      </c>
      <c r="BT17" s="237">
        <v>0</v>
      </c>
      <c r="BU17" s="238">
        <f t="shared" si="0"/>
        <v>850776.804</v>
      </c>
      <c r="BV17" s="237">
        <v>28</v>
      </c>
      <c r="BW17" s="237">
        <v>28</v>
      </c>
      <c r="BX17" s="237">
        <v>2379785</v>
      </c>
      <c r="BY17" s="237">
        <v>0</v>
      </c>
      <c r="BZ17" s="237">
        <v>11899</v>
      </c>
      <c r="CA17" s="238">
        <v>0</v>
      </c>
      <c r="CB17" s="238">
        <v>0</v>
      </c>
      <c r="CC17" s="238">
        <v>0</v>
      </c>
      <c r="CD17" s="238">
        <v>0</v>
      </c>
      <c r="CE17" s="238">
        <v>0</v>
      </c>
      <c r="CF17" s="237">
        <v>0</v>
      </c>
      <c r="CG17" s="237">
        <v>0</v>
      </c>
      <c r="CH17" s="237">
        <v>0</v>
      </c>
      <c r="CI17" s="237">
        <v>0</v>
      </c>
      <c r="CJ17" s="237">
        <v>0</v>
      </c>
      <c r="CK17" s="239">
        <v>2699</v>
      </c>
      <c r="CL17" s="237">
        <v>4163196</v>
      </c>
      <c r="CM17" s="237">
        <v>0</v>
      </c>
      <c r="CN17" s="237">
        <v>0</v>
      </c>
      <c r="CO17" s="237">
        <v>88017</v>
      </c>
      <c r="CP17" s="237">
        <v>42887</v>
      </c>
      <c r="CQ17" s="239">
        <v>27588146</v>
      </c>
      <c r="CR17" s="237">
        <v>5877</v>
      </c>
      <c r="CS17" s="237">
        <v>8806</v>
      </c>
      <c r="CT17" s="237">
        <v>22608141</v>
      </c>
      <c r="CU17" s="237">
        <v>237072</v>
      </c>
      <c r="CV17" s="237">
        <v>1249</v>
      </c>
      <c r="CW17" s="237">
        <v>15668</v>
      </c>
      <c r="CX17" s="237">
        <v>18953</v>
      </c>
      <c r="CY17" s="237">
        <v>17646</v>
      </c>
      <c r="CZ17" s="237">
        <v>255278269</v>
      </c>
      <c r="DA17" s="237">
        <v>2565</v>
      </c>
      <c r="DB17" s="237">
        <v>27</v>
      </c>
      <c r="DC17" s="237">
        <v>2</v>
      </c>
      <c r="DD17" s="237">
        <v>314100</v>
      </c>
      <c r="DE17" s="237">
        <v>1</v>
      </c>
      <c r="DF17" s="237">
        <v>3645</v>
      </c>
      <c r="DG17" s="237">
        <v>114</v>
      </c>
      <c r="DH17" s="237">
        <v>0</v>
      </c>
      <c r="DI17" s="237">
        <v>0</v>
      </c>
      <c r="DJ17" s="237">
        <v>1</v>
      </c>
      <c r="DK17" s="237">
        <v>11215</v>
      </c>
      <c r="DL17" s="237">
        <v>3252</v>
      </c>
      <c r="DM17" s="237">
        <v>343230471</v>
      </c>
      <c r="DN17" s="237">
        <v>948</v>
      </c>
      <c r="DO17" s="237">
        <v>2141500</v>
      </c>
      <c r="DP17" s="237">
        <v>487</v>
      </c>
      <c r="DQ17" s="237">
        <v>18553467</v>
      </c>
      <c r="DR17" s="237">
        <v>414950</v>
      </c>
      <c r="DS17" s="237">
        <f t="shared" ref="DS17:DS25" si="20">DK17</f>
        <v>11215</v>
      </c>
      <c r="DT17" s="237">
        <f t="shared" ref="DT17:DT25" si="21">DM17</f>
        <v>343230471</v>
      </c>
      <c r="DU17" s="240">
        <f t="shared" si="1"/>
        <v>2141500</v>
      </c>
      <c r="DV17" s="237">
        <v>0</v>
      </c>
      <c r="DW17" s="237">
        <v>7158</v>
      </c>
      <c r="DX17" s="237">
        <v>219738180</v>
      </c>
      <c r="DY17" s="237">
        <f t="shared" ref="DY17:DZ25" si="22">DS17-DW17</f>
        <v>4057</v>
      </c>
      <c r="DZ17" s="237">
        <f t="shared" si="22"/>
        <v>123492291</v>
      </c>
      <c r="EA17" s="238">
        <f t="shared" si="2"/>
        <v>2442491</v>
      </c>
      <c r="EB17" s="238">
        <f t="shared" si="3"/>
        <v>3193123175</v>
      </c>
      <c r="EC17" s="238">
        <f t="shared" si="4"/>
        <v>33308</v>
      </c>
      <c r="ED17" s="241">
        <v>567258</v>
      </c>
      <c r="EE17" s="241">
        <v>228895</v>
      </c>
      <c r="EF17" s="241">
        <v>495957</v>
      </c>
      <c r="EG17" s="241">
        <v>34483</v>
      </c>
      <c r="EH17" s="241">
        <v>1247815</v>
      </c>
      <c r="EI17" s="242">
        <f t="shared" si="19"/>
        <v>25068827.608999997</v>
      </c>
      <c r="EJ17" s="243">
        <f t="shared" si="6"/>
        <v>13710524</v>
      </c>
      <c r="EK17" s="244">
        <v>8337</v>
      </c>
      <c r="EL17" s="245">
        <v>7062</v>
      </c>
      <c r="EM17" s="245">
        <v>2711767</v>
      </c>
      <c r="EN17" s="245">
        <f t="shared" si="7"/>
        <v>40676.504999999997</v>
      </c>
      <c r="EO17" s="245">
        <v>93444</v>
      </c>
      <c r="EP17" s="245">
        <v>64791</v>
      </c>
      <c r="EQ17" s="245">
        <v>22894420</v>
      </c>
      <c r="ER17" s="245">
        <f t="shared" si="8"/>
        <v>343416.3</v>
      </c>
      <c r="ES17" s="246">
        <f t="shared" si="9"/>
        <v>101781</v>
      </c>
      <c r="ET17" s="246">
        <v>70274</v>
      </c>
      <c r="EU17" s="246">
        <f t="shared" si="10"/>
        <v>25606187</v>
      </c>
      <c r="EV17" s="247">
        <f t="shared" si="10"/>
        <v>384092.80499999999</v>
      </c>
      <c r="EW17" s="246">
        <f t="shared" si="11"/>
        <v>1022789</v>
      </c>
      <c r="EX17" s="246">
        <f t="shared" si="12"/>
        <v>42887</v>
      </c>
      <c r="EY17" s="247">
        <f t="shared" si="13"/>
        <v>197960024</v>
      </c>
      <c r="EZ17" s="246">
        <f t="shared" si="14"/>
        <v>55813</v>
      </c>
      <c r="FA17" s="246">
        <f t="shared" si="14"/>
        <v>27183</v>
      </c>
      <c r="FB17" s="246">
        <f t="shared" si="14"/>
        <v>63020504</v>
      </c>
      <c r="FC17" s="247">
        <f t="shared" si="15"/>
        <v>850776.804</v>
      </c>
      <c r="FD17" s="246">
        <v>92</v>
      </c>
      <c r="FE17" s="246">
        <v>88</v>
      </c>
      <c r="FF17" s="246">
        <v>93496</v>
      </c>
    </row>
    <row r="18" spans="1:162" s="248" customFormat="1" ht="15" customHeight="1">
      <c r="A18" s="236">
        <v>45581</v>
      </c>
      <c r="B18" s="237">
        <v>8792</v>
      </c>
      <c r="C18" s="237">
        <v>15888</v>
      </c>
      <c r="D18" s="237">
        <v>15888</v>
      </c>
      <c r="E18" s="237">
        <v>795968</v>
      </c>
      <c r="F18" s="237">
        <v>310824</v>
      </c>
      <c r="G18" s="237">
        <v>3580977</v>
      </c>
      <c r="H18" s="237">
        <v>2507429</v>
      </c>
      <c r="I18" s="237">
        <v>1645996</v>
      </c>
      <c r="J18" s="237">
        <v>8792</v>
      </c>
      <c r="K18" s="237">
        <v>120</v>
      </c>
      <c r="L18" s="237">
        <v>214058</v>
      </c>
      <c r="M18" s="237">
        <v>176105</v>
      </c>
      <c r="N18" s="237">
        <v>145591</v>
      </c>
      <c r="O18" s="237">
        <v>1047819</v>
      </c>
      <c r="P18" s="237">
        <v>201940415</v>
      </c>
      <c r="Q18" s="237">
        <v>5633</v>
      </c>
      <c r="R18" s="237">
        <v>951447</v>
      </c>
      <c r="S18" s="237">
        <v>8795797</v>
      </c>
      <c r="T18" s="237">
        <v>1</v>
      </c>
      <c r="U18" s="237">
        <v>141565</v>
      </c>
      <c r="V18" s="237">
        <v>42556</v>
      </c>
      <c r="W18" s="237">
        <v>114853</v>
      </c>
      <c r="X18" s="237">
        <v>969765548</v>
      </c>
      <c r="Y18" s="237">
        <v>3120677</v>
      </c>
      <c r="Z18" s="237">
        <v>7168</v>
      </c>
      <c r="AA18" s="237">
        <v>0</v>
      </c>
      <c r="AB18" s="237">
        <v>332</v>
      </c>
      <c r="AC18" s="237">
        <v>0</v>
      </c>
      <c r="AD18" s="237">
        <v>478</v>
      </c>
      <c r="AE18" s="237">
        <v>0</v>
      </c>
      <c r="AF18" s="237">
        <v>0</v>
      </c>
      <c r="AG18" s="237">
        <v>0</v>
      </c>
      <c r="AH18" s="237">
        <v>115052</v>
      </c>
      <c r="AI18" s="237">
        <v>97034</v>
      </c>
      <c r="AJ18" s="237">
        <v>976564005</v>
      </c>
      <c r="AK18" s="237">
        <v>8715</v>
      </c>
      <c r="AL18" s="237">
        <v>9471707</v>
      </c>
      <c r="AM18" s="237">
        <v>18735636</v>
      </c>
      <c r="AN18" s="237">
        <v>242648</v>
      </c>
      <c r="AO18" s="237">
        <v>16750</v>
      </c>
      <c r="AP18" s="237">
        <v>13143</v>
      </c>
      <c r="AQ18" s="237">
        <v>143544357</v>
      </c>
      <c r="AR18" s="237">
        <v>2972</v>
      </c>
      <c r="AS18" s="237">
        <v>992500</v>
      </c>
      <c r="AT18" s="237">
        <v>96</v>
      </c>
      <c r="AU18" s="237">
        <v>358</v>
      </c>
      <c r="AV18" s="237">
        <v>299465</v>
      </c>
      <c r="AW18" s="237">
        <v>341</v>
      </c>
      <c r="AX18" s="237">
        <v>23900</v>
      </c>
      <c r="AY18" s="237">
        <v>694</v>
      </c>
      <c r="AZ18" s="237">
        <v>573</v>
      </c>
      <c r="BA18" s="237">
        <v>21173500</v>
      </c>
      <c r="BB18" s="237">
        <v>435</v>
      </c>
      <c r="BC18" s="237">
        <v>29300</v>
      </c>
      <c r="BD18" s="237">
        <v>9098</v>
      </c>
      <c r="BE18" s="237">
        <v>3037</v>
      </c>
      <c r="BF18" s="237">
        <v>2056</v>
      </c>
      <c r="BG18" s="237">
        <v>53232483</v>
      </c>
      <c r="BH18" s="237">
        <v>12</v>
      </c>
      <c r="BI18" s="237">
        <v>0</v>
      </c>
      <c r="BJ18" s="237">
        <v>0</v>
      </c>
      <c r="BK18" s="237">
        <v>120</v>
      </c>
      <c r="BL18" s="237">
        <v>93</v>
      </c>
      <c r="BM18" s="237">
        <v>2649150</v>
      </c>
      <c r="BN18" s="237">
        <v>32</v>
      </c>
      <c r="BO18" s="237">
        <v>57600</v>
      </c>
      <c r="BP18" s="237">
        <v>23040</v>
      </c>
      <c r="BQ18" s="237">
        <v>36594</v>
      </c>
      <c r="BR18" s="237">
        <v>17339</v>
      </c>
      <c r="BS18" s="237">
        <v>44761476</v>
      </c>
      <c r="BT18" s="237">
        <v>0</v>
      </c>
      <c r="BU18" s="238">
        <f t="shared" si="0"/>
        <v>604279.92599999998</v>
      </c>
      <c r="BV18" s="237">
        <v>31</v>
      </c>
      <c r="BW18" s="237">
        <v>26</v>
      </c>
      <c r="BX18" s="237">
        <v>1049205</v>
      </c>
      <c r="BY18" s="237">
        <v>0</v>
      </c>
      <c r="BZ18" s="237">
        <v>5246</v>
      </c>
      <c r="CA18" s="238">
        <v>0</v>
      </c>
      <c r="CB18" s="238">
        <v>0</v>
      </c>
      <c r="CC18" s="238">
        <v>0</v>
      </c>
      <c r="CD18" s="238">
        <v>0</v>
      </c>
      <c r="CE18" s="238">
        <v>0</v>
      </c>
      <c r="CF18" s="237">
        <v>0</v>
      </c>
      <c r="CG18" s="237">
        <v>0</v>
      </c>
      <c r="CH18" s="237">
        <v>0</v>
      </c>
      <c r="CI18" s="237">
        <v>0</v>
      </c>
      <c r="CJ18" s="237">
        <v>0</v>
      </c>
      <c r="CK18" s="239">
        <v>79</v>
      </c>
      <c r="CL18" s="237">
        <v>3391210</v>
      </c>
      <c r="CM18" s="237">
        <v>0</v>
      </c>
      <c r="CN18" s="237">
        <v>0</v>
      </c>
      <c r="CO18" s="237">
        <v>90199</v>
      </c>
      <c r="CP18" s="237">
        <v>43235</v>
      </c>
      <c r="CQ18" s="239">
        <v>28497881</v>
      </c>
      <c r="CR18" s="237">
        <v>6348</v>
      </c>
      <c r="CS18" s="237">
        <v>11540</v>
      </c>
      <c r="CT18" s="237">
        <v>28964421</v>
      </c>
      <c r="CU18" s="237">
        <v>302817</v>
      </c>
      <c r="CV18" s="237">
        <v>1522</v>
      </c>
      <c r="CW18" s="237">
        <v>21567</v>
      </c>
      <c r="CX18" s="237">
        <v>19116</v>
      </c>
      <c r="CY18" s="237">
        <v>17842</v>
      </c>
      <c r="CZ18" s="237">
        <v>243698503</v>
      </c>
      <c r="DA18" s="237">
        <v>2654</v>
      </c>
      <c r="DB18" s="237">
        <v>17</v>
      </c>
      <c r="DC18" s="237">
        <v>2</v>
      </c>
      <c r="DD18" s="237">
        <v>125400</v>
      </c>
      <c r="DE18" s="237">
        <v>2</v>
      </c>
      <c r="DF18" s="237">
        <v>1688</v>
      </c>
      <c r="DG18" s="237">
        <v>53</v>
      </c>
      <c r="DH18" s="237">
        <v>0</v>
      </c>
      <c r="DI18" s="237">
        <v>0</v>
      </c>
      <c r="DJ18" s="237">
        <v>1</v>
      </c>
      <c r="DK18" s="237">
        <v>10614</v>
      </c>
      <c r="DL18" s="237">
        <v>3132</v>
      </c>
      <c r="DM18" s="237">
        <v>309387784</v>
      </c>
      <c r="DN18" s="237">
        <v>720</v>
      </c>
      <c r="DO18" s="237">
        <v>1959100</v>
      </c>
      <c r="DP18" s="237">
        <v>142</v>
      </c>
      <c r="DQ18" s="237">
        <v>11884559</v>
      </c>
      <c r="DR18" s="237">
        <v>153900</v>
      </c>
      <c r="DS18" s="237">
        <f t="shared" si="20"/>
        <v>10614</v>
      </c>
      <c r="DT18" s="237">
        <f t="shared" si="21"/>
        <v>309387784</v>
      </c>
      <c r="DU18" s="240">
        <f t="shared" si="1"/>
        <v>1959100</v>
      </c>
      <c r="DV18" s="237">
        <v>0</v>
      </c>
      <c r="DW18" s="237">
        <v>6763</v>
      </c>
      <c r="DX18" s="237">
        <v>193837994</v>
      </c>
      <c r="DY18" s="237">
        <f t="shared" si="22"/>
        <v>3851</v>
      </c>
      <c r="DZ18" s="237">
        <f t="shared" si="22"/>
        <v>115549790</v>
      </c>
      <c r="EA18" s="238">
        <f t="shared" si="2"/>
        <v>2444771</v>
      </c>
      <c r="EB18" s="238">
        <f t="shared" si="3"/>
        <v>3037840600</v>
      </c>
      <c r="EC18" s="238">
        <f t="shared" si="4"/>
        <v>30822</v>
      </c>
      <c r="ED18" s="241">
        <v>1445373</v>
      </c>
      <c r="EE18" s="241">
        <v>232086</v>
      </c>
      <c r="EF18" s="241">
        <v>493473</v>
      </c>
      <c r="EG18" s="241">
        <v>0</v>
      </c>
      <c r="EH18" s="241">
        <v>1286153</v>
      </c>
      <c r="EI18" s="242">
        <f t="shared" si="19"/>
        <v>24883498.840999998</v>
      </c>
      <c r="EJ18" s="243">
        <f t="shared" si="6"/>
        <v>13141250</v>
      </c>
      <c r="EK18" s="244">
        <v>8069</v>
      </c>
      <c r="EL18" s="245">
        <v>6792</v>
      </c>
      <c r="EM18" s="245">
        <v>2802386</v>
      </c>
      <c r="EN18" s="245">
        <f t="shared" si="7"/>
        <v>42035.79</v>
      </c>
      <c r="EO18" s="245">
        <v>91192</v>
      </c>
      <c r="EP18" s="245">
        <v>62619</v>
      </c>
      <c r="EQ18" s="245">
        <v>23508475</v>
      </c>
      <c r="ER18" s="245">
        <f t="shared" si="8"/>
        <v>352627.125</v>
      </c>
      <c r="ES18" s="246">
        <f t="shared" si="9"/>
        <v>99261</v>
      </c>
      <c r="ET18" s="246">
        <v>67908</v>
      </c>
      <c r="EU18" s="246">
        <f t="shared" si="10"/>
        <v>26310861</v>
      </c>
      <c r="EV18" s="247">
        <f t="shared" si="10"/>
        <v>394662.91499999998</v>
      </c>
      <c r="EW18" s="246">
        <f t="shared" si="11"/>
        <v>1038757</v>
      </c>
      <c r="EX18" s="246">
        <f t="shared" si="12"/>
        <v>43235</v>
      </c>
      <c r="EY18" s="247">
        <f t="shared" si="13"/>
        <v>204127435</v>
      </c>
      <c r="EZ18" s="246">
        <f t="shared" si="14"/>
        <v>36594</v>
      </c>
      <c r="FA18" s="246">
        <f t="shared" si="14"/>
        <v>17339</v>
      </c>
      <c r="FB18" s="246">
        <f t="shared" si="14"/>
        <v>44761476</v>
      </c>
      <c r="FC18" s="247">
        <f t="shared" si="15"/>
        <v>604279.92599999998</v>
      </c>
      <c r="FD18" s="246">
        <v>90</v>
      </c>
      <c r="FE18" s="246">
        <v>87</v>
      </c>
      <c r="FF18" s="246">
        <v>100998</v>
      </c>
    </row>
    <row r="19" spans="1:162" s="248" customFormat="1" ht="15" customHeight="1">
      <c r="A19" s="236">
        <v>45582</v>
      </c>
      <c r="B19" s="237">
        <v>6169</v>
      </c>
      <c r="C19" s="237">
        <v>14756</v>
      </c>
      <c r="D19" s="237">
        <v>14761</v>
      </c>
      <c r="E19" s="237">
        <v>796860</v>
      </c>
      <c r="F19" s="237">
        <v>297125</v>
      </c>
      <c r="G19" s="237">
        <v>3584507</v>
      </c>
      <c r="H19" s="237">
        <v>2504361</v>
      </c>
      <c r="I19" s="237">
        <v>1640364</v>
      </c>
      <c r="J19" s="237">
        <v>8584</v>
      </c>
      <c r="K19" s="237">
        <v>0</v>
      </c>
      <c r="L19" s="237">
        <v>214276</v>
      </c>
      <c r="M19" s="237">
        <v>176155</v>
      </c>
      <c r="N19" s="237">
        <v>145474</v>
      </c>
      <c r="O19" s="237">
        <v>1014589</v>
      </c>
      <c r="P19" s="237">
        <v>193654650</v>
      </c>
      <c r="Q19" s="237">
        <v>5545</v>
      </c>
      <c r="R19" s="237">
        <v>918259</v>
      </c>
      <c r="S19" s="237">
        <v>8424777</v>
      </c>
      <c r="T19" s="237">
        <v>1</v>
      </c>
      <c r="U19" s="237">
        <v>129707</v>
      </c>
      <c r="V19" s="237">
        <v>40635</v>
      </c>
      <c r="W19" s="237">
        <v>106408</v>
      </c>
      <c r="X19" s="237">
        <v>903204584</v>
      </c>
      <c r="Y19" s="237">
        <v>2934705</v>
      </c>
      <c r="Z19" s="237">
        <v>6358</v>
      </c>
      <c r="AA19" s="237">
        <v>0</v>
      </c>
      <c r="AB19" s="237">
        <v>294</v>
      </c>
      <c r="AC19" s="237">
        <v>0</v>
      </c>
      <c r="AD19" s="237">
        <v>409</v>
      </c>
      <c r="AE19" s="237">
        <v>0</v>
      </c>
      <c r="AF19" s="237">
        <v>0</v>
      </c>
      <c r="AG19" s="237">
        <v>0</v>
      </c>
      <c r="AH19" s="237">
        <v>103630</v>
      </c>
      <c r="AI19" s="237">
        <v>88469</v>
      </c>
      <c r="AJ19" s="237">
        <v>880510292</v>
      </c>
      <c r="AK19" s="237">
        <v>7805</v>
      </c>
      <c r="AL19" s="237">
        <v>8541350</v>
      </c>
      <c r="AM19" s="237">
        <v>16874125</v>
      </c>
      <c r="AN19" s="237">
        <v>218698</v>
      </c>
      <c r="AO19" s="237">
        <v>15780</v>
      </c>
      <c r="AP19" s="237">
        <v>12474</v>
      </c>
      <c r="AQ19" s="237">
        <v>133388736</v>
      </c>
      <c r="AR19" s="237">
        <v>2835</v>
      </c>
      <c r="AS19" s="237">
        <v>901900</v>
      </c>
      <c r="AT19" s="237">
        <v>115</v>
      </c>
      <c r="AU19" s="237">
        <v>351</v>
      </c>
      <c r="AV19" s="237">
        <v>333840</v>
      </c>
      <c r="AW19" s="237">
        <v>313</v>
      </c>
      <c r="AX19" s="237">
        <v>27200</v>
      </c>
      <c r="AY19" s="237">
        <v>674</v>
      </c>
      <c r="AZ19" s="237">
        <v>545</v>
      </c>
      <c r="BA19" s="237">
        <v>18471384</v>
      </c>
      <c r="BB19" s="237">
        <v>272</v>
      </c>
      <c r="BC19" s="237">
        <v>26300</v>
      </c>
      <c r="BD19" s="237">
        <v>7930</v>
      </c>
      <c r="BE19" s="237">
        <v>2643</v>
      </c>
      <c r="BF19" s="237">
        <v>1823</v>
      </c>
      <c r="BG19" s="237">
        <v>46167176</v>
      </c>
      <c r="BH19" s="237">
        <v>23</v>
      </c>
      <c r="BI19" s="237">
        <v>0</v>
      </c>
      <c r="BJ19" s="237">
        <v>0</v>
      </c>
      <c r="BK19" s="237">
        <v>127</v>
      </c>
      <c r="BL19" s="237">
        <v>96</v>
      </c>
      <c r="BM19" s="237">
        <v>3032225</v>
      </c>
      <c r="BN19" s="237">
        <v>33</v>
      </c>
      <c r="BO19" s="237">
        <v>65400</v>
      </c>
      <c r="BP19" s="237">
        <v>26160</v>
      </c>
      <c r="BQ19" s="237">
        <v>34613</v>
      </c>
      <c r="BR19" s="237">
        <v>16995</v>
      </c>
      <c r="BS19" s="237">
        <v>43579082</v>
      </c>
      <c r="BT19" s="237">
        <v>0</v>
      </c>
      <c r="BU19" s="238">
        <f t="shared" si="0"/>
        <v>588317.60699999996</v>
      </c>
      <c r="BV19" s="237">
        <v>32</v>
      </c>
      <c r="BW19" s="237">
        <v>31</v>
      </c>
      <c r="BX19" s="237">
        <v>1134225</v>
      </c>
      <c r="BY19" s="237">
        <v>0</v>
      </c>
      <c r="BZ19" s="237">
        <v>5671</v>
      </c>
      <c r="CA19" s="238">
        <v>0</v>
      </c>
      <c r="CB19" s="238">
        <v>0</v>
      </c>
      <c r="CC19" s="238">
        <v>0</v>
      </c>
      <c r="CD19" s="238">
        <v>0</v>
      </c>
      <c r="CE19" s="238">
        <v>0</v>
      </c>
      <c r="CF19" s="237">
        <v>0</v>
      </c>
      <c r="CG19" s="237">
        <v>0</v>
      </c>
      <c r="CH19" s="237">
        <v>0</v>
      </c>
      <c r="CI19" s="237">
        <v>0</v>
      </c>
      <c r="CJ19" s="237">
        <v>0</v>
      </c>
      <c r="CK19" s="239">
        <v>5056</v>
      </c>
      <c r="CL19" s="237">
        <v>8637923</v>
      </c>
      <c r="CM19" s="237">
        <v>0</v>
      </c>
      <c r="CN19" s="237">
        <v>0</v>
      </c>
      <c r="CO19" s="237">
        <v>89043</v>
      </c>
      <c r="CP19" s="237">
        <v>42156</v>
      </c>
      <c r="CQ19" s="239">
        <v>27031331</v>
      </c>
      <c r="CR19" s="237">
        <v>6185</v>
      </c>
      <c r="CS19" s="237">
        <v>10638</v>
      </c>
      <c r="CT19" s="237">
        <v>26153018</v>
      </c>
      <c r="CU19" s="237">
        <v>274134</v>
      </c>
      <c r="CV19" s="237">
        <v>1429</v>
      </c>
      <c r="CW19" s="237">
        <v>19887</v>
      </c>
      <c r="CX19" s="237">
        <v>17694</v>
      </c>
      <c r="CY19" s="237">
        <v>16162</v>
      </c>
      <c r="CZ19" s="237">
        <v>223514624</v>
      </c>
      <c r="DA19" s="237">
        <v>2358</v>
      </c>
      <c r="DB19" s="237">
        <v>20</v>
      </c>
      <c r="DC19" s="237">
        <v>1</v>
      </c>
      <c r="DD19" s="237">
        <v>76950</v>
      </c>
      <c r="DE19" s="237">
        <v>0</v>
      </c>
      <c r="DF19" s="237">
        <v>1481</v>
      </c>
      <c r="DG19" s="237">
        <v>50</v>
      </c>
      <c r="DH19" s="237">
        <v>0</v>
      </c>
      <c r="DI19" s="237">
        <v>0</v>
      </c>
      <c r="DJ19" s="237">
        <v>1</v>
      </c>
      <c r="DK19" s="237">
        <v>9674</v>
      </c>
      <c r="DL19" s="237">
        <v>2862</v>
      </c>
      <c r="DM19" s="237">
        <v>293888245</v>
      </c>
      <c r="DN19" s="237">
        <v>808</v>
      </c>
      <c r="DO19" s="237">
        <v>1781850</v>
      </c>
      <c r="DP19" s="237">
        <v>262</v>
      </c>
      <c r="DQ19" s="237">
        <v>23370178</v>
      </c>
      <c r="DR19" s="237">
        <v>193450</v>
      </c>
      <c r="DS19" s="237">
        <f t="shared" si="20"/>
        <v>9674</v>
      </c>
      <c r="DT19" s="237">
        <f t="shared" si="21"/>
        <v>293888245</v>
      </c>
      <c r="DU19" s="240">
        <f t="shared" si="1"/>
        <v>1781850</v>
      </c>
      <c r="DV19" s="237">
        <v>0</v>
      </c>
      <c r="DW19" s="237">
        <v>6151</v>
      </c>
      <c r="DX19" s="237">
        <v>184037738</v>
      </c>
      <c r="DY19" s="237">
        <f t="shared" si="22"/>
        <v>3523</v>
      </c>
      <c r="DZ19" s="237">
        <f t="shared" si="22"/>
        <v>109850507</v>
      </c>
      <c r="EA19" s="238">
        <f t="shared" si="2"/>
        <v>2352295</v>
      </c>
      <c r="EB19" s="238">
        <f t="shared" si="3"/>
        <v>2811203062</v>
      </c>
      <c r="EC19" s="238">
        <f t="shared" si="4"/>
        <v>28283</v>
      </c>
      <c r="ED19" s="241">
        <v>481168</v>
      </c>
      <c r="EE19" s="241">
        <v>222606</v>
      </c>
      <c r="EF19" s="241">
        <v>467172</v>
      </c>
      <c r="EG19" s="241">
        <v>0</v>
      </c>
      <c r="EH19" s="241">
        <v>1212157</v>
      </c>
      <c r="EI19" s="242">
        <f t="shared" si="19"/>
        <v>21757942.392000001</v>
      </c>
      <c r="EJ19" s="243">
        <f t="shared" si="6"/>
        <v>11998685</v>
      </c>
      <c r="EK19" s="244">
        <v>8468</v>
      </c>
      <c r="EL19" s="245">
        <v>6986</v>
      </c>
      <c r="EM19" s="245">
        <v>2820494</v>
      </c>
      <c r="EN19" s="245">
        <f t="shared" si="7"/>
        <v>42307.409999999996</v>
      </c>
      <c r="EO19" s="245">
        <v>91419</v>
      </c>
      <c r="EP19" s="245">
        <v>62469</v>
      </c>
      <c r="EQ19" s="245">
        <v>22797825</v>
      </c>
      <c r="ER19" s="245">
        <f t="shared" si="8"/>
        <v>341967.375</v>
      </c>
      <c r="ES19" s="246">
        <f t="shared" si="9"/>
        <v>99887</v>
      </c>
      <c r="ET19" s="246">
        <v>68000</v>
      </c>
      <c r="EU19" s="246">
        <f t="shared" ref="EU19:EV33" si="23">EM19+EQ19</f>
        <v>25618319</v>
      </c>
      <c r="EV19" s="247">
        <f t="shared" si="23"/>
        <v>384274.78499999997</v>
      </c>
      <c r="EW19" s="246">
        <f t="shared" si="11"/>
        <v>1003745</v>
      </c>
      <c r="EX19" s="246">
        <f t="shared" si="12"/>
        <v>42156</v>
      </c>
      <c r="EY19" s="247">
        <f t="shared" si="13"/>
        <v>195067662</v>
      </c>
      <c r="EZ19" s="246">
        <f t="shared" ref="EZ19:FB33" si="24">BQ19+CA19+CF19</f>
        <v>34613</v>
      </c>
      <c r="FA19" s="246">
        <f t="shared" si="24"/>
        <v>16995</v>
      </c>
      <c r="FB19" s="246">
        <f t="shared" si="24"/>
        <v>43579082</v>
      </c>
      <c r="FC19" s="247">
        <f t="shared" si="15"/>
        <v>588317.60699999996</v>
      </c>
      <c r="FD19" s="246">
        <v>92</v>
      </c>
      <c r="FE19" s="246">
        <v>87</v>
      </c>
      <c r="FF19" s="246">
        <v>124996</v>
      </c>
    </row>
    <row r="20" spans="1:162" s="248" customFormat="1" ht="15" customHeight="1">
      <c r="A20" s="236">
        <v>45583</v>
      </c>
      <c r="B20" s="237">
        <v>7218</v>
      </c>
      <c r="C20" s="237">
        <v>8637</v>
      </c>
      <c r="D20" s="237">
        <v>8636</v>
      </c>
      <c r="E20" s="237">
        <v>795878</v>
      </c>
      <c r="F20" s="237">
        <v>313627</v>
      </c>
      <c r="G20" s="237">
        <v>3588301</v>
      </c>
      <c r="H20" s="237">
        <v>2502958</v>
      </c>
      <c r="I20" s="237">
        <v>1634656</v>
      </c>
      <c r="J20" s="237">
        <v>8853</v>
      </c>
      <c r="K20" s="237">
        <v>42</v>
      </c>
      <c r="L20" s="237">
        <v>214404</v>
      </c>
      <c r="M20" s="237">
        <v>176101</v>
      </c>
      <c r="N20" s="237">
        <v>145332</v>
      </c>
      <c r="O20" s="237">
        <v>1080008</v>
      </c>
      <c r="P20" s="237">
        <v>205744850</v>
      </c>
      <c r="Q20" s="237">
        <v>5693</v>
      </c>
      <c r="R20" s="237">
        <v>980402</v>
      </c>
      <c r="S20" s="237">
        <v>8974914</v>
      </c>
      <c r="T20" s="237">
        <v>2</v>
      </c>
      <c r="U20" s="237">
        <v>150046</v>
      </c>
      <c r="V20" s="237">
        <v>43330</v>
      </c>
      <c r="W20" s="237">
        <v>120821</v>
      </c>
      <c r="X20" s="237">
        <v>968473303</v>
      </c>
      <c r="Y20" s="237">
        <v>3146112</v>
      </c>
      <c r="Z20" s="237">
        <v>7563</v>
      </c>
      <c r="AA20" s="237">
        <v>0</v>
      </c>
      <c r="AB20" s="237">
        <v>324</v>
      </c>
      <c r="AC20" s="237">
        <v>0</v>
      </c>
      <c r="AD20" s="237">
        <v>465</v>
      </c>
      <c r="AE20" s="237">
        <v>0</v>
      </c>
      <c r="AF20" s="237">
        <v>0</v>
      </c>
      <c r="AG20" s="237">
        <v>0</v>
      </c>
      <c r="AH20" s="237">
        <v>114146</v>
      </c>
      <c r="AI20" s="237">
        <v>95876</v>
      </c>
      <c r="AJ20" s="237">
        <v>962753418</v>
      </c>
      <c r="AK20" s="237">
        <v>8468</v>
      </c>
      <c r="AL20" s="237">
        <v>9393256</v>
      </c>
      <c r="AM20" s="237">
        <v>18562397</v>
      </c>
      <c r="AN20" s="237">
        <v>240898</v>
      </c>
      <c r="AO20" s="237">
        <v>17315</v>
      </c>
      <c r="AP20" s="237">
        <v>13435</v>
      </c>
      <c r="AQ20" s="237">
        <v>141082906</v>
      </c>
      <c r="AR20" s="237">
        <v>3158</v>
      </c>
      <c r="AS20" s="237">
        <v>1030800</v>
      </c>
      <c r="AT20" s="237">
        <v>93</v>
      </c>
      <c r="AU20" s="237">
        <v>320</v>
      </c>
      <c r="AV20" s="237">
        <v>457491</v>
      </c>
      <c r="AW20" s="237">
        <v>307</v>
      </c>
      <c r="AX20" s="237">
        <v>25100</v>
      </c>
      <c r="AY20" s="237">
        <v>1082</v>
      </c>
      <c r="AZ20" s="237">
        <v>834</v>
      </c>
      <c r="BA20" s="237">
        <v>42660460</v>
      </c>
      <c r="BB20" s="237">
        <v>427</v>
      </c>
      <c r="BC20" s="237">
        <v>28500</v>
      </c>
      <c r="BD20" s="237">
        <v>8916</v>
      </c>
      <c r="BE20" s="237">
        <v>2816</v>
      </c>
      <c r="BF20" s="237">
        <v>1964</v>
      </c>
      <c r="BG20" s="237">
        <v>53910593</v>
      </c>
      <c r="BH20" s="237">
        <v>7</v>
      </c>
      <c r="BI20" s="237">
        <v>0</v>
      </c>
      <c r="BJ20" s="237">
        <v>0</v>
      </c>
      <c r="BK20" s="237">
        <v>165</v>
      </c>
      <c r="BL20" s="237">
        <v>123</v>
      </c>
      <c r="BM20" s="237">
        <v>5808142</v>
      </c>
      <c r="BN20" s="237">
        <v>30</v>
      </c>
      <c r="BO20" s="237">
        <v>102850</v>
      </c>
      <c r="BP20" s="237">
        <v>41140</v>
      </c>
      <c r="BQ20" s="237">
        <v>46620</v>
      </c>
      <c r="BR20" s="237">
        <v>24744</v>
      </c>
      <c r="BS20" s="237">
        <v>59566008</v>
      </c>
      <c r="BT20" s="237">
        <v>0</v>
      </c>
      <c r="BU20" s="238">
        <f t="shared" si="0"/>
        <v>804141.10800000001</v>
      </c>
      <c r="BV20" s="237">
        <v>34</v>
      </c>
      <c r="BW20" s="237">
        <v>33</v>
      </c>
      <c r="BX20" s="237">
        <v>1249170</v>
      </c>
      <c r="BY20" s="237">
        <v>0</v>
      </c>
      <c r="BZ20" s="237">
        <v>6246</v>
      </c>
      <c r="CA20" s="238">
        <v>0</v>
      </c>
      <c r="CB20" s="238">
        <v>0</v>
      </c>
      <c r="CC20" s="238">
        <v>0</v>
      </c>
      <c r="CD20" s="238">
        <v>0</v>
      </c>
      <c r="CE20" s="238">
        <v>0</v>
      </c>
      <c r="CF20" s="237">
        <v>0</v>
      </c>
      <c r="CG20" s="237">
        <v>0</v>
      </c>
      <c r="CH20" s="237">
        <v>0</v>
      </c>
      <c r="CI20" s="237">
        <v>0</v>
      </c>
      <c r="CJ20" s="237">
        <v>0</v>
      </c>
      <c r="CK20" s="239">
        <v>75</v>
      </c>
      <c r="CL20" s="237">
        <v>2898449</v>
      </c>
      <c r="CM20" s="237">
        <v>0</v>
      </c>
      <c r="CN20" s="237">
        <v>0</v>
      </c>
      <c r="CO20" s="237">
        <v>95421</v>
      </c>
      <c r="CP20" s="237">
        <v>43635</v>
      </c>
      <c r="CQ20" s="239">
        <v>29918401</v>
      </c>
      <c r="CR20" s="237">
        <v>6158</v>
      </c>
      <c r="CS20" s="237">
        <v>11286</v>
      </c>
      <c r="CT20" s="237">
        <v>27772067</v>
      </c>
      <c r="CU20" s="237">
        <v>295790</v>
      </c>
      <c r="CV20" s="237">
        <v>1391</v>
      </c>
      <c r="CW20" s="237">
        <v>20340</v>
      </c>
      <c r="CX20" s="237">
        <v>19814</v>
      </c>
      <c r="CY20" s="237">
        <v>18202</v>
      </c>
      <c r="CZ20" s="237">
        <v>211015884</v>
      </c>
      <c r="DA20" s="237">
        <v>2575</v>
      </c>
      <c r="DB20" s="237">
        <v>25</v>
      </c>
      <c r="DC20" s="237">
        <v>1</v>
      </c>
      <c r="DD20" s="237">
        <v>323150</v>
      </c>
      <c r="DE20" s="237">
        <v>0</v>
      </c>
      <c r="DF20" s="237">
        <v>4134</v>
      </c>
      <c r="DG20" s="237">
        <v>123</v>
      </c>
      <c r="DH20" s="237">
        <v>0</v>
      </c>
      <c r="DI20" s="237">
        <v>0</v>
      </c>
      <c r="DJ20" s="237">
        <v>1</v>
      </c>
      <c r="DK20" s="237">
        <v>10298</v>
      </c>
      <c r="DL20" s="237">
        <v>3118</v>
      </c>
      <c r="DM20" s="237">
        <v>314015398</v>
      </c>
      <c r="DN20" s="237">
        <v>764</v>
      </c>
      <c r="DO20" s="237">
        <v>1978650</v>
      </c>
      <c r="DP20" s="237">
        <v>193</v>
      </c>
      <c r="DQ20" s="237">
        <v>14116362</v>
      </c>
      <c r="DR20" s="237">
        <v>126200</v>
      </c>
      <c r="DS20" s="237">
        <f t="shared" si="20"/>
        <v>10298</v>
      </c>
      <c r="DT20" s="237">
        <f t="shared" si="21"/>
        <v>314015398</v>
      </c>
      <c r="DU20" s="240">
        <f t="shared" si="1"/>
        <v>1978650</v>
      </c>
      <c r="DV20" s="237">
        <v>0</v>
      </c>
      <c r="DW20" s="237">
        <v>6360</v>
      </c>
      <c r="DX20" s="237">
        <v>196793267</v>
      </c>
      <c r="DY20" s="237">
        <f t="shared" si="22"/>
        <v>3938</v>
      </c>
      <c r="DZ20" s="237">
        <f t="shared" si="22"/>
        <v>117222131</v>
      </c>
      <c r="EA20" s="238">
        <f t="shared" si="2"/>
        <v>2529647</v>
      </c>
      <c r="EB20" s="238">
        <f t="shared" si="3"/>
        <v>3036624604</v>
      </c>
      <c r="EC20" s="238">
        <f t="shared" si="4"/>
        <v>30744</v>
      </c>
      <c r="ED20" s="241">
        <v>555863</v>
      </c>
      <c r="EE20" s="241">
        <v>233517</v>
      </c>
      <c r="EF20" s="241">
        <v>436838</v>
      </c>
      <c r="EG20" s="241">
        <v>31044</v>
      </c>
      <c r="EH20" s="241">
        <v>1358853</v>
      </c>
      <c r="EI20" s="242">
        <f t="shared" si="19"/>
        <v>24137290.728</v>
      </c>
      <c r="EJ20" s="243">
        <f t="shared" si="6"/>
        <v>13050736</v>
      </c>
      <c r="EK20" s="244">
        <v>8394</v>
      </c>
      <c r="EL20" s="245">
        <v>7012</v>
      </c>
      <c r="EM20" s="245">
        <v>2813998</v>
      </c>
      <c r="EN20" s="245">
        <f t="shared" si="7"/>
        <v>42209.97</v>
      </c>
      <c r="EO20" s="245">
        <v>94352</v>
      </c>
      <c r="EP20" s="245">
        <v>64797</v>
      </c>
      <c r="EQ20" s="245">
        <v>23648510</v>
      </c>
      <c r="ER20" s="245">
        <f t="shared" si="8"/>
        <v>354727.64999999997</v>
      </c>
      <c r="ES20" s="246">
        <f t="shared" si="9"/>
        <v>102746</v>
      </c>
      <c r="ET20" s="246">
        <v>70253</v>
      </c>
      <c r="EU20" s="246">
        <f t="shared" si="23"/>
        <v>26462508</v>
      </c>
      <c r="EV20" s="247">
        <f t="shared" si="23"/>
        <v>396937.62</v>
      </c>
      <c r="EW20" s="246">
        <f t="shared" si="11"/>
        <v>1072683</v>
      </c>
      <c r="EX20" s="246">
        <f t="shared" si="12"/>
        <v>43635</v>
      </c>
      <c r="EY20" s="247">
        <f t="shared" si="13"/>
        <v>209200743</v>
      </c>
      <c r="EZ20" s="246">
        <f t="shared" si="24"/>
        <v>46620</v>
      </c>
      <c r="FA20" s="246">
        <f t="shared" si="24"/>
        <v>24744</v>
      </c>
      <c r="FB20" s="246">
        <f t="shared" si="24"/>
        <v>59566008</v>
      </c>
      <c r="FC20" s="247">
        <f t="shared" si="15"/>
        <v>804141.10800000001</v>
      </c>
      <c r="FD20" s="246">
        <v>91</v>
      </c>
      <c r="FE20" s="246">
        <v>83</v>
      </c>
      <c r="FF20" s="246">
        <v>116499</v>
      </c>
    </row>
    <row r="21" spans="1:162" s="248" customFormat="1" ht="15" customHeight="1">
      <c r="A21" s="236">
        <v>45584</v>
      </c>
      <c r="B21" s="237">
        <v>6309</v>
      </c>
      <c r="C21" s="237">
        <v>19531</v>
      </c>
      <c r="D21" s="237">
        <v>19530</v>
      </c>
      <c r="E21" s="237">
        <v>737611</v>
      </c>
      <c r="F21" s="237">
        <v>316553</v>
      </c>
      <c r="G21" s="237">
        <v>3591772</v>
      </c>
      <c r="H21" s="237">
        <v>2504621</v>
      </c>
      <c r="I21" s="237">
        <v>1630258</v>
      </c>
      <c r="J21" s="237">
        <v>8356</v>
      </c>
      <c r="K21" s="237">
        <v>68</v>
      </c>
      <c r="L21" s="237">
        <v>214543</v>
      </c>
      <c r="M21" s="237">
        <v>176184</v>
      </c>
      <c r="N21" s="237">
        <v>145201</v>
      </c>
      <c r="O21" s="237">
        <v>1065497</v>
      </c>
      <c r="P21" s="237">
        <v>200636695</v>
      </c>
      <c r="Q21" s="237">
        <v>5788</v>
      </c>
      <c r="R21" s="237">
        <v>964629</v>
      </c>
      <c r="S21" s="237">
        <v>8718828</v>
      </c>
      <c r="T21" s="237"/>
      <c r="U21" s="237">
        <v>158733</v>
      </c>
      <c r="V21" s="237">
        <v>42741</v>
      </c>
      <c r="W21" s="237">
        <v>126193</v>
      </c>
      <c r="X21" s="237">
        <v>873984710</v>
      </c>
      <c r="Y21" s="237">
        <v>2854217</v>
      </c>
      <c r="Z21" s="237">
        <v>7986</v>
      </c>
      <c r="AA21" s="237">
        <v>0</v>
      </c>
      <c r="AB21" s="237">
        <v>296</v>
      </c>
      <c r="AC21" s="237">
        <v>0</v>
      </c>
      <c r="AD21" s="237">
        <v>429</v>
      </c>
      <c r="AE21" s="237">
        <v>0</v>
      </c>
      <c r="AF21" s="237">
        <v>0</v>
      </c>
      <c r="AG21" s="237">
        <v>0</v>
      </c>
      <c r="AH21" s="237">
        <v>113793</v>
      </c>
      <c r="AI21" s="237">
        <v>95547</v>
      </c>
      <c r="AJ21" s="237">
        <v>946778228</v>
      </c>
      <c r="AK21" s="237">
        <v>8443</v>
      </c>
      <c r="AL21" s="237">
        <v>9360382</v>
      </c>
      <c r="AM21" s="237">
        <v>18462377</v>
      </c>
      <c r="AN21" s="237">
        <v>239588</v>
      </c>
      <c r="AO21" s="237">
        <v>17772</v>
      </c>
      <c r="AP21" s="237">
        <v>13994</v>
      </c>
      <c r="AQ21" s="237">
        <v>124729008</v>
      </c>
      <c r="AR21" s="237">
        <v>3235</v>
      </c>
      <c r="AS21" s="237">
        <v>1020000</v>
      </c>
      <c r="AT21" s="237">
        <v>100</v>
      </c>
      <c r="AU21" s="237">
        <v>339</v>
      </c>
      <c r="AV21" s="237">
        <v>402650</v>
      </c>
      <c r="AW21" s="237">
        <v>350</v>
      </c>
      <c r="AX21" s="237">
        <v>25800</v>
      </c>
      <c r="AY21" s="237">
        <v>1621</v>
      </c>
      <c r="AZ21" s="237">
        <v>1179</v>
      </c>
      <c r="BA21" s="237">
        <v>67963018</v>
      </c>
      <c r="BB21" s="237">
        <v>626</v>
      </c>
      <c r="BC21" s="237">
        <v>34450</v>
      </c>
      <c r="BD21" s="237">
        <v>10576</v>
      </c>
      <c r="BE21" s="237">
        <v>2766</v>
      </c>
      <c r="BF21" s="237">
        <v>2032</v>
      </c>
      <c r="BG21" s="237">
        <v>46040007</v>
      </c>
      <c r="BH21" s="237">
        <v>15</v>
      </c>
      <c r="BI21" s="237">
        <v>0</v>
      </c>
      <c r="BJ21" s="237">
        <v>0</v>
      </c>
      <c r="BK21" s="237">
        <v>142</v>
      </c>
      <c r="BL21" s="237">
        <v>106</v>
      </c>
      <c r="BM21" s="237">
        <v>3366370</v>
      </c>
      <c r="BN21" s="237">
        <v>32</v>
      </c>
      <c r="BO21" s="237">
        <v>71800</v>
      </c>
      <c r="BP21" s="237">
        <v>28720</v>
      </c>
      <c r="BQ21" s="237">
        <v>66657</v>
      </c>
      <c r="BR21" s="237">
        <v>33644</v>
      </c>
      <c r="BS21" s="237">
        <v>81309140</v>
      </c>
      <c r="BT21" s="237">
        <v>0</v>
      </c>
      <c r="BU21" s="238">
        <f t="shared" si="0"/>
        <v>1097673.3899999999</v>
      </c>
      <c r="BV21" s="237">
        <v>25</v>
      </c>
      <c r="BW21" s="237">
        <v>22</v>
      </c>
      <c r="BX21" s="237">
        <v>980055</v>
      </c>
      <c r="BY21" s="237">
        <v>0</v>
      </c>
      <c r="BZ21" s="237">
        <v>4900</v>
      </c>
      <c r="CA21" s="238">
        <v>0</v>
      </c>
      <c r="CB21" s="238">
        <v>0</v>
      </c>
      <c r="CC21" s="238">
        <v>0</v>
      </c>
      <c r="CD21" s="238">
        <v>0</v>
      </c>
      <c r="CE21" s="238">
        <v>0</v>
      </c>
      <c r="CF21" s="237">
        <v>0</v>
      </c>
      <c r="CG21" s="237">
        <v>0</v>
      </c>
      <c r="CH21" s="237">
        <v>0</v>
      </c>
      <c r="CI21" s="237">
        <v>0</v>
      </c>
      <c r="CJ21" s="237">
        <v>0</v>
      </c>
      <c r="CK21" s="239">
        <v>3</v>
      </c>
      <c r="CL21" s="237">
        <v>220600</v>
      </c>
      <c r="CM21" s="237">
        <v>0</v>
      </c>
      <c r="CN21" s="237">
        <v>0</v>
      </c>
      <c r="CO21" s="237">
        <v>90217</v>
      </c>
      <c r="CP21" s="237">
        <v>42514</v>
      </c>
      <c r="CQ21" s="239">
        <v>27363988</v>
      </c>
      <c r="CR21" s="237">
        <v>6021</v>
      </c>
      <c r="CS21" s="237">
        <v>12089</v>
      </c>
      <c r="CT21" s="237">
        <v>30906399</v>
      </c>
      <c r="CU21" s="237">
        <v>336374</v>
      </c>
      <c r="CV21" s="237">
        <v>1504</v>
      </c>
      <c r="CW21" s="237">
        <v>22332</v>
      </c>
      <c r="CX21" s="237">
        <v>18371</v>
      </c>
      <c r="CY21" s="237">
        <v>17090</v>
      </c>
      <c r="CZ21" s="237">
        <v>159182744</v>
      </c>
      <c r="DA21" s="237">
        <v>2489</v>
      </c>
      <c r="DB21" s="237">
        <v>15</v>
      </c>
      <c r="DC21" s="237">
        <v>2</v>
      </c>
      <c r="DD21" s="237">
        <v>259450</v>
      </c>
      <c r="DE21" s="237">
        <v>1</v>
      </c>
      <c r="DF21" s="237">
        <v>3021</v>
      </c>
      <c r="DG21" s="237">
        <v>90</v>
      </c>
      <c r="DH21" s="237">
        <v>0</v>
      </c>
      <c r="DI21" s="237">
        <v>0</v>
      </c>
      <c r="DJ21" s="237">
        <v>1</v>
      </c>
      <c r="DK21" s="237">
        <v>11040</v>
      </c>
      <c r="DL21" s="237">
        <v>2962</v>
      </c>
      <c r="DM21" s="237">
        <v>286121749</v>
      </c>
      <c r="DN21" s="237">
        <v>807</v>
      </c>
      <c r="DO21" s="237">
        <v>1765000</v>
      </c>
      <c r="DP21" s="237">
        <v>203</v>
      </c>
      <c r="DQ21" s="237">
        <v>14481353</v>
      </c>
      <c r="DR21" s="237">
        <v>154800</v>
      </c>
      <c r="DS21" s="237">
        <f t="shared" si="20"/>
        <v>11040</v>
      </c>
      <c r="DT21" s="237">
        <f t="shared" si="21"/>
        <v>286121749</v>
      </c>
      <c r="DU21" s="240">
        <f t="shared" si="1"/>
        <v>1765000</v>
      </c>
      <c r="DV21" s="237">
        <v>0</v>
      </c>
      <c r="DW21" s="237">
        <v>7315</v>
      </c>
      <c r="DX21" s="237">
        <v>189214898</v>
      </c>
      <c r="DY21" s="237">
        <f t="shared" si="22"/>
        <v>3725</v>
      </c>
      <c r="DZ21" s="237">
        <f t="shared" si="22"/>
        <v>96906851</v>
      </c>
      <c r="EA21" s="238">
        <f t="shared" si="2"/>
        <v>2523471</v>
      </c>
      <c r="EB21" s="238">
        <f t="shared" si="3"/>
        <v>2858963639</v>
      </c>
      <c r="EC21" s="238">
        <f t="shared" si="4"/>
        <v>31334</v>
      </c>
      <c r="ED21" s="241">
        <v>523902</v>
      </c>
      <c r="EE21" s="241">
        <v>158399</v>
      </c>
      <c r="EF21" s="241">
        <v>476301</v>
      </c>
      <c r="EG21" s="241">
        <v>0</v>
      </c>
      <c r="EH21" s="241">
        <v>1236565</v>
      </c>
      <c r="EI21" s="242">
        <f t="shared" si="19"/>
        <v>24018752.745000001</v>
      </c>
      <c r="EJ21" s="243">
        <f t="shared" si="6"/>
        <v>12755549</v>
      </c>
      <c r="EK21" s="244">
        <v>8170</v>
      </c>
      <c r="EL21" s="245">
        <v>6841</v>
      </c>
      <c r="EM21" s="245">
        <v>2659147</v>
      </c>
      <c r="EN21" s="245">
        <f t="shared" si="7"/>
        <v>39887.205000000002</v>
      </c>
      <c r="EO21" s="245">
        <v>95715</v>
      </c>
      <c r="EP21" s="245">
        <v>65653</v>
      </c>
      <c r="EQ21" s="245">
        <v>23713010</v>
      </c>
      <c r="ER21" s="245">
        <f t="shared" si="8"/>
        <v>355695.14999999997</v>
      </c>
      <c r="ES21" s="246">
        <f t="shared" si="9"/>
        <v>103885</v>
      </c>
      <c r="ET21" s="246">
        <v>70928</v>
      </c>
      <c r="EU21" s="246">
        <f t="shared" si="23"/>
        <v>26372157</v>
      </c>
      <c r="EV21" s="247">
        <f t="shared" si="23"/>
        <v>395582.35499999998</v>
      </c>
      <c r="EW21" s="246">
        <f t="shared" si="11"/>
        <v>1051829</v>
      </c>
      <c r="EX21" s="246">
        <f t="shared" si="12"/>
        <v>42514</v>
      </c>
      <c r="EY21" s="247">
        <f t="shared" si="13"/>
        <v>201628526</v>
      </c>
      <c r="EZ21" s="246">
        <f t="shared" si="24"/>
        <v>66657</v>
      </c>
      <c r="FA21" s="246">
        <f t="shared" si="24"/>
        <v>33644</v>
      </c>
      <c r="FB21" s="246">
        <f t="shared" si="24"/>
        <v>81309140</v>
      </c>
      <c r="FC21" s="247">
        <f t="shared" si="15"/>
        <v>1097673.3899999999</v>
      </c>
      <c r="FD21" s="246">
        <v>107</v>
      </c>
      <c r="FE21" s="246">
        <v>101</v>
      </c>
      <c r="FF21" s="246">
        <v>122495</v>
      </c>
    </row>
    <row r="22" spans="1:162" s="248" customFormat="1" ht="15" customHeight="1">
      <c r="A22" s="236">
        <v>45585</v>
      </c>
      <c r="B22" s="237">
        <v>2465</v>
      </c>
      <c r="C22" s="237">
        <v>7328</v>
      </c>
      <c r="D22" s="237">
        <v>7328</v>
      </c>
      <c r="E22" s="237">
        <v>739405</v>
      </c>
      <c r="F22" s="237">
        <v>295247</v>
      </c>
      <c r="G22" s="237">
        <v>3594683</v>
      </c>
      <c r="H22" s="237">
        <v>2500901</v>
      </c>
      <c r="I22" s="237">
        <v>1624628</v>
      </c>
      <c r="J22" s="237">
        <v>6895</v>
      </c>
      <c r="K22" s="237">
        <v>46</v>
      </c>
      <c r="L22" s="237">
        <v>214724</v>
      </c>
      <c r="M22" s="237">
        <v>176152</v>
      </c>
      <c r="N22" s="237">
        <v>144877</v>
      </c>
      <c r="O22" s="237">
        <v>1030939</v>
      </c>
      <c r="P22" s="237">
        <v>191892015</v>
      </c>
      <c r="Q22" s="237">
        <v>5860</v>
      </c>
      <c r="R22" s="237">
        <v>928216</v>
      </c>
      <c r="S22" s="237">
        <v>8304903</v>
      </c>
      <c r="T22" s="237"/>
      <c r="U22" s="237">
        <v>132462</v>
      </c>
      <c r="V22" s="237">
        <v>34341</v>
      </c>
      <c r="W22" s="237">
        <v>106944</v>
      </c>
      <c r="X22" s="237">
        <v>584646595</v>
      </c>
      <c r="Y22" s="237">
        <v>1924535</v>
      </c>
      <c r="Z22" s="237">
        <v>6422</v>
      </c>
      <c r="AA22" s="237">
        <v>0</v>
      </c>
      <c r="AB22" s="237">
        <v>302</v>
      </c>
      <c r="AC22" s="237">
        <v>0</v>
      </c>
      <c r="AD22" s="237">
        <v>420</v>
      </c>
      <c r="AE22" s="237">
        <v>0</v>
      </c>
      <c r="AF22" s="237">
        <v>0</v>
      </c>
      <c r="AG22" s="237">
        <v>0</v>
      </c>
      <c r="AH22" s="237">
        <v>102765</v>
      </c>
      <c r="AI22" s="237">
        <v>87072</v>
      </c>
      <c r="AJ22" s="237">
        <v>658971917</v>
      </c>
      <c r="AK22" s="237">
        <v>7629</v>
      </c>
      <c r="AL22" s="237">
        <v>7563082</v>
      </c>
      <c r="AM22" s="237">
        <v>14785833</v>
      </c>
      <c r="AN22" s="237">
        <v>188014</v>
      </c>
      <c r="AO22" s="237">
        <v>17482</v>
      </c>
      <c r="AP22" s="237">
        <v>13853</v>
      </c>
      <c r="AQ22" s="237">
        <v>97262586</v>
      </c>
      <c r="AR22" s="237">
        <v>3241</v>
      </c>
      <c r="AS22" s="237">
        <v>952400</v>
      </c>
      <c r="AT22" s="237">
        <v>126</v>
      </c>
      <c r="AU22" s="237">
        <v>397</v>
      </c>
      <c r="AV22" s="237">
        <v>441276</v>
      </c>
      <c r="AW22" s="237">
        <v>386</v>
      </c>
      <c r="AX22" s="237">
        <v>31500</v>
      </c>
      <c r="AY22" s="237">
        <v>882</v>
      </c>
      <c r="AZ22" s="237">
        <v>663</v>
      </c>
      <c r="BA22" s="237">
        <v>24530845</v>
      </c>
      <c r="BB22" s="237">
        <v>290</v>
      </c>
      <c r="BC22" s="237">
        <v>18600</v>
      </c>
      <c r="BD22" s="237">
        <v>5796</v>
      </c>
      <c r="BE22" s="237">
        <v>2262</v>
      </c>
      <c r="BF22" s="237">
        <v>1690</v>
      </c>
      <c r="BG22" s="237">
        <v>33089211</v>
      </c>
      <c r="BH22" s="237">
        <v>8</v>
      </c>
      <c r="BI22" s="237">
        <v>0</v>
      </c>
      <c r="BJ22" s="237">
        <v>0</v>
      </c>
      <c r="BK22" s="237">
        <v>116</v>
      </c>
      <c r="BL22" s="237">
        <v>86</v>
      </c>
      <c r="BM22" s="237">
        <v>1508975</v>
      </c>
      <c r="BN22" s="237">
        <v>23</v>
      </c>
      <c r="BO22" s="237">
        <v>39900</v>
      </c>
      <c r="BP22" s="237">
        <v>15960</v>
      </c>
      <c r="BQ22" s="237">
        <v>59407</v>
      </c>
      <c r="BR22" s="237">
        <v>29839</v>
      </c>
      <c r="BS22" s="237">
        <v>69139340</v>
      </c>
      <c r="BT22" s="237">
        <v>0</v>
      </c>
      <c r="BU22" s="238">
        <f t="shared" si="0"/>
        <v>933381.09</v>
      </c>
      <c r="BV22" s="237">
        <v>22</v>
      </c>
      <c r="BW22" s="237">
        <v>22</v>
      </c>
      <c r="BX22" s="237">
        <v>565225</v>
      </c>
      <c r="BY22" s="237">
        <v>0</v>
      </c>
      <c r="BZ22" s="237">
        <v>2826</v>
      </c>
      <c r="CA22" s="238">
        <v>0</v>
      </c>
      <c r="CB22" s="238">
        <v>0</v>
      </c>
      <c r="CC22" s="238">
        <v>0</v>
      </c>
      <c r="CD22" s="238">
        <v>0</v>
      </c>
      <c r="CE22" s="238">
        <v>0</v>
      </c>
      <c r="CF22" s="237">
        <v>0</v>
      </c>
      <c r="CG22" s="237">
        <v>0</v>
      </c>
      <c r="CH22" s="237">
        <v>0</v>
      </c>
      <c r="CI22" s="237">
        <v>0</v>
      </c>
      <c r="CJ22" s="237">
        <v>0</v>
      </c>
      <c r="CK22" s="239">
        <v>11</v>
      </c>
      <c r="CL22" s="237">
        <v>260900</v>
      </c>
      <c r="CM22" s="237">
        <v>0</v>
      </c>
      <c r="CN22" s="237">
        <v>0</v>
      </c>
      <c r="CO22" s="237">
        <v>85599</v>
      </c>
      <c r="CP22" s="237">
        <v>38069</v>
      </c>
      <c r="CQ22" s="239">
        <v>24946849</v>
      </c>
      <c r="CR22" s="237">
        <v>6168</v>
      </c>
      <c r="CS22" s="237">
        <v>11299</v>
      </c>
      <c r="CT22" s="237">
        <v>26882748</v>
      </c>
      <c r="CU22" s="237">
        <v>286394</v>
      </c>
      <c r="CV22" s="237">
        <v>1400</v>
      </c>
      <c r="CW22" s="237">
        <v>18821</v>
      </c>
      <c r="CX22" s="237">
        <v>17645</v>
      </c>
      <c r="CY22" s="237">
        <v>16701</v>
      </c>
      <c r="CZ22" s="237">
        <v>100893790</v>
      </c>
      <c r="DA22" s="237">
        <v>2417</v>
      </c>
      <c r="DB22" s="237">
        <v>18</v>
      </c>
      <c r="DC22" s="237">
        <v>5</v>
      </c>
      <c r="DD22" s="237">
        <v>159400</v>
      </c>
      <c r="DE22" s="237">
        <v>8</v>
      </c>
      <c r="DF22" s="237">
        <v>1936</v>
      </c>
      <c r="DG22" s="237">
        <v>62</v>
      </c>
      <c r="DH22" s="237">
        <v>0</v>
      </c>
      <c r="DI22" s="237">
        <v>0</v>
      </c>
      <c r="DJ22" s="237">
        <v>1</v>
      </c>
      <c r="DK22" s="237">
        <v>8465</v>
      </c>
      <c r="DL22" s="237">
        <v>2120</v>
      </c>
      <c r="DM22" s="237">
        <v>148189809</v>
      </c>
      <c r="DN22" s="237">
        <v>483</v>
      </c>
      <c r="DO22" s="237">
        <v>906650</v>
      </c>
      <c r="DP22" s="237">
        <v>92</v>
      </c>
      <c r="DQ22" s="237">
        <v>1908601</v>
      </c>
      <c r="DR22" s="237">
        <v>43150</v>
      </c>
      <c r="DS22" s="237">
        <f t="shared" si="20"/>
        <v>8465</v>
      </c>
      <c r="DT22" s="237">
        <f t="shared" si="21"/>
        <v>148189809</v>
      </c>
      <c r="DU22" s="240">
        <f t="shared" si="1"/>
        <v>906650</v>
      </c>
      <c r="DV22" s="237">
        <v>0</v>
      </c>
      <c r="DW22" s="237">
        <v>5919</v>
      </c>
      <c r="DX22" s="237">
        <v>107452521</v>
      </c>
      <c r="DY22" s="237">
        <f t="shared" si="22"/>
        <v>2546</v>
      </c>
      <c r="DZ22" s="237">
        <f t="shared" si="22"/>
        <v>40737288</v>
      </c>
      <c r="EA22" s="238">
        <f t="shared" si="2"/>
        <v>2397717</v>
      </c>
      <c r="EB22" s="238">
        <f t="shared" si="3"/>
        <v>1971686384</v>
      </c>
      <c r="EC22" s="238">
        <f t="shared" si="4"/>
        <v>28504</v>
      </c>
      <c r="ED22" s="241">
        <v>386308</v>
      </c>
      <c r="EE22" s="241">
        <v>126749</v>
      </c>
      <c r="EF22" s="241">
        <v>448271</v>
      </c>
      <c r="EG22" s="241">
        <v>31210</v>
      </c>
      <c r="EH22" s="241">
        <v>1120605</v>
      </c>
      <c r="EI22" s="242">
        <f t="shared" si="19"/>
        <v>18964166.75</v>
      </c>
      <c r="EJ22" s="243">
        <f t="shared" si="6"/>
        <v>9978401</v>
      </c>
      <c r="EK22" s="244">
        <v>8196</v>
      </c>
      <c r="EL22" s="245">
        <v>6858</v>
      </c>
      <c r="EM22" s="245">
        <v>2561694</v>
      </c>
      <c r="EN22" s="245">
        <f t="shared" si="7"/>
        <v>38425.409999999996</v>
      </c>
      <c r="EO22" s="245">
        <v>97163</v>
      </c>
      <c r="EP22" s="245">
        <v>66221</v>
      </c>
      <c r="EQ22" s="245">
        <v>23446750</v>
      </c>
      <c r="ER22" s="245">
        <f t="shared" si="8"/>
        <v>351701.25</v>
      </c>
      <c r="ES22" s="246">
        <f t="shared" si="9"/>
        <v>105359</v>
      </c>
      <c r="ET22" s="246">
        <v>71506</v>
      </c>
      <c r="EU22" s="246">
        <f t="shared" si="23"/>
        <v>26008444</v>
      </c>
      <c r="EV22" s="247">
        <f t="shared" si="23"/>
        <v>390126.66</v>
      </c>
      <c r="EW22" s="246">
        <f t="shared" si="11"/>
        <v>1011179</v>
      </c>
      <c r="EX22" s="246">
        <f t="shared" si="12"/>
        <v>38069</v>
      </c>
      <c r="EY22" s="247">
        <f t="shared" si="13"/>
        <v>190830420</v>
      </c>
      <c r="EZ22" s="246">
        <f t="shared" si="24"/>
        <v>59407</v>
      </c>
      <c r="FA22" s="246">
        <f t="shared" si="24"/>
        <v>29839</v>
      </c>
      <c r="FB22" s="246">
        <f t="shared" si="24"/>
        <v>69139340</v>
      </c>
      <c r="FC22" s="247">
        <f t="shared" si="15"/>
        <v>933381.09</v>
      </c>
      <c r="FD22" s="246">
        <v>86</v>
      </c>
      <c r="FE22" s="246">
        <v>83</v>
      </c>
      <c r="FF22" s="246">
        <v>103499</v>
      </c>
    </row>
    <row r="23" spans="1:162" s="248" customFormat="1" ht="15" customHeight="1">
      <c r="A23" s="236">
        <v>45586</v>
      </c>
      <c r="B23" s="237">
        <v>8647</v>
      </c>
      <c r="C23" s="237">
        <v>14476</v>
      </c>
      <c r="D23" s="237">
        <v>14511</v>
      </c>
      <c r="E23" s="237">
        <v>738496</v>
      </c>
      <c r="F23" s="237">
        <v>308667</v>
      </c>
      <c r="G23" s="237">
        <v>3598332</v>
      </c>
      <c r="H23" s="237">
        <v>2499323</v>
      </c>
      <c r="I23" s="237">
        <v>1625387</v>
      </c>
      <c r="J23" s="237">
        <v>8695</v>
      </c>
      <c r="K23" s="237">
        <v>190</v>
      </c>
      <c r="L23" s="237">
        <v>214853</v>
      </c>
      <c r="M23" s="237">
        <v>176266</v>
      </c>
      <c r="N23" s="237">
        <v>145030</v>
      </c>
      <c r="O23" s="237">
        <v>980071</v>
      </c>
      <c r="P23" s="237">
        <v>192027835</v>
      </c>
      <c r="Q23" s="237">
        <v>5534</v>
      </c>
      <c r="R23" s="237">
        <v>885643</v>
      </c>
      <c r="S23" s="237">
        <v>8302359</v>
      </c>
      <c r="T23" s="237"/>
      <c r="U23" s="237">
        <v>139305</v>
      </c>
      <c r="V23" s="237">
        <v>41802</v>
      </c>
      <c r="W23" s="237">
        <v>114480</v>
      </c>
      <c r="X23" s="237">
        <v>1058750656</v>
      </c>
      <c r="Y23" s="237">
        <v>3440253</v>
      </c>
      <c r="Z23" s="237">
        <v>7349</v>
      </c>
      <c r="AA23" s="237">
        <v>0</v>
      </c>
      <c r="AB23" s="237">
        <v>307</v>
      </c>
      <c r="AC23" s="237">
        <v>0</v>
      </c>
      <c r="AD23" s="237">
        <v>453</v>
      </c>
      <c r="AE23" s="237">
        <v>0</v>
      </c>
      <c r="AF23" s="237">
        <v>0</v>
      </c>
      <c r="AG23" s="237">
        <v>0</v>
      </c>
      <c r="AH23" s="237">
        <v>113760</v>
      </c>
      <c r="AI23" s="237">
        <v>96291</v>
      </c>
      <c r="AJ23" s="237">
        <v>1068326783</v>
      </c>
      <c r="AK23" s="237">
        <v>8590</v>
      </c>
      <c r="AL23" s="237">
        <v>9893079</v>
      </c>
      <c r="AM23" s="237">
        <v>19634690</v>
      </c>
      <c r="AN23" s="237">
        <v>256471</v>
      </c>
      <c r="AO23" s="237">
        <v>17662</v>
      </c>
      <c r="AP23" s="237">
        <v>13501</v>
      </c>
      <c r="AQ23" s="237">
        <v>170103513</v>
      </c>
      <c r="AR23" s="237">
        <v>3152</v>
      </c>
      <c r="AS23" s="237">
        <v>1102300</v>
      </c>
      <c r="AT23" s="237">
        <v>91</v>
      </c>
      <c r="AU23" s="237">
        <v>294</v>
      </c>
      <c r="AV23" s="237">
        <v>277237</v>
      </c>
      <c r="AW23" s="237">
        <v>284</v>
      </c>
      <c r="AX23" s="237">
        <v>23000</v>
      </c>
      <c r="AY23" s="237">
        <v>915</v>
      </c>
      <c r="AZ23" s="237">
        <v>750</v>
      </c>
      <c r="BA23" s="237">
        <v>32295170</v>
      </c>
      <c r="BB23" s="237">
        <v>342</v>
      </c>
      <c r="BC23" s="237">
        <v>42800</v>
      </c>
      <c r="BD23" s="237">
        <v>13875</v>
      </c>
      <c r="BE23" s="237">
        <v>2678</v>
      </c>
      <c r="BF23" s="237">
        <v>1959</v>
      </c>
      <c r="BG23" s="237">
        <v>50958952</v>
      </c>
      <c r="BH23" s="237">
        <v>18</v>
      </c>
      <c r="BI23" s="237">
        <v>0</v>
      </c>
      <c r="BJ23" s="237">
        <v>0</v>
      </c>
      <c r="BK23" s="237">
        <v>143</v>
      </c>
      <c r="BL23" s="237">
        <v>106</v>
      </c>
      <c r="BM23" s="237">
        <v>3700730</v>
      </c>
      <c r="BN23" s="237">
        <v>34</v>
      </c>
      <c r="BO23" s="237">
        <v>78900</v>
      </c>
      <c r="BP23" s="237">
        <v>31560</v>
      </c>
      <c r="BQ23" s="237">
        <v>41407</v>
      </c>
      <c r="BR23" s="237">
        <v>21885</v>
      </c>
      <c r="BS23" s="237">
        <v>48486898</v>
      </c>
      <c r="BT23" s="237">
        <v>0</v>
      </c>
      <c r="BU23" s="238">
        <f t="shared" si="0"/>
        <v>654573.12300000002</v>
      </c>
      <c r="BV23" s="237">
        <v>31</v>
      </c>
      <c r="BW23" s="237">
        <v>29</v>
      </c>
      <c r="BX23" s="237">
        <v>1962945</v>
      </c>
      <c r="BY23" s="237">
        <v>0</v>
      </c>
      <c r="BZ23" s="237">
        <v>9815</v>
      </c>
      <c r="CA23" s="238">
        <v>0</v>
      </c>
      <c r="CB23" s="238">
        <v>0</v>
      </c>
      <c r="CC23" s="238">
        <v>0</v>
      </c>
      <c r="CD23" s="238">
        <v>0</v>
      </c>
      <c r="CE23" s="238">
        <v>0</v>
      </c>
      <c r="CF23" s="237">
        <v>0</v>
      </c>
      <c r="CG23" s="237">
        <v>0</v>
      </c>
      <c r="CH23" s="237">
        <v>0</v>
      </c>
      <c r="CI23" s="237">
        <v>0</v>
      </c>
      <c r="CJ23" s="237">
        <v>0</v>
      </c>
      <c r="CK23" s="239">
        <v>2460</v>
      </c>
      <c r="CL23" s="237">
        <v>57493755</v>
      </c>
      <c r="CM23" s="237">
        <v>0</v>
      </c>
      <c r="CN23" s="237">
        <v>0</v>
      </c>
      <c r="CO23" s="237">
        <v>87142</v>
      </c>
      <c r="CP23" s="237">
        <v>42116</v>
      </c>
      <c r="CQ23" s="239">
        <v>27980460</v>
      </c>
      <c r="CR23" s="237">
        <v>6120</v>
      </c>
      <c r="CS23" s="237">
        <v>11346</v>
      </c>
      <c r="CT23" s="237">
        <v>28502204</v>
      </c>
      <c r="CU23" s="237">
        <v>299681</v>
      </c>
      <c r="CV23" s="237">
        <v>1189</v>
      </c>
      <c r="CW23" s="237">
        <v>22080</v>
      </c>
      <c r="CX23" s="237">
        <v>19417</v>
      </c>
      <c r="CY23" s="237">
        <v>17622</v>
      </c>
      <c r="CZ23" s="237">
        <v>276942937</v>
      </c>
      <c r="DA23" s="237">
        <v>2585</v>
      </c>
      <c r="DB23" s="237">
        <v>21</v>
      </c>
      <c r="DC23" s="237">
        <v>2</v>
      </c>
      <c r="DD23" s="237">
        <v>159000</v>
      </c>
      <c r="DE23" s="237">
        <v>1</v>
      </c>
      <c r="DF23" s="237">
        <v>2566</v>
      </c>
      <c r="DG23" s="237">
        <v>79</v>
      </c>
      <c r="DH23" s="237">
        <v>0</v>
      </c>
      <c r="DI23" s="237">
        <v>0</v>
      </c>
      <c r="DJ23" s="237">
        <v>1</v>
      </c>
      <c r="DK23" s="237">
        <v>10743</v>
      </c>
      <c r="DL23" s="237">
        <v>3106</v>
      </c>
      <c r="DM23" s="237">
        <v>334629648</v>
      </c>
      <c r="DN23" s="237">
        <v>773</v>
      </c>
      <c r="DO23" s="237">
        <v>1992750</v>
      </c>
      <c r="DP23" s="237">
        <v>156</v>
      </c>
      <c r="DQ23" s="237">
        <v>12460064</v>
      </c>
      <c r="DR23" s="237">
        <v>157750</v>
      </c>
      <c r="DS23" s="237">
        <f t="shared" si="20"/>
        <v>10743</v>
      </c>
      <c r="DT23" s="237">
        <f t="shared" si="21"/>
        <v>334629648</v>
      </c>
      <c r="DU23" s="240">
        <f t="shared" si="1"/>
        <v>1992750</v>
      </c>
      <c r="DV23" s="237">
        <v>0</v>
      </c>
      <c r="DW23" s="237">
        <v>6815</v>
      </c>
      <c r="DX23" s="237">
        <v>219922347</v>
      </c>
      <c r="DY23" s="237">
        <f t="shared" si="22"/>
        <v>3928</v>
      </c>
      <c r="DZ23" s="237">
        <f t="shared" si="22"/>
        <v>114707301</v>
      </c>
      <c r="EA23" s="238">
        <f t="shared" si="2"/>
        <v>2312836</v>
      </c>
      <c r="EB23" s="238">
        <f t="shared" si="3"/>
        <v>3360901082</v>
      </c>
      <c r="EC23" s="238">
        <f t="shared" si="4"/>
        <v>30273</v>
      </c>
      <c r="ED23" s="241">
        <v>613286</v>
      </c>
      <c r="EE23" s="241">
        <v>217978</v>
      </c>
      <c r="EF23" s="241">
        <v>318590</v>
      </c>
      <c r="EG23" s="241">
        <v>0</v>
      </c>
      <c r="EH23" s="241">
        <v>1271528</v>
      </c>
      <c r="EI23" s="242">
        <f t="shared" si="19"/>
        <v>25177968.107999999</v>
      </c>
      <c r="EJ23" s="243">
        <f t="shared" si="6"/>
        <v>13722003</v>
      </c>
      <c r="EK23" s="244">
        <v>7939</v>
      </c>
      <c r="EL23" s="245">
        <v>6678</v>
      </c>
      <c r="EM23" s="245">
        <v>2594104</v>
      </c>
      <c r="EN23" s="245">
        <f t="shared" si="7"/>
        <v>38911.56</v>
      </c>
      <c r="EO23" s="245">
        <v>89579</v>
      </c>
      <c r="EP23" s="245">
        <v>62499</v>
      </c>
      <c r="EQ23" s="245">
        <v>23519095</v>
      </c>
      <c r="ER23" s="245">
        <f t="shared" si="8"/>
        <v>352786.42499999999</v>
      </c>
      <c r="ES23" s="246">
        <f t="shared" si="9"/>
        <v>97518</v>
      </c>
      <c r="ET23" s="246">
        <v>67724</v>
      </c>
      <c r="EU23" s="246">
        <f t="shared" si="23"/>
        <v>26113199</v>
      </c>
      <c r="EV23" s="247">
        <f t="shared" si="23"/>
        <v>391697.98499999999</v>
      </c>
      <c r="EW23" s="246">
        <f t="shared" si="11"/>
        <v>969695</v>
      </c>
      <c r="EX23" s="246">
        <f t="shared" si="12"/>
        <v>42116</v>
      </c>
      <c r="EY23" s="247">
        <f t="shared" si="13"/>
        <v>193895096</v>
      </c>
      <c r="EZ23" s="246">
        <f t="shared" si="24"/>
        <v>41407</v>
      </c>
      <c r="FA23" s="246">
        <f t="shared" si="24"/>
        <v>21885</v>
      </c>
      <c r="FB23" s="246">
        <f t="shared" si="24"/>
        <v>48486898</v>
      </c>
      <c r="FC23" s="247">
        <f t="shared" si="15"/>
        <v>654573.12300000002</v>
      </c>
      <c r="FD23" s="246">
        <v>107</v>
      </c>
      <c r="FE23" s="246">
        <v>99</v>
      </c>
      <c r="FF23" s="246">
        <v>116497</v>
      </c>
    </row>
    <row r="24" spans="1:162" s="248" customFormat="1" ht="15" customHeight="1">
      <c r="A24" s="236">
        <v>45587</v>
      </c>
      <c r="B24" s="237">
        <v>6735</v>
      </c>
      <c r="C24" s="237">
        <v>11292</v>
      </c>
      <c r="D24" s="237">
        <v>11292</v>
      </c>
      <c r="E24" s="237">
        <v>737863</v>
      </c>
      <c r="F24" s="237">
        <v>321370</v>
      </c>
      <c r="G24" s="237">
        <v>3601984</v>
      </c>
      <c r="H24" s="237">
        <v>2498565</v>
      </c>
      <c r="I24" s="237">
        <v>1628774</v>
      </c>
      <c r="J24" s="237">
        <v>8737</v>
      </c>
      <c r="K24" s="237">
        <v>108</v>
      </c>
      <c r="L24" s="237">
        <v>215111</v>
      </c>
      <c r="M24" s="237">
        <v>176355</v>
      </c>
      <c r="N24" s="237">
        <v>145169</v>
      </c>
      <c r="O24" s="237">
        <v>1058877</v>
      </c>
      <c r="P24" s="237">
        <v>202957105</v>
      </c>
      <c r="Q24" s="237">
        <v>5455</v>
      </c>
      <c r="R24" s="237">
        <v>955863</v>
      </c>
      <c r="S24" s="237">
        <v>8798333</v>
      </c>
      <c r="T24" s="237"/>
      <c r="U24" s="237">
        <v>157004</v>
      </c>
      <c r="V24" s="237">
        <v>43802</v>
      </c>
      <c r="W24" s="237">
        <v>125868</v>
      </c>
      <c r="X24" s="237">
        <v>1020982714</v>
      </c>
      <c r="Y24" s="237">
        <v>3324307</v>
      </c>
      <c r="Z24" s="237">
        <v>7702</v>
      </c>
      <c r="AA24" s="237">
        <v>0</v>
      </c>
      <c r="AB24" s="237">
        <v>298</v>
      </c>
      <c r="AC24" s="237">
        <v>0</v>
      </c>
      <c r="AD24" s="237">
        <v>401</v>
      </c>
      <c r="AE24" s="237">
        <v>0</v>
      </c>
      <c r="AF24" s="237">
        <v>0</v>
      </c>
      <c r="AG24" s="237">
        <v>0</v>
      </c>
      <c r="AH24" s="237">
        <v>112336</v>
      </c>
      <c r="AI24" s="237">
        <v>94955</v>
      </c>
      <c r="AJ24" s="237">
        <v>1004840632</v>
      </c>
      <c r="AK24" s="237">
        <v>8525</v>
      </c>
      <c r="AL24" s="237">
        <v>9435974</v>
      </c>
      <c r="AM24" s="237">
        <v>18703878</v>
      </c>
      <c r="AN24" s="237">
        <v>243052</v>
      </c>
      <c r="AO24" s="237">
        <v>18438</v>
      </c>
      <c r="AP24" s="237">
        <v>14497</v>
      </c>
      <c r="AQ24" s="237">
        <v>164409828</v>
      </c>
      <c r="AR24" s="237">
        <v>3342</v>
      </c>
      <c r="AS24" s="237">
        <v>1081500</v>
      </c>
      <c r="AT24" s="237">
        <v>110</v>
      </c>
      <c r="AU24" s="237">
        <v>357</v>
      </c>
      <c r="AV24" s="237">
        <v>496610</v>
      </c>
      <c r="AW24" s="237">
        <v>330</v>
      </c>
      <c r="AX24" s="237">
        <v>28100</v>
      </c>
      <c r="AY24" s="237">
        <v>879</v>
      </c>
      <c r="AZ24" s="237">
        <v>691</v>
      </c>
      <c r="BA24" s="237">
        <v>33004382</v>
      </c>
      <c r="BB24" s="237">
        <v>244</v>
      </c>
      <c r="BC24" s="237">
        <v>19800</v>
      </c>
      <c r="BD24" s="237">
        <v>6189</v>
      </c>
      <c r="BE24" s="237">
        <v>2837</v>
      </c>
      <c r="BF24" s="237">
        <v>2028</v>
      </c>
      <c r="BG24" s="237">
        <v>53879111</v>
      </c>
      <c r="BH24" s="237">
        <v>26</v>
      </c>
      <c r="BI24" s="237">
        <v>0</v>
      </c>
      <c r="BJ24" s="237">
        <v>0</v>
      </c>
      <c r="BK24" s="237">
        <v>137</v>
      </c>
      <c r="BL24" s="237">
        <v>103</v>
      </c>
      <c r="BM24" s="237">
        <v>1887947</v>
      </c>
      <c r="BN24" s="237">
        <v>38</v>
      </c>
      <c r="BO24" s="237">
        <v>53400</v>
      </c>
      <c r="BP24" s="237">
        <v>21360</v>
      </c>
      <c r="BQ24" s="237">
        <v>64335</v>
      </c>
      <c r="BR24" s="237">
        <v>34641</v>
      </c>
      <c r="BS24" s="237">
        <v>74897551</v>
      </c>
      <c r="BT24" s="237">
        <v>0</v>
      </c>
      <c r="BU24" s="238">
        <f t="shared" si="0"/>
        <v>1011116.9384999999</v>
      </c>
      <c r="BV24" s="237">
        <v>33</v>
      </c>
      <c r="BW24" s="237">
        <v>32</v>
      </c>
      <c r="BX24" s="237">
        <v>1648200</v>
      </c>
      <c r="BY24" s="237">
        <v>0</v>
      </c>
      <c r="BZ24" s="237">
        <v>8241</v>
      </c>
      <c r="CA24" s="238">
        <v>0</v>
      </c>
      <c r="CB24" s="238">
        <v>0</v>
      </c>
      <c r="CC24" s="238">
        <v>0</v>
      </c>
      <c r="CD24" s="238">
        <v>0</v>
      </c>
      <c r="CE24" s="238">
        <v>0</v>
      </c>
      <c r="CF24" s="237">
        <v>0</v>
      </c>
      <c r="CG24" s="237">
        <v>0</v>
      </c>
      <c r="CH24" s="237">
        <v>0</v>
      </c>
      <c r="CI24" s="237">
        <v>0</v>
      </c>
      <c r="CJ24" s="237">
        <v>0</v>
      </c>
      <c r="CK24" s="239">
        <v>4110</v>
      </c>
      <c r="CL24" s="237">
        <v>205684389</v>
      </c>
      <c r="CM24" s="237">
        <v>0</v>
      </c>
      <c r="CN24" s="237">
        <v>0</v>
      </c>
      <c r="CO24" s="237">
        <v>93255</v>
      </c>
      <c r="CP24" s="237">
        <v>43762</v>
      </c>
      <c r="CQ24" s="239">
        <v>29503656</v>
      </c>
      <c r="CR24" s="237">
        <v>8235</v>
      </c>
      <c r="CS24" s="237">
        <v>11856</v>
      </c>
      <c r="CT24" s="237">
        <v>30103562</v>
      </c>
      <c r="CU24" s="237">
        <v>319905</v>
      </c>
      <c r="CV24" s="237">
        <v>1168</v>
      </c>
      <c r="CW24" s="237">
        <v>23003</v>
      </c>
      <c r="CX24" s="237">
        <v>19276</v>
      </c>
      <c r="CY24" s="237">
        <v>17713</v>
      </c>
      <c r="CZ24" s="237">
        <v>226705611</v>
      </c>
      <c r="DA24" s="237">
        <v>2518</v>
      </c>
      <c r="DB24" s="237">
        <v>27</v>
      </c>
      <c r="DC24" s="237">
        <v>1</v>
      </c>
      <c r="DD24" s="237">
        <v>399000</v>
      </c>
      <c r="DE24" s="237">
        <v>0</v>
      </c>
      <c r="DF24" s="237">
        <v>4031</v>
      </c>
      <c r="DG24" s="237">
        <v>119</v>
      </c>
      <c r="DH24" s="237">
        <v>0</v>
      </c>
      <c r="DI24" s="237">
        <v>0</v>
      </c>
      <c r="DJ24" s="237">
        <v>1</v>
      </c>
      <c r="DK24" s="237">
        <v>10507</v>
      </c>
      <c r="DL24" s="237">
        <v>3256</v>
      </c>
      <c r="DM24" s="237">
        <v>307701530</v>
      </c>
      <c r="DN24" s="237">
        <v>943</v>
      </c>
      <c r="DO24" s="237">
        <v>1888500</v>
      </c>
      <c r="DP24" s="237">
        <v>386</v>
      </c>
      <c r="DQ24" s="237">
        <v>14375314</v>
      </c>
      <c r="DR24" s="237">
        <v>231350</v>
      </c>
      <c r="DS24" s="237">
        <f t="shared" si="20"/>
        <v>10507</v>
      </c>
      <c r="DT24" s="237">
        <f t="shared" si="21"/>
        <v>307701530</v>
      </c>
      <c r="DU24" s="240">
        <f t="shared" si="1"/>
        <v>1888500</v>
      </c>
      <c r="DV24" s="237">
        <v>0</v>
      </c>
      <c r="DW24" s="237">
        <v>6425</v>
      </c>
      <c r="DX24" s="237">
        <v>203687010</v>
      </c>
      <c r="DY24" s="237">
        <f t="shared" si="22"/>
        <v>4082</v>
      </c>
      <c r="DZ24" s="237">
        <f t="shared" si="22"/>
        <v>104014520</v>
      </c>
      <c r="EA24" s="238">
        <f t="shared" si="2"/>
        <v>2509881</v>
      </c>
      <c r="EB24" s="238">
        <f t="shared" si="3"/>
        <v>3367900161</v>
      </c>
      <c r="EC24" s="238">
        <f t="shared" si="4"/>
        <v>32915</v>
      </c>
      <c r="ED24" s="241">
        <v>599716</v>
      </c>
      <c r="EE24" s="241">
        <v>231888</v>
      </c>
      <c r="EF24" s="241">
        <v>505222</v>
      </c>
      <c r="EG24" s="241">
        <v>36671</v>
      </c>
      <c r="EH24" s="241">
        <v>1332648</v>
      </c>
      <c r="EI24" s="242">
        <f t="shared" si="19"/>
        <v>24497121.288500004</v>
      </c>
      <c r="EJ24" s="243">
        <f t="shared" si="6"/>
        <v>13320086</v>
      </c>
      <c r="EK24" s="244">
        <v>8716</v>
      </c>
      <c r="EL24" s="245">
        <v>7244</v>
      </c>
      <c r="EM24" s="245">
        <v>2905505</v>
      </c>
      <c r="EN24" s="245">
        <f t="shared" si="7"/>
        <v>43582.574999999997</v>
      </c>
      <c r="EO24" s="245">
        <v>97713</v>
      </c>
      <c r="EP24" s="245">
        <v>67110</v>
      </c>
      <c r="EQ24" s="245">
        <v>24499785</v>
      </c>
      <c r="ER24" s="245">
        <f t="shared" si="8"/>
        <v>367496.77499999997</v>
      </c>
      <c r="ES24" s="246">
        <f t="shared" si="9"/>
        <v>106429</v>
      </c>
      <c r="ET24" s="246">
        <v>72709</v>
      </c>
      <c r="EU24" s="246">
        <f t="shared" si="23"/>
        <v>27405290</v>
      </c>
      <c r="EV24" s="247">
        <f t="shared" si="23"/>
        <v>411079.35</v>
      </c>
      <c r="EW24" s="246">
        <f t="shared" si="11"/>
        <v>1045703</v>
      </c>
      <c r="EX24" s="246">
        <f t="shared" si="12"/>
        <v>43762</v>
      </c>
      <c r="EY24" s="247">
        <f t="shared" si="13"/>
        <v>205055471</v>
      </c>
      <c r="EZ24" s="246">
        <f t="shared" si="24"/>
        <v>64335</v>
      </c>
      <c r="FA24" s="246">
        <f t="shared" si="24"/>
        <v>34641</v>
      </c>
      <c r="FB24" s="246">
        <f t="shared" si="24"/>
        <v>74897551</v>
      </c>
      <c r="FC24" s="247">
        <f t="shared" si="15"/>
        <v>1011116.9384999999</v>
      </c>
      <c r="FD24" s="246">
        <v>106</v>
      </c>
      <c r="FE24" s="246">
        <v>98</v>
      </c>
      <c r="FF24" s="246">
        <v>139997</v>
      </c>
    </row>
    <row r="25" spans="1:162" s="248" customFormat="1" ht="15" customHeight="1">
      <c r="A25" s="236">
        <v>45588</v>
      </c>
      <c r="B25" s="237">
        <v>8086</v>
      </c>
      <c r="C25" s="237">
        <v>22698</v>
      </c>
      <c r="D25" s="237">
        <v>22694</v>
      </c>
      <c r="E25" s="237">
        <v>735092</v>
      </c>
      <c r="F25" s="237">
        <v>328074</v>
      </c>
      <c r="G25" s="237">
        <v>3605670</v>
      </c>
      <c r="H25" s="237">
        <v>2499349</v>
      </c>
      <c r="I25" s="237">
        <v>1631076</v>
      </c>
      <c r="J25" s="237">
        <v>8816</v>
      </c>
      <c r="K25" s="237">
        <v>174</v>
      </c>
      <c r="L25" s="237">
        <v>215337</v>
      </c>
      <c r="M25" s="237">
        <v>176476</v>
      </c>
      <c r="N25" s="237">
        <v>145464</v>
      </c>
      <c r="O25" s="237">
        <v>1056038</v>
      </c>
      <c r="P25" s="237">
        <v>202216920</v>
      </c>
      <c r="Q25" s="237">
        <v>5578</v>
      </c>
      <c r="R25" s="237">
        <v>952645</v>
      </c>
      <c r="S25" s="237">
        <v>8750972</v>
      </c>
      <c r="T25" s="237">
        <v>1</v>
      </c>
      <c r="U25" s="237">
        <v>162925</v>
      </c>
      <c r="V25" s="237">
        <v>44518</v>
      </c>
      <c r="W25" s="237">
        <v>129751</v>
      </c>
      <c r="X25" s="237">
        <v>1040351139</v>
      </c>
      <c r="Y25" s="237">
        <v>3384300</v>
      </c>
      <c r="Z25" s="237">
        <v>8234</v>
      </c>
      <c r="AA25" s="237">
        <v>0</v>
      </c>
      <c r="AB25" s="237">
        <v>314</v>
      </c>
      <c r="AC25" s="237">
        <v>0</v>
      </c>
      <c r="AD25" s="237">
        <v>431</v>
      </c>
      <c r="AE25" s="237">
        <v>0</v>
      </c>
      <c r="AF25" s="237">
        <v>0</v>
      </c>
      <c r="AG25" s="237">
        <v>0</v>
      </c>
      <c r="AH25" s="237">
        <v>116823</v>
      </c>
      <c r="AI25" s="237">
        <v>98424</v>
      </c>
      <c r="AJ25" s="237">
        <v>1001463690</v>
      </c>
      <c r="AK25" s="237">
        <v>8505</v>
      </c>
      <c r="AL25" s="237">
        <v>9696520</v>
      </c>
      <c r="AM25" s="237">
        <v>19124761</v>
      </c>
      <c r="AN25" s="237">
        <v>248729</v>
      </c>
      <c r="AO25" s="237">
        <v>19154</v>
      </c>
      <c r="AP25" s="237">
        <v>15026</v>
      </c>
      <c r="AQ25" s="237">
        <v>156792154</v>
      </c>
      <c r="AR25" s="237">
        <v>3610</v>
      </c>
      <c r="AS25" s="237">
        <v>1102900</v>
      </c>
      <c r="AT25" s="237">
        <v>123</v>
      </c>
      <c r="AU25" s="237">
        <v>383</v>
      </c>
      <c r="AV25" s="237">
        <v>400766</v>
      </c>
      <c r="AW25" s="237">
        <v>370</v>
      </c>
      <c r="AX25" s="237">
        <v>30600</v>
      </c>
      <c r="AY25" s="237">
        <v>824</v>
      </c>
      <c r="AZ25" s="237">
        <v>679</v>
      </c>
      <c r="BA25" s="237">
        <v>33258540</v>
      </c>
      <c r="BB25" s="237">
        <v>190</v>
      </c>
      <c r="BC25" s="237">
        <v>29250</v>
      </c>
      <c r="BD25" s="237">
        <v>9148</v>
      </c>
      <c r="BE25" s="237">
        <v>1887</v>
      </c>
      <c r="BF25" s="237">
        <v>1382</v>
      </c>
      <c r="BG25" s="237">
        <v>37381654</v>
      </c>
      <c r="BH25" s="237">
        <v>1976</v>
      </c>
      <c r="BI25" s="237">
        <v>0</v>
      </c>
      <c r="BJ25" s="237">
        <v>0</v>
      </c>
      <c r="BK25" s="237">
        <v>148</v>
      </c>
      <c r="BL25" s="237">
        <v>114</v>
      </c>
      <c r="BM25" s="237">
        <v>2417658</v>
      </c>
      <c r="BN25" s="237">
        <v>23</v>
      </c>
      <c r="BO25" s="237">
        <v>59150</v>
      </c>
      <c r="BP25" s="237">
        <v>23660</v>
      </c>
      <c r="BQ25" s="237">
        <v>67290</v>
      </c>
      <c r="BR25" s="237">
        <v>35449</v>
      </c>
      <c r="BS25" s="237">
        <v>77728490</v>
      </c>
      <c r="BT25" s="237">
        <v>0</v>
      </c>
      <c r="BU25" s="238">
        <f t="shared" si="0"/>
        <v>1049334.615</v>
      </c>
      <c r="BV25" s="237">
        <v>33</v>
      </c>
      <c r="BW25" s="237">
        <v>32</v>
      </c>
      <c r="BX25" s="237">
        <v>1287110</v>
      </c>
      <c r="BY25" s="237">
        <v>0</v>
      </c>
      <c r="BZ25" s="237">
        <v>6436</v>
      </c>
      <c r="CA25" s="238">
        <v>0</v>
      </c>
      <c r="CB25" s="238">
        <v>0</v>
      </c>
      <c r="CC25" s="238">
        <v>0</v>
      </c>
      <c r="CD25" s="238">
        <v>0</v>
      </c>
      <c r="CE25" s="238">
        <v>0</v>
      </c>
      <c r="CF25" s="237">
        <v>0</v>
      </c>
      <c r="CG25" s="237">
        <v>0</v>
      </c>
      <c r="CH25" s="237">
        <v>0</v>
      </c>
      <c r="CI25" s="237">
        <v>0</v>
      </c>
      <c r="CJ25" s="237">
        <v>0</v>
      </c>
      <c r="CK25" s="239">
        <v>2753</v>
      </c>
      <c r="CL25" s="237">
        <v>38724402</v>
      </c>
      <c r="CM25" s="237">
        <v>0</v>
      </c>
      <c r="CN25" s="237">
        <v>0</v>
      </c>
      <c r="CO25" s="237">
        <v>90379</v>
      </c>
      <c r="CP25" s="237">
        <v>44450</v>
      </c>
      <c r="CQ25" s="239">
        <v>28584697</v>
      </c>
      <c r="CR25" s="237">
        <v>14837</v>
      </c>
      <c r="CS25" s="237">
        <v>11813</v>
      </c>
      <c r="CT25" s="237">
        <v>29881320</v>
      </c>
      <c r="CU25" s="237">
        <v>318442</v>
      </c>
      <c r="CV25" s="237">
        <v>1239</v>
      </c>
      <c r="CW25" s="237">
        <v>21707</v>
      </c>
      <c r="CX25" s="237">
        <v>19709</v>
      </c>
      <c r="CY25" s="237">
        <v>18261</v>
      </c>
      <c r="CZ25" s="237">
        <v>216706791</v>
      </c>
      <c r="DA25" s="237">
        <v>2638</v>
      </c>
      <c r="DB25" s="237">
        <v>30</v>
      </c>
      <c r="DC25" s="237">
        <v>1</v>
      </c>
      <c r="DD25" s="237">
        <v>203150</v>
      </c>
      <c r="DE25" s="237">
        <v>0</v>
      </c>
      <c r="DF25" s="237">
        <v>3033</v>
      </c>
      <c r="DG25" s="237">
        <v>92</v>
      </c>
      <c r="DH25" s="237">
        <v>0</v>
      </c>
      <c r="DI25" s="237">
        <v>0</v>
      </c>
      <c r="DJ25" s="237">
        <v>1</v>
      </c>
      <c r="DK25" s="237">
        <v>10045</v>
      </c>
      <c r="DL25" s="237">
        <v>3054</v>
      </c>
      <c r="DM25" s="237">
        <v>284290296</v>
      </c>
      <c r="DN25" s="237">
        <v>1116</v>
      </c>
      <c r="DO25" s="237">
        <v>1919500</v>
      </c>
      <c r="DP25" s="237">
        <v>527</v>
      </c>
      <c r="DQ25" s="237">
        <v>18972927</v>
      </c>
      <c r="DR25" s="237">
        <v>301950</v>
      </c>
      <c r="DS25" s="237">
        <f t="shared" si="20"/>
        <v>10045</v>
      </c>
      <c r="DT25" s="237">
        <f t="shared" si="21"/>
        <v>284290296</v>
      </c>
      <c r="DU25" s="240">
        <f t="shared" si="1"/>
        <v>1919500</v>
      </c>
      <c r="DV25" s="237">
        <v>0</v>
      </c>
      <c r="DW25" s="237">
        <v>6334</v>
      </c>
      <c r="DX25" s="237">
        <v>176877059</v>
      </c>
      <c r="DY25" s="237">
        <f t="shared" si="22"/>
        <v>3711</v>
      </c>
      <c r="DZ25" s="237">
        <f t="shared" si="22"/>
        <v>107413237</v>
      </c>
      <c r="EA25" s="238">
        <f t="shared" si="2"/>
        <v>2512620</v>
      </c>
      <c r="EB25" s="238">
        <f t="shared" si="3"/>
        <v>3160439749</v>
      </c>
      <c r="EC25" s="238">
        <f t="shared" si="4"/>
        <v>42581</v>
      </c>
      <c r="ED25" s="241">
        <v>1008218</v>
      </c>
      <c r="EE25" s="241">
        <v>221691</v>
      </c>
      <c r="EF25" s="241">
        <v>503435</v>
      </c>
      <c r="EG25" s="241">
        <v>38182</v>
      </c>
      <c r="EH25" s="241">
        <v>1285009</v>
      </c>
      <c r="EI25" s="242">
        <f t="shared" si="19"/>
        <v>25385651.420000002</v>
      </c>
      <c r="EJ25" s="243">
        <f t="shared" si="6"/>
        <v>13641803</v>
      </c>
      <c r="EK25" s="244">
        <v>8490</v>
      </c>
      <c r="EL25" s="245">
        <v>7055</v>
      </c>
      <c r="EM25" s="245">
        <v>2892172</v>
      </c>
      <c r="EN25" s="245">
        <f t="shared" si="7"/>
        <v>43382.58</v>
      </c>
      <c r="EO25" s="245">
        <v>95510</v>
      </c>
      <c r="EP25" s="245">
        <v>65939</v>
      </c>
      <c r="EQ25" s="245">
        <v>24099215</v>
      </c>
      <c r="ER25" s="245">
        <f t="shared" si="8"/>
        <v>361488.22499999998</v>
      </c>
      <c r="ES25" s="246">
        <f t="shared" si="9"/>
        <v>104000</v>
      </c>
      <c r="ET25" s="246">
        <v>71459</v>
      </c>
      <c r="EU25" s="246">
        <f t="shared" si="23"/>
        <v>26991387</v>
      </c>
      <c r="EV25" s="247">
        <f t="shared" si="23"/>
        <v>404870.80499999999</v>
      </c>
      <c r="EW25" s="246">
        <f t="shared" si="11"/>
        <v>1042417</v>
      </c>
      <c r="EX25" s="246">
        <f t="shared" si="12"/>
        <v>44450</v>
      </c>
      <c r="EY25" s="247">
        <f t="shared" si="13"/>
        <v>203810230</v>
      </c>
      <c r="EZ25" s="246">
        <f t="shared" si="24"/>
        <v>67290</v>
      </c>
      <c r="FA25" s="246">
        <f t="shared" si="24"/>
        <v>35449</v>
      </c>
      <c r="FB25" s="246">
        <f t="shared" si="24"/>
        <v>77728490</v>
      </c>
      <c r="FC25" s="247">
        <f t="shared" si="15"/>
        <v>1049334.615</v>
      </c>
      <c r="FD25" s="246">
        <v>82</v>
      </c>
      <c r="FE25" s="246">
        <v>79</v>
      </c>
      <c r="FF25" s="246">
        <v>110498</v>
      </c>
    </row>
    <row r="26" spans="1:162" s="248" customFormat="1" ht="15" customHeight="1">
      <c r="A26" s="236">
        <v>45589</v>
      </c>
      <c r="B26" s="237">
        <v>7749</v>
      </c>
      <c r="C26" s="237">
        <v>16811</v>
      </c>
      <c r="D26" s="237">
        <v>16808</v>
      </c>
      <c r="E26" s="237">
        <v>736722</v>
      </c>
      <c r="F26" s="237">
        <v>316899</v>
      </c>
      <c r="G26" s="237">
        <v>3609398</v>
      </c>
      <c r="H26" s="237">
        <v>2499107</v>
      </c>
      <c r="I26" s="237">
        <v>1632787</v>
      </c>
      <c r="J26" s="237">
        <v>8730</v>
      </c>
      <c r="K26" s="237">
        <v>196</v>
      </c>
      <c r="L26" s="237">
        <v>215601</v>
      </c>
      <c r="M26" s="237">
        <v>176601</v>
      </c>
      <c r="N26" s="237">
        <v>145558</v>
      </c>
      <c r="O26" s="237">
        <v>1045874</v>
      </c>
      <c r="P26" s="237">
        <v>199237860</v>
      </c>
      <c r="Q26" s="237">
        <v>5412</v>
      </c>
      <c r="R26" s="237">
        <v>948369</v>
      </c>
      <c r="S26" s="237">
        <v>8674003</v>
      </c>
      <c r="T26" s="237"/>
      <c r="U26" s="237">
        <v>154516</v>
      </c>
      <c r="V26" s="237">
        <v>43611</v>
      </c>
      <c r="W26" s="237">
        <v>123949</v>
      </c>
      <c r="X26" s="237">
        <v>1037339628</v>
      </c>
      <c r="Y26" s="237">
        <v>3354676</v>
      </c>
      <c r="Z26" s="237">
        <v>7620</v>
      </c>
      <c r="AA26" s="237">
        <v>0</v>
      </c>
      <c r="AB26" s="237">
        <v>304</v>
      </c>
      <c r="AC26" s="237">
        <v>0</v>
      </c>
      <c r="AD26" s="237">
        <v>425</v>
      </c>
      <c r="AE26" s="237">
        <v>0</v>
      </c>
      <c r="AF26" s="237">
        <v>0</v>
      </c>
      <c r="AG26" s="237">
        <v>0</v>
      </c>
      <c r="AH26" s="237">
        <v>114015</v>
      </c>
      <c r="AI26" s="237">
        <v>96022</v>
      </c>
      <c r="AJ26" s="237">
        <v>981538455</v>
      </c>
      <c r="AK26" s="237">
        <v>8315</v>
      </c>
      <c r="AL26" s="237">
        <v>9415152</v>
      </c>
      <c r="AM26" s="237">
        <v>18627469</v>
      </c>
      <c r="AN26" s="237">
        <v>240952</v>
      </c>
      <c r="AO26" s="237">
        <v>18276</v>
      </c>
      <c r="AP26" s="237">
        <v>14333</v>
      </c>
      <c r="AQ26" s="237">
        <v>164109467</v>
      </c>
      <c r="AR26" s="237">
        <v>3623</v>
      </c>
      <c r="AS26" s="237">
        <v>1098300</v>
      </c>
      <c r="AT26" s="237">
        <v>108</v>
      </c>
      <c r="AU26" s="237">
        <v>355</v>
      </c>
      <c r="AV26" s="237">
        <v>459875</v>
      </c>
      <c r="AW26" s="237">
        <v>361</v>
      </c>
      <c r="AX26" s="237">
        <v>28400</v>
      </c>
      <c r="AY26" s="237">
        <v>1117</v>
      </c>
      <c r="AZ26" s="237">
        <v>866</v>
      </c>
      <c r="BA26" s="237">
        <v>53231957</v>
      </c>
      <c r="BB26" s="237">
        <v>298</v>
      </c>
      <c r="BC26" s="237">
        <v>32350</v>
      </c>
      <c r="BD26" s="237">
        <v>10362</v>
      </c>
      <c r="BE26" s="237">
        <v>2520</v>
      </c>
      <c r="BF26" s="237">
        <v>1774</v>
      </c>
      <c r="BG26" s="237">
        <v>46361632</v>
      </c>
      <c r="BH26" s="237">
        <v>1272</v>
      </c>
      <c r="BI26" s="237">
        <v>0</v>
      </c>
      <c r="BJ26" s="237">
        <v>0</v>
      </c>
      <c r="BK26" s="237">
        <v>142</v>
      </c>
      <c r="BL26" s="237">
        <v>115</v>
      </c>
      <c r="BM26" s="237">
        <v>4078151</v>
      </c>
      <c r="BN26" s="237">
        <v>49</v>
      </c>
      <c r="BO26" s="237">
        <v>77050</v>
      </c>
      <c r="BP26" s="237">
        <v>30820</v>
      </c>
      <c r="BQ26" s="237">
        <v>51744</v>
      </c>
      <c r="BR26" s="237">
        <v>26777</v>
      </c>
      <c r="BS26" s="237">
        <v>58894811</v>
      </c>
      <c r="BT26" s="237">
        <v>0</v>
      </c>
      <c r="BU26" s="238">
        <f t="shared" si="0"/>
        <v>795079.94849999994</v>
      </c>
      <c r="BV26" s="237">
        <v>36</v>
      </c>
      <c r="BW26" s="237">
        <v>35</v>
      </c>
      <c r="BX26" s="237">
        <v>1607475</v>
      </c>
      <c r="BY26" s="237">
        <v>0</v>
      </c>
      <c r="BZ26" s="237">
        <v>8037</v>
      </c>
      <c r="CA26" s="238">
        <v>0</v>
      </c>
      <c r="CB26" s="238">
        <v>0</v>
      </c>
      <c r="CC26" s="238">
        <v>0</v>
      </c>
      <c r="CD26" s="238">
        <v>0</v>
      </c>
      <c r="CE26" s="238">
        <v>0</v>
      </c>
      <c r="CF26" s="237">
        <v>0</v>
      </c>
      <c r="CG26" s="237">
        <v>0</v>
      </c>
      <c r="CH26" s="237">
        <v>0</v>
      </c>
      <c r="CI26" s="237">
        <v>0</v>
      </c>
      <c r="CJ26" s="237">
        <v>0</v>
      </c>
      <c r="CK26" s="239">
        <v>1656</v>
      </c>
      <c r="CL26" s="237">
        <v>89747786</v>
      </c>
      <c r="CM26" s="237">
        <v>0</v>
      </c>
      <c r="CN26" s="237">
        <v>0</v>
      </c>
      <c r="CO26" s="237">
        <v>93193</v>
      </c>
      <c r="CP26" s="237">
        <v>43077</v>
      </c>
      <c r="CQ26" s="239">
        <v>30725396</v>
      </c>
      <c r="CR26" s="237">
        <v>6052</v>
      </c>
      <c r="CS26" s="237">
        <v>11859</v>
      </c>
      <c r="CT26" s="237">
        <v>28410674</v>
      </c>
      <c r="CU26" s="237">
        <v>296898</v>
      </c>
      <c r="CV26" s="237">
        <v>1210</v>
      </c>
      <c r="CW26" s="237">
        <v>21196</v>
      </c>
      <c r="CX26" s="237">
        <v>19193</v>
      </c>
      <c r="CY26" s="237">
        <v>17618</v>
      </c>
      <c r="CZ26" s="237">
        <v>236979269</v>
      </c>
      <c r="DA26" s="237">
        <v>2522</v>
      </c>
      <c r="DB26" s="237">
        <v>36</v>
      </c>
      <c r="DC26" s="237">
        <v>3</v>
      </c>
      <c r="DD26" s="237">
        <v>316700</v>
      </c>
      <c r="DE26" s="237">
        <v>3</v>
      </c>
      <c r="DF26" s="237">
        <v>3928</v>
      </c>
      <c r="DG26" s="237">
        <v>121</v>
      </c>
      <c r="DH26" s="237">
        <v>0</v>
      </c>
      <c r="DI26" s="237">
        <v>0</v>
      </c>
      <c r="DJ26" s="237">
        <v>1</v>
      </c>
      <c r="DK26" s="237">
        <v>10269</v>
      </c>
      <c r="DL26" s="237">
        <v>3071</v>
      </c>
      <c r="DM26" s="237">
        <v>313329067</v>
      </c>
      <c r="DN26" s="237">
        <v>806</v>
      </c>
      <c r="DO26" s="237">
        <v>1914500</v>
      </c>
      <c r="DP26" s="237">
        <v>224</v>
      </c>
      <c r="DQ26" s="237">
        <v>14483903</v>
      </c>
      <c r="DR26" s="237">
        <v>185850</v>
      </c>
      <c r="DS26" s="237">
        <f>DK26</f>
        <v>10269</v>
      </c>
      <c r="DT26" s="237">
        <f>DM26</f>
        <v>313329067</v>
      </c>
      <c r="DU26" s="240">
        <f t="shared" si="1"/>
        <v>1914500</v>
      </c>
      <c r="DV26" s="237">
        <v>0</v>
      </c>
      <c r="DW26" s="237">
        <v>6463</v>
      </c>
      <c r="DX26" s="237">
        <v>199995818</v>
      </c>
      <c r="DY26" s="237">
        <f>DS26-DW26</f>
        <v>3806</v>
      </c>
      <c r="DZ26" s="237">
        <f>DT26-DX26</f>
        <v>113333249</v>
      </c>
      <c r="EA26" s="238">
        <f t="shared" si="2"/>
        <v>2472924</v>
      </c>
      <c r="EB26" s="238">
        <f t="shared" si="3"/>
        <v>3255042206</v>
      </c>
      <c r="EC26" s="238">
        <f t="shared" si="4"/>
        <v>31974</v>
      </c>
      <c r="ED26" s="241">
        <v>526341</v>
      </c>
      <c r="EE26" s="241">
        <v>220960</v>
      </c>
      <c r="EF26" s="241">
        <v>513667</v>
      </c>
      <c r="EG26" s="241">
        <v>37957</v>
      </c>
      <c r="EH26" s="241">
        <v>1388718</v>
      </c>
      <c r="EI26" s="242">
        <f t="shared" si="19"/>
        <v>24144136.683499999</v>
      </c>
      <c r="EJ26" s="243">
        <f t="shared" si="6"/>
        <v>13349801</v>
      </c>
      <c r="EK26" s="244">
        <v>8269</v>
      </c>
      <c r="EL26" s="245">
        <v>6923</v>
      </c>
      <c r="EM26" s="245">
        <v>2996294</v>
      </c>
      <c r="EN26" s="245">
        <f t="shared" si="7"/>
        <v>44944.409999999996</v>
      </c>
      <c r="EO26" s="245">
        <v>92549</v>
      </c>
      <c r="EP26" s="245">
        <v>63705</v>
      </c>
      <c r="EQ26" s="245">
        <v>23220555</v>
      </c>
      <c r="ER26" s="245">
        <f t="shared" si="8"/>
        <v>348308.32500000001</v>
      </c>
      <c r="ES26" s="246">
        <f t="shared" si="9"/>
        <v>100818</v>
      </c>
      <c r="ET26" s="246">
        <v>69184</v>
      </c>
      <c r="EU26" s="246">
        <f t="shared" si="23"/>
        <v>26216849</v>
      </c>
      <c r="EV26" s="247">
        <f t="shared" si="23"/>
        <v>393252.73499999999</v>
      </c>
      <c r="EW26" s="246">
        <f t="shared" si="11"/>
        <v>1038249</v>
      </c>
      <c r="EX26" s="246">
        <f t="shared" si="12"/>
        <v>43077</v>
      </c>
      <c r="EY26" s="247">
        <f t="shared" si="13"/>
        <v>203746407</v>
      </c>
      <c r="EZ26" s="246">
        <f t="shared" si="24"/>
        <v>51744</v>
      </c>
      <c r="FA26" s="246">
        <f t="shared" si="24"/>
        <v>26777</v>
      </c>
      <c r="FB26" s="246">
        <f t="shared" si="24"/>
        <v>58894811</v>
      </c>
      <c r="FC26" s="247">
        <f t="shared" si="15"/>
        <v>795079.94849999994</v>
      </c>
      <c r="FD26" s="246">
        <v>99</v>
      </c>
      <c r="FE26" s="246">
        <v>96</v>
      </c>
      <c r="FF26" s="246">
        <v>125499</v>
      </c>
    </row>
    <row r="27" spans="1:162" s="248" customFormat="1" ht="15" customHeight="1">
      <c r="A27" s="236">
        <v>45590</v>
      </c>
      <c r="B27" s="237">
        <v>7308</v>
      </c>
      <c r="C27" s="237">
        <v>16018</v>
      </c>
      <c r="D27" s="237">
        <v>16015</v>
      </c>
      <c r="E27" s="237">
        <v>738516</v>
      </c>
      <c r="F27" s="237">
        <v>307842</v>
      </c>
      <c r="G27" s="237">
        <v>3612859</v>
      </c>
      <c r="H27" s="237">
        <v>2500072</v>
      </c>
      <c r="I27" s="237">
        <v>1635854</v>
      </c>
      <c r="J27" s="237">
        <v>8727</v>
      </c>
      <c r="K27" s="237">
        <v>118</v>
      </c>
      <c r="L27" s="237">
        <v>215911</v>
      </c>
      <c r="M27" s="237">
        <v>176704</v>
      </c>
      <c r="N27" s="237">
        <v>145372</v>
      </c>
      <c r="O27" s="237">
        <v>994868</v>
      </c>
      <c r="P27" s="237">
        <v>191321895</v>
      </c>
      <c r="Q27" s="237">
        <v>5502</v>
      </c>
      <c r="R27" s="237">
        <v>895221</v>
      </c>
      <c r="S27" s="237">
        <v>8257900</v>
      </c>
      <c r="T27" s="237">
        <v>1</v>
      </c>
      <c r="U27" s="237">
        <v>146174</v>
      </c>
      <c r="V27" s="237">
        <v>42738</v>
      </c>
      <c r="W27" s="237">
        <v>118873</v>
      </c>
      <c r="X27" s="237">
        <v>1012146931</v>
      </c>
      <c r="Y27" s="237">
        <v>3279724</v>
      </c>
      <c r="Z27" s="237">
        <v>7725</v>
      </c>
      <c r="AA27" s="237">
        <v>0</v>
      </c>
      <c r="AB27" s="237">
        <v>313</v>
      </c>
      <c r="AC27" s="237">
        <v>0</v>
      </c>
      <c r="AD27" s="237">
        <v>448</v>
      </c>
      <c r="AE27" s="237">
        <v>0</v>
      </c>
      <c r="AF27" s="237">
        <v>0</v>
      </c>
      <c r="AG27" s="237">
        <v>0</v>
      </c>
      <c r="AH27" s="237">
        <v>108067</v>
      </c>
      <c r="AI27" s="237">
        <v>91344</v>
      </c>
      <c r="AJ27" s="237">
        <v>1021819509</v>
      </c>
      <c r="AK27" s="237">
        <v>8164</v>
      </c>
      <c r="AL27" s="237">
        <v>9373009</v>
      </c>
      <c r="AM27" s="237">
        <v>18569255</v>
      </c>
      <c r="AN27" s="237">
        <v>242925</v>
      </c>
      <c r="AO27" s="237">
        <v>18466</v>
      </c>
      <c r="AP27" s="237">
        <v>14676</v>
      </c>
      <c r="AQ27" s="237">
        <v>169313963</v>
      </c>
      <c r="AR27" s="237">
        <v>3845</v>
      </c>
      <c r="AS27" s="237">
        <v>1133100</v>
      </c>
      <c r="AT27" s="237">
        <v>126</v>
      </c>
      <c r="AU27" s="237">
        <v>386</v>
      </c>
      <c r="AV27" s="237">
        <v>350085</v>
      </c>
      <c r="AW27" s="237">
        <v>363</v>
      </c>
      <c r="AX27" s="237">
        <v>30300</v>
      </c>
      <c r="AY27" s="237">
        <v>1608</v>
      </c>
      <c r="AZ27" s="237">
        <v>1228</v>
      </c>
      <c r="BA27" s="237">
        <v>77862275</v>
      </c>
      <c r="BB27" s="237">
        <v>1009</v>
      </c>
      <c r="BC27" s="237">
        <v>36500</v>
      </c>
      <c r="BD27" s="237">
        <v>11921</v>
      </c>
      <c r="BE27" s="237">
        <v>2793</v>
      </c>
      <c r="BF27" s="237">
        <v>1887</v>
      </c>
      <c r="BG27" s="237">
        <v>54676855</v>
      </c>
      <c r="BH27" s="237">
        <v>9</v>
      </c>
      <c r="BI27" s="237">
        <v>0</v>
      </c>
      <c r="BJ27" s="237">
        <v>0</v>
      </c>
      <c r="BK27" s="237">
        <v>117</v>
      </c>
      <c r="BL27" s="237">
        <v>100</v>
      </c>
      <c r="BM27" s="237">
        <v>2872155</v>
      </c>
      <c r="BN27" s="237">
        <v>42</v>
      </c>
      <c r="BO27" s="237">
        <v>59600</v>
      </c>
      <c r="BP27" s="237">
        <v>23840</v>
      </c>
      <c r="BQ27" s="237">
        <v>49295</v>
      </c>
      <c r="BR27" s="237">
        <v>25827</v>
      </c>
      <c r="BS27" s="237">
        <v>65523688</v>
      </c>
      <c r="BT27" s="237">
        <v>0</v>
      </c>
      <c r="BU27" s="238">
        <f t="shared" si="0"/>
        <v>884569.78799999994</v>
      </c>
      <c r="BV27" s="237">
        <v>36</v>
      </c>
      <c r="BW27" s="237">
        <v>35</v>
      </c>
      <c r="BX27" s="237">
        <v>1185190</v>
      </c>
      <c r="BY27" s="237">
        <v>0</v>
      </c>
      <c r="BZ27" s="237">
        <v>5926</v>
      </c>
      <c r="CA27" s="238">
        <v>0</v>
      </c>
      <c r="CB27" s="238">
        <v>0</v>
      </c>
      <c r="CC27" s="238">
        <v>0</v>
      </c>
      <c r="CD27" s="238">
        <v>0</v>
      </c>
      <c r="CE27" s="238">
        <v>0</v>
      </c>
      <c r="CF27" s="237">
        <v>0</v>
      </c>
      <c r="CG27" s="237">
        <v>0</v>
      </c>
      <c r="CH27" s="237">
        <v>0</v>
      </c>
      <c r="CI27" s="237">
        <v>0</v>
      </c>
      <c r="CJ27" s="237">
        <v>0</v>
      </c>
      <c r="CK27" s="239">
        <v>3316</v>
      </c>
      <c r="CL27" s="237">
        <v>8612919</v>
      </c>
      <c r="CM27" s="237">
        <v>0</v>
      </c>
      <c r="CN27" s="237">
        <v>0</v>
      </c>
      <c r="CO27" s="237">
        <v>91344</v>
      </c>
      <c r="CP27" s="237">
        <v>41593</v>
      </c>
      <c r="CQ27" s="239">
        <v>30544229</v>
      </c>
      <c r="CR27" s="237">
        <v>6100</v>
      </c>
      <c r="CS27" s="237">
        <v>3819</v>
      </c>
      <c r="CT27" s="237">
        <v>11729249</v>
      </c>
      <c r="CU27" s="237">
        <v>134589</v>
      </c>
      <c r="CV27" s="237">
        <v>4375</v>
      </c>
      <c r="CW27" s="237">
        <v>7600</v>
      </c>
      <c r="CX27" s="237">
        <v>17656</v>
      </c>
      <c r="CY27" s="237">
        <v>16281</v>
      </c>
      <c r="CZ27" s="237">
        <v>221899671</v>
      </c>
      <c r="DA27" s="237">
        <v>2419</v>
      </c>
      <c r="DB27" s="237">
        <v>23</v>
      </c>
      <c r="DC27" s="237">
        <v>2</v>
      </c>
      <c r="DD27" s="237">
        <v>182400</v>
      </c>
      <c r="DE27" s="237">
        <v>1</v>
      </c>
      <c r="DF27" s="237">
        <v>2579</v>
      </c>
      <c r="DG27" s="237">
        <v>79</v>
      </c>
      <c r="DH27" s="237">
        <v>0</v>
      </c>
      <c r="DI27" s="237">
        <v>0</v>
      </c>
      <c r="DJ27" s="237">
        <v>1</v>
      </c>
      <c r="DK27" s="237">
        <v>10009</v>
      </c>
      <c r="DL27" s="237">
        <v>2938</v>
      </c>
      <c r="DM27" s="237">
        <v>296673490</v>
      </c>
      <c r="DN27" s="237">
        <v>701</v>
      </c>
      <c r="DO27" s="237">
        <v>1872300</v>
      </c>
      <c r="DP27" s="237">
        <v>144</v>
      </c>
      <c r="DQ27" s="237">
        <v>14726711</v>
      </c>
      <c r="DR27" s="237">
        <v>195950</v>
      </c>
      <c r="DS27" s="237">
        <f>DK27</f>
        <v>10009</v>
      </c>
      <c r="DT27" s="237">
        <f t="shared" ref="DT27:DT30" si="25">DM27</f>
        <v>296673490</v>
      </c>
      <c r="DU27" s="240">
        <f t="shared" si="1"/>
        <v>1872300</v>
      </c>
      <c r="DV27" s="237">
        <v>0</v>
      </c>
      <c r="DW27" s="237">
        <v>6386</v>
      </c>
      <c r="DX27" s="237">
        <v>195885865</v>
      </c>
      <c r="DY27" s="237">
        <f>DS27-DW27</f>
        <v>3623</v>
      </c>
      <c r="DZ27" s="237">
        <f t="shared" ref="DZ27:DZ30" si="26">DT27-DX27</f>
        <v>100787625</v>
      </c>
      <c r="EA27" s="238">
        <f t="shared" si="2"/>
        <v>2342939</v>
      </c>
      <c r="EB27" s="238">
        <f t="shared" si="3"/>
        <v>3174972404</v>
      </c>
      <c r="EC27" s="238">
        <f t="shared" si="4"/>
        <v>34645</v>
      </c>
      <c r="ED27" s="241">
        <v>1746733</v>
      </c>
      <c r="EE27" s="241">
        <v>232832</v>
      </c>
      <c r="EF27" s="241">
        <v>503770</v>
      </c>
      <c r="EG27" s="241">
        <v>38094</v>
      </c>
      <c r="EH27" s="241">
        <v>1390868</v>
      </c>
      <c r="EI27" s="242">
        <f t="shared" si="19"/>
        <v>25231280.458000001</v>
      </c>
      <c r="EJ27" s="243">
        <f t="shared" si="6"/>
        <v>13202443</v>
      </c>
      <c r="EK27" s="244">
        <v>8276</v>
      </c>
      <c r="EL27" s="245">
        <v>6923</v>
      </c>
      <c r="EM27" s="245">
        <v>2797443</v>
      </c>
      <c r="EN27" s="245">
        <f t="shared" si="7"/>
        <v>41961.644999999997</v>
      </c>
      <c r="EO27" s="245">
        <v>94905</v>
      </c>
      <c r="EP27" s="245">
        <v>65283</v>
      </c>
      <c r="EQ27" s="245">
        <v>23774535</v>
      </c>
      <c r="ER27" s="245">
        <f t="shared" si="8"/>
        <v>356618.02499999997</v>
      </c>
      <c r="ES27" s="246">
        <f t="shared" si="9"/>
        <v>103181</v>
      </c>
      <c r="ET27" s="246">
        <v>70668</v>
      </c>
      <c r="EU27" s="246">
        <f t="shared" si="23"/>
        <v>26571978</v>
      </c>
      <c r="EV27" s="247">
        <f t="shared" si="23"/>
        <v>398579.67</v>
      </c>
      <c r="EW27" s="246">
        <f t="shared" si="11"/>
        <v>983031</v>
      </c>
      <c r="EX27" s="246">
        <f t="shared" si="12"/>
        <v>41593</v>
      </c>
      <c r="EY27" s="247">
        <f t="shared" si="13"/>
        <v>195294146</v>
      </c>
      <c r="EZ27" s="246">
        <f t="shared" si="24"/>
        <v>49295</v>
      </c>
      <c r="FA27" s="246">
        <f t="shared" si="24"/>
        <v>25827</v>
      </c>
      <c r="FB27" s="246">
        <f t="shared" si="24"/>
        <v>65523688</v>
      </c>
      <c r="FC27" s="247">
        <f t="shared" si="15"/>
        <v>884569.78799999994</v>
      </c>
      <c r="FD27" s="246">
        <v>96</v>
      </c>
      <c r="FE27" s="246">
        <v>93</v>
      </c>
      <c r="FF27" s="246">
        <v>126996</v>
      </c>
    </row>
    <row r="28" spans="1:162" s="248" customFormat="1" ht="15" customHeight="1">
      <c r="A28" s="236">
        <v>45591</v>
      </c>
      <c r="B28" s="237">
        <v>3986</v>
      </c>
      <c r="C28" s="237">
        <v>9850</v>
      </c>
      <c r="D28" s="237">
        <v>9837</v>
      </c>
      <c r="E28" s="237">
        <v>741501</v>
      </c>
      <c r="F28" s="237">
        <v>327858</v>
      </c>
      <c r="G28" s="237">
        <v>3616695</v>
      </c>
      <c r="H28" s="237">
        <v>2503084</v>
      </c>
      <c r="I28" s="237">
        <v>1637720</v>
      </c>
      <c r="J28" s="237">
        <v>8406</v>
      </c>
      <c r="K28" s="237">
        <v>90</v>
      </c>
      <c r="L28" s="237">
        <v>216138</v>
      </c>
      <c r="M28" s="237">
        <v>176698</v>
      </c>
      <c r="N28" s="237">
        <v>145308</v>
      </c>
      <c r="O28" s="237">
        <v>1081175</v>
      </c>
      <c r="P28" s="237">
        <v>206674915</v>
      </c>
      <c r="Q28" s="237">
        <v>5960</v>
      </c>
      <c r="R28" s="237">
        <v>975720</v>
      </c>
      <c r="S28" s="237">
        <v>8970281</v>
      </c>
      <c r="T28" s="237"/>
      <c r="U28" s="237">
        <v>175313</v>
      </c>
      <c r="V28" s="237">
        <v>44736</v>
      </c>
      <c r="W28" s="237">
        <v>139252</v>
      </c>
      <c r="X28" s="237">
        <v>983733020</v>
      </c>
      <c r="Y28" s="237">
        <v>3214934</v>
      </c>
      <c r="Z28" s="237">
        <v>9014</v>
      </c>
      <c r="AA28" s="237">
        <v>0</v>
      </c>
      <c r="AB28" s="237">
        <v>360</v>
      </c>
      <c r="AC28" s="237">
        <v>0</v>
      </c>
      <c r="AD28" s="237">
        <v>478</v>
      </c>
      <c r="AE28" s="237">
        <v>0</v>
      </c>
      <c r="AF28" s="237">
        <v>0</v>
      </c>
      <c r="AG28" s="237">
        <v>0</v>
      </c>
      <c r="AH28" s="237">
        <v>123588</v>
      </c>
      <c r="AI28" s="237">
        <v>103908</v>
      </c>
      <c r="AJ28" s="237">
        <v>1000101508</v>
      </c>
      <c r="AK28" s="237">
        <v>9394</v>
      </c>
      <c r="AL28" s="237">
        <v>9931687</v>
      </c>
      <c r="AM28" s="237">
        <v>19634009</v>
      </c>
      <c r="AN28" s="237">
        <v>252847</v>
      </c>
      <c r="AO28" s="237">
        <v>19985</v>
      </c>
      <c r="AP28" s="237">
        <v>15794</v>
      </c>
      <c r="AQ28" s="237">
        <v>151755057</v>
      </c>
      <c r="AR28" s="237">
        <v>4061</v>
      </c>
      <c r="AS28" s="237">
        <v>1130800</v>
      </c>
      <c r="AT28" s="237">
        <v>168</v>
      </c>
      <c r="AU28" s="237">
        <v>502</v>
      </c>
      <c r="AV28" s="237">
        <v>495938</v>
      </c>
      <c r="AW28" s="237">
        <v>491</v>
      </c>
      <c r="AX28" s="237">
        <v>39300</v>
      </c>
      <c r="AY28" s="237">
        <v>1047</v>
      </c>
      <c r="AZ28" s="237">
        <v>849</v>
      </c>
      <c r="BA28" s="237">
        <v>34885954</v>
      </c>
      <c r="BB28" s="237">
        <v>302</v>
      </c>
      <c r="BC28" s="237">
        <v>12250</v>
      </c>
      <c r="BD28" s="237">
        <v>3913</v>
      </c>
      <c r="BE28" s="237">
        <v>2840</v>
      </c>
      <c r="BF28" s="237">
        <v>2000</v>
      </c>
      <c r="BG28" s="237">
        <v>50057656</v>
      </c>
      <c r="BH28" s="237">
        <v>15</v>
      </c>
      <c r="BI28" s="237">
        <v>0</v>
      </c>
      <c r="BJ28" s="237">
        <v>0</v>
      </c>
      <c r="BK28" s="237">
        <v>147</v>
      </c>
      <c r="BL28" s="237">
        <v>107</v>
      </c>
      <c r="BM28" s="237">
        <v>3223462</v>
      </c>
      <c r="BN28" s="237">
        <v>38</v>
      </c>
      <c r="BO28" s="237">
        <v>69500</v>
      </c>
      <c r="BP28" s="237">
        <v>27800</v>
      </c>
      <c r="BQ28" s="237">
        <v>78549</v>
      </c>
      <c r="BR28" s="237">
        <v>40389</v>
      </c>
      <c r="BS28" s="237">
        <v>95549050</v>
      </c>
      <c r="BT28" s="237">
        <v>0</v>
      </c>
      <c r="BU28" s="238">
        <f t="shared" si="0"/>
        <v>1289912.175</v>
      </c>
      <c r="BV28" s="237">
        <v>29</v>
      </c>
      <c r="BW28" s="237">
        <v>27</v>
      </c>
      <c r="BX28" s="237">
        <v>1078320</v>
      </c>
      <c r="BY28" s="237">
        <v>1</v>
      </c>
      <c r="BZ28" s="237">
        <v>5392</v>
      </c>
      <c r="CA28" s="238">
        <v>0</v>
      </c>
      <c r="CB28" s="238">
        <v>0</v>
      </c>
      <c r="CC28" s="238">
        <v>0</v>
      </c>
      <c r="CD28" s="238">
        <v>0</v>
      </c>
      <c r="CE28" s="238">
        <v>0</v>
      </c>
      <c r="CF28" s="237">
        <v>0</v>
      </c>
      <c r="CG28" s="237">
        <v>0</v>
      </c>
      <c r="CH28" s="237">
        <v>0</v>
      </c>
      <c r="CI28" s="237">
        <v>0</v>
      </c>
      <c r="CJ28" s="237">
        <v>0</v>
      </c>
      <c r="CK28" s="239">
        <v>42</v>
      </c>
      <c r="CL28" s="237">
        <v>663940</v>
      </c>
      <c r="CM28" s="237">
        <v>0</v>
      </c>
      <c r="CN28" s="237">
        <v>0</v>
      </c>
      <c r="CO28" s="237">
        <v>93192</v>
      </c>
      <c r="CP28" s="237">
        <v>43584</v>
      </c>
      <c r="CQ28" s="239">
        <v>29426026</v>
      </c>
      <c r="CR28" s="237">
        <v>6264</v>
      </c>
      <c r="CS28" s="237">
        <v>568</v>
      </c>
      <c r="CT28" s="237">
        <v>3464000</v>
      </c>
      <c r="CU28" s="237">
        <v>69185</v>
      </c>
      <c r="CV28" s="237">
        <v>7877</v>
      </c>
      <c r="CW28" s="237">
        <v>0</v>
      </c>
      <c r="CX28" s="237">
        <v>20491</v>
      </c>
      <c r="CY28" s="237">
        <v>18814</v>
      </c>
      <c r="CZ28" s="237">
        <v>184819914</v>
      </c>
      <c r="DA28" s="237">
        <v>2740</v>
      </c>
      <c r="DB28" s="237">
        <v>32</v>
      </c>
      <c r="DC28" s="237">
        <v>4</v>
      </c>
      <c r="DD28" s="237">
        <v>238850</v>
      </c>
      <c r="DE28" s="237">
        <v>4</v>
      </c>
      <c r="DF28" s="237">
        <v>3309</v>
      </c>
      <c r="DG28" s="237">
        <v>102</v>
      </c>
      <c r="DH28" s="237">
        <v>0</v>
      </c>
      <c r="DI28" s="237">
        <v>0</v>
      </c>
      <c r="DJ28" s="237">
        <v>1</v>
      </c>
      <c r="DK28" s="237">
        <v>10638</v>
      </c>
      <c r="DL28" s="237">
        <v>3005</v>
      </c>
      <c r="DM28" s="237">
        <v>279443073</v>
      </c>
      <c r="DN28" s="237">
        <v>685</v>
      </c>
      <c r="DO28" s="237">
        <v>1730000</v>
      </c>
      <c r="DP28" s="237">
        <v>160</v>
      </c>
      <c r="DQ28" s="237">
        <v>6501962</v>
      </c>
      <c r="DR28" s="237">
        <v>313750</v>
      </c>
      <c r="DS28" s="237">
        <f>DK28</f>
        <v>10638</v>
      </c>
      <c r="DT28" s="237">
        <f t="shared" si="25"/>
        <v>279443073</v>
      </c>
      <c r="DU28" s="240">
        <f t="shared" si="1"/>
        <v>1730000</v>
      </c>
      <c r="DV28" s="237">
        <v>0</v>
      </c>
      <c r="DW28" s="237">
        <v>6864</v>
      </c>
      <c r="DX28" s="237">
        <v>181012782</v>
      </c>
      <c r="DY28" s="237">
        <f t="shared" ref="DY28:DY30" si="27">DS28-DW28</f>
        <v>3774</v>
      </c>
      <c r="DZ28" s="237">
        <f t="shared" si="26"/>
        <v>98430291</v>
      </c>
      <c r="EA28" s="238">
        <f t="shared" si="2"/>
        <v>2583525</v>
      </c>
      <c r="EB28" s="238">
        <f t="shared" si="3"/>
        <v>3034580964</v>
      </c>
      <c r="EC28" s="238">
        <f t="shared" si="4"/>
        <v>40839</v>
      </c>
      <c r="ED28" s="241">
        <v>554932</v>
      </c>
      <c r="EE28" s="241">
        <v>193661</v>
      </c>
      <c r="EF28" s="241">
        <v>486632</v>
      </c>
      <c r="EG28" s="241">
        <v>39531</v>
      </c>
      <c r="EH28" s="241">
        <v>1325675</v>
      </c>
      <c r="EI28" s="242">
        <f t="shared" si="19"/>
        <v>25250578.650000002</v>
      </c>
      <c r="EJ28" s="243">
        <f t="shared" si="6"/>
        <v>13668275</v>
      </c>
      <c r="EK28" s="244">
        <v>8565</v>
      </c>
      <c r="EL28" s="245">
        <v>7160</v>
      </c>
      <c r="EM28" s="245">
        <v>2966380</v>
      </c>
      <c r="EN28" s="245">
        <f t="shared" si="7"/>
        <v>44495.7</v>
      </c>
      <c r="EO28" s="245">
        <v>100513</v>
      </c>
      <c r="EP28" s="245">
        <v>68765</v>
      </c>
      <c r="EQ28" s="245">
        <v>24809585</v>
      </c>
      <c r="ER28" s="245">
        <f t="shared" si="8"/>
        <v>372143.77499999997</v>
      </c>
      <c r="ES28" s="246">
        <f t="shared" si="9"/>
        <v>109078</v>
      </c>
      <c r="ET28" s="246">
        <v>74297</v>
      </c>
      <c r="EU28" s="246">
        <f t="shared" si="23"/>
        <v>27775965</v>
      </c>
      <c r="EV28" s="247">
        <f t="shared" si="23"/>
        <v>416639.47499999998</v>
      </c>
      <c r="EW28" s="246">
        <f t="shared" si="11"/>
        <v>1065289</v>
      </c>
      <c r="EX28" s="246">
        <f t="shared" si="12"/>
        <v>43584</v>
      </c>
      <c r="EY28" s="247">
        <f t="shared" si="13"/>
        <v>208324976</v>
      </c>
      <c r="EZ28" s="246">
        <f t="shared" si="24"/>
        <v>78549</v>
      </c>
      <c r="FA28" s="246">
        <f t="shared" si="24"/>
        <v>40389</v>
      </c>
      <c r="FB28" s="246">
        <f t="shared" si="24"/>
        <v>95549050</v>
      </c>
      <c r="FC28" s="247">
        <f t="shared" si="15"/>
        <v>1289912.175</v>
      </c>
      <c r="FD28" s="246">
        <v>93</v>
      </c>
      <c r="FE28" s="246">
        <v>84</v>
      </c>
      <c r="FF28" s="246">
        <v>104998</v>
      </c>
    </row>
    <row r="29" spans="1:162" s="248" customFormat="1" ht="15" customHeight="1">
      <c r="A29" s="236">
        <v>45592</v>
      </c>
      <c r="B29" s="237">
        <v>1879</v>
      </c>
      <c r="C29" s="237">
        <v>5327</v>
      </c>
      <c r="D29" s="237">
        <v>5323</v>
      </c>
      <c r="E29" s="237">
        <v>739472</v>
      </c>
      <c r="F29" s="237">
        <v>306831</v>
      </c>
      <c r="G29" s="237">
        <v>3619859</v>
      </c>
      <c r="H29" s="237">
        <v>2499872</v>
      </c>
      <c r="I29" s="237">
        <v>1637228</v>
      </c>
      <c r="J29" s="237">
        <v>6929</v>
      </c>
      <c r="K29" s="237">
        <v>20</v>
      </c>
      <c r="L29" s="237">
        <v>216300</v>
      </c>
      <c r="M29" s="237">
        <v>176604</v>
      </c>
      <c r="N29" s="237">
        <v>144912</v>
      </c>
      <c r="O29" s="237">
        <v>1016179</v>
      </c>
      <c r="P29" s="237">
        <v>188858355</v>
      </c>
      <c r="Q29" s="237">
        <v>5881</v>
      </c>
      <c r="R29" s="237">
        <v>911295</v>
      </c>
      <c r="S29" s="237">
        <v>8133293</v>
      </c>
      <c r="T29" s="237"/>
      <c r="U29" s="237">
        <v>139878</v>
      </c>
      <c r="V29" s="237">
        <v>35268</v>
      </c>
      <c r="W29" s="237">
        <v>113191</v>
      </c>
      <c r="X29" s="237">
        <v>651094889</v>
      </c>
      <c r="Y29" s="237">
        <v>2137515</v>
      </c>
      <c r="Z29" s="237">
        <v>7024</v>
      </c>
      <c r="AA29" s="237">
        <v>0</v>
      </c>
      <c r="AB29" s="237">
        <v>336</v>
      </c>
      <c r="AC29" s="237">
        <v>0</v>
      </c>
      <c r="AD29" s="237">
        <v>466</v>
      </c>
      <c r="AE29" s="237">
        <v>0</v>
      </c>
      <c r="AF29" s="237">
        <v>0</v>
      </c>
      <c r="AG29" s="237">
        <v>0</v>
      </c>
      <c r="AH29" s="237">
        <v>102703</v>
      </c>
      <c r="AI29" s="237">
        <v>87557</v>
      </c>
      <c r="AJ29" s="237">
        <v>688131801</v>
      </c>
      <c r="AK29" s="237">
        <v>7690</v>
      </c>
      <c r="AL29" s="237">
        <v>7626298</v>
      </c>
      <c r="AM29" s="237">
        <v>14964991</v>
      </c>
      <c r="AN29" s="237">
        <v>189865</v>
      </c>
      <c r="AO29" s="237">
        <v>18761</v>
      </c>
      <c r="AP29" s="237">
        <v>15183</v>
      </c>
      <c r="AQ29" s="237">
        <v>116571305</v>
      </c>
      <c r="AR29" s="237">
        <v>3787</v>
      </c>
      <c r="AS29" s="237">
        <v>1109200</v>
      </c>
      <c r="AT29" s="237">
        <v>156</v>
      </c>
      <c r="AU29" s="237">
        <v>414</v>
      </c>
      <c r="AV29" s="237">
        <v>361464</v>
      </c>
      <c r="AW29" s="237">
        <v>387</v>
      </c>
      <c r="AX29" s="237">
        <v>36000</v>
      </c>
      <c r="AY29" s="237">
        <v>749</v>
      </c>
      <c r="AZ29" s="237">
        <v>612</v>
      </c>
      <c r="BA29" s="237">
        <v>19804095</v>
      </c>
      <c r="BB29" s="237">
        <v>243</v>
      </c>
      <c r="BC29" s="237">
        <v>16700</v>
      </c>
      <c r="BD29" s="237">
        <v>5114</v>
      </c>
      <c r="BE29" s="237">
        <v>2501</v>
      </c>
      <c r="BF29" s="237">
        <v>1774</v>
      </c>
      <c r="BG29" s="237">
        <v>32235854</v>
      </c>
      <c r="BH29" s="237">
        <v>11</v>
      </c>
      <c r="BI29" s="237">
        <v>0</v>
      </c>
      <c r="BJ29" s="237">
        <v>0</v>
      </c>
      <c r="BK29" s="237">
        <v>86</v>
      </c>
      <c r="BL29" s="237">
        <v>72</v>
      </c>
      <c r="BM29" s="237">
        <v>2774124</v>
      </c>
      <c r="BN29" s="237">
        <v>34</v>
      </c>
      <c r="BO29" s="237">
        <v>54300</v>
      </c>
      <c r="BP29" s="237">
        <v>21720</v>
      </c>
      <c r="BQ29" s="237">
        <v>62682</v>
      </c>
      <c r="BR29" s="237">
        <v>30862</v>
      </c>
      <c r="BS29" s="237">
        <v>71308229</v>
      </c>
      <c r="BT29" s="237">
        <v>0</v>
      </c>
      <c r="BU29" s="238">
        <f t="shared" si="0"/>
        <v>962661.09149999998</v>
      </c>
      <c r="BV29" s="237">
        <v>33</v>
      </c>
      <c r="BW29" s="237">
        <v>32</v>
      </c>
      <c r="BX29" s="237">
        <v>1324296</v>
      </c>
      <c r="BY29" s="237">
        <v>0</v>
      </c>
      <c r="BZ29" s="237">
        <v>6621</v>
      </c>
      <c r="CA29" s="238">
        <v>0</v>
      </c>
      <c r="CB29" s="238">
        <v>0</v>
      </c>
      <c r="CC29" s="238">
        <v>0</v>
      </c>
      <c r="CD29" s="238">
        <v>0</v>
      </c>
      <c r="CE29" s="238">
        <v>0</v>
      </c>
      <c r="CF29" s="237">
        <v>0</v>
      </c>
      <c r="CG29" s="237">
        <v>0</v>
      </c>
      <c r="CH29" s="237">
        <v>0</v>
      </c>
      <c r="CI29" s="237">
        <v>0</v>
      </c>
      <c r="CJ29" s="237">
        <v>0</v>
      </c>
      <c r="CK29" s="239">
        <v>2</v>
      </c>
      <c r="CL29" s="237">
        <v>463000</v>
      </c>
      <c r="CM29" s="237">
        <v>0</v>
      </c>
      <c r="CN29" s="237">
        <v>0</v>
      </c>
      <c r="CO29" s="237">
        <v>86115</v>
      </c>
      <c r="CP29" s="237">
        <v>38213</v>
      </c>
      <c r="CQ29" s="239">
        <v>24855022</v>
      </c>
      <c r="CR29" s="237">
        <v>6131</v>
      </c>
      <c r="CS29" s="237">
        <v>26039</v>
      </c>
      <c r="CT29" s="237">
        <v>70243779</v>
      </c>
      <c r="CU29" s="237">
        <v>716362</v>
      </c>
      <c r="CV29" s="237">
        <v>4132</v>
      </c>
      <c r="CW29" s="237">
        <v>38254</v>
      </c>
      <c r="CX29" s="237">
        <v>18113</v>
      </c>
      <c r="CY29" s="237">
        <v>16728</v>
      </c>
      <c r="CZ29" s="237">
        <v>105080673</v>
      </c>
      <c r="DA29" s="237">
        <v>2508</v>
      </c>
      <c r="DB29" s="237">
        <v>19</v>
      </c>
      <c r="DC29" s="237">
        <v>1</v>
      </c>
      <c r="DD29" s="237">
        <v>110575</v>
      </c>
      <c r="DE29" s="237">
        <v>0</v>
      </c>
      <c r="DF29" s="237">
        <v>1649</v>
      </c>
      <c r="DG29" s="237">
        <v>52</v>
      </c>
      <c r="DH29" s="237">
        <v>0</v>
      </c>
      <c r="DI29" s="237">
        <v>0</v>
      </c>
      <c r="DJ29" s="237">
        <v>1</v>
      </c>
      <c r="DK29" s="237">
        <v>7872</v>
      </c>
      <c r="DL29" s="237">
        <v>2010</v>
      </c>
      <c r="DM29" s="237">
        <v>136529339</v>
      </c>
      <c r="DN29" s="237">
        <v>446</v>
      </c>
      <c r="DO29" s="237">
        <v>873750</v>
      </c>
      <c r="DP29" s="237">
        <v>120</v>
      </c>
      <c r="DQ29" s="237">
        <v>8566502</v>
      </c>
      <c r="DR29" s="237">
        <v>279850</v>
      </c>
      <c r="DS29" s="237">
        <f>DK29</f>
        <v>7872</v>
      </c>
      <c r="DT29" s="237">
        <f t="shared" si="25"/>
        <v>136529339</v>
      </c>
      <c r="DU29" s="240">
        <f t="shared" si="1"/>
        <v>873750</v>
      </c>
      <c r="DV29" s="237">
        <v>0</v>
      </c>
      <c r="DW29" s="237">
        <v>5485</v>
      </c>
      <c r="DX29" s="237">
        <v>96099821</v>
      </c>
      <c r="DY29" s="237">
        <f t="shared" si="27"/>
        <v>2387</v>
      </c>
      <c r="DZ29" s="237">
        <f t="shared" si="26"/>
        <v>40429518</v>
      </c>
      <c r="EA29" s="238">
        <f t="shared" si="2"/>
        <v>2393184</v>
      </c>
      <c r="EB29" s="238">
        <f t="shared" si="3"/>
        <v>2117880093</v>
      </c>
      <c r="EC29" s="238">
        <f t="shared" si="4"/>
        <v>32533</v>
      </c>
      <c r="ED29" s="241">
        <v>403831</v>
      </c>
      <c r="EE29" s="241">
        <v>175129</v>
      </c>
      <c r="EF29" s="241">
        <v>501889</v>
      </c>
      <c r="EG29" s="241">
        <v>35109</v>
      </c>
      <c r="EH29" s="241">
        <v>1121762</v>
      </c>
      <c r="EI29" s="242">
        <f t="shared" si="19"/>
        <v>19833027.506499998</v>
      </c>
      <c r="EJ29" s="243">
        <f t="shared" si="6"/>
        <v>10332439</v>
      </c>
      <c r="EK29" s="244">
        <v>8470</v>
      </c>
      <c r="EL29" s="245">
        <v>7036</v>
      </c>
      <c r="EM29" s="245">
        <v>2458136</v>
      </c>
      <c r="EN29" s="245">
        <f t="shared" si="7"/>
        <v>36872.04</v>
      </c>
      <c r="EO29" s="245">
        <v>99992</v>
      </c>
      <c r="EP29" s="245">
        <v>68123</v>
      </c>
      <c r="EQ29" s="245">
        <v>23907625</v>
      </c>
      <c r="ER29" s="245">
        <f t="shared" si="8"/>
        <v>358614.375</v>
      </c>
      <c r="ES29" s="246">
        <f t="shared" si="9"/>
        <v>108462</v>
      </c>
      <c r="ET29" s="246">
        <v>73575</v>
      </c>
      <c r="EU29" s="246">
        <f t="shared" si="23"/>
        <v>26365761</v>
      </c>
      <c r="EV29" s="247">
        <f t="shared" si="23"/>
        <v>395486.41499999998</v>
      </c>
      <c r="EW29" s="246">
        <f t="shared" si="11"/>
        <v>993832</v>
      </c>
      <c r="EX29" s="246">
        <f t="shared" si="12"/>
        <v>38213</v>
      </c>
      <c r="EY29" s="247">
        <f t="shared" si="13"/>
        <v>187347616</v>
      </c>
      <c r="EZ29" s="246">
        <f t="shared" si="24"/>
        <v>62682</v>
      </c>
      <c r="FA29" s="246">
        <f t="shared" si="24"/>
        <v>30862</v>
      </c>
      <c r="FB29" s="246">
        <f t="shared" si="24"/>
        <v>71308229</v>
      </c>
      <c r="FC29" s="247">
        <f t="shared" si="15"/>
        <v>962661.09149999998</v>
      </c>
      <c r="FD29" s="246">
        <v>98</v>
      </c>
      <c r="FE29" s="246">
        <v>95</v>
      </c>
      <c r="FF29" s="246">
        <v>117996</v>
      </c>
    </row>
    <row r="30" spans="1:162" s="248" customFormat="1" ht="15" customHeight="1">
      <c r="A30" s="236">
        <v>45593</v>
      </c>
      <c r="B30" s="237">
        <v>5796</v>
      </c>
      <c r="C30" s="237">
        <v>15330</v>
      </c>
      <c r="D30" s="237">
        <v>15330</v>
      </c>
      <c r="E30" s="237">
        <v>736158</v>
      </c>
      <c r="F30" s="237">
        <v>312319</v>
      </c>
      <c r="G30" s="237">
        <v>3623271</v>
      </c>
      <c r="H30" s="237">
        <v>2497719</v>
      </c>
      <c r="I30" s="237">
        <v>1637217</v>
      </c>
      <c r="J30" s="237">
        <v>8749</v>
      </c>
      <c r="K30" s="237">
        <v>58</v>
      </c>
      <c r="L30" s="237">
        <v>216384</v>
      </c>
      <c r="M30" s="237">
        <v>176631</v>
      </c>
      <c r="N30" s="237">
        <v>145036</v>
      </c>
      <c r="O30" s="237">
        <v>1052930</v>
      </c>
      <c r="P30" s="237">
        <v>204364880</v>
      </c>
      <c r="Q30" s="237">
        <v>5975</v>
      </c>
      <c r="R30" s="237">
        <v>954169</v>
      </c>
      <c r="S30" s="237">
        <v>8901697</v>
      </c>
      <c r="T30" s="237"/>
      <c r="U30" s="237">
        <v>146404</v>
      </c>
      <c r="V30" s="237">
        <v>42295</v>
      </c>
      <c r="W30" s="237">
        <v>119047</v>
      </c>
      <c r="X30" s="237">
        <v>1159262343</v>
      </c>
      <c r="Y30" s="237">
        <v>3748762</v>
      </c>
      <c r="Z30" s="237">
        <v>7762</v>
      </c>
      <c r="AA30" s="237">
        <v>0</v>
      </c>
      <c r="AB30" s="237">
        <v>306</v>
      </c>
      <c r="AC30" s="237">
        <v>0</v>
      </c>
      <c r="AD30" s="237">
        <v>418</v>
      </c>
      <c r="AE30" s="237">
        <v>0</v>
      </c>
      <c r="AF30" s="237">
        <v>0</v>
      </c>
      <c r="AG30" s="237">
        <v>0</v>
      </c>
      <c r="AH30" s="237">
        <v>114938</v>
      </c>
      <c r="AI30" s="237">
        <v>97141</v>
      </c>
      <c r="AJ30" s="237">
        <v>1082728441</v>
      </c>
      <c r="AK30" s="237">
        <v>8673</v>
      </c>
      <c r="AL30" s="237">
        <v>9732624</v>
      </c>
      <c r="AM30" s="237">
        <v>19482407</v>
      </c>
      <c r="AN30" s="237">
        <v>250353</v>
      </c>
      <c r="AO30" s="237">
        <v>17232</v>
      </c>
      <c r="AP30" s="237">
        <v>13612</v>
      </c>
      <c r="AQ30" s="237">
        <v>174118853</v>
      </c>
      <c r="AR30" s="237">
        <v>3370</v>
      </c>
      <c r="AS30" s="237">
        <v>1090500</v>
      </c>
      <c r="AT30" s="237">
        <v>109</v>
      </c>
      <c r="AU30" s="237">
        <v>329</v>
      </c>
      <c r="AV30" s="237">
        <v>450596</v>
      </c>
      <c r="AW30" s="237">
        <v>315</v>
      </c>
      <c r="AX30" s="237">
        <v>28500</v>
      </c>
      <c r="AY30" s="237">
        <v>1133</v>
      </c>
      <c r="AZ30" s="237">
        <v>761</v>
      </c>
      <c r="BA30" s="237">
        <v>37744751</v>
      </c>
      <c r="BB30" s="237">
        <v>324</v>
      </c>
      <c r="BC30" s="237">
        <v>28750</v>
      </c>
      <c r="BD30" s="237">
        <v>8922</v>
      </c>
      <c r="BE30" s="237">
        <v>2897</v>
      </c>
      <c r="BF30" s="237">
        <v>2070</v>
      </c>
      <c r="BG30" s="237">
        <v>53269881</v>
      </c>
      <c r="BH30" s="237">
        <v>21</v>
      </c>
      <c r="BI30" s="237">
        <v>0</v>
      </c>
      <c r="BJ30" s="237">
        <v>0</v>
      </c>
      <c r="BK30" s="237">
        <v>141</v>
      </c>
      <c r="BL30" s="237">
        <v>106</v>
      </c>
      <c r="BM30" s="237">
        <v>2503650</v>
      </c>
      <c r="BN30" s="237">
        <v>37</v>
      </c>
      <c r="BO30" s="237">
        <v>60100</v>
      </c>
      <c r="BP30" s="237">
        <v>24040</v>
      </c>
      <c r="BQ30" s="237">
        <v>37773</v>
      </c>
      <c r="BR30" s="237">
        <v>19835</v>
      </c>
      <c r="BS30" s="237">
        <v>49420747</v>
      </c>
      <c r="BT30" s="237">
        <v>0</v>
      </c>
      <c r="BU30" s="238">
        <f t="shared" si="0"/>
        <v>667180.0845</v>
      </c>
      <c r="BV30" s="237">
        <v>40</v>
      </c>
      <c r="BW30" s="237">
        <v>36</v>
      </c>
      <c r="BX30" s="237">
        <v>2094425</v>
      </c>
      <c r="BY30" s="237">
        <v>0</v>
      </c>
      <c r="BZ30" s="237">
        <v>10472</v>
      </c>
      <c r="CA30" s="238">
        <v>0</v>
      </c>
      <c r="CB30" s="238">
        <v>0</v>
      </c>
      <c r="CC30" s="238">
        <v>0</v>
      </c>
      <c r="CD30" s="238">
        <v>0</v>
      </c>
      <c r="CE30" s="238">
        <v>0</v>
      </c>
      <c r="CF30" s="237">
        <v>0</v>
      </c>
      <c r="CG30" s="237">
        <v>0</v>
      </c>
      <c r="CH30" s="237">
        <v>0</v>
      </c>
      <c r="CI30" s="237">
        <v>0</v>
      </c>
      <c r="CJ30" s="237">
        <v>0</v>
      </c>
      <c r="CK30" s="239">
        <v>1919</v>
      </c>
      <c r="CL30" s="237">
        <v>38198788</v>
      </c>
      <c r="CM30" s="237">
        <v>0</v>
      </c>
      <c r="CN30" s="237">
        <v>0</v>
      </c>
      <c r="CO30" s="237">
        <v>94366</v>
      </c>
      <c r="CP30" s="237">
        <v>43992</v>
      </c>
      <c r="CQ30" s="239">
        <v>31632431</v>
      </c>
      <c r="CR30" s="237">
        <v>6782</v>
      </c>
      <c r="CS30" s="237">
        <v>12927</v>
      </c>
      <c r="CT30" s="237">
        <v>33184175</v>
      </c>
      <c r="CU30" s="237">
        <v>347250</v>
      </c>
      <c r="CV30" s="237">
        <v>1638</v>
      </c>
      <c r="CW30" s="237">
        <v>24932</v>
      </c>
      <c r="CX30" s="237">
        <v>20158</v>
      </c>
      <c r="CY30" s="237">
        <v>18196</v>
      </c>
      <c r="CZ30" s="237">
        <v>314390895</v>
      </c>
      <c r="DA30" s="237">
        <v>2634</v>
      </c>
      <c r="DB30" s="237">
        <v>40</v>
      </c>
      <c r="DC30" s="237">
        <v>1</v>
      </c>
      <c r="DD30" s="237">
        <v>166750</v>
      </c>
      <c r="DE30" s="237">
        <v>0</v>
      </c>
      <c r="DF30" s="237">
        <v>2802</v>
      </c>
      <c r="DG30" s="237">
        <v>91</v>
      </c>
      <c r="DH30" s="237">
        <v>0</v>
      </c>
      <c r="DI30" s="237">
        <v>0</v>
      </c>
      <c r="DJ30" s="237">
        <v>1</v>
      </c>
      <c r="DK30" s="237">
        <v>10869</v>
      </c>
      <c r="DL30" s="237">
        <v>3140</v>
      </c>
      <c r="DM30" s="237">
        <v>331673219</v>
      </c>
      <c r="DN30" s="237">
        <v>807</v>
      </c>
      <c r="DO30" s="237">
        <v>1968800</v>
      </c>
      <c r="DP30" s="237">
        <v>234</v>
      </c>
      <c r="DQ30" s="237">
        <v>11830855</v>
      </c>
      <c r="DR30" s="237">
        <v>232800</v>
      </c>
      <c r="DS30" s="237">
        <f>DK30</f>
        <v>10869</v>
      </c>
      <c r="DT30" s="237">
        <f t="shared" si="25"/>
        <v>331673219</v>
      </c>
      <c r="DU30" s="240">
        <f t="shared" si="1"/>
        <v>1968800</v>
      </c>
      <c r="DV30" s="237">
        <v>0</v>
      </c>
      <c r="DW30" s="237">
        <v>6862</v>
      </c>
      <c r="DX30" s="237">
        <v>222796517</v>
      </c>
      <c r="DY30" s="237">
        <f t="shared" si="27"/>
        <v>4007</v>
      </c>
      <c r="DZ30" s="237">
        <f t="shared" si="26"/>
        <v>108876702</v>
      </c>
      <c r="EA30" s="238">
        <f t="shared" si="2"/>
        <v>2468046</v>
      </c>
      <c r="EB30" s="238">
        <f t="shared" si="3"/>
        <v>3524106522</v>
      </c>
      <c r="EC30" s="238">
        <f t="shared" si="4"/>
        <v>32208</v>
      </c>
      <c r="ED30" s="241">
        <v>660178</v>
      </c>
      <c r="EE30" s="241">
        <v>235282</v>
      </c>
      <c r="EF30" s="241">
        <v>348582</v>
      </c>
      <c r="EG30" s="241">
        <v>25757</v>
      </c>
      <c r="EH30" s="241">
        <v>1433126</v>
      </c>
      <c r="EI30" s="242">
        <f t="shared" si="19"/>
        <v>25108045.929499999</v>
      </c>
      <c r="EJ30" s="243">
        <f t="shared" si="6"/>
        <v>13890664</v>
      </c>
      <c r="EK30" s="244">
        <v>8490</v>
      </c>
      <c r="EL30" s="245">
        <v>7133</v>
      </c>
      <c r="EM30" s="245">
        <v>2937143</v>
      </c>
      <c r="EN30" s="245">
        <f t="shared" si="7"/>
        <v>44057.144999999997</v>
      </c>
      <c r="EO30" s="245">
        <v>93766</v>
      </c>
      <c r="EP30" s="245">
        <v>64451</v>
      </c>
      <c r="EQ30" s="245">
        <v>23871580</v>
      </c>
      <c r="ER30" s="245">
        <f t="shared" si="8"/>
        <v>358073.7</v>
      </c>
      <c r="ES30" s="246">
        <f t="shared" si="9"/>
        <v>102256</v>
      </c>
      <c r="ET30" s="246">
        <v>69970</v>
      </c>
      <c r="EU30" s="246">
        <f t="shared" si="23"/>
        <v>26808723</v>
      </c>
      <c r="EV30" s="247">
        <f t="shared" si="23"/>
        <v>402130.84500000003</v>
      </c>
      <c r="EW30" s="246">
        <f t="shared" si="11"/>
        <v>1045040</v>
      </c>
      <c r="EX30" s="246">
        <f t="shared" si="12"/>
        <v>43992</v>
      </c>
      <c r="EY30" s="247">
        <f t="shared" si="13"/>
        <v>209188588</v>
      </c>
      <c r="EZ30" s="246">
        <f t="shared" si="24"/>
        <v>37773</v>
      </c>
      <c r="FA30" s="246">
        <f t="shared" si="24"/>
        <v>19835</v>
      </c>
      <c r="FB30" s="246">
        <f t="shared" si="24"/>
        <v>49420747</v>
      </c>
      <c r="FC30" s="247">
        <f t="shared" si="15"/>
        <v>667180.0845</v>
      </c>
      <c r="FD30" s="246">
        <v>113</v>
      </c>
      <c r="FE30" s="246">
        <v>107</v>
      </c>
      <c r="FF30" s="246">
        <v>126496</v>
      </c>
    </row>
    <row r="31" spans="1:162" s="248" customFormat="1" ht="15" customHeight="1">
      <c r="A31" s="236">
        <v>45594</v>
      </c>
      <c r="B31" s="237">
        <v>5464</v>
      </c>
      <c r="C31" s="237">
        <v>15951</v>
      </c>
      <c r="D31" s="237">
        <v>15951</v>
      </c>
      <c r="E31" s="237">
        <v>734712</v>
      </c>
      <c r="F31" s="237">
        <v>311158</v>
      </c>
      <c r="G31" s="237">
        <v>3626888</v>
      </c>
      <c r="H31" s="237">
        <v>2496025</v>
      </c>
      <c r="I31" s="237">
        <v>1638497</v>
      </c>
      <c r="J31" s="237">
        <v>8718</v>
      </c>
      <c r="K31" s="237">
        <v>26</v>
      </c>
      <c r="L31" s="237">
        <v>216579</v>
      </c>
      <c r="M31" s="237">
        <v>176779</v>
      </c>
      <c r="N31" s="237">
        <v>145332</v>
      </c>
      <c r="O31" s="237">
        <v>1027385</v>
      </c>
      <c r="P31" s="237">
        <v>195913145</v>
      </c>
      <c r="Q31" s="237">
        <v>5446</v>
      </c>
      <c r="R31" s="237">
        <v>930958</v>
      </c>
      <c r="S31" s="237">
        <v>8523725</v>
      </c>
      <c r="T31" s="237">
        <v>1</v>
      </c>
      <c r="U31" s="237">
        <v>145829</v>
      </c>
      <c r="V31" s="237">
        <v>42519</v>
      </c>
      <c r="W31" s="237">
        <v>118568</v>
      </c>
      <c r="X31" s="237">
        <v>1037622839</v>
      </c>
      <c r="Y31" s="237">
        <v>3363971</v>
      </c>
      <c r="Z31" s="237">
        <v>7497</v>
      </c>
      <c r="AA31" s="237">
        <v>0</v>
      </c>
      <c r="AB31" s="237">
        <v>329</v>
      </c>
      <c r="AC31" s="237">
        <v>0</v>
      </c>
      <c r="AD31" s="237">
        <v>437</v>
      </c>
      <c r="AE31" s="237">
        <v>0</v>
      </c>
      <c r="AF31" s="237">
        <v>0</v>
      </c>
      <c r="AG31" s="237">
        <v>0</v>
      </c>
      <c r="AH31" s="237">
        <v>113293</v>
      </c>
      <c r="AI31" s="237">
        <v>95731</v>
      </c>
      <c r="AJ31" s="237">
        <v>1021245588</v>
      </c>
      <c r="AK31" s="237">
        <v>8674</v>
      </c>
      <c r="AL31" s="237">
        <v>9670793</v>
      </c>
      <c r="AM31" s="237">
        <v>19115753</v>
      </c>
      <c r="AN31" s="237">
        <v>249336</v>
      </c>
      <c r="AO31" s="237">
        <v>17100</v>
      </c>
      <c r="AP31" s="237">
        <v>13030</v>
      </c>
      <c r="AQ31" s="237">
        <v>168962295</v>
      </c>
      <c r="AR31" s="237">
        <v>3021</v>
      </c>
      <c r="AS31" s="237">
        <v>1039200</v>
      </c>
      <c r="AT31" s="237">
        <v>105</v>
      </c>
      <c r="AU31" s="237">
        <v>350</v>
      </c>
      <c r="AV31" s="237">
        <v>557736</v>
      </c>
      <c r="AW31" s="237">
        <v>329</v>
      </c>
      <c r="AX31" s="237">
        <v>27200</v>
      </c>
      <c r="AY31" s="237">
        <v>1561</v>
      </c>
      <c r="AZ31" s="237">
        <v>1041</v>
      </c>
      <c r="BA31" s="237">
        <v>59661820</v>
      </c>
      <c r="BB31" s="237">
        <v>330</v>
      </c>
      <c r="BC31" s="237">
        <v>33000</v>
      </c>
      <c r="BD31" s="237">
        <v>10485</v>
      </c>
      <c r="BE31" s="237">
        <v>2924</v>
      </c>
      <c r="BF31" s="237">
        <v>2050</v>
      </c>
      <c r="BG31" s="237">
        <v>51032190</v>
      </c>
      <c r="BH31" s="237">
        <v>23</v>
      </c>
      <c r="BI31" s="237">
        <v>0</v>
      </c>
      <c r="BJ31" s="237">
        <v>0</v>
      </c>
      <c r="BK31" s="237">
        <v>156</v>
      </c>
      <c r="BL31" s="237">
        <v>118</v>
      </c>
      <c r="BM31" s="237">
        <v>3755030</v>
      </c>
      <c r="BN31" s="237">
        <v>28</v>
      </c>
      <c r="BO31" s="237">
        <v>80750</v>
      </c>
      <c r="BP31" s="237">
        <v>32300</v>
      </c>
      <c r="BQ31" s="237">
        <v>44852</v>
      </c>
      <c r="BR31" s="237">
        <v>23618</v>
      </c>
      <c r="BS31" s="237">
        <v>58654083</v>
      </c>
      <c r="BT31" s="237">
        <v>0</v>
      </c>
      <c r="BU31" s="238">
        <f t="shared" si="0"/>
        <v>791830.12049999996</v>
      </c>
      <c r="BV31" s="237">
        <v>28</v>
      </c>
      <c r="BW31" s="237">
        <v>26</v>
      </c>
      <c r="BX31" s="237">
        <v>1445780</v>
      </c>
      <c r="BY31" s="237">
        <v>0</v>
      </c>
      <c r="BZ31" s="237">
        <v>7229</v>
      </c>
      <c r="CA31" s="238">
        <v>0</v>
      </c>
      <c r="CB31" s="238">
        <v>0</v>
      </c>
      <c r="CC31" s="238">
        <v>0</v>
      </c>
      <c r="CD31" s="238">
        <v>0</v>
      </c>
      <c r="CE31" s="238">
        <v>0</v>
      </c>
      <c r="CF31" s="237">
        <v>0</v>
      </c>
      <c r="CG31" s="237">
        <v>0</v>
      </c>
      <c r="CH31" s="237">
        <v>0</v>
      </c>
      <c r="CI31" s="237">
        <v>0</v>
      </c>
      <c r="CJ31" s="237">
        <v>0</v>
      </c>
      <c r="CK31" s="239">
        <v>3726</v>
      </c>
      <c r="CL31" s="237">
        <v>52497511</v>
      </c>
      <c r="CM31" s="237">
        <v>0</v>
      </c>
      <c r="CN31" s="237">
        <v>0</v>
      </c>
      <c r="CO31" s="237">
        <v>92606</v>
      </c>
      <c r="CP31" s="237">
        <v>43181</v>
      </c>
      <c r="CQ31" s="239">
        <v>29010456</v>
      </c>
      <c r="CR31" s="237">
        <v>6428</v>
      </c>
      <c r="CS31" s="237">
        <v>11246</v>
      </c>
      <c r="CT31" s="237">
        <v>31479187</v>
      </c>
      <c r="CU31" s="237">
        <v>297192</v>
      </c>
      <c r="CV31" s="237">
        <v>1248</v>
      </c>
      <c r="CW31" s="237">
        <v>20831</v>
      </c>
      <c r="CX31" s="237">
        <v>20356</v>
      </c>
      <c r="CY31" s="237">
        <v>17682</v>
      </c>
      <c r="CZ31" s="237">
        <v>248728182</v>
      </c>
      <c r="DA31" s="237">
        <v>2536</v>
      </c>
      <c r="DB31" s="237">
        <v>23</v>
      </c>
      <c r="DC31" s="237">
        <v>5</v>
      </c>
      <c r="DD31" s="237">
        <v>474304</v>
      </c>
      <c r="DE31" s="237">
        <v>6</v>
      </c>
      <c r="DF31" s="237">
        <v>4979</v>
      </c>
      <c r="DG31" s="237">
        <v>147</v>
      </c>
      <c r="DH31" s="237">
        <v>0</v>
      </c>
      <c r="DI31" s="237">
        <v>0</v>
      </c>
      <c r="DJ31" s="237">
        <v>1</v>
      </c>
      <c r="DK31" s="237">
        <v>10373</v>
      </c>
      <c r="DL31" s="237">
        <v>3078</v>
      </c>
      <c r="DM31" s="237">
        <v>322524260</v>
      </c>
      <c r="DN31" s="237">
        <v>730</v>
      </c>
      <c r="DO31" s="237">
        <v>1903750</v>
      </c>
      <c r="DP31" s="237">
        <v>157</v>
      </c>
      <c r="DQ31" s="237">
        <v>5652062</v>
      </c>
      <c r="DR31" s="237">
        <v>106300</v>
      </c>
      <c r="DS31" s="237">
        <f t="shared" ref="DS31" si="28">DK31</f>
        <v>10373</v>
      </c>
      <c r="DT31" s="237">
        <f>DM31</f>
        <v>322524260</v>
      </c>
      <c r="DU31" s="240">
        <f t="shared" si="1"/>
        <v>1903750</v>
      </c>
      <c r="DV31" s="237">
        <v>1</v>
      </c>
      <c r="DW31" s="237">
        <v>6475</v>
      </c>
      <c r="DX31" s="237">
        <v>218836171</v>
      </c>
      <c r="DY31" s="237">
        <f>DS31-DW31</f>
        <v>3898</v>
      </c>
      <c r="DZ31" s="237">
        <f>DT31-DX31</f>
        <v>103688089</v>
      </c>
      <c r="EA31" s="238">
        <f t="shared" si="2"/>
        <v>2422522</v>
      </c>
      <c r="EB31" s="238">
        <f t="shared" si="3"/>
        <v>3292088131</v>
      </c>
      <c r="EC31" s="238">
        <f t="shared" si="4"/>
        <v>30715</v>
      </c>
      <c r="ED31" s="241">
        <v>1750251</v>
      </c>
      <c r="EE31" s="241">
        <v>257859</v>
      </c>
      <c r="EF31" s="241">
        <v>547871</v>
      </c>
      <c r="EG31" s="241">
        <v>0</v>
      </c>
      <c r="EH31" s="241">
        <v>1326338</v>
      </c>
      <c r="EI31" s="242">
        <f t="shared" si="19"/>
        <v>25801388.445499998</v>
      </c>
      <c r="EJ31" s="243">
        <f t="shared" si="6"/>
        <v>13651230</v>
      </c>
      <c r="EK31" s="244">
        <v>8362</v>
      </c>
      <c r="EL31" s="245">
        <v>7009</v>
      </c>
      <c r="EM31" s="245">
        <v>2524045</v>
      </c>
      <c r="EN31" s="245">
        <f t="shared" si="7"/>
        <v>37860.674999999996</v>
      </c>
      <c r="EO31" s="245">
        <v>91527</v>
      </c>
      <c r="EP31" s="245">
        <v>63516</v>
      </c>
      <c r="EQ31" s="245">
        <v>23067910</v>
      </c>
      <c r="ER31" s="245">
        <f t="shared" si="8"/>
        <v>346018.64999999997</v>
      </c>
      <c r="ES31" s="246">
        <f t="shared" si="9"/>
        <v>99889</v>
      </c>
      <c r="ET31" s="246">
        <v>69121</v>
      </c>
      <c r="EU31" s="246">
        <f t="shared" si="23"/>
        <v>25591955</v>
      </c>
      <c r="EV31" s="247">
        <f t="shared" si="23"/>
        <v>383879.32499999995</v>
      </c>
      <c r="EW31" s="246">
        <f t="shared" si="11"/>
        <v>1020102</v>
      </c>
      <c r="EX31" s="246">
        <f t="shared" si="12"/>
        <v>43181</v>
      </c>
      <c r="EY31" s="247">
        <f t="shared" si="13"/>
        <v>199331646</v>
      </c>
      <c r="EZ31" s="246">
        <f t="shared" si="24"/>
        <v>44852</v>
      </c>
      <c r="FA31" s="246">
        <f t="shared" si="24"/>
        <v>23618</v>
      </c>
      <c r="FB31" s="246">
        <f t="shared" si="24"/>
        <v>58654083</v>
      </c>
      <c r="FC31" s="247">
        <f t="shared" si="15"/>
        <v>791830.12049999996</v>
      </c>
      <c r="FD31" s="246">
        <v>93</v>
      </c>
      <c r="FE31" s="246">
        <v>83</v>
      </c>
      <c r="FF31" s="246">
        <v>113495</v>
      </c>
    </row>
    <row r="32" spans="1:162" s="248" customFormat="1" ht="15" customHeight="1">
      <c r="A32" s="236">
        <v>45595</v>
      </c>
      <c r="B32" s="237">
        <v>5090</v>
      </c>
      <c r="C32" s="237">
        <v>16435</v>
      </c>
      <c r="D32" s="237">
        <v>16433</v>
      </c>
      <c r="E32" s="237">
        <v>732597</v>
      </c>
      <c r="F32" s="237">
        <v>317856</v>
      </c>
      <c r="G32" s="237">
        <v>3630554</v>
      </c>
      <c r="H32" s="237">
        <v>2496965</v>
      </c>
      <c r="I32" s="237">
        <v>1635291</v>
      </c>
      <c r="J32" s="237">
        <v>8729</v>
      </c>
      <c r="K32" s="237">
        <v>148</v>
      </c>
      <c r="L32" s="237">
        <v>216791</v>
      </c>
      <c r="M32" s="237">
        <v>177035</v>
      </c>
      <c r="N32" s="237">
        <v>145712</v>
      </c>
      <c r="O32" s="237">
        <v>1035874</v>
      </c>
      <c r="P32" s="237">
        <v>200456280</v>
      </c>
      <c r="Q32" s="237">
        <v>5613</v>
      </c>
      <c r="R32" s="237">
        <v>934246</v>
      </c>
      <c r="S32" s="237">
        <v>8703533</v>
      </c>
      <c r="T32" s="237"/>
      <c r="U32" s="237">
        <v>157521</v>
      </c>
      <c r="V32" s="237">
        <v>44017</v>
      </c>
      <c r="W32" s="237">
        <v>126568</v>
      </c>
      <c r="X32" s="237">
        <v>1100259563</v>
      </c>
      <c r="Y32" s="237">
        <v>3537356</v>
      </c>
      <c r="Z32" s="237">
        <v>8215</v>
      </c>
      <c r="AA32" s="237">
        <v>0</v>
      </c>
      <c r="AB32" s="237">
        <v>315</v>
      </c>
      <c r="AC32" s="237">
        <v>0</v>
      </c>
      <c r="AD32" s="237">
        <v>437</v>
      </c>
      <c r="AE32" s="237">
        <v>0</v>
      </c>
      <c r="AF32" s="237">
        <v>0</v>
      </c>
      <c r="AG32" s="237">
        <v>0</v>
      </c>
      <c r="AH32" s="237">
        <v>116278</v>
      </c>
      <c r="AI32" s="237">
        <v>97701</v>
      </c>
      <c r="AJ32" s="237">
        <v>1079410988</v>
      </c>
      <c r="AK32" s="237">
        <v>8559</v>
      </c>
      <c r="AL32" s="237">
        <v>9947134</v>
      </c>
      <c r="AM32" s="237">
        <v>19754863</v>
      </c>
      <c r="AN32" s="237">
        <v>256856</v>
      </c>
      <c r="AO32" s="237">
        <v>18442</v>
      </c>
      <c r="AP32" s="237">
        <v>14063</v>
      </c>
      <c r="AQ32" s="237">
        <v>176432101</v>
      </c>
      <c r="AR32" s="237">
        <v>3152</v>
      </c>
      <c r="AS32" s="237">
        <v>1116600</v>
      </c>
      <c r="AT32" s="237">
        <v>107</v>
      </c>
      <c r="AU32" s="237">
        <v>368</v>
      </c>
      <c r="AV32" s="237">
        <v>738893</v>
      </c>
      <c r="AW32" s="237">
        <v>370</v>
      </c>
      <c r="AX32" s="237">
        <v>32300</v>
      </c>
      <c r="AY32" s="237">
        <v>1344</v>
      </c>
      <c r="AZ32" s="237">
        <v>899</v>
      </c>
      <c r="BA32" s="237">
        <v>50108815</v>
      </c>
      <c r="BB32" s="237">
        <v>604</v>
      </c>
      <c r="BC32" s="237">
        <v>30250</v>
      </c>
      <c r="BD32" s="237">
        <v>9404</v>
      </c>
      <c r="BE32" s="237">
        <v>3033</v>
      </c>
      <c r="BF32" s="237">
        <v>2060</v>
      </c>
      <c r="BG32" s="237">
        <v>57243939</v>
      </c>
      <c r="BH32" s="237">
        <v>18</v>
      </c>
      <c r="BI32" s="237">
        <v>0</v>
      </c>
      <c r="BJ32" s="237">
        <v>0</v>
      </c>
      <c r="BK32" s="237">
        <v>153</v>
      </c>
      <c r="BL32" s="237">
        <v>127</v>
      </c>
      <c r="BM32" s="237">
        <v>3597146</v>
      </c>
      <c r="BN32" s="237">
        <v>23</v>
      </c>
      <c r="BO32" s="237">
        <v>73250</v>
      </c>
      <c r="BP32" s="237">
        <v>29300</v>
      </c>
      <c r="BQ32" s="237">
        <v>55430</v>
      </c>
      <c r="BR32" s="237">
        <v>29216</v>
      </c>
      <c r="BS32" s="237">
        <v>67250845</v>
      </c>
      <c r="BT32" s="237">
        <v>0</v>
      </c>
      <c r="BU32" s="238">
        <f t="shared" si="0"/>
        <v>907886.40749999997</v>
      </c>
      <c r="BV32" s="237">
        <v>35</v>
      </c>
      <c r="BW32" s="237">
        <v>31</v>
      </c>
      <c r="BX32" s="237">
        <v>1176405</v>
      </c>
      <c r="BY32" s="237">
        <v>0</v>
      </c>
      <c r="BZ32" s="237">
        <v>5882</v>
      </c>
      <c r="CA32" s="238">
        <v>0</v>
      </c>
      <c r="CB32" s="238">
        <v>0</v>
      </c>
      <c r="CC32" s="238">
        <v>0</v>
      </c>
      <c r="CD32" s="238">
        <v>0</v>
      </c>
      <c r="CE32" s="238">
        <v>0</v>
      </c>
      <c r="CF32" s="237">
        <v>0</v>
      </c>
      <c r="CG32" s="237">
        <v>0</v>
      </c>
      <c r="CH32" s="237">
        <v>0</v>
      </c>
      <c r="CI32" s="237">
        <v>0</v>
      </c>
      <c r="CJ32" s="237">
        <v>0</v>
      </c>
      <c r="CK32" s="239">
        <v>188</v>
      </c>
      <c r="CL32" s="237">
        <v>50784093</v>
      </c>
      <c r="CM32" s="237">
        <v>0</v>
      </c>
      <c r="CN32" s="237">
        <v>0</v>
      </c>
      <c r="CO32" s="237">
        <v>90656</v>
      </c>
      <c r="CP32" s="237">
        <v>43599</v>
      </c>
      <c r="CQ32" s="239">
        <v>29348079</v>
      </c>
      <c r="CR32" s="237">
        <v>12275</v>
      </c>
      <c r="CS32" s="237">
        <v>11664</v>
      </c>
      <c r="CT32" s="237">
        <v>30111778</v>
      </c>
      <c r="CU32" s="237">
        <v>315008</v>
      </c>
      <c r="CV32" s="237">
        <v>1143</v>
      </c>
      <c r="CW32" s="237">
        <v>23082</v>
      </c>
      <c r="CX32" s="237">
        <v>19819</v>
      </c>
      <c r="CY32" s="237">
        <v>17965</v>
      </c>
      <c r="CZ32" s="237">
        <v>261652590</v>
      </c>
      <c r="DA32" s="237">
        <v>2569</v>
      </c>
      <c r="DB32" s="237">
        <v>23</v>
      </c>
      <c r="DC32" s="237">
        <v>3</v>
      </c>
      <c r="DD32" s="237">
        <v>294550</v>
      </c>
      <c r="DE32" s="237">
        <v>2</v>
      </c>
      <c r="DF32" s="237">
        <v>3374</v>
      </c>
      <c r="DG32" s="237">
        <v>104</v>
      </c>
      <c r="DH32" s="237">
        <v>0</v>
      </c>
      <c r="DI32" s="237">
        <v>0</v>
      </c>
      <c r="DJ32" s="237">
        <v>1</v>
      </c>
      <c r="DK32" s="237">
        <v>10431</v>
      </c>
      <c r="DL32" s="237">
        <v>3118</v>
      </c>
      <c r="DM32" s="237">
        <v>306089718</v>
      </c>
      <c r="DN32" s="237">
        <v>1119</v>
      </c>
      <c r="DO32" s="237">
        <v>2043450</v>
      </c>
      <c r="DP32" s="237">
        <v>452</v>
      </c>
      <c r="DQ32" s="237">
        <v>33045099</v>
      </c>
      <c r="DR32" s="237">
        <v>246050</v>
      </c>
      <c r="DS32" s="237">
        <f>DK32</f>
        <v>10431</v>
      </c>
      <c r="DT32" s="237">
        <f>DM32</f>
        <v>306089718</v>
      </c>
      <c r="DU32" s="240">
        <f t="shared" si="1"/>
        <v>2043450</v>
      </c>
      <c r="DV32" s="237"/>
      <c r="DW32" s="237">
        <v>6574</v>
      </c>
      <c r="DX32" s="237">
        <v>199218629</v>
      </c>
      <c r="DY32" s="237">
        <f>DS32-DW32</f>
        <v>3857</v>
      </c>
      <c r="DZ32" s="237">
        <f>DT32-DX32</f>
        <v>106871089</v>
      </c>
      <c r="EA32" s="238">
        <f t="shared" si="2"/>
        <v>2455245</v>
      </c>
      <c r="EB32" s="238">
        <f t="shared" si="3"/>
        <v>3423659316</v>
      </c>
      <c r="EC32" s="238">
        <f t="shared" si="4"/>
        <v>37819</v>
      </c>
      <c r="ED32" s="241">
        <v>1284562</v>
      </c>
      <c r="EE32" s="241">
        <v>252530</v>
      </c>
      <c r="EF32" s="241">
        <v>497671</v>
      </c>
      <c r="EG32" s="241">
        <v>37678</v>
      </c>
      <c r="EH32" s="241">
        <v>1329988</v>
      </c>
      <c r="EI32" s="242">
        <f t="shared" si="19"/>
        <v>26288268.892499998</v>
      </c>
      <c r="EJ32" s="243">
        <f t="shared" si="6"/>
        <v>14047321</v>
      </c>
      <c r="EK32" s="244">
        <v>8052</v>
      </c>
      <c r="EL32" s="245">
        <v>6767</v>
      </c>
      <c r="EM32" s="245">
        <v>2814929</v>
      </c>
      <c r="EN32" s="245">
        <f t="shared" si="7"/>
        <v>42223.934999999998</v>
      </c>
      <c r="EO32" s="245">
        <v>93244</v>
      </c>
      <c r="EP32" s="245">
        <v>64471</v>
      </c>
      <c r="EQ32" s="245">
        <v>23464370</v>
      </c>
      <c r="ER32" s="245">
        <f t="shared" si="8"/>
        <v>351965.55</v>
      </c>
      <c r="ES32" s="246">
        <f t="shared" si="9"/>
        <v>101296</v>
      </c>
      <c r="ET32" s="246">
        <v>69852</v>
      </c>
      <c r="EU32" s="246">
        <f t="shared" si="23"/>
        <v>26279299</v>
      </c>
      <c r="EV32" s="247">
        <f t="shared" si="23"/>
        <v>394189.48499999999</v>
      </c>
      <c r="EW32" s="246">
        <f t="shared" si="11"/>
        <v>1025234</v>
      </c>
      <c r="EX32" s="246">
        <f t="shared" si="12"/>
        <v>43599</v>
      </c>
      <c r="EY32" s="247">
        <f t="shared" si="13"/>
        <v>203525060</v>
      </c>
      <c r="EZ32" s="246">
        <f t="shared" si="24"/>
        <v>55430</v>
      </c>
      <c r="FA32" s="246">
        <f t="shared" si="24"/>
        <v>29216</v>
      </c>
      <c r="FB32" s="246">
        <f t="shared" si="24"/>
        <v>67250845</v>
      </c>
      <c r="FC32" s="247">
        <f t="shared" si="15"/>
        <v>907886.40749999997</v>
      </c>
      <c r="FD32" s="246">
        <v>79</v>
      </c>
      <c r="FE32" s="246">
        <v>74</v>
      </c>
      <c r="FF32" s="246">
        <v>77498</v>
      </c>
    </row>
    <row r="33" spans="1:162" s="248" customFormat="1" ht="15" customHeight="1">
      <c r="A33" s="236">
        <v>45596</v>
      </c>
      <c r="B33" s="237">
        <v>4505</v>
      </c>
      <c r="C33" s="237">
        <v>16643</v>
      </c>
      <c r="D33" s="237">
        <v>16643</v>
      </c>
      <c r="E33" s="237">
        <v>730829</v>
      </c>
      <c r="F33" s="237">
        <v>312043</v>
      </c>
      <c r="G33" s="237">
        <v>3634435</v>
      </c>
      <c r="H33" s="237">
        <v>2495981</v>
      </c>
      <c r="I33" s="237">
        <v>1634092</v>
      </c>
      <c r="J33" s="237">
        <v>8753</v>
      </c>
      <c r="K33" s="237">
        <v>160</v>
      </c>
      <c r="L33" s="237">
        <v>217124</v>
      </c>
      <c r="M33" s="237">
        <v>177543</v>
      </c>
      <c r="N33" s="237">
        <v>146171</v>
      </c>
      <c r="O33" s="237">
        <v>1031616</v>
      </c>
      <c r="P33" s="237">
        <v>200852665</v>
      </c>
      <c r="Q33" s="237">
        <v>5561</v>
      </c>
      <c r="R33" s="237">
        <v>932556</v>
      </c>
      <c r="S33" s="237">
        <v>8685339</v>
      </c>
      <c r="T33" s="237">
        <v>1</v>
      </c>
      <c r="U33" s="237">
        <v>151080</v>
      </c>
      <c r="V33" s="237">
        <v>43472</v>
      </c>
      <c r="W33" s="237">
        <v>122367</v>
      </c>
      <c r="X33" s="237">
        <v>1162607553</v>
      </c>
      <c r="Y33" s="237">
        <v>3750595</v>
      </c>
      <c r="Z33" s="237">
        <v>8127</v>
      </c>
      <c r="AA33" s="237">
        <v>0</v>
      </c>
      <c r="AB33" s="237">
        <v>293</v>
      </c>
      <c r="AC33" s="237">
        <v>0</v>
      </c>
      <c r="AD33" s="237">
        <v>415</v>
      </c>
      <c r="AE33" s="237">
        <v>0</v>
      </c>
      <c r="AF33" s="237">
        <v>0</v>
      </c>
      <c r="AG33" s="237">
        <v>0</v>
      </c>
      <c r="AH33" s="237">
        <v>114035</v>
      </c>
      <c r="AI33" s="237">
        <v>95889</v>
      </c>
      <c r="AJ33" s="237">
        <v>1045769669</v>
      </c>
      <c r="AK33" s="237">
        <v>8546</v>
      </c>
      <c r="AL33" s="237">
        <v>9785156</v>
      </c>
      <c r="AM33" s="237">
        <v>19395286</v>
      </c>
      <c r="AN33" s="237">
        <v>253290</v>
      </c>
      <c r="AO33" s="237">
        <v>17054</v>
      </c>
      <c r="AP33" s="237">
        <v>13295</v>
      </c>
      <c r="AQ33" s="237">
        <v>167992661</v>
      </c>
      <c r="AR33" s="237">
        <v>2939</v>
      </c>
      <c r="AS33" s="237">
        <v>1033100</v>
      </c>
      <c r="AT33" s="237">
        <v>106</v>
      </c>
      <c r="AU33" s="237">
        <v>330</v>
      </c>
      <c r="AV33" s="237">
        <v>642860</v>
      </c>
      <c r="AW33" s="237">
        <v>296</v>
      </c>
      <c r="AX33" s="237">
        <v>30000</v>
      </c>
      <c r="AY33" s="237">
        <v>1180</v>
      </c>
      <c r="AZ33" s="237">
        <v>935</v>
      </c>
      <c r="BA33" s="237">
        <v>50902938</v>
      </c>
      <c r="BB33" s="237">
        <v>440</v>
      </c>
      <c r="BC33" s="237">
        <v>32950</v>
      </c>
      <c r="BD33" s="237">
        <v>10372</v>
      </c>
      <c r="BE33" s="237">
        <v>3036</v>
      </c>
      <c r="BF33" s="237">
        <v>2058</v>
      </c>
      <c r="BG33" s="237">
        <v>58096561</v>
      </c>
      <c r="BH33" s="237">
        <v>7</v>
      </c>
      <c r="BI33" s="237">
        <v>0</v>
      </c>
      <c r="BJ33" s="237">
        <v>0</v>
      </c>
      <c r="BK33" s="237">
        <v>147</v>
      </c>
      <c r="BL33" s="237">
        <v>114</v>
      </c>
      <c r="BM33" s="237">
        <v>4592860</v>
      </c>
      <c r="BN33" s="237">
        <v>34</v>
      </c>
      <c r="BO33" s="237">
        <v>88050</v>
      </c>
      <c r="BP33" s="237">
        <v>35220</v>
      </c>
      <c r="BQ33" s="237">
        <v>43402</v>
      </c>
      <c r="BR33" s="237">
        <v>22922</v>
      </c>
      <c r="BS33" s="237">
        <v>54513804</v>
      </c>
      <c r="BT33" s="237">
        <v>0</v>
      </c>
      <c r="BU33" s="238">
        <f t="shared" si="0"/>
        <v>735936.35399999993</v>
      </c>
      <c r="BV33" s="237">
        <v>43</v>
      </c>
      <c r="BW33" s="237">
        <v>39</v>
      </c>
      <c r="BX33" s="237">
        <v>1788625</v>
      </c>
      <c r="BY33" s="237">
        <v>0</v>
      </c>
      <c r="BZ33" s="237">
        <v>8943</v>
      </c>
      <c r="CA33" s="238">
        <v>0</v>
      </c>
      <c r="CB33" s="238">
        <v>0</v>
      </c>
      <c r="CC33" s="238">
        <v>0</v>
      </c>
      <c r="CD33" s="238">
        <v>0</v>
      </c>
      <c r="CE33" s="238">
        <v>0</v>
      </c>
      <c r="CF33" s="237">
        <v>0</v>
      </c>
      <c r="CG33" s="237">
        <v>0</v>
      </c>
      <c r="CH33" s="237">
        <v>0</v>
      </c>
      <c r="CI33" s="237">
        <v>0</v>
      </c>
      <c r="CJ33" s="237">
        <v>0</v>
      </c>
      <c r="CK33" s="239">
        <v>4078</v>
      </c>
      <c r="CL33" s="237">
        <v>57318678</v>
      </c>
      <c r="CM33" s="237">
        <v>0</v>
      </c>
      <c r="CN33" s="237">
        <v>0</v>
      </c>
      <c r="CO33" s="237">
        <v>94116</v>
      </c>
      <c r="CP33" s="237">
        <v>43734</v>
      </c>
      <c r="CQ33" s="239">
        <v>35268277</v>
      </c>
      <c r="CR33" s="237">
        <v>9531</v>
      </c>
      <c r="CS33" s="237">
        <v>13795</v>
      </c>
      <c r="CT33" s="237">
        <v>38556058</v>
      </c>
      <c r="CU33" s="237">
        <v>403656</v>
      </c>
      <c r="CV33" s="237">
        <v>1237</v>
      </c>
      <c r="CW33" s="237">
        <v>27202</v>
      </c>
      <c r="CX33" s="237">
        <v>20347</v>
      </c>
      <c r="CY33" s="237">
        <v>17575</v>
      </c>
      <c r="CZ33" s="237">
        <v>359351918</v>
      </c>
      <c r="DA33" s="237">
        <v>2592</v>
      </c>
      <c r="DB33" s="237">
        <v>28</v>
      </c>
      <c r="DC33" s="237">
        <v>2</v>
      </c>
      <c r="DD33" s="237">
        <v>455650</v>
      </c>
      <c r="DE33" s="237">
        <v>1</v>
      </c>
      <c r="DF33" s="237">
        <v>4288</v>
      </c>
      <c r="DG33" s="237">
        <v>129</v>
      </c>
      <c r="DH33" s="237">
        <v>0</v>
      </c>
      <c r="DI33" s="237">
        <v>0</v>
      </c>
      <c r="DJ33" s="237">
        <v>1</v>
      </c>
      <c r="DK33" s="237">
        <v>10538</v>
      </c>
      <c r="DL33" s="237">
        <v>3160</v>
      </c>
      <c r="DM33" s="237">
        <v>319060977</v>
      </c>
      <c r="DN33" s="237">
        <v>984</v>
      </c>
      <c r="DO33" s="237">
        <v>2132000</v>
      </c>
      <c r="DP33" s="237">
        <v>377</v>
      </c>
      <c r="DQ33" s="237">
        <v>23504794</v>
      </c>
      <c r="DR33" s="237">
        <v>331800</v>
      </c>
      <c r="DS33" s="237">
        <f>DK33</f>
        <v>10538</v>
      </c>
      <c r="DT33" s="237">
        <f>DM33</f>
        <v>319060977</v>
      </c>
      <c r="DU33" s="240">
        <f t="shared" si="1"/>
        <v>2132000</v>
      </c>
      <c r="DV33" s="237">
        <v>0</v>
      </c>
      <c r="DW33" s="237">
        <v>6610</v>
      </c>
      <c r="DX33" s="237">
        <v>191064111</v>
      </c>
      <c r="DY33" s="237">
        <f t="shared" ref="DY33:DZ33" si="29">DS33-DW33</f>
        <v>3928</v>
      </c>
      <c r="DZ33" s="237">
        <f t="shared" si="29"/>
        <v>127996866</v>
      </c>
      <c r="EA33" s="238">
        <f t="shared" si="2"/>
        <v>2437158</v>
      </c>
      <c r="EB33" s="238">
        <f t="shared" si="3"/>
        <v>3566457093</v>
      </c>
      <c r="EC33" s="238">
        <f t="shared" si="4"/>
        <v>34543</v>
      </c>
      <c r="ED33" s="241">
        <v>573629</v>
      </c>
      <c r="EE33" s="241">
        <v>226993</v>
      </c>
      <c r="EF33" s="241">
        <v>528426</v>
      </c>
      <c r="EG33" s="241">
        <v>36741</v>
      </c>
      <c r="EH33" s="241">
        <v>1602421</v>
      </c>
      <c r="EI33" s="242">
        <f t="shared" si="19"/>
        <v>25190233.364000004</v>
      </c>
      <c r="EJ33" s="243">
        <f t="shared" si="6"/>
        <v>14141259</v>
      </c>
      <c r="EK33" s="244">
        <v>8322</v>
      </c>
      <c r="EL33" s="245">
        <v>6927</v>
      </c>
      <c r="EM33" s="245">
        <v>3238979</v>
      </c>
      <c r="EN33" s="245">
        <f t="shared" si="7"/>
        <v>48584.684999999998</v>
      </c>
      <c r="EO33" s="245">
        <v>92795</v>
      </c>
      <c r="EP33" s="245">
        <v>64120</v>
      </c>
      <c r="EQ33" s="245">
        <v>24340555</v>
      </c>
      <c r="ER33" s="245">
        <f t="shared" si="8"/>
        <v>365108.32500000001</v>
      </c>
      <c r="ES33" s="246">
        <f t="shared" si="9"/>
        <v>101117</v>
      </c>
      <c r="ET33" s="246">
        <v>69578</v>
      </c>
      <c r="EU33" s="246">
        <f t="shared" si="23"/>
        <v>27579534</v>
      </c>
      <c r="EV33" s="247">
        <f t="shared" si="23"/>
        <v>413693.01</v>
      </c>
      <c r="EW33" s="246">
        <f t="shared" si="11"/>
        <v>1024615</v>
      </c>
      <c r="EX33" s="246">
        <f t="shared" si="12"/>
        <v>43734</v>
      </c>
      <c r="EY33" s="247">
        <f t="shared" si="13"/>
        <v>208541408</v>
      </c>
      <c r="EZ33" s="246">
        <f t="shared" si="24"/>
        <v>43402</v>
      </c>
      <c r="FA33" s="246">
        <f t="shared" si="24"/>
        <v>22922</v>
      </c>
      <c r="FB33" s="246">
        <f t="shared" si="24"/>
        <v>54513804</v>
      </c>
      <c r="FC33" s="247">
        <f t="shared" si="15"/>
        <v>735936.35399999993</v>
      </c>
      <c r="FD33" s="246">
        <v>100</v>
      </c>
      <c r="FE33" s="246">
        <v>95</v>
      </c>
      <c r="FF33" s="246">
        <v>115997</v>
      </c>
    </row>
    <row r="34" spans="1:162" s="382" customFormat="1" ht="11.15" customHeight="1">
      <c r="A34" s="260" t="s">
        <v>1150</v>
      </c>
      <c r="B34" s="261"/>
      <c r="C34" s="262"/>
      <c r="D34" s="262"/>
      <c r="E34" s="262"/>
      <c r="F34" s="262"/>
      <c r="G34" s="263"/>
      <c r="H34" s="262"/>
      <c r="I34" s="262"/>
      <c r="J34" s="262"/>
      <c r="K34" s="262"/>
      <c r="L34" s="262"/>
      <c r="M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4">
        <v>3831</v>
      </c>
      <c r="AI34" s="264">
        <v>3176</v>
      </c>
      <c r="AJ34" s="264">
        <v>158351200</v>
      </c>
      <c r="AK34" s="262"/>
      <c r="AL34" s="262"/>
      <c r="AM34" s="264">
        <v>317600</v>
      </c>
      <c r="AN34" s="262"/>
      <c r="AO34" s="265">
        <v>3168</v>
      </c>
      <c r="AP34" s="265">
        <v>3168</v>
      </c>
      <c r="AQ34" s="265">
        <v>158400000</v>
      </c>
      <c r="AR34" s="262"/>
      <c r="AS34" s="265">
        <v>316800</v>
      </c>
      <c r="AT34" s="262" t="s">
        <v>580</v>
      </c>
      <c r="AU34" s="262" t="s">
        <v>580</v>
      </c>
      <c r="AV34" s="262"/>
      <c r="AW34" s="262"/>
      <c r="AX34" s="262"/>
      <c r="AY34" s="266">
        <v>-173</v>
      </c>
      <c r="AZ34" s="262"/>
      <c r="BA34" s="266">
        <v>27061019</v>
      </c>
      <c r="BB34" s="262"/>
      <c r="BC34" s="266">
        <v>768433.99999993469</v>
      </c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7"/>
      <c r="CB34" s="262"/>
      <c r="CC34" s="267"/>
      <c r="CD34" s="262"/>
      <c r="CE34" s="262"/>
      <c r="CF34" s="262"/>
      <c r="CG34" s="262"/>
      <c r="CH34" s="262"/>
      <c r="CI34" s="262"/>
      <c r="CJ34" s="262"/>
      <c r="CK34" s="268">
        <v>1344</v>
      </c>
      <c r="CL34" s="268">
        <v>72569300</v>
      </c>
      <c r="CM34" s="268"/>
      <c r="CO34" s="262"/>
      <c r="CP34" s="262"/>
      <c r="CQ34" s="262"/>
      <c r="CR34" s="262"/>
      <c r="CS34" s="262"/>
      <c r="CT34" s="262"/>
      <c r="CU34" s="262"/>
      <c r="CV34" s="262"/>
      <c r="CW34" s="262"/>
      <c r="CX34" s="267">
        <f>BQ38+CA38+CA34</f>
        <v>4780521</v>
      </c>
      <c r="CZ34" s="267">
        <f>BS38+CC38+CH38</f>
        <v>2610407700</v>
      </c>
      <c r="DA34" s="262"/>
      <c r="DB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D34" s="269">
        <f>CJ38+CE38+BU38</f>
        <v>34177092.899999991</v>
      </c>
      <c r="EE34" s="262"/>
      <c r="EF34" s="262"/>
      <c r="EG34" s="262"/>
      <c r="EH34" s="262"/>
      <c r="EI34" s="270">
        <f>SUM(AF34,AX34,AS34,DI34,CU34)+(DO34)+BC34+BJ34+AM34+EE34+BO34+EF34</f>
        <v>1402833.9999999348</v>
      </c>
      <c r="EJ34" s="270">
        <f>SUM(Y34,AE34,DF34)+BD34+AL34+CW34+EG34+BP34</f>
        <v>0</v>
      </c>
      <c r="EK34" s="271"/>
      <c r="EL34" s="382">
        <f>SUM(EL3:EL33)</f>
        <v>216552</v>
      </c>
      <c r="EM34" s="382">
        <f t="shared" ref="EM34:EN34" si="30">SUM(EM3:EM33)</f>
        <v>88050897</v>
      </c>
      <c r="EN34" s="382">
        <f t="shared" si="30"/>
        <v>1320763.4550000001</v>
      </c>
    </row>
    <row r="35" spans="1:162" s="382" customFormat="1" ht="13.5" customHeight="1">
      <c r="A35" s="260" t="s">
        <v>1151</v>
      </c>
      <c r="B35" s="261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72"/>
      <c r="AN35" s="262"/>
      <c r="AO35" s="273">
        <v>156889</v>
      </c>
      <c r="AP35" s="382">
        <v>35137</v>
      </c>
      <c r="AQ35" s="265">
        <v>2466491027</v>
      </c>
      <c r="AR35" s="262"/>
      <c r="AS35" s="272">
        <v>7844350</v>
      </c>
      <c r="AT35" s="262"/>
      <c r="AU35" s="262"/>
      <c r="AW35" s="262"/>
      <c r="AX35" s="262"/>
      <c r="AY35" s="262"/>
      <c r="AZ35" s="262"/>
      <c r="BA35" s="262"/>
      <c r="BB35" s="262"/>
      <c r="BC35" s="272">
        <v>688150</v>
      </c>
      <c r="BD35" s="262"/>
      <c r="BE35" s="262"/>
      <c r="BF35" s="262"/>
      <c r="BG35" s="262"/>
      <c r="BH35" s="262"/>
      <c r="BI35" s="272"/>
      <c r="BJ35" s="272">
        <f>'[5]Sept 24'!BG44-'[5]Sept 24'!BJ36</f>
        <v>-76526.101463363972</v>
      </c>
      <c r="BK35" s="262"/>
      <c r="BL35" s="262"/>
      <c r="BM35" s="262"/>
      <c r="BN35" s="262"/>
      <c r="BO35" s="272"/>
      <c r="BP35" s="262"/>
      <c r="BQ35" s="262">
        <v>3221945</v>
      </c>
      <c r="BR35" s="262"/>
      <c r="BS35" s="262">
        <v>708940700</v>
      </c>
      <c r="BT35" s="262"/>
      <c r="BU35" s="272">
        <f>BS35*1.2%</f>
        <v>8507288.4000000004</v>
      </c>
      <c r="BV35" s="262"/>
      <c r="BW35" s="262"/>
      <c r="BX35" s="262"/>
      <c r="BY35" s="262"/>
      <c r="BZ35" s="262"/>
      <c r="CA35" s="267"/>
      <c r="CB35" s="262"/>
      <c r="CC35" s="267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72">
        <v>1268320</v>
      </c>
      <c r="CO35" s="262"/>
      <c r="CQ35" s="262"/>
      <c r="CR35" s="262"/>
      <c r="CS35" s="262"/>
      <c r="CT35" s="262"/>
      <c r="CU35" s="272">
        <v>262023</v>
      </c>
      <c r="CV35" s="262"/>
      <c r="CW35" s="262"/>
      <c r="CX35" s="267"/>
      <c r="CZ35" s="267"/>
      <c r="DA35" s="262"/>
      <c r="DB35" s="262"/>
      <c r="DE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383">
        <v>-4200</v>
      </c>
      <c r="DV35" s="262"/>
      <c r="DW35" s="262"/>
      <c r="DX35" s="262"/>
      <c r="DY35" s="262"/>
      <c r="DZ35" s="262"/>
      <c r="EA35" s="262"/>
      <c r="ED35" s="383">
        <v>-1140000</v>
      </c>
      <c r="EE35" s="383">
        <v>1760306</v>
      </c>
      <c r="EF35" s="262"/>
      <c r="EG35" s="262"/>
      <c r="EH35" s="262"/>
      <c r="EI35" s="270">
        <f>EE35+ED35+DU35+CU35+CN35+BO35+BJ35+BC35+AS35+AM35+ED36+BJ36+BI35+BU35</f>
        <v>21481959.866536636</v>
      </c>
      <c r="EJ35" s="270"/>
      <c r="EK35" s="274"/>
    </row>
    <row r="36" spans="1:162" s="382" customFormat="1">
      <c r="A36" s="260" t="s">
        <v>1152</v>
      </c>
      <c r="B36" s="261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75">
        <v>-713901</v>
      </c>
      <c r="Z36" s="276"/>
      <c r="AA36" s="262"/>
      <c r="AB36" s="262"/>
      <c r="AC36" s="262"/>
      <c r="AD36" s="262"/>
      <c r="AE36" s="276">
        <v>1341110</v>
      </c>
      <c r="AF36" s="262"/>
      <c r="AG36" s="262"/>
      <c r="AH36" s="262"/>
      <c r="AI36" s="262"/>
      <c r="AJ36" s="262"/>
      <c r="AK36" s="262"/>
      <c r="AL36" s="275">
        <v>-566301</v>
      </c>
      <c r="AM36" s="277"/>
      <c r="AN36" s="262"/>
      <c r="AO36" s="262"/>
      <c r="AP36" s="262"/>
      <c r="AQ36" s="262"/>
      <c r="AR36" s="262"/>
      <c r="AS36" s="277"/>
      <c r="AT36" s="262"/>
      <c r="AU36" s="262"/>
      <c r="AW36" s="262"/>
      <c r="AX36" s="262"/>
      <c r="AY36" s="278"/>
      <c r="BC36" s="277"/>
      <c r="BD36" s="384"/>
      <c r="BE36" s="262"/>
      <c r="BF36" s="262"/>
      <c r="BG36" s="262"/>
      <c r="BH36" s="262"/>
      <c r="BI36" s="262"/>
      <c r="BJ36" s="272">
        <f>BG38*0.16%</f>
        <v>2371448.568</v>
      </c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N36" s="384">
        <v>688159</v>
      </c>
      <c r="CO36" s="262"/>
      <c r="CP36" s="262"/>
      <c r="CQ36" s="262"/>
      <c r="CR36" s="262"/>
      <c r="CS36" s="262"/>
      <c r="CT36" s="262"/>
      <c r="CU36" s="262"/>
      <c r="CV36" s="262"/>
      <c r="CW36" s="384">
        <v>8632</v>
      </c>
      <c r="CX36" s="267">
        <v>8</v>
      </c>
      <c r="CY36" s="382">
        <v>8</v>
      </c>
      <c r="CZ36" s="267">
        <v>73400000</v>
      </c>
      <c r="DA36" s="279"/>
      <c r="DB36" s="262"/>
      <c r="DC36" s="262"/>
      <c r="DD36" s="262"/>
      <c r="DE36" s="262"/>
      <c r="DF36" s="276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384">
        <v>3528160</v>
      </c>
      <c r="DW36" s="262"/>
      <c r="DY36" s="262"/>
      <c r="DZ36" s="262"/>
      <c r="EA36" s="262"/>
      <c r="EB36" s="262"/>
      <c r="EC36" s="262"/>
      <c r="ED36" s="262">
        <v>800</v>
      </c>
      <c r="EE36" s="262"/>
      <c r="EF36" s="384"/>
      <c r="EG36" s="262"/>
      <c r="EH36" s="384"/>
      <c r="EI36" s="270" t="s">
        <v>580</v>
      </c>
      <c r="EJ36" s="270">
        <f>SUM(Y36,AE36,DF36)+BD36+AL36+CW36+EF36+BP36+DV36+Z36+CN36+EK36</f>
        <v>57553359</v>
      </c>
      <c r="EK36" s="384">
        <v>53267500</v>
      </c>
    </row>
    <row r="37" spans="1:162" s="382" customFormat="1">
      <c r="A37" s="280" t="s">
        <v>1153</v>
      </c>
      <c r="B37" s="281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7">
        <f>BV38</f>
        <v>1027</v>
      </c>
      <c r="CZ37" s="267">
        <f>BX38</f>
        <v>45654077</v>
      </c>
      <c r="DA37" s="279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D37" s="268">
        <f>BZ38</f>
        <v>228271.65</v>
      </c>
      <c r="EE37" s="262"/>
      <c r="EF37" s="262"/>
      <c r="EG37" s="262"/>
      <c r="EH37" s="262"/>
      <c r="EI37" s="270">
        <f>SUM(AF37,AX37,AS37,DI37,CN37,CU37)+(DO37)+BC37+BJ37+AM37+EE37+BO37+EC37</f>
        <v>0</v>
      </c>
      <c r="EJ37" s="270">
        <f>SUM(Y37,AE37,DF37)+BD37+AL37+CW37+EF37+BP37</f>
        <v>0</v>
      </c>
      <c r="EK37" s="271"/>
      <c r="EM37" s="382">
        <f>+EM36-EM34</f>
        <v>-88050897</v>
      </c>
    </row>
    <row r="38" spans="1:162" ht="12.5" thickBot="1">
      <c r="A38" s="282" t="s">
        <v>75</v>
      </c>
      <c r="B38" s="283">
        <f>SUM(B3:B33)</f>
        <v>194298</v>
      </c>
      <c r="C38" s="283">
        <f>SUM(C3:C33)</f>
        <v>419802</v>
      </c>
      <c r="D38" s="283">
        <f>SUM(D3:D33)</f>
        <v>419810</v>
      </c>
      <c r="E38" s="283"/>
      <c r="F38" s="283"/>
      <c r="G38" s="283"/>
      <c r="H38" s="283"/>
      <c r="I38" s="283"/>
      <c r="J38" s="283"/>
      <c r="K38" s="283">
        <f>SUM(K3:K33)</f>
        <v>3243</v>
      </c>
      <c r="L38" s="283"/>
      <c r="M38" s="283"/>
      <c r="N38" s="283"/>
      <c r="O38" s="283">
        <f>SUM(O3:O34)</f>
        <v>32720200</v>
      </c>
      <c r="P38" s="283">
        <f>SUM(P3:P33)</f>
        <v>6292746040</v>
      </c>
      <c r="Q38" s="283">
        <f>SUM(Q3:Q33)</f>
        <v>179266</v>
      </c>
      <c r="R38" s="283">
        <f>SUM(R3:R33)</f>
        <v>29594657</v>
      </c>
      <c r="S38" s="283">
        <f>SUM(S3:S33)</f>
        <v>273103218</v>
      </c>
      <c r="T38" s="283">
        <f>SUM(T3:T33)</f>
        <v>18</v>
      </c>
      <c r="U38" s="284">
        <f>SUM(U2:U33)</f>
        <v>4645728</v>
      </c>
      <c r="V38" s="284"/>
      <c r="W38" s="284">
        <f>SUM(W2:W33)</f>
        <v>3743506</v>
      </c>
      <c r="X38" s="284">
        <f>SUM(X2:X33)</f>
        <v>30366191056</v>
      </c>
      <c r="Y38" s="284">
        <f>SUM(Y3:Y36)</f>
        <v>97828563</v>
      </c>
      <c r="Z38" s="284">
        <f>SUM(Z2:Z33)</f>
        <v>237122</v>
      </c>
      <c r="AA38" s="284">
        <f>SUM(AA2:AA33)</f>
        <v>0</v>
      </c>
      <c r="AB38" s="284"/>
      <c r="AC38" s="284">
        <f>SUM(AC2:AC33)</f>
        <v>0</v>
      </c>
      <c r="AD38" s="284">
        <f>SUM(AD2:AD33)</f>
        <v>13511</v>
      </c>
      <c r="AE38" s="284">
        <f>SUM(AE2:AE33)+AE36</f>
        <v>1341110</v>
      </c>
      <c r="AF38" s="284">
        <f>SUM(AF2:AF33)</f>
        <v>0</v>
      </c>
      <c r="AG38" s="284"/>
      <c r="AH38" s="284">
        <f>SUM(AH3:AH34)</f>
        <v>3504250</v>
      </c>
      <c r="AI38" s="284"/>
      <c r="AJ38" s="284">
        <f>SUM(AJ2:AJ34)</f>
        <v>30141898353</v>
      </c>
      <c r="AK38" s="284">
        <f>SUM(AK2:AK34)</f>
        <v>265146</v>
      </c>
      <c r="AL38" s="284">
        <f>SUM(AL2:AL36)</f>
        <v>290996442</v>
      </c>
      <c r="AM38" s="284">
        <f>SUM(AM3:AM35)</f>
        <v>576760493</v>
      </c>
      <c r="AN38" s="284"/>
      <c r="AO38" s="284">
        <f>SUM(AO2:AO35)</f>
        <v>709292</v>
      </c>
      <c r="AP38" s="284"/>
      <c r="AQ38" s="284">
        <f>SUM(AQ2:AQ35)</f>
        <v>7263500326</v>
      </c>
      <c r="AR38" s="284">
        <f>SUM(AR2:AR34)</f>
        <v>100853</v>
      </c>
      <c r="AS38" s="284">
        <f>SUM(AS3:AS35)</f>
        <v>40847850</v>
      </c>
      <c r="AT38" s="284">
        <f>SUM(AT3:AT33)</f>
        <v>3422</v>
      </c>
      <c r="AU38" s="284"/>
      <c r="AV38" s="284">
        <f>SUM(AV3:AV33)</f>
        <v>14409084</v>
      </c>
      <c r="AW38" s="284">
        <f>SUM(AW3:AW33)</f>
        <v>10747</v>
      </c>
      <c r="AX38" s="284">
        <f>SUM(AX3:AX33)</f>
        <v>889300</v>
      </c>
      <c r="AY38" s="284">
        <f>SUM(AY3:AY34)</f>
        <v>30889</v>
      </c>
      <c r="AZ38" s="284">
        <f>SUM(AZ3:AZ34)</f>
        <v>23636</v>
      </c>
      <c r="BA38" s="284">
        <f>SUM(BA3:BA34)</f>
        <v>1098456647</v>
      </c>
      <c r="BB38" s="284">
        <f>SUM(BB3:BB34)</f>
        <v>10385</v>
      </c>
      <c r="BC38" s="284">
        <f>SUM(BC3:BC35)</f>
        <v>2294983.9999999348</v>
      </c>
      <c r="BD38" s="284">
        <f>SUM(BD3:BD33)</f>
        <v>254177</v>
      </c>
      <c r="BE38" s="284">
        <f>SUM(BE3:BE33)</f>
        <v>81381</v>
      </c>
      <c r="BF38" s="284"/>
      <c r="BG38" s="284">
        <f>SUM(BG3:BG33)</f>
        <v>1482155355</v>
      </c>
      <c r="BH38" s="284">
        <f>SUM(BH3:BH33)</f>
        <v>14746</v>
      </c>
      <c r="BI38" s="284">
        <f>SUM(BI3:BI33)</f>
        <v>0</v>
      </c>
      <c r="BJ38" s="284">
        <f>SUM(BJ3:BJ36)+BI35</f>
        <v>2294922.466536636</v>
      </c>
      <c r="BK38" s="284">
        <f>SUM(BK3:BK33)</f>
        <v>4097</v>
      </c>
      <c r="BL38" s="284"/>
      <c r="BM38" s="284">
        <f>SUM(BM3:BM33)</f>
        <v>90848817</v>
      </c>
      <c r="BN38" s="284">
        <f>SUM(BN3:BN33)</f>
        <v>2555</v>
      </c>
      <c r="BO38" s="284">
        <f>SUM(BO3:BO35)</f>
        <v>1979050</v>
      </c>
      <c r="BP38" s="284">
        <f>SUM(BP3:BP33)</f>
        <v>791620</v>
      </c>
      <c r="BQ38" s="284">
        <f>SUM(BQ3:BQ33)+BQ35</f>
        <v>4780521</v>
      </c>
      <c r="BR38" s="284"/>
      <c r="BS38" s="284">
        <f>SUM(BS3:BS33)+BS35</f>
        <v>2610407700</v>
      </c>
      <c r="BT38" s="284">
        <f>SUM(BT3:BT33)</f>
        <v>0</v>
      </c>
      <c r="BU38" s="284">
        <f>SUM(BU3:BU33)+BU35</f>
        <v>34177092.899999991</v>
      </c>
      <c r="BV38" s="284">
        <f>SUM(BV3:BV33)</f>
        <v>1027</v>
      </c>
      <c r="BW38" s="284"/>
      <c r="BX38" s="284">
        <f>SUM(BX3:BX33)</f>
        <v>45654077</v>
      </c>
      <c r="BY38" s="284">
        <f>SUM(BY3:BY33)</f>
        <v>1</v>
      </c>
      <c r="BZ38" s="284">
        <f>SUM(BZ3:BZ33)</f>
        <v>228271.65</v>
      </c>
      <c r="CA38" s="284">
        <f>SUM(CA3:CA33)</f>
        <v>0</v>
      </c>
      <c r="CB38" s="284"/>
      <c r="CC38" s="284">
        <f>SUM(CC3:CC33)</f>
        <v>0</v>
      </c>
      <c r="CD38" s="284">
        <f>SUM(CD3:CD33)</f>
        <v>0</v>
      </c>
      <c r="CE38" s="284">
        <f>SUM(CE3:CE33)</f>
        <v>0</v>
      </c>
      <c r="CF38" s="284">
        <f>SUM(CF3:CF33)</f>
        <v>0</v>
      </c>
      <c r="CG38" s="284"/>
      <c r="CH38" s="284">
        <f>SUM(CH3:CH33)</f>
        <v>0</v>
      </c>
      <c r="CI38" s="284">
        <f>SUM(CI3:CI33)</f>
        <v>0</v>
      </c>
      <c r="CJ38" s="284">
        <f>SUM(CJ3:CJ33)</f>
        <v>0</v>
      </c>
      <c r="CK38" s="284">
        <f>SUM(CK3:CK34)</f>
        <v>63183</v>
      </c>
      <c r="CL38" s="284">
        <f>SUM(CL3:CL34)</f>
        <v>1251685052</v>
      </c>
      <c r="CM38" s="284">
        <f>SUM(CM3:CM34)</f>
        <v>0</v>
      </c>
      <c r="CN38" s="284">
        <f>SUM(CN3:CN35)</f>
        <v>1268320</v>
      </c>
      <c r="CO38" s="284">
        <f>SUM(CO3:CO33)</f>
        <v>2804129</v>
      </c>
      <c r="CP38" s="284"/>
      <c r="CQ38" s="284">
        <f>SUM(CQ3:CQ33)</f>
        <v>898882482</v>
      </c>
      <c r="CR38" s="284">
        <f>SUM(CR3:CR33)</f>
        <v>213413</v>
      </c>
      <c r="CS38" s="284">
        <f>SUM(CS3:CS33)</f>
        <v>349031</v>
      </c>
      <c r="CT38" s="284">
        <f>SUM(CT3:CT33)</f>
        <v>945139337</v>
      </c>
      <c r="CU38" s="284">
        <f>SUM(CU3:CU35)</f>
        <v>10185663</v>
      </c>
      <c r="CV38" s="284">
        <f>SUM(CV3:CV33)</f>
        <v>96344</v>
      </c>
      <c r="CW38" s="284">
        <f>SUM(CW3:CW33)+CW36</f>
        <v>670718</v>
      </c>
      <c r="CX38" s="284">
        <f>SUM(CX3:CX33)</f>
        <v>595740</v>
      </c>
      <c r="CY38" s="284"/>
      <c r="CZ38" s="284">
        <f>SUM(CZ3:CZ33)</f>
        <v>6885182497</v>
      </c>
      <c r="DA38" s="284">
        <f>SUM(DA3:DA33)</f>
        <v>79971</v>
      </c>
      <c r="DB38" s="284">
        <f>SUM(DB3:DB33)</f>
        <v>737</v>
      </c>
      <c r="DC38" s="284"/>
      <c r="DD38" s="284">
        <f>SUM(DD3:DD33)</f>
        <v>7943114</v>
      </c>
      <c r="DE38" s="284">
        <f>SUM(DE3:DE33)</f>
        <v>46</v>
      </c>
      <c r="DF38" s="284">
        <f>SUM(DF3:DF33)+DF36</f>
        <v>97049</v>
      </c>
      <c r="DG38" s="284">
        <f>SUM(DG3:DG33)</f>
        <v>2961</v>
      </c>
      <c r="DH38" s="284">
        <f>SUM(DH3:DH33)</f>
        <v>0</v>
      </c>
      <c r="DI38" s="284">
        <f>SUM(DI3:DI33)</f>
        <v>0</v>
      </c>
      <c r="DJ38" s="284">
        <f>SUM(DJ3:DJ33)</f>
        <v>30</v>
      </c>
      <c r="DK38" s="284">
        <f>SUM(DK3:DK33)</f>
        <v>326225</v>
      </c>
      <c r="DL38" s="284"/>
      <c r="DM38" s="284">
        <f t="shared" ref="DM38:DT38" si="31">SUM(DM3:DM33)</f>
        <v>9166651982</v>
      </c>
      <c r="DN38" s="284">
        <f t="shared" si="31"/>
        <v>24651</v>
      </c>
      <c r="DO38" s="284">
        <f t="shared" si="31"/>
        <v>57866650</v>
      </c>
      <c r="DP38" s="284">
        <f t="shared" si="31"/>
        <v>8155</v>
      </c>
      <c r="DQ38" s="284">
        <f t="shared" si="31"/>
        <v>428004095</v>
      </c>
      <c r="DR38" s="284">
        <f t="shared" si="31"/>
        <v>6594550</v>
      </c>
      <c r="DS38" s="284">
        <f t="shared" si="31"/>
        <v>326225</v>
      </c>
      <c r="DT38" s="284">
        <f t="shared" si="31"/>
        <v>9166651982</v>
      </c>
      <c r="DU38" s="284">
        <f>SUM(DU3:DU35)</f>
        <v>57862450</v>
      </c>
      <c r="DV38" s="284">
        <f>SUM(DV3:DV33)+DV36</f>
        <v>3528170</v>
      </c>
      <c r="DW38" s="284">
        <f t="shared" ref="DW38:EC38" si="32">SUM(DW3:DW33)</f>
        <v>208925</v>
      </c>
      <c r="DX38" s="284">
        <f>SUM(DX3:DX33)</f>
        <v>5982591182</v>
      </c>
      <c r="DY38" s="284">
        <f>SUM(DY3:DY33)</f>
        <v>117300</v>
      </c>
      <c r="DZ38" s="284">
        <f>SUM(DZ3:DZ33)</f>
        <v>3184060800</v>
      </c>
      <c r="EA38" s="284">
        <f t="shared" si="32"/>
        <v>76827535</v>
      </c>
      <c r="EB38" s="284">
        <f t="shared" si="32"/>
        <v>95243041891</v>
      </c>
      <c r="EC38" s="284">
        <f t="shared" si="32"/>
        <v>1053013</v>
      </c>
      <c r="ED38" s="284">
        <f>SUM(ED3:ED33)+ED35</f>
        <v>23751246</v>
      </c>
      <c r="EE38" s="284">
        <f>SUM(EE3:EE33)+EE35</f>
        <v>9600070</v>
      </c>
      <c r="EF38" s="284">
        <f>SUM(EF3:EF33)</f>
        <v>14881979</v>
      </c>
      <c r="EG38" s="284">
        <f>SUM(EG3:EG33)</f>
        <v>805817</v>
      </c>
      <c r="EH38" s="284">
        <f>SUM(EH3:EH36)</f>
        <v>40603945</v>
      </c>
      <c r="EI38" s="284">
        <f>SUM(EI3:EI37)</f>
        <v>778256252.09653652</v>
      </c>
      <c r="EJ38" s="284">
        <f>SUM(EJ3:EJ37)</f>
        <v>464345477</v>
      </c>
      <c r="EK38" s="284">
        <f>SUM(EK3:EK33)</f>
        <v>258367</v>
      </c>
      <c r="EL38" s="284">
        <f>SUM(EL3:EL33)</f>
        <v>216552</v>
      </c>
      <c r="EM38" s="284">
        <f>SUM(EM3:EM33)</f>
        <v>88050897</v>
      </c>
      <c r="EN38" s="284"/>
      <c r="EO38" s="284"/>
      <c r="EP38" s="284"/>
      <c r="EQ38" s="284"/>
      <c r="ER38" s="284"/>
      <c r="ES38" s="284"/>
      <c r="ET38" s="284"/>
      <c r="EU38" s="284">
        <f>SUM(EU3:EU33)</f>
        <v>839089872</v>
      </c>
      <c r="EV38" s="284">
        <f>SUM(EV3:EV33)</f>
        <v>12586348.079999994</v>
      </c>
      <c r="EW38" s="284">
        <f t="shared" ref="EW38:FF38" si="33">SUM(EW3:EW33)</f>
        <v>32309419</v>
      </c>
      <c r="EX38" s="284">
        <f t="shared" si="33"/>
        <v>1324883</v>
      </c>
      <c r="EY38" s="284">
        <f>SUM(EY3:EY33)</f>
        <v>6352538650</v>
      </c>
      <c r="EZ38" s="284">
        <f t="shared" si="33"/>
        <v>1558576</v>
      </c>
      <c r="FA38" s="284">
        <f t="shared" si="33"/>
        <v>799698</v>
      </c>
      <c r="FB38" s="284">
        <f t="shared" si="33"/>
        <v>1901467000</v>
      </c>
      <c r="FC38" s="284">
        <f t="shared" si="33"/>
        <v>25669804.499999989</v>
      </c>
      <c r="FD38" s="284">
        <f t="shared" si="33"/>
        <v>2973</v>
      </c>
      <c r="FE38" s="284">
        <f t="shared" si="33"/>
        <v>2817</v>
      </c>
      <c r="FF38" s="284">
        <f t="shared" si="33"/>
        <v>3529391</v>
      </c>
    </row>
    <row r="39" spans="1:162" ht="12.5" thickBot="1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6">
        <f>AS38/1.18</f>
        <v>34616822.033898309</v>
      </c>
      <c r="AT39" s="285"/>
      <c r="AU39" s="285"/>
      <c r="AV39" s="285"/>
      <c r="AW39" s="285"/>
      <c r="AX39" s="287">
        <f>AX38/1.18</f>
        <v>753644.06779661018</v>
      </c>
      <c r="AY39" s="386"/>
      <c r="BA39" s="386"/>
      <c r="BB39" s="285"/>
      <c r="BC39" s="286">
        <f>BC38/1.18</f>
        <v>1944901.6949151992</v>
      </c>
      <c r="BD39" s="285"/>
      <c r="BE39" s="285"/>
      <c r="BF39" s="285"/>
      <c r="BG39" s="285"/>
      <c r="BH39" s="285"/>
      <c r="BI39" s="285"/>
      <c r="BJ39" s="287">
        <f>BJ38/1.18</f>
        <v>1944849.5479124035</v>
      </c>
      <c r="BK39" s="285"/>
      <c r="BL39" s="285"/>
      <c r="BM39" s="285"/>
      <c r="BN39" s="285"/>
      <c r="BO39" s="287">
        <f>BO38/1.18</f>
        <v>1677161.0169491526</v>
      </c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  <c r="CF39" s="285"/>
      <c r="CG39" s="285"/>
      <c r="CH39" s="285"/>
      <c r="CI39" s="285"/>
      <c r="CJ39" s="285"/>
      <c r="CK39" s="387" t="s">
        <v>1154</v>
      </c>
      <c r="CL39" s="388"/>
      <c r="CM39" s="285"/>
      <c r="CN39" s="287">
        <f>CN38/1.18</f>
        <v>1074847.4576271188</v>
      </c>
      <c r="CO39" s="285"/>
      <c r="CP39" s="285"/>
      <c r="CR39" s="285"/>
      <c r="CS39" s="285"/>
      <c r="CT39" s="285"/>
      <c r="CU39" s="287">
        <f>CU38/1.18</f>
        <v>8631917.7966101691</v>
      </c>
      <c r="CV39" s="285"/>
      <c r="CW39" s="285"/>
      <c r="CX39" s="285"/>
      <c r="CY39" s="285"/>
      <c r="CZ39" s="285"/>
      <c r="DA39" s="285"/>
      <c r="DB39" s="285"/>
      <c r="DC39" s="285"/>
      <c r="DD39" s="285"/>
      <c r="DE39" s="285"/>
      <c r="DF39" s="285"/>
      <c r="DG39" s="285"/>
      <c r="DH39" s="285"/>
      <c r="DI39" s="285"/>
      <c r="DJ39" s="285"/>
      <c r="DK39" s="285"/>
      <c r="DL39" s="285"/>
      <c r="DM39" s="285"/>
      <c r="DN39" s="285"/>
      <c r="DO39" s="285"/>
      <c r="DP39" s="285"/>
      <c r="DQ39" s="285"/>
      <c r="DR39" s="285"/>
      <c r="DS39" s="285"/>
      <c r="DT39" s="288"/>
      <c r="DU39" s="287">
        <f>DU38/1.18</f>
        <v>49035974.576271191</v>
      </c>
      <c r="DV39" s="285"/>
      <c r="DW39" s="289">
        <f>DW38+BE38</f>
        <v>290306</v>
      </c>
      <c r="DX39" s="289">
        <f>DX38+BG38</f>
        <v>7464746537</v>
      </c>
      <c r="DY39" s="289">
        <f>DY38+BK38</f>
        <v>121397</v>
      </c>
      <c r="DZ39" s="290">
        <f>DZ38+BM38</f>
        <v>3274909617</v>
      </c>
      <c r="EA39" s="285"/>
      <c r="EB39" s="285"/>
      <c r="EC39" s="285"/>
      <c r="ED39" s="285"/>
      <c r="EE39" s="285"/>
      <c r="EF39" s="285"/>
      <c r="EG39" s="285"/>
      <c r="EH39" s="291"/>
      <c r="EI39" s="285"/>
      <c r="EJ39" s="292"/>
      <c r="EK39" s="292"/>
      <c r="EL39" s="292"/>
      <c r="EM39" s="292"/>
      <c r="EN39" s="292"/>
      <c r="EO39" s="292"/>
      <c r="EP39" s="292"/>
      <c r="EQ39" s="292"/>
      <c r="ER39" s="292"/>
      <c r="ES39" s="292"/>
      <c r="ET39" s="292"/>
      <c r="EU39" s="292">
        <f>EU38/22*31</f>
        <v>1182353910.5454545</v>
      </c>
      <c r="EV39" s="292">
        <f>EV38/1.18</f>
        <v>10666396.677966097</v>
      </c>
      <c r="EW39" s="389">
        <f ca="1">(EI40/27)*EW42+EI40</f>
        <v>659539196.69198012</v>
      </c>
      <c r="FD39" s="292">
        <f>FD38/22*31</f>
        <v>4189.2272727272721</v>
      </c>
      <c r="FE39" s="292">
        <f>FE38/22*31</f>
        <v>3969.4090909090905</v>
      </c>
      <c r="FF39" s="292">
        <f>FF38/1.18</f>
        <v>2991009.3220338984</v>
      </c>
    </row>
    <row r="40" spans="1:162" ht="12.5" thickBot="1">
      <c r="A40" s="285"/>
      <c r="B40" s="285"/>
      <c r="C40" s="285"/>
      <c r="D40" s="285"/>
      <c r="E40" s="285"/>
      <c r="F40" s="285"/>
      <c r="G40" s="285"/>
      <c r="H40" s="293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94">
        <f>Y38+EF38</f>
        <v>112710542</v>
      </c>
      <c r="Z40" s="285"/>
      <c r="AA40" s="294">
        <f>AA38+AH38+DB38</f>
        <v>3504987</v>
      </c>
      <c r="AC40" s="294">
        <f>AC38+AJ38+DD38</f>
        <v>30149841467</v>
      </c>
      <c r="AD40" s="294">
        <f>AD38+AK38+DE38</f>
        <v>278703</v>
      </c>
      <c r="AE40" s="294">
        <f>AE38+AL38+DF38</f>
        <v>292434601</v>
      </c>
      <c r="AF40" s="294">
        <f>AF38+AM38</f>
        <v>576760493</v>
      </c>
      <c r="AG40" s="294">
        <f>AG38+AN38+DG38</f>
        <v>2961</v>
      </c>
      <c r="AH40" s="390"/>
      <c r="AI40" s="390"/>
      <c r="AK40" s="285"/>
      <c r="AL40" s="285"/>
      <c r="AM40" s="285"/>
      <c r="AN40" s="285"/>
      <c r="AO40" s="294">
        <f>AO38+AT38</f>
        <v>712714</v>
      </c>
      <c r="AP40" s="294"/>
      <c r="AQ40" s="294">
        <f>AQ38+AV38</f>
        <v>7277909410</v>
      </c>
      <c r="AR40" s="294">
        <f>AR38+AW38</f>
        <v>111600</v>
      </c>
      <c r="AS40" s="295">
        <f>AS38+AX38</f>
        <v>41737150</v>
      </c>
      <c r="AT40" s="285"/>
      <c r="AU40" s="285"/>
      <c r="AV40" s="285"/>
      <c r="AW40" s="285"/>
      <c r="AX40" s="285"/>
      <c r="AY40" s="296">
        <v>38369</v>
      </c>
      <c r="AZ40" s="391"/>
      <c r="BA40" s="297">
        <v>280817189</v>
      </c>
      <c r="BB40" s="298"/>
      <c r="BC40" s="299">
        <f>EE38</f>
        <v>9600070</v>
      </c>
      <c r="BD40" s="285"/>
      <c r="BE40" s="294">
        <f>BE38+BK38</f>
        <v>85478</v>
      </c>
      <c r="BF40" s="294"/>
      <c r="BG40" s="294">
        <f>BG38+BM38</f>
        <v>1573004172</v>
      </c>
      <c r="BH40" s="294"/>
      <c r="BI40" s="294">
        <f>BJ38+BO38</f>
        <v>4273972.4665366355</v>
      </c>
      <c r="BK40" s="285"/>
      <c r="BL40" s="285"/>
      <c r="BN40" s="285"/>
      <c r="BO40" s="285"/>
      <c r="BP40" s="294">
        <f>BP38</f>
        <v>791620</v>
      </c>
      <c r="BQ40" s="285"/>
      <c r="BR40" s="285"/>
      <c r="BS40" s="285"/>
      <c r="BT40" s="285"/>
      <c r="BU40" s="285"/>
      <c r="BV40" s="285"/>
      <c r="BW40" s="285"/>
      <c r="BX40" s="285"/>
      <c r="BY40" s="285"/>
      <c r="BZ40" s="285"/>
      <c r="CA40" s="285"/>
      <c r="CB40" s="285"/>
      <c r="CC40" s="285"/>
      <c r="CD40" s="285"/>
      <c r="CE40" s="285"/>
      <c r="CF40" s="285"/>
      <c r="CG40" s="285"/>
      <c r="CH40" s="285"/>
      <c r="CI40" s="285"/>
      <c r="CJ40" s="285"/>
      <c r="CK40" s="392"/>
      <c r="CL40" s="393"/>
      <c r="CN40" s="285"/>
      <c r="CO40" s="267">
        <f>CO38+O38</f>
        <v>35524329</v>
      </c>
      <c r="CP40" s="285"/>
      <c r="CQ40" s="267">
        <f>CQ38+P38</f>
        <v>7191628522</v>
      </c>
      <c r="CR40" s="285"/>
      <c r="CT40" s="285"/>
      <c r="CU40" s="285"/>
      <c r="CV40" s="285"/>
      <c r="CW40" s="285"/>
      <c r="CX40" s="287">
        <f>CX38+CX34+CX36+CX37</f>
        <v>5377296</v>
      </c>
      <c r="CY40" s="285"/>
      <c r="CZ40" s="287">
        <f>CZ38+CZ34+CZ36+CZ37</f>
        <v>9614644274</v>
      </c>
      <c r="DA40" s="285"/>
      <c r="DB40" s="285"/>
      <c r="DC40" s="285"/>
      <c r="DD40" s="285"/>
      <c r="DE40" s="285"/>
      <c r="DF40" s="300"/>
      <c r="DG40" s="285"/>
      <c r="DH40" s="285"/>
      <c r="DI40" s="285"/>
      <c r="DJ40" s="285"/>
      <c r="DK40" s="293"/>
      <c r="DL40" s="293"/>
      <c r="DM40" s="293"/>
      <c r="DN40" s="293"/>
      <c r="DO40" s="293"/>
      <c r="DP40" s="285"/>
      <c r="DQ40" s="285"/>
      <c r="DR40" s="285"/>
      <c r="DS40" s="285"/>
      <c r="DT40" s="301"/>
      <c r="DU40" s="285"/>
      <c r="DV40" s="285"/>
      <c r="DW40" s="285"/>
      <c r="DX40" s="285"/>
      <c r="DY40" s="285"/>
      <c r="DZ40" s="394"/>
      <c r="EC40" s="285"/>
      <c r="ED40" s="302">
        <f>(ED38+ED34+ED36)+ED37</f>
        <v>58157410.54999999</v>
      </c>
      <c r="EE40" s="293">
        <f>EE38/1.18</f>
        <v>8135652.5423728814</v>
      </c>
      <c r="EG40" s="285"/>
      <c r="EH40" s="303" t="s">
        <v>1155</v>
      </c>
      <c r="EI40" s="304">
        <f>EI38/1.18</f>
        <v>659539196.69198012</v>
      </c>
      <c r="EJ40" s="305">
        <f>EJ38/EI40</f>
        <v>0.70404530819244082</v>
      </c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95">
        <f ca="1">IF(EW44&lt;=EW43,(14000000-ED34),0)</f>
        <v>0</v>
      </c>
    </row>
    <row r="41" spans="1:162">
      <c r="A41" s="285"/>
      <c r="B41" s="285"/>
      <c r="C41" s="285"/>
      <c r="D41" s="285"/>
      <c r="H41" s="293"/>
      <c r="M41" s="390"/>
      <c r="O41" s="285"/>
      <c r="P41" s="285"/>
      <c r="Q41" s="285"/>
      <c r="T41" s="285"/>
      <c r="U41" s="285"/>
      <c r="V41" s="285"/>
      <c r="W41" s="285"/>
      <c r="X41" s="285"/>
      <c r="Y41" s="285"/>
      <c r="Z41" s="285"/>
      <c r="AA41" s="294">
        <f>AA38+AH38</f>
        <v>3504250</v>
      </c>
      <c r="AC41" s="294">
        <f>AC38+AJ38</f>
        <v>30141898353</v>
      </c>
      <c r="AD41" s="285"/>
      <c r="AE41" s="285"/>
      <c r="AF41" s="287">
        <f>AF40/1.18</f>
        <v>488780078.81355935</v>
      </c>
      <c r="AG41" s="285"/>
      <c r="AH41" s="285"/>
      <c r="AI41" s="285"/>
      <c r="AK41" s="293"/>
      <c r="AL41" s="285"/>
      <c r="AM41" s="285"/>
      <c r="AN41" s="285"/>
      <c r="AO41" s="285"/>
      <c r="AP41" s="285"/>
      <c r="AQ41" s="285"/>
      <c r="AR41" s="285"/>
      <c r="AS41" s="286">
        <f>AS40/1.18</f>
        <v>35370466.101694919</v>
      </c>
      <c r="AT41" s="285"/>
      <c r="AV41" s="285"/>
      <c r="AW41" s="285"/>
      <c r="AX41" s="285"/>
      <c r="BB41" s="285"/>
      <c r="BC41" s="308">
        <f>BC38+BC40</f>
        <v>11895053.999999935</v>
      </c>
      <c r="BD41" s="285"/>
      <c r="BE41" s="285"/>
      <c r="BF41" s="285"/>
      <c r="BG41" s="285"/>
      <c r="BH41" s="285"/>
      <c r="BI41" s="287">
        <f>BI40/1.18</f>
        <v>3622010.5648615556</v>
      </c>
      <c r="BK41" s="285"/>
      <c r="BL41" s="285"/>
      <c r="BN41" s="285"/>
      <c r="BO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  <c r="CH41" s="293">
        <f>CH38+CC38+BS38</f>
        <v>2610407700</v>
      </c>
      <c r="CI41" s="285"/>
      <c r="CJ41" s="293">
        <f>(CJ38+CE38+BU38)/1.18</f>
        <v>28963638.050847452</v>
      </c>
      <c r="CN41" s="285"/>
      <c r="CO41" s="285"/>
      <c r="CP41" s="285"/>
      <c r="CQ41" s="285"/>
      <c r="CR41" s="285"/>
      <c r="CT41" s="285"/>
      <c r="CU41" s="285"/>
      <c r="CV41" s="285"/>
      <c r="CW41" s="285"/>
      <c r="CX41" s="285"/>
      <c r="CY41" s="285"/>
      <c r="CZ41" s="285"/>
      <c r="DA41" s="285"/>
      <c r="DB41" s="285"/>
      <c r="DC41" s="285"/>
      <c r="DD41" s="285"/>
      <c r="DE41" s="285"/>
      <c r="DF41" s="285"/>
      <c r="DG41" s="285"/>
      <c r="DH41" s="285"/>
      <c r="DI41" s="285"/>
      <c r="DJ41" s="285"/>
      <c r="DK41" s="285"/>
      <c r="DL41" s="285"/>
      <c r="DM41" s="285"/>
      <c r="DN41" s="285"/>
      <c r="DO41" s="287">
        <f>DO40/1.18</f>
        <v>0</v>
      </c>
      <c r="DP41" s="285"/>
      <c r="DQ41" s="285"/>
      <c r="DR41" s="285"/>
      <c r="DS41" s="285"/>
      <c r="DT41" s="301">
        <f>DT38+BG40</f>
        <v>10739656154</v>
      </c>
      <c r="DU41" s="287">
        <f>DU39+BI41</f>
        <v>52657985.14113275</v>
      </c>
      <c r="DV41" s="293">
        <f>BP38</f>
        <v>791620</v>
      </c>
      <c r="DW41" s="285"/>
      <c r="DX41" s="285"/>
      <c r="DY41" s="396">
        <f>DY39+BE38</f>
        <v>202778</v>
      </c>
      <c r="DZ41" s="396">
        <f>DZ39+BG38</f>
        <v>4757064972</v>
      </c>
      <c r="EA41" s="285"/>
      <c r="EB41" s="293"/>
      <c r="EC41" s="285"/>
      <c r="ED41" s="309">
        <f>ED40/1.18</f>
        <v>49285941.144067794</v>
      </c>
      <c r="EE41" s="390"/>
      <c r="EF41" s="390"/>
      <c r="EG41" s="285"/>
      <c r="EH41" s="291"/>
      <c r="EI41" s="397"/>
      <c r="EJ41" s="291"/>
      <c r="EK41" s="291"/>
      <c r="EL41" s="306"/>
      <c r="EM41" s="306"/>
      <c r="EN41" s="306"/>
      <c r="EO41" s="291"/>
      <c r="EP41" s="291"/>
      <c r="EQ41" s="291"/>
      <c r="ER41" s="291"/>
      <c r="ES41" s="291"/>
      <c r="ET41" s="291"/>
      <c r="EU41" s="291"/>
      <c r="EV41" s="291"/>
      <c r="EW41" s="389">
        <f ca="1">EW39+EW40</f>
        <v>659539196.69198012</v>
      </c>
    </row>
    <row r="42" spans="1:162">
      <c r="A42" s="285"/>
      <c r="B42" s="285"/>
      <c r="C42" s="285"/>
      <c r="D42" s="285"/>
      <c r="H42" s="293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390">
        <f>SUM(Y3:Y33)</f>
        <v>98542464</v>
      </c>
      <c r="Z42" s="285"/>
      <c r="AA42" s="285"/>
      <c r="AB42" s="285"/>
      <c r="AD42" s="285"/>
      <c r="AE42" s="293">
        <f>AE40+AL36</f>
        <v>291868300</v>
      </c>
      <c r="AF42" s="293"/>
      <c r="AG42" s="285"/>
      <c r="AI42" s="285"/>
      <c r="AK42" s="285"/>
      <c r="AL42" s="285"/>
      <c r="AM42" s="285"/>
      <c r="AN42" s="285"/>
      <c r="AO42" s="285"/>
      <c r="AP42" s="285"/>
      <c r="AQ42" s="285"/>
      <c r="AR42" s="285"/>
      <c r="AS42" s="310">
        <f>(SUM(AS3:AS33)+AS35)</f>
        <v>40531050</v>
      </c>
      <c r="AT42" s="285"/>
      <c r="AV42" s="285"/>
      <c r="AW42" s="285"/>
      <c r="AX42" s="285"/>
      <c r="AY42" s="295">
        <f>AY38+AY39+AY40</f>
        <v>69258</v>
      </c>
      <c r="BA42" s="294">
        <f>BA38+BA39+BA40</f>
        <v>1379273836</v>
      </c>
      <c r="BB42" s="285"/>
      <c r="BC42" s="286">
        <f>BC41/1.18</f>
        <v>10080554.23728808</v>
      </c>
      <c r="BD42" s="285"/>
      <c r="BE42" s="285"/>
      <c r="BF42" s="285"/>
      <c r="BG42" s="285"/>
      <c r="BH42" s="285"/>
      <c r="BI42" s="285"/>
      <c r="BJ42" s="285"/>
      <c r="BK42" s="285"/>
      <c r="BL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CH42" s="285"/>
      <c r="CI42" s="285"/>
      <c r="CJ42" s="285"/>
      <c r="CK42" s="390">
        <f>CK38-CK40</f>
        <v>63183</v>
      </c>
      <c r="CL42" s="390">
        <f>CL38-CL40</f>
        <v>1251685052</v>
      </c>
      <c r="CR42" s="285"/>
      <c r="CS42" s="285"/>
      <c r="CT42" s="285"/>
      <c r="CU42" s="311"/>
      <c r="CV42" s="285"/>
      <c r="CW42" s="285"/>
      <c r="CX42" s="312">
        <f>CX38+CX34+CX36+CX37</f>
        <v>5377296</v>
      </c>
      <c r="CY42" s="285"/>
      <c r="CZ42" s="312">
        <f>CZ38+CZ34+CZ36+CZ37</f>
        <v>9614644274</v>
      </c>
      <c r="DA42" s="285"/>
      <c r="DB42" s="285"/>
      <c r="DC42" s="285"/>
      <c r="DD42" s="285"/>
      <c r="DE42" s="285"/>
      <c r="DF42" s="285"/>
      <c r="DG42" s="285"/>
      <c r="DH42" s="285"/>
      <c r="DI42" s="285"/>
      <c r="DJ42" s="285"/>
      <c r="DK42" s="285"/>
      <c r="DL42" s="285"/>
      <c r="DM42" s="285"/>
      <c r="DN42" s="285"/>
      <c r="DO42" s="285"/>
      <c r="DP42" s="285"/>
      <c r="DQ42" s="313"/>
      <c r="DR42" s="313"/>
      <c r="DT42" s="285"/>
      <c r="DU42" s="285"/>
      <c r="DV42" s="285"/>
      <c r="DW42" s="285"/>
      <c r="DX42" s="285"/>
      <c r="DY42" s="285"/>
      <c r="DZ42" s="285"/>
      <c r="EA42" s="285"/>
      <c r="EB42" s="293"/>
      <c r="EC42" s="285"/>
      <c r="ED42" s="314">
        <f>(SUM(ED3:ED33)+ED35+ED37)/1.18</f>
        <v>20321625.127118643</v>
      </c>
      <c r="EE42" s="285"/>
      <c r="EG42" s="285"/>
      <c r="EH42" s="385" t="s">
        <v>1156</v>
      </c>
      <c r="EI42" s="397">
        <v>77178321.186440662</v>
      </c>
      <c r="EL42" s="306"/>
      <c r="EM42" s="306"/>
      <c r="EN42" s="306"/>
      <c r="EW42" s="398">
        <f ca="1">IF(EW44&lt;=EW43,(EW43-EW44),0)</f>
        <v>0</v>
      </c>
    </row>
    <row r="43" spans="1:162" ht="12.5" thickBot="1">
      <c r="A43" s="285"/>
      <c r="B43" s="285"/>
      <c r="C43" s="285"/>
      <c r="D43" s="285"/>
      <c r="H43" s="293"/>
      <c r="O43" s="285"/>
      <c r="P43" s="285"/>
      <c r="Q43" s="285"/>
      <c r="S43" s="390">
        <f>S38+EH38</f>
        <v>313707163</v>
      </c>
      <c r="T43" s="285"/>
      <c r="U43" s="285"/>
      <c r="V43" s="285"/>
      <c r="X43" s="285"/>
      <c r="Y43" s="293">
        <f>Y40-Y36</f>
        <v>113424443</v>
      </c>
      <c r="Z43" s="285"/>
      <c r="AA43" s="399"/>
      <c r="AB43" s="382"/>
      <c r="AD43" s="293"/>
      <c r="AE43" s="293"/>
      <c r="AF43" s="285"/>
      <c r="AG43" s="285"/>
      <c r="AH43" s="390">
        <f>AH38-AH34</f>
        <v>3500419</v>
      </c>
      <c r="AI43" s="285"/>
      <c r="AJ43" s="390">
        <f>AJ38-AJ34</f>
        <v>29983547153</v>
      </c>
      <c r="AL43" s="390">
        <f>SUM(AL3:AL33)</f>
        <v>291562743</v>
      </c>
      <c r="AM43" s="390">
        <f>+SUM(AM3:AM33)</f>
        <v>576442893</v>
      </c>
      <c r="AO43" s="390">
        <f>SUM(AO3:AO33)+AO35</f>
        <v>706124</v>
      </c>
      <c r="AP43" s="285"/>
      <c r="AQ43" s="390">
        <f>SUM(AQ3:AQ33)+AQ35</f>
        <v>7105100326</v>
      </c>
      <c r="AS43" s="390">
        <f>(SUM(AS3:AS33)+AS35)/1.18</f>
        <v>34348347.457627118</v>
      </c>
      <c r="AT43" s="390"/>
      <c r="AU43" s="285"/>
      <c r="AV43" s="390"/>
      <c r="AW43" s="285"/>
      <c r="AX43" s="285"/>
      <c r="AY43" s="315"/>
      <c r="AZ43" s="285"/>
      <c r="BA43" s="285"/>
      <c r="BB43" s="285"/>
      <c r="BC43" s="285">
        <f>BC40/1.18</f>
        <v>8135652.5423728814</v>
      </c>
      <c r="BD43" s="285"/>
      <c r="BE43" s="285"/>
      <c r="BF43" s="285"/>
      <c r="BG43" s="390"/>
      <c r="BH43" s="285"/>
      <c r="BI43" s="285"/>
      <c r="BJ43" s="285"/>
      <c r="BK43" s="293"/>
      <c r="BL43" s="285"/>
      <c r="BN43" s="285"/>
      <c r="BP43" s="285"/>
      <c r="BQ43" s="285"/>
      <c r="BR43" s="285"/>
      <c r="BS43" s="285"/>
      <c r="BT43" s="285"/>
      <c r="BU43" s="285"/>
      <c r="BV43" s="285"/>
      <c r="BW43" s="285"/>
      <c r="BX43" s="285"/>
      <c r="BY43" s="285"/>
      <c r="BZ43" s="285"/>
      <c r="CA43" s="285"/>
      <c r="CB43" s="285"/>
      <c r="CC43" s="285"/>
      <c r="CD43" s="285"/>
      <c r="CE43" s="285"/>
      <c r="CF43" s="285"/>
      <c r="CG43" s="285"/>
      <c r="CH43" s="285"/>
      <c r="CI43" s="285"/>
      <c r="CJ43" s="285"/>
      <c r="CR43" s="285"/>
      <c r="CS43" s="285"/>
      <c r="CT43" s="285"/>
      <c r="CU43" s="311"/>
      <c r="CV43" s="285"/>
      <c r="CW43" s="285"/>
      <c r="CX43" s="315"/>
      <c r="CY43" s="285"/>
      <c r="CZ43" s="287"/>
      <c r="DA43" s="285"/>
      <c r="DB43" s="285"/>
      <c r="DC43" s="285"/>
      <c r="DD43" s="285"/>
      <c r="DE43" s="285"/>
      <c r="DF43" s="285"/>
      <c r="DG43" s="285"/>
      <c r="DH43" s="285"/>
      <c r="DI43" s="285"/>
      <c r="DJ43" s="285"/>
      <c r="DK43" s="285"/>
      <c r="DL43" s="285"/>
      <c r="DM43" s="285"/>
      <c r="DN43" s="285"/>
      <c r="DO43" s="285"/>
      <c r="DP43" s="285"/>
      <c r="DQ43" s="285"/>
      <c r="DR43" s="285"/>
      <c r="DT43" s="285"/>
      <c r="DU43" s="285"/>
      <c r="DV43" s="285"/>
      <c r="DW43" s="293">
        <f>+DW38+DY38</f>
        <v>326225</v>
      </c>
      <c r="DX43" s="293">
        <f>+DX38+DZ38</f>
        <v>9166651982</v>
      </c>
      <c r="DY43" s="285"/>
      <c r="DZ43" s="293"/>
      <c r="EA43" s="293"/>
      <c r="EB43" s="293"/>
      <c r="EC43" s="293"/>
      <c r="ED43" s="293">
        <f>ED38+ED34+ED36+ED37</f>
        <v>58157410.54999999</v>
      </c>
      <c r="EE43" s="285"/>
      <c r="EG43" s="285"/>
      <c r="EI43" s="397"/>
      <c r="EL43" s="306"/>
      <c r="EM43" s="306"/>
      <c r="EN43" s="306"/>
      <c r="EW43" s="400">
        <v>44592</v>
      </c>
    </row>
    <row r="44" spans="1:162" ht="17.5" customHeight="1" thickBot="1">
      <c r="D44" s="285"/>
      <c r="W44" s="288"/>
      <c r="Y44" s="390"/>
      <c r="AL44" s="390"/>
      <c r="AM44" s="390"/>
      <c r="BC44" s="390">
        <f>SUM(BC3:BC33)</f>
        <v>838400</v>
      </c>
      <c r="BD44" s="390"/>
      <c r="BK44" s="390"/>
      <c r="DZ44" s="293"/>
      <c r="EA44" s="293"/>
      <c r="EB44" s="293"/>
      <c r="EC44" s="293"/>
      <c r="ED44" s="293"/>
      <c r="EE44" s="306"/>
      <c r="EH44" s="316" t="s">
        <v>1157</v>
      </c>
      <c r="EI44" s="401">
        <f>EI40-EI42</f>
        <v>582360875.50553942</v>
      </c>
      <c r="EJ44" s="305">
        <f>EJ38/EI44</f>
        <v>0.79735005652106716</v>
      </c>
      <c r="EL44" s="306"/>
      <c r="EM44" s="306"/>
      <c r="EN44" s="306"/>
      <c r="EW44" s="400">
        <f ca="1">TODAY()-1</f>
        <v>45722</v>
      </c>
    </row>
    <row r="45" spans="1:162">
      <c r="D45" s="285"/>
      <c r="U45" s="402"/>
      <c r="V45" s="402"/>
      <c r="W45" s="402"/>
      <c r="Z45" s="402"/>
      <c r="AA45" s="402"/>
      <c r="AO45" s="390"/>
      <c r="AQ45" s="262"/>
      <c r="AY45" s="403">
        <f>AY39+AY38</f>
        <v>30889</v>
      </c>
      <c r="BA45" s="403">
        <f>BA39+BA38</f>
        <v>1098456647</v>
      </c>
      <c r="BC45" s="390">
        <f>BC35+BC34</f>
        <v>1456583.9999999348</v>
      </c>
      <c r="CK45" s="390"/>
      <c r="CL45" s="390"/>
      <c r="CY45" s="285"/>
      <c r="CZ45" s="382">
        <f>+CZ38+CZ37</f>
        <v>6930836574</v>
      </c>
      <c r="DZ45" s="293"/>
      <c r="EA45" s="293"/>
      <c r="EB45" s="293"/>
      <c r="EC45" s="293"/>
      <c r="ED45" s="293">
        <f>(ED36+ED38+ED37)/1.18</f>
        <v>20322303.093220338</v>
      </c>
      <c r="EI45" s="404"/>
      <c r="EL45" s="306"/>
      <c r="EM45" s="306"/>
      <c r="EN45" s="306"/>
    </row>
    <row r="46" spans="1:162" ht="15" hidden="1" customHeight="1">
      <c r="D46" s="285"/>
      <c r="F46" s="317">
        <f>+A4</f>
        <v>45567</v>
      </c>
      <c r="G46" s="318">
        <f>G4/G3-1</f>
        <v>1.1582011999873298E-3</v>
      </c>
      <c r="H46" s="318">
        <f>H4/H3-1</f>
        <v>-5.7395440264396136E-4</v>
      </c>
      <c r="I46" s="318">
        <f>I4/I3-1</f>
        <v>4.1739352475334002E-4</v>
      </c>
      <c r="J46" s="405"/>
      <c r="K46" s="317">
        <f>F46</f>
        <v>45567</v>
      </c>
      <c r="L46" s="318">
        <f>L4/L3-1</f>
        <v>1.8934642348273911E-3</v>
      </c>
      <c r="M46" s="318">
        <f>M4/M3-1</f>
        <v>1.3848135893346214E-3</v>
      </c>
      <c r="N46" s="318">
        <f>N4/N3-1</f>
        <v>2.0145397214679228E-3</v>
      </c>
      <c r="AY46" s="385"/>
      <c r="CY46" s="285"/>
      <c r="DZ46" s="293"/>
      <c r="EA46" s="293"/>
      <c r="EB46" s="293"/>
      <c r="EC46" s="293"/>
      <c r="ED46" s="293"/>
      <c r="EI46" s="404"/>
      <c r="EL46" s="306"/>
      <c r="EM46" s="306"/>
      <c r="EN46" s="306"/>
    </row>
    <row r="47" spans="1:162" ht="14.5" hidden="1">
      <c r="D47" s="285"/>
      <c r="F47" s="317">
        <f t="shared" ref="F47:F64" si="34">+A5</f>
        <v>45568</v>
      </c>
      <c r="G47" s="318">
        <f t="shared" ref="G47:I62" si="35">G5/G4-1</f>
        <v>1.0803043225782183E-3</v>
      </c>
      <c r="H47" s="318">
        <f t="shared" si="35"/>
        <v>-1.5214745607702307E-3</v>
      </c>
      <c r="I47" s="318">
        <f t="shared" si="35"/>
        <v>-2.3437912234225422E-4</v>
      </c>
      <c r="J47" s="193"/>
      <c r="K47" s="317">
        <f t="shared" ref="K47:K66" si="36">F47</f>
        <v>45568</v>
      </c>
      <c r="L47" s="318">
        <f t="shared" ref="L47:N62" si="37">L5/L4-1</f>
        <v>1.3796166366646379E-3</v>
      </c>
      <c r="M47" s="318">
        <f t="shared" si="37"/>
        <v>-1.0315062825533294E-3</v>
      </c>
      <c r="N47" s="318">
        <f t="shared" si="37"/>
        <v>-3.1401291016676103E-3</v>
      </c>
      <c r="AY47" s="385"/>
      <c r="DZ47" s="293"/>
      <c r="EA47" s="293"/>
      <c r="EB47" s="293"/>
      <c r="EC47" s="293"/>
      <c r="ED47" s="293"/>
      <c r="EI47" s="404"/>
      <c r="EL47" s="306"/>
      <c r="EM47" s="306"/>
      <c r="EN47" s="306"/>
    </row>
    <row r="48" spans="1:162" ht="14.5" hidden="1">
      <c r="D48" s="285"/>
      <c r="F48" s="317">
        <f t="shared" si="34"/>
        <v>45569</v>
      </c>
      <c r="G48" s="318">
        <f t="shared" si="35"/>
        <v>1.0409013327501437E-3</v>
      </c>
      <c r="H48" s="318">
        <f t="shared" si="35"/>
        <v>8.198906998406752E-4</v>
      </c>
      <c r="I48" s="318">
        <f t="shared" si="35"/>
        <v>-9.8805981873728577E-5</v>
      </c>
      <c r="J48" s="193"/>
      <c r="K48" s="317">
        <f t="shared" si="36"/>
        <v>45569</v>
      </c>
      <c r="L48" s="318">
        <f t="shared" si="37"/>
        <v>4.1048385194275561E-4</v>
      </c>
      <c r="M48" s="318">
        <f t="shared" si="37"/>
        <v>2.1559182793495779E-4</v>
      </c>
      <c r="N48" s="318">
        <f t="shared" si="37"/>
        <v>-4.3978873951960873E-3</v>
      </c>
      <c r="AY48" s="385"/>
      <c r="DZ48" s="293"/>
      <c r="EA48" s="293"/>
      <c r="EB48" s="293"/>
      <c r="EC48" s="293"/>
      <c r="ED48" s="293"/>
      <c r="EH48" s="193"/>
      <c r="EI48" s="193"/>
      <c r="EL48" s="306"/>
      <c r="EM48" s="306"/>
      <c r="EN48" s="306"/>
    </row>
    <row r="49" spans="4:144" ht="14.5" hidden="1">
      <c r="D49" s="285"/>
      <c r="F49" s="317">
        <f t="shared" si="34"/>
        <v>45570</v>
      </c>
      <c r="G49" s="318">
        <f>G7/G6-1</f>
        <v>1.0635862748420433E-3</v>
      </c>
      <c r="H49" s="318">
        <f t="shared" si="35"/>
        <v>9.3351939999863909E-4</v>
      </c>
      <c r="I49" s="318">
        <f t="shared" si="35"/>
        <v>9.5133171095440616E-5</v>
      </c>
      <c r="J49" s="193"/>
      <c r="K49" s="317">
        <f t="shared" si="36"/>
        <v>45570</v>
      </c>
      <c r="L49" s="318">
        <f t="shared" si="37"/>
        <v>7.2158919408393807E-4</v>
      </c>
      <c r="M49" s="318">
        <f t="shared" si="37"/>
        <v>7.3739201461142656E-5</v>
      </c>
      <c r="N49" s="318">
        <f t="shared" si="37"/>
        <v>-2.1815570355214753E-3</v>
      </c>
      <c r="AY49" s="385"/>
      <c r="DZ49" s="293"/>
      <c r="EA49" s="293"/>
      <c r="EB49" s="293"/>
      <c r="EC49" s="293"/>
      <c r="ED49" s="293"/>
      <c r="EH49" s="193"/>
      <c r="EI49" s="193"/>
      <c r="EL49" s="306"/>
      <c r="EM49" s="306"/>
      <c r="EN49" s="306"/>
    </row>
    <row r="50" spans="4:144" ht="14.5" hidden="1">
      <c r="D50" s="285"/>
      <c r="F50" s="317">
        <f t="shared" si="34"/>
        <v>45571</v>
      </c>
      <c r="G50" s="318">
        <f t="shared" si="35"/>
        <v>1.4522214069532247E-3</v>
      </c>
      <c r="H50" s="318">
        <f t="shared" si="35"/>
        <v>-2.3674317781763321E-4</v>
      </c>
      <c r="I50" s="318">
        <f t="shared" si="35"/>
        <v>2.7358924790572559E-3</v>
      </c>
      <c r="J50" s="193"/>
      <c r="K50" s="317">
        <f t="shared" si="36"/>
        <v>45571</v>
      </c>
      <c r="L50" s="318">
        <f t="shared" si="37"/>
        <v>6.7865306218628518E-4</v>
      </c>
      <c r="M50" s="318">
        <f t="shared" si="37"/>
        <v>-1.4860189439056537E-3</v>
      </c>
      <c r="N50" s="318">
        <f t="shared" si="37"/>
        <v>-3.3949171300728942E-3</v>
      </c>
      <c r="AY50" s="385"/>
      <c r="DZ50" s="293"/>
      <c r="EA50" s="293"/>
      <c r="EB50" s="293"/>
      <c r="EC50" s="293"/>
      <c r="ED50" s="293"/>
      <c r="EH50" s="193"/>
      <c r="EI50" s="193"/>
      <c r="EL50" s="306"/>
      <c r="EM50" s="306"/>
      <c r="EN50" s="306"/>
    </row>
    <row r="51" spans="4:144" ht="14.5" hidden="1">
      <c r="D51" s="285"/>
      <c r="F51" s="317">
        <f t="shared" si="34"/>
        <v>45572</v>
      </c>
      <c r="G51" s="318">
        <f t="shared" si="35"/>
        <v>1.4879348018128624E-3</v>
      </c>
      <c r="H51" s="318">
        <f t="shared" si="35"/>
        <v>2.9052679672014747E-5</v>
      </c>
      <c r="I51" s="318">
        <f t="shared" si="35"/>
        <v>4.9329582816168838E-3</v>
      </c>
      <c r="J51" s="193"/>
      <c r="K51" s="317">
        <f t="shared" si="36"/>
        <v>45572</v>
      </c>
      <c r="L51" s="318">
        <f t="shared" si="37"/>
        <v>4.3328984735957476E-4</v>
      </c>
      <c r="M51" s="318">
        <f t="shared" si="37"/>
        <v>1.4768699445610878E-4</v>
      </c>
      <c r="N51" s="318">
        <f t="shared" si="37"/>
        <v>-1.2058945761995732E-3</v>
      </c>
      <c r="AY51" s="385"/>
      <c r="DZ51" s="293"/>
      <c r="EA51" s="293"/>
      <c r="EB51" s="293"/>
      <c r="EC51" s="293"/>
      <c r="ED51" s="293"/>
      <c r="EI51" s="404"/>
      <c r="EL51" s="306"/>
      <c r="EM51" s="306"/>
      <c r="EN51" s="306"/>
    </row>
    <row r="52" spans="4:144" ht="14.5" hidden="1">
      <c r="D52" s="285"/>
      <c r="F52" s="317">
        <f t="shared" si="34"/>
        <v>45573</v>
      </c>
      <c r="G52" s="318">
        <f t="shared" si="35"/>
        <v>1.0004401936851703E-3</v>
      </c>
      <c r="H52" s="318">
        <f t="shared" si="35"/>
        <v>-1.4012536066062564E-3</v>
      </c>
      <c r="I52" s="318">
        <f t="shared" si="35"/>
        <v>2.4141761593405864E-3</v>
      </c>
      <c r="J52" s="193"/>
      <c r="K52" s="317">
        <f t="shared" si="36"/>
        <v>45573</v>
      </c>
      <c r="L52" s="318">
        <f t="shared" si="37"/>
        <v>1.1580775911985697E-3</v>
      </c>
      <c r="M52" s="318">
        <f t="shared" si="37"/>
        <v>1.135886047911594E-4</v>
      </c>
      <c r="N52" s="318">
        <f t="shared" si="37"/>
        <v>9.0039699321975419E-4</v>
      </c>
      <c r="AY52" s="385"/>
      <c r="DZ52" s="293"/>
      <c r="EA52" s="293"/>
      <c r="EB52" s="293"/>
      <c r="EC52" s="293"/>
      <c r="ED52" s="293"/>
      <c r="EI52" s="404"/>
      <c r="EL52" s="306"/>
      <c r="EM52" s="306"/>
      <c r="EN52" s="306"/>
    </row>
    <row r="53" spans="4:144" ht="14.5" hidden="1">
      <c r="D53" s="285"/>
      <c r="F53" s="317">
        <f t="shared" si="34"/>
        <v>45574</v>
      </c>
      <c r="G53" s="318">
        <f t="shared" si="35"/>
        <v>1.0900937728393068E-3</v>
      </c>
      <c r="H53" s="318">
        <f t="shared" si="35"/>
        <v>7.022077299441154E-4</v>
      </c>
      <c r="I53" s="318">
        <f t="shared" si="35"/>
        <v>1.0243436545374074E-3</v>
      </c>
      <c r="J53" s="193"/>
      <c r="K53" s="317">
        <f t="shared" si="36"/>
        <v>45574</v>
      </c>
      <c r="L53" s="318">
        <f t="shared" si="37"/>
        <v>8.6990459262592523E-4</v>
      </c>
      <c r="M53" s="318">
        <f t="shared" si="37"/>
        <v>-3.9751496359929916E-5</v>
      </c>
      <c r="N53" s="318">
        <f t="shared" si="37"/>
        <v>6.9513541510479726E-4</v>
      </c>
      <c r="AY53" s="385"/>
      <c r="DZ53" s="293"/>
      <c r="EA53" s="293"/>
      <c r="EB53" s="293"/>
      <c r="EC53" s="293"/>
      <c r="ED53" s="293"/>
      <c r="EI53" s="404"/>
      <c r="EL53" s="306"/>
      <c r="EM53" s="306"/>
      <c r="EN53" s="306"/>
    </row>
    <row r="54" spans="4:144" ht="14.5" hidden="1">
      <c r="D54" s="285"/>
      <c r="F54" s="317">
        <f t="shared" si="34"/>
        <v>45575</v>
      </c>
      <c r="G54" s="318">
        <f t="shared" si="35"/>
        <v>1.0475665521139099E-3</v>
      </c>
      <c r="H54" s="318">
        <f t="shared" si="35"/>
        <v>-1.8837184203368551E-4</v>
      </c>
      <c r="I54" s="318">
        <f t="shared" si="35"/>
        <v>1.7297698859808364E-4</v>
      </c>
      <c r="J54" s="193"/>
      <c r="K54" s="317">
        <f t="shared" si="36"/>
        <v>45575</v>
      </c>
      <c r="L54" s="318">
        <f t="shared" si="37"/>
        <v>8.4095991581012441E-4</v>
      </c>
      <c r="M54" s="318">
        <f t="shared" si="37"/>
        <v>-6.5308625849724855E-4</v>
      </c>
      <c r="N54" s="318">
        <f t="shared" si="37"/>
        <v>-1.7843035767795001E-3</v>
      </c>
      <c r="AY54" s="385"/>
      <c r="DZ54" s="293"/>
      <c r="EA54" s="293"/>
      <c r="EB54" s="293"/>
      <c r="EC54" s="293"/>
      <c r="ED54" s="293"/>
      <c r="EI54" s="404"/>
      <c r="EL54" s="306"/>
      <c r="EM54" s="306"/>
      <c r="EN54" s="306"/>
    </row>
    <row r="55" spans="4:144" ht="14.5" hidden="1">
      <c r="D55" s="285"/>
      <c r="F55" s="317">
        <f t="shared" si="34"/>
        <v>45576</v>
      </c>
      <c r="G55" s="318">
        <f t="shared" si="35"/>
        <v>1.0251195012902503E-3</v>
      </c>
      <c r="H55" s="318">
        <f t="shared" si="35"/>
        <v>1.5494810234373269E-4</v>
      </c>
      <c r="I55" s="318">
        <f t="shared" si="35"/>
        <v>-3.7866306451295184E-4</v>
      </c>
      <c r="J55" s="193"/>
      <c r="K55" s="317">
        <f t="shared" si="36"/>
        <v>45576</v>
      </c>
      <c r="L55" s="318">
        <f t="shared" si="37"/>
        <v>8.7780651642255236E-4</v>
      </c>
      <c r="M55" s="318">
        <f t="shared" si="37"/>
        <v>-2.2730889005073696E-4</v>
      </c>
      <c r="N55" s="318">
        <f t="shared" si="37"/>
        <v>-1.6032857123364774E-3</v>
      </c>
      <c r="AY55" s="385"/>
      <c r="DZ55" s="293"/>
      <c r="EA55" s="293"/>
      <c r="EB55" s="293"/>
      <c r="EC55" s="293"/>
      <c r="ED55" s="293"/>
      <c r="EI55" s="404"/>
      <c r="EL55" s="306"/>
      <c r="EM55" s="306"/>
      <c r="EN55" s="306"/>
    </row>
    <row r="56" spans="4:144" ht="14.5" hidden="1">
      <c r="D56" s="285"/>
      <c r="F56" s="317">
        <f t="shared" si="34"/>
        <v>45577</v>
      </c>
      <c r="G56" s="318">
        <f t="shared" si="35"/>
        <v>9.527861487625966E-4</v>
      </c>
      <c r="H56" s="318">
        <f t="shared" si="35"/>
        <v>8.0926931981162298E-4</v>
      </c>
      <c r="I56" s="318">
        <f t="shared" si="35"/>
        <v>-1.3318933829666868E-3</v>
      </c>
      <c r="J56" s="193"/>
      <c r="K56" s="317">
        <f t="shared" si="36"/>
        <v>45577</v>
      </c>
      <c r="L56" s="318">
        <f t="shared" si="37"/>
        <v>8.9110675458914379E-4</v>
      </c>
      <c r="M56" s="318">
        <f t="shared" si="37"/>
        <v>-3.9788099947701827E-4</v>
      </c>
      <c r="N56" s="318">
        <f t="shared" si="37"/>
        <v>-2.350706236888267E-3</v>
      </c>
      <c r="AY56" s="385"/>
      <c r="DZ56" s="293"/>
      <c r="EA56" s="293"/>
      <c r="EB56" s="293"/>
      <c r="EC56" s="293"/>
      <c r="ED56" s="293"/>
      <c r="EI56" s="404"/>
      <c r="EL56" s="306"/>
      <c r="EM56" s="306"/>
      <c r="EN56" s="306"/>
    </row>
    <row r="57" spans="4:144" ht="14.5" hidden="1">
      <c r="D57" s="285"/>
      <c r="F57" s="317">
        <f t="shared" si="34"/>
        <v>45578</v>
      </c>
      <c r="G57" s="318">
        <f t="shared" si="35"/>
        <v>7.9010180200977942E-4</v>
      </c>
      <c r="H57" s="318">
        <f t="shared" si="35"/>
        <v>-2.0147723442550669E-3</v>
      </c>
      <c r="I57" s="318">
        <f t="shared" si="35"/>
        <v>-3.8660616320737029E-3</v>
      </c>
      <c r="J57" s="193"/>
      <c r="K57" s="317">
        <f t="shared" si="36"/>
        <v>45578</v>
      </c>
      <c r="L57" s="318">
        <f t="shared" si="37"/>
        <v>4.4984255510560622E-4</v>
      </c>
      <c r="M57" s="318">
        <f t="shared" si="37"/>
        <v>3.4117660438370834E-5</v>
      </c>
      <c r="N57" s="318">
        <f t="shared" si="37"/>
        <v>-3.6919072570978928E-3</v>
      </c>
      <c r="AY57" s="385"/>
      <c r="DZ57" s="293"/>
      <c r="EA57" s="293"/>
      <c r="EB57" s="293"/>
      <c r="EC57" s="293"/>
      <c r="ED57" s="293"/>
      <c r="EI57" s="404"/>
      <c r="EL57" s="306"/>
      <c r="EM57" s="306"/>
      <c r="EN57" s="306"/>
    </row>
    <row r="58" spans="4:144" ht="14.5" hidden="1">
      <c r="D58" s="285"/>
      <c r="F58" s="317">
        <f t="shared" si="34"/>
        <v>45579</v>
      </c>
      <c r="G58" s="318">
        <f t="shared" si="35"/>
        <v>1.0601081904284548E-3</v>
      </c>
      <c r="H58" s="318">
        <f t="shared" si="35"/>
        <v>2.0734677472100671E-5</v>
      </c>
      <c r="I58" s="318">
        <f t="shared" si="35"/>
        <v>7.8353598071667641E-4</v>
      </c>
      <c r="J58" s="193"/>
      <c r="K58" s="317">
        <f t="shared" si="36"/>
        <v>45579</v>
      </c>
      <c r="L58" s="318">
        <f t="shared" si="37"/>
        <v>4.3090527577938076E-4</v>
      </c>
      <c r="M58" s="318">
        <f t="shared" si="37"/>
        <v>8.5291241158147457E-4</v>
      </c>
      <c r="N58" s="318">
        <f t="shared" si="37"/>
        <v>-9.2811571884277022E-4</v>
      </c>
      <c r="AY58" s="385"/>
      <c r="DZ58" s="293"/>
      <c r="EA58" s="293"/>
      <c r="EB58" s="293"/>
      <c r="EC58" s="293"/>
      <c r="ED58" s="293"/>
      <c r="EI58" s="404"/>
      <c r="EL58" s="306"/>
      <c r="EM58" s="306"/>
      <c r="EN58" s="306"/>
    </row>
    <row r="59" spans="4:144" ht="14.5" hidden="1">
      <c r="D59" s="285"/>
      <c r="F59" s="317">
        <f t="shared" si="34"/>
        <v>45580</v>
      </c>
      <c r="G59" s="318">
        <f t="shared" si="35"/>
        <v>1.0631834325851575E-3</v>
      </c>
      <c r="H59" s="318">
        <f t="shared" si="35"/>
        <v>-2.372476402831003E-4</v>
      </c>
      <c r="I59" s="318">
        <f t="shared" si="35"/>
        <v>2.9640081243456073E-3</v>
      </c>
      <c r="J59" s="193"/>
      <c r="K59" s="317">
        <f t="shared" si="36"/>
        <v>45580</v>
      </c>
      <c r="L59" s="318">
        <f t="shared" si="37"/>
        <v>1.0346635704787666E-3</v>
      </c>
      <c r="M59" s="318">
        <f t="shared" si="37"/>
        <v>1.4259905236964077E-3</v>
      </c>
      <c r="N59" s="318">
        <f t="shared" si="37"/>
        <v>6.5372520145068336E-4</v>
      </c>
      <c r="AY59" s="385"/>
      <c r="DZ59" s="293"/>
      <c r="EA59" s="293"/>
      <c r="EB59" s="293"/>
      <c r="EC59" s="293"/>
      <c r="ED59" s="293"/>
      <c r="EI59" s="404"/>
      <c r="EL59" s="306"/>
      <c r="EM59" s="306"/>
      <c r="EN59" s="306"/>
    </row>
    <row r="60" spans="4:144" ht="14.5" hidden="1">
      <c r="D60" s="285"/>
      <c r="F60" s="317">
        <f t="shared" si="34"/>
        <v>45581</v>
      </c>
      <c r="G60" s="318">
        <f t="shared" si="35"/>
        <v>1.1034293813583229E-3</v>
      </c>
      <c r="H60" s="318">
        <f t="shared" si="35"/>
        <v>3.8287694534400174E-5</v>
      </c>
      <c r="I60" s="318">
        <f t="shared" si="35"/>
        <v>6.8455257862320984E-4</v>
      </c>
      <c r="J60" s="193"/>
      <c r="K60" s="317">
        <f t="shared" si="36"/>
        <v>45581</v>
      </c>
      <c r="L60" s="318">
        <f t="shared" si="37"/>
        <v>1.1271320802368479E-3</v>
      </c>
      <c r="M60" s="318">
        <f t="shared" si="37"/>
        <v>-9.3039615587542368E-4</v>
      </c>
      <c r="N60" s="318">
        <f t="shared" si="37"/>
        <v>1.2034439126369367E-3</v>
      </c>
      <c r="AY60" s="385"/>
      <c r="DZ60" s="293"/>
      <c r="EA60" s="293"/>
      <c r="EB60" s="293"/>
      <c r="EC60" s="293"/>
      <c r="ED60" s="293"/>
      <c r="EI60" s="404"/>
      <c r="EL60" s="306"/>
      <c r="EM60" s="306"/>
      <c r="EN60" s="306"/>
    </row>
    <row r="61" spans="4:144" ht="14.5" hidden="1">
      <c r="D61" s="285"/>
      <c r="F61" s="317">
        <f t="shared" si="34"/>
        <v>45582</v>
      </c>
      <c r="G61" s="318">
        <f t="shared" si="35"/>
        <v>9.8576449946485845E-4</v>
      </c>
      <c r="H61" s="318">
        <f t="shared" si="35"/>
        <v>-1.2235640570480433E-3</v>
      </c>
      <c r="I61" s="318">
        <f t="shared" si="35"/>
        <v>-3.421636504584491E-3</v>
      </c>
      <c r="J61" s="193"/>
      <c r="K61" s="317">
        <f t="shared" si="36"/>
        <v>45582</v>
      </c>
      <c r="L61" s="318">
        <f t="shared" si="37"/>
        <v>1.018415569612019E-3</v>
      </c>
      <c r="M61" s="318">
        <f t="shared" si="37"/>
        <v>2.8392152409084659E-4</v>
      </c>
      <c r="N61" s="318">
        <f t="shared" si="37"/>
        <v>-8.0362110295284506E-4</v>
      </c>
      <c r="AY61" s="385"/>
      <c r="DZ61" s="293"/>
      <c r="EA61" s="293"/>
      <c r="EB61" s="293"/>
      <c r="EC61" s="293"/>
      <c r="ED61" s="293"/>
      <c r="EI61" s="404"/>
      <c r="EL61" s="306"/>
      <c r="EM61" s="306"/>
      <c r="EN61" s="306"/>
    </row>
    <row r="62" spans="4:144" ht="14.5" hidden="1">
      <c r="D62" s="285"/>
      <c r="F62" s="317">
        <f t="shared" si="34"/>
        <v>45583</v>
      </c>
      <c r="G62" s="318">
        <f t="shared" si="35"/>
        <v>1.0584440203353918E-3</v>
      </c>
      <c r="H62" s="318">
        <f t="shared" si="35"/>
        <v>-5.6022274743938727E-4</v>
      </c>
      <c r="I62" s="318">
        <f t="shared" si="35"/>
        <v>-3.4797154777842509E-3</v>
      </c>
      <c r="J62" s="193"/>
      <c r="K62" s="317">
        <f t="shared" si="36"/>
        <v>45583</v>
      </c>
      <c r="L62" s="318">
        <f t="shared" si="37"/>
        <v>5.9736041367197679E-4</v>
      </c>
      <c r="M62" s="318">
        <f t="shared" si="37"/>
        <v>-3.0654821038289537E-4</v>
      </c>
      <c r="N62" s="318">
        <f t="shared" si="37"/>
        <v>-9.7611944402431483E-4</v>
      </c>
      <c r="AY62" s="385"/>
      <c r="DZ62" s="293"/>
      <c r="EA62" s="293"/>
      <c r="EB62" s="293"/>
      <c r="EC62" s="293"/>
      <c r="ED62" s="293"/>
      <c r="EI62" s="404"/>
      <c r="EL62" s="306"/>
      <c r="EM62" s="306"/>
      <c r="EN62" s="306"/>
    </row>
    <row r="63" spans="4:144" ht="14.5" hidden="1">
      <c r="D63" s="285"/>
      <c r="F63" s="317">
        <f t="shared" si="34"/>
        <v>45584</v>
      </c>
      <c r="G63" s="318">
        <f t="shared" ref="G63:I64" si="38">G21/G20-1</f>
        <v>9.6731015597639747E-4</v>
      </c>
      <c r="H63" s="318">
        <f t="shared" si="38"/>
        <v>6.644138655143017E-4</v>
      </c>
      <c r="I63" s="318">
        <f t="shared" si="38"/>
        <v>-2.6904743260967035E-3</v>
      </c>
      <c r="J63" s="193"/>
      <c r="K63" s="317">
        <f t="shared" si="36"/>
        <v>45584</v>
      </c>
      <c r="L63" s="318">
        <f t="shared" ref="L63:N64" si="39">L21/L20-1</f>
        <v>6.4830880020894099E-4</v>
      </c>
      <c r="M63" s="318">
        <f t="shared" si="39"/>
        <v>4.7132043543185453E-4</v>
      </c>
      <c r="N63" s="318">
        <f t="shared" si="39"/>
        <v>-9.0138441637077626E-4</v>
      </c>
      <c r="AY63" s="385"/>
      <c r="DZ63" s="293"/>
      <c r="EA63" s="293"/>
      <c r="EB63" s="293"/>
      <c r="EC63" s="293"/>
      <c r="ED63" s="293"/>
      <c r="EI63" s="404"/>
      <c r="EL63" s="306"/>
      <c r="EM63" s="306"/>
      <c r="EN63" s="306"/>
    </row>
    <row r="64" spans="4:144" ht="14.5" hidden="1">
      <c r="D64" s="285"/>
      <c r="F64" s="317">
        <f t="shared" si="34"/>
        <v>45585</v>
      </c>
      <c r="G64" s="318">
        <f t="shared" si="38"/>
        <v>8.1046347039848143E-4</v>
      </c>
      <c r="H64" s="318">
        <f t="shared" si="38"/>
        <v>-1.4852546552951429E-3</v>
      </c>
      <c r="I64" s="318">
        <f t="shared" si="38"/>
        <v>-3.4534411117749242E-3</v>
      </c>
      <c r="J64" s="193"/>
      <c r="K64" s="317">
        <f t="shared" si="36"/>
        <v>45585</v>
      </c>
      <c r="L64" s="318">
        <f t="shared" si="39"/>
        <v>8.4365371976713455E-4</v>
      </c>
      <c r="M64" s="318">
        <f t="shared" si="39"/>
        <v>-1.8162829768875177E-4</v>
      </c>
      <c r="N64" s="318">
        <f t="shared" si="39"/>
        <v>-2.2313895909807924E-3</v>
      </c>
      <c r="AY64" s="385"/>
      <c r="DZ64" s="293"/>
      <c r="EA64" s="293"/>
      <c r="EB64" s="293"/>
      <c r="EC64" s="293"/>
      <c r="ED64" s="293"/>
      <c r="EI64" s="404"/>
      <c r="EL64" s="306"/>
      <c r="EM64" s="306"/>
      <c r="EN64" s="306"/>
    </row>
    <row r="65" spans="4:144" ht="14.5" hidden="1">
      <c r="D65" s="285"/>
      <c r="F65" s="317"/>
      <c r="G65" s="318"/>
      <c r="H65" s="318"/>
      <c r="I65" s="318"/>
      <c r="J65" s="193"/>
      <c r="K65" s="317">
        <f t="shared" si="36"/>
        <v>0</v>
      </c>
      <c r="L65" s="318"/>
      <c r="M65" s="318"/>
      <c r="N65" s="318"/>
      <c r="AY65" s="385"/>
      <c r="DZ65" s="293"/>
      <c r="EA65" s="293"/>
      <c r="EB65" s="293"/>
      <c r="EC65" s="293"/>
      <c r="ED65" s="293"/>
      <c r="EI65" s="404"/>
      <c r="EL65" s="306"/>
      <c r="EM65" s="306"/>
      <c r="EN65" s="306"/>
    </row>
    <row r="66" spans="4:144" ht="14.5" hidden="1">
      <c r="D66" s="285"/>
      <c r="F66" s="317"/>
      <c r="G66" s="318"/>
      <c r="H66" s="318"/>
      <c r="I66" s="318"/>
      <c r="J66" s="193"/>
      <c r="K66" s="317">
        <f t="shared" si="36"/>
        <v>0</v>
      </c>
      <c r="L66" s="318"/>
      <c r="M66" s="318"/>
      <c r="N66" s="318"/>
      <c r="AY66" s="385"/>
      <c r="DZ66" s="293"/>
      <c r="EA66" s="293"/>
      <c r="EB66" s="293"/>
      <c r="EC66" s="293"/>
      <c r="ED66" s="293"/>
      <c r="EI66" s="404"/>
      <c r="EL66" s="306"/>
      <c r="EM66" s="306"/>
      <c r="EN66" s="306"/>
    </row>
    <row r="67" spans="4:144" ht="14.5" hidden="1">
      <c r="D67" s="285"/>
      <c r="F67" s="406" t="s">
        <v>1158</v>
      </c>
      <c r="G67" s="407">
        <f>AVERAGE(G46:G66)</f>
        <v>1.0651558136932579E-3</v>
      </c>
      <c r="H67" s="407">
        <f>AVERAGE(H46:H66)</f>
        <v>-2.7739657184531081E-4</v>
      </c>
      <c r="I67" s="407">
        <f>AVERAGE(I46:I66)</f>
        <v>-1.4368945585922118E-4</v>
      </c>
      <c r="J67" s="193"/>
      <c r="K67" s="406" t="s">
        <v>1158</v>
      </c>
      <c r="L67" s="407">
        <f>AVERAGE(L46:L66)</f>
        <v>8.5817022013534583E-4</v>
      </c>
      <c r="M67" s="407">
        <f>AVERAGE(M46:M66)</f>
        <v>-1.3181197977581233E-5</v>
      </c>
      <c r="N67" s="407">
        <f>AVERAGE(N46:N66)</f>
        <v>-1.2696830026869043E-3</v>
      </c>
      <c r="AY67" s="385"/>
      <c r="DZ67" s="293"/>
      <c r="EA67" s="293"/>
      <c r="EB67" s="293"/>
      <c r="EC67" s="293"/>
      <c r="ED67" s="293"/>
      <c r="EI67" s="404"/>
      <c r="EL67" s="306"/>
      <c r="EM67" s="306"/>
      <c r="EN67" s="306"/>
    </row>
    <row r="68" spans="4:144" ht="14.5" hidden="1">
      <c r="D68" s="285"/>
      <c r="F68" s="193"/>
      <c r="G68" s="193"/>
      <c r="H68" s="193"/>
      <c r="I68" s="193"/>
      <c r="J68" s="193"/>
      <c r="K68" s="193"/>
      <c r="L68" s="193"/>
      <c r="M68" s="193"/>
      <c r="N68" s="193"/>
      <c r="AY68" s="385"/>
      <c r="DZ68" s="293"/>
      <c r="EA68" s="293"/>
      <c r="EB68" s="293"/>
      <c r="EC68" s="293"/>
      <c r="ED68" s="293"/>
      <c r="EI68" s="404"/>
      <c r="EL68" s="306"/>
      <c r="EM68" s="306"/>
      <c r="EN68" s="306"/>
    </row>
    <row r="69" spans="4:144" ht="14.5" hidden="1">
      <c r="D69" s="285"/>
      <c r="F69" s="193"/>
      <c r="G69" s="193">
        <f>G3/H3</f>
        <v>1.401158329876216</v>
      </c>
      <c r="H69" s="193"/>
      <c r="I69" s="193">
        <f>I3/H3</f>
        <v>0.64799889584378256</v>
      </c>
      <c r="J69" s="193"/>
      <c r="K69" s="193"/>
      <c r="L69" s="193">
        <f>L3/M3</f>
        <v>1.198959119621787</v>
      </c>
      <c r="M69" s="193"/>
      <c r="N69" s="193">
        <f>N3/M3</f>
        <v>0.84235826943705061</v>
      </c>
      <c r="AY69" s="385"/>
      <c r="DZ69" s="293"/>
      <c r="EA69" s="293"/>
      <c r="EB69" s="293"/>
      <c r="EC69" s="293"/>
      <c r="ED69" s="293"/>
      <c r="EL69" s="306"/>
      <c r="EM69" s="306"/>
      <c r="EN69" s="306"/>
    </row>
    <row r="70" spans="4:144" ht="14.5" hidden="1">
      <c r="D70" s="285"/>
      <c r="F70" s="193"/>
      <c r="G70" s="193">
        <f t="shared" ref="G70:G90" si="40">G4/H4</f>
        <v>1.4035867479287172</v>
      </c>
      <c r="H70" s="193"/>
      <c r="I70" s="193">
        <f t="shared" ref="I70:I90" si="41">I4/H4</f>
        <v>0.64864165712179833</v>
      </c>
      <c r="J70" s="193"/>
      <c r="K70" s="193"/>
      <c r="L70" s="193">
        <f t="shared" ref="L70:L90" si="42">L4/M4</f>
        <v>1.1995681275893926</v>
      </c>
      <c r="M70" s="193"/>
      <c r="N70" s="193">
        <f t="shared" ref="N70:N90" si="43">N4/M4</f>
        <v>0.84288799088647193</v>
      </c>
      <c r="AY70" s="385"/>
      <c r="DZ70" s="293"/>
      <c r="EA70" s="293"/>
      <c r="EB70" s="293"/>
      <c r="EC70" s="293"/>
      <c r="ED70" s="293"/>
      <c r="EL70" s="306"/>
      <c r="EM70" s="306"/>
      <c r="EN70" s="306"/>
    </row>
    <row r="71" spans="4:144" ht="15" hidden="1" customHeight="1">
      <c r="D71" s="285"/>
      <c r="F71" s="193"/>
      <c r="G71" s="193">
        <f t="shared" si="40"/>
        <v>1.4072441349116793</v>
      </c>
      <c r="H71" s="193"/>
      <c r="I71" s="193">
        <f t="shared" si="41"/>
        <v>0.64947779299932118</v>
      </c>
      <c r="J71" s="193"/>
      <c r="K71" s="193"/>
      <c r="L71" s="193">
        <f t="shared" si="42"/>
        <v>1.2024634203076154</v>
      </c>
      <c r="M71" s="193"/>
      <c r="N71" s="193">
        <f t="shared" si="43"/>
        <v>0.84110882281188482</v>
      </c>
      <c r="AY71" s="385"/>
      <c r="DZ71" s="293"/>
      <c r="EA71" s="293"/>
      <c r="EB71" s="293"/>
      <c r="EC71" s="293"/>
      <c r="ED71" s="293"/>
      <c r="EL71" s="306"/>
      <c r="EM71" s="306"/>
      <c r="EN71" s="306"/>
    </row>
    <row r="72" spans="4:144" ht="14.5" hidden="1">
      <c r="D72" s="285"/>
      <c r="F72" s="193"/>
      <c r="G72" s="193">
        <f t="shared" si="40"/>
        <v>1.4075548960384368</v>
      </c>
      <c r="H72" s="193"/>
      <c r="I72" s="193">
        <f t="shared" si="41"/>
        <v>0.64888160871199807</v>
      </c>
      <c r="J72" s="193"/>
      <c r="K72" s="193"/>
      <c r="L72" s="193">
        <f t="shared" si="42"/>
        <v>1.2026977203242255</v>
      </c>
      <c r="M72" s="193"/>
      <c r="N72" s="193">
        <f t="shared" si="43"/>
        <v>0.83722922114386522</v>
      </c>
      <c r="AY72" s="385"/>
      <c r="DZ72" s="293"/>
      <c r="EA72" s="293"/>
      <c r="EB72" s="293"/>
      <c r="EC72" s="293"/>
      <c r="ED72" s="293"/>
      <c r="EL72" s="306"/>
      <c r="EM72" s="306"/>
      <c r="EN72" s="306"/>
    </row>
    <row r="73" spans="4:144" ht="14.5" hidden="1">
      <c r="D73" s="285"/>
      <c r="F73" s="193"/>
      <c r="G73" s="193">
        <f t="shared" si="40"/>
        <v>1.4077378015590831</v>
      </c>
      <c r="H73" s="193"/>
      <c r="I73" s="193">
        <f t="shared" si="41"/>
        <v>0.64833810268048986</v>
      </c>
      <c r="J73" s="193"/>
      <c r="K73" s="193"/>
      <c r="L73" s="193">
        <f t="shared" si="42"/>
        <v>1.2034768305824968</v>
      </c>
      <c r="M73" s="193"/>
      <c r="N73" s="193">
        <f t="shared" si="43"/>
        <v>0.83534116045601492</v>
      </c>
      <c r="AY73" s="385"/>
      <c r="DZ73" s="293"/>
      <c r="EA73" s="293"/>
      <c r="EB73" s="293"/>
      <c r="EC73" s="293"/>
      <c r="ED73" s="293"/>
      <c r="EL73" s="306"/>
      <c r="EM73" s="306"/>
      <c r="EN73" s="306"/>
    </row>
    <row r="74" spans="4:144" ht="14.5" hidden="1">
      <c r="D74" s="285"/>
      <c r="F74" s="193"/>
      <c r="G74" s="193">
        <f t="shared" si="40"/>
        <v>1.4101159838689972</v>
      </c>
      <c r="H74" s="193"/>
      <c r="I74" s="193">
        <f t="shared" si="41"/>
        <v>0.65026583201899801</v>
      </c>
      <c r="J74" s="193"/>
      <c r="K74" s="193"/>
      <c r="L74" s="193">
        <f t="shared" si="42"/>
        <v>1.2060858402253931</v>
      </c>
      <c r="M74" s="193"/>
      <c r="N74" s="193">
        <f t="shared" si="43"/>
        <v>0.83374420612560207</v>
      </c>
      <c r="AY74" s="385"/>
      <c r="DZ74" s="293"/>
      <c r="EA74" s="293"/>
      <c r="EB74" s="293"/>
      <c r="EC74" s="293"/>
      <c r="ED74" s="293"/>
      <c r="EL74" s="306"/>
      <c r="EM74" s="306"/>
      <c r="EN74" s="306"/>
    </row>
    <row r="75" spans="4:144" ht="14.5" hidden="1">
      <c r="D75" s="285"/>
      <c r="F75" s="193"/>
      <c r="G75" s="193">
        <f t="shared" si="40"/>
        <v>1.4121731171027758</v>
      </c>
      <c r="H75" s="193"/>
      <c r="I75" s="193">
        <f t="shared" si="41"/>
        <v>0.65345458163366832</v>
      </c>
      <c r="J75" s="193"/>
      <c r="K75" s="193"/>
      <c r="L75" s="193">
        <f t="shared" si="42"/>
        <v>1.206430250917228</v>
      </c>
      <c r="M75" s="193"/>
      <c r="N75" s="193">
        <f t="shared" si="43"/>
        <v>0.83261583197973577</v>
      </c>
      <c r="AY75" s="385"/>
      <c r="DZ75" s="293"/>
      <c r="EA75" s="293"/>
      <c r="EB75" s="293"/>
      <c r="EC75" s="293"/>
      <c r="ED75" s="293"/>
      <c r="EL75" s="306"/>
      <c r="EM75" s="306"/>
      <c r="EN75" s="306"/>
    </row>
    <row r="76" spans="4:144" ht="14.5" hidden="1">
      <c r="D76" s="285"/>
      <c r="F76" s="193"/>
      <c r="G76" s="193">
        <f t="shared" si="40"/>
        <v>1.4155694836939952</v>
      </c>
      <c r="H76" s="193"/>
      <c r="I76" s="193">
        <f t="shared" si="41"/>
        <v>0.6559512902170348</v>
      </c>
      <c r="J76" s="193"/>
      <c r="K76" s="193"/>
      <c r="L76" s="193">
        <f t="shared" si="42"/>
        <v>1.2076902109100822</v>
      </c>
      <c r="M76" s="193"/>
      <c r="N76" s="193">
        <f t="shared" si="43"/>
        <v>0.83327086669619632</v>
      </c>
      <c r="DZ76" s="293"/>
      <c r="EA76" s="293"/>
      <c r="EB76" s="293"/>
      <c r="EC76" s="293"/>
      <c r="ED76" s="293"/>
      <c r="EL76" s="306"/>
      <c r="EM76" s="306"/>
      <c r="EN76" s="306"/>
    </row>
    <row r="77" spans="4:144" ht="14.5" hidden="1">
      <c r="D77" s="285"/>
      <c r="F77" s="193"/>
      <c r="G77" s="193">
        <f t="shared" si="40"/>
        <v>1.416118178042056</v>
      </c>
      <c r="H77" s="193"/>
      <c r="I77" s="193">
        <f t="shared" si="41"/>
        <v>0.65616244741617946</v>
      </c>
      <c r="J77" s="193"/>
      <c r="K77" s="193"/>
      <c r="L77" s="193">
        <f t="shared" si="42"/>
        <v>1.2087888373360895</v>
      </c>
      <c r="M77" s="193"/>
      <c r="N77" s="193">
        <f t="shared" si="43"/>
        <v>0.83388325089302451</v>
      </c>
      <c r="DZ77" s="293"/>
      <c r="EA77" s="293"/>
      <c r="EB77" s="293"/>
      <c r="EC77" s="293"/>
      <c r="ED77" s="293"/>
      <c r="EL77" s="306"/>
      <c r="EM77" s="306"/>
      <c r="EN77" s="306"/>
    </row>
    <row r="78" spans="4:144" ht="14.5" hidden="1">
      <c r="D78" s="285"/>
      <c r="F78" s="193"/>
      <c r="G78" s="193">
        <f t="shared" si="40"/>
        <v>1.4178687426260237</v>
      </c>
      <c r="H78" s="193"/>
      <c r="I78" s="193">
        <f t="shared" si="41"/>
        <v>0.65639959562130201</v>
      </c>
      <c r="J78" s="193"/>
      <c r="K78" s="193"/>
      <c r="L78" s="193">
        <f t="shared" si="42"/>
        <v>1.210596003909713</v>
      </c>
      <c r="M78" s="193"/>
      <c r="N78" s="193">
        <f t="shared" si="43"/>
        <v>0.83293933125724551</v>
      </c>
      <c r="DZ78" s="293"/>
      <c r="EA78" s="293"/>
      <c r="EB78" s="293"/>
      <c r="EC78" s="293"/>
      <c r="ED78" s="293"/>
      <c r="EL78" s="306"/>
      <c r="EM78" s="306"/>
      <c r="EN78" s="306"/>
    </row>
    <row r="79" spans="4:144" ht="14.5" hidden="1">
      <c r="D79" s="285"/>
      <c r="F79" s="193"/>
      <c r="G79" s="193">
        <f t="shared" si="40"/>
        <v>1.419102340309697</v>
      </c>
      <c r="H79" s="193"/>
      <c r="I79" s="193">
        <f t="shared" si="41"/>
        <v>0.65604938773120625</v>
      </c>
      <c r="J79" s="193"/>
      <c r="K79" s="193"/>
      <c r="L79" s="193">
        <f t="shared" si="42"/>
        <v>1.2119341563786008</v>
      </c>
      <c r="M79" s="193"/>
      <c r="N79" s="193">
        <f t="shared" si="43"/>
        <v>0.83179296546392922</v>
      </c>
      <c r="DZ79" s="293"/>
      <c r="EA79" s="293"/>
      <c r="EB79" s="293"/>
      <c r="EC79" s="293"/>
      <c r="ED79" s="293"/>
      <c r="EL79" s="306"/>
      <c r="EM79" s="306"/>
      <c r="EN79" s="306"/>
    </row>
    <row r="80" spans="4:144" ht="14.5" hidden="1">
      <c r="D80" s="285"/>
      <c r="F80" s="193"/>
      <c r="G80" s="193">
        <f t="shared" si="40"/>
        <v>1.41930584069092</v>
      </c>
      <c r="H80" s="193"/>
      <c r="I80" s="193">
        <f t="shared" si="41"/>
        <v>0.65464581511926867</v>
      </c>
      <c r="J80" s="193"/>
      <c r="K80" s="193"/>
      <c r="L80" s="193">
        <f t="shared" si="42"/>
        <v>1.2134969464693908</v>
      </c>
      <c r="M80" s="193"/>
      <c r="N80" s="193">
        <f t="shared" si="43"/>
        <v>0.83016797261489117</v>
      </c>
      <c r="DZ80" s="293"/>
      <c r="EA80" s="293"/>
      <c r="EB80" s="293"/>
      <c r="EC80" s="293"/>
      <c r="ED80" s="293"/>
      <c r="EL80" s="306"/>
      <c r="EM80" s="306"/>
      <c r="EN80" s="306"/>
    </row>
    <row r="81" spans="4:144" ht="14.5" hidden="1">
      <c r="D81" s="285"/>
      <c r="F81" s="193"/>
      <c r="G81" s="193">
        <f t="shared" si="40"/>
        <v>1.4232948518985786</v>
      </c>
      <c r="H81" s="193"/>
      <c r="I81" s="193">
        <f t="shared" si="41"/>
        <v>0.65343142962411216</v>
      </c>
      <c r="J81" s="193"/>
      <c r="K81" s="193"/>
      <c r="L81" s="193">
        <f t="shared" si="42"/>
        <v>1.2140014101485206</v>
      </c>
      <c r="M81" s="193"/>
      <c r="N81" s="193">
        <f t="shared" si="43"/>
        <v>0.82707485159324035</v>
      </c>
      <c r="DZ81" s="293"/>
      <c r="EA81" s="293"/>
      <c r="EB81" s="293"/>
      <c r="EC81" s="293"/>
      <c r="ED81" s="293"/>
      <c r="EL81" s="306"/>
      <c r="EM81" s="306"/>
      <c r="EN81" s="306"/>
    </row>
    <row r="82" spans="4:144" ht="14.5" hidden="1">
      <c r="D82" s="285"/>
      <c r="F82" s="193"/>
      <c r="G82" s="193">
        <f t="shared" si="40"/>
        <v>1.4247741561958716</v>
      </c>
      <c r="H82" s="193"/>
      <c r="I82" s="193">
        <f t="shared" si="41"/>
        <v>0.6539298576354664</v>
      </c>
      <c r="J82" s="193"/>
      <c r="K82" s="193"/>
      <c r="L82" s="193">
        <f t="shared" si="42"/>
        <v>1.2134895294799395</v>
      </c>
      <c r="M82" s="193"/>
      <c r="N82" s="193">
        <f t="shared" si="43"/>
        <v>0.82560306332306921</v>
      </c>
      <c r="DZ82" s="293"/>
      <c r="EA82" s="293"/>
      <c r="EB82" s="293"/>
      <c r="EC82" s="293"/>
      <c r="ED82" s="293"/>
      <c r="EL82" s="306"/>
      <c r="EM82" s="306"/>
      <c r="EN82" s="306"/>
    </row>
    <row r="83" spans="4:144" ht="14.5" hidden="1">
      <c r="D83" s="285"/>
      <c r="F83" s="193"/>
      <c r="G83" s="193">
        <f t="shared" si="40"/>
        <v>1.4266274164620336</v>
      </c>
      <c r="H83" s="193"/>
      <c r="I83" s="193">
        <f t="shared" si="41"/>
        <v>0.65602375113317613</v>
      </c>
      <c r="J83" s="193"/>
      <c r="K83" s="193"/>
      <c r="L83" s="193">
        <f t="shared" si="42"/>
        <v>1.2130153345171302</v>
      </c>
      <c r="M83" s="193"/>
      <c r="N83" s="193">
        <f t="shared" si="43"/>
        <v>0.82496638660229538</v>
      </c>
      <c r="DZ83" s="293"/>
      <c r="EA83" s="293"/>
      <c r="EB83" s="293"/>
      <c r="EC83" s="293"/>
      <c r="ED83" s="293"/>
      <c r="EL83" s="306"/>
      <c r="EM83" s="306"/>
      <c r="EN83" s="306"/>
    </row>
    <row r="84" spans="4:144" ht="14.5" hidden="1">
      <c r="D84" s="285"/>
      <c r="F84" s="193"/>
      <c r="G84" s="193">
        <f t="shared" si="40"/>
        <v>1.4281469186166389</v>
      </c>
      <c r="H84" s="193"/>
      <c r="I84" s="193">
        <f t="shared" si="41"/>
        <v>0.65644770001463648</v>
      </c>
      <c r="J84" s="193"/>
      <c r="K84" s="193"/>
      <c r="L84" s="193">
        <f t="shared" si="42"/>
        <v>1.2155134720763181</v>
      </c>
      <c r="M84" s="193"/>
      <c r="N84" s="193">
        <f t="shared" si="43"/>
        <v>0.82672837227790241</v>
      </c>
      <c r="DZ84" s="293"/>
      <c r="EA84" s="293"/>
      <c r="EB84" s="293"/>
      <c r="EC84" s="293"/>
      <c r="ED84" s="293"/>
      <c r="EL84" s="306"/>
      <c r="EM84" s="306"/>
      <c r="EN84" s="306"/>
    </row>
    <row r="85" spans="4:144" ht="14.5" hidden="1">
      <c r="D85" s="285"/>
      <c r="F85" s="193"/>
      <c r="G85" s="193">
        <f t="shared" si="40"/>
        <v>1.4313060297616838</v>
      </c>
      <c r="H85" s="193"/>
      <c r="I85" s="193">
        <f t="shared" si="41"/>
        <v>0.6550030127445684</v>
      </c>
      <c r="J85" s="193"/>
      <c r="K85" s="193"/>
      <c r="L85" s="193">
        <f t="shared" si="42"/>
        <v>1.2164060060741959</v>
      </c>
      <c r="M85" s="193"/>
      <c r="N85" s="193">
        <f t="shared" si="43"/>
        <v>0.82582952513411489</v>
      </c>
      <c r="DZ85" s="293"/>
      <c r="EA85" s="293"/>
      <c r="EB85" s="293"/>
      <c r="EC85" s="293"/>
      <c r="ED85" s="293"/>
      <c r="EL85" s="306"/>
      <c r="EM85" s="306"/>
      <c r="EN85" s="306"/>
    </row>
    <row r="86" spans="4:144" ht="14.5" hidden="1">
      <c r="D86" s="285"/>
      <c r="F86" s="193"/>
      <c r="G86" s="193">
        <f t="shared" si="40"/>
        <v>1.4336241359223767</v>
      </c>
      <c r="H86" s="193"/>
      <c r="I86" s="193">
        <f t="shared" si="41"/>
        <v>0.65308966430918935</v>
      </c>
      <c r="J86" s="193"/>
      <c r="K86" s="193"/>
      <c r="L86" s="193">
        <f t="shared" si="42"/>
        <v>1.2175058631126456</v>
      </c>
      <c r="M86" s="193"/>
      <c r="N86" s="193">
        <f t="shared" si="43"/>
        <v>0.8252764038818633</v>
      </c>
      <c r="DZ86" s="293"/>
      <c r="EA86" s="293"/>
      <c r="EB86" s="293"/>
      <c r="EC86" s="293"/>
      <c r="ED86" s="293"/>
      <c r="EL86" s="306"/>
      <c r="EM86" s="306"/>
      <c r="EN86" s="306"/>
    </row>
    <row r="87" spans="4:144" ht="14.5" hidden="1">
      <c r="D87" s="285"/>
      <c r="F87" s="193"/>
      <c r="G87" s="193">
        <f t="shared" si="40"/>
        <v>1.4340580870319302</v>
      </c>
      <c r="H87" s="193"/>
      <c r="I87" s="193">
        <f t="shared" si="41"/>
        <v>0.65090007629896895</v>
      </c>
      <c r="J87" s="193"/>
      <c r="K87" s="193"/>
      <c r="L87" s="193">
        <f t="shared" si="42"/>
        <v>1.2177212459701221</v>
      </c>
      <c r="M87" s="193"/>
      <c r="N87" s="193">
        <f t="shared" si="43"/>
        <v>0.82414407664714162</v>
      </c>
      <c r="DZ87" s="293"/>
      <c r="EA87" s="293"/>
      <c r="EB87" s="293"/>
      <c r="EC87" s="293"/>
      <c r="ED87" s="293"/>
      <c r="EL87" s="306"/>
      <c r="EM87" s="306"/>
      <c r="EN87" s="306"/>
    </row>
    <row r="88" spans="4:144" ht="14.5" hidden="1">
      <c r="D88" s="285"/>
      <c r="F88" s="193"/>
      <c r="G88" s="193">
        <f t="shared" si="40"/>
        <v>1.4373551771941393</v>
      </c>
      <c r="H88" s="193"/>
      <c r="I88" s="193">
        <f t="shared" si="41"/>
        <v>0.64961707800508695</v>
      </c>
      <c r="J88" s="193"/>
      <c r="K88" s="193"/>
      <c r="L88" s="193">
        <f t="shared" si="42"/>
        <v>1.2189699804714111</v>
      </c>
      <c r="M88" s="193"/>
      <c r="N88" s="193">
        <f t="shared" si="43"/>
        <v>0.82245447113856218</v>
      </c>
      <c r="DZ88" s="293"/>
      <c r="EA88" s="293"/>
      <c r="EB88" s="293"/>
      <c r="EC88" s="293"/>
      <c r="ED88" s="293"/>
      <c r="EL88" s="306"/>
      <c r="EM88" s="306"/>
      <c r="EN88" s="306"/>
    </row>
    <row r="89" spans="4:144" ht="14.5" hidden="1">
      <c r="D89" s="285"/>
      <c r="F89" s="193"/>
      <c r="G89" s="193">
        <f t="shared" si="40"/>
        <v>1.4397226769009048</v>
      </c>
      <c r="H89" s="193"/>
      <c r="I89" s="193">
        <f t="shared" si="41"/>
        <v>0.65033090961032247</v>
      </c>
      <c r="J89" s="193"/>
      <c r="K89" s="193"/>
      <c r="L89" s="193">
        <f t="shared" si="42"/>
        <v>1.2189134603383522</v>
      </c>
      <c r="M89" s="193"/>
      <c r="N89" s="193">
        <f t="shared" si="43"/>
        <v>0.82279055518364286</v>
      </c>
      <c r="DZ89" s="293"/>
      <c r="EA89" s="293"/>
      <c r="EB89" s="293"/>
      <c r="EC89" s="293"/>
      <c r="ED89" s="293"/>
      <c r="EL89" s="306"/>
      <c r="EM89" s="306"/>
      <c r="EN89" s="306"/>
    </row>
    <row r="90" spans="4:144" ht="14.5" hidden="1">
      <c r="D90" s="285"/>
      <c r="F90" s="193"/>
      <c r="G90" s="193">
        <f t="shared" si="40"/>
        <v>1.4416210905059503</v>
      </c>
      <c r="H90" s="193"/>
      <c r="I90" s="193">
        <f t="shared" si="41"/>
        <v>0.65188378129046076</v>
      </c>
      <c r="J90" s="193"/>
      <c r="K90" s="193"/>
      <c r="L90" s="193">
        <f t="shared" si="42"/>
        <v>1.2197612769697486</v>
      </c>
      <c r="M90" s="193"/>
      <c r="N90" s="193">
        <f t="shared" si="43"/>
        <v>0.82316350542938954</v>
      </c>
      <c r="DZ90" s="293"/>
      <c r="EA90" s="293"/>
      <c r="EB90" s="293"/>
      <c r="EC90" s="293"/>
      <c r="ED90" s="293"/>
      <c r="EL90" s="306"/>
      <c r="EM90" s="306"/>
      <c r="EN90" s="306"/>
    </row>
    <row r="91" spans="4:144" ht="14.5" hidden="1">
      <c r="D91" s="285"/>
      <c r="F91" s="193"/>
      <c r="G91" s="406">
        <f>AVERAGE(G69:G90)</f>
        <v>1.4208211880517592</v>
      </c>
      <c r="H91" s="406"/>
      <c r="I91" s="406">
        <f>AVERAGE(I69:I90)</f>
        <v>0.65258746671731982</v>
      </c>
      <c r="J91" s="406"/>
      <c r="K91" s="406"/>
      <c r="L91" s="406">
        <f>AVERAGE(L69:L90)</f>
        <v>1.2107947747150181</v>
      </c>
      <c r="M91" s="406"/>
      <c r="N91" s="406">
        <f>AVERAGE(N69:N90)</f>
        <v>0.83069868640805145</v>
      </c>
      <c r="DZ91" s="293"/>
      <c r="EA91" s="293"/>
      <c r="EB91" s="293"/>
      <c r="EC91" s="293"/>
      <c r="ED91" s="293"/>
      <c r="EL91" s="306"/>
      <c r="EM91" s="306"/>
      <c r="EN91" s="306"/>
    </row>
    <row r="92" spans="4:144" hidden="1">
      <c r="D92" s="285"/>
      <c r="AO92" s="390"/>
      <c r="DZ92" s="293"/>
      <c r="EA92" s="293"/>
      <c r="EB92" s="293"/>
      <c r="EC92" s="293"/>
      <c r="ED92" s="293">
        <f>SUM(ED3:ED33)</f>
        <v>24891246</v>
      </c>
      <c r="EL92" s="306"/>
      <c r="EM92" s="306"/>
      <c r="EN92" s="306"/>
    </row>
    <row r="93" spans="4:144" hidden="1">
      <c r="CK93" s="319"/>
      <c r="CL93" s="319"/>
      <c r="DZ93" s="293"/>
      <c r="EA93" s="293"/>
      <c r="EB93" s="293"/>
      <c r="EC93" s="293"/>
      <c r="ED93" s="293">
        <f>ED41+EE40</f>
        <v>57421593.686440676</v>
      </c>
      <c r="EI93" s="390">
        <f>+EI40</f>
        <v>659539196.69198012</v>
      </c>
    </row>
    <row r="94" spans="4:144" hidden="1">
      <c r="CK94" s="320"/>
      <c r="CL94" s="320"/>
      <c r="DZ94" s="293"/>
      <c r="EA94" s="293"/>
      <c r="EB94" s="293"/>
      <c r="EC94" s="293"/>
      <c r="ED94" s="293">
        <f>ED34/1.18</f>
        <v>28963638.050847452</v>
      </c>
    </row>
    <row r="95" spans="4:144" hidden="1"/>
    <row r="96" spans="4:144" hidden="1"/>
    <row r="97" spans="138:141" hidden="1"/>
    <row r="98" spans="138:141" hidden="1"/>
    <row r="99" spans="138:141">
      <c r="EH99" s="408" t="s">
        <v>1159</v>
      </c>
      <c r="EI99" s="242">
        <f>EY38*1.5%</f>
        <v>95288079.75</v>
      </c>
    </row>
    <row r="100" spans="138:141">
      <c r="EH100" s="408" t="s">
        <v>1160</v>
      </c>
      <c r="EI100" s="242">
        <f>378192089*1.5%</f>
        <v>5672881.335</v>
      </c>
    </row>
    <row r="101" spans="138:141">
      <c r="EH101" s="408" t="s">
        <v>1161</v>
      </c>
      <c r="EI101" s="242">
        <f>SUM(EI99:EI100)/1.18</f>
        <v>85560136.512711868</v>
      </c>
    </row>
    <row r="103" spans="138:141">
      <c r="EH103" s="321" t="s">
        <v>1162</v>
      </c>
      <c r="EI103" s="409">
        <f>EI44+EI101</f>
        <v>667921012.0182513</v>
      </c>
    </row>
    <row r="107" spans="138:141" ht="15.5">
      <c r="EH107" s="411" t="s">
        <v>4947</v>
      </c>
      <c r="EI107" s="412">
        <v>239038510.615069</v>
      </c>
      <c r="EJ107" s="412">
        <v>124055301</v>
      </c>
      <c r="EK107" s="411"/>
    </row>
    <row r="110" spans="138:141" ht="15.5">
      <c r="EH110" s="411" t="s">
        <v>4948</v>
      </c>
      <c r="EI110" s="412">
        <f>+EI38+EI107</f>
        <v>1017294762.7116055</v>
      </c>
      <c r="EJ110" s="412">
        <f>+EJ38+EJ107</f>
        <v>588400778</v>
      </c>
    </row>
  </sheetData>
  <mergeCells count="32">
    <mergeCell ref="EZ1:FC1"/>
    <mergeCell ref="FD1:FF1"/>
    <mergeCell ref="EI1:EI2"/>
    <mergeCell ref="EJ1:EJ2"/>
    <mergeCell ref="EK1:EN1"/>
    <mergeCell ref="EO1:ER1"/>
    <mergeCell ref="ES1:EV1"/>
    <mergeCell ref="EW1:EY1"/>
    <mergeCell ref="EA1:EC1"/>
    <mergeCell ref="BQ1:BU1"/>
    <mergeCell ref="BV1:BZ1"/>
    <mergeCell ref="CA1:CE1"/>
    <mergeCell ref="CF1:CJ1"/>
    <mergeCell ref="CK1:CN1"/>
    <mergeCell ref="CO1:CR1"/>
    <mergeCell ref="CS1:CW1"/>
    <mergeCell ref="CX1:DA1"/>
    <mergeCell ref="DB1:DG1"/>
    <mergeCell ref="DH1:DI1"/>
    <mergeCell ref="DK1:DZ1"/>
    <mergeCell ref="BK1:BP1"/>
    <mergeCell ref="F1:I1"/>
    <mergeCell ref="J1:N1"/>
    <mergeCell ref="O1:Q1"/>
    <mergeCell ref="R1:T1"/>
    <mergeCell ref="U1:Z1"/>
    <mergeCell ref="AA1:AG1"/>
    <mergeCell ref="AH1:AN1"/>
    <mergeCell ref="AO1:AS1"/>
    <mergeCell ref="AT1:AX1"/>
    <mergeCell ref="AY1:BD1"/>
    <mergeCell ref="BE1:BJ1"/>
  </mergeCells>
  <pageMargins left="0.69930555555555596" right="0.69930555555555596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Views>
    <sheetView workbookViewId="0">
      <selection activeCell="I5" sqref="I5"/>
    </sheetView>
  </sheetViews>
  <sheetFormatPr baseColWidth="10" defaultRowHeight="14.5"/>
  <cols>
    <col min="2" max="2" width="29.453125" bestFit="1" customWidth="1"/>
    <col min="6" max="6" width="19.08984375" bestFit="1" customWidth="1"/>
    <col min="8" max="8" width="16.1796875" bestFit="1" customWidth="1"/>
    <col min="9" max="9" width="12.1796875" bestFit="1" customWidth="1"/>
  </cols>
  <sheetData>
    <row r="1" spans="1:9" ht="18.5">
      <c r="B1" s="185" t="s">
        <v>946</v>
      </c>
    </row>
    <row r="3" spans="1:9">
      <c r="A3" t="s">
        <v>939</v>
      </c>
      <c r="B3" s="4" t="s">
        <v>940</v>
      </c>
      <c r="C3" s="4" t="s">
        <v>941</v>
      </c>
      <c r="D3" s="4"/>
      <c r="E3" s="6">
        <v>1899244</v>
      </c>
      <c r="F3" s="6">
        <v>695445616</v>
      </c>
    </row>
    <row r="5" spans="1:9" ht="18.5">
      <c r="B5" s="185" t="s">
        <v>942</v>
      </c>
      <c r="F5" s="186">
        <f>+F3</f>
        <v>695445616</v>
      </c>
      <c r="H5" s="21">
        <v>1005885838</v>
      </c>
      <c r="I5" s="22">
        <f>+H5-F3</f>
        <v>310440222</v>
      </c>
    </row>
    <row r="6" spans="1:9" ht="18.5">
      <c r="B6" s="185" t="s">
        <v>943</v>
      </c>
      <c r="E6" s="182" t="e">
        <f>SUM(#REF!)</f>
        <v>#REF!</v>
      </c>
      <c r="F6" s="186">
        <v>589360692</v>
      </c>
    </row>
    <row r="7" spans="1:9" ht="18.5">
      <c r="B7" s="185" t="s">
        <v>944</v>
      </c>
      <c r="F7" s="186">
        <f>+F5-F6</f>
        <v>106084924</v>
      </c>
    </row>
  </sheetData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workbookViewId="0">
      <selection activeCell="I6" sqref="I6"/>
    </sheetView>
  </sheetViews>
  <sheetFormatPr baseColWidth="10" defaultRowHeight="14.5"/>
  <cols>
    <col min="1" max="1" width="27.08984375" bestFit="1" customWidth="1"/>
    <col min="2" max="2" width="35.453125" bestFit="1" customWidth="1"/>
    <col min="3" max="3" width="16" bestFit="1" customWidth="1"/>
    <col min="4" max="5" width="20.90625" bestFit="1" customWidth="1"/>
    <col min="6" max="6" width="22.90625" bestFit="1" customWidth="1"/>
    <col min="7" max="7" width="13.453125" bestFit="1" customWidth="1"/>
    <col min="8" max="8" width="14.6328125" bestFit="1" customWidth="1"/>
    <col min="9" max="9" width="12.1796875" bestFit="1" customWidth="1"/>
  </cols>
  <sheetData>
    <row r="1" spans="1:9" ht="18.5">
      <c r="B1" s="185" t="s">
        <v>945</v>
      </c>
    </row>
    <row r="2" spans="1:9">
      <c r="C2" s="4" t="s">
        <v>930</v>
      </c>
      <c r="D2" s="4" t="s">
        <v>931</v>
      </c>
      <c r="E2" s="4" t="s">
        <v>932</v>
      </c>
      <c r="F2" s="4" t="s">
        <v>933</v>
      </c>
    </row>
    <row r="3" spans="1:9">
      <c r="A3" t="s">
        <v>934</v>
      </c>
      <c r="B3" s="16" t="s">
        <v>935</v>
      </c>
      <c r="C3" s="4" t="s">
        <v>941</v>
      </c>
      <c r="D3" s="4">
        <v>22900000072</v>
      </c>
      <c r="E3" s="6">
        <v>10945581</v>
      </c>
      <c r="F3" s="6">
        <v>1866170100</v>
      </c>
    </row>
    <row r="4" spans="1:9">
      <c r="A4" t="s">
        <v>934</v>
      </c>
      <c r="B4" s="16" t="s">
        <v>936</v>
      </c>
      <c r="C4" s="4" t="s">
        <v>941</v>
      </c>
      <c r="D4" s="4">
        <v>22900000073</v>
      </c>
      <c r="E4" s="6">
        <v>1432275</v>
      </c>
      <c r="F4" s="6">
        <v>279248950</v>
      </c>
    </row>
    <row r="5" spans="1:9">
      <c r="A5" t="s">
        <v>934</v>
      </c>
      <c r="B5" s="16" t="s">
        <v>937</v>
      </c>
      <c r="C5" s="4" t="s">
        <v>941</v>
      </c>
      <c r="D5" s="4">
        <v>22900000071</v>
      </c>
      <c r="E5" s="6">
        <v>2016432</v>
      </c>
      <c r="F5" s="6">
        <v>802277535</v>
      </c>
    </row>
    <row r="6" spans="1:9">
      <c r="A6" t="s">
        <v>934</v>
      </c>
      <c r="B6" s="16" t="s">
        <v>938</v>
      </c>
      <c r="C6" s="4" t="s">
        <v>941</v>
      </c>
      <c r="D6" s="4">
        <v>22900000074</v>
      </c>
      <c r="E6" s="6">
        <v>414396</v>
      </c>
      <c r="F6" s="6">
        <v>256701995</v>
      </c>
      <c r="H6" s="21">
        <v>762375970</v>
      </c>
      <c r="I6" s="22">
        <f>+H6-F4-F6</f>
        <v>226425025</v>
      </c>
    </row>
    <row r="7" spans="1:9">
      <c r="E7" s="21"/>
      <c r="F7" s="21"/>
    </row>
    <row r="8" spans="1:9" ht="18.5">
      <c r="B8" s="185" t="s">
        <v>942</v>
      </c>
      <c r="F8" s="186">
        <f>+F3+F4+F5+F6</f>
        <v>3204398580</v>
      </c>
    </row>
    <row r="9" spans="1:9" ht="18.5">
      <c r="B9" s="185" t="s">
        <v>943</v>
      </c>
      <c r="E9" s="182">
        <f>SUM(E3:E6)</f>
        <v>14808684</v>
      </c>
      <c r="F9" s="186">
        <v>2715592017</v>
      </c>
      <c r="G9" s="182">
        <f>SUM(E9:F9)</f>
        <v>2730400701</v>
      </c>
    </row>
    <row r="10" spans="1:9" ht="18.5">
      <c r="B10" s="185" t="s">
        <v>944</v>
      </c>
      <c r="F10" s="186">
        <f>+F8-F9</f>
        <v>488806563</v>
      </c>
    </row>
    <row r="11" spans="1:9">
      <c r="E11" s="183"/>
      <c r="F11" s="183"/>
    </row>
    <row r="12" spans="1:9">
      <c r="C12" s="141"/>
      <c r="D12" s="187"/>
      <c r="E12" s="183"/>
      <c r="F12" s="183"/>
    </row>
    <row r="13" spans="1:9">
      <c r="C13" s="141"/>
      <c r="D13" s="187"/>
      <c r="E13" s="183"/>
      <c r="F13" s="183"/>
    </row>
    <row r="14" spans="1:9">
      <c r="C14" s="141"/>
      <c r="D14" s="187"/>
      <c r="E14" s="183"/>
      <c r="F14" s="183"/>
    </row>
    <row r="15" spans="1:9">
      <c r="C15" s="141"/>
      <c r="D15" s="187"/>
      <c r="E15" s="183"/>
      <c r="F15" s="183"/>
    </row>
    <row r="16" spans="1:9">
      <c r="C16" s="141"/>
      <c r="E16" s="183"/>
      <c r="F16" s="183"/>
    </row>
    <row r="17" spans="3:6">
      <c r="C17" s="141"/>
      <c r="E17" s="183"/>
      <c r="F17" s="183"/>
    </row>
    <row r="18" spans="3:6">
      <c r="C18" s="141"/>
      <c r="E18" s="183"/>
      <c r="F18" s="183"/>
    </row>
    <row r="19" spans="3:6">
      <c r="C19" s="141"/>
      <c r="E19" s="183"/>
      <c r="F19" s="183"/>
    </row>
    <row r="20" spans="3:6">
      <c r="C20" s="141"/>
      <c r="E20" s="183"/>
      <c r="F20" s="183"/>
    </row>
    <row r="21" spans="3:6">
      <c r="C21" s="141"/>
      <c r="E21" s="183"/>
      <c r="F21" s="183"/>
    </row>
    <row r="22" spans="3:6">
      <c r="C22" s="141"/>
      <c r="E22" s="183"/>
      <c r="F22" s="183"/>
    </row>
    <row r="23" spans="3:6">
      <c r="C23" s="141"/>
      <c r="E23" s="183"/>
      <c r="F23" s="183"/>
    </row>
    <row r="24" spans="3:6">
      <c r="C24" s="141"/>
      <c r="E24" s="183"/>
      <c r="F24" s="183"/>
    </row>
    <row r="25" spans="3:6">
      <c r="C25" s="141"/>
      <c r="E25" s="183"/>
      <c r="F25" s="183"/>
    </row>
    <row r="26" spans="3:6">
      <c r="C26" s="141"/>
      <c r="E26" s="183"/>
      <c r="F26" s="183"/>
    </row>
    <row r="27" spans="3:6">
      <c r="C27" s="141"/>
      <c r="E27" s="183"/>
      <c r="F27" s="183"/>
    </row>
    <row r="28" spans="3:6">
      <c r="C28" s="141"/>
      <c r="E28" s="183"/>
      <c r="F28" s="183"/>
    </row>
  </sheetData>
  <pageMargins left="0.7" right="0.7" top="0.75" bottom="0.75" header="0.3" footer="0.3"/>
  <pageSetup paperSize="9" scale="8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359"/>
  <sheetViews>
    <sheetView topLeftCell="A202" workbookViewId="0">
      <selection activeCell="C179" sqref="C179"/>
    </sheetView>
  </sheetViews>
  <sheetFormatPr baseColWidth="10" defaultRowHeight="14.5"/>
  <cols>
    <col min="2" max="2" width="55.6328125" customWidth="1"/>
    <col min="3" max="3" width="27.453125" customWidth="1"/>
    <col min="4" max="4" width="28.08984375" customWidth="1"/>
    <col min="5" max="5" width="26.36328125" customWidth="1"/>
    <col min="6" max="6" width="28" customWidth="1"/>
    <col min="7" max="7" width="15.6328125" customWidth="1"/>
    <col min="9" max="9" width="13.6328125" bestFit="1" customWidth="1"/>
  </cols>
  <sheetData>
    <row r="4" spans="1:7" ht="26">
      <c r="B4" s="564" t="s">
        <v>841</v>
      </c>
      <c r="C4" s="564"/>
    </row>
    <row r="6" spans="1:7" ht="20">
      <c r="B6" s="23" t="s">
        <v>842</v>
      </c>
      <c r="C6" s="565" t="s">
        <v>46</v>
      </c>
      <c r="D6" s="566"/>
      <c r="E6" s="24" t="s">
        <v>47</v>
      </c>
      <c r="F6" s="23"/>
      <c r="G6" s="568" t="s">
        <v>48</v>
      </c>
    </row>
    <row r="7" spans="1:7" ht="21">
      <c r="B7" s="23"/>
      <c r="C7" s="25" t="s">
        <v>49</v>
      </c>
      <c r="D7" s="26" t="s">
        <v>50</v>
      </c>
      <c r="E7" s="27" t="s">
        <v>51</v>
      </c>
      <c r="F7" s="28" t="s">
        <v>52</v>
      </c>
      <c r="G7" s="569"/>
    </row>
    <row r="8" spans="1:7" s="172" customFormat="1" ht="21">
      <c r="A8" s="57"/>
      <c r="B8" s="30"/>
      <c r="C8" s="31"/>
      <c r="D8" s="30"/>
      <c r="E8" s="31"/>
      <c r="F8" s="31"/>
      <c r="G8" s="32"/>
    </row>
    <row r="9" spans="1:7" s="172" customFormat="1" ht="21">
      <c r="A9" s="57">
        <v>44957</v>
      </c>
      <c r="B9" s="56" t="s">
        <v>836</v>
      </c>
      <c r="C9" s="63">
        <v>213030</v>
      </c>
      <c r="D9" s="56"/>
      <c r="E9" s="63"/>
      <c r="F9" s="63"/>
      <c r="G9" s="64" t="s">
        <v>53</v>
      </c>
    </row>
    <row r="10" spans="1:7" s="172" customFormat="1" ht="21">
      <c r="A10" s="57"/>
      <c r="B10" s="56" t="s">
        <v>836</v>
      </c>
      <c r="C10" s="63">
        <v>290361</v>
      </c>
      <c r="D10" s="56"/>
      <c r="E10" s="63"/>
      <c r="F10" s="63"/>
      <c r="G10" s="64" t="s">
        <v>53</v>
      </c>
    </row>
    <row r="11" spans="1:7" s="172" customFormat="1" ht="21">
      <c r="A11" s="57"/>
      <c r="B11" s="67" t="s">
        <v>837</v>
      </c>
      <c r="C11" s="68">
        <v>28977088</v>
      </c>
      <c r="D11" s="67"/>
      <c r="E11" s="68"/>
      <c r="F11" s="68"/>
      <c r="G11" s="69" t="s">
        <v>57</v>
      </c>
    </row>
    <row r="12" spans="1:7" s="172" customFormat="1" ht="21">
      <c r="A12" s="57"/>
      <c r="B12" s="56" t="s">
        <v>156</v>
      </c>
      <c r="C12" s="63">
        <v>583900</v>
      </c>
      <c r="D12" s="56"/>
      <c r="E12" s="63"/>
      <c r="F12" s="63"/>
      <c r="G12" s="64" t="s">
        <v>154</v>
      </c>
    </row>
    <row r="13" spans="1:7" s="172" customFormat="1" ht="21">
      <c r="A13" s="57"/>
      <c r="B13" s="56" t="s">
        <v>838</v>
      </c>
      <c r="C13" s="63">
        <v>4908200</v>
      </c>
      <c r="D13" s="56"/>
      <c r="E13" s="63"/>
      <c r="F13" s="63"/>
      <c r="G13" s="64" t="s">
        <v>56</v>
      </c>
    </row>
    <row r="14" spans="1:7" s="172" customFormat="1" ht="21">
      <c r="A14" s="57">
        <v>44958</v>
      </c>
      <c r="B14" s="56" t="s">
        <v>843</v>
      </c>
      <c r="C14" s="63">
        <v>376740</v>
      </c>
      <c r="D14" s="56"/>
      <c r="E14" s="63"/>
      <c r="F14" s="63"/>
      <c r="G14" s="64" t="s">
        <v>56</v>
      </c>
    </row>
    <row r="15" spans="1:7" s="172" customFormat="1" ht="21">
      <c r="A15" s="57"/>
      <c r="B15" s="56" t="s">
        <v>844</v>
      </c>
      <c r="C15" s="63">
        <v>2640000</v>
      </c>
      <c r="D15" s="56"/>
      <c r="E15" s="63"/>
      <c r="F15" s="63"/>
      <c r="G15" s="64" t="s">
        <v>56</v>
      </c>
    </row>
    <row r="16" spans="1:7" s="172" customFormat="1" ht="21">
      <c r="A16" s="57"/>
      <c r="B16" s="56" t="s">
        <v>142</v>
      </c>
      <c r="C16" s="63">
        <v>345000</v>
      </c>
      <c r="D16" s="56"/>
      <c r="E16" s="63"/>
      <c r="F16" s="63"/>
      <c r="G16" s="64" t="s">
        <v>57</v>
      </c>
    </row>
    <row r="17" spans="1:7" s="172" customFormat="1" ht="21">
      <c r="A17" s="57"/>
      <c r="B17" s="56" t="s">
        <v>257</v>
      </c>
      <c r="C17" s="63">
        <f>17061*655.957</f>
        <v>11191282.377</v>
      </c>
      <c r="D17" s="56"/>
      <c r="E17" s="63"/>
      <c r="F17" s="63"/>
      <c r="G17" s="64" t="s">
        <v>58</v>
      </c>
    </row>
    <row r="18" spans="1:7" s="172" customFormat="1" ht="21">
      <c r="A18" s="57"/>
      <c r="B18" s="56" t="s">
        <v>307</v>
      </c>
      <c r="C18" s="63">
        <v>219179192</v>
      </c>
      <c r="D18" s="56"/>
      <c r="E18" s="63"/>
      <c r="F18" s="63"/>
      <c r="G18" s="64" t="s">
        <v>53</v>
      </c>
    </row>
    <row r="19" spans="1:7" s="172" customFormat="1" ht="21">
      <c r="A19" s="57"/>
      <c r="B19" s="56" t="s">
        <v>65</v>
      </c>
      <c r="C19" s="63">
        <v>64772133</v>
      </c>
      <c r="D19" s="56"/>
      <c r="E19" s="63"/>
      <c r="F19" s="63"/>
      <c r="G19" s="64" t="s">
        <v>53</v>
      </c>
    </row>
    <row r="20" spans="1:7" s="172" customFormat="1" ht="21">
      <c r="A20" s="57"/>
      <c r="B20" s="56" t="s">
        <v>97</v>
      </c>
      <c r="C20" s="63">
        <v>158684031</v>
      </c>
      <c r="D20" s="56"/>
      <c r="E20" s="63"/>
      <c r="F20" s="63"/>
      <c r="G20" s="64" t="s">
        <v>53</v>
      </c>
    </row>
    <row r="21" spans="1:7" s="172" customFormat="1" ht="21">
      <c r="A21" s="57">
        <v>44959</v>
      </c>
      <c r="B21" s="56" t="s">
        <v>595</v>
      </c>
      <c r="C21" s="63">
        <v>2631222</v>
      </c>
      <c r="D21" s="30"/>
      <c r="E21" s="31"/>
      <c r="F21" s="31"/>
      <c r="G21" s="32" t="s">
        <v>56</v>
      </c>
    </row>
    <row r="22" spans="1:7" s="172" customFormat="1" ht="21">
      <c r="A22" s="57"/>
      <c r="B22" s="173" t="s">
        <v>197</v>
      </c>
      <c r="C22" s="174">
        <v>2680000</v>
      </c>
      <c r="D22" s="30"/>
      <c r="E22" s="31"/>
      <c r="F22" s="31"/>
      <c r="G22" s="32" t="s">
        <v>57</v>
      </c>
    </row>
    <row r="23" spans="1:7" s="172" customFormat="1" ht="21">
      <c r="A23" s="57"/>
      <c r="B23" s="175" t="s">
        <v>845</v>
      </c>
      <c r="C23" s="176">
        <v>500000000</v>
      </c>
      <c r="D23" s="177"/>
      <c r="E23" s="31"/>
      <c r="F23" s="31"/>
      <c r="G23" s="32" t="s">
        <v>154</v>
      </c>
    </row>
    <row r="24" spans="1:7" s="172" customFormat="1" ht="21">
      <c r="A24" s="57"/>
      <c r="B24" s="56" t="s">
        <v>66</v>
      </c>
      <c r="C24" s="63">
        <v>13973240</v>
      </c>
      <c r="D24" s="56"/>
      <c r="E24" s="63"/>
      <c r="F24" s="63"/>
      <c r="G24" s="64" t="s">
        <v>53</v>
      </c>
    </row>
    <row r="25" spans="1:7" s="172" customFormat="1" ht="21">
      <c r="A25" s="57"/>
      <c r="B25" s="175" t="s">
        <v>846</v>
      </c>
      <c r="C25" s="176">
        <v>1099378751</v>
      </c>
      <c r="D25" s="30"/>
      <c r="E25" s="31"/>
      <c r="F25" s="31"/>
      <c r="G25" s="32" t="s">
        <v>53</v>
      </c>
    </row>
    <row r="26" spans="1:7" s="172" customFormat="1" ht="21">
      <c r="A26" s="57">
        <v>44960</v>
      </c>
      <c r="B26" s="173" t="s">
        <v>93</v>
      </c>
      <c r="C26" s="174">
        <v>500000</v>
      </c>
      <c r="D26" s="30"/>
      <c r="E26" s="31"/>
      <c r="F26" s="31"/>
      <c r="G26" s="32" t="s">
        <v>56</v>
      </c>
    </row>
    <row r="27" spans="1:7" s="172" customFormat="1" ht="21">
      <c r="A27" s="57"/>
      <c r="B27" s="56" t="s">
        <v>847</v>
      </c>
      <c r="C27" s="63">
        <v>3853005</v>
      </c>
      <c r="D27" s="30"/>
      <c r="E27" s="31"/>
      <c r="F27" s="31"/>
      <c r="G27" s="32" t="s">
        <v>54</v>
      </c>
    </row>
    <row r="28" spans="1:7" s="172" customFormat="1" ht="21">
      <c r="A28" s="57"/>
      <c r="B28" s="56" t="s">
        <v>69</v>
      </c>
      <c r="C28" s="63">
        <v>230000</v>
      </c>
      <c r="D28" s="30"/>
      <c r="E28" s="31"/>
      <c r="F28" s="31"/>
      <c r="G28" s="32" t="s">
        <v>57</v>
      </c>
    </row>
    <row r="29" spans="1:7" s="172" customFormat="1" ht="21">
      <c r="A29" s="57"/>
      <c r="B29" s="168" t="s">
        <v>565</v>
      </c>
      <c r="C29" s="169">
        <v>2376000</v>
      </c>
      <c r="D29" s="30"/>
      <c r="E29" s="31"/>
      <c r="F29" s="31"/>
      <c r="G29" s="32" t="s">
        <v>57</v>
      </c>
    </row>
    <row r="30" spans="1:7" s="172" customFormat="1" ht="21">
      <c r="A30" s="57"/>
      <c r="B30" s="67" t="s">
        <v>215</v>
      </c>
      <c r="C30" s="68">
        <v>47405518</v>
      </c>
      <c r="D30" s="30"/>
      <c r="E30" s="31"/>
      <c r="F30" s="31"/>
      <c r="G30" s="32" t="s">
        <v>57</v>
      </c>
    </row>
    <row r="31" spans="1:7" s="172" customFormat="1" ht="21">
      <c r="A31" s="57"/>
      <c r="B31" s="56" t="s">
        <v>848</v>
      </c>
      <c r="C31" s="63">
        <v>2008685</v>
      </c>
      <c r="D31" s="56"/>
      <c r="E31" s="63"/>
      <c r="F31" s="63"/>
      <c r="G31" s="64" t="s">
        <v>53</v>
      </c>
    </row>
    <row r="32" spans="1:7" s="172" customFormat="1" ht="21">
      <c r="A32" s="57"/>
      <c r="B32" s="56" t="s">
        <v>142</v>
      </c>
      <c r="C32" s="63">
        <v>546250</v>
      </c>
      <c r="D32" s="56"/>
      <c r="E32" s="63"/>
      <c r="F32" s="63"/>
      <c r="G32" s="64" t="s">
        <v>53</v>
      </c>
    </row>
    <row r="33" spans="1:7" s="172" customFormat="1" ht="21">
      <c r="A33" s="57">
        <v>44963</v>
      </c>
      <c r="B33" s="56" t="s">
        <v>428</v>
      </c>
      <c r="C33" s="63">
        <v>3280000</v>
      </c>
      <c r="D33" s="30"/>
      <c r="E33" s="31"/>
      <c r="F33" s="31"/>
      <c r="G33" s="32" t="s">
        <v>56</v>
      </c>
    </row>
    <row r="34" spans="1:7" s="172" customFormat="1" ht="21">
      <c r="A34" s="57"/>
      <c r="B34" s="56" t="s">
        <v>428</v>
      </c>
      <c r="C34" s="63">
        <v>3420000</v>
      </c>
      <c r="D34" s="30"/>
      <c r="E34" s="31"/>
      <c r="F34" s="31"/>
      <c r="G34" s="32" t="s">
        <v>56</v>
      </c>
    </row>
    <row r="35" spans="1:7" s="172" customFormat="1" ht="21">
      <c r="A35" s="57"/>
      <c r="B35" s="56" t="s">
        <v>238</v>
      </c>
      <c r="C35" s="63">
        <v>4175490</v>
      </c>
      <c r="D35" s="30"/>
      <c r="E35" s="31"/>
      <c r="F35" s="31"/>
      <c r="G35" s="32" t="s">
        <v>54</v>
      </c>
    </row>
    <row r="36" spans="1:7" s="172" customFormat="1" ht="21">
      <c r="A36" s="57"/>
      <c r="B36" s="56" t="s">
        <v>849</v>
      </c>
      <c r="C36" s="63">
        <v>14345105</v>
      </c>
      <c r="D36" s="30"/>
      <c r="E36" s="31"/>
      <c r="F36" s="31"/>
      <c r="G36" s="32" t="s">
        <v>57</v>
      </c>
    </row>
    <row r="37" spans="1:7" s="172" customFormat="1" ht="21">
      <c r="A37" s="57"/>
      <c r="B37" s="56" t="s">
        <v>850</v>
      </c>
      <c r="C37" s="63">
        <v>7341070</v>
      </c>
      <c r="D37" s="30"/>
      <c r="E37" s="31"/>
      <c r="F37" s="31"/>
      <c r="G37" s="32" t="s">
        <v>57</v>
      </c>
    </row>
    <row r="38" spans="1:7" s="172" customFormat="1" ht="21">
      <c r="A38" s="57"/>
      <c r="B38" s="56" t="s">
        <v>851</v>
      </c>
      <c r="C38" s="63">
        <v>1177025</v>
      </c>
      <c r="D38" s="30"/>
      <c r="E38" s="31"/>
      <c r="F38" s="31"/>
      <c r="G38" s="32" t="s">
        <v>57</v>
      </c>
    </row>
    <row r="39" spans="1:7" s="172" customFormat="1" ht="21">
      <c r="A39" s="57"/>
      <c r="B39" s="56" t="s">
        <v>852</v>
      </c>
      <c r="C39" s="63">
        <v>21037500</v>
      </c>
      <c r="D39" s="30"/>
      <c r="E39" s="31"/>
      <c r="F39" s="31"/>
      <c r="G39" s="32" t="s">
        <v>55</v>
      </c>
    </row>
    <row r="40" spans="1:7" s="172" customFormat="1" ht="21">
      <c r="A40" s="57"/>
      <c r="B40" s="56" t="s">
        <v>61</v>
      </c>
      <c r="C40" s="63">
        <v>150000000</v>
      </c>
      <c r="D40" s="30"/>
      <c r="E40" s="31"/>
      <c r="F40" s="31"/>
      <c r="G40" s="32" t="s">
        <v>55</v>
      </c>
    </row>
    <row r="41" spans="1:7" s="172" customFormat="1" ht="21">
      <c r="A41" s="57"/>
      <c r="B41" s="56" t="s">
        <v>853</v>
      </c>
      <c r="C41" s="63">
        <v>49446450</v>
      </c>
      <c r="D41" s="30"/>
      <c r="E41" s="31"/>
      <c r="F41" s="31"/>
      <c r="G41" s="32" t="s">
        <v>60</v>
      </c>
    </row>
    <row r="42" spans="1:7" s="172" customFormat="1" ht="21">
      <c r="A42" s="57"/>
      <c r="B42" s="56" t="s">
        <v>548</v>
      </c>
      <c r="C42" s="63">
        <v>4459750</v>
      </c>
      <c r="D42" s="30"/>
      <c r="E42" s="31"/>
      <c r="F42" s="31"/>
      <c r="G42" s="32" t="s">
        <v>64</v>
      </c>
    </row>
    <row r="43" spans="1:7" ht="21">
      <c r="A43" s="34"/>
      <c r="B43" s="56" t="s">
        <v>59</v>
      </c>
      <c r="C43" s="63">
        <v>563773</v>
      </c>
      <c r="D43" s="4"/>
      <c r="E43" s="31"/>
      <c r="F43" s="31"/>
      <c r="G43" s="32" t="s">
        <v>58</v>
      </c>
    </row>
    <row r="44" spans="1:7" ht="21">
      <c r="A44" s="34"/>
      <c r="B44" s="175" t="s">
        <v>854</v>
      </c>
      <c r="C44" s="176">
        <v>869888456</v>
      </c>
      <c r="D44" s="175"/>
      <c r="E44" s="176"/>
      <c r="F44" s="176"/>
      <c r="G44" s="178" t="s">
        <v>53</v>
      </c>
    </row>
    <row r="45" spans="1:7" ht="21">
      <c r="A45" s="34"/>
      <c r="B45" s="56" t="s">
        <v>855</v>
      </c>
      <c r="C45" s="63">
        <v>813419</v>
      </c>
      <c r="D45" s="56"/>
      <c r="E45" s="63"/>
      <c r="F45" s="63"/>
      <c r="G45" s="64" t="s">
        <v>53</v>
      </c>
    </row>
    <row r="46" spans="1:7" ht="21">
      <c r="A46" s="34"/>
      <c r="B46" s="67" t="s">
        <v>312</v>
      </c>
      <c r="C46" s="68">
        <v>8768703</v>
      </c>
      <c r="D46" s="67"/>
      <c r="E46" s="68"/>
      <c r="F46" s="68"/>
      <c r="G46" s="69" t="s">
        <v>53</v>
      </c>
    </row>
    <row r="47" spans="1:7" ht="21">
      <c r="A47" s="34">
        <v>44964</v>
      </c>
      <c r="B47" s="67" t="s">
        <v>292</v>
      </c>
      <c r="C47" s="68">
        <v>6917860</v>
      </c>
      <c r="D47" s="67"/>
      <c r="E47" s="68"/>
      <c r="F47" s="68"/>
      <c r="G47" s="69" t="s">
        <v>60</v>
      </c>
    </row>
    <row r="48" spans="1:7" ht="21">
      <c r="A48" s="34"/>
      <c r="B48" s="56" t="s">
        <v>95</v>
      </c>
      <c r="C48" s="63">
        <v>141630267</v>
      </c>
      <c r="D48" s="56"/>
      <c r="E48" s="63"/>
      <c r="F48" s="63"/>
      <c r="G48" s="64" t="s">
        <v>60</v>
      </c>
    </row>
    <row r="49" spans="1:7" ht="21">
      <c r="A49" s="34"/>
      <c r="B49" s="56" t="s">
        <v>856</v>
      </c>
      <c r="C49" s="63">
        <v>115000</v>
      </c>
      <c r="D49" s="56"/>
      <c r="E49" s="63"/>
      <c r="F49" s="63"/>
      <c r="G49" s="64" t="s">
        <v>57</v>
      </c>
    </row>
    <row r="50" spans="1:7" ht="21">
      <c r="A50" s="34"/>
      <c r="B50" s="56" t="s">
        <v>857</v>
      </c>
      <c r="C50" s="63">
        <v>1500000</v>
      </c>
      <c r="D50" s="56"/>
      <c r="E50" s="63"/>
      <c r="F50" s="63"/>
      <c r="G50" s="64" t="s">
        <v>57</v>
      </c>
    </row>
    <row r="51" spans="1:7" ht="21">
      <c r="A51" s="34"/>
      <c r="B51" s="67" t="s">
        <v>468</v>
      </c>
      <c r="C51" s="68">
        <v>155007</v>
      </c>
      <c r="D51" s="67"/>
      <c r="E51" s="68"/>
      <c r="F51" s="68"/>
      <c r="G51" s="69" t="s">
        <v>57</v>
      </c>
    </row>
    <row r="52" spans="1:7" ht="21">
      <c r="A52" s="34">
        <v>44965</v>
      </c>
      <c r="B52" s="56" t="s">
        <v>194</v>
      </c>
      <c r="C52" s="63">
        <v>3275774</v>
      </c>
      <c r="D52" s="56"/>
      <c r="E52" s="63"/>
      <c r="F52" s="63"/>
      <c r="G52" s="64" t="s">
        <v>55</v>
      </c>
    </row>
    <row r="53" spans="1:7" ht="21">
      <c r="A53" s="34"/>
      <c r="B53" s="56" t="s">
        <v>435</v>
      </c>
      <c r="C53" s="63">
        <v>8050030</v>
      </c>
      <c r="D53" s="56"/>
      <c r="E53" s="63"/>
      <c r="F53" s="63"/>
      <c r="G53" s="64" t="s">
        <v>55</v>
      </c>
    </row>
    <row r="54" spans="1:7" ht="21">
      <c r="A54" s="34"/>
      <c r="B54" s="56" t="s">
        <v>496</v>
      </c>
      <c r="C54" s="63">
        <v>3221400</v>
      </c>
      <c r="D54" s="56"/>
      <c r="E54" s="63"/>
      <c r="F54" s="63"/>
      <c r="G54" s="64" t="s">
        <v>55</v>
      </c>
    </row>
    <row r="55" spans="1:7" ht="21">
      <c r="A55" s="34"/>
      <c r="B55" s="56" t="s">
        <v>549</v>
      </c>
      <c r="C55" s="63">
        <v>4362986</v>
      </c>
      <c r="D55" s="56"/>
      <c r="E55" s="63"/>
      <c r="F55" s="63"/>
      <c r="G55" s="64" t="s">
        <v>64</v>
      </c>
    </row>
    <row r="56" spans="1:7" ht="21">
      <c r="A56" s="34"/>
      <c r="B56" s="56" t="s">
        <v>210</v>
      </c>
      <c r="C56" s="63">
        <v>685622442</v>
      </c>
      <c r="D56" s="56"/>
      <c r="E56" s="63"/>
      <c r="F56" s="63"/>
      <c r="G56" s="64" t="s">
        <v>58</v>
      </c>
    </row>
    <row r="57" spans="1:7" ht="21">
      <c r="A57" s="34" t="s">
        <v>858</v>
      </c>
      <c r="B57" s="56" t="s">
        <v>859</v>
      </c>
      <c r="C57" s="63">
        <v>593668</v>
      </c>
      <c r="D57" s="56"/>
      <c r="E57" s="63"/>
      <c r="F57" s="63"/>
      <c r="G57" s="64" t="s">
        <v>55</v>
      </c>
    </row>
    <row r="58" spans="1:7" ht="21">
      <c r="A58" s="34"/>
      <c r="B58" s="168" t="s">
        <v>98</v>
      </c>
      <c r="C58" s="169">
        <v>53611281</v>
      </c>
      <c r="D58" s="168"/>
      <c r="E58" s="169"/>
      <c r="F58" s="169"/>
      <c r="G58" s="170" t="s">
        <v>64</v>
      </c>
    </row>
    <row r="59" spans="1:7" ht="21">
      <c r="A59" s="34"/>
      <c r="B59" s="56" t="s">
        <v>860</v>
      </c>
      <c r="C59" s="63">
        <v>3596464</v>
      </c>
      <c r="D59" s="56"/>
      <c r="E59" s="63"/>
      <c r="F59" s="63"/>
      <c r="G59" s="64" t="s">
        <v>58</v>
      </c>
    </row>
    <row r="60" spans="1:7" ht="21">
      <c r="A60" s="34"/>
      <c r="B60" s="56" t="s">
        <v>861</v>
      </c>
      <c r="C60" s="63">
        <v>10875602</v>
      </c>
      <c r="D60" s="56"/>
      <c r="E60" s="63"/>
      <c r="F60" s="63"/>
      <c r="G60" s="64" t="s">
        <v>58</v>
      </c>
    </row>
    <row r="61" spans="1:7" ht="21">
      <c r="A61" s="34"/>
      <c r="B61" s="56" t="s">
        <v>523</v>
      </c>
      <c r="C61" s="63">
        <v>1527355</v>
      </c>
      <c r="D61" s="56"/>
      <c r="E61" s="63"/>
      <c r="F61" s="63"/>
      <c r="G61" s="64" t="s">
        <v>58</v>
      </c>
    </row>
    <row r="62" spans="1:7" ht="21">
      <c r="A62" s="34"/>
      <c r="B62" s="56" t="s">
        <v>114</v>
      </c>
      <c r="C62" s="63">
        <v>12664307</v>
      </c>
      <c r="D62" s="56"/>
      <c r="E62" s="63"/>
      <c r="F62" s="63"/>
      <c r="G62" s="64" t="s">
        <v>58</v>
      </c>
    </row>
    <row r="63" spans="1:7" ht="21">
      <c r="A63" s="34">
        <v>44967</v>
      </c>
      <c r="B63" s="168" t="s">
        <v>98</v>
      </c>
      <c r="C63" s="169">
        <v>13752306</v>
      </c>
      <c r="D63" s="168"/>
      <c r="E63" s="169"/>
      <c r="F63" s="169"/>
      <c r="G63" s="170" t="s">
        <v>64</v>
      </c>
    </row>
    <row r="64" spans="1:7" ht="21">
      <c r="A64" s="34"/>
      <c r="B64" s="168" t="s">
        <v>862</v>
      </c>
      <c r="C64" s="169">
        <v>958472</v>
      </c>
      <c r="D64" s="168"/>
      <c r="E64" s="169"/>
      <c r="F64" s="169"/>
      <c r="G64" s="170" t="s">
        <v>64</v>
      </c>
    </row>
    <row r="65" spans="1:7" ht="21">
      <c r="A65" s="34"/>
      <c r="B65" s="30" t="s">
        <v>863</v>
      </c>
      <c r="C65" s="31">
        <v>889292375</v>
      </c>
      <c r="D65" s="4"/>
      <c r="E65" s="31"/>
      <c r="F65" s="31"/>
      <c r="G65" s="32" t="s">
        <v>64</v>
      </c>
    </row>
    <row r="66" spans="1:7" ht="21">
      <c r="A66" s="34"/>
      <c r="B66" s="30" t="s">
        <v>864</v>
      </c>
      <c r="C66" s="31">
        <v>1063824460</v>
      </c>
      <c r="D66" s="4"/>
      <c r="E66" s="31"/>
      <c r="F66" s="31"/>
      <c r="G66" s="32" t="s">
        <v>58</v>
      </c>
    </row>
    <row r="67" spans="1:7" ht="21">
      <c r="A67" s="34"/>
      <c r="B67" s="56" t="s">
        <v>415</v>
      </c>
      <c r="C67" s="63">
        <v>580800</v>
      </c>
      <c r="D67" s="56"/>
      <c r="E67" s="63"/>
      <c r="F67" s="63"/>
      <c r="G67" s="64" t="s">
        <v>54</v>
      </c>
    </row>
    <row r="68" spans="1:7" ht="21">
      <c r="A68" s="34"/>
      <c r="B68" s="56" t="s">
        <v>865</v>
      </c>
      <c r="C68" s="63">
        <v>493680</v>
      </c>
      <c r="D68" s="4"/>
      <c r="E68" s="31"/>
      <c r="F68" s="31"/>
      <c r="G68" s="32" t="s">
        <v>56</v>
      </c>
    </row>
    <row r="69" spans="1:7" ht="21">
      <c r="A69" s="34"/>
      <c r="B69" s="56" t="s">
        <v>866</v>
      </c>
      <c r="C69" s="63">
        <v>660000</v>
      </c>
      <c r="D69" s="4"/>
      <c r="E69" s="31"/>
      <c r="F69" s="31"/>
      <c r="G69" s="32" t="s">
        <v>56</v>
      </c>
    </row>
    <row r="70" spans="1:7" ht="21">
      <c r="A70" s="34"/>
      <c r="B70" s="56" t="s">
        <v>280</v>
      </c>
      <c r="C70" s="63">
        <v>792000</v>
      </c>
      <c r="D70" s="4"/>
      <c r="E70" s="31"/>
      <c r="F70" s="31"/>
      <c r="G70" s="32" t="s">
        <v>56</v>
      </c>
    </row>
    <row r="71" spans="1:7" ht="21">
      <c r="A71" s="34"/>
      <c r="B71" s="56" t="s">
        <v>867</v>
      </c>
      <c r="C71" s="63">
        <v>693000</v>
      </c>
      <c r="D71" s="56"/>
      <c r="E71" s="63"/>
      <c r="F71" s="63"/>
      <c r="G71" s="64" t="s">
        <v>56</v>
      </c>
    </row>
    <row r="72" spans="1:7" ht="21">
      <c r="A72" s="34"/>
      <c r="B72" s="56" t="s">
        <v>868</v>
      </c>
      <c r="C72" s="63">
        <v>958320</v>
      </c>
      <c r="D72" s="56"/>
      <c r="E72" s="63"/>
      <c r="F72" s="63"/>
      <c r="G72" s="64" t="s">
        <v>56</v>
      </c>
    </row>
    <row r="73" spans="1:7" ht="21">
      <c r="A73" s="34"/>
      <c r="B73" s="67" t="s">
        <v>468</v>
      </c>
      <c r="C73" s="68">
        <v>53932847</v>
      </c>
      <c r="D73" s="67"/>
      <c r="E73" s="68"/>
      <c r="F73" s="68"/>
      <c r="G73" s="69" t="s">
        <v>53</v>
      </c>
    </row>
    <row r="74" spans="1:7" ht="21">
      <c r="A74" s="34"/>
      <c r="B74" s="67" t="s">
        <v>468</v>
      </c>
      <c r="C74" s="68">
        <v>13065615</v>
      </c>
      <c r="D74" s="67"/>
      <c r="E74" s="68"/>
      <c r="F74" s="68"/>
      <c r="G74" s="69" t="s">
        <v>53</v>
      </c>
    </row>
    <row r="75" spans="1:7" ht="21">
      <c r="A75" s="34"/>
      <c r="B75" s="56" t="s">
        <v>869</v>
      </c>
      <c r="C75" s="63">
        <v>1452000</v>
      </c>
      <c r="D75" s="56"/>
      <c r="E75" s="63"/>
      <c r="F75" s="63"/>
      <c r="G75" s="64" t="s">
        <v>311</v>
      </c>
    </row>
    <row r="76" spans="1:7" ht="21">
      <c r="A76" s="34"/>
      <c r="B76" s="56" t="s">
        <v>870</v>
      </c>
      <c r="C76" s="63">
        <v>17250000</v>
      </c>
      <c r="D76" s="56"/>
      <c r="E76" s="63"/>
      <c r="F76" s="63"/>
      <c r="G76" s="64" t="s">
        <v>60</v>
      </c>
    </row>
    <row r="77" spans="1:7" ht="21">
      <c r="A77" s="34"/>
      <c r="B77" s="56" t="s">
        <v>691</v>
      </c>
      <c r="C77" s="63">
        <v>1050000</v>
      </c>
      <c r="D77" s="56"/>
      <c r="E77" s="63"/>
      <c r="F77" s="63"/>
      <c r="G77" s="64" t="s">
        <v>60</v>
      </c>
    </row>
    <row r="78" spans="1:7" ht="21">
      <c r="A78" s="34"/>
      <c r="B78" s="175" t="s">
        <v>708</v>
      </c>
      <c r="C78" s="176">
        <v>2000000</v>
      </c>
      <c r="D78" s="175"/>
      <c r="E78" s="31"/>
      <c r="F78" s="31"/>
      <c r="G78" s="32" t="s">
        <v>57</v>
      </c>
    </row>
    <row r="79" spans="1:7" ht="21">
      <c r="A79" s="34"/>
      <c r="B79" s="56" t="s">
        <v>871</v>
      </c>
      <c r="C79" s="63">
        <v>339500</v>
      </c>
      <c r="D79" s="56"/>
      <c r="E79" s="63"/>
      <c r="F79" s="63"/>
      <c r="G79" s="64" t="s">
        <v>57</v>
      </c>
    </row>
    <row r="80" spans="1:7" ht="21">
      <c r="A80" s="34"/>
      <c r="B80" s="67" t="s">
        <v>468</v>
      </c>
      <c r="C80" s="68">
        <v>34913</v>
      </c>
      <c r="D80" s="67"/>
      <c r="E80" s="68"/>
      <c r="F80" s="68"/>
      <c r="G80" s="69" t="s">
        <v>57</v>
      </c>
    </row>
    <row r="81" spans="1:7" ht="21">
      <c r="A81" s="34"/>
      <c r="B81" s="67" t="s">
        <v>468</v>
      </c>
      <c r="C81" s="68">
        <v>91834</v>
      </c>
      <c r="D81" s="67"/>
      <c r="E81" s="68"/>
      <c r="F81" s="68"/>
      <c r="G81" s="69" t="s">
        <v>57</v>
      </c>
    </row>
    <row r="82" spans="1:7" ht="21">
      <c r="A82" s="34"/>
      <c r="B82" s="67" t="s">
        <v>468</v>
      </c>
      <c r="C82" s="68">
        <v>89734</v>
      </c>
      <c r="D82" s="67"/>
      <c r="E82" s="68"/>
      <c r="F82" s="68"/>
      <c r="G82" s="69" t="s">
        <v>57</v>
      </c>
    </row>
    <row r="83" spans="1:7" ht="21">
      <c r="A83" s="34"/>
      <c r="B83" s="67" t="s">
        <v>468</v>
      </c>
      <c r="C83" s="68">
        <v>35452991</v>
      </c>
      <c r="D83" s="67"/>
      <c r="E83" s="68"/>
      <c r="F83" s="68"/>
      <c r="G83" s="69" t="s">
        <v>57</v>
      </c>
    </row>
    <row r="84" spans="1:7" ht="21">
      <c r="A84" s="34"/>
      <c r="B84" s="67" t="s">
        <v>872</v>
      </c>
      <c r="C84" s="68">
        <v>13928490</v>
      </c>
      <c r="D84" s="67"/>
      <c r="E84" s="68"/>
      <c r="F84" s="68"/>
      <c r="G84" s="69" t="s">
        <v>64</v>
      </c>
    </row>
    <row r="85" spans="1:7" ht="21">
      <c r="A85" s="34">
        <v>44970</v>
      </c>
      <c r="B85" s="56" t="s">
        <v>577</v>
      </c>
      <c r="C85" s="63">
        <v>712800</v>
      </c>
      <c r="D85" s="56"/>
      <c r="E85" s="63"/>
      <c r="F85" s="63"/>
      <c r="G85" s="64" t="s">
        <v>54</v>
      </c>
    </row>
    <row r="86" spans="1:7" ht="21">
      <c r="A86" s="34"/>
      <c r="B86" s="56" t="s">
        <v>722</v>
      </c>
      <c r="C86" s="63">
        <v>5570786</v>
      </c>
      <c r="D86" s="56"/>
      <c r="E86" s="63"/>
      <c r="F86" s="63"/>
      <c r="G86" s="64" t="s">
        <v>54</v>
      </c>
    </row>
    <row r="87" spans="1:7" ht="21">
      <c r="A87" s="34"/>
      <c r="B87" s="56" t="s">
        <v>873</v>
      </c>
      <c r="C87" s="63">
        <v>554400</v>
      </c>
      <c r="D87" s="4"/>
      <c r="E87" s="31"/>
      <c r="F87" s="31"/>
      <c r="G87" s="32" t="s">
        <v>56</v>
      </c>
    </row>
    <row r="88" spans="1:7" ht="21">
      <c r="A88" s="34"/>
      <c r="B88" s="173" t="s">
        <v>874</v>
      </c>
      <c r="C88" s="174">
        <v>1137000</v>
      </c>
      <c r="D88" s="4"/>
      <c r="E88" s="31"/>
      <c r="F88" s="31"/>
      <c r="G88" s="32" t="s">
        <v>56</v>
      </c>
    </row>
    <row r="89" spans="1:7" ht="21">
      <c r="A89" s="34"/>
      <c r="B89" s="33" t="s">
        <v>875</v>
      </c>
      <c r="C89" s="77">
        <v>30174022</v>
      </c>
      <c r="D89" s="33"/>
      <c r="E89" s="77"/>
      <c r="F89" s="77"/>
      <c r="G89" s="79" t="s">
        <v>60</v>
      </c>
    </row>
    <row r="90" spans="1:7" ht="21">
      <c r="A90" s="34"/>
      <c r="B90" s="56" t="s">
        <v>876</v>
      </c>
      <c r="C90" s="63">
        <v>1980000</v>
      </c>
      <c r="D90" s="56"/>
      <c r="E90" s="63"/>
      <c r="F90" s="63"/>
      <c r="G90" s="64" t="s">
        <v>55</v>
      </c>
    </row>
    <row r="91" spans="1:7" ht="21">
      <c r="A91" s="34"/>
      <c r="B91" s="56" t="s">
        <v>877</v>
      </c>
      <c r="C91" s="63">
        <v>726000</v>
      </c>
      <c r="D91" s="56"/>
      <c r="E91" s="63"/>
      <c r="F91" s="63"/>
      <c r="G91" s="64" t="s">
        <v>57</v>
      </c>
    </row>
    <row r="92" spans="1:7" ht="21">
      <c r="A92" s="34"/>
      <c r="B92" s="56" t="s">
        <v>302</v>
      </c>
      <c r="C92" s="63">
        <v>450000</v>
      </c>
      <c r="D92" s="56"/>
      <c r="E92" s="63"/>
      <c r="F92" s="63"/>
      <c r="G92" s="64" t="s">
        <v>57</v>
      </c>
    </row>
    <row r="93" spans="1:7" ht="21">
      <c r="A93" s="34"/>
      <c r="B93" s="56" t="s">
        <v>456</v>
      </c>
      <c r="C93" s="63">
        <v>1690566</v>
      </c>
      <c r="D93" s="56"/>
      <c r="E93" s="63"/>
      <c r="F93" s="63"/>
      <c r="G93" s="64" t="s">
        <v>54</v>
      </c>
    </row>
    <row r="94" spans="1:7" ht="21">
      <c r="A94" s="34"/>
      <c r="B94" s="56" t="s">
        <v>852</v>
      </c>
      <c r="C94" s="63">
        <v>20588555</v>
      </c>
      <c r="D94" s="56"/>
      <c r="E94" s="63"/>
      <c r="F94" s="63"/>
      <c r="G94" s="64" t="s">
        <v>55</v>
      </c>
    </row>
    <row r="95" spans="1:7" ht="21">
      <c r="A95" s="34"/>
      <c r="B95" s="56" t="s">
        <v>878</v>
      </c>
      <c r="C95" s="63">
        <v>660000</v>
      </c>
      <c r="D95" s="56"/>
      <c r="E95" s="63"/>
      <c r="F95" s="63"/>
      <c r="G95" s="64" t="s">
        <v>55</v>
      </c>
    </row>
    <row r="96" spans="1:7" ht="21">
      <c r="A96" s="34"/>
      <c r="B96" s="56" t="s">
        <v>250</v>
      </c>
      <c r="C96" s="63">
        <v>9783465</v>
      </c>
      <c r="D96" s="56"/>
      <c r="E96" s="63"/>
      <c r="F96" s="63"/>
      <c r="G96" s="64" t="s">
        <v>55</v>
      </c>
    </row>
    <row r="97" spans="1:7" ht="21">
      <c r="A97" s="34">
        <v>44971</v>
      </c>
      <c r="B97" s="56" t="s">
        <v>70</v>
      </c>
      <c r="C97" s="63">
        <v>17083823</v>
      </c>
      <c r="D97" s="4"/>
      <c r="E97" s="31"/>
      <c r="F97" s="31"/>
      <c r="G97" s="32" t="s">
        <v>56</v>
      </c>
    </row>
    <row r="98" spans="1:7" ht="21">
      <c r="A98" s="34"/>
      <c r="B98" s="173" t="s">
        <v>879</v>
      </c>
      <c r="C98" s="174">
        <v>1137000</v>
      </c>
      <c r="D98" s="4"/>
      <c r="E98" s="31"/>
      <c r="F98" s="31"/>
      <c r="G98" s="32" t="s">
        <v>56</v>
      </c>
    </row>
    <row r="99" spans="1:7" ht="21">
      <c r="A99" s="34"/>
      <c r="B99" s="56" t="s">
        <v>880</v>
      </c>
      <c r="C99" s="63">
        <v>278800</v>
      </c>
      <c r="D99" s="56"/>
      <c r="E99" s="63"/>
      <c r="F99" s="63"/>
      <c r="G99" s="64" t="s">
        <v>57</v>
      </c>
    </row>
    <row r="100" spans="1:7" ht="21">
      <c r="A100" s="34"/>
      <c r="B100" s="56" t="s">
        <v>881</v>
      </c>
      <c r="C100" s="63">
        <v>38943325</v>
      </c>
      <c r="D100" s="56"/>
      <c r="E100" s="63"/>
      <c r="F100" s="63"/>
      <c r="G100" s="64" t="s">
        <v>60</v>
      </c>
    </row>
    <row r="101" spans="1:7" ht="21">
      <c r="A101" s="34"/>
      <c r="B101" s="56" t="s">
        <v>882</v>
      </c>
      <c r="C101" s="63">
        <v>41630501</v>
      </c>
      <c r="D101" s="56"/>
      <c r="E101" s="63"/>
      <c r="F101" s="63"/>
      <c r="G101" s="64" t="s">
        <v>58</v>
      </c>
    </row>
    <row r="102" spans="1:7" ht="21">
      <c r="A102" s="34"/>
      <c r="B102" s="56" t="s">
        <v>883</v>
      </c>
      <c r="C102" s="63">
        <v>7317090</v>
      </c>
      <c r="D102" s="56"/>
      <c r="E102" s="63"/>
      <c r="F102" s="63"/>
      <c r="G102" s="64" t="s">
        <v>58</v>
      </c>
    </row>
    <row r="103" spans="1:7" ht="21">
      <c r="A103" s="34"/>
      <c r="B103" s="56" t="s">
        <v>884</v>
      </c>
      <c r="C103" s="63">
        <v>2890551</v>
      </c>
      <c r="D103" s="56"/>
      <c r="E103" s="63"/>
      <c r="F103" s="63"/>
      <c r="G103" s="64" t="s">
        <v>311</v>
      </c>
    </row>
    <row r="104" spans="1:7" ht="21">
      <c r="A104" s="34"/>
      <c r="B104" s="56" t="s">
        <v>885</v>
      </c>
      <c r="C104" s="63">
        <v>22000000</v>
      </c>
      <c r="D104" s="56"/>
      <c r="E104" s="63"/>
      <c r="F104" s="63"/>
      <c r="G104" s="64" t="s">
        <v>53</v>
      </c>
    </row>
    <row r="105" spans="1:7" ht="21">
      <c r="A105" s="34"/>
      <c r="B105" s="168" t="s">
        <v>152</v>
      </c>
      <c r="C105" s="169">
        <v>12409170</v>
      </c>
      <c r="D105" s="168"/>
      <c r="E105" s="169"/>
      <c r="F105" s="169"/>
      <c r="G105" s="170" t="s">
        <v>64</v>
      </c>
    </row>
    <row r="106" spans="1:7" ht="21">
      <c r="A106" s="34">
        <v>44972</v>
      </c>
      <c r="B106" s="173" t="s">
        <v>886</v>
      </c>
      <c r="C106" s="174">
        <v>869000</v>
      </c>
      <c r="D106" s="4"/>
      <c r="E106" s="31"/>
      <c r="F106" s="31"/>
      <c r="G106" s="32" t="s">
        <v>56</v>
      </c>
    </row>
    <row r="107" spans="1:7" ht="21">
      <c r="A107" s="34"/>
      <c r="B107" s="173" t="s">
        <v>298</v>
      </c>
      <c r="C107" s="174">
        <v>1164000</v>
      </c>
      <c r="D107" s="4"/>
      <c r="E107" s="31"/>
      <c r="F107" s="31"/>
      <c r="G107" s="32" t="s">
        <v>56</v>
      </c>
    </row>
    <row r="108" spans="1:7" ht="21">
      <c r="A108" s="34"/>
      <c r="B108" s="56" t="s">
        <v>887</v>
      </c>
      <c r="C108" s="63">
        <v>2500000</v>
      </c>
      <c r="D108" s="4"/>
      <c r="E108" s="31"/>
      <c r="F108" s="31"/>
      <c r="G108" s="32" t="s">
        <v>56</v>
      </c>
    </row>
    <row r="109" spans="1:7" ht="21">
      <c r="A109" s="34"/>
      <c r="B109" s="56" t="s">
        <v>214</v>
      </c>
      <c r="C109" s="63">
        <v>388125</v>
      </c>
      <c r="D109" s="56"/>
      <c r="E109" s="63"/>
      <c r="F109" s="63"/>
      <c r="G109" s="64" t="s">
        <v>57</v>
      </c>
    </row>
    <row r="110" spans="1:7" ht="21">
      <c r="A110" s="34"/>
      <c r="B110" s="56" t="s">
        <v>522</v>
      </c>
      <c r="C110" s="63">
        <v>21213625</v>
      </c>
      <c r="D110" s="56"/>
      <c r="E110" s="63"/>
      <c r="F110" s="63"/>
      <c r="G110" s="64" t="s">
        <v>154</v>
      </c>
    </row>
    <row r="111" spans="1:7" ht="21">
      <c r="A111" s="34"/>
      <c r="B111" s="56" t="s">
        <v>67</v>
      </c>
      <c r="C111" s="63">
        <v>5445490</v>
      </c>
      <c r="D111" s="56"/>
      <c r="E111" s="63"/>
      <c r="F111" s="63"/>
      <c r="G111" s="64" t="s">
        <v>154</v>
      </c>
    </row>
    <row r="112" spans="1:7" ht="21">
      <c r="A112" s="34"/>
      <c r="B112" s="56" t="s">
        <v>522</v>
      </c>
      <c r="C112" s="63">
        <v>12317521</v>
      </c>
      <c r="D112" s="56"/>
      <c r="E112" s="63"/>
      <c r="F112" s="63"/>
      <c r="G112" s="64" t="s">
        <v>154</v>
      </c>
    </row>
    <row r="113" spans="1:7" ht="21">
      <c r="A113" s="34"/>
      <c r="B113" s="67" t="s">
        <v>888</v>
      </c>
      <c r="C113" s="68">
        <v>22500000</v>
      </c>
      <c r="D113" s="67"/>
      <c r="E113" s="68"/>
      <c r="F113" s="68"/>
      <c r="G113" s="69" t="s">
        <v>53</v>
      </c>
    </row>
    <row r="114" spans="1:7" ht="21">
      <c r="A114" s="34"/>
      <c r="B114" s="56" t="s">
        <v>604</v>
      </c>
      <c r="C114" s="63">
        <v>713900</v>
      </c>
      <c r="D114" s="56"/>
      <c r="E114" s="63"/>
      <c r="F114" s="63"/>
      <c r="G114" s="64" t="s">
        <v>54</v>
      </c>
    </row>
    <row r="115" spans="1:7" ht="21">
      <c r="A115" s="34"/>
      <c r="B115" s="56" t="s">
        <v>889</v>
      </c>
      <c r="C115" s="63">
        <v>758150</v>
      </c>
      <c r="D115" s="56"/>
      <c r="E115" s="63"/>
      <c r="F115" s="63"/>
      <c r="G115" s="64" t="s">
        <v>154</v>
      </c>
    </row>
    <row r="116" spans="1:7" ht="21">
      <c r="A116" s="34">
        <v>44973</v>
      </c>
      <c r="B116" s="56" t="s">
        <v>132</v>
      </c>
      <c r="C116" s="63">
        <v>429300</v>
      </c>
      <c r="D116" s="56"/>
      <c r="E116" s="63"/>
      <c r="F116" s="63"/>
      <c r="G116" s="64" t="s">
        <v>54</v>
      </c>
    </row>
    <row r="117" spans="1:7" ht="21">
      <c r="A117" s="34"/>
      <c r="B117" s="173" t="s">
        <v>890</v>
      </c>
      <c r="C117" s="174">
        <v>5750000</v>
      </c>
      <c r="D117" s="4"/>
      <c r="E117" s="31"/>
      <c r="F117" s="31"/>
      <c r="G117" s="32" t="s">
        <v>54</v>
      </c>
    </row>
    <row r="118" spans="1:7" ht="21">
      <c r="A118" s="34"/>
      <c r="B118" s="56" t="s">
        <v>84</v>
      </c>
      <c r="C118" s="63">
        <v>145594</v>
      </c>
      <c r="D118" s="4"/>
      <c r="E118" s="31"/>
      <c r="F118" s="31"/>
      <c r="G118" s="32" t="s">
        <v>56</v>
      </c>
    </row>
    <row r="119" spans="1:7" ht="21">
      <c r="A119" s="34"/>
      <c r="B119" s="56" t="s">
        <v>891</v>
      </c>
      <c r="C119" s="63">
        <v>722213</v>
      </c>
      <c r="D119" s="4"/>
      <c r="E119" s="31"/>
      <c r="F119" s="31"/>
      <c r="G119" s="32" t="s">
        <v>56</v>
      </c>
    </row>
    <row r="120" spans="1:7" ht="21">
      <c r="A120" s="34"/>
      <c r="B120" s="56" t="s">
        <v>892</v>
      </c>
      <c r="C120" s="63">
        <v>750000</v>
      </c>
      <c r="D120" s="4"/>
      <c r="E120" s="31"/>
      <c r="F120" s="31"/>
      <c r="G120" s="32" t="s">
        <v>56</v>
      </c>
    </row>
    <row r="121" spans="1:7" ht="21">
      <c r="A121" s="34"/>
      <c r="B121" s="56" t="s">
        <v>893</v>
      </c>
      <c r="C121" s="63">
        <v>915000</v>
      </c>
      <c r="D121" s="4"/>
      <c r="E121" s="31"/>
      <c r="F121" s="31"/>
      <c r="G121" s="32" t="s">
        <v>56</v>
      </c>
    </row>
    <row r="122" spans="1:7" ht="21">
      <c r="A122" s="34"/>
      <c r="B122" s="56" t="s">
        <v>894</v>
      </c>
      <c r="C122" s="63">
        <v>1434513</v>
      </c>
      <c r="D122" s="4"/>
      <c r="E122" s="31"/>
      <c r="F122" s="31"/>
      <c r="G122" s="32" t="s">
        <v>56</v>
      </c>
    </row>
    <row r="123" spans="1:7" ht="21">
      <c r="A123" s="34"/>
      <c r="B123" s="56" t="s">
        <v>895</v>
      </c>
      <c r="C123" s="63">
        <v>580800</v>
      </c>
      <c r="D123" s="56"/>
      <c r="E123" s="63"/>
      <c r="F123" s="63"/>
      <c r="G123" s="64" t="s">
        <v>57</v>
      </c>
    </row>
    <row r="124" spans="1:7" ht="21">
      <c r="A124" s="34"/>
      <c r="B124" s="56" t="s">
        <v>896</v>
      </c>
      <c r="C124" s="63">
        <v>172744</v>
      </c>
      <c r="D124" s="56"/>
      <c r="E124" s="63"/>
      <c r="F124" s="63"/>
      <c r="G124" s="64" t="s">
        <v>154</v>
      </c>
    </row>
    <row r="125" spans="1:7" ht="21">
      <c r="A125" s="34"/>
      <c r="B125" s="56" t="s">
        <v>897</v>
      </c>
      <c r="C125" s="63">
        <v>1191800</v>
      </c>
      <c r="D125" s="56"/>
      <c r="E125" s="63"/>
      <c r="F125" s="63"/>
      <c r="G125" s="64" t="s">
        <v>154</v>
      </c>
    </row>
    <row r="126" spans="1:7" ht="21">
      <c r="A126" s="34">
        <v>44974</v>
      </c>
      <c r="B126" s="56" t="s">
        <v>898</v>
      </c>
      <c r="C126" s="63">
        <v>588000</v>
      </c>
      <c r="D126" s="4"/>
      <c r="E126" s="31"/>
      <c r="F126" s="31"/>
      <c r="G126" s="32" t="s">
        <v>56</v>
      </c>
    </row>
    <row r="127" spans="1:7" ht="21">
      <c r="A127" s="34"/>
      <c r="B127" s="56" t="s">
        <v>899</v>
      </c>
      <c r="C127" s="63">
        <v>932574</v>
      </c>
      <c r="D127" s="4"/>
      <c r="E127" s="31"/>
      <c r="F127" s="31"/>
      <c r="G127" s="32" t="s">
        <v>56</v>
      </c>
    </row>
    <row r="128" spans="1:7" ht="21">
      <c r="A128" s="34"/>
      <c r="B128" s="56" t="s">
        <v>900</v>
      </c>
      <c r="C128" s="63">
        <v>1500000</v>
      </c>
      <c r="D128" s="4"/>
      <c r="E128" s="31"/>
      <c r="F128" s="31"/>
      <c r="G128" s="32" t="s">
        <v>56</v>
      </c>
    </row>
    <row r="129" spans="1:7" ht="21">
      <c r="A129" s="34"/>
      <c r="B129" s="56" t="s">
        <v>418</v>
      </c>
      <c r="C129" s="63">
        <v>1725000</v>
      </c>
      <c r="D129" s="4"/>
      <c r="E129" s="31"/>
      <c r="F129" s="31"/>
      <c r="G129" s="32" t="s">
        <v>56</v>
      </c>
    </row>
    <row r="130" spans="1:7" ht="21">
      <c r="A130" s="34"/>
      <c r="B130" s="56" t="s">
        <v>418</v>
      </c>
      <c r="C130" s="63">
        <v>1752600</v>
      </c>
      <c r="D130" s="4"/>
      <c r="E130" s="31"/>
      <c r="F130" s="31"/>
      <c r="G130" s="32" t="s">
        <v>56</v>
      </c>
    </row>
    <row r="131" spans="1:7" ht="21">
      <c r="A131" s="34"/>
      <c r="B131" s="56" t="s">
        <v>901</v>
      </c>
      <c r="C131" s="63">
        <v>2000000</v>
      </c>
      <c r="D131" s="4"/>
      <c r="E131" s="31"/>
      <c r="F131" s="31"/>
      <c r="G131" s="32" t="s">
        <v>56</v>
      </c>
    </row>
    <row r="132" spans="1:7" ht="21">
      <c r="A132" s="34"/>
      <c r="B132" s="179" t="s">
        <v>63</v>
      </c>
      <c r="C132" s="180">
        <v>198607894</v>
      </c>
      <c r="D132" s="4"/>
      <c r="E132" s="31"/>
      <c r="F132" s="31"/>
      <c r="G132" s="32" t="s">
        <v>56</v>
      </c>
    </row>
    <row r="133" spans="1:7" ht="21">
      <c r="A133" s="34"/>
      <c r="B133" s="56" t="s">
        <v>902</v>
      </c>
      <c r="C133" s="63">
        <v>594000</v>
      </c>
      <c r="D133" s="56"/>
      <c r="E133" s="63"/>
      <c r="F133" s="63"/>
      <c r="G133" s="64" t="s">
        <v>57</v>
      </c>
    </row>
    <row r="134" spans="1:7" ht="21">
      <c r="A134" s="34"/>
      <c r="B134" s="56" t="s">
        <v>408</v>
      </c>
      <c r="C134" s="63">
        <v>1997230</v>
      </c>
      <c r="D134" s="56"/>
      <c r="E134" s="63"/>
      <c r="F134" s="63"/>
      <c r="G134" s="64" t="s">
        <v>57</v>
      </c>
    </row>
    <row r="135" spans="1:7" ht="21">
      <c r="A135" s="34"/>
      <c r="B135" s="56" t="s">
        <v>61</v>
      </c>
      <c r="C135" s="63">
        <v>1261528</v>
      </c>
      <c r="D135" s="56"/>
      <c r="E135" s="63"/>
      <c r="F135" s="63"/>
      <c r="G135" s="64" t="s">
        <v>154</v>
      </c>
    </row>
    <row r="136" spans="1:7" ht="21">
      <c r="A136" s="34"/>
      <c r="B136" s="56" t="s">
        <v>903</v>
      </c>
      <c r="C136" s="63">
        <v>600000</v>
      </c>
      <c r="D136" s="56"/>
      <c r="E136" s="63"/>
      <c r="F136" s="63"/>
      <c r="G136" s="64" t="s">
        <v>58</v>
      </c>
    </row>
    <row r="137" spans="1:7" ht="21">
      <c r="A137" s="34"/>
      <c r="B137" s="56" t="s">
        <v>69</v>
      </c>
      <c r="C137" s="63">
        <v>40102225</v>
      </c>
      <c r="D137" s="56"/>
      <c r="E137" s="63"/>
      <c r="F137" s="63"/>
      <c r="G137" s="64" t="s">
        <v>64</v>
      </c>
    </row>
    <row r="138" spans="1:7" ht="21">
      <c r="A138" s="34"/>
      <c r="B138" s="56" t="s">
        <v>904</v>
      </c>
      <c r="C138" s="63">
        <v>4094994</v>
      </c>
      <c r="D138" s="56"/>
      <c r="E138" s="63"/>
      <c r="F138" s="63"/>
      <c r="G138" s="64" t="s">
        <v>64</v>
      </c>
    </row>
    <row r="139" spans="1:7" ht="21">
      <c r="A139" s="34">
        <v>44977</v>
      </c>
      <c r="B139" s="168" t="s">
        <v>905</v>
      </c>
      <c r="C139" s="169">
        <v>1200000</v>
      </c>
      <c r="D139" s="4"/>
      <c r="E139" s="31"/>
      <c r="F139" s="31"/>
      <c r="G139" s="32" t="s">
        <v>56</v>
      </c>
    </row>
    <row r="140" spans="1:7" ht="21">
      <c r="A140" s="34"/>
      <c r="B140" s="56" t="s">
        <v>848</v>
      </c>
      <c r="C140" s="63">
        <v>433009</v>
      </c>
      <c r="D140" s="56"/>
      <c r="E140" s="63"/>
      <c r="F140" s="63"/>
      <c r="G140" s="64" t="s">
        <v>57</v>
      </c>
    </row>
    <row r="141" spans="1:7" ht="21">
      <c r="A141" s="34"/>
      <c r="B141" s="67" t="s">
        <v>468</v>
      </c>
      <c r="C141" s="68">
        <v>112376</v>
      </c>
      <c r="D141" s="67"/>
      <c r="E141" s="68"/>
      <c r="F141" s="68"/>
      <c r="G141" s="69" t="s">
        <v>57</v>
      </c>
    </row>
    <row r="142" spans="1:7" ht="21">
      <c r="A142" s="34"/>
      <c r="B142" s="67" t="s">
        <v>468</v>
      </c>
      <c r="C142" s="68">
        <v>193563</v>
      </c>
      <c r="D142" s="67"/>
      <c r="E142" s="68"/>
      <c r="F142" s="68"/>
      <c r="G142" s="69" t="s">
        <v>57</v>
      </c>
    </row>
    <row r="143" spans="1:7" ht="21">
      <c r="A143" s="34"/>
      <c r="B143" s="56" t="s">
        <v>906</v>
      </c>
      <c r="C143" s="63">
        <v>213750</v>
      </c>
      <c r="D143" s="56"/>
      <c r="E143" s="63"/>
      <c r="F143" s="63"/>
      <c r="G143" s="64" t="s">
        <v>311</v>
      </c>
    </row>
    <row r="144" spans="1:7" ht="21">
      <c r="A144" s="34"/>
      <c r="B144" s="56" t="s">
        <v>140</v>
      </c>
      <c r="C144" s="63">
        <v>4036500</v>
      </c>
      <c r="D144" s="56"/>
      <c r="E144" s="63"/>
      <c r="F144" s="63"/>
      <c r="G144" s="64" t="s">
        <v>311</v>
      </c>
    </row>
    <row r="145" spans="1:7" ht="21">
      <c r="A145" s="34"/>
      <c r="B145" s="67" t="s">
        <v>907</v>
      </c>
      <c r="C145" s="68">
        <v>300000000</v>
      </c>
      <c r="D145" s="67"/>
      <c r="E145" s="68"/>
      <c r="F145" s="68"/>
      <c r="G145" s="69" t="s">
        <v>53</v>
      </c>
    </row>
    <row r="146" spans="1:7" ht="21">
      <c r="A146" s="34"/>
      <c r="B146" s="175" t="s">
        <v>908</v>
      </c>
      <c r="C146" s="176">
        <v>187500</v>
      </c>
      <c r="D146" s="4"/>
      <c r="E146" s="31"/>
      <c r="F146" s="31"/>
      <c r="G146" s="32" t="s">
        <v>53</v>
      </c>
    </row>
    <row r="147" spans="1:7" ht="21">
      <c r="A147" s="34"/>
      <c r="B147" s="67" t="s">
        <v>909</v>
      </c>
      <c r="C147" s="68">
        <v>800000</v>
      </c>
      <c r="D147" s="67"/>
      <c r="E147" s="68"/>
      <c r="F147" s="68"/>
      <c r="G147" s="69" t="s">
        <v>53</v>
      </c>
    </row>
    <row r="148" spans="1:7" ht="21">
      <c r="A148" s="34"/>
      <c r="B148" s="67" t="s">
        <v>468</v>
      </c>
      <c r="C148" s="68">
        <v>193942</v>
      </c>
      <c r="D148" s="67"/>
      <c r="E148" s="68"/>
      <c r="F148" s="68"/>
      <c r="G148" s="69" t="s">
        <v>57</v>
      </c>
    </row>
    <row r="149" spans="1:7" ht="21">
      <c r="A149" s="34"/>
      <c r="B149" s="168" t="s">
        <v>189</v>
      </c>
      <c r="C149" s="169">
        <v>32400000</v>
      </c>
      <c r="D149" s="168"/>
      <c r="E149" s="169"/>
      <c r="F149" s="169"/>
      <c r="G149" s="170" t="s">
        <v>64</v>
      </c>
    </row>
    <row r="150" spans="1:7" ht="21">
      <c r="A150" s="34">
        <v>44978</v>
      </c>
      <c r="B150" s="56" t="s">
        <v>910</v>
      </c>
      <c r="C150" s="63">
        <v>13138829</v>
      </c>
      <c r="D150" s="56"/>
      <c r="E150" s="63"/>
      <c r="F150" s="63"/>
      <c r="G150" s="64" t="s">
        <v>311</v>
      </c>
    </row>
    <row r="151" spans="1:7" ht="21">
      <c r="A151" s="34"/>
      <c r="B151" s="56" t="s">
        <v>83</v>
      </c>
      <c r="C151" s="63">
        <v>1433719</v>
      </c>
      <c r="D151" s="56"/>
      <c r="E151" s="63"/>
      <c r="F151" s="63"/>
      <c r="G151" s="64" t="s">
        <v>53</v>
      </c>
    </row>
    <row r="152" spans="1:7" ht="21">
      <c r="A152" s="34"/>
      <c r="B152" s="168" t="s">
        <v>89</v>
      </c>
      <c r="C152" s="169">
        <v>19852864</v>
      </c>
      <c r="D152" s="168"/>
      <c r="E152" s="169"/>
      <c r="F152" s="169"/>
      <c r="G152" s="170" t="s">
        <v>64</v>
      </c>
    </row>
    <row r="153" spans="1:7" ht="21">
      <c r="A153" s="34"/>
      <c r="B153" s="56" t="s">
        <v>911</v>
      </c>
      <c r="C153" s="63">
        <v>396000</v>
      </c>
      <c r="D153" s="4"/>
      <c r="E153" s="31"/>
      <c r="F153" s="31"/>
      <c r="G153" s="32" t="s">
        <v>56</v>
      </c>
    </row>
    <row r="154" spans="1:7" ht="21">
      <c r="A154" s="34"/>
      <c r="B154" s="56" t="s">
        <v>88</v>
      </c>
      <c r="C154" s="63">
        <v>528000</v>
      </c>
      <c r="D154" s="4"/>
      <c r="E154" s="31"/>
      <c r="F154" s="31"/>
      <c r="G154" s="32" t="s">
        <v>56</v>
      </c>
    </row>
    <row r="155" spans="1:7" ht="21">
      <c r="A155" s="34"/>
      <c r="B155" s="56" t="s">
        <v>912</v>
      </c>
      <c r="C155" s="63">
        <v>660000</v>
      </c>
      <c r="D155" s="4"/>
      <c r="E155" s="31"/>
      <c r="F155" s="31"/>
      <c r="G155" s="32" t="s">
        <v>56</v>
      </c>
    </row>
    <row r="156" spans="1:7" ht="21">
      <c r="A156" s="34"/>
      <c r="B156" s="56" t="s">
        <v>913</v>
      </c>
      <c r="C156" s="63">
        <v>726000</v>
      </c>
      <c r="D156" s="4"/>
      <c r="E156" s="31"/>
      <c r="F156" s="31"/>
      <c r="G156" s="32" t="s">
        <v>56</v>
      </c>
    </row>
    <row r="157" spans="1:7" ht="21">
      <c r="A157" s="34"/>
      <c r="B157" s="56" t="s">
        <v>231</v>
      </c>
      <c r="C157" s="63">
        <v>924000</v>
      </c>
      <c r="D157" s="4"/>
      <c r="E157" s="31"/>
      <c r="F157" s="31"/>
      <c r="G157" s="32" t="s">
        <v>56</v>
      </c>
    </row>
    <row r="158" spans="1:7" ht="21">
      <c r="A158" s="34"/>
      <c r="B158" s="56" t="s">
        <v>94</v>
      </c>
      <c r="C158" s="63">
        <v>37410017</v>
      </c>
      <c r="D158" s="56"/>
      <c r="E158" s="63"/>
      <c r="F158" s="63"/>
      <c r="G158" s="64" t="s">
        <v>58</v>
      </c>
    </row>
    <row r="159" spans="1:7" ht="21">
      <c r="A159" s="34"/>
      <c r="B159" s="56" t="s">
        <v>852</v>
      </c>
      <c r="C159" s="63">
        <v>21186000</v>
      </c>
      <c r="D159" s="56"/>
      <c r="E159" s="63"/>
      <c r="F159" s="63"/>
      <c r="G159" s="64" t="s">
        <v>154</v>
      </c>
    </row>
    <row r="160" spans="1:7" ht="21">
      <c r="A160" s="34">
        <v>44979</v>
      </c>
      <c r="B160" s="67" t="s">
        <v>312</v>
      </c>
      <c r="C160" s="68">
        <v>222989</v>
      </c>
      <c r="D160" s="67"/>
      <c r="E160" s="68"/>
      <c r="F160" s="68"/>
      <c r="G160" s="69" t="s">
        <v>53</v>
      </c>
    </row>
    <row r="161" spans="1:7" ht="21">
      <c r="A161" s="34"/>
      <c r="B161" s="56" t="s">
        <v>914</v>
      </c>
      <c r="C161" s="63">
        <v>726000</v>
      </c>
      <c r="D161" s="4"/>
      <c r="E161" s="31"/>
      <c r="F161" s="31"/>
      <c r="G161" s="32" t="s">
        <v>56</v>
      </c>
    </row>
    <row r="162" spans="1:7" ht="21">
      <c r="A162" s="34"/>
      <c r="B162" s="67" t="s">
        <v>215</v>
      </c>
      <c r="C162" s="68">
        <v>9025945</v>
      </c>
      <c r="D162" s="67"/>
      <c r="E162" s="68"/>
      <c r="F162" s="68"/>
      <c r="G162" s="69" t="s">
        <v>57</v>
      </c>
    </row>
    <row r="163" spans="1:7" ht="21">
      <c r="A163" s="34"/>
      <c r="B163" s="67" t="s">
        <v>215</v>
      </c>
      <c r="C163" s="68">
        <v>50748</v>
      </c>
      <c r="D163" s="67"/>
      <c r="E163" s="68"/>
      <c r="F163" s="68"/>
      <c r="G163" s="69" t="s">
        <v>57</v>
      </c>
    </row>
    <row r="164" spans="1:7" ht="21">
      <c r="A164" s="34"/>
      <c r="B164" s="56" t="s">
        <v>915</v>
      </c>
      <c r="C164" s="63">
        <v>884400</v>
      </c>
      <c r="D164" s="56"/>
      <c r="E164" s="63"/>
      <c r="F164" s="63"/>
      <c r="G164" s="64" t="s">
        <v>57</v>
      </c>
    </row>
    <row r="165" spans="1:7" ht="21">
      <c r="A165" s="34"/>
      <c r="B165" s="56" t="s">
        <v>916</v>
      </c>
      <c r="C165" s="63">
        <v>119131950</v>
      </c>
      <c r="D165" s="56"/>
      <c r="E165" s="63"/>
      <c r="F165" s="63"/>
      <c r="G165" s="64" t="s">
        <v>60</v>
      </c>
    </row>
    <row r="166" spans="1:7" ht="21">
      <c r="A166" s="34">
        <v>44980</v>
      </c>
      <c r="B166" s="56" t="s">
        <v>827</v>
      </c>
      <c r="C166" s="63">
        <v>690000</v>
      </c>
      <c r="D166" s="56"/>
      <c r="E166" s="63"/>
      <c r="F166" s="63"/>
      <c r="G166" s="64" t="s">
        <v>311</v>
      </c>
    </row>
    <row r="167" spans="1:7" ht="21">
      <c r="A167" s="34"/>
      <c r="B167" s="56" t="s">
        <v>314</v>
      </c>
      <c r="C167" s="63">
        <v>189475053</v>
      </c>
      <c r="D167" s="4"/>
      <c r="E167" s="31"/>
      <c r="F167" s="31"/>
      <c r="G167" s="32" t="s">
        <v>90</v>
      </c>
    </row>
    <row r="168" spans="1:7" ht="21">
      <c r="A168" s="34"/>
      <c r="B168" s="56" t="s">
        <v>314</v>
      </c>
      <c r="C168" s="63">
        <v>189475053</v>
      </c>
      <c r="D168" s="4"/>
      <c r="E168" s="31"/>
      <c r="F168" s="31"/>
      <c r="G168" s="32" t="s">
        <v>90</v>
      </c>
    </row>
    <row r="169" spans="1:7" ht="21">
      <c r="A169" s="34"/>
      <c r="B169" s="56" t="s">
        <v>917</v>
      </c>
      <c r="C169" s="63">
        <v>1495000</v>
      </c>
      <c r="D169" s="4"/>
      <c r="E169" s="31"/>
      <c r="F169" s="31"/>
      <c r="G169" s="32" t="s">
        <v>56</v>
      </c>
    </row>
    <row r="170" spans="1:7" ht="21">
      <c r="A170" s="34"/>
      <c r="B170" s="56" t="s">
        <v>918</v>
      </c>
      <c r="C170" s="63">
        <v>3968580</v>
      </c>
      <c r="D170" s="4"/>
      <c r="E170" s="31"/>
      <c r="F170" s="31"/>
      <c r="G170" s="32" t="s">
        <v>56</v>
      </c>
    </row>
    <row r="171" spans="1:7" ht="21">
      <c r="A171" s="34"/>
      <c r="B171" s="56" t="s">
        <v>472</v>
      </c>
      <c r="C171" s="63">
        <v>4660525</v>
      </c>
      <c r="D171" s="4"/>
      <c r="E171" s="31"/>
      <c r="F171" s="31"/>
      <c r="G171" s="32" t="s">
        <v>56</v>
      </c>
    </row>
    <row r="172" spans="1:7" ht="21">
      <c r="A172" s="34"/>
      <c r="B172" s="56" t="s">
        <v>919</v>
      </c>
      <c r="C172" s="63">
        <v>5316300</v>
      </c>
      <c r="D172" s="4"/>
      <c r="E172" s="31"/>
      <c r="F172" s="31"/>
      <c r="G172" s="32" t="s">
        <v>56</v>
      </c>
    </row>
    <row r="173" spans="1:7" ht="21">
      <c r="A173" s="34"/>
      <c r="B173" s="56" t="s">
        <v>68</v>
      </c>
      <c r="C173" s="63">
        <v>26811056</v>
      </c>
      <c r="D173" s="4"/>
      <c r="E173" s="31"/>
      <c r="F173" s="31"/>
      <c r="G173" s="32"/>
    </row>
    <row r="174" spans="1:7" ht="21">
      <c r="A174" s="34">
        <v>44981</v>
      </c>
      <c r="B174" s="56" t="s">
        <v>213</v>
      </c>
      <c r="C174" s="63">
        <v>1744200</v>
      </c>
      <c r="D174" s="4"/>
      <c r="E174" s="31"/>
      <c r="F174" s="31"/>
      <c r="G174" s="32" t="s">
        <v>56</v>
      </c>
    </row>
    <row r="175" spans="1:7" ht="21">
      <c r="A175" s="34"/>
      <c r="B175" s="56" t="s">
        <v>893</v>
      </c>
      <c r="C175" s="63">
        <v>7955126</v>
      </c>
      <c r="D175" s="56"/>
      <c r="E175" s="63"/>
      <c r="F175" s="63"/>
      <c r="G175" s="64" t="s">
        <v>57</v>
      </c>
    </row>
    <row r="176" spans="1:7" ht="21">
      <c r="A176" s="34"/>
      <c r="B176" s="67" t="s">
        <v>468</v>
      </c>
      <c r="C176" s="68">
        <v>2737262</v>
      </c>
      <c r="D176" s="67"/>
      <c r="E176" s="68"/>
      <c r="F176" s="68"/>
      <c r="G176" s="69" t="s">
        <v>57</v>
      </c>
    </row>
    <row r="177" spans="1:7" ht="21">
      <c r="A177" s="34"/>
      <c r="B177" s="67" t="s">
        <v>113</v>
      </c>
      <c r="C177" s="68">
        <v>4300645</v>
      </c>
      <c r="D177" s="67"/>
      <c r="E177" s="68"/>
      <c r="F177" s="68"/>
      <c r="G177" s="69" t="s">
        <v>57</v>
      </c>
    </row>
    <row r="178" spans="1:7" ht="21">
      <c r="A178" s="34"/>
      <c r="B178" s="56" t="s">
        <v>191</v>
      </c>
      <c r="C178" s="63">
        <v>89200</v>
      </c>
      <c r="D178" s="56"/>
      <c r="E178" s="63"/>
      <c r="F178" s="63"/>
      <c r="G178" s="64" t="s">
        <v>57</v>
      </c>
    </row>
    <row r="179" spans="1:7" ht="21">
      <c r="A179" s="34"/>
      <c r="B179" s="173" t="s">
        <v>920</v>
      </c>
      <c r="C179" s="174">
        <v>2011164</v>
      </c>
      <c r="D179" s="173"/>
      <c r="E179" s="174"/>
      <c r="F179" s="174"/>
      <c r="G179" s="181" t="s">
        <v>154</v>
      </c>
    </row>
    <row r="180" spans="1:7" ht="21">
      <c r="A180" s="34"/>
      <c r="B180" s="173" t="s">
        <v>921</v>
      </c>
      <c r="C180" s="174">
        <v>1005583</v>
      </c>
      <c r="D180" s="173"/>
      <c r="E180" s="174"/>
      <c r="F180" s="174"/>
      <c r="G180" s="181" t="s">
        <v>154</v>
      </c>
    </row>
    <row r="181" spans="1:7" ht="21">
      <c r="A181" s="34"/>
      <c r="B181" s="56" t="s">
        <v>694</v>
      </c>
      <c r="C181" s="63">
        <v>931500</v>
      </c>
      <c r="D181" s="56"/>
      <c r="E181" s="63"/>
      <c r="F181" s="63"/>
      <c r="G181" s="64" t="s">
        <v>154</v>
      </c>
    </row>
    <row r="182" spans="1:7" ht="21">
      <c r="A182" s="34">
        <v>44984</v>
      </c>
      <c r="B182" s="56" t="s">
        <v>84</v>
      </c>
      <c r="C182" s="63">
        <v>10203973</v>
      </c>
      <c r="D182" s="56"/>
      <c r="E182" s="63"/>
      <c r="F182" s="63"/>
      <c r="G182" s="64" t="s">
        <v>53</v>
      </c>
    </row>
    <row r="183" spans="1:7" ht="21">
      <c r="A183" s="34"/>
      <c r="B183" s="56" t="s">
        <v>922</v>
      </c>
      <c r="C183" s="63">
        <v>11239888</v>
      </c>
      <c r="D183" s="56"/>
      <c r="E183" s="63"/>
      <c r="F183" s="63"/>
      <c r="G183" s="64" t="s">
        <v>64</v>
      </c>
    </row>
    <row r="184" spans="1:7" ht="21">
      <c r="A184" s="34"/>
      <c r="B184" s="56" t="s">
        <v>805</v>
      </c>
      <c r="C184" s="63">
        <v>582000</v>
      </c>
      <c r="D184" s="4"/>
      <c r="E184" s="31"/>
      <c r="F184" s="31"/>
      <c r="G184" s="32" t="s">
        <v>56</v>
      </c>
    </row>
    <row r="185" spans="1:7" ht="21">
      <c r="A185" s="34"/>
      <c r="B185" s="56" t="s">
        <v>923</v>
      </c>
      <c r="C185" s="63">
        <v>924000</v>
      </c>
      <c r="D185" s="4"/>
      <c r="E185" s="31"/>
      <c r="F185" s="31"/>
      <c r="G185" s="32" t="s">
        <v>56</v>
      </c>
    </row>
    <row r="186" spans="1:7" ht="21">
      <c r="A186" s="34"/>
      <c r="B186" s="56" t="s">
        <v>500</v>
      </c>
      <c r="C186" s="63">
        <v>5000000</v>
      </c>
      <c r="D186" s="4"/>
      <c r="E186" s="31"/>
      <c r="F186" s="31"/>
      <c r="G186" s="32" t="s">
        <v>56</v>
      </c>
    </row>
    <row r="187" spans="1:7" ht="21">
      <c r="A187" s="34"/>
      <c r="B187" s="56" t="s">
        <v>110</v>
      </c>
      <c r="C187" s="63">
        <v>66092892</v>
      </c>
      <c r="D187" s="4"/>
      <c r="E187" s="31"/>
      <c r="F187" s="31"/>
      <c r="G187" s="32" t="s">
        <v>56</v>
      </c>
    </row>
    <row r="188" spans="1:7" ht="21">
      <c r="A188" s="34"/>
      <c r="B188" s="175" t="s">
        <v>924</v>
      </c>
      <c r="C188" s="176">
        <v>48000000</v>
      </c>
      <c r="D188" s="4"/>
      <c r="E188" s="31"/>
      <c r="F188" s="31"/>
      <c r="G188" s="32" t="s">
        <v>57</v>
      </c>
    </row>
    <row r="189" spans="1:7" ht="21">
      <c r="A189" s="34"/>
      <c r="B189" s="56" t="s">
        <v>848</v>
      </c>
      <c r="C189" s="63">
        <v>342000</v>
      </c>
      <c r="D189" s="56"/>
      <c r="E189" s="63"/>
      <c r="F189" s="63"/>
      <c r="G189" s="64" t="s">
        <v>57</v>
      </c>
    </row>
    <row r="190" spans="1:7" ht="21">
      <c r="A190" s="34"/>
      <c r="B190" s="67" t="s">
        <v>872</v>
      </c>
      <c r="C190" s="68">
        <v>1582500</v>
      </c>
      <c r="D190" s="67"/>
      <c r="E190" s="68"/>
      <c r="F190" s="68"/>
      <c r="G190" s="69" t="s">
        <v>57</v>
      </c>
    </row>
    <row r="191" spans="1:7" ht="21">
      <c r="A191" s="34"/>
      <c r="B191" s="67" t="s">
        <v>872</v>
      </c>
      <c r="C191" s="68">
        <v>2145260</v>
      </c>
      <c r="D191" s="67"/>
      <c r="E191" s="68"/>
      <c r="F191" s="68"/>
      <c r="G191" s="69" t="s">
        <v>57</v>
      </c>
    </row>
    <row r="192" spans="1:7" ht="21">
      <c r="A192" s="34"/>
      <c r="B192" s="173" t="s">
        <v>925</v>
      </c>
      <c r="C192" s="174">
        <v>148857988</v>
      </c>
      <c r="D192" s="4"/>
      <c r="E192" s="31"/>
      <c r="F192" s="31"/>
      <c r="G192" s="32"/>
    </row>
    <row r="193" spans="1:7" ht="21">
      <c r="A193" s="34"/>
      <c r="B193" s="56" t="s">
        <v>156</v>
      </c>
      <c r="C193" s="63">
        <v>141927535</v>
      </c>
      <c r="D193" s="56"/>
      <c r="E193" s="63"/>
      <c r="F193" s="63"/>
      <c r="G193" s="64" t="s">
        <v>58</v>
      </c>
    </row>
    <row r="194" spans="1:7" ht="21">
      <c r="A194" s="34">
        <v>44985</v>
      </c>
      <c r="B194" s="56" t="s">
        <v>83</v>
      </c>
      <c r="C194" s="63">
        <v>1454462</v>
      </c>
      <c r="D194" s="56"/>
      <c r="E194" s="63"/>
      <c r="F194" s="63"/>
      <c r="G194" s="64" t="s">
        <v>53</v>
      </c>
    </row>
    <row r="195" spans="1:7" ht="21">
      <c r="A195" s="34"/>
      <c r="B195" s="56" t="s">
        <v>465</v>
      </c>
      <c r="C195" s="63">
        <v>262402</v>
      </c>
      <c r="D195" s="56"/>
      <c r="E195" s="63"/>
      <c r="F195" s="63"/>
      <c r="G195" s="64" t="s">
        <v>53</v>
      </c>
    </row>
    <row r="196" spans="1:7" ht="21">
      <c r="A196" s="34"/>
      <c r="B196" s="56" t="s">
        <v>926</v>
      </c>
      <c r="C196" s="63">
        <v>528600</v>
      </c>
      <c r="D196" s="56"/>
      <c r="E196" s="63"/>
      <c r="F196" s="63"/>
      <c r="G196" s="64" t="s">
        <v>54</v>
      </c>
    </row>
    <row r="197" spans="1:7" ht="21">
      <c r="A197" s="34"/>
      <c r="B197" s="56" t="s">
        <v>308</v>
      </c>
      <c r="C197" s="63">
        <v>1056000</v>
      </c>
      <c r="D197" s="56"/>
      <c r="E197" s="63"/>
      <c r="F197" s="63"/>
      <c r="G197" s="64" t="s">
        <v>54</v>
      </c>
    </row>
    <row r="198" spans="1:7" ht="21">
      <c r="A198" s="34"/>
      <c r="B198" s="67" t="s">
        <v>927</v>
      </c>
      <c r="C198" s="68">
        <v>121755</v>
      </c>
      <c r="D198" s="67"/>
      <c r="E198" s="68"/>
      <c r="F198" s="68"/>
      <c r="G198" s="69" t="s">
        <v>57</v>
      </c>
    </row>
    <row r="199" spans="1:7" ht="21">
      <c r="A199" s="34"/>
      <c r="B199" s="67" t="s">
        <v>928</v>
      </c>
      <c r="C199" s="68">
        <v>2737262</v>
      </c>
      <c r="D199" s="67"/>
      <c r="E199" s="68"/>
      <c r="F199" s="68"/>
      <c r="G199" s="69" t="s">
        <v>57</v>
      </c>
    </row>
    <row r="200" spans="1:7" ht="21">
      <c r="A200" s="34"/>
      <c r="B200" s="67" t="s">
        <v>929</v>
      </c>
      <c r="C200" s="68">
        <v>1522214</v>
      </c>
      <c r="D200" s="67"/>
      <c r="E200" s="68"/>
      <c r="F200" s="68"/>
      <c r="G200" s="69" t="s">
        <v>57</v>
      </c>
    </row>
    <row r="201" spans="1:7" ht="21">
      <c r="A201" s="34"/>
      <c r="B201" s="67" t="s">
        <v>929</v>
      </c>
      <c r="C201" s="68">
        <v>852735</v>
      </c>
      <c r="D201" s="67"/>
      <c r="E201" s="68"/>
      <c r="F201" s="68"/>
      <c r="G201" s="69" t="s">
        <v>57</v>
      </c>
    </row>
    <row r="202" spans="1:7" ht="21">
      <c r="A202" s="34"/>
      <c r="B202" s="67" t="s">
        <v>929</v>
      </c>
      <c r="C202" s="68">
        <v>182637</v>
      </c>
      <c r="D202" s="67"/>
      <c r="E202" s="68"/>
      <c r="F202" s="68"/>
      <c r="G202" s="69" t="s">
        <v>57</v>
      </c>
    </row>
    <row r="203" spans="1:7" ht="21">
      <c r="A203" s="34"/>
      <c r="B203" s="67" t="s">
        <v>929</v>
      </c>
      <c r="C203" s="68">
        <v>1815240</v>
      </c>
      <c r="D203" s="67"/>
      <c r="E203" s="68"/>
      <c r="F203" s="68"/>
      <c r="G203" s="69" t="s">
        <v>57</v>
      </c>
    </row>
    <row r="204" spans="1:7" ht="21">
      <c r="A204" s="34"/>
      <c r="B204" s="67" t="s">
        <v>929</v>
      </c>
      <c r="C204" s="68">
        <v>1652129</v>
      </c>
      <c r="D204" s="67"/>
      <c r="E204" s="68"/>
      <c r="F204" s="68"/>
      <c r="G204" s="69" t="s">
        <v>57</v>
      </c>
    </row>
    <row r="205" spans="1:7" ht="21">
      <c r="A205" s="34"/>
      <c r="B205" s="67" t="s">
        <v>929</v>
      </c>
      <c r="C205" s="68">
        <v>719176</v>
      </c>
      <c r="D205" s="67"/>
      <c r="E205" s="68"/>
      <c r="F205" s="68"/>
      <c r="G205" s="69" t="s">
        <v>57</v>
      </c>
    </row>
    <row r="206" spans="1:7" ht="21">
      <c r="A206" s="34"/>
      <c r="B206" s="168" t="s">
        <v>135</v>
      </c>
      <c r="C206" s="169">
        <v>67793156</v>
      </c>
      <c r="D206" s="168"/>
      <c r="E206" s="169"/>
      <c r="F206" s="169"/>
      <c r="G206" s="170" t="s">
        <v>60</v>
      </c>
    </row>
    <row r="207" spans="1:7" ht="18.5">
      <c r="B207" s="37"/>
      <c r="C207" s="38">
        <f>SUM(C7:C206)</f>
        <v>8434638975.3769999</v>
      </c>
      <c r="D207" s="4"/>
      <c r="E207" s="38">
        <f>SUM(E8:E206)</f>
        <v>0</v>
      </c>
      <c r="F207" s="38"/>
      <c r="G207" s="4"/>
    </row>
    <row r="210" spans="2:6" ht="19" thickBot="1">
      <c r="B210" s="39" t="s">
        <v>71</v>
      </c>
      <c r="C210" s="39"/>
      <c r="D210" s="39">
        <f>C207+E207</f>
        <v>8434638975.3769999</v>
      </c>
    </row>
    <row r="212" spans="2:6">
      <c r="E212" s="90"/>
      <c r="F212" s="90"/>
    </row>
    <row r="213" spans="2:6" ht="26">
      <c r="B213" s="40" t="s">
        <v>72</v>
      </c>
      <c r="E213" s="90"/>
      <c r="F213" s="90"/>
    </row>
    <row r="214" spans="2:6">
      <c r="E214" s="90"/>
      <c r="F214" s="90"/>
    </row>
    <row r="218" spans="2:6" ht="18.5">
      <c r="B218" s="570" t="s">
        <v>73</v>
      </c>
      <c r="C218" s="571"/>
    </row>
    <row r="220" spans="2:6" ht="18.5">
      <c r="B220" s="41" t="s">
        <v>74</v>
      </c>
      <c r="C220" s="41" t="s">
        <v>51</v>
      </c>
    </row>
    <row r="221" spans="2:6" ht="21">
      <c r="B221" s="42">
        <v>44978</v>
      </c>
      <c r="C221" s="43">
        <v>375069429</v>
      </c>
    </row>
    <row r="222" spans="2:6" ht="21">
      <c r="B222" s="42">
        <v>44979</v>
      </c>
      <c r="C222" s="43">
        <v>10025682</v>
      </c>
      <c r="D222" s="156"/>
    </row>
    <row r="223" spans="2:6" ht="21">
      <c r="B223" s="42">
        <v>44980</v>
      </c>
      <c r="C223" s="43">
        <v>421891567</v>
      </c>
    </row>
    <row r="224" spans="2:6" ht="21">
      <c r="B224" s="42">
        <v>44981</v>
      </c>
      <c r="C224" s="43">
        <v>16737233</v>
      </c>
      <c r="E224" s="156"/>
    </row>
    <row r="225" spans="2:3" ht="21">
      <c r="B225" s="42">
        <v>44984</v>
      </c>
      <c r="C225" s="43">
        <v>436898036</v>
      </c>
    </row>
    <row r="226" spans="2:3" ht="21">
      <c r="B226" s="41" t="s">
        <v>75</v>
      </c>
      <c r="C226" s="43">
        <f>C225+C224+C223+C222+C221</f>
        <v>1260621947</v>
      </c>
    </row>
    <row r="228" spans="2:3">
      <c r="C228" s="44"/>
    </row>
    <row r="229" spans="2:3">
      <c r="C229" s="44"/>
    </row>
    <row r="230" spans="2:3">
      <c r="C230" s="44"/>
    </row>
    <row r="231" spans="2:3">
      <c r="C231" s="44"/>
    </row>
    <row r="232" spans="2:3" ht="21">
      <c r="B232" s="45"/>
      <c r="C232" s="44"/>
    </row>
    <row r="233" spans="2:3" ht="21">
      <c r="B233" s="45"/>
      <c r="C233" s="44"/>
    </row>
    <row r="234" spans="2:3" ht="21">
      <c r="B234" s="45"/>
      <c r="C234" s="44"/>
    </row>
    <row r="235" spans="2:3">
      <c r="C235" s="44"/>
    </row>
    <row r="236" spans="2:3" ht="21">
      <c r="B236" s="45"/>
      <c r="C236" s="44"/>
    </row>
    <row r="237" spans="2:3" ht="21">
      <c r="B237" s="45"/>
      <c r="C237" s="44"/>
    </row>
    <row r="238" spans="2:3" ht="21">
      <c r="B238" s="45"/>
      <c r="C238" s="44"/>
    </row>
    <row r="239" spans="2:3" ht="21">
      <c r="B239" s="45"/>
      <c r="C239" s="44"/>
    </row>
    <row r="240" spans="2:3" ht="21">
      <c r="B240" s="45"/>
      <c r="C240" s="44"/>
    </row>
    <row r="241" spans="2:3" ht="21">
      <c r="B241" s="45"/>
      <c r="C241" s="44"/>
    </row>
    <row r="242" spans="2:3">
      <c r="C242" s="44"/>
    </row>
    <row r="243" spans="2:3">
      <c r="C243" s="44"/>
    </row>
    <row r="244" spans="2:3">
      <c r="C244" s="44"/>
    </row>
    <row r="245" spans="2:3" ht="21">
      <c r="B245" s="45"/>
      <c r="C245" s="44"/>
    </row>
    <row r="246" spans="2:3" ht="21">
      <c r="B246" s="45"/>
      <c r="C246" s="44"/>
    </row>
    <row r="247" spans="2:3">
      <c r="C247" s="44"/>
    </row>
    <row r="248" spans="2:3" ht="21">
      <c r="B248" s="46"/>
    </row>
    <row r="249" spans="2:3" ht="18.5">
      <c r="B249" s="47" t="s">
        <v>76</v>
      </c>
    </row>
    <row r="251" spans="2:3" ht="15.5">
      <c r="B251" s="48"/>
      <c r="C251" s="49"/>
    </row>
    <row r="252" spans="2:3" ht="15.5">
      <c r="B252" s="48"/>
      <c r="C252" s="49"/>
    </row>
    <row r="253" spans="2:3" ht="15.5">
      <c r="B253" s="50" t="s">
        <v>77</v>
      </c>
    </row>
    <row r="254" spans="2:3" ht="21">
      <c r="B254" s="30"/>
      <c r="C254" s="31"/>
    </row>
    <row r="255" spans="2:3" ht="21">
      <c r="B255" s="30"/>
      <c r="C255" s="31"/>
    </row>
    <row r="256" spans="2:3" ht="21">
      <c r="B256" s="30"/>
      <c r="C256" s="31"/>
    </row>
    <row r="257" spans="2:3" ht="21">
      <c r="B257" s="30"/>
      <c r="C257" s="31"/>
    </row>
    <row r="258" spans="2:3" ht="21">
      <c r="B258" s="30"/>
      <c r="C258" s="31"/>
    </row>
    <row r="259" spans="2:3" ht="21">
      <c r="B259" s="30"/>
      <c r="C259" s="31"/>
    </row>
    <row r="260" spans="2:3" ht="21">
      <c r="B260" s="30"/>
      <c r="C260" s="31"/>
    </row>
    <row r="261" spans="2:3" ht="21">
      <c r="B261" s="51"/>
      <c r="C261" s="31"/>
    </row>
    <row r="262" spans="2:3" ht="15.5">
      <c r="B262" s="48" t="s">
        <v>75</v>
      </c>
      <c r="C262" s="49">
        <f>C255+C254</f>
        <v>0</v>
      </c>
    </row>
    <row r="263" spans="2:3" ht="15.5">
      <c r="B263" s="48"/>
      <c r="C263" s="49"/>
    </row>
    <row r="264" spans="2:3" ht="15.5">
      <c r="B264" s="48"/>
      <c r="C264" s="49"/>
    </row>
    <row r="265" spans="2:3" ht="15.5">
      <c r="B265" s="48"/>
      <c r="C265" s="49"/>
    </row>
    <row r="266" spans="2:3" ht="15.5">
      <c r="B266" s="50" t="s">
        <v>78</v>
      </c>
    </row>
    <row r="267" spans="2:3" ht="21">
      <c r="B267" s="30"/>
      <c r="C267" s="31"/>
    </row>
    <row r="268" spans="2:3" ht="21">
      <c r="B268" s="30"/>
      <c r="C268" s="31"/>
    </row>
    <row r="269" spans="2:3" ht="21">
      <c r="B269" s="30"/>
      <c r="C269" s="31"/>
    </row>
    <row r="270" spans="2:3" ht="21">
      <c r="B270" s="30"/>
      <c r="C270" s="31"/>
    </row>
    <row r="271" spans="2:3" ht="21">
      <c r="B271" s="30"/>
      <c r="C271" s="31"/>
    </row>
    <row r="272" spans="2:3" ht="21">
      <c r="B272" s="30"/>
      <c r="C272" s="31"/>
    </row>
    <row r="273" spans="2:3" ht="21">
      <c r="B273" s="30"/>
      <c r="C273" s="31"/>
    </row>
    <row r="274" spans="2:3" ht="21">
      <c r="B274" s="30"/>
      <c r="C274" s="31"/>
    </row>
    <row r="275" spans="2:3" ht="21">
      <c r="B275" s="30"/>
      <c r="C275" s="31"/>
    </row>
    <row r="276" spans="2:3" ht="21">
      <c r="B276" s="30"/>
      <c r="C276" s="31"/>
    </row>
    <row r="277" spans="2:3" ht="21">
      <c r="B277" s="30"/>
      <c r="C277" s="31"/>
    </row>
    <row r="278" spans="2:3" ht="21">
      <c r="B278" s="30"/>
      <c r="C278" s="31"/>
    </row>
    <row r="279" spans="2:3" ht="21">
      <c r="B279" s="30"/>
      <c r="C279" s="31"/>
    </row>
    <row r="280" spans="2:3" ht="21">
      <c r="B280" s="31"/>
      <c r="C280" s="31"/>
    </row>
    <row r="281" spans="2:3" ht="21">
      <c r="B281" s="30"/>
      <c r="C281" s="31"/>
    </row>
    <row r="282" spans="2:3" ht="15.5">
      <c r="B282" s="48" t="s">
        <v>75</v>
      </c>
      <c r="C282" s="49">
        <f>C275+C274+C273+C272+C271+C270+C269+C268+C267</f>
        <v>0</v>
      </c>
    </row>
    <row r="283" spans="2:3" ht="15.5">
      <c r="B283" s="48"/>
      <c r="C283" s="49"/>
    </row>
    <row r="284" spans="2:3" ht="15.5">
      <c r="B284" s="48"/>
      <c r="C284" s="49"/>
    </row>
    <row r="285" spans="2:3" ht="15.5">
      <c r="B285" s="48"/>
      <c r="C285" s="49"/>
    </row>
    <row r="286" spans="2:3" ht="15.5">
      <c r="B286" s="50" t="s">
        <v>79</v>
      </c>
    </row>
    <row r="287" spans="2:3" ht="21">
      <c r="B287" s="30"/>
      <c r="C287" s="31"/>
    </row>
    <row r="288" spans="2:3" ht="21">
      <c r="B288" s="30"/>
      <c r="C288" s="31"/>
    </row>
    <row r="289" spans="2:3" ht="21">
      <c r="B289" s="30"/>
      <c r="C289" s="31"/>
    </row>
    <row r="290" spans="2:3" ht="21">
      <c r="B290" s="30"/>
      <c r="C290" s="31"/>
    </row>
    <row r="291" spans="2:3" ht="21">
      <c r="B291" s="30"/>
      <c r="C291" s="31"/>
    </row>
    <row r="292" spans="2:3" ht="21">
      <c r="B292" s="30"/>
      <c r="C292" s="31"/>
    </row>
    <row r="293" spans="2:3" ht="21">
      <c r="B293" s="30"/>
      <c r="C293" s="31"/>
    </row>
    <row r="294" spans="2:3" ht="21">
      <c r="B294" s="30"/>
      <c r="C294" s="31"/>
    </row>
    <row r="295" spans="2:3" ht="21">
      <c r="B295" s="30"/>
      <c r="C295" s="31"/>
    </row>
    <row r="296" spans="2:3" ht="15.5">
      <c r="B296" s="48" t="s">
        <v>75</v>
      </c>
      <c r="C296" s="49">
        <f>C293+C292+C291+C290+C289+C288+C287</f>
        <v>0</v>
      </c>
    </row>
    <row r="297" spans="2:3" ht="15.5">
      <c r="B297" s="48"/>
      <c r="C297" s="49"/>
    </row>
    <row r="298" spans="2:3" ht="15.5">
      <c r="B298" s="48"/>
      <c r="C298" s="49"/>
    </row>
    <row r="299" spans="2:3" ht="15.5">
      <c r="B299" s="48"/>
      <c r="C299" s="49"/>
    </row>
    <row r="300" spans="2:3">
      <c r="C300" s="44"/>
    </row>
    <row r="301" spans="2:3" ht="15.5">
      <c r="B301" s="50" t="s">
        <v>80</v>
      </c>
    </row>
    <row r="302" spans="2:3" ht="21">
      <c r="B302" s="30"/>
      <c r="C302" s="31"/>
    </row>
    <row r="303" spans="2:3" ht="21">
      <c r="B303" s="30"/>
      <c r="C303" s="31"/>
    </row>
    <row r="304" spans="2:3" ht="21">
      <c r="B304" s="30"/>
      <c r="C304" s="31"/>
    </row>
    <row r="305" spans="2:3" ht="21">
      <c r="B305" s="30"/>
      <c r="C305" s="31"/>
    </row>
    <row r="306" spans="2:3" ht="21">
      <c r="B306" s="30"/>
      <c r="C306" s="31"/>
    </row>
    <row r="307" spans="2:3" ht="21">
      <c r="B307" s="30"/>
      <c r="C307" s="31"/>
    </row>
    <row r="308" spans="2:3" ht="21">
      <c r="B308" s="30"/>
      <c r="C308" s="31"/>
    </row>
    <row r="309" spans="2:3" ht="21">
      <c r="B309" s="30"/>
      <c r="C309" s="31"/>
    </row>
    <row r="310" spans="2:3" ht="21">
      <c r="B310" s="30"/>
      <c r="C310" s="31"/>
    </row>
    <row r="311" spans="2:3" ht="21">
      <c r="B311" s="30"/>
      <c r="C311" s="31"/>
    </row>
    <row r="312" spans="2:3" ht="21">
      <c r="B312" s="30"/>
      <c r="C312" s="31"/>
    </row>
    <row r="313" spans="2:3" ht="21">
      <c r="B313" s="30"/>
      <c r="C313" s="31"/>
    </row>
    <row r="314" spans="2:3" ht="21">
      <c r="B314" s="30"/>
      <c r="C314" s="31"/>
    </row>
    <row r="315" spans="2:3" ht="21">
      <c r="B315" s="30"/>
      <c r="C315" s="31"/>
    </row>
    <row r="316" spans="2:3" ht="21">
      <c r="B316" s="30"/>
      <c r="C316" s="31"/>
    </row>
    <row r="317" spans="2:3" ht="21">
      <c r="B317" s="30"/>
      <c r="C317" s="31"/>
    </row>
    <row r="318" spans="2:3" ht="21">
      <c r="B318" s="30"/>
      <c r="C318" s="31"/>
    </row>
    <row r="319" spans="2:3" ht="21">
      <c r="B319" s="30"/>
      <c r="C319" s="31"/>
    </row>
    <row r="320" spans="2:3" ht="21">
      <c r="B320" s="30"/>
      <c r="C320" s="31"/>
    </row>
    <row r="321" spans="2:3" ht="21">
      <c r="B321" s="30"/>
      <c r="C321" s="31"/>
    </row>
    <row r="322" spans="2:3" ht="21">
      <c r="B322" s="30"/>
      <c r="C322" s="31"/>
    </row>
    <row r="323" spans="2:3" ht="21">
      <c r="B323" s="30"/>
      <c r="C323" s="31"/>
    </row>
    <row r="324" spans="2:3" ht="21">
      <c r="B324" s="30"/>
      <c r="C324" s="31"/>
    </row>
    <row r="325" spans="2:3" ht="21">
      <c r="B325" s="30"/>
      <c r="C325" s="31"/>
    </row>
    <row r="326" spans="2:3" ht="21">
      <c r="B326" s="30"/>
      <c r="C326" s="31"/>
    </row>
    <row r="327" spans="2:3" ht="21">
      <c r="B327" s="30"/>
      <c r="C327" s="31"/>
    </row>
    <row r="328" spans="2:3" ht="21">
      <c r="B328" s="30"/>
      <c r="C328" s="31"/>
    </row>
    <row r="329" spans="2:3" ht="21">
      <c r="B329" s="30"/>
      <c r="C329" s="31"/>
    </row>
    <row r="330" spans="2:3" ht="21">
      <c r="B330" s="30"/>
      <c r="C330" s="31"/>
    </row>
    <row r="331" spans="2:3" ht="21">
      <c r="B331" s="30"/>
      <c r="C331" s="31"/>
    </row>
    <row r="332" spans="2:3" ht="21">
      <c r="B332" s="30"/>
      <c r="C332" s="31"/>
    </row>
    <row r="333" spans="2:3" ht="21">
      <c r="B333" s="30"/>
      <c r="C333" s="31"/>
    </row>
    <row r="334" spans="2:3" ht="21">
      <c r="B334" s="30"/>
      <c r="C334" s="31"/>
    </row>
    <row r="335" spans="2:3" ht="21">
      <c r="B335" s="30"/>
      <c r="C335" s="31"/>
    </row>
    <row r="336" spans="2:3" ht="21">
      <c r="B336" s="30"/>
      <c r="C336" s="31"/>
    </row>
    <row r="337" spans="2:3" ht="21">
      <c r="B337" s="30"/>
      <c r="C337" s="31"/>
    </row>
    <row r="338" spans="2:3" ht="21">
      <c r="B338" s="30"/>
      <c r="C338" s="31"/>
    </row>
    <row r="339" spans="2:3" ht="21">
      <c r="B339" s="30"/>
      <c r="C339" s="31"/>
    </row>
    <row r="340" spans="2:3" ht="21">
      <c r="B340" s="30"/>
      <c r="C340" s="31"/>
    </row>
    <row r="341" spans="2:3" ht="21">
      <c r="B341" s="30"/>
      <c r="C341" s="31"/>
    </row>
    <row r="342" spans="2:3" ht="21">
      <c r="B342" s="30"/>
      <c r="C342" s="31"/>
    </row>
    <row r="343" spans="2:3" ht="21">
      <c r="B343" s="30"/>
      <c r="C343" s="31"/>
    </row>
    <row r="344" spans="2:3" ht="21">
      <c r="B344" s="30"/>
      <c r="C344" s="31"/>
    </row>
    <row r="345" spans="2:3" ht="21">
      <c r="B345" s="30"/>
      <c r="C345" s="31"/>
    </row>
    <row r="346" spans="2:3" ht="21">
      <c r="B346" s="30"/>
      <c r="C346" s="31"/>
    </row>
    <row r="347" spans="2:3" ht="21">
      <c r="B347" s="30"/>
      <c r="C347" s="31"/>
    </row>
    <row r="348" spans="2:3" ht="21">
      <c r="B348" s="30"/>
      <c r="C348" s="31"/>
    </row>
    <row r="349" spans="2:3" ht="21">
      <c r="B349" s="30"/>
      <c r="C349" s="31"/>
    </row>
    <row r="350" spans="2:3" ht="21">
      <c r="B350" s="30"/>
      <c r="C350" s="31"/>
    </row>
    <row r="351" spans="2:3" ht="21">
      <c r="B351" s="30"/>
      <c r="C351" s="31"/>
    </row>
    <row r="352" spans="2:3" ht="21">
      <c r="B352" s="30"/>
      <c r="C352" s="31"/>
    </row>
    <row r="353" spans="2:3" ht="21">
      <c r="B353" s="53"/>
      <c r="C353" s="43"/>
    </row>
    <row r="354" spans="2:3" ht="15.5">
      <c r="B354" s="54" t="s">
        <v>75</v>
      </c>
      <c r="C354" s="49">
        <f>SUM(C302:C353)</f>
        <v>0</v>
      </c>
    </row>
    <row r="355" spans="2:3">
      <c r="C355" s="44"/>
    </row>
    <row r="356" spans="2:3">
      <c r="C356" s="44"/>
    </row>
    <row r="359" spans="2:3">
      <c r="C359">
        <f>SUBTOTAL(9,C9:C356)</f>
        <v>19390521844.753998</v>
      </c>
    </row>
  </sheetData>
  <autoFilter ref="B4:B356"/>
  <mergeCells count="4">
    <mergeCell ref="B4:C4"/>
    <mergeCell ref="C6:D6"/>
    <mergeCell ref="G6:G7"/>
    <mergeCell ref="B218:C218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G374"/>
  <sheetViews>
    <sheetView workbookViewId="0">
      <selection activeCell="C42" sqref="C42:C230"/>
    </sheetView>
  </sheetViews>
  <sheetFormatPr baseColWidth="10" defaultRowHeight="14.5"/>
  <cols>
    <col min="2" max="2" width="68.08984375" customWidth="1"/>
    <col min="3" max="3" width="23" bestFit="1" customWidth="1"/>
    <col min="4" max="4" width="21.90625" customWidth="1"/>
    <col min="5" max="5" width="27.36328125" customWidth="1"/>
    <col min="6" max="6" width="22.54296875" customWidth="1"/>
  </cols>
  <sheetData>
    <row r="3" spans="1:7" ht="26">
      <c r="B3" s="564" t="s">
        <v>743</v>
      </c>
      <c r="C3" s="564"/>
    </row>
    <row r="4" spans="1:7" hidden="1"/>
    <row r="5" spans="1:7" ht="20" hidden="1">
      <c r="B5" s="23" t="s">
        <v>744</v>
      </c>
      <c r="C5" s="565" t="s">
        <v>46</v>
      </c>
      <c r="D5" s="566"/>
      <c r="E5" s="24" t="s">
        <v>47</v>
      </c>
      <c r="F5" s="23"/>
      <c r="G5" s="568" t="s">
        <v>48</v>
      </c>
    </row>
    <row r="6" spans="1:7" ht="30.5" hidden="1">
      <c r="B6" s="23"/>
      <c r="C6" s="25" t="s">
        <v>49</v>
      </c>
      <c r="D6" s="26" t="s">
        <v>50</v>
      </c>
      <c r="E6" s="27" t="s">
        <v>51</v>
      </c>
      <c r="F6" s="28" t="s">
        <v>52</v>
      </c>
      <c r="G6" s="569"/>
    </row>
    <row r="7" spans="1:7" ht="21" hidden="1">
      <c r="A7" s="34"/>
      <c r="B7" s="30"/>
      <c r="C7" s="31"/>
      <c r="D7" s="30"/>
      <c r="E7" s="31"/>
      <c r="F7" s="31"/>
      <c r="G7" s="32"/>
    </row>
    <row r="8" spans="1:7" ht="21" hidden="1">
      <c r="A8" s="34">
        <v>44928</v>
      </c>
      <c r="B8" s="56" t="s">
        <v>745</v>
      </c>
      <c r="C8" s="63">
        <v>18121219</v>
      </c>
      <c r="D8" s="56"/>
      <c r="E8" s="63"/>
      <c r="F8" s="63"/>
      <c r="G8" s="64" t="s">
        <v>54</v>
      </c>
    </row>
    <row r="9" spans="1:7" ht="21" hidden="1">
      <c r="A9" s="34"/>
      <c r="B9" s="56" t="s">
        <v>746</v>
      </c>
      <c r="C9" s="63">
        <v>10442908</v>
      </c>
      <c r="D9" s="56"/>
      <c r="E9" s="63"/>
      <c r="F9" s="63"/>
      <c r="G9" s="64" t="s">
        <v>54</v>
      </c>
    </row>
    <row r="10" spans="1:7" ht="21" hidden="1">
      <c r="A10" s="34"/>
      <c r="B10" s="56" t="s">
        <v>587</v>
      </c>
      <c r="C10" s="63">
        <v>370000</v>
      </c>
      <c r="D10" s="56"/>
      <c r="E10" s="63"/>
      <c r="F10" s="63"/>
      <c r="G10" s="64" t="s">
        <v>57</v>
      </c>
    </row>
    <row r="11" spans="1:7" ht="21" hidden="1">
      <c r="A11" s="34"/>
      <c r="B11" s="56" t="s">
        <v>747</v>
      </c>
      <c r="C11" s="63">
        <v>1590000</v>
      </c>
      <c r="D11" s="56"/>
      <c r="E11" s="63"/>
      <c r="F11" s="63"/>
      <c r="G11" s="64" t="s">
        <v>57</v>
      </c>
    </row>
    <row r="12" spans="1:7" ht="21" hidden="1">
      <c r="A12" s="34"/>
      <c r="B12" s="56" t="s">
        <v>748</v>
      </c>
      <c r="C12" s="63">
        <v>600000</v>
      </c>
      <c r="D12" s="56"/>
      <c r="E12" s="63"/>
      <c r="F12" s="63"/>
      <c r="G12" s="64" t="s">
        <v>57</v>
      </c>
    </row>
    <row r="13" spans="1:7" ht="21" hidden="1">
      <c r="A13" s="34"/>
      <c r="B13" s="56" t="s">
        <v>738</v>
      </c>
      <c r="C13" s="63">
        <v>3918780</v>
      </c>
      <c r="D13" s="56"/>
      <c r="E13" s="63"/>
      <c r="F13" s="63"/>
      <c r="G13" s="64" t="s">
        <v>57</v>
      </c>
    </row>
    <row r="14" spans="1:7" ht="21" hidden="1">
      <c r="A14" s="34"/>
      <c r="B14" s="56" t="s">
        <v>749</v>
      </c>
      <c r="C14" s="63">
        <v>358900</v>
      </c>
      <c r="D14" s="56"/>
      <c r="E14" s="63"/>
      <c r="F14" s="63"/>
      <c r="G14" s="64" t="s">
        <v>57</v>
      </c>
    </row>
    <row r="15" spans="1:7" ht="21" hidden="1">
      <c r="A15" s="34"/>
      <c r="B15" s="56" t="s">
        <v>736</v>
      </c>
      <c r="C15" s="63">
        <v>421665</v>
      </c>
      <c r="D15" s="56"/>
      <c r="E15" s="63"/>
      <c r="F15" s="63"/>
      <c r="G15" s="64" t="s">
        <v>57</v>
      </c>
    </row>
    <row r="16" spans="1:7" ht="21" hidden="1">
      <c r="A16" s="34"/>
      <c r="B16" s="56" t="s">
        <v>750</v>
      </c>
      <c r="C16" s="63">
        <v>10654143</v>
      </c>
      <c r="D16" s="56"/>
      <c r="E16" s="63"/>
      <c r="F16" s="63"/>
      <c r="G16" s="64" t="s">
        <v>57</v>
      </c>
    </row>
    <row r="17" spans="1:7" ht="21" hidden="1">
      <c r="A17" s="34"/>
      <c r="B17" s="56" t="s">
        <v>250</v>
      </c>
      <c r="C17" s="63">
        <v>76733694</v>
      </c>
      <c r="D17" s="56"/>
      <c r="E17" s="63"/>
      <c r="F17" s="63"/>
      <c r="G17" s="64" t="s">
        <v>154</v>
      </c>
    </row>
    <row r="18" spans="1:7" ht="21" hidden="1">
      <c r="A18" s="34"/>
      <c r="B18" s="56" t="s">
        <v>61</v>
      </c>
      <c r="C18" s="63">
        <v>288980608</v>
      </c>
      <c r="D18" s="56"/>
      <c r="E18" s="63"/>
      <c r="F18" s="63"/>
      <c r="G18" s="64" t="s">
        <v>154</v>
      </c>
    </row>
    <row r="19" spans="1:7" ht="21" hidden="1">
      <c r="A19" s="34"/>
      <c r="B19" s="165" t="s">
        <v>719</v>
      </c>
      <c r="C19" s="166">
        <v>500000</v>
      </c>
      <c r="D19" s="165"/>
      <c r="E19" s="166"/>
      <c r="F19" s="166"/>
      <c r="G19" s="167" t="s">
        <v>56</v>
      </c>
    </row>
    <row r="20" spans="1:7" ht="21" hidden="1">
      <c r="A20" s="34"/>
      <c r="B20" s="56" t="s">
        <v>751</v>
      </c>
      <c r="C20" s="63">
        <v>5000000</v>
      </c>
      <c r="D20" s="56"/>
      <c r="E20" s="63"/>
      <c r="F20" s="63"/>
      <c r="G20" s="64" t="s">
        <v>56</v>
      </c>
    </row>
    <row r="21" spans="1:7" ht="21" hidden="1">
      <c r="A21" s="34"/>
      <c r="B21" s="56" t="s">
        <v>733</v>
      </c>
      <c r="C21" s="63">
        <v>10000000</v>
      </c>
      <c r="D21" s="56"/>
      <c r="E21" s="63"/>
      <c r="F21" s="63"/>
      <c r="G21" s="64" t="s">
        <v>56</v>
      </c>
    </row>
    <row r="22" spans="1:7" ht="21" hidden="1">
      <c r="A22" s="34">
        <v>44929</v>
      </c>
      <c r="B22" s="56" t="s">
        <v>529</v>
      </c>
      <c r="C22" s="63">
        <v>600000</v>
      </c>
      <c r="D22" s="56"/>
      <c r="E22" s="63"/>
      <c r="F22" s="63"/>
      <c r="G22" s="64" t="s">
        <v>60</v>
      </c>
    </row>
    <row r="23" spans="1:7" ht="21" hidden="1">
      <c r="A23" s="34"/>
      <c r="B23" s="56" t="s">
        <v>61</v>
      </c>
      <c r="C23" s="63">
        <v>342630</v>
      </c>
      <c r="D23" s="56"/>
      <c r="E23" s="63"/>
      <c r="F23" s="63"/>
      <c r="G23" s="64" t="s">
        <v>154</v>
      </c>
    </row>
    <row r="24" spans="1:7" ht="21" hidden="1">
      <c r="A24" s="34"/>
      <c r="B24" s="165" t="s">
        <v>298</v>
      </c>
      <c r="C24" s="166">
        <v>20573700</v>
      </c>
      <c r="D24" s="165"/>
      <c r="E24" s="166"/>
      <c r="F24" s="166"/>
      <c r="G24" s="167" t="s">
        <v>56</v>
      </c>
    </row>
    <row r="25" spans="1:7" ht="21" hidden="1">
      <c r="A25" s="34"/>
      <c r="B25" s="56" t="s">
        <v>528</v>
      </c>
      <c r="C25" s="63">
        <v>20731858</v>
      </c>
      <c r="D25" s="56"/>
      <c r="E25" s="63"/>
      <c r="F25" s="63"/>
      <c r="G25" s="64" t="s">
        <v>56</v>
      </c>
    </row>
    <row r="26" spans="1:7" ht="21" hidden="1">
      <c r="A26" s="34"/>
      <c r="B26" s="56" t="s">
        <v>89</v>
      </c>
      <c r="C26" s="63">
        <v>21673234</v>
      </c>
      <c r="D26" s="56"/>
      <c r="E26" s="63"/>
      <c r="F26" s="63"/>
      <c r="G26" s="64" t="s">
        <v>64</v>
      </c>
    </row>
    <row r="27" spans="1:7" ht="21" hidden="1">
      <c r="A27" s="34">
        <v>44930</v>
      </c>
      <c r="B27" s="30" t="s">
        <v>331</v>
      </c>
      <c r="C27" s="31">
        <v>35216631</v>
      </c>
      <c r="D27" s="31"/>
      <c r="E27" s="31"/>
      <c r="F27" s="31"/>
      <c r="G27" s="32" t="s">
        <v>58</v>
      </c>
    </row>
    <row r="28" spans="1:7" ht="21" hidden="1">
      <c r="A28" s="34"/>
      <c r="B28" s="56" t="s">
        <v>752</v>
      </c>
      <c r="C28" s="63">
        <v>130678350</v>
      </c>
      <c r="D28" s="56"/>
      <c r="E28" s="63"/>
      <c r="F28" s="63"/>
      <c r="G28" s="64" t="s">
        <v>60</v>
      </c>
    </row>
    <row r="29" spans="1:7" ht="21" hidden="1">
      <c r="A29" s="34"/>
      <c r="B29" s="33" t="s">
        <v>565</v>
      </c>
      <c r="C29" s="77">
        <v>2376000</v>
      </c>
      <c r="D29" s="33"/>
      <c r="E29" s="77"/>
      <c r="F29" s="77"/>
      <c r="G29" s="79" t="s">
        <v>57</v>
      </c>
    </row>
    <row r="30" spans="1:7" ht="21" hidden="1">
      <c r="A30" s="34"/>
      <c r="B30" s="56" t="s">
        <v>753</v>
      </c>
      <c r="C30" s="63">
        <v>476550</v>
      </c>
      <c r="D30" s="56"/>
      <c r="E30" s="63"/>
      <c r="F30" s="63"/>
      <c r="G30" s="64" t="s">
        <v>57</v>
      </c>
    </row>
    <row r="31" spans="1:7" ht="21" hidden="1">
      <c r="A31" s="34"/>
      <c r="B31" s="56" t="s">
        <v>753</v>
      </c>
      <c r="C31" s="63">
        <v>982000</v>
      </c>
      <c r="D31" s="56"/>
      <c r="E31" s="63"/>
      <c r="F31" s="63"/>
      <c r="G31" s="64" t="s">
        <v>57</v>
      </c>
    </row>
    <row r="32" spans="1:7" ht="21" hidden="1">
      <c r="A32" s="34"/>
      <c r="B32" s="56" t="s">
        <v>69</v>
      </c>
      <c r="C32" s="63">
        <v>115000</v>
      </c>
      <c r="D32" s="56"/>
      <c r="E32" s="63"/>
      <c r="F32" s="63"/>
      <c r="G32" s="64" t="s">
        <v>57</v>
      </c>
    </row>
    <row r="33" spans="1:7" ht="21" hidden="1">
      <c r="A33" s="34"/>
      <c r="B33" s="56" t="s">
        <v>69</v>
      </c>
      <c r="C33" s="63">
        <v>345000</v>
      </c>
      <c r="D33" s="56"/>
      <c r="E33" s="63"/>
      <c r="F33" s="63"/>
      <c r="G33" s="64" t="s">
        <v>57</v>
      </c>
    </row>
    <row r="34" spans="1:7" ht="21" hidden="1">
      <c r="A34" s="34"/>
      <c r="B34" s="56" t="s">
        <v>271</v>
      </c>
      <c r="C34" s="63">
        <v>832591</v>
      </c>
      <c r="D34" s="56"/>
      <c r="E34" s="63"/>
      <c r="F34" s="63"/>
      <c r="G34" s="64" t="s">
        <v>57</v>
      </c>
    </row>
    <row r="35" spans="1:7" ht="21" hidden="1">
      <c r="A35" s="34"/>
      <c r="B35" s="56" t="s">
        <v>656</v>
      </c>
      <c r="C35" s="63">
        <v>813419</v>
      </c>
      <c r="D35" s="56"/>
      <c r="E35" s="63"/>
      <c r="F35" s="63"/>
      <c r="G35" s="64" t="s">
        <v>56</v>
      </c>
    </row>
    <row r="36" spans="1:7" ht="21" hidden="1">
      <c r="A36" s="34"/>
      <c r="B36" s="56" t="s">
        <v>586</v>
      </c>
      <c r="C36" s="63">
        <v>929042</v>
      </c>
      <c r="D36" s="56"/>
      <c r="E36" s="63"/>
      <c r="F36" s="63"/>
      <c r="G36" s="64" t="s">
        <v>56</v>
      </c>
    </row>
    <row r="37" spans="1:7" ht="21" hidden="1">
      <c r="A37" s="34"/>
      <c r="B37" s="33" t="s">
        <v>754</v>
      </c>
      <c r="C37" s="77">
        <v>18776789</v>
      </c>
      <c r="D37" s="33"/>
      <c r="E37" s="77"/>
      <c r="F37" s="77"/>
      <c r="G37" s="79" t="s">
        <v>56</v>
      </c>
    </row>
    <row r="38" spans="1:7" ht="21" hidden="1">
      <c r="A38" s="34"/>
      <c r="B38" s="56" t="s">
        <v>755</v>
      </c>
      <c r="C38" s="63">
        <v>450000</v>
      </c>
      <c r="D38" s="56"/>
      <c r="E38" s="63"/>
      <c r="F38" s="63"/>
      <c r="G38" s="64" t="s">
        <v>56</v>
      </c>
    </row>
    <row r="39" spans="1:7" ht="21" hidden="1">
      <c r="A39" s="34"/>
      <c r="B39" s="56" t="s">
        <v>244</v>
      </c>
      <c r="C39" s="63">
        <v>11140041</v>
      </c>
      <c r="D39" s="56"/>
      <c r="E39" s="63"/>
      <c r="F39" s="63"/>
      <c r="G39" s="64" t="s">
        <v>54</v>
      </c>
    </row>
    <row r="40" spans="1:7" ht="21" hidden="1">
      <c r="A40" s="34"/>
      <c r="B40" s="56" t="s">
        <v>271</v>
      </c>
      <c r="C40" s="63">
        <v>2779426</v>
      </c>
      <c r="D40" s="56"/>
      <c r="E40" s="63"/>
      <c r="F40" s="63"/>
      <c r="G40" s="64" t="s">
        <v>53</v>
      </c>
    </row>
    <row r="41" spans="1:7" ht="21" hidden="1">
      <c r="A41" s="34"/>
      <c r="B41" s="56" t="s">
        <v>271</v>
      </c>
      <c r="C41" s="63">
        <v>1149703</v>
      </c>
      <c r="D41" s="56"/>
      <c r="E41" s="63"/>
      <c r="F41" s="63"/>
      <c r="G41" s="64" t="s">
        <v>53</v>
      </c>
    </row>
    <row r="42" spans="1:7" ht="21">
      <c r="A42" s="34"/>
      <c r="B42" s="67" t="s">
        <v>756</v>
      </c>
      <c r="C42" s="68">
        <v>1490400</v>
      </c>
      <c r="D42" s="67"/>
      <c r="E42" s="68"/>
      <c r="F42" s="68"/>
      <c r="G42" s="69" t="s">
        <v>53</v>
      </c>
    </row>
    <row r="43" spans="1:7" ht="21" hidden="1">
      <c r="A43" s="34">
        <v>44931</v>
      </c>
      <c r="B43" s="33" t="s">
        <v>757</v>
      </c>
      <c r="C43" s="77">
        <v>32092697</v>
      </c>
      <c r="D43" s="33"/>
      <c r="E43" s="77"/>
      <c r="F43" s="77"/>
      <c r="G43" s="79" t="s">
        <v>60</v>
      </c>
    </row>
    <row r="44" spans="1:7" ht="21">
      <c r="A44" s="34"/>
      <c r="B44" s="67" t="s">
        <v>758</v>
      </c>
      <c r="C44" s="68">
        <v>1735159</v>
      </c>
      <c r="D44" s="67"/>
      <c r="E44" s="68"/>
      <c r="F44" s="68"/>
      <c r="G44" s="69" t="s">
        <v>57</v>
      </c>
    </row>
    <row r="45" spans="1:7" ht="21">
      <c r="A45" s="34"/>
      <c r="B45" s="67" t="s">
        <v>759</v>
      </c>
      <c r="C45" s="68">
        <v>710015</v>
      </c>
      <c r="D45" s="67"/>
      <c r="E45" s="68"/>
      <c r="F45" s="68"/>
      <c r="G45" s="69" t="s">
        <v>57</v>
      </c>
    </row>
    <row r="46" spans="1:7" ht="21">
      <c r="A46" s="34"/>
      <c r="B46" s="67" t="s">
        <v>759</v>
      </c>
      <c r="C46" s="68">
        <v>990318</v>
      </c>
      <c r="D46" s="67"/>
      <c r="E46" s="68"/>
      <c r="F46" s="68"/>
      <c r="G46" s="69" t="s">
        <v>57</v>
      </c>
    </row>
    <row r="47" spans="1:7" ht="21">
      <c r="A47" s="34"/>
      <c r="B47" s="67" t="s">
        <v>760</v>
      </c>
      <c r="C47" s="68">
        <v>7843207</v>
      </c>
      <c r="D47" s="67"/>
      <c r="E47" s="68"/>
      <c r="F47" s="68"/>
      <c r="G47" s="69" t="s">
        <v>57</v>
      </c>
    </row>
    <row r="48" spans="1:7" ht="21">
      <c r="A48" s="34"/>
      <c r="B48" s="67" t="s">
        <v>761</v>
      </c>
      <c r="C48" s="68">
        <v>35607157</v>
      </c>
      <c r="D48" s="67"/>
      <c r="E48" s="68"/>
      <c r="F48" s="68"/>
      <c r="G48" s="69" t="s">
        <v>57</v>
      </c>
    </row>
    <row r="49" spans="1:7" ht="21" hidden="1">
      <c r="A49" s="34"/>
      <c r="B49" s="56" t="s">
        <v>762</v>
      </c>
      <c r="C49" s="63">
        <v>426000</v>
      </c>
      <c r="D49" s="56"/>
      <c r="E49" s="63"/>
      <c r="F49" s="63"/>
      <c r="G49" s="64" t="s">
        <v>57</v>
      </c>
    </row>
    <row r="50" spans="1:7" ht="21" hidden="1">
      <c r="A50" s="34"/>
      <c r="B50" s="56" t="s">
        <v>763</v>
      </c>
      <c r="C50" s="63">
        <v>145500</v>
      </c>
      <c r="D50" s="56"/>
      <c r="E50" s="63"/>
      <c r="F50" s="63"/>
      <c r="G50" s="64" t="s">
        <v>57</v>
      </c>
    </row>
    <row r="51" spans="1:7" ht="21" hidden="1">
      <c r="A51" s="34"/>
      <c r="B51" s="56" t="s">
        <v>764</v>
      </c>
      <c r="C51" s="63">
        <v>95400</v>
      </c>
      <c r="D51" s="56"/>
      <c r="E51" s="63"/>
      <c r="F51" s="63"/>
      <c r="G51" s="64" t="s">
        <v>57</v>
      </c>
    </row>
    <row r="52" spans="1:7" ht="21" hidden="1">
      <c r="A52" s="34"/>
      <c r="B52" s="56" t="s">
        <v>765</v>
      </c>
      <c r="C52" s="63">
        <v>396000</v>
      </c>
      <c r="D52" s="56"/>
      <c r="E52" s="63"/>
      <c r="F52" s="63"/>
      <c r="G52" s="64" t="s">
        <v>56</v>
      </c>
    </row>
    <row r="53" spans="1:7" ht="21" hidden="1">
      <c r="A53" s="34"/>
      <c r="B53" s="56" t="s">
        <v>766</v>
      </c>
      <c r="C53" s="63">
        <v>528000</v>
      </c>
      <c r="D53" s="56"/>
      <c r="E53" s="63"/>
      <c r="F53" s="63"/>
      <c r="G53" s="64" t="s">
        <v>56</v>
      </c>
    </row>
    <row r="54" spans="1:7" ht="21" hidden="1">
      <c r="A54" s="34"/>
      <c r="B54" s="56" t="s">
        <v>767</v>
      </c>
      <c r="C54" s="63">
        <v>580800</v>
      </c>
      <c r="D54" s="56"/>
      <c r="E54" s="63"/>
      <c r="F54" s="63"/>
      <c r="G54" s="64" t="s">
        <v>56</v>
      </c>
    </row>
    <row r="55" spans="1:7" ht="21" hidden="1">
      <c r="A55" s="34"/>
      <c r="B55" s="56" t="s">
        <v>768</v>
      </c>
      <c r="C55" s="63">
        <v>588000</v>
      </c>
      <c r="D55" s="56"/>
      <c r="E55" s="63"/>
      <c r="F55" s="63"/>
      <c r="G55" s="64" t="s">
        <v>56</v>
      </c>
    </row>
    <row r="56" spans="1:7" ht="21" hidden="1">
      <c r="A56" s="34"/>
      <c r="B56" s="56" t="s">
        <v>769</v>
      </c>
      <c r="C56" s="63">
        <v>713998</v>
      </c>
      <c r="D56" s="56"/>
      <c r="E56" s="63"/>
      <c r="F56" s="63"/>
      <c r="G56" s="64" t="s">
        <v>56</v>
      </c>
    </row>
    <row r="57" spans="1:7" ht="21" hidden="1">
      <c r="A57" s="34"/>
      <c r="B57" s="56" t="s">
        <v>735</v>
      </c>
      <c r="C57" s="63">
        <v>10654143</v>
      </c>
      <c r="D57" s="56"/>
      <c r="E57" s="63"/>
      <c r="F57" s="63"/>
      <c r="G57" s="64" t="s">
        <v>56</v>
      </c>
    </row>
    <row r="58" spans="1:7" ht="21" hidden="1">
      <c r="A58" s="34"/>
      <c r="B58" s="56" t="s">
        <v>586</v>
      </c>
      <c r="C58" s="63">
        <v>28364105</v>
      </c>
      <c r="D58" s="56"/>
      <c r="E58" s="63"/>
      <c r="F58" s="63"/>
      <c r="G58" s="64" t="s">
        <v>53</v>
      </c>
    </row>
    <row r="59" spans="1:7" ht="21" hidden="1">
      <c r="A59" s="34">
        <v>44932</v>
      </c>
      <c r="B59" s="56" t="s">
        <v>770</v>
      </c>
      <c r="C59" s="63">
        <v>580800</v>
      </c>
      <c r="D59" s="63"/>
      <c r="E59" s="63"/>
      <c r="F59" s="63"/>
      <c r="G59" s="64" t="s">
        <v>58</v>
      </c>
    </row>
    <row r="60" spans="1:7" ht="21" hidden="1">
      <c r="A60" s="34"/>
      <c r="B60" s="56" t="s">
        <v>771</v>
      </c>
      <c r="C60" s="63">
        <v>600000</v>
      </c>
      <c r="D60" s="63"/>
      <c r="E60" s="63"/>
      <c r="F60" s="63"/>
      <c r="G60" s="64" t="s">
        <v>58</v>
      </c>
    </row>
    <row r="61" spans="1:7" ht="21" hidden="1">
      <c r="A61" s="34"/>
      <c r="B61" s="56" t="s">
        <v>772</v>
      </c>
      <c r="C61" s="63">
        <v>5561400</v>
      </c>
      <c r="D61" s="63"/>
      <c r="E61" s="63"/>
      <c r="F61" s="63"/>
      <c r="G61" s="64" t="s">
        <v>58</v>
      </c>
    </row>
    <row r="62" spans="1:7" ht="21" hidden="1">
      <c r="A62" s="34"/>
      <c r="B62" s="56" t="s">
        <v>61</v>
      </c>
      <c r="C62" s="63">
        <v>150000000</v>
      </c>
      <c r="D62" s="56"/>
      <c r="E62" s="63"/>
      <c r="F62" s="63"/>
      <c r="G62" s="64" t="s">
        <v>154</v>
      </c>
    </row>
    <row r="63" spans="1:7" ht="21" hidden="1">
      <c r="A63" s="34"/>
      <c r="B63" s="56" t="s">
        <v>773</v>
      </c>
      <c r="C63" s="63">
        <v>792000</v>
      </c>
      <c r="D63" s="56"/>
      <c r="E63" s="63"/>
      <c r="F63" s="63"/>
      <c r="G63" s="64" t="s">
        <v>57</v>
      </c>
    </row>
    <row r="64" spans="1:7" ht="21" hidden="1">
      <c r="A64" s="34"/>
      <c r="B64" s="56" t="s">
        <v>164</v>
      </c>
      <c r="C64" s="63">
        <v>660000</v>
      </c>
      <c r="D64" s="56"/>
      <c r="E64" s="63"/>
      <c r="F64" s="63"/>
      <c r="G64" s="64" t="s">
        <v>57</v>
      </c>
    </row>
    <row r="65" spans="1:7" ht="21" hidden="1">
      <c r="A65" s="34"/>
      <c r="B65" s="56" t="s">
        <v>107</v>
      </c>
      <c r="C65" s="63">
        <v>65571</v>
      </c>
      <c r="D65" s="56"/>
      <c r="E65" s="63"/>
      <c r="F65" s="63"/>
      <c r="G65" s="64" t="s">
        <v>57</v>
      </c>
    </row>
    <row r="66" spans="1:7" ht="21" hidden="1">
      <c r="A66" s="34"/>
      <c r="B66" s="56" t="s">
        <v>107</v>
      </c>
      <c r="C66" s="63">
        <v>66240</v>
      </c>
      <c r="D66" s="56"/>
      <c r="E66" s="63"/>
      <c r="F66" s="63"/>
      <c r="G66" s="64" t="s">
        <v>57</v>
      </c>
    </row>
    <row r="67" spans="1:7" ht="21" hidden="1">
      <c r="A67" s="34"/>
      <c r="B67" s="56" t="s">
        <v>774</v>
      </c>
      <c r="C67" s="63">
        <v>2415000</v>
      </c>
      <c r="D67" s="56"/>
      <c r="E67" s="63"/>
      <c r="F67" s="63"/>
      <c r="G67" s="64" t="s">
        <v>57</v>
      </c>
    </row>
    <row r="68" spans="1:7" ht="21" hidden="1">
      <c r="A68" s="34"/>
      <c r="B68" s="165" t="s">
        <v>474</v>
      </c>
      <c r="C68" s="166">
        <v>2760000</v>
      </c>
      <c r="D68" s="165"/>
      <c r="E68" s="166"/>
      <c r="F68" s="166"/>
      <c r="G68" s="167" t="s">
        <v>56</v>
      </c>
    </row>
    <row r="69" spans="1:7" ht="21" hidden="1">
      <c r="A69" s="34"/>
      <c r="B69" s="56" t="s">
        <v>775</v>
      </c>
      <c r="C69" s="63">
        <v>1390000</v>
      </c>
      <c r="D69" s="56"/>
      <c r="E69" s="63"/>
      <c r="F69" s="63"/>
      <c r="G69" s="64" t="s">
        <v>56</v>
      </c>
    </row>
    <row r="70" spans="1:7" ht="21" hidden="1">
      <c r="A70" s="34"/>
      <c r="B70" s="56" t="s">
        <v>450</v>
      </c>
      <c r="C70" s="63">
        <v>7108789</v>
      </c>
      <c r="D70" s="56"/>
      <c r="E70" s="63"/>
      <c r="F70" s="63"/>
      <c r="G70" s="64" t="s">
        <v>56</v>
      </c>
    </row>
    <row r="71" spans="1:7" ht="21">
      <c r="A71" s="34"/>
      <c r="B71" s="67" t="s">
        <v>776</v>
      </c>
      <c r="C71" s="68"/>
      <c r="D71" s="67"/>
      <c r="E71" s="68"/>
      <c r="F71" s="68"/>
      <c r="G71" s="69" t="s">
        <v>58</v>
      </c>
    </row>
    <row r="72" spans="1:7" ht="21" hidden="1">
      <c r="A72" s="34"/>
      <c r="B72" s="56" t="s">
        <v>777</v>
      </c>
      <c r="C72" s="63">
        <v>528000</v>
      </c>
      <c r="D72" s="56"/>
      <c r="E72" s="63"/>
      <c r="F72" s="63"/>
      <c r="G72" s="64" t="s">
        <v>54</v>
      </c>
    </row>
    <row r="73" spans="1:7" ht="21">
      <c r="A73" s="34"/>
      <c r="B73" s="67" t="s">
        <v>778</v>
      </c>
      <c r="C73" s="68"/>
      <c r="D73" s="67"/>
      <c r="E73" s="68"/>
      <c r="F73" s="68"/>
      <c r="G73" s="69" t="s">
        <v>53</v>
      </c>
    </row>
    <row r="74" spans="1:7" ht="21" hidden="1">
      <c r="A74" s="34">
        <v>45239</v>
      </c>
      <c r="B74" s="56" t="s">
        <v>779</v>
      </c>
      <c r="C74" s="63">
        <v>1000000</v>
      </c>
      <c r="D74" s="56"/>
      <c r="E74" s="63"/>
      <c r="F74" s="63"/>
      <c r="G74" s="64" t="s">
        <v>56</v>
      </c>
    </row>
    <row r="75" spans="1:7" ht="21" hidden="1">
      <c r="A75" s="34"/>
      <c r="B75" s="56" t="s">
        <v>565</v>
      </c>
      <c r="C75" s="63">
        <v>23190000</v>
      </c>
      <c r="D75" s="56"/>
      <c r="E75" s="63"/>
      <c r="F75" s="63"/>
      <c r="G75" s="64" t="s">
        <v>56</v>
      </c>
    </row>
    <row r="76" spans="1:7" ht="21" hidden="1">
      <c r="A76" s="34">
        <v>44937</v>
      </c>
      <c r="B76" s="56" t="s">
        <v>780</v>
      </c>
      <c r="C76" s="63">
        <v>1221230</v>
      </c>
      <c r="D76" s="56"/>
      <c r="E76" s="63"/>
      <c r="F76" s="63"/>
      <c r="G76" s="64" t="s">
        <v>57</v>
      </c>
    </row>
    <row r="77" spans="1:7" ht="21" hidden="1">
      <c r="A77" s="34"/>
      <c r="B77" s="56" t="s">
        <v>781</v>
      </c>
      <c r="C77" s="63">
        <v>379520</v>
      </c>
      <c r="D77" s="56"/>
      <c r="E77" s="63"/>
      <c r="F77" s="63"/>
      <c r="G77" s="64" t="s">
        <v>57</v>
      </c>
    </row>
    <row r="78" spans="1:7" ht="21" hidden="1">
      <c r="A78" s="34"/>
      <c r="B78" s="56" t="s">
        <v>782</v>
      </c>
      <c r="C78" s="63">
        <v>2622000</v>
      </c>
      <c r="D78" s="56"/>
      <c r="E78" s="63"/>
      <c r="F78" s="63"/>
      <c r="G78" s="64" t="s">
        <v>57</v>
      </c>
    </row>
    <row r="79" spans="1:7" ht="21" hidden="1">
      <c r="A79" s="34"/>
      <c r="B79" s="33" t="s">
        <v>783</v>
      </c>
      <c r="C79" s="77">
        <v>200000</v>
      </c>
      <c r="D79" s="33"/>
      <c r="E79" s="77"/>
      <c r="F79" s="77"/>
      <c r="G79" s="79" t="s">
        <v>57</v>
      </c>
    </row>
    <row r="80" spans="1:7" ht="21" hidden="1">
      <c r="A80" s="34"/>
      <c r="B80" s="56" t="s">
        <v>403</v>
      </c>
      <c r="C80" s="63">
        <v>450000</v>
      </c>
      <c r="D80" s="56"/>
      <c r="E80" s="63"/>
      <c r="F80" s="63"/>
      <c r="G80" s="64" t="s">
        <v>56</v>
      </c>
    </row>
    <row r="81" spans="1:7" ht="21" hidden="1">
      <c r="A81" s="34"/>
      <c r="B81" s="56" t="s">
        <v>784</v>
      </c>
      <c r="C81" s="63">
        <v>660000</v>
      </c>
      <c r="D81" s="56"/>
      <c r="E81" s="63"/>
      <c r="F81" s="63"/>
      <c r="G81" s="64" t="s">
        <v>56</v>
      </c>
    </row>
    <row r="82" spans="1:7" ht="21" hidden="1">
      <c r="A82" s="34"/>
      <c r="B82" s="56" t="s">
        <v>785</v>
      </c>
      <c r="C82" s="63">
        <v>128763234</v>
      </c>
      <c r="D82" s="56"/>
      <c r="E82" s="63"/>
      <c r="F82" s="63"/>
      <c r="G82" s="64" t="s">
        <v>56</v>
      </c>
    </row>
    <row r="83" spans="1:7" ht="21" hidden="1">
      <c r="A83" s="34"/>
      <c r="B83" s="30" t="s">
        <v>786</v>
      </c>
      <c r="C83" s="31">
        <v>1386212050</v>
      </c>
      <c r="D83" s="30"/>
      <c r="E83" s="31"/>
      <c r="F83" s="31"/>
      <c r="G83" s="32" t="s">
        <v>58</v>
      </c>
    </row>
    <row r="84" spans="1:7" ht="21">
      <c r="A84" s="34"/>
      <c r="B84" s="67" t="s">
        <v>787</v>
      </c>
      <c r="C84" s="68"/>
      <c r="D84" s="67"/>
      <c r="E84" s="68"/>
      <c r="F84" s="68"/>
      <c r="G84" s="69" t="s">
        <v>64</v>
      </c>
    </row>
    <row r="85" spans="1:7" ht="21" hidden="1">
      <c r="A85" s="34"/>
      <c r="B85" s="56" t="s">
        <v>61</v>
      </c>
      <c r="C85" s="63">
        <v>147367078</v>
      </c>
      <c r="D85" s="56"/>
      <c r="E85" s="63"/>
      <c r="F85" s="63"/>
      <c r="G85" s="64" t="s">
        <v>154</v>
      </c>
    </row>
    <row r="86" spans="1:7" ht="21" hidden="1">
      <c r="A86" s="34">
        <v>44938</v>
      </c>
      <c r="B86" s="56" t="s">
        <v>59</v>
      </c>
      <c r="C86" s="63">
        <v>333500</v>
      </c>
      <c r="D86" s="56"/>
      <c r="E86" s="63"/>
      <c r="F86" s="63"/>
      <c r="G86" s="64" t="s">
        <v>57</v>
      </c>
    </row>
    <row r="87" spans="1:7" ht="21" hidden="1">
      <c r="A87" s="34"/>
      <c r="B87" s="56" t="s">
        <v>59</v>
      </c>
      <c r="C87" s="63">
        <v>227700</v>
      </c>
      <c r="D87" s="56"/>
      <c r="E87" s="63"/>
      <c r="F87" s="63"/>
      <c r="G87" s="64" t="s">
        <v>57</v>
      </c>
    </row>
    <row r="88" spans="1:7" ht="21" hidden="1">
      <c r="A88" s="34"/>
      <c r="B88" s="56" t="s">
        <v>788</v>
      </c>
      <c r="C88" s="63">
        <v>1461208</v>
      </c>
      <c r="D88" s="56"/>
      <c r="E88" s="63"/>
      <c r="F88" s="63"/>
      <c r="G88" s="64" t="s">
        <v>57</v>
      </c>
    </row>
    <row r="89" spans="1:7" ht="21" hidden="1">
      <c r="A89" s="34"/>
      <c r="B89" s="56" t="s">
        <v>584</v>
      </c>
      <c r="C89" s="63">
        <v>172538</v>
      </c>
      <c r="D89" s="56"/>
      <c r="E89" s="63"/>
      <c r="F89" s="63"/>
      <c r="G89" s="64" t="s">
        <v>57</v>
      </c>
    </row>
    <row r="90" spans="1:7" ht="21" hidden="1">
      <c r="A90" s="34"/>
      <c r="B90" s="56" t="s">
        <v>472</v>
      </c>
      <c r="C90" s="63">
        <v>158750</v>
      </c>
      <c r="D90" s="56"/>
      <c r="E90" s="63"/>
      <c r="F90" s="63"/>
      <c r="G90" s="64" t="s">
        <v>57</v>
      </c>
    </row>
    <row r="91" spans="1:7" ht="21" hidden="1">
      <c r="A91" s="34"/>
      <c r="B91" s="56" t="s">
        <v>472</v>
      </c>
      <c r="C91" s="63">
        <v>288850</v>
      </c>
      <c r="D91" s="56"/>
      <c r="E91" s="63"/>
      <c r="F91" s="63"/>
      <c r="G91" s="64" t="s">
        <v>57</v>
      </c>
    </row>
    <row r="92" spans="1:7" ht="21" hidden="1">
      <c r="A92" s="34"/>
      <c r="B92" s="56" t="s">
        <v>472</v>
      </c>
      <c r="C92" s="63">
        <v>69470</v>
      </c>
      <c r="D92" s="56"/>
      <c r="E92" s="63"/>
      <c r="F92" s="63"/>
      <c r="G92" s="64" t="s">
        <v>57</v>
      </c>
    </row>
    <row r="93" spans="1:7" ht="21" hidden="1">
      <c r="A93" s="34"/>
      <c r="B93" s="56" t="s">
        <v>472</v>
      </c>
      <c r="C93" s="63">
        <v>69470</v>
      </c>
      <c r="D93" s="56"/>
      <c r="E93" s="63"/>
      <c r="F93" s="63"/>
      <c r="G93" s="64" t="s">
        <v>57</v>
      </c>
    </row>
    <row r="94" spans="1:7" ht="21" hidden="1">
      <c r="A94" s="34"/>
      <c r="B94" s="56" t="s">
        <v>460</v>
      </c>
      <c r="C94" s="63">
        <v>660000</v>
      </c>
      <c r="D94" s="56"/>
      <c r="E94" s="63"/>
      <c r="F94" s="63"/>
      <c r="G94" s="64" t="s">
        <v>57</v>
      </c>
    </row>
    <row r="95" spans="1:7" ht="21">
      <c r="A95" s="34"/>
      <c r="B95" s="67" t="s">
        <v>376</v>
      </c>
      <c r="C95" s="68">
        <v>23827453</v>
      </c>
      <c r="D95" s="67"/>
      <c r="E95" s="68"/>
      <c r="F95" s="68"/>
      <c r="G95" s="69" t="s">
        <v>57</v>
      </c>
    </row>
    <row r="96" spans="1:7" ht="21" hidden="1">
      <c r="A96" s="34"/>
      <c r="B96" s="56" t="s">
        <v>789</v>
      </c>
      <c r="C96" s="63">
        <v>1936378</v>
      </c>
      <c r="D96" s="56"/>
      <c r="E96" s="63"/>
      <c r="F96" s="63"/>
      <c r="G96" s="64" t="s">
        <v>57</v>
      </c>
    </row>
    <row r="97" spans="1:7" ht="21" hidden="1">
      <c r="A97" s="34"/>
      <c r="B97" s="56" t="s">
        <v>790</v>
      </c>
      <c r="C97" s="63">
        <v>792000</v>
      </c>
      <c r="D97" s="56"/>
      <c r="E97" s="63"/>
      <c r="F97" s="63"/>
      <c r="G97" s="64" t="s">
        <v>56</v>
      </c>
    </row>
    <row r="98" spans="1:7" ht="21" hidden="1">
      <c r="A98" s="34"/>
      <c r="B98" s="56" t="s">
        <v>491</v>
      </c>
      <c r="C98" s="63">
        <v>4046500</v>
      </c>
      <c r="D98" s="56"/>
      <c r="E98" s="63"/>
      <c r="F98" s="63"/>
      <c r="G98" s="64" t="s">
        <v>56</v>
      </c>
    </row>
    <row r="99" spans="1:7" ht="21" hidden="1">
      <c r="A99" s="34"/>
      <c r="B99" s="56" t="s">
        <v>791</v>
      </c>
      <c r="C99" s="63">
        <v>855360</v>
      </c>
      <c r="D99" s="56"/>
      <c r="E99" s="63"/>
      <c r="F99" s="63"/>
      <c r="G99" s="64" t="s">
        <v>58</v>
      </c>
    </row>
    <row r="100" spans="1:7" ht="21" hidden="1">
      <c r="A100" s="34"/>
      <c r="B100" s="56" t="s">
        <v>59</v>
      </c>
      <c r="C100" s="63">
        <v>1432325</v>
      </c>
      <c r="D100" s="56"/>
      <c r="E100" s="63"/>
      <c r="F100" s="63"/>
      <c r="G100" s="64" t="s">
        <v>58</v>
      </c>
    </row>
    <row r="101" spans="1:7" ht="21" hidden="1">
      <c r="A101" s="34"/>
      <c r="B101" s="56" t="s">
        <v>210</v>
      </c>
      <c r="C101" s="63">
        <v>30400057</v>
      </c>
      <c r="D101" s="56"/>
      <c r="E101" s="63"/>
      <c r="F101" s="63"/>
      <c r="G101" s="64" t="s">
        <v>58</v>
      </c>
    </row>
    <row r="102" spans="1:7" ht="21" hidden="1">
      <c r="A102" s="34"/>
      <c r="B102" s="56" t="s">
        <v>792</v>
      </c>
      <c r="C102" s="63">
        <v>1523344</v>
      </c>
      <c r="D102" s="56"/>
      <c r="E102" s="63"/>
      <c r="F102" s="63"/>
      <c r="G102" s="64" t="s">
        <v>58</v>
      </c>
    </row>
    <row r="103" spans="1:7" ht="21" hidden="1">
      <c r="A103" s="34"/>
      <c r="B103" s="56" t="s">
        <v>583</v>
      </c>
      <c r="C103" s="63">
        <v>280733</v>
      </c>
      <c r="D103" s="56"/>
      <c r="E103" s="63"/>
      <c r="F103" s="63"/>
      <c r="G103" s="64" t="s">
        <v>58</v>
      </c>
    </row>
    <row r="104" spans="1:7" ht="21" hidden="1">
      <c r="A104" s="34"/>
      <c r="B104" s="56" t="s">
        <v>793</v>
      </c>
      <c r="C104" s="63">
        <v>5664883</v>
      </c>
      <c r="D104" s="56"/>
      <c r="E104" s="63"/>
      <c r="F104" s="63"/>
      <c r="G104" s="64" t="s">
        <v>58</v>
      </c>
    </row>
    <row r="105" spans="1:7" ht="21" hidden="1">
      <c r="A105" s="34"/>
      <c r="B105" s="56" t="s">
        <v>100</v>
      </c>
      <c r="C105" s="63">
        <v>1982292</v>
      </c>
      <c r="D105" s="56"/>
      <c r="E105" s="63"/>
      <c r="F105" s="63"/>
      <c r="G105" s="64" t="s">
        <v>154</v>
      </c>
    </row>
    <row r="106" spans="1:7" ht="21" hidden="1">
      <c r="A106" s="34">
        <v>44939</v>
      </c>
      <c r="B106" s="56" t="s">
        <v>794</v>
      </c>
      <c r="C106" s="63">
        <v>132000</v>
      </c>
      <c r="D106" s="56"/>
      <c r="E106" s="63"/>
      <c r="F106" s="63"/>
      <c r="G106" s="64" t="s">
        <v>54</v>
      </c>
    </row>
    <row r="107" spans="1:7" ht="21" hidden="1">
      <c r="A107" s="34"/>
      <c r="B107" s="56" t="s">
        <v>795</v>
      </c>
      <c r="C107" s="63">
        <v>5000000</v>
      </c>
      <c r="D107" s="56"/>
      <c r="E107" s="63"/>
      <c r="F107" s="63"/>
      <c r="G107" s="64" t="s">
        <v>57</v>
      </c>
    </row>
    <row r="108" spans="1:7" ht="21" hidden="1">
      <c r="A108" s="34"/>
      <c r="B108" s="56" t="s">
        <v>207</v>
      </c>
      <c r="C108" s="63">
        <v>1386000</v>
      </c>
      <c r="D108" s="56"/>
      <c r="E108" s="63"/>
      <c r="F108" s="63"/>
      <c r="G108" s="64" t="s">
        <v>57</v>
      </c>
    </row>
    <row r="109" spans="1:7" ht="21" hidden="1">
      <c r="A109" s="34"/>
      <c r="B109" s="56" t="s">
        <v>241</v>
      </c>
      <c r="C109" s="63">
        <v>528000</v>
      </c>
      <c r="D109" s="56"/>
      <c r="E109" s="63"/>
      <c r="F109" s="63"/>
      <c r="G109" s="64" t="s">
        <v>57</v>
      </c>
    </row>
    <row r="110" spans="1:7" ht="21" hidden="1">
      <c r="A110" s="34"/>
      <c r="B110" s="56" t="s">
        <v>796</v>
      </c>
      <c r="C110" s="63">
        <v>5428000</v>
      </c>
      <c r="D110" s="56"/>
      <c r="E110" s="63"/>
      <c r="F110" s="63"/>
      <c r="G110" s="64" t="s">
        <v>57</v>
      </c>
    </row>
    <row r="111" spans="1:7" ht="21" hidden="1">
      <c r="A111" s="34"/>
      <c r="B111" s="33" t="s">
        <v>565</v>
      </c>
      <c r="C111" s="77">
        <v>342500</v>
      </c>
      <c r="D111" s="33"/>
      <c r="E111" s="77"/>
      <c r="F111" s="77"/>
      <c r="G111" s="79" t="s">
        <v>56</v>
      </c>
    </row>
    <row r="112" spans="1:7" ht="21" hidden="1">
      <c r="A112" s="34"/>
      <c r="B112" s="56" t="s">
        <v>797</v>
      </c>
      <c r="C112" s="63">
        <v>932574</v>
      </c>
      <c r="D112" s="56"/>
      <c r="E112" s="63"/>
      <c r="F112" s="63"/>
      <c r="G112" s="64" t="s">
        <v>56</v>
      </c>
    </row>
    <row r="113" spans="1:7" ht="21" hidden="1">
      <c r="A113" s="34"/>
      <c r="B113" s="56" t="s">
        <v>780</v>
      </c>
      <c r="C113" s="63">
        <v>1172730</v>
      </c>
      <c r="D113" s="56"/>
      <c r="E113" s="63"/>
      <c r="F113" s="63"/>
      <c r="G113" s="64" t="s">
        <v>56</v>
      </c>
    </row>
    <row r="114" spans="1:7" ht="21" hidden="1">
      <c r="A114" s="34"/>
      <c r="B114" s="56" t="s">
        <v>780</v>
      </c>
      <c r="C114" s="63">
        <v>1662580</v>
      </c>
      <c r="D114" s="56"/>
      <c r="E114" s="63"/>
      <c r="F114" s="63"/>
      <c r="G114" s="64" t="s">
        <v>56</v>
      </c>
    </row>
    <row r="115" spans="1:7" ht="21" hidden="1">
      <c r="A115" s="34"/>
      <c r="B115" s="56" t="s">
        <v>798</v>
      </c>
      <c r="C115" s="63">
        <v>29860980</v>
      </c>
      <c r="D115" s="56"/>
      <c r="E115" s="63"/>
      <c r="F115" s="63"/>
      <c r="G115" s="64" t="s">
        <v>56</v>
      </c>
    </row>
    <row r="116" spans="1:7" ht="21" hidden="1">
      <c r="A116" s="34"/>
      <c r="B116" s="56" t="s">
        <v>671</v>
      </c>
      <c r="C116" s="63">
        <v>112092223</v>
      </c>
      <c r="D116" s="56"/>
      <c r="E116" s="63"/>
      <c r="F116" s="63"/>
      <c r="G116" s="64" t="s">
        <v>58</v>
      </c>
    </row>
    <row r="117" spans="1:7" ht="21" hidden="1">
      <c r="A117" s="34"/>
      <c r="B117" s="33" t="s">
        <v>799</v>
      </c>
      <c r="C117" s="77">
        <v>8833333</v>
      </c>
      <c r="D117" s="33"/>
      <c r="E117" s="77"/>
      <c r="F117" s="77"/>
      <c r="G117" s="79" t="s">
        <v>64</v>
      </c>
    </row>
    <row r="118" spans="1:7" ht="21" hidden="1">
      <c r="A118" s="34"/>
      <c r="B118" s="56" t="s">
        <v>800</v>
      </c>
      <c r="C118" s="63">
        <v>4600000</v>
      </c>
      <c r="D118" s="56"/>
      <c r="E118" s="63"/>
      <c r="F118" s="63"/>
      <c r="G118" s="64" t="s">
        <v>60</v>
      </c>
    </row>
    <row r="119" spans="1:7" ht="21" hidden="1">
      <c r="A119" s="34"/>
      <c r="B119" s="56" t="s">
        <v>658</v>
      </c>
      <c r="C119" s="63">
        <v>3335000</v>
      </c>
      <c r="D119" s="56"/>
      <c r="E119" s="63"/>
      <c r="F119" s="63"/>
      <c r="G119" s="64" t="s">
        <v>60</v>
      </c>
    </row>
    <row r="120" spans="1:7" ht="21" hidden="1">
      <c r="A120" s="34"/>
      <c r="B120" s="56" t="s">
        <v>67</v>
      </c>
      <c r="C120" s="63">
        <v>4719490</v>
      </c>
      <c r="D120" s="56"/>
      <c r="E120" s="63"/>
      <c r="F120" s="63"/>
      <c r="G120" s="64" t="s">
        <v>154</v>
      </c>
    </row>
    <row r="121" spans="1:7" ht="21" hidden="1">
      <c r="A121" s="34"/>
      <c r="B121" s="33" t="s">
        <v>522</v>
      </c>
      <c r="C121" s="77">
        <v>10606813</v>
      </c>
      <c r="D121" s="33"/>
      <c r="E121" s="77"/>
      <c r="F121" s="77"/>
      <c r="G121" s="79" t="s">
        <v>154</v>
      </c>
    </row>
    <row r="122" spans="1:7" ht="21" hidden="1">
      <c r="A122" s="34"/>
      <c r="B122" s="56" t="s">
        <v>801</v>
      </c>
      <c r="C122" s="63">
        <v>2300000</v>
      </c>
      <c r="D122" s="56"/>
      <c r="E122" s="63"/>
      <c r="F122" s="63"/>
      <c r="G122" s="64" t="s">
        <v>154</v>
      </c>
    </row>
    <row r="123" spans="1:7" ht="21" hidden="1">
      <c r="A123" s="34">
        <v>44942</v>
      </c>
      <c r="B123" s="56" t="s">
        <v>145</v>
      </c>
      <c r="C123" s="63">
        <v>2098800</v>
      </c>
      <c r="D123" s="56"/>
      <c r="E123" s="63"/>
      <c r="F123" s="63"/>
      <c r="G123" s="64" t="s">
        <v>54</v>
      </c>
    </row>
    <row r="124" spans="1:7" ht="21" hidden="1">
      <c r="A124" s="34"/>
      <c r="B124" s="56" t="s">
        <v>245</v>
      </c>
      <c r="C124" s="63">
        <v>633300</v>
      </c>
      <c r="D124" s="56"/>
      <c r="E124" s="63"/>
      <c r="F124" s="63"/>
      <c r="G124" s="64" t="s">
        <v>802</v>
      </c>
    </row>
    <row r="125" spans="1:7" ht="21" hidden="1">
      <c r="A125" s="34"/>
      <c r="B125" s="56" t="s">
        <v>69</v>
      </c>
      <c r="C125" s="63">
        <v>346725</v>
      </c>
      <c r="D125" s="56"/>
      <c r="E125" s="63"/>
      <c r="F125" s="63"/>
      <c r="G125" s="64" t="s">
        <v>57</v>
      </c>
    </row>
    <row r="126" spans="1:7" ht="21" hidden="1">
      <c r="A126" s="34"/>
      <c r="B126" s="56" t="s">
        <v>803</v>
      </c>
      <c r="C126" s="63">
        <v>10626000</v>
      </c>
      <c r="D126" s="56"/>
      <c r="E126" s="63"/>
      <c r="F126" s="63"/>
      <c r="G126" s="64" t="s">
        <v>56</v>
      </c>
    </row>
    <row r="127" spans="1:7" ht="21" hidden="1">
      <c r="A127" s="34"/>
      <c r="B127" s="56" t="s">
        <v>297</v>
      </c>
      <c r="C127" s="63">
        <v>2313450</v>
      </c>
      <c r="D127" s="56"/>
      <c r="E127" s="63"/>
      <c r="F127" s="63"/>
      <c r="G127" s="64" t="s">
        <v>53</v>
      </c>
    </row>
    <row r="128" spans="1:7" ht="21" hidden="1">
      <c r="A128" s="34"/>
      <c r="B128" s="33" t="s">
        <v>98</v>
      </c>
      <c r="C128" s="77">
        <v>238260596</v>
      </c>
      <c r="D128" s="33"/>
      <c r="E128" s="77"/>
      <c r="F128" s="77"/>
      <c r="G128" s="79" t="s">
        <v>64</v>
      </c>
    </row>
    <row r="129" spans="1:7" ht="21" hidden="1">
      <c r="A129" s="34">
        <v>44943</v>
      </c>
      <c r="B129" s="56" t="s">
        <v>804</v>
      </c>
      <c r="C129" s="63">
        <v>2112000</v>
      </c>
      <c r="D129" s="56"/>
      <c r="E129" s="63"/>
      <c r="F129" s="63"/>
      <c r="G129" s="64" t="s">
        <v>57</v>
      </c>
    </row>
    <row r="130" spans="1:7" ht="21" hidden="1">
      <c r="A130" s="34"/>
      <c r="B130" s="56" t="s">
        <v>805</v>
      </c>
      <c r="C130" s="63">
        <v>1164000</v>
      </c>
      <c r="D130" s="56"/>
      <c r="E130" s="63"/>
      <c r="F130" s="63"/>
      <c r="G130" s="64" t="s">
        <v>57</v>
      </c>
    </row>
    <row r="131" spans="1:7" ht="21" hidden="1">
      <c r="A131" s="34"/>
      <c r="B131" s="56" t="s">
        <v>806</v>
      </c>
      <c r="C131" s="63">
        <v>792000</v>
      </c>
      <c r="D131" s="56"/>
      <c r="E131" s="63"/>
      <c r="F131" s="63"/>
      <c r="G131" s="64" t="s">
        <v>57</v>
      </c>
    </row>
    <row r="132" spans="1:7" ht="21" hidden="1">
      <c r="A132" s="34"/>
      <c r="B132" s="56" t="s">
        <v>588</v>
      </c>
      <c r="C132" s="63">
        <v>46000</v>
      </c>
      <c r="D132" s="56"/>
      <c r="E132" s="63"/>
      <c r="F132" s="63"/>
      <c r="G132" s="64" t="s">
        <v>57</v>
      </c>
    </row>
    <row r="133" spans="1:7" ht="21">
      <c r="A133" s="34"/>
      <c r="B133" s="67" t="s">
        <v>468</v>
      </c>
      <c r="C133" s="68">
        <v>6529828</v>
      </c>
      <c r="D133" s="67"/>
      <c r="E133" s="68"/>
      <c r="F133" s="68"/>
      <c r="G133" s="69" t="s">
        <v>57</v>
      </c>
    </row>
    <row r="134" spans="1:7" ht="21">
      <c r="A134" s="34"/>
      <c r="B134" s="67" t="s">
        <v>468</v>
      </c>
      <c r="C134" s="68">
        <v>147077</v>
      </c>
      <c r="D134" s="67"/>
      <c r="E134" s="68"/>
      <c r="F134" s="68"/>
      <c r="G134" s="69" t="s">
        <v>57</v>
      </c>
    </row>
    <row r="135" spans="1:7" ht="21">
      <c r="A135" s="34"/>
      <c r="B135" s="67" t="s">
        <v>468</v>
      </c>
      <c r="C135" s="68">
        <v>75564</v>
      </c>
      <c r="D135" s="67"/>
      <c r="E135" s="68"/>
      <c r="F135" s="68"/>
      <c r="G135" s="69" t="s">
        <v>57</v>
      </c>
    </row>
    <row r="136" spans="1:7" ht="21">
      <c r="A136" s="34"/>
      <c r="B136" s="67" t="s">
        <v>468</v>
      </c>
      <c r="C136" s="68">
        <v>28415389</v>
      </c>
      <c r="D136" s="67"/>
      <c r="E136" s="68"/>
      <c r="F136" s="68"/>
      <c r="G136" s="69" t="s">
        <v>57</v>
      </c>
    </row>
    <row r="137" spans="1:7" ht="21" hidden="1">
      <c r="A137" s="34"/>
      <c r="B137" s="56" t="s">
        <v>523</v>
      </c>
      <c r="C137" s="63">
        <v>1527355</v>
      </c>
      <c r="D137" s="56"/>
      <c r="E137" s="63"/>
      <c r="F137" s="63"/>
      <c r="G137" s="64" t="s">
        <v>58</v>
      </c>
    </row>
    <row r="138" spans="1:7" ht="21" hidden="1">
      <c r="A138" s="34"/>
      <c r="B138" s="56" t="s">
        <v>807</v>
      </c>
      <c r="C138" s="63">
        <v>3600000</v>
      </c>
      <c r="D138" s="56"/>
      <c r="E138" s="63"/>
      <c r="F138" s="63"/>
      <c r="G138" s="64" t="s">
        <v>53</v>
      </c>
    </row>
    <row r="139" spans="1:7" ht="21" hidden="1">
      <c r="A139" s="34">
        <v>44944</v>
      </c>
      <c r="B139" s="168" t="s">
        <v>63</v>
      </c>
      <c r="C139" s="169">
        <v>203171511</v>
      </c>
      <c r="D139" s="168"/>
      <c r="E139" s="169"/>
      <c r="F139" s="169"/>
      <c r="G139" s="170" t="s">
        <v>56</v>
      </c>
    </row>
    <row r="140" spans="1:7" ht="21" hidden="1">
      <c r="A140" s="34"/>
      <c r="B140" s="33" t="s">
        <v>292</v>
      </c>
      <c r="C140" s="77">
        <v>60501963</v>
      </c>
      <c r="D140" s="33"/>
      <c r="E140" s="77"/>
      <c r="F140" s="77"/>
      <c r="G140" s="79" t="s">
        <v>60</v>
      </c>
    </row>
    <row r="141" spans="1:7" ht="21" hidden="1">
      <c r="A141" s="34"/>
      <c r="B141" s="56" t="s">
        <v>649</v>
      </c>
      <c r="C141" s="63">
        <v>38956250</v>
      </c>
      <c r="D141" s="56"/>
      <c r="E141" s="63"/>
      <c r="F141" s="63"/>
      <c r="G141" s="64" t="s">
        <v>90</v>
      </c>
    </row>
    <row r="142" spans="1:7" ht="21" hidden="1">
      <c r="A142" s="34"/>
      <c r="B142" s="168" t="s">
        <v>63</v>
      </c>
      <c r="C142" s="169">
        <v>159178637</v>
      </c>
      <c r="D142" s="168"/>
      <c r="E142" s="169"/>
      <c r="F142" s="169"/>
      <c r="G142" s="170" t="s">
        <v>58</v>
      </c>
    </row>
    <row r="143" spans="1:7" ht="21" hidden="1">
      <c r="A143" s="34"/>
      <c r="B143" s="56" t="s">
        <v>140</v>
      </c>
      <c r="C143" s="63">
        <v>1743400</v>
      </c>
      <c r="D143" s="56"/>
      <c r="E143" s="63"/>
      <c r="F143" s="63"/>
      <c r="G143" s="64" t="s">
        <v>58</v>
      </c>
    </row>
    <row r="144" spans="1:7" ht="21" hidden="1">
      <c r="A144" s="34"/>
      <c r="B144" s="56" t="s">
        <v>808</v>
      </c>
      <c r="C144" s="63">
        <v>3000000</v>
      </c>
      <c r="D144" s="56"/>
      <c r="E144" s="63"/>
      <c r="F144" s="63"/>
      <c r="G144" s="64" t="s">
        <v>53</v>
      </c>
    </row>
    <row r="145" spans="1:7" ht="21">
      <c r="A145" s="34"/>
      <c r="B145" s="67" t="s">
        <v>809</v>
      </c>
      <c r="C145" s="68">
        <v>17673300</v>
      </c>
      <c r="D145" s="67"/>
      <c r="E145" s="68"/>
      <c r="F145" s="68"/>
      <c r="G145" s="69" t="s">
        <v>53</v>
      </c>
    </row>
    <row r="146" spans="1:7" ht="21" hidden="1">
      <c r="A146" s="34"/>
      <c r="B146" s="33" t="s">
        <v>414</v>
      </c>
      <c r="C146" s="77">
        <v>6794691</v>
      </c>
      <c r="D146" s="33"/>
      <c r="E146" s="77"/>
      <c r="F146" s="77"/>
      <c r="G146" s="79" t="s">
        <v>64</v>
      </c>
    </row>
    <row r="147" spans="1:7" ht="21" hidden="1">
      <c r="A147" s="34"/>
      <c r="B147" s="33" t="s">
        <v>98</v>
      </c>
      <c r="C147" s="77">
        <v>27916250</v>
      </c>
      <c r="D147" s="33"/>
      <c r="E147" s="77"/>
      <c r="F147" s="77"/>
      <c r="G147" s="79" t="s">
        <v>64</v>
      </c>
    </row>
    <row r="148" spans="1:7" ht="21" hidden="1">
      <c r="A148" s="34"/>
      <c r="B148" s="56" t="s">
        <v>810</v>
      </c>
      <c r="C148" s="63">
        <v>792000</v>
      </c>
      <c r="D148" s="56"/>
      <c r="E148" s="63"/>
      <c r="F148" s="63"/>
      <c r="G148" s="64" t="s">
        <v>64</v>
      </c>
    </row>
    <row r="149" spans="1:7" ht="21" hidden="1">
      <c r="A149" s="34">
        <v>44945</v>
      </c>
      <c r="B149" s="56" t="s">
        <v>811</v>
      </c>
      <c r="C149" s="63">
        <v>300000</v>
      </c>
      <c r="D149" s="56"/>
      <c r="E149" s="63"/>
      <c r="F149" s="63"/>
      <c r="G149" s="64" t="s">
        <v>56</v>
      </c>
    </row>
    <row r="150" spans="1:7" ht="21" hidden="1">
      <c r="A150" s="34"/>
      <c r="B150" s="56" t="s">
        <v>423</v>
      </c>
      <c r="C150" s="63">
        <v>600000</v>
      </c>
      <c r="D150" s="56"/>
      <c r="E150" s="63"/>
      <c r="F150" s="63"/>
      <c r="G150" s="64" t="s">
        <v>56</v>
      </c>
    </row>
    <row r="151" spans="1:7" ht="21" hidden="1">
      <c r="A151" s="34"/>
      <c r="B151" s="56" t="s">
        <v>526</v>
      </c>
      <c r="C151" s="63">
        <v>600000</v>
      </c>
      <c r="D151" s="56"/>
      <c r="E151" s="63"/>
      <c r="F151" s="63"/>
      <c r="G151" s="64" t="s">
        <v>56</v>
      </c>
    </row>
    <row r="152" spans="1:7" ht="21" hidden="1">
      <c r="A152" s="34"/>
      <c r="B152" s="56" t="s">
        <v>409</v>
      </c>
      <c r="C152" s="63">
        <v>600000</v>
      </c>
      <c r="D152" s="56"/>
      <c r="E152" s="63"/>
      <c r="F152" s="63"/>
      <c r="G152" s="64" t="s">
        <v>56</v>
      </c>
    </row>
    <row r="153" spans="1:7" ht="21" hidden="1">
      <c r="A153" s="34"/>
      <c r="B153" s="56" t="s">
        <v>228</v>
      </c>
      <c r="C153" s="63">
        <v>726000</v>
      </c>
      <c r="D153" s="56"/>
      <c r="E153" s="63"/>
      <c r="F153" s="63"/>
      <c r="G153" s="64" t="s">
        <v>56</v>
      </c>
    </row>
    <row r="154" spans="1:7" ht="21" hidden="1">
      <c r="A154" s="34"/>
      <c r="B154" s="56" t="s">
        <v>534</v>
      </c>
      <c r="C154" s="63">
        <v>1016400</v>
      </c>
      <c r="D154" s="56"/>
      <c r="E154" s="63"/>
      <c r="F154" s="63"/>
      <c r="G154" s="64" t="s">
        <v>56</v>
      </c>
    </row>
    <row r="155" spans="1:7" ht="21" hidden="1">
      <c r="A155" s="34"/>
      <c r="B155" s="56" t="s">
        <v>812</v>
      </c>
      <c r="C155" s="63">
        <v>1431000</v>
      </c>
      <c r="D155" s="56"/>
      <c r="E155" s="63"/>
      <c r="F155" s="63"/>
      <c r="G155" s="64" t="s">
        <v>56</v>
      </c>
    </row>
    <row r="156" spans="1:7" ht="21" hidden="1">
      <c r="A156" s="34"/>
      <c r="B156" s="56" t="s">
        <v>70</v>
      </c>
      <c r="C156" s="63">
        <v>5135833</v>
      </c>
      <c r="D156" s="56"/>
      <c r="E156" s="63"/>
      <c r="F156" s="63"/>
      <c r="G156" s="64" t="s">
        <v>56</v>
      </c>
    </row>
    <row r="157" spans="1:7" ht="21" hidden="1">
      <c r="A157" s="34"/>
      <c r="B157" s="56" t="s">
        <v>813</v>
      </c>
      <c r="C157" s="63">
        <v>8772775</v>
      </c>
      <c r="D157" s="56"/>
      <c r="E157" s="63"/>
      <c r="F157" s="63"/>
      <c r="G157" s="64" t="s">
        <v>56</v>
      </c>
    </row>
    <row r="158" spans="1:7" ht="21" hidden="1">
      <c r="A158" s="34"/>
      <c r="B158" s="56" t="s">
        <v>528</v>
      </c>
      <c r="C158" s="63">
        <v>10979033</v>
      </c>
      <c r="D158" s="56"/>
      <c r="E158" s="63"/>
      <c r="F158" s="63"/>
      <c r="G158" s="64" t="s">
        <v>56</v>
      </c>
    </row>
    <row r="159" spans="1:7" ht="21" hidden="1">
      <c r="A159" s="34"/>
      <c r="B159" s="56" t="s">
        <v>243</v>
      </c>
      <c r="C159" s="63">
        <v>798600</v>
      </c>
      <c r="D159" s="56"/>
      <c r="E159" s="63"/>
      <c r="F159" s="63"/>
      <c r="G159" s="64" t="s">
        <v>54</v>
      </c>
    </row>
    <row r="160" spans="1:7" ht="21" hidden="1">
      <c r="A160" s="34"/>
      <c r="B160" s="56" t="s">
        <v>153</v>
      </c>
      <c r="C160" s="63">
        <v>580800</v>
      </c>
      <c r="D160" s="56"/>
      <c r="E160" s="63"/>
      <c r="F160" s="63"/>
      <c r="G160" s="64" t="s">
        <v>154</v>
      </c>
    </row>
    <row r="161" spans="1:7" ht="21" hidden="1">
      <c r="A161" s="34"/>
      <c r="B161" s="56" t="s">
        <v>61</v>
      </c>
      <c r="C161" s="63">
        <v>446553</v>
      </c>
      <c r="D161" s="56"/>
      <c r="E161" s="63"/>
      <c r="F161" s="63"/>
      <c r="G161" s="64" t="s">
        <v>154</v>
      </c>
    </row>
    <row r="162" spans="1:7" ht="21" hidden="1">
      <c r="A162" s="34"/>
      <c r="B162" s="56" t="s">
        <v>544</v>
      </c>
      <c r="C162" s="63">
        <v>792000</v>
      </c>
      <c r="D162" s="56"/>
      <c r="E162" s="63"/>
      <c r="F162" s="63"/>
      <c r="G162" s="64" t="s">
        <v>154</v>
      </c>
    </row>
    <row r="163" spans="1:7" ht="21" hidden="1">
      <c r="A163" s="34"/>
      <c r="B163" s="56" t="s">
        <v>814</v>
      </c>
      <c r="C163" s="63">
        <v>660000</v>
      </c>
      <c r="D163" s="56"/>
      <c r="E163" s="63"/>
      <c r="F163" s="63"/>
      <c r="G163" s="64" t="s">
        <v>154</v>
      </c>
    </row>
    <row r="164" spans="1:7" ht="21" hidden="1">
      <c r="A164" s="34"/>
      <c r="B164" s="56" t="s">
        <v>195</v>
      </c>
      <c r="C164" s="63">
        <v>1484440</v>
      </c>
      <c r="D164" s="56"/>
      <c r="E164" s="63"/>
      <c r="F164" s="63"/>
      <c r="G164" s="64" t="s">
        <v>154</v>
      </c>
    </row>
    <row r="165" spans="1:7" ht="21" hidden="1">
      <c r="A165" s="34"/>
      <c r="B165" s="33" t="s">
        <v>522</v>
      </c>
      <c r="C165" s="77">
        <v>5846362</v>
      </c>
      <c r="D165" s="33"/>
      <c r="E165" s="77"/>
      <c r="F165" s="77"/>
      <c r="G165" s="79" t="s">
        <v>154</v>
      </c>
    </row>
    <row r="166" spans="1:7" ht="21" hidden="1">
      <c r="A166" s="34"/>
      <c r="B166" s="56" t="s">
        <v>250</v>
      </c>
      <c r="C166" s="63">
        <v>14277659</v>
      </c>
      <c r="D166" s="56"/>
      <c r="E166" s="63"/>
      <c r="F166" s="63"/>
      <c r="G166" s="64" t="s">
        <v>154</v>
      </c>
    </row>
    <row r="167" spans="1:7" ht="21" hidden="1">
      <c r="A167" s="34"/>
      <c r="B167" s="56" t="s">
        <v>250</v>
      </c>
      <c r="C167" s="63">
        <v>117028440</v>
      </c>
      <c r="D167" s="56"/>
      <c r="E167" s="63"/>
      <c r="F167" s="63"/>
      <c r="G167" s="64" t="s">
        <v>154</v>
      </c>
    </row>
    <row r="168" spans="1:7" ht="21" hidden="1">
      <c r="A168" s="34"/>
      <c r="B168" s="56" t="s">
        <v>815</v>
      </c>
      <c r="C168" s="63">
        <v>5280000</v>
      </c>
      <c r="D168" s="56"/>
      <c r="E168" s="63"/>
      <c r="F168" s="63"/>
      <c r="G168" s="64" t="s">
        <v>57</v>
      </c>
    </row>
    <row r="169" spans="1:7" ht="21">
      <c r="A169" s="34"/>
      <c r="B169" s="67" t="s">
        <v>468</v>
      </c>
      <c r="C169" s="68">
        <v>1229456</v>
      </c>
      <c r="D169" s="67"/>
      <c r="E169" s="68"/>
      <c r="F169" s="68"/>
      <c r="G169" s="69" t="s">
        <v>57</v>
      </c>
    </row>
    <row r="170" spans="1:7" ht="21">
      <c r="A170" s="34"/>
      <c r="B170" s="67" t="s">
        <v>468</v>
      </c>
      <c r="C170" s="68">
        <v>2220751</v>
      </c>
      <c r="D170" s="67"/>
      <c r="E170" s="68"/>
      <c r="F170" s="68"/>
      <c r="G170" s="69" t="s">
        <v>57</v>
      </c>
    </row>
    <row r="171" spans="1:7" ht="21">
      <c r="A171" s="34"/>
      <c r="B171" s="67" t="s">
        <v>468</v>
      </c>
      <c r="C171" s="68">
        <v>1161368</v>
      </c>
      <c r="D171" s="67"/>
      <c r="E171" s="68"/>
      <c r="F171" s="68"/>
      <c r="G171" s="69" t="s">
        <v>57</v>
      </c>
    </row>
    <row r="172" spans="1:7" ht="21" hidden="1">
      <c r="A172" s="34"/>
      <c r="B172" s="56" t="s">
        <v>525</v>
      </c>
      <c r="C172" s="63">
        <v>638880</v>
      </c>
      <c r="D172" s="56"/>
      <c r="E172" s="63"/>
      <c r="F172" s="63"/>
      <c r="G172" s="64" t="s">
        <v>57</v>
      </c>
    </row>
    <row r="173" spans="1:7" ht="21" hidden="1">
      <c r="A173" s="34"/>
      <c r="B173" s="56" t="s">
        <v>816</v>
      </c>
      <c r="C173" s="63">
        <v>528000</v>
      </c>
      <c r="D173" s="56"/>
      <c r="E173" s="63"/>
      <c r="F173" s="63"/>
      <c r="G173" s="64" t="s">
        <v>57</v>
      </c>
    </row>
    <row r="174" spans="1:7" ht="21" hidden="1">
      <c r="A174" s="34"/>
      <c r="B174" s="56" t="s">
        <v>94</v>
      </c>
      <c r="C174" s="63">
        <v>9167914</v>
      </c>
      <c r="D174" s="56"/>
      <c r="E174" s="63"/>
      <c r="F174" s="63"/>
      <c r="G174" s="64" t="s">
        <v>58</v>
      </c>
    </row>
    <row r="175" spans="1:7" ht="21" hidden="1">
      <c r="A175" s="34">
        <v>44946</v>
      </c>
      <c r="B175" s="56" t="s">
        <v>817</v>
      </c>
      <c r="C175" s="63">
        <v>4762248</v>
      </c>
      <c r="D175" s="56"/>
      <c r="E175" s="63"/>
      <c r="F175" s="63"/>
      <c r="G175" s="64" t="s">
        <v>56</v>
      </c>
    </row>
    <row r="176" spans="1:7" ht="21" hidden="1">
      <c r="A176" s="34"/>
      <c r="B176" s="56" t="s">
        <v>818</v>
      </c>
      <c r="C176" s="63">
        <v>175424</v>
      </c>
      <c r="D176" s="56"/>
      <c r="E176" s="63"/>
      <c r="F176" s="63"/>
      <c r="G176" s="64" t="s">
        <v>57</v>
      </c>
    </row>
    <row r="177" spans="1:7" ht="21">
      <c r="A177" s="34"/>
      <c r="B177" s="67" t="s">
        <v>468</v>
      </c>
      <c r="C177" s="68">
        <v>3828244</v>
      </c>
      <c r="D177" s="67"/>
      <c r="E177" s="68"/>
      <c r="F177" s="68"/>
      <c r="G177" s="69" t="s">
        <v>57</v>
      </c>
    </row>
    <row r="178" spans="1:7" ht="21" hidden="1">
      <c r="A178" s="34">
        <v>44949</v>
      </c>
      <c r="B178" s="56" t="s">
        <v>819</v>
      </c>
      <c r="C178" s="63">
        <v>1459850</v>
      </c>
      <c r="D178" s="56"/>
      <c r="E178" s="63"/>
      <c r="F178" s="63"/>
      <c r="G178" s="64" t="s">
        <v>56</v>
      </c>
    </row>
    <row r="179" spans="1:7" ht="21" hidden="1">
      <c r="A179" s="34"/>
      <c r="B179" s="56" t="s">
        <v>820</v>
      </c>
      <c r="C179" s="63">
        <v>2640000</v>
      </c>
      <c r="D179" s="56"/>
      <c r="E179" s="63"/>
      <c r="F179" s="63"/>
      <c r="G179" s="64" t="s">
        <v>56</v>
      </c>
    </row>
    <row r="180" spans="1:7" ht="21" hidden="1">
      <c r="A180" s="34"/>
      <c r="B180" s="56" t="s">
        <v>821</v>
      </c>
      <c r="C180" s="63">
        <v>9199689</v>
      </c>
      <c r="D180" s="56"/>
      <c r="E180" s="63"/>
      <c r="F180" s="63"/>
      <c r="G180" s="64" t="s">
        <v>56</v>
      </c>
    </row>
    <row r="181" spans="1:7" ht="21" hidden="1">
      <c r="A181" s="34"/>
      <c r="B181" s="33" t="s">
        <v>301</v>
      </c>
      <c r="C181" s="77">
        <v>8500000</v>
      </c>
      <c r="D181" s="33"/>
      <c r="E181" s="77"/>
      <c r="F181" s="77"/>
      <c r="G181" s="79" t="s">
        <v>154</v>
      </c>
    </row>
    <row r="182" spans="1:7" ht="21" hidden="1">
      <c r="A182" s="34"/>
      <c r="B182" s="56" t="s">
        <v>535</v>
      </c>
      <c r="C182" s="63">
        <v>123692</v>
      </c>
      <c r="D182" s="56"/>
      <c r="E182" s="63"/>
      <c r="F182" s="63"/>
      <c r="G182" s="64" t="s">
        <v>57</v>
      </c>
    </row>
    <row r="183" spans="1:7" ht="21" hidden="1">
      <c r="A183" s="34"/>
      <c r="B183" s="56" t="s">
        <v>822</v>
      </c>
      <c r="C183" s="63">
        <v>11528158</v>
      </c>
      <c r="D183" s="56"/>
      <c r="E183" s="63"/>
      <c r="F183" s="63"/>
      <c r="G183" s="64" t="s">
        <v>57</v>
      </c>
    </row>
    <row r="184" spans="1:7" ht="21" hidden="1">
      <c r="A184" s="34"/>
      <c r="B184" s="56" t="s">
        <v>823</v>
      </c>
      <c r="C184" s="63">
        <v>3263222</v>
      </c>
      <c r="D184" s="56"/>
      <c r="E184" s="63"/>
      <c r="F184" s="63"/>
      <c r="G184" s="64" t="s">
        <v>57</v>
      </c>
    </row>
    <row r="185" spans="1:7" ht="21">
      <c r="A185" s="34"/>
      <c r="B185" s="67" t="s">
        <v>376</v>
      </c>
      <c r="C185" s="68">
        <v>59169</v>
      </c>
      <c r="D185" s="67"/>
      <c r="E185" s="68"/>
      <c r="F185" s="68"/>
      <c r="G185" s="69" t="s">
        <v>57</v>
      </c>
    </row>
    <row r="186" spans="1:7" ht="21">
      <c r="A186" s="34"/>
      <c r="B186" s="67" t="s">
        <v>376</v>
      </c>
      <c r="C186" s="68">
        <v>100702</v>
      </c>
      <c r="D186" s="67"/>
      <c r="E186" s="68"/>
      <c r="F186" s="68"/>
      <c r="G186" s="69" t="s">
        <v>57</v>
      </c>
    </row>
    <row r="187" spans="1:7" ht="21">
      <c r="A187" s="34"/>
      <c r="B187" s="67" t="s">
        <v>376</v>
      </c>
      <c r="C187" s="68">
        <v>315797</v>
      </c>
      <c r="D187" s="67"/>
      <c r="E187" s="68"/>
      <c r="F187" s="68"/>
      <c r="G187" s="69" t="s">
        <v>57</v>
      </c>
    </row>
    <row r="188" spans="1:7" ht="21" hidden="1">
      <c r="A188" s="34"/>
      <c r="B188" s="56" t="s">
        <v>259</v>
      </c>
      <c r="C188" s="63">
        <v>8050000</v>
      </c>
      <c r="D188" s="56"/>
      <c r="E188" s="63"/>
      <c r="F188" s="63"/>
      <c r="G188" s="64" t="s">
        <v>90</v>
      </c>
    </row>
    <row r="189" spans="1:7" ht="21" hidden="1">
      <c r="A189" s="34"/>
      <c r="B189" s="165" t="s">
        <v>824</v>
      </c>
      <c r="C189" s="166">
        <v>192845000</v>
      </c>
      <c r="D189" s="165"/>
      <c r="E189" s="166"/>
      <c r="F189" s="166"/>
      <c r="G189" s="167"/>
    </row>
    <row r="190" spans="1:7" ht="21" hidden="1">
      <c r="A190" s="34"/>
      <c r="B190" s="165" t="s">
        <v>825</v>
      </c>
      <c r="C190" s="166">
        <v>161838429</v>
      </c>
      <c r="D190" s="165"/>
      <c r="E190" s="166"/>
      <c r="F190" s="166"/>
      <c r="G190" s="167"/>
    </row>
    <row r="191" spans="1:7" ht="21">
      <c r="A191" s="34"/>
      <c r="B191" s="67" t="s">
        <v>826</v>
      </c>
      <c r="C191" s="68">
        <v>2782970</v>
      </c>
      <c r="D191" s="67"/>
      <c r="E191" s="68"/>
      <c r="F191" s="68"/>
      <c r="G191" s="69" t="s">
        <v>57</v>
      </c>
    </row>
    <row r="192" spans="1:7" ht="21">
      <c r="A192" s="34"/>
      <c r="B192" s="67" t="s">
        <v>826</v>
      </c>
      <c r="C192" s="68">
        <v>1137890</v>
      </c>
      <c r="D192" s="67"/>
      <c r="E192" s="68"/>
      <c r="F192" s="68"/>
      <c r="G192" s="69" t="s">
        <v>57</v>
      </c>
    </row>
    <row r="193" spans="1:7" ht="21">
      <c r="A193" s="34"/>
      <c r="B193" s="67" t="s">
        <v>826</v>
      </c>
      <c r="C193" s="68">
        <v>1349860</v>
      </c>
      <c r="D193" s="67"/>
      <c r="E193" s="68"/>
      <c r="F193" s="68"/>
      <c r="G193" s="69" t="s">
        <v>57</v>
      </c>
    </row>
    <row r="194" spans="1:7" ht="21" hidden="1">
      <c r="A194" s="34">
        <v>44950</v>
      </c>
      <c r="B194" s="56" t="s">
        <v>827</v>
      </c>
      <c r="C194" s="63">
        <v>9775000</v>
      </c>
      <c r="D194" s="56"/>
      <c r="E194" s="63"/>
      <c r="F194" s="63"/>
      <c r="G194" s="64" t="s">
        <v>311</v>
      </c>
    </row>
    <row r="195" spans="1:7" ht="21" hidden="1">
      <c r="A195" s="34"/>
      <c r="B195" s="56" t="s">
        <v>428</v>
      </c>
      <c r="C195" s="63">
        <v>4726829</v>
      </c>
      <c r="D195" s="56"/>
      <c r="E195" s="63"/>
      <c r="F195" s="63"/>
      <c r="G195" s="64" t="s">
        <v>56</v>
      </c>
    </row>
    <row r="196" spans="1:7" ht="21" hidden="1">
      <c r="A196" s="34"/>
      <c r="B196" s="56" t="s">
        <v>100</v>
      </c>
      <c r="C196" s="63">
        <v>5951570</v>
      </c>
      <c r="D196" s="56"/>
      <c r="E196" s="63"/>
      <c r="F196" s="63"/>
      <c r="G196" s="64" t="s">
        <v>154</v>
      </c>
    </row>
    <row r="197" spans="1:7" ht="21" hidden="1">
      <c r="A197" s="34"/>
      <c r="B197" s="56" t="s">
        <v>670</v>
      </c>
      <c r="C197" s="63">
        <v>4425000</v>
      </c>
      <c r="D197" s="56"/>
      <c r="E197" s="63"/>
      <c r="F197" s="63"/>
      <c r="G197" s="64" t="s">
        <v>54</v>
      </c>
    </row>
    <row r="198" spans="1:7" ht="21" hidden="1">
      <c r="A198" s="34"/>
      <c r="B198" s="56" t="s">
        <v>549</v>
      </c>
      <c r="C198" s="63">
        <v>7019003</v>
      </c>
      <c r="D198" s="56"/>
      <c r="E198" s="63"/>
      <c r="F198" s="63"/>
      <c r="G198" s="64" t="s">
        <v>64</v>
      </c>
    </row>
    <row r="199" spans="1:7" ht="21" hidden="1">
      <c r="A199" s="34"/>
      <c r="B199" s="56" t="s">
        <v>271</v>
      </c>
      <c r="C199" s="63">
        <v>303786</v>
      </c>
      <c r="D199" s="56"/>
      <c r="E199" s="63"/>
      <c r="F199" s="63"/>
      <c r="G199" s="64" t="s">
        <v>53</v>
      </c>
    </row>
    <row r="200" spans="1:7" ht="21" hidden="1">
      <c r="A200" s="34"/>
      <c r="B200" s="56" t="s">
        <v>101</v>
      </c>
      <c r="C200" s="63">
        <v>4971996</v>
      </c>
      <c r="D200" s="56"/>
      <c r="E200" s="63"/>
      <c r="F200" s="63"/>
      <c r="G200" s="64" t="s">
        <v>58</v>
      </c>
    </row>
    <row r="201" spans="1:7" ht="21" hidden="1">
      <c r="A201" s="34"/>
      <c r="B201" s="56" t="s">
        <v>657</v>
      </c>
      <c r="C201" s="63">
        <v>8653847</v>
      </c>
      <c r="D201" s="56"/>
      <c r="E201" s="63"/>
      <c r="F201" s="63"/>
      <c r="G201" s="64" t="s">
        <v>58</v>
      </c>
    </row>
    <row r="202" spans="1:7" ht="21" hidden="1">
      <c r="A202" s="34"/>
      <c r="B202" s="33" t="s">
        <v>267</v>
      </c>
      <c r="C202" s="77">
        <v>2163465</v>
      </c>
      <c r="D202" s="33"/>
      <c r="E202" s="77"/>
      <c r="F202" s="77"/>
      <c r="G202" s="79" t="s">
        <v>58</v>
      </c>
    </row>
    <row r="203" spans="1:7" ht="21" hidden="1">
      <c r="A203" s="34">
        <v>44951</v>
      </c>
      <c r="B203" s="56" t="s">
        <v>828</v>
      </c>
      <c r="C203" s="63">
        <v>954000</v>
      </c>
      <c r="D203" s="56"/>
      <c r="E203" s="63"/>
      <c r="F203" s="63"/>
      <c r="G203" s="64" t="s">
        <v>56</v>
      </c>
    </row>
    <row r="204" spans="1:7" ht="21" hidden="1">
      <c r="A204" s="34"/>
      <c r="B204" s="56" t="s">
        <v>528</v>
      </c>
      <c r="C204" s="63">
        <v>29549251</v>
      </c>
      <c r="D204" s="56"/>
      <c r="E204" s="63"/>
      <c r="F204" s="63"/>
      <c r="G204" s="64" t="s">
        <v>56</v>
      </c>
    </row>
    <row r="205" spans="1:7" ht="21" hidden="1">
      <c r="A205" s="34"/>
      <c r="B205" s="56" t="s">
        <v>829</v>
      </c>
      <c r="C205" s="63">
        <v>65218800</v>
      </c>
      <c r="D205" s="56"/>
      <c r="E205" s="63"/>
      <c r="F205" s="63"/>
      <c r="G205" s="64" t="s">
        <v>56</v>
      </c>
    </row>
    <row r="206" spans="1:7" ht="21" hidden="1">
      <c r="A206" s="34"/>
      <c r="B206" s="56" t="s">
        <v>830</v>
      </c>
      <c r="C206" s="63">
        <v>689990</v>
      </c>
      <c r="D206" s="56"/>
      <c r="E206" s="63"/>
      <c r="F206" s="63"/>
      <c r="G206" s="64" t="s">
        <v>57</v>
      </c>
    </row>
    <row r="207" spans="1:7" ht="21">
      <c r="A207" s="34"/>
      <c r="B207" s="67" t="s">
        <v>437</v>
      </c>
      <c r="C207" s="68">
        <v>563900</v>
      </c>
      <c r="D207" s="67"/>
      <c r="E207" s="68"/>
      <c r="F207" s="68"/>
      <c r="G207" s="69" t="s">
        <v>57</v>
      </c>
    </row>
    <row r="208" spans="1:7" ht="21" hidden="1">
      <c r="A208" s="34"/>
      <c r="B208" s="165" t="s">
        <v>626</v>
      </c>
      <c r="C208" s="166">
        <v>4000000</v>
      </c>
      <c r="D208" s="165"/>
      <c r="E208" s="166"/>
      <c r="F208" s="166"/>
      <c r="G208" s="167" t="s">
        <v>57</v>
      </c>
    </row>
    <row r="209" spans="1:7" ht="21">
      <c r="A209" s="34"/>
      <c r="B209" s="67" t="s">
        <v>62</v>
      </c>
      <c r="D209" s="68">
        <v>18000000</v>
      </c>
      <c r="E209" s="68"/>
      <c r="F209" s="68"/>
      <c r="G209" s="69" t="s">
        <v>57</v>
      </c>
    </row>
    <row r="210" spans="1:7" ht="21" hidden="1">
      <c r="A210" s="34"/>
      <c r="B210" s="56" t="s">
        <v>680</v>
      </c>
      <c r="C210" s="63">
        <v>228300</v>
      </c>
      <c r="D210" s="56"/>
      <c r="E210" s="63"/>
      <c r="F210" s="63"/>
      <c r="G210" s="64" t="s">
        <v>57</v>
      </c>
    </row>
    <row r="211" spans="1:7" ht="21" hidden="1">
      <c r="A211" s="34"/>
      <c r="B211" s="56" t="s">
        <v>831</v>
      </c>
      <c r="C211" s="63">
        <v>287969</v>
      </c>
      <c r="D211" s="56"/>
      <c r="E211" s="63"/>
      <c r="F211" s="63"/>
      <c r="G211" s="64" t="s">
        <v>53</v>
      </c>
    </row>
    <row r="212" spans="1:7" ht="21" hidden="1">
      <c r="A212" s="34"/>
      <c r="B212" s="56" t="s">
        <v>832</v>
      </c>
      <c r="C212" s="63">
        <v>1882219</v>
      </c>
      <c r="D212" s="56"/>
      <c r="E212" s="63"/>
      <c r="F212" s="63"/>
      <c r="G212" s="64" t="s">
        <v>58</v>
      </c>
    </row>
    <row r="213" spans="1:7" ht="21" hidden="1">
      <c r="A213" s="34"/>
      <c r="B213" s="56" t="s">
        <v>702</v>
      </c>
      <c r="C213" s="63">
        <v>19215806</v>
      </c>
      <c r="D213" s="56"/>
      <c r="E213" s="63"/>
      <c r="F213" s="63"/>
      <c r="G213" s="64" t="s">
        <v>58</v>
      </c>
    </row>
    <row r="214" spans="1:7" ht="21" hidden="1">
      <c r="A214" s="34"/>
      <c r="B214" s="56" t="s">
        <v>128</v>
      </c>
      <c r="C214" s="63">
        <v>13611108</v>
      </c>
      <c r="D214" s="56"/>
      <c r="E214" s="63"/>
      <c r="F214" s="63"/>
      <c r="G214" s="64" t="s">
        <v>60</v>
      </c>
    </row>
    <row r="215" spans="1:7" ht="21" hidden="1">
      <c r="A215" s="34">
        <v>44952</v>
      </c>
      <c r="B215" s="56" t="s">
        <v>250</v>
      </c>
      <c r="C215" s="63">
        <v>10524607</v>
      </c>
      <c r="D215" s="56"/>
      <c r="E215" s="63"/>
      <c r="F215" s="63"/>
      <c r="G215" s="64" t="s">
        <v>154</v>
      </c>
    </row>
    <row r="216" spans="1:7" ht="21">
      <c r="A216" s="34"/>
      <c r="B216" s="67" t="s">
        <v>96</v>
      </c>
      <c r="C216" s="68">
        <v>73507811</v>
      </c>
      <c r="D216" s="67"/>
      <c r="E216" s="68"/>
      <c r="F216" s="68"/>
      <c r="G216" s="69" t="s">
        <v>58</v>
      </c>
    </row>
    <row r="217" spans="1:7" ht="21" hidden="1">
      <c r="A217" s="34">
        <v>44953</v>
      </c>
      <c r="B217" s="56" t="s">
        <v>61</v>
      </c>
      <c r="C217" s="63">
        <v>597975</v>
      </c>
      <c r="D217" s="56"/>
      <c r="E217" s="63"/>
      <c r="F217" s="63"/>
      <c r="G217" s="64" t="s">
        <v>154</v>
      </c>
    </row>
    <row r="218" spans="1:7" ht="21" hidden="1">
      <c r="A218" s="34"/>
      <c r="B218" s="56" t="s">
        <v>214</v>
      </c>
      <c r="C218" s="63">
        <v>336375</v>
      </c>
      <c r="D218" s="56"/>
      <c r="E218" s="63"/>
      <c r="F218" s="63"/>
      <c r="G218" s="64" t="s">
        <v>57</v>
      </c>
    </row>
    <row r="219" spans="1:7" ht="21" hidden="1">
      <c r="A219" s="34"/>
      <c r="B219" s="56" t="s">
        <v>214</v>
      </c>
      <c r="C219" s="63">
        <v>382375</v>
      </c>
      <c r="D219" s="56"/>
      <c r="E219" s="63"/>
      <c r="F219" s="63"/>
      <c r="G219" s="64" t="s">
        <v>57</v>
      </c>
    </row>
    <row r="220" spans="1:7" ht="21" hidden="1">
      <c r="A220" s="34"/>
      <c r="B220" s="56" t="s">
        <v>84</v>
      </c>
      <c r="C220" s="63">
        <v>70284331</v>
      </c>
      <c r="D220" s="56"/>
      <c r="E220" s="63"/>
      <c r="F220" s="63"/>
      <c r="G220" s="64" t="s">
        <v>53</v>
      </c>
    </row>
    <row r="221" spans="1:7" ht="21" hidden="1">
      <c r="A221" s="34"/>
      <c r="B221" s="56" t="s">
        <v>833</v>
      </c>
      <c r="C221" s="63">
        <v>16875000</v>
      </c>
      <c r="D221" s="56"/>
      <c r="E221" s="63"/>
      <c r="F221" s="63"/>
      <c r="G221" s="64" t="s">
        <v>90</v>
      </c>
    </row>
    <row r="222" spans="1:7" ht="21" hidden="1">
      <c r="A222" s="34"/>
      <c r="B222" s="56" t="s">
        <v>833</v>
      </c>
      <c r="C222" s="63">
        <v>9600000</v>
      </c>
      <c r="D222" s="56"/>
      <c r="E222" s="63"/>
      <c r="F222" s="63"/>
      <c r="G222" s="64" t="s">
        <v>90</v>
      </c>
    </row>
    <row r="223" spans="1:7" ht="21" hidden="1">
      <c r="A223" s="34">
        <v>44956</v>
      </c>
      <c r="B223" s="56" t="s">
        <v>173</v>
      </c>
      <c r="C223" s="63">
        <v>164630582</v>
      </c>
      <c r="D223" s="56"/>
      <c r="E223" s="63"/>
      <c r="F223" s="63"/>
      <c r="G223" s="64" t="s">
        <v>53</v>
      </c>
    </row>
    <row r="224" spans="1:7" ht="21" hidden="1">
      <c r="A224" s="34"/>
      <c r="B224" s="33" t="s">
        <v>834</v>
      </c>
      <c r="C224" s="77">
        <v>125000</v>
      </c>
      <c r="D224" s="33"/>
      <c r="E224" s="77"/>
      <c r="F224" s="77"/>
      <c r="G224" s="79" t="s">
        <v>57</v>
      </c>
    </row>
    <row r="225" spans="1:7" ht="21">
      <c r="A225" s="34"/>
      <c r="B225" s="67" t="s">
        <v>468</v>
      </c>
      <c r="C225" s="68">
        <v>106077</v>
      </c>
      <c r="D225" s="67"/>
      <c r="E225" s="68"/>
      <c r="F225" s="68"/>
      <c r="G225" s="69" t="s">
        <v>57</v>
      </c>
    </row>
    <row r="226" spans="1:7" ht="21" hidden="1">
      <c r="A226" s="34"/>
      <c r="B226" s="56" t="s">
        <v>835</v>
      </c>
      <c r="C226" s="63">
        <v>61525</v>
      </c>
      <c r="D226" s="56"/>
      <c r="E226" s="63"/>
      <c r="F226" s="63"/>
      <c r="G226" s="64" t="s">
        <v>57</v>
      </c>
    </row>
    <row r="227" spans="1:7" ht="21">
      <c r="A227" s="34"/>
      <c r="B227" s="67" t="s">
        <v>437</v>
      </c>
      <c r="C227" s="68">
        <v>174128800</v>
      </c>
      <c r="D227" s="67"/>
      <c r="E227" s="68"/>
      <c r="F227" s="68"/>
      <c r="G227" s="69" t="s">
        <v>154</v>
      </c>
    </row>
    <row r="228" spans="1:7" ht="21" hidden="1">
      <c r="A228" s="34">
        <v>44957</v>
      </c>
      <c r="B228" s="165" t="s">
        <v>836</v>
      </c>
      <c r="C228" s="166">
        <v>213030</v>
      </c>
      <c r="D228" s="165"/>
      <c r="E228" s="166"/>
      <c r="F228" s="166"/>
      <c r="G228" s="167" t="s">
        <v>53</v>
      </c>
    </row>
    <row r="229" spans="1:7" ht="21" hidden="1">
      <c r="A229" s="34"/>
      <c r="B229" s="165" t="s">
        <v>836</v>
      </c>
      <c r="C229" s="166">
        <v>290361</v>
      </c>
      <c r="D229" s="165"/>
      <c r="E229" s="166"/>
      <c r="F229" s="166"/>
      <c r="G229" s="167" t="s">
        <v>53</v>
      </c>
    </row>
    <row r="230" spans="1:7" ht="21">
      <c r="A230" s="34"/>
      <c r="B230" s="67" t="s">
        <v>837</v>
      </c>
      <c r="C230" s="68">
        <v>28977088</v>
      </c>
      <c r="D230" s="67"/>
      <c r="E230" s="68"/>
      <c r="F230" s="68"/>
      <c r="G230" s="69" t="s">
        <v>57</v>
      </c>
    </row>
    <row r="231" spans="1:7" ht="21" hidden="1">
      <c r="A231" s="34"/>
      <c r="B231" s="56" t="s">
        <v>156</v>
      </c>
      <c r="C231" s="63">
        <v>583900</v>
      </c>
      <c r="D231" s="56"/>
      <c r="E231" s="63"/>
      <c r="F231" s="63"/>
      <c r="G231" s="64" t="s">
        <v>154</v>
      </c>
    </row>
    <row r="232" spans="1:7" ht="21" hidden="1">
      <c r="A232" s="34"/>
      <c r="B232" s="56" t="s">
        <v>838</v>
      </c>
      <c r="C232" s="63">
        <v>4908200</v>
      </c>
      <c r="D232" s="56"/>
      <c r="E232" s="63"/>
      <c r="F232" s="63"/>
      <c r="G232" s="64" t="s">
        <v>56</v>
      </c>
    </row>
    <row r="233" spans="1:7" ht="21" hidden="1">
      <c r="A233" s="34"/>
      <c r="B233" s="30"/>
      <c r="C233" s="31"/>
      <c r="D233" s="30"/>
      <c r="E233" s="31"/>
      <c r="F233" s="31"/>
      <c r="G233" s="32"/>
    </row>
    <row r="234" spans="1:7" ht="21" hidden="1">
      <c r="A234" s="34"/>
      <c r="B234" s="30"/>
      <c r="C234" s="31"/>
      <c r="D234" s="30"/>
      <c r="E234" s="31"/>
      <c r="F234" s="31"/>
      <c r="G234" s="32"/>
    </row>
    <row r="235" spans="1:7" ht="21" hidden="1">
      <c r="A235" s="34"/>
      <c r="B235" s="30"/>
      <c r="C235" s="31"/>
      <c r="D235" s="30"/>
      <c r="E235" s="31"/>
      <c r="F235" s="31"/>
      <c r="G235" s="32"/>
    </row>
    <row r="236" spans="1:7" ht="21" hidden="1">
      <c r="A236" s="34"/>
      <c r="B236" s="30"/>
      <c r="C236" s="31"/>
      <c r="D236" s="30"/>
      <c r="E236" s="31"/>
      <c r="F236" s="31"/>
      <c r="G236" s="32"/>
    </row>
    <row r="237" spans="1:7" ht="21" hidden="1">
      <c r="B237" s="35"/>
      <c r="C237" s="36"/>
      <c r="D237" s="4"/>
      <c r="E237" s="31"/>
      <c r="F237" s="31"/>
      <c r="G237" s="32"/>
    </row>
    <row r="238" spans="1:7" ht="18.5" hidden="1">
      <c r="B238" s="37"/>
      <c r="C238" s="38">
        <f>SUM(C6:C237)</f>
        <v>5120346296</v>
      </c>
      <c r="D238" s="4"/>
      <c r="E238" s="38">
        <f>SUM(E7:E237)</f>
        <v>0</v>
      </c>
      <c r="F238" s="38"/>
      <c r="G238" s="4"/>
    </row>
    <row r="239" spans="1:7" hidden="1"/>
    <row r="240" spans="1:7" hidden="1"/>
    <row r="241" spans="2:6" ht="19" hidden="1" thickBot="1">
      <c r="B241" s="39" t="s">
        <v>71</v>
      </c>
      <c r="C241" s="39"/>
      <c r="D241" s="39">
        <f>C238+E238</f>
        <v>5120346296</v>
      </c>
    </row>
    <row r="242" spans="2:6" hidden="1"/>
    <row r="243" spans="2:6" hidden="1">
      <c r="E243" s="90"/>
      <c r="F243" s="90"/>
    </row>
    <row r="244" spans="2:6" ht="26" hidden="1">
      <c r="B244" s="40" t="s">
        <v>72</v>
      </c>
      <c r="E244" s="90"/>
      <c r="F244" s="90"/>
    </row>
    <row r="245" spans="2:6" hidden="1">
      <c r="E245" s="90"/>
      <c r="F245" s="90"/>
    </row>
    <row r="246" spans="2:6" hidden="1"/>
    <row r="247" spans="2:6" hidden="1"/>
    <row r="248" spans="2:6" hidden="1"/>
    <row r="249" spans="2:6" ht="18.5" hidden="1">
      <c r="B249" s="570" t="s">
        <v>73</v>
      </c>
      <c r="C249" s="571"/>
    </row>
    <row r="250" spans="2:6" hidden="1"/>
    <row r="251" spans="2:6" ht="18.5" hidden="1">
      <c r="B251" s="41" t="s">
        <v>74</v>
      </c>
      <c r="C251" s="41" t="s">
        <v>51</v>
      </c>
    </row>
    <row r="252" spans="2:6" ht="21" hidden="1">
      <c r="B252" s="42">
        <v>44943</v>
      </c>
      <c r="C252" s="43">
        <v>47990496</v>
      </c>
    </row>
    <row r="253" spans="2:6" ht="21" hidden="1">
      <c r="B253" s="42">
        <v>44944</v>
      </c>
      <c r="C253" s="43">
        <v>154201343</v>
      </c>
    </row>
    <row r="254" spans="2:6" ht="21" hidden="1">
      <c r="B254" s="42">
        <v>44945</v>
      </c>
      <c r="C254" s="43">
        <v>84032418</v>
      </c>
    </row>
    <row r="255" spans="2:6" ht="21" hidden="1">
      <c r="B255" s="42">
        <v>44946</v>
      </c>
      <c r="C255" s="43">
        <v>98076056</v>
      </c>
      <c r="E255" s="156"/>
    </row>
    <row r="256" spans="2:6" ht="21" hidden="1">
      <c r="B256" s="42">
        <v>44949</v>
      </c>
      <c r="C256" s="43">
        <v>164630582</v>
      </c>
    </row>
    <row r="257" spans="2:3" ht="21" hidden="1">
      <c r="B257" s="41" t="s">
        <v>75</v>
      </c>
      <c r="C257" s="43">
        <f>C256+C255+C254+C253+C252</f>
        <v>548930895</v>
      </c>
    </row>
    <row r="258" spans="2:3" hidden="1"/>
    <row r="259" spans="2:3" hidden="1">
      <c r="C259" s="44"/>
    </row>
    <row r="260" spans="2:3" hidden="1">
      <c r="C260" s="44"/>
    </row>
    <row r="261" spans="2:3" hidden="1">
      <c r="C261" s="44"/>
    </row>
    <row r="262" spans="2:3" hidden="1">
      <c r="C262" s="44"/>
    </row>
    <row r="263" spans="2:3" ht="21" hidden="1">
      <c r="B263" s="45"/>
      <c r="C263" s="44"/>
    </row>
    <row r="264" spans="2:3" ht="21" hidden="1">
      <c r="B264" s="45"/>
      <c r="C264" s="44"/>
    </row>
    <row r="265" spans="2:3" ht="21" hidden="1">
      <c r="B265" s="45"/>
      <c r="C265" s="44"/>
    </row>
    <row r="266" spans="2:3" hidden="1">
      <c r="C266" s="44"/>
    </row>
    <row r="267" spans="2:3" ht="21" hidden="1">
      <c r="B267" s="45"/>
      <c r="C267" s="44"/>
    </row>
    <row r="268" spans="2:3" ht="21" hidden="1">
      <c r="B268" s="45"/>
      <c r="C268" s="44"/>
    </row>
    <row r="269" spans="2:3" ht="21" hidden="1">
      <c r="B269" s="45"/>
      <c r="C269" s="44"/>
    </row>
    <row r="270" spans="2:3" ht="21" hidden="1">
      <c r="B270" s="45"/>
      <c r="C270" s="44"/>
    </row>
    <row r="271" spans="2:3" ht="21" hidden="1">
      <c r="B271" s="45"/>
      <c r="C271" s="44"/>
    </row>
    <row r="272" spans="2:3" ht="21" hidden="1">
      <c r="B272" s="45"/>
      <c r="C272" s="44"/>
    </row>
    <row r="273" spans="2:3" hidden="1">
      <c r="C273" s="44"/>
    </row>
    <row r="274" spans="2:3" hidden="1">
      <c r="C274" s="44"/>
    </row>
    <row r="275" spans="2:3" hidden="1">
      <c r="C275" s="44"/>
    </row>
    <row r="276" spans="2:3" ht="21" hidden="1">
      <c r="B276" s="45"/>
      <c r="C276" s="44"/>
    </row>
    <row r="277" spans="2:3" ht="21" hidden="1">
      <c r="B277" s="45"/>
      <c r="C277" s="44"/>
    </row>
    <row r="278" spans="2:3" hidden="1">
      <c r="C278" s="44"/>
    </row>
    <row r="279" spans="2:3" ht="21" hidden="1">
      <c r="B279" s="46"/>
    </row>
    <row r="280" spans="2:3" ht="18.5" hidden="1">
      <c r="B280" s="47" t="s">
        <v>76</v>
      </c>
    </row>
    <row r="281" spans="2:3" hidden="1"/>
    <row r="282" spans="2:3" ht="15.5" hidden="1">
      <c r="B282" s="48"/>
      <c r="C282" s="49"/>
    </row>
    <row r="283" spans="2:3" ht="15.5" hidden="1">
      <c r="B283" s="48"/>
      <c r="C283" s="49"/>
    </row>
    <row r="284" spans="2:3" ht="15.5" hidden="1">
      <c r="B284" s="50" t="s">
        <v>77</v>
      </c>
    </row>
    <row r="285" spans="2:3" ht="21" hidden="1">
      <c r="B285" s="30"/>
      <c r="C285" s="31"/>
    </row>
    <row r="286" spans="2:3" ht="21" hidden="1">
      <c r="B286" s="30"/>
      <c r="C286" s="31"/>
    </row>
    <row r="287" spans="2:3" ht="21" hidden="1">
      <c r="B287" s="30"/>
      <c r="C287" s="31"/>
    </row>
    <row r="288" spans="2:3" ht="21" hidden="1">
      <c r="B288" s="30"/>
      <c r="C288" s="31"/>
    </row>
    <row r="289" spans="2:3" ht="21" hidden="1">
      <c r="B289" s="30"/>
      <c r="C289" s="31"/>
    </row>
    <row r="290" spans="2:3" ht="21" hidden="1">
      <c r="B290" s="30"/>
      <c r="C290" s="31"/>
    </row>
    <row r="291" spans="2:3" ht="21" hidden="1">
      <c r="B291" s="30"/>
      <c r="C291" s="31"/>
    </row>
    <row r="292" spans="2:3" ht="21" hidden="1">
      <c r="B292" s="30"/>
      <c r="C292" s="31"/>
    </row>
    <row r="293" spans="2:3" ht="21" hidden="1">
      <c r="B293" s="30"/>
      <c r="C293" s="31"/>
    </row>
    <row r="294" spans="2:3" ht="21" hidden="1">
      <c r="B294" s="30"/>
      <c r="C294" s="31"/>
    </row>
    <row r="295" spans="2:3" ht="21" hidden="1">
      <c r="B295" s="30"/>
      <c r="C295" s="31"/>
    </row>
    <row r="296" spans="2:3" ht="21" hidden="1">
      <c r="B296" s="30"/>
      <c r="C296" s="31"/>
    </row>
    <row r="297" spans="2:3" ht="21" hidden="1">
      <c r="B297" s="30"/>
      <c r="C297" s="31"/>
    </row>
    <row r="298" spans="2:3" ht="21" hidden="1">
      <c r="B298" s="30"/>
      <c r="C298" s="31"/>
    </row>
    <row r="299" spans="2:3" ht="21" hidden="1">
      <c r="B299" s="30"/>
      <c r="C299" s="31"/>
    </row>
    <row r="300" spans="2:3" ht="21" hidden="1">
      <c r="B300" s="30"/>
      <c r="C300" s="31"/>
    </row>
    <row r="301" spans="2:3" ht="21" hidden="1">
      <c r="B301" s="30"/>
      <c r="C301" s="31"/>
    </row>
    <row r="302" spans="2:3" ht="21" hidden="1">
      <c r="B302" s="30"/>
      <c r="C302" s="31"/>
    </row>
    <row r="303" spans="2:3" ht="21" hidden="1">
      <c r="B303" s="51"/>
      <c r="C303" s="31"/>
    </row>
    <row r="304" spans="2:3" ht="15.5" hidden="1">
      <c r="B304" s="48" t="s">
        <v>75</v>
      </c>
      <c r="C304" s="49">
        <f>C285+C286+C287+C288+C289+C290+C291+C292+C293+C294+C295+C296+C297+C298</f>
        <v>0</v>
      </c>
    </row>
    <row r="305" spans="2:3" ht="15.5" hidden="1">
      <c r="B305" s="48"/>
      <c r="C305" s="49"/>
    </row>
    <row r="306" spans="2:3" ht="15.5" hidden="1">
      <c r="B306" s="48"/>
      <c r="C306" s="49"/>
    </row>
    <row r="307" spans="2:3" ht="15.5" hidden="1">
      <c r="B307" s="48"/>
      <c r="C307" s="49"/>
    </row>
    <row r="308" spans="2:3" ht="15.5" hidden="1">
      <c r="B308" s="50" t="s">
        <v>78</v>
      </c>
    </row>
    <row r="309" spans="2:3" ht="21" hidden="1">
      <c r="B309" s="30" t="s">
        <v>437</v>
      </c>
      <c r="C309" s="31">
        <v>563900</v>
      </c>
    </row>
    <row r="310" spans="2:3" ht="21" hidden="1">
      <c r="B310" s="30" t="s">
        <v>96</v>
      </c>
      <c r="C310" s="31">
        <v>73507811</v>
      </c>
    </row>
    <row r="311" spans="2:3" ht="21" hidden="1">
      <c r="B311" s="30"/>
      <c r="C311" s="31"/>
    </row>
    <row r="312" spans="2:3" ht="21" hidden="1">
      <c r="B312" s="30"/>
      <c r="C312" s="31"/>
    </row>
    <row r="313" spans="2:3" ht="21" hidden="1">
      <c r="B313" s="30"/>
      <c r="C313" s="31"/>
    </row>
    <row r="314" spans="2:3" ht="21" hidden="1">
      <c r="B314" s="30"/>
      <c r="C314" s="31"/>
    </row>
    <row r="315" spans="2:3" ht="21" hidden="1">
      <c r="B315" s="30"/>
      <c r="C315" s="31"/>
    </row>
    <row r="316" spans="2:3" ht="21" hidden="1">
      <c r="B316" s="30"/>
      <c r="C316" s="31"/>
    </row>
    <row r="317" spans="2:3" ht="21" hidden="1">
      <c r="B317" s="30"/>
      <c r="C317" s="31"/>
    </row>
    <row r="318" spans="2:3" ht="21" hidden="1">
      <c r="B318" s="30"/>
      <c r="C318" s="31"/>
    </row>
    <row r="319" spans="2:3" ht="21" hidden="1">
      <c r="B319" s="30"/>
      <c r="C319" s="31"/>
    </row>
    <row r="320" spans="2:3" ht="21" hidden="1">
      <c r="B320" s="30"/>
      <c r="C320" s="31"/>
    </row>
    <row r="321" spans="2:3" ht="21" hidden="1">
      <c r="B321" s="30"/>
      <c r="C321" s="31"/>
    </row>
    <row r="322" spans="2:3" ht="15.5" hidden="1">
      <c r="B322" s="48" t="s">
        <v>75</v>
      </c>
      <c r="C322" s="49">
        <f>SUM(C309:C321)</f>
        <v>74071711</v>
      </c>
    </row>
    <row r="323" spans="2:3" ht="15.5" hidden="1">
      <c r="B323" s="48"/>
      <c r="C323" s="49">
        <f>SUM(C321)</f>
        <v>0</v>
      </c>
    </row>
    <row r="324" spans="2:3" ht="15.5" hidden="1">
      <c r="B324" s="48"/>
      <c r="C324" s="49"/>
    </row>
    <row r="325" spans="2:3" ht="15.5" hidden="1">
      <c r="B325" s="48"/>
      <c r="C325" s="49"/>
    </row>
    <row r="326" spans="2:3" ht="15.5" hidden="1">
      <c r="B326" s="50" t="s">
        <v>79</v>
      </c>
    </row>
    <row r="327" spans="2:3" ht="21" hidden="1">
      <c r="B327" s="30" t="s">
        <v>626</v>
      </c>
      <c r="C327" s="31">
        <v>4000000</v>
      </c>
    </row>
    <row r="328" spans="2:3" ht="21" hidden="1">
      <c r="B328" s="30"/>
      <c r="C328" s="31"/>
    </row>
    <row r="329" spans="2:3" ht="21" hidden="1">
      <c r="B329" s="30"/>
      <c r="C329" s="31"/>
    </row>
    <row r="330" spans="2:3" ht="21" hidden="1">
      <c r="B330" s="30"/>
      <c r="C330" s="31"/>
    </row>
    <row r="331" spans="2:3" ht="15.5" hidden="1">
      <c r="B331" s="52"/>
      <c r="C331" s="171"/>
    </row>
    <row r="332" spans="2:3" ht="15.5" hidden="1">
      <c r="B332" s="48" t="s">
        <v>75</v>
      </c>
      <c r="C332" s="49">
        <f>SUM(C327:C331)</f>
        <v>4000000</v>
      </c>
    </row>
    <row r="333" spans="2:3" ht="15.5" hidden="1">
      <c r="B333" s="48"/>
      <c r="C333" s="49"/>
    </row>
    <row r="334" spans="2:3" ht="15.5" hidden="1">
      <c r="B334" s="48"/>
      <c r="C334" s="49"/>
    </row>
    <row r="335" spans="2:3" ht="15.5" hidden="1">
      <c r="B335" s="48"/>
      <c r="C335" s="49"/>
    </row>
    <row r="336" spans="2:3" hidden="1">
      <c r="C336" s="44"/>
    </row>
    <row r="337" spans="2:3" ht="15.5" hidden="1">
      <c r="B337" s="50" t="s">
        <v>80</v>
      </c>
    </row>
    <row r="338" spans="2:3" ht="21" hidden="1">
      <c r="B338" s="30" t="s">
        <v>827</v>
      </c>
      <c r="C338" s="31">
        <v>9775000</v>
      </c>
    </row>
    <row r="339" spans="2:3" ht="21" hidden="1">
      <c r="B339" s="30" t="s">
        <v>428</v>
      </c>
      <c r="C339" s="31">
        <v>4726829</v>
      </c>
    </row>
    <row r="340" spans="2:3" ht="21" hidden="1">
      <c r="B340" s="30" t="s">
        <v>100</v>
      </c>
      <c r="C340" s="31">
        <v>5951570</v>
      </c>
    </row>
    <row r="341" spans="2:3" ht="21" hidden="1">
      <c r="B341" s="30" t="s">
        <v>670</v>
      </c>
      <c r="C341" s="31">
        <v>4425000</v>
      </c>
    </row>
    <row r="342" spans="2:3" ht="21" hidden="1">
      <c r="B342" s="30" t="s">
        <v>549</v>
      </c>
      <c r="C342" s="31">
        <v>7019003</v>
      </c>
    </row>
    <row r="343" spans="2:3" ht="21" hidden="1">
      <c r="B343" s="30" t="s">
        <v>271</v>
      </c>
      <c r="C343" s="31">
        <v>303786</v>
      </c>
    </row>
    <row r="344" spans="2:3" ht="21" hidden="1">
      <c r="B344" s="30" t="s">
        <v>101</v>
      </c>
      <c r="C344" s="31">
        <v>4971996</v>
      </c>
    </row>
    <row r="345" spans="2:3" ht="21" hidden="1">
      <c r="B345" s="30" t="s">
        <v>657</v>
      </c>
      <c r="C345" s="31">
        <v>8653847</v>
      </c>
    </row>
    <row r="346" spans="2:3" ht="21" hidden="1">
      <c r="B346" s="30" t="s">
        <v>267</v>
      </c>
      <c r="C346" s="31">
        <v>2163465</v>
      </c>
    </row>
    <row r="347" spans="2:3" ht="21" hidden="1">
      <c r="B347" s="30" t="s">
        <v>828</v>
      </c>
      <c r="C347" s="31">
        <v>954000</v>
      </c>
    </row>
    <row r="348" spans="2:3" ht="21" hidden="1">
      <c r="B348" s="30" t="s">
        <v>528</v>
      </c>
      <c r="C348" s="31">
        <v>29549251</v>
      </c>
    </row>
    <row r="349" spans="2:3" ht="21" hidden="1">
      <c r="B349" s="30" t="s">
        <v>829</v>
      </c>
      <c r="C349" s="31">
        <v>65218800</v>
      </c>
    </row>
    <row r="350" spans="2:3" ht="21" hidden="1">
      <c r="B350" s="30" t="s">
        <v>830</v>
      </c>
      <c r="C350" s="31">
        <v>689990</v>
      </c>
    </row>
    <row r="351" spans="2:3" ht="21" hidden="1">
      <c r="B351" s="30" t="s">
        <v>62</v>
      </c>
      <c r="C351" s="31">
        <v>18000000</v>
      </c>
    </row>
    <row r="352" spans="2:3" ht="21" hidden="1">
      <c r="B352" s="30" t="s">
        <v>680</v>
      </c>
      <c r="C352" s="31">
        <v>228300</v>
      </c>
    </row>
    <row r="353" spans="2:3" ht="21" hidden="1">
      <c r="B353" s="30" t="s">
        <v>831</v>
      </c>
      <c r="C353" s="31">
        <v>287969</v>
      </c>
    </row>
    <row r="354" spans="2:3" ht="21" hidden="1">
      <c r="B354" s="30" t="s">
        <v>832</v>
      </c>
      <c r="C354" s="31">
        <v>1882219</v>
      </c>
    </row>
    <row r="355" spans="2:3" ht="21" hidden="1">
      <c r="B355" s="30" t="s">
        <v>702</v>
      </c>
      <c r="C355" s="31">
        <v>19215806</v>
      </c>
    </row>
    <row r="356" spans="2:3" ht="21" hidden="1">
      <c r="B356" s="30" t="s">
        <v>128</v>
      </c>
      <c r="C356" s="31">
        <v>13611108</v>
      </c>
    </row>
    <row r="357" spans="2:3" ht="21" hidden="1">
      <c r="B357" s="30" t="s">
        <v>250</v>
      </c>
      <c r="C357" s="31">
        <v>10524607</v>
      </c>
    </row>
    <row r="358" spans="2:3" ht="21" hidden="1">
      <c r="B358" s="30" t="s">
        <v>61</v>
      </c>
      <c r="C358" s="31">
        <v>597975</v>
      </c>
    </row>
    <row r="359" spans="2:3" ht="21" hidden="1">
      <c r="B359" s="30" t="s">
        <v>214</v>
      </c>
      <c r="C359" s="31">
        <v>336375</v>
      </c>
    </row>
    <row r="360" spans="2:3" ht="21" hidden="1">
      <c r="B360" s="30" t="s">
        <v>214</v>
      </c>
      <c r="C360" s="31">
        <v>382375</v>
      </c>
    </row>
    <row r="361" spans="2:3" ht="21" hidden="1">
      <c r="B361" s="30" t="s">
        <v>84</v>
      </c>
      <c r="C361" s="31">
        <v>70284331</v>
      </c>
    </row>
    <row r="362" spans="2:3" ht="21" hidden="1">
      <c r="B362" s="30" t="s">
        <v>833</v>
      </c>
      <c r="C362" s="31">
        <v>16875000</v>
      </c>
    </row>
    <row r="363" spans="2:3" ht="21" hidden="1">
      <c r="B363" s="30" t="s">
        <v>833</v>
      </c>
      <c r="C363" s="31">
        <v>9600000</v>
      </c>
    </row>
    <row r="364" spans="2:3" ht="21" hidden="1">
      <c r="B364" s="30" t="s">
        <v>173</v>
      </c>
      <c r="C364" s="31">
        <v>164630582</v>
      </c>
    </row>
    <row r="365" spans="2:3" ht="21" hidden="1">
      <c r="B365" s="30"/>
      <c r="C365" s="31"/>
    </row>
    <row r="366" spans="2:3" ht="21" hidden="1">
      <c r="B366" s="30"/>
      <c r="C366" s="31"/>
    </row>
    <row r="367" spans="2:3" ht="21" hidden="1">
      <c r="B367" s="30"/>
      <c r="C367" s="31"/>
    </row>
    <row r="368" spans="2:3" ht="21" hidden="1">
      <c r="B368" s="53"/>
      <c r="C368" s="43"/>
    </row>
    <row r="369" spans="2:3" ht="15.5" hidden="1">
      <c r="B369" s="54" t="s">
        <v>75</v>
      </c>
      <c r="C369" s="49">
        <f>SUM(C338:C368)</f>
        <v>470859184</v>
      </c>
    </row>
    <row r="370" spans="2:3" hidden="1">
      <c r="C370" s="44"/>
    </row>
    <row r="374" spans="2:3">
      <c r="C374" s="44">
        <f>+C139+C142</f>
        <v>362350148</v>
      </c>
    </row>
  </sheetData>
  <autoFilter ref="B3:B370">
    <filterColumn colId="0">
      <colorFilter dxfId="0"/>
    </filterColumn>
  </autoFilter>
  <mergeCells count="4">
    <mergeCell ref="B3:C3"/>
    <mergeCell ref="C5:D5"/>
    <mergeCell ref="G5:G6"/>
    <mergeCell ref="B249:C249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411"/>
  <sheetViews>
    <sheetView topLeftCell="A52" workbookViewId="0">
      <selection activeCell="C61" sqref="C61"/>
    </sheetView>
  </sheetViews>
  <sheetFormatPr baseColWidth="10" defaultRowHeight="14.5"/>
  <cols>
    <col min="2" max="2" width="70.6328125" bestFit="1" customWidth="1"/>
    <col min="3" max="3" width="23.453125" bestFit="1" customWidth="1"/>
    <col min="4" max="4" width="12.54296875" customWidth="1"/>
    <col min="5" max="5" width="16.36328125" customWidth="1"/>
    <col min="6" max="6" width="16.54296875" customWidth="1"/>
  </cols>
  <sheetData>
    <row r="4" spans="1:7" ht="26">
      <c r="B4" s="564" t="s">
        <v>590</v>
      </c>
      <c r="C4" s="564"/>
    </row>
    <row r="6" spans="1:7" ht="20">
      <c r="B6" s="23" t="s">
        <v>591</v>
      </c>
      <c r="C6" s="565" t="s">
        <v>46</v>
      </c>
      <c r="D6" s="566"/>
      <c r="E6" s="565" t="s">
        <v>47</v>
      </c>
      <c r="F6" s="567"/>
      <c r="G6" s="568" t="s">
        <v>48</v>
      </c>
    </row>
    <row r="7" spans="1:7" ht="30.5">
      <c r="B7" s="23"/>
      <c r="C7" s="25" t="s">
        <v>49</v>
      </c>
      <c r="D7" s="26" t="s">
        <v>50</v>
      </c>
      <c r="E7" s="27" t="s">
        <v>51</v>
      </c>
      <c r="F7" s="28" t="s">
        <v>52</v>
      </c>
      <c r="G7" s="569"/>
    </row>
    <row r="8" spans="1:7" ht="21">
      <c r="A8" s="34"/>
      <c r="B8" s="30"/>
      <c r="C8" s="31"/>
      <c r="D8" s="4"/>
      <c r="E8" s="31"/>
      <c r="F8" s="31"/>
      <c r="G8" s="32"/>
    </row>
    <row r="9" spans="1:7" s="60" customFormat="1" ht="21">
      <c r="A9" s="58">
        <v>44896</v>
      </c>
      <c r="B9" s="29" t="s">
        <v>296</v>
      </c>
      <c r="C9" s="59">
        <v>320100</v>
      </c>
      <c r="D9" s="29"/>
      <c r="E9" s="59"/>
      <c r="F9" s="59"/>
      <c r="G9" s="61" t="s">
        <v>57</v>
      </c>
    </row>
    <row r="10" spans="1:7" s="164" customFormat="1" ht="21">
      <c r="A10" s="160"/>
      <c r="B10" s="161" t="s">
        <v>592</v>
      </c>
      <c r="C10" s="162">
        <v>3905684</v>
      </c>
      <c r="D10" s="161"/>
      <c r="E10" s="162"/>
      <c r="F10" s="162"/>
      <c r="G10" s="163" t="s">
        <v>57</v>
      </c>
    </row>
    <row r="11" spans="1:7" s="60" customFormat="1" ht="21">
      <c r="A11" s="58"/>
      <c r="B11" s="29" t="s">
        <v>593</v>
      </c>
      <c r="C11" s="59">
        <v>2500000</v>
      </c>
      <c r="D11" s="29"/>
      <c r="E11" s="59"/>
      <c r="F11" s="59"/>
      <c r="G11" s="61" t="s">
        <v>57</v>
      </c>
    </row>
    <row r="12" spans="1:7" s="164" customFormat="1" ht="21">
      <c r="A12" s="160"/>
      <c r="B12" s="161" t="s">
        <v>197</v>
      </c>
      <c r="C12" s="162">
        <v>2680000</v>
      </c>
      <c r="D12" s="161"/>
      <c r="E12" s="162"/>
      <c r="F12" s="162"/>
      <c r="G12" s="163" t="s">
        <v>57</v>
      </c>
    </row>
    <row r="13" spans="1:7" s="60" customFormat="1" ht="21">
      <c r="A13" s="58"/>
      <c r="B13" s="29" t="s">
        <v>594</v>
      </c>
      <c r="C13" s="59">
        <v>1596232</v>
      </c>
      <c r="D13" s="29"/>
      <c r="E13" s="59"/>
      <c r="F13" s="59"/>
      <c r="G13" s="61" t="s">
        <v>57</v>
      </c>
    </row>
    <row r="14" spans="1:7" s="60" customFormat="1" ht="21">
      <c r="A14" s="58"/>
      <c r="B14" s="29" t="s">
        <v>595</v>
      </c>
      <c r="C14" s="59">
        <v>2358070</v>
      </c>
      <c r="D14" s="29"/>
      <c r="E14" s="59"/>
      <c r="F14" s="59"/>
      <c r="G14" s="61" t="s">
        <v>596</v>
      </c>
    </row>
    <row r="15" spans="1:7" s="60" customFormat="1" ht="21">
      <c r="A15" s="58"/>
      <c r="B15" s="29" t="s">
        <v>549</v>
      </c>
      <c r="C15" s="59">
        <v>3043263</v>
      </c>
      <c r="D15" s="29"/>
      <c r="E15" s="59"/>
      <c r="F15" s="59"/>
      <c r="G15" s="61" t="s">
        <v>64</v>
      </c>
    </row>
    <row r="16" spans="1:7" ht="21">
      <c r="A16" s="34"/>
      <c r="B16" s="30"/>
      <c r="C16" s="31"/>
      <c r="D16" s="4"/>
      <c r="E16" s="31"/>
      <c r="F16" s="31"/>
      <c r="G16" s="32"/>
    </row>
    <row r="17" spans="1:7" s="60" customFormat="1" ht="21">
      <c r="A17" s="58">
        <v>44897</v>
      </c>
      <c r="B17" s="29" t="s">
        <v>496</v>
      </c>
      <c r="C17" s="59">
        <v>1840800</v>
      </c>
      <c r="D17" s="29"/>
      <c r="E17" s="59"/>
      <c r="F17" s="59"/>
      <c r="G17" s="61" t="s">
        <v>154</v>
      </c>
    </row>
    <row r="18" spans="1:7" s="60" customFormat="1" ht="21">
      <c r="A18" s="58"/>
      <c r="B18" s="29" t="s">
        <v>167</v>
      </c>
      <c r="C18" s="59">
        <v>4332110</v>
      </c>
      <c r="D18" s="29"/>
      <c r="E18" s="59"/>
      <c r="F18" s="59"/>
      <c r="G18" s="61" t="s">
        <v>154</v>
      </c>
    </row>
    <row r="19" spans="1:7" s="60" customFormat="1" ht="21">
      <c r="A19" s="58"/>
      <c r="B19" s="29" t="s">
        <v>597</v>
      </c>
      <c r="C19" s="59">
        <v>990000</v>
      </c>
      <c r="D19" s="29"/>
      <c r="E19" s="59"/>
      <c r="F19" s="59"/>
      <c r="G19" s="61" t="s">
        <v>56</v>
      </c>
    </row>
    <row r="20" spans="1:7" s="60" customFormat="1" ht="21">
      <c r="A20" s="58"/>
      <c r="B20" s="29" t="s">
        <v>598</v>
      </c>
      <c r="C20" s="59">
        <v>2954620</v>
      </c>
      <c r="D20" s="29"/>
      <c r="E20" s="59"/>
      <c r="F20" s="59"/>
      <c r="G20" s="61" t="s">
        <v>56</v>
      </c>
    </row>
    <row r="21" spans="1:7" s="60" customFormat="1" ht="21">
      <c r="A21" s="58"/>
      <c r="B21" s="29" t="s">
        <v>404</v>
      </c>
      <c r="C21" s="59">
        <v>924000</v>
      </c>
      <c r="D21" s="29"/>
      <c r="E21" s="59"/>
      <c r="F21" s="59"/>
      <c r="G21" s="61" t="s">
        <v>56</v>
      </c>
    </row>
    <row r="22" spans="1:7" s="60" customFormat="1" ht="21">
      <c r="A22" s="58"/>
      <c r="B22" s="29" t="s">
        <v>599</v>
      </c>
      <c r="C22" s="59">
        <v>813120</v>
      </c>
      <c r="D22" s="29"/>
      <c r="E22" s="59"/>
      <c r="F22" s="59"/>
      <c r="G22" s="61" t="s">
        <v>56</v>
      </c>
    </row>
    <row r="23" spans="1:7" s="60" customFormat="1" ht="21">
      <c r="A23" s="58"/>
      <c r="B23" s="29" t="s">
        <v>600</v>
      </c>
      <c r="C23" s="59">
        <v>607200</v>
      </c>
      <c r="D23" s="29"/>
      <c r="E23" s="59"/>
      <c r="F23" s="59"/>
      <c r="G23" s="61" t="s">
        <v>56</v>
      </c>
    </row>
    <row r="24" spans="1:7" s="164" customFormat="1" ht="21">
      <c r="A24" s="160"/>
      <c r="B24" s="161" t="s">
        <v>269</v>
      </c>
      <c r="C24" s="162">
        <v>4000000</v>
      </c>
      <c r="D24" s="161"/>
      <c r="E24" s="162"/>
      <c r="F24" s="162"/>
      <c r="G24" s="163" t="s">
        <v>57</v>
      </c>
    </row>
    <row r="25" spans="1:7" s="74" customFormat="1" ht="21">
      <c r="A25" s="71"/>
      <c r="B25" s="72" t="s">
        <v>468</v>
      </c>
      <c r="C25" s="73">
        <v>268530</v>
      </c>
      <c r="D25" s="72"/>
      <c r="E25" s="73"/>
      <c r="F25" s="73"/>
      <c r="G25" s="75" t="s">
        <v>57</v>
      </c>
    </row>
    <row r="26" spans="1:7" s="74" customFormat="1" ht="21">
      <c r="A26" s="71"/>
      <c r="B26" s="72" t="s">
        <v>468</v>
      </c>
      <c r="C26" s="73">
        <v>12670978</v>
      </c>
      <c r="D26" s="72"/>
      <c r="E26" s="73"/>
      <c r="F26" s="73"/>
      <c r="G26" s="75" t="s">
        <v>57</v>
      </c>
    </row>
    <row r="27" spans="1:7" s="60" customFormat="1" ht="21">
      <c r="A27" s="58"/>
      <c r="B27" s="29" t="s">
        <v>140</v>
      </c>
      <c r="C27" s="59">
        <v>5561400</v>
      </c>
      <c r="D27" s="29"/>
      <c r="E27" s="59"/>
      <c r="F27" s="59"/>
      <c r="G27" s="61" t="s">
        <v>58</v>
      </c>
    </row>
    <row r="28" spans="1:7" s="60" customFormat="1" ht="21">
      <c r="A28" s="58"/>
      <c r="B28" s="29" t="s">
        <v>94</v>
      </c>
      <c r="C28" s="59">
        <v>18810320</v>
      </c>
      <c r="D28" s="29"/>
      <c r="E28" s="59"/>
      <c r="F28" s="59"/>
      <c r="G28" s="61" t="s">
        <v>58</v>
      </c>
    </row>
    <row r="29" spans="1:7" ht="21">
      <c r="A29" s="34"/>
      <c r="B29" s="30"/>
      <c r="C29" s="31"/>
      <c r="D29" s="4"/>
      <c r="E29" s="31"/>
      <c r="F29" s="31"/>
      <c r="G29" s="32"/>
    </row>
    <row r="30" spans="1:7" s="164" customFormat="1" ht="21">
      <c r="A30" s="160">
        <v>44900</v>
      </c>
      <c r="B30" s="161" t="s">
        <v>474</v>
      </c>
      <c r="C30" s="162">
        <v>1057000</v>
      </c>
      <c r="D30" s="161"/>
      <c r="E30" s="162"/>
      <c r="F30" s="162"/>
      <c r="G30" s="163" t="s">
        <v>57</v>
      </c>
    </row>
    <row r="31" spans="1:7" s="60" customFormat="1" ht="21">
      <c r="A31" s="58"/>
      <c r="B31" s="29" t="s">
        <v>601</v>
      </c>
      <c r="C31" s="59">
        <v>1022860</v>
      </c>
      <c r="D31" s="29"/>
      <c r="E31" s="59"/>
      <c r="F31" s="59"/>
      <c r="G31" s="61" t="s">
        <v>54</v>
      </c>
    </row>
    <row r="32" spans="1:7" s="60" customFormat="1" ht="21">
      <c r="A32" s="58"/>
      <c r="B32" s="29" t="s">
        <v>602</v>
      </c>
      <c r="C32" s="59">
        <v>5558427</v>
      </c>
      <c r="D32" s="29"/>
      <c r="E32" s="59"/>
      <c r="F32" s="59"/>
      <c r="G32" s="61" t="s">
        <v>54</v>
      </c>
    </row>
    <row r="33" spans="1:7" ht="21">
      <c r="A33" s="34"/>
      <c r="B33" s="30"/>
      <c r="C33" s="31"/>
      <c r="D33" s="4"/>
      <c r="E33" s="31"/>
      <c r="F33" s="31"/>
      <c r="G33" s="32"/>
    </row>
    <row r="34" spans="1:7" ht="21">
      <c r="A34" s="34"/>
      <c r="B34" s="30"/>
      <c r="C34" s="31"/>
      <c r="D34" s="4"/>
      <c r="E34" s="31"/>
      <c r="F34" s="31"/>
      <c r="G34" s="32"/>
    </row>
    <row r="35" spans="1:7" s="164" customFormat="1" ht="21">
      <c r="A35" s="160">
        <v>44901</v>
      </c>
      <c r="B35" s="161" t="s">
        <v>589</v>
      </c>
      <c r="C35" s="162">
        <v>862517</v>
      </c>
      <c r="D35" s="161"/>
      <c r="E35" s="162"/>
      <c r="F35" s="162"/>
      <c r="G35" s="163" t="s">
        <v>154</v>
      </c>
    </row>
    <row r="36" spans="1:7" s="60" customFormat="1" ht="21">
      <c r="A36" s="58"/>
      <c r="B36" s="29" t="s">
        <v>250</v>
      </c>
      <c r="C36" s="59">
        <v>54717502</v>
      </c>
      <c r="D36" s="29"/>
      <c r="E36" s="59"/>
      <c r="F36" s="59"/>
      <c r="G36" s="61" t="s">
        <v>154</v>
      </c>
    </row>
    <row r="37" spans="1:7" s="164" customFormat="1" ht="21">
      <c r="A37" s="160"/>
      <c r="B37" s="161" t="s">
        <v>589</v>
      </c>
      <c r="C37" s="162">
        <v>1032495</v>
      </c>
      <c r="D37" s="161"/>
      <c r="E37" s="162"/>
      <c r="F37" s="162"/>
      <c r="G37" s="163" t="s">
        <v>154</v>
      </c>
    </row>
    <row r="38" spans="1:7" s="164" customFormat="1" ht="21">
      <c r="A38" s="160"/>
      <c r="B38" s="161" t="s">
        <v>589</v>
      </c>
      <c r="C38" s="162">
        <v>150000000</v>
      </c>
      <c r="D38" s="161"/>
      <c r="E38" s="162"/>
      <c r="F38" s="162"/>
      <c r="G38" s="163" t="s">
        <v>154</v>
      </c>
    </row>
    <row r="39" spans="1:7" s="60" customFormat="1" ht="21">
      <c r="A39" s="58"/>
      <c r="B39" s="29" t="s">
        <v>528</v>
      </c>
      <c r="C39" s="59">
        <v>20906960</v>
      </c>
      <c r="D39" s="29"/>
      <c r="E39" s="59"/>
      <c r="F39" s="59"/>
      <c r="G39" s="61" t="s">
        <v>56</v>
      </c>
    </row>
    <row r="40" spans="1:7" s="60" customFormat="1" ht="21">
      <c r="A40" s="58"/>
      <c r="B40" s="29" t="s">
        <v>603</v>
      </c>
      <c r="C40" s="59">
        <v>2700000</v>
      </c>
      <c r="D40" s="29"/>
      <c r="E40" s="59"/>
      <c r="F40" s="59"/>
      <c r="G40" s="61" t="s">
        <v>56</v>
      </c>
    </row>
    <row r="41" spans="1:7" s="164" customFormat="1" ht="21">
      <c r="A41" s="160"/>
      <c r="B41" s="161" t="s">
        <v>93</v>
      </c>
      <c r="C41" s="162">
        <v>500000</v>
      </c>
      <c r="D41" s="161"/>
      <c r="E41" s="162"/>
      <c r="F41" s="162"/>
      <c r="G41" s="163" t="s">
        <v>56</v>
      </c>
    </row>
    <row r="42" spans="1:7" s="60" customFormat="1" ht="21">
      <c r="A42" s="58"/>
      <c r="B42" s="29" t="s">
        <v>604</v>
      </c>
      <c r="C42" s="59">
        <v>1144600</v>
      </c>
      <c r="D42" s="29"/>
      <c r="E42" s="59"/>
      <c r="F42" s="59"/>
      <c r="G42" s="61" t="s">
        <v>57</v>
      </c>
    </row>
    <row r="43" spans="1:7" s="60" customFormat="1" ht="21">
      <c r="A43" s="58"/>
      <c r="B43" s="29" t="s">
        <v>604</v>
      </c>
      <c r="C43" s="59">
        <v>95755</v>
      </c>
      <c r="D43" s="29"/>
      <c r="E43" s="59"/>
      <c r="F43" s="59"/>
      <c r="G43" s="61"/>
    </row>
    <row r="44" spans="1:7" s="60" customFormat="1" ht="21">
      <c r="A44" s="58"/>
      <c r="B44" s="29" t="s">
        <v>604</v>
      </c>
      <c r="C44" s="59">
        <v>44446525</v>
      </c>
      <c r="D44" s="29"/>
      <c r="E44" s="59"/>
      <c r="F44" s="59"/>
      <c r="G44" s="61" t="s">
        <v>57</v>
      </c>
    </row>
    <row r="45" spans="1:7" s="60" customFormat="1" ht="21">
      <c r="A45" s="58"/>
      <c r="B45" s="29" t="s">
        <v>605</v>
      </c>
      <c r="C45" s="59">
        <v>265500</v>
      </c>
      <c r="D45" s="29"/>
      <c r="E45" s="59"/>
      <c r="F45" s="59"/>
      <c r="G45" s="61" t="s">
        <v>57</v>
      </c>
    </row>
    <row r="46" spans="1:7" s="60" customFormat="1" ht="21">
      <c r="A46" s="58"/>
      <c r="B46" s="29" t="s">
        <v>606</v>
      </c>
      <c r="C46" s="59">
        <v>145500</v>
      </c>
      <c r="D46" s="29"/>
      <c r="E46" s="59"/>
      <c r="F46" s="59"/>
      <c r="G46" s="61" t="s">
        <v>54</v>
      </c>
    </row>
    <row r="47" spans="1:7" s="60" customFormat="1" ht="21">
      <c r="A47" s="58"/>
      <c r="B47" s="29" t="s">
        <v>607</v>
      </c>
      <c r="C47" s="59">
        <v>2694500</v>
      </c>
      <c r="D47" s="29"/>
      <c r="E47" s="59"/>
      <c r="F47" s="59"/>
      <c r="G47" s="61" t="s">
        <v>53</v>
      </c>
    </row>
    <row r="48" spans="1:7" ht="21">
      <c r="A48" s="34"/>
      <c r="B48" s="30"/>
      <c r="C48" s="31"/>
      <c r="D48" s="4"/>
      <c r="E48" s="31"/>
      <c r="F48" s="31"/>
      <c r="G48" s="32"/>
    </row>
    <row r="49" spans="1:7" s="60" customFormat="1" ht="21">
      <c r="A49" s="58">
        <v>44902</v>
      </c>
      <c r="B49" s="29" t="s">
        <v>608</v>
      </c>
      <c r="C49" s="59">
        <v>22323751</v>
      </c>
      <c r="D49" s="29"/>
      <c r="E49" s="59"/>
      <c r="F49" s="59"/>
      <c r="G49" s="61" t="s">
        <v>56</v>
      </c>
    </row>
    <row r="50" spans="1:7" s="60" customFormat="1" ht="21">
      <c r="A50" s="58"/>
      <c r="B50" s="29" t="s">
        <v>65</v>
      </c>
      <c r="C50" s="59">
        <v>1130555</v>
      </c>
      <c r="D50" s="29"/>
      <c r="E50" s="59"/>
      <c r="F50" s="59"/>
      <c r="G50" s="61" t="s">
        <v>56</v>
      </c>
    </row>
    <row r="51" spans="1:7" s="60" customFormat="1" ht="21">
      <c r="A51" s="58"/>
      <c r="B51" s="29" t="s">
        <v>609</v>
      </c>
      <c r="C51" s="59">
        <v>660000</v>
      </c>
      <c r="D51" s="29"/>
      <c r="E51" s="59"/>
      <c r="F51" s="59"/>
      <c r="G51" s="61" t="s">
        <v>56</v>
      </c>
    </row>
    <row r="52" spans="1:7" s="74" customFormat="1" ht="21">
      <c r="A52" s="71"/>
      <c r="B52" s="72" t="s">
        <v>468</v>
      </c>
      <c r="C52" s="73">
        <v>992397</v>
      </c>
      <c r="D52" s="72"/>
      <c r="E52" s="73"/>
      <c r="F52" s="73"/>
      <c r="G52" s="75" t="s">
        <v>57</v>
      </c>
    </row>
    <row r="53" spans="1:7" s="164" customFormat="1" ht="21">
      <c r="A53" s="160"/>
      <c r="B53" s="161" t="s">
        <v>610</v>
      </c>
      <c r="C53" s="162">
        <v>633750</v>
      </c>
      <c r="D53" s="161"/>
      <c r="E53" s="162"/>
      <c r="F53" s="162"/>
      <c r="G53" s="163" t="s">
        <v>57</v>
      </c>
    </row>
    <row r="54" spans="1:7" ht="21">
      <c r="A54" s="34"/>
      <c r="B54" s="30"/>
      <c r="C54" s="31"/>
      <c r="D54" s="4"/>
      <c r="E54" s="31"/>
      <c r="F54" s="31"/>
      <c r="G54" s="32"/>
    </row>
    <row r="55" spans="1:7" s="60" customFormat="1" ht="21">
      <c r="A55" s="58">
        <v>44903</v>
      </c>
      <c r="B55" s="29" t="s">
        <v>496</v>
      </c>
      <c r="C55" s="59">
        <v>1180000</v>
      </c>
      <c r="D55" s="29"/>
      <c r="E55" s="59"/>
      <c r="F55" s="59"/>
      <c r="G55" s="61" t="s">
        <v>154</v>
      </c>
    </row>
    <row r="56" spans="1:7" s="60" customFormat="1" ht="21">
      <c r="A56" s="58"/>
      <c r="B56" s="29" t="s">
        <v>611</v>
      </c>
      <c r="C56" s="59">
        <v>1320000</v>
      </c>
      <c r="D56" s="29"/>
      <c r="E56" s="59"/>
      <c r="F56" s="59"/>
      <c r="G56" s="61" t="s">
        <v>154</v>
      </c>
    </row>
    <row r="57" spans="1:7" s="60" customFormat="1" ht="21">
      <c r="A57" s="58"/>
      <c r="B57" s="29" t="s">
        <v>612</v>
      </c>
      <c r="C57" s="59">
        <v>660000</v>
      </c>
      <c r="D57" s="29"/>
      <c r="E57" s="59"/>
      <c r="F57" s="59"/>
      <c r="G57" s="61" t="s">
        <v>154</v>
      </c>
    </row>
    <row r="58" spans="1:7" s="70" customFormat="1" ht="21">
      <c r="A58" s="66"/>
      <c r="B58" s="67" t="s">
        <v>613</v>
      </c>
      <c r="C58" s="68">
        <v>33154752</v>
      </c>
      <c r="D58" s="67"/>
      <c r="E58" s="68"/>
      <c r="F58" s="68"/>
      <c r="G58" s="69" t="s">
        <v>154</v>
      </c>
    </row>
    <row r="59" spans="1:7" s="164" customFormat="1" ht="21">
      <c r="A59" s="160"/>
      <c r="B59" s="161" t="s">
        <v>589</v>
      </c>
      <c r="C59" s="162">
        <v>521993</v>
      </c>
      <c r="D59" s="161"/>
      <c r="E59" s="162"/>
      <c r="F59" s="162"/>
      <c r="G59" s="163" t="s">
        <v>154</v>
      </c>
    </row>
    <row r="60" spans="1:7" s="60" customFormat="1" ht="21">
      <c r="A60" s="58"/>
      <c r="B60" s="29" t="s">
        <v>614</v>
      </c>
      <c r="C60" s="59">
        <v>3513840</v>
      </c>
      <c r="D60" s="29"/>
      <c r="E60" s="59"/>
      <c r="F60" s="59"/>
      <c r="G60" s="61" t="s">
        <v>56</v>
      </c>
    </row>
    <row r="61" spans="1:7" s="78" customFormat="1" ht="21">
      <c r="A61" s="76"/>
      <c r="B61" s="33" t="s">
        <v>63</v>
      </c>
      <c r="C61" s="77">
        <v>2317402</v>
      </c>
      <c r="D61" s="33"/>
      <c r="E61" s="77"/>
      <c r="F61" s="77"/>
      <c r="G61" s="79" t="s">
        <v>56</v>
      </c>
    </row>
    <row r="62" spans="1:7" s="60" customFormat="1" ht="21">
      <c r="A62" s="58"/>
      <c r="B62" s="29" t="s">
        <v>615</v>
      </c>
      <c r="C62" s="59">
        <v>2185000</v>
      </c>
      <c r="D62" s="29"/>
      <c r="E62" s="59"/>
      <c r="F62" s="59"/>
      <c r="G62" s="61" t="s">
        <v>56</v>
      </c>
    </row>
    <row r="63" spans="1:7" s="60" customFormat="1" ht="21">
      <c r="A63" s="58"/>
      <c r="B63" s="29" t="s">
        <v>616</v>
      </c>
      <c r="C63" s="59">
        <v>2000000</v>
      </c>
      <c r="D63" s="29"/>
      <c r="E63" s="59"/>
      <c r="F63" s="59"/>
      <c r="G63" s="61" t="s">
        <v>56</v>
      </c>
    </row>
    <row r="64" spans="1:7" s="60" customFormat="1" ht="21">
      <c r="A64" s="58"/>
      <c r="B64" s="29" t="s">
        <v>617</v>
      </c>
      <c r="C64" s="59">
        <v>792000</v>
      </c>
      <c r="D64" s="29"/>
      <c r="E64" s="59"/>
      <c r="F64" s="59"/>
      <c r="G64" s="61" t="s">
        <v>618</v>
      </c>
    </row>
    <row r="65" spans="1:7" s="60" customFormat="1" ht="21">
      <c r="A65" s="58"/>
      <c r="B65" s="29" t="s">
        <v>296</v>
      </c>
      <c r="C65" s="59">
        <v>368600</v>
      </c>
      <c r="D65" s="29"/>
      <c r="E65" s="59"/>
      <c r="F65" s="59"/>
      <c r="G65" s="61" t="s">
        <v>57</v>
      </c>
    </row>
    <row r="66" spans="1:7" s="60" customFormat="1" ht="21">
      <c r="A66" s="58"/>
      <c r="B66" s="29" t="s">
        <v>142</v>
      </c>
      <c r="C66" s="59">
        <v>2185000</v>
      </c>
      <c r="D66" s="29"/>
      <c r="E66" s="59"/>
      <c r="F66" s="59"/>
      <c r="G66" s="61" t="s">
        <v>57</v>
      </c>
    </row>
    <row r="67" spans="1:7" s="60" customFormat="1" ht="21">
      <c r="A67" s="58"/>
      <c r="B67" s="29" t="s">
        <v>619</v>
      </c>
      <c r="C67" s="59">
        <v>272881</v>
      </c>
      <c r="D67" s="29"/>
      <c r="E67" s="59"/>
      <c r="F67" s="59"/>
      <c r="G67" s="61" t="s">
        <v>57</v>
      </c>
    </row>
    <row r="68" spans="1:7" s="60" customFormat="1" ht="21">
      <c r="A68" s="58"/>
      <c r="B68" s="29" t="s">
        <v>620</v>
      </c>
      <c r="C68" s="59">
        <v>726000</v>
      </c>
      <c r="D68" s="29"/>
      <c r="E68" s="59"/>
      <c r="F68" s="59"/>
      <c r="G68" s="61" t="s">
        <v>57</v>
      </c>
    </row>
    <row r="69" spans="1:7" s="60" customFormat="1" ht="21">
      <c r="A69" s="58"/>
      <c r="B69" s="29" t="s">
        <v>587</v>
      </c>
      <c r="C69" s="59">
        <v>368115</v>
      </c>
      <c r="D69" s="29"/>
      <c r="E69" s="59"/>
      <c r="F69" s="59"/>
      <c r="G69" s="61"/>
    </row>
    <row r="70" spans="1:7" s="60" customFormat="1" ht="21">
      <c r="A70" s="58"/>
      <c r="B70" s="29" t="s">
        <v>621</v>
      </c>
      <c r="C70" s="59">
        <v>2500000</v>
      </c>
      <c r="D70" s="29"/>
      <c r="E70" s="59"/>
      <c r="F70" s="59"/>
      <c r="G70" s="61"/>
    </row>
    <row r="71" spans="1:7" s="60" customFormat="1" ht="21">
      <c r="A71" s="58"/>
      <c r="B71" s="29" t="s">
        <v>472</v>
      </c>
      <c r="C71" s="59">
        <v>384940</v>
      </c>
      <c r="D71" s="29"/>
      <c r="E71" s="59"/>
      <c r="F71" s="59"/>
      <c r="G71" s="61" t="s">
        <v>57</v>
      </c>
    </row>
    <row r="72" spans="1:7" s="60" customFormat="1" ht="21">
      <c r="A72" s="58"/>
      <c r="B72" s="29" t="s">
        <v>622</v>
      </c>
      <c r="C72" s="59">
        <v>1056000</v>
      </c>
      <c r="D72" s="29"/>
      <c r="E72" s="59"/>
      <c r="F72" s="59"/>
      <c r="G72" s="61"/>
    </row>
    <row r="73" spans="1:7" s="60" customFormat="1" ht="21">
      <c r="A73" s="58"/>
      <c r="B73" s="29" t="s">
        <v>134</v>
      </c>
      <c r="C73" s="59">
        <v>3450000</v>
      </c>
      <c r="D73" s="29"/>
      <c r="E73" s="59"/>
      <c r="F73" s="59"/>
      <c r="G73" s="61" t="s">
        <v>58</v>
      </c>
    </row>
    <row r="74" spans="1:7" ht="21">
      <c r="A74" s="34"/>
      <c r="B74" s="30"/>
      <c r="C74" s="31"/>
      <c r="D74" s="4"/>
      <c r="E74" s="31"/>
      <c r="F74" s="31"/>
      <c r="G74" s="32"/>
    </row>
    <row r="75" spans="1:7" s="60" customFormat="1" ht="21">
      <c r="A75" s="58">
        <v>44904</v>
      </c>
      <c r="B75" s="29" t="s">
        <v>623</v>
      </c>
      <c r="C75" s="59">
        <v>798600</v>
      </c>
      <c r="D75" s="29"/>
      <c r="E75" s="59"/>
      <c r="F75" s="59"/>
      <c r="G75" s="61" t="s">
        <v>56</v>
      </c>
    </row>
    <row r="76" spans="1:7" s="60" customFormat="1" ht="21">
      <c r="A76" s="58"/>
      <c r="B76" s="29" t="s">
        <v>624</v>
      </c>
      <c r="C76" s="59">
        <v>567600</v>
      </c>
      <c r="D76" s="29"/>
      <c r="E76" s="59"/>
      <c r="F76" s="59"/>
      <c r="G76" s="61" t="s">
        <v>56</v>
      </c>
    </row>
    <row r="77" spans="1:7" s="74" customFormat="1" ht="21">
      <c r="A77" s="71"/>
      <c r="B77" s="72" t="s">
        <v>468</v>
      </c>
      <c r="C77" s="73">
        <v>104886</v>
      </c>
      <c r="D77" s="72"/>
      <c r="E77" s="73"/>
      <c r="F77" s="73"/>
      <c r="G77" s="75" t="s">
        <v>57</v>
      </c>
    </row>
    <row r="78" spans="1:7" s="74" customFormat="1" ht="21">
      <c r="A78" s="71"/>
      <c r="B78" s="72" t="s">
        <v>468</v>
      </c>
      <c r="C78" s="73">
        <v>14331846</v>
      </c>
      <c r="D78" s="72"/>
      <c r="E78" s="73"/>
      <c r="F78" s="73"/>
      <c r="G78" s="75" t="s">
        <v>57</v>
      </c>
    </row>
    <row r="79" spans="1:7" s="74" customFormat="1" ht="21">
      <c r="A79" s="71"/>
      <c r="B79" s="72" t="s">
        <v>468</v>
      </c>
      <c r="C79" s="73">
        <v>1678463</v>
      </c>
      <c r="D79" s="72"/>
      <c r="E79" s="73"/>
      <c r="F79" s="73"/>
      <c r="G79" s="75"/>
    </row>
    <row r="80" spans="1:7" s="74" customFormat="1" ht="21">
      <c r="A80" s="71"/>
      <c r="B80" s="72" t="s">
        <v>468</v>
      </c>
      <c r="C80" s="73">
        <v>149296</v>
      </c>
      <c r="D80" s="72"/>
      <c r="E80" s="73"/>
      <c r="F80" s="73"/>
      <c r="G80" s="75" t="s">
        <v>57</v>
      </c>
    </row>
    <row r="81" spans="1:7" s="60" customFormat="1" ht="21">
      <c r="A81" s="58"/>
      <c r="B81" s="29" t="s">
        <v>625</v>
      </c>
      <c r="C81" s="59">
        <v>660000</v>
      </c>
      <c r="D81" s="29"/>
      <c r="E81" s="59"/>
      <c r="F81" s="59"/>
      <c r="G81" s="61" t="s">
        <v>57</v>
      </c>
    </row>
    <row r="82" spans="1:7" s="164" customFormat="1" ht="21">
      <c r="A82" s="160"/>
      <c r="B82" s="161" t="s">
        <v>626</v>
      </c>
      <c r="C82" s="162">
        <v>4000000</v>
      </c>
      <c r="D82" s="161"/>
      <c r="E82" s="162"/>
      <c r="F82" s="162"/>
      <c r="G82" s="163" t="s">
        <v>57</v>
      </c>
    </row>
    <row r="83" spans="1:7" s="60" customFormat="1" ht="21">
      <c r="A83" s="58"/>
      <c r="B83" s="29" t="s">
        <v>373</v>
      </c>
      <c r="C83" s="59">
        <v>726000</v>
      </c>
      <c r="D83" s="29"/>
      <c r="E83" s="59"/>
      <c r="F83" s="59"/>
      <c r="G83" s="61" t="s">
        <v>60</v>
      </c>
    </row>
    <row r="84" spans="1:7" s="60" customFormat="1" ht="21">
      <c r="A84" s="58"/>
      <c r="B84" s="29" t="s">
        <v>627</v>
      </c>
      <c r="C84" s="59">
        <v>528000</v>
      </c>
      <c r="D84" s="29"/>
      <c r="E84" s="59"/>
      <c r="F84" s="59"/>
      <c r="G84" s="61" t="s">
        <v>60</v>
      </c>
    </row>
    <row r="85" spans="1:7" s="60" customFormat="1" ht="21">
      <c r="A85" s="58"/>
      <c r="B85" s="29" t="s">
        <v>628</v>
      </c>
      <c r="C85" s="59">
        <v>5748390</v>
      </c>
      <c r="D85" s="29"/>
      <c r="E85" s="59"/>
      <c r="F85" s="59"/>
      <c r="G85" s="61" t="s">
        <v>60</v>
      </c>
    </row>
    <row r="86" spans="1:7" s="60" customFormat="1" ht="21">
      <c r="A86" s="58"/>
      <c r="B86" s="29" t="s">
        <v>629</v>
      </c>
      <c r="C86" s="59">
        <v>932650</v>
      </c>
      <c r="D86" s="29"/>
      <c r="E86" s="59"/>
      <c r="F86" s="59"/>
      <c r="G86" s="61" t="s">
        <v>64</v>
      </c>
    </row>
    <row r="87" spans="1:7" s="70" customFormat="1" ht="21">
      <c r="A87" s="66"/>
      <c r="B87" s="67" t="s">
        <v>98</v>
      </c>
      <c r="C87" s="68">
        <v>4824250</v>
      </c>
      <c r="D87" s="67"/>
      <c r="E87" s="68"/>
      <c r="F87" s="68"/>
      <c r="G87" s="69" t="s">
        <v>64</v>
      </c>
    </row>
    <row r="88" spans="1:7" s="70" customFormat="1" ht="21">
      <c r="A88" s="66"/>
      <c r="B88" s="67" t="s">
        <v>98</v>
      </c>
      <c r="C88" s="68">
        <v>33963404</v>
      </c>
      <c r="D88" s="67"/>
      <c r="E88" s="68"/>
      <c r="F88" s="68"/>
      <c r="G88" s="69" t="s">
        <v>64</v>
      </c>
    </row>
    <row r="89" spans="1:7" s="60" customFormat="1" ht="21">
      <c r="A89" s="58"/>
      <c r="B89" s="29" t="s">
        <v>277</v>
      </c>
      <c r="C89" s="59">
        <v>20590761</v>
      </c>
      <c r="D89" s="29"/>
      <c r="E89" s="59"/>
      <c r="F89" s="59"/>
      <c r="G89" s="61" t="s">
        <v>64</v>
      </c>
    </row>
    <row r="90" spans="1:7" s="60" customFormat="1" ht="21">
      <c r="A90" s="58"/>
      <c r="B90" s="29" t="s">
        <v>630</v>
      </c>
      <c r="C90" s="59">
        <v>8560460</v>
      </c>
      <c r="D90" s="29"/>
      <c r="E90" s="59"/>
      <c r="F90" s="59"/>
      <c r="G90" s="61" t="s">
        <v>58</v>
      </c>
    </row>
    <row r="91" spans="1:7" s="60" customFormat="1" ht="21">
      <c r="A91" s="58"/>
      <c r="B91" s="29" t="s">
        <v>631</v>
      </c>
      <c r="C91" s="59">
        <v>638880</v>
      </c>
      <c r="D91" s="29"/>
      <c r="E91" s="59"/>
      <c r="F91" s="59"/>
      <c r="G91" s="61" t="s">
        <v>58</v>
      </c>
    </row>
    <row r="92" spans="1:7" s="60" customFormat="1" ht="21">
      <c r="A92" s="58"/>
      <c r="B92" s="29" t="s">
        <v>588</v>
      </c>
      <c r="C92" s="59">
        <v>577300</v>
      </c>
      <c r="D92" s="29"/>
      <c r="E92" s="59"/>
      <c r="F92" s="59"/>
      <c r="G92" s="61" t="s">
        <v>58</v>
      </c>
    </row>
    <row r="93" spans="1:7" s="60" customFormat="1" ht="21">
      <c r="A93" s="58"/>
      <c r="B93" s="29" t="s">
        <v>632</v>
      </c>
      <c r="C93" s="59">
        <v>52860944</v>
      </c>
      <c r="D93" s="29"/>
      <c r="E93" s="59"/>
      <c r="F93" s="59"/>
      <c r="G93" s="61" t="s">
        <v>58</v>
      </c>
    </row>
    <row r="94" spans="1:7" ht="21">
      <c r="A94" s="34"/>
      <c r="B94" s="30"/>
      <c r="C94" s="31"/>
      <c r="D94" s="4"/>
      <c r="E94" s="31"/>
      <c r="F94" s="31"/>
      <c r="G94" s="32"/>
    </row>
    <row r="95" spans="1:7" s="70" customFormat="1" ht="21">
      <c r="A95" s="66">
        <v>44907</v>
      </c>
      <c r="B95" s="67" t="s">
        <v>633</v>
      </c>
      <c r="C95" s="68">
        <v>2356224</v>
      </c>
      <c r="D95" s="67"/>
      <c r="E95" s="68"/>
      <c r="F95" s="68"/>
      <c r="G95" s="69" t="s">
        <v>154</v>
      </c>
    </row>
    <row r="96" spans="1:7" s="60" customFormat="1" ht="21">
      <c r="A96" s="58"/>
      <c r="B96" s="29" t="s">
        <v>68</v>
      </c>
      <c r="C96" s="59">
        <v>24482910</v>
      </c>
      <c r="D96" s="29"/>
      <c r="E96" s="59"/>
      <c r="F96" s="59"/>
      <c r="G96" s="61" t="s">
        <v>56</v>
      </c>
    </row>
    <row r="97" spans="1:7" s="60" customFormat="1" ht="21">
      <c r="A97" s="58"/>
      <c r="B97" s="29" t="s">
        <v>70</v>
      </c>
      <c r="C97" s="59">
        <v>15652256</v>
      </c>
      <c r="D97" s="29"/>
      <c r="E97" s="59"/>
      <c r="F97" s="59"/>
      <c r="G97" s="61" t="s">
        <v>56</v>
      </c>
    </row>
    <row r="98" spans="1:7" s="164" customFormat="1" ht="21">
      <c r="A98" s="160"/>
      <c r="B98" s="161" t="s">
        <v>634</v>
      </c>
      <c r="C98" s="162">
        <v>13771393</v>
      </c>
      <c r="D98" s="161"/>
      <c r="E98" s="162"/>
      <c r="F98" s="162"/>
      <c r="G98" s="163" t="s">
        <v>56</v>
      </c>
    </row>
    <row r="99" spans="1:7" s="60" customFormat="1" ht="21">
      <c r="A99" s="58"/>
      <c r="B99" s="29" t="s">
        <v>635</v>
      </c>
      <c r="C99" s="59">
        <v>2904000</v>
      </c>
      <c r="D99" s="29"/>
      <c r="E99" s="59"/>
      <c r="F99" s="59"/>
      <c r="G99" s="61" t="s">
        <v>56</v>
      </c>
    </row>
    <row r="100" spans="1:7" s="60" customFormat="1" ht="21">
      <c r="A100" s="58"/>
      <c r="B100" s="29" t="s">
        <v>636</v>
      </c>
      <c r="C100" s="59">
        <v>2000000</v>
      </c>
      <c r="D100" s="29"/>
      <c r="E100" s="59"/>
      <c r="F100" s="59"/>
      <c r="G100" s="61" t="s">
        <v>56</v>
      </c>
    </row>
    <row r="101" spans="1:7" s="60" customFormat="1" ht="21">
      <c r="A101" s="58"/>
      <c r="B101" s="29" t="s">
        <v>637</v>
      </c>
      <c r="C101" s="59">
        <v>1379980</v>
      </c>
      <c r="D101" s="29"/>
      <c r="E101" s="59"/>
      <c r="F101" s="59"/>
      <c r="G101" s="61" t="s">
        <v>56</v>
      </c>
    </row>
    <row r="102" spans="1:7" s="70" customFormat="1" ht="21">
      <c r="A102" s="66"/>
      <c r="B102" s="67" t="s">
        <v>581</v>
      </c>
      <c r="C102" s="68">
        <v>1318154</v>
      </c>
      <c r="D102" s="67"/>
      <c r="E102" s="68"/>
      <c r="F102" s="68"/>
      <c r="G102" s="69" t="s">
        <v>56</v>
      </c>
    </row>
    <row r="103" spans="1:7" s="60" customFormat="1" ht="21">
      <c r="A103" s="58"/>
      <c r="B103" s="29" t="s">
        <v>229</v>
      </c>
      <c r="C103" s="59">
        <v>726000</v>
      </c>
      <c r="D103" s="29"/>
      <c r="E103" s="59"/>
      <c r="F103" s="59"/>
      <c r="G103" s="61" t="s">
        <v>56</v>
      </c>
    </row>
    <row r="104" spans="1:7" s="60" customFormat="1" ht="21">
      <c r="A104" s="58"/>
      <c r="B104" s="29" t="s">
        <v>638</v>
      </c>
      <c r="C104" s="59">
        <v>1848000</v>
      </c>
      <c r="D104" s="29"/>
      <c r="E104" s="59"/>
      <c r="F104" s="59"/>
      <c r="G104" s="61" t="s">
        <v>57</v>
      </c>
    </row>
    <row r="105" spans="1:7" s="60" customFormat="1" ht="21">
      <c r="A105" s="58"/>
      <c r="B105" s="29" t="s">
        <v>472</v>
      </c>
      <c r="C105" s="59">
        <v>412320</v>
      </c>
      <c r="D105" s="29"/>
      <c r="E105" s="59"/>
      <c r="F105" s="59"/>
      <c r="G105" s="61"/>
    </row>
    <row r="106" spans="1:7" s="60" customFormat="1" ht="21">
      <c r="A106" s="58"/>
      <c r="B106" s="29" t="s">
        <v>639</v>
      </c>
      <c r="C106" s="59">
        <v>1483732</v>
      </c>
      <c r="D106" s="29"/>
      <c r="E106" s="59"/>
      <c r="F106" s="59"/>
      <c r="G106" s="61"/>
    </row>
    <row r="107" spans="1:7" ht="21">
      <c r="A107" s="34"/>
      <c r="B107" s="30"/>
      <c r="C107" s="31"/>
      <c r="D107" s="4"/>
      <c r="E107" s="31"/>
      <c r="F107" s="31"/>
      <c r="G107" s="32"/>
    </row>
    <row r="108" spans="1:7" s="60" customFormat="1" ht="21">
      <c r="A108" s="58">
        <v>44908</v>
      </c>
      <c r="B108" s="29" t="s">
        <v>237</v>
      </c>
      <c r="C108" s="59">
        <v>26467044</v>
      </c>
      <c r="D108" s="29"/>
      <c r="E108" s="59"/>
      <c r="F108" s="59"/>
      <c r="G108" s="61" t="s">
        <v>56</v>
      </c>
    </row>
    <row r="109" spans="1:7" s="60" customFormat="1" ht="21">
      <c r="A109" s="58"/>
      <c r="B109" s="29" t="s">
        <v>640</v>
      </c>
      <c r="C109" s="59">
        <v>660000</v>
      </c>
      <c r="D109" s="29"/>
      <c r="E109" s="59"/>
      <c r="F109" s="59"/>
      <c r="G109" s="61" t="s">
        <v>57</v>
      </c>
    </row>
    <row r="110" spans="1:7" s="60" customFormat="1" ht="21">
      <c r="A110" s="58"/>
      <c r="B110" s="29" t="s">
        <v>472</v>
      </c>
      <c r="C110" s="59">
        <v>168550</v>
      </c>
      <c r="D110" s="29"/>
      <c r="E110" s="59"/>
      <c r="F110" s="59"/>
      <c r="G110" s="61" t="s">
        <v>57</v>
      </c>
    </row>
    <row r="111" spans="1:7" s="60" customFormat="1" ht="21">
      <c r="A111" s="58"/>
      <c r="B111" s="29" t="s">
        <v>472</v>
      </c>
      <c r="C111" s="59">
        <v>133900</v>
      </c>
      <c r="D111" s="29"/>
      <c r="E111" s="59"/>
      <c r="F111" s="59"/>
      <c r="G111" s="61" t="s">
        <v>57</v>
      </c>
    </row>
    <row r="112" spans="1:7" s="60" customFormat="1" ht="21">
      <c r="A112" s="58"/>
      <c r="B112" s="29" t="s">
        <v>641</v>
      </c>
      <c r="C112" s="59">
        <v>792000</v>
      </c>
      <c r="D112" s="29"/>
      <c r="E112" s="59"/>
      <c r="F112" s="59"/>
      <c r="G112" s="61"/>
    </row>
    <row r="113" spans="1:7" s="164" customFormat="1" ht="21">
      <c r="A113" s="160"/>
      <c r="B113" s="161" t="s">
        <v>642</v>
      </c>
      <c r="C113" s="162">
        <v>476000</v>
      </c>
      <c r="D113" s="161"/>
      <c r="E113" s="162"/>
      <c r="F113" s="162"/>
      <c r="G113" s="163" t="s">
        <v>57</v>
      </c>
    </row>
    <row r="114" spans="1:7" s="60" customFormat="1" ht="21">
      <c r="A114" s="58"/>
      <c r="B114" s="29" t="s">
        <v>643</v>
      </c>
      <c r="C114" s="59">
        <v>151600</v>
      </c>
      <c r="D114" s="29"/>
      <c r="E114" s="59"/>
      <c r="F114" s="59"/>
      <c r="G114" s="61" t="s">
        <v>57</v>
      </c>
    </row>
    <row r="115" spans="1:7" s="70" customFormat="1" ht="21">
      <c r="A115" s="66"/>
      <c r="B115" s="67" t="s">
        <v>468</v>
      </c>
      <c r="C115" s="68">
        <v>22070721</v>
      </c>
      <c r="D115" s="67"/>
      <c r="E115" s="68"/>
      <c r="F115" s="68"/>
      <c r="G115" s="69" t="s">
        <v>57</v>
      </c>
    </row>
    <row r="116" spans="1:7" s="60" customFormat="1" ht="21">
      <c r="A116" s="58"/>
      <c r="B116" s="29" t="s">
        <v>414</v>
      </c>
      <c r="C116" s="59">
        <v>1443260</v>
      </c>
      <c r="D116" s="29"/>
      <c r="E116" s="59"/>
      <c r="F116" s="59"/>
      <c r="G116" s="61" t="s">
        <v>64</v>
      </c>
    </row>
    <row r="117" spans="1:7" ht="21">
      <c r="A117" s="34"/>
      <c r="B117" s="30"/>
      <c r="C117" s="31"/>
      <c r="D117" s="4"/>
      <c r="E117" s="31"/>
      <c r="F117" s="31"/>
      <c r="G117" s="32"/>
    </row>
    <row r="118" spans="1:7" s="60" customFormat="1" ht="21">
      <c r="A118" s="58">
        <v>44909</v>
      </c>
      <c r="B118" s="29" t="s">
        <v>644</v>
      </c>
      <c r="C118" s="59">
        <v>15365610</v>
      </c>
      <c r="D118" s="29"/>
      <c r="E118" s="59"/>
      <c r="F118" s="59"/>
      <c r="G118" s="61" t="s">
        <v>154</v>
      </c>
    </row>
    <row r="119" spans="1:7" s="60" customFormat="1" ht="21">
      <c r="A119" s="58"/>
      <c r="B119" s="29" t="s">
        <v>645</v>
      </c>
      <c r="C119" s="59">
        <v>10000000</v>
      </c>
      <c r="D119" s="29"/>
      <c r="E119" s="59"/>
      <c r="F119" s="59"/>
      <c r="G119" s="61" t="s">
        <v>56</v>
      </c>
    </row>
    <row r="120" spans="1:7" s="60" customFormat="1" ht="21">
      <c r="A120" s="58"/>
      <c r="B120" s="29" t="s">
        <v>646</v>
      </c>
      <c r="C120" s="59">
        <v>3571560</v>
      </c>
      <c r="D120" s="29"/>
      <c r="E120" s="59"/>
      <c r="F120" s="59"/>
      <c r="G120" s="61" t="s">
        <v>56</v>
      </c>
    </row>
    <row r="121" spans="1:7" s="60" customFormat="1" ht="21">
      <c r="A121" s="58"/>
      <c r="B121" s="29" t="s">
        <v>647</v>
      </c>
      <c r="C121" s="59">
        <v>300000</v>
      </c>
      <c r="D121" s="29"/>
      <c r="E121" s="59"/>
      <c r="F121" s="59"/>
      <c r="G121" s="61" t="s">
        <v>56</v>
      </c>
    </row>
    <row r="122" spans="1:7" s="60" customFormat="1" ht="21">
      <c r="A122" s="58"/>
      <c r="B122" s="29" t="s">
        <v>648</v>
      </c>
      <c r="C122" s="59">
        <v>377200</v>
      </c>
      <c r="D122" s="29"/>
      <c r="E122" s="59"/>
      <c r="F122" s="59"/>
      <c r="G122" s="61" t="s">
        <v>57</v>
      </c>
    </row>
    <row r="123" spans="1:7" s="60" customFormat="1" ht="21">
      <c r="A123" s="58"/>
      <c r="B123" s="29" t="s">
        <v>649</v>
      </c>
      <c r="C123" s="59">
        <v>188485</v>
      </c>
      <c r="D123" s="29"/>
      <c r="E123" s="59"/>
      <c r="F123" s="59"/>
      <c r="G123" s="61" t="s">
        <v>57</v>
      </c>
    </row>
    <row r="124" spans="1:7" s="60" customFormat="1" ht="21">
      <c r="A124" s="58"/>
      <c r="B124" s="29" t="s">
        <v>650</v>
      </c>
      <c r="C124" s="59">
        <v>1320000</v>
      </c>
      <c r="D124" s="29"/>
      <c r="E124" s="59"/>
      <c r="F124" s="59"/>
      <c r="G124" s="61" t="s">
        <v>57</v>
      </c>
    </row>
    <row r="125" spans="1:7" s="60" customFormat="1" ht="21">
      <c r="A125" s="58"/>
      <c r="B125" s="29" t="s">
        <v>595</v>
      </c>
      <c r="C125" s="59">
        <v>213400</v>
      </c>
      <c r="D125" s="29"/>
      <c r="E125" s="59"/>
      <c r="F125" s="59"/>
      <c r="G125" s="61" t="s">
        <v>57</v>
      </c>
    </row>
    <row r="126" spans="1:7" s="60" customFormat="1" ht="21">
      <c r="A126" s="58"/>
      <c r="B126" s="29" t="s">
        <v>97</v>
      </c>
      <c r="C126" s="59">
        <v>22486992</v>
      </c>
      <c r="D126" s="29"/>
      <c r="E126" s="59"/>
      <c r="F126" s="59"/>
      <c r="G126" s="61" t="s">
        <v>53</v>
      </c>
    </row>
    <row r="127" spans="1:7" s="60" customFormat="1" ht="21">
      <c r="A127" s="58"/>
      <c r="B127" s="29" t="s">
        <v>66</v>
      </c>
      <c r="C127" s="59">
        <v>2978359</v>
      </c>
      <c r="D127" s="29"/>
      <c r="E127" s="59"/>
      <c r="F127" s="59"/>
      <c r="G127" s="61" t="s">
        <v>53</v>
      </c>
    </row>
    <row r="128" spans="1:7" s="60" customFormat="1" ht="21">
      <c r="A128" s="58"/>
      <c r="B128" s="29" t="s">
        <v>651</v>
      </c>
      <c r="C128" s="59">
        <v>1527355</v>
      </c>
      <c r="D128" s="29"/>
      <c r="E128" s="59"/>
      <c r="F128" s="59"/>
      <c r="G128" s="61" t="s">
        <v>58</v>
      </c>
    </row>
    <row r="129" spans="1:7" s="60" customFormat="1" ht="21">
      <c r="A129" s="58"/>
      <c r="B129" s="29" t="s">
        <v>583</v>
      </c>
      <c r="C129" s="59">
        <v>384319</v>
      </c>
      <c r="D129" s="29"/>
      <c r="E129" s="59"/>
      <c r="F129" s="59"/>
      <c r="G129" s="61" t="s">
        <v>58</v>
      </c>
    </row>
    <row r="130" spans="1:7" s="70" customFormat="1" ht="21">
      <c r="A130" s="66"/>
      <c r="B130" s="67" t="s">
        <v>257</v>
      </c>
      <c r="C130" s="68">
        <v>1765788</v>
      </c>
      <c r="D130" s="67"/>
      <c r="E130" s="68"/>
      <c r="F130" s="68"/>
      <c r="G130" s="69" t="s">
        <v>58</v>
      </c>
    </row>
    <row r="131" spans="1:7" s="60" customFormat="1" ht="21">
      <c r="A131" s="58"/>
      <c r="B131" s="29" t="s">
        <v>627</v>
      </c>
      <c r="C131" s="59">
        <v>3689532</v>
      </c>
      <c r="D131" s="29"/>
      <c r="E131" s="59"/>
      <c r="F131" s="59"/>
      <c r="G131" s="61" t="s">
        <v>58</v>
      </c>
    </row>
    <row r="132" spans="1:7" ht="21">
      <c r="A132" s="34"/>
      <c r="B132" s="30"/>
      <c r="C132" s="31"/>
      <c r="D132" s="4"/>
      <c r="E132" s="31"/>
      <c r="F132" s="31"/>
      <c r="G132" s="32"/>
    </row>
    <row r="133" spans="1:7" s="70" customFormat="1" ht="21">
      <c r="A133" s="66">
        <v>44910</v>
      </c>
      <c r="B133" s="67" t="s">
        <v>652</v>
      </c>
      <c r="C133" s="68">
        <v>5765250</v>
      </c>
      <c r="D133" s="67"/>
      <c r="E133" s="68"/>
      <c r="F133" s="68"/>
      <c r="G133" s="69" t="s">
        <v>56</v>
      </c>
    </row>
    <row r="134" spans="1:7" s="70" customFormat="1" ht="21">
      <c r="A134" s="66"/>
      <c r="B134" s="67" t="s">
        <v>653</v>
      </c>
      <c r="C134" s="68">
        <v>5194462</v>
      </c>
      <c r="D134" s="67"/>
      <c r="E134" s="68"/>
      <c r="F134" s="68"/>
      <c r="G134" s="69" t="s">
        <v>56</v>
      </c>
    </row>
    <row r="135" spans="1:7" s="70" customFormat="1" ht="21">
      <c r="A135" s="66"/>
      <c r="B135" s="67" t="s">
        <v>184</v>
      </c>
      <c r="C135" s="68">
        <v>1413161</v>
      </c>
      <c r="D135" s="67"/>
      <c r="E135" s="68"/>
      <c r="F135" s="68"/>
      <c r="G135" s="69" t="s">
        <v>56</v>
      </c>
    </row>
    <row r="136" spans="1:7" s="60" customFormat="1" ht="21">
      <c r="A136" s="58"/>
      <c r="B136" s="29" t="s">
        <v>142</v>
      </c>
      <c r="C136" s="59">
        <v>11267162</v>
      </c>
      <c r="D136" s="29"/>
      <c r="E136" s="59"/>
      <c r="F136" s="59"/>
      <c r="G136" s="61" t="s">
        <v>57</v>
      </c>
    </row>
    <row r="137" spans="1:7" s="60" customFormat="1" ht="21">
      <c r="A137" s="58"/>
      <c r="B137" s="29" t="s">
        <v>491</v>
      </c>
      <c r="C137" s="59">
        <v>60000</v>
      </c>
      <c r="D137" s="29"/>
      <c r="E137" s="59"/>
      <c r="F137" s="59"/>
      <c r="G137" s="61" t="s">
        <v>57</v>
      </c>
    </row>
    <row r="138" spans="1:7" s="60" customFormat="1" ht="21">
      <c r="A138" s="58"/>
      <c r="B138" s="29" t="s">
        <v>654</v>
      </c>
      <c r="C138" s="59">
        <v>348000</v>
      </c>
      <c r="D138" s="29"/>
      <c r="E138" s="59"/>
      <c r="F138" s="59"/>
      <c r="G138" s="61" t="s">
        <v>57</v>
      </c>
    </row>
    <row r="139" spans="1:7" s="60" customFormat="1" ht="21">
      <c r="A139" s="58"/>
      <c r="B139" s="29" t="s">
        <v>655</v>
      </c>
      <c r="C139" s="59">
        <v>4850000</v>
      </c>
      <c r="D139" s="29"/>
      <c r="E139" s="59"/>
      <c r="F139" s="59"/>
      <c r="G139" s="61" t="s">
        <v>90</v>
      </c>
    </row>
    <row r="140" spans="1:7" s="60" customFormat="1" ht="21">
      <c r="A140" s="58"/>
      <c r="B140" s="29" t="s">
        <v>656</v>
      </c>
      <c r="C140" s="59">
        <v>1626838</v>
      </c>
      <c r="D140" s="29"/>
      <c r="E140" s="59"/>
      <c r="F140" s="59"/>
      <c r="G140" s="61" t="s">
        <v>53</v>
      </c>
    </row>
    <row r="141" spans="1:7" s="60" customFormat="1" ht="21">
      <c r="A141" s="58"/>
      <c r="B141" s="29" t="s">
        <v>657</v>
      </c>
      <c r="C141" s="59">
        <v>110639366</v>
      </c>
      <c r="D141" s="29"/>
      <c r="E141" s="59"/>
      <c r="F141" s="59"/>
      <c r="G141" s="61" t="s">
        <v>53</v>
      </c>
    </row>
    <row r="142" spans="1:7" ht="21">
      <c r="A142" s="34"/>
      <c r="B142" s="30"/>
      <c r="C142" s="31"/>
      <c r="D142" s="4"/>
      <c r="E142" s="31"/>
      <c r="F142" s="31"/>
      <c r="G142" s="32"/>
    </row>
    <row r="143" spans="1:7" s="70" customFormat="1" ht="21">
      <c r="A143" s="66">
        <v>44911</v>
      </c>
      <c r="B143" s="67" t="s">
        <v>586</v>
      </c>
      <c r="C143" s="68">
        <v>16501231</v>
      </c>
      <c r="D143" s="67"/>
      <c r="E143" s="68"/>
      <c r="F143" s="68"/>
      <c r="G143" s="69" t="s">
        <v>56</v>
      </c>
    </row>
    <row r="144" spans="1:7" s="60" customFormat="1" ht="21">
      <c r="A144" s="58"/>
      <c r="B144" s="29" t="s">
        <v>658</v>
      </c>
      <c r="C144" s="59">
        <v>5085300</v>
      </c>
      <c r="D144" s="29"/>
      <c r="E144" s="59"/>
      <c r="F144" s="59"/>
      <c r="G144" s="61" t="s">
        <v>56</v>
      </c>
    </row>
    <row r="145" spans="1:7" s="60" customFormat="1" ht="21">
      <c r="A145" s="58"/>
      <c r="B145" s="29" t="s">
        <v>659</v>
      </c>
      <c r="C145" s="59">
        <v>1056000</v>
      </c>
      <c r="D145" s="29"/>
      <c r="E145" s="59"/>
      <c r="F145" s="59"/>
      <c r="G145" s="61" t="s">
        <v>56</v>
      </c>
    </row>
    <row r="146" spans="1:7" s="60" customFormat="1" ht="21">
      <c r="A146" s="58"/>
      <c r="B146" s="29" t="s">
        <v>660</v>
      </c>
      <c r="C146" s="59">
        <v>985550</v>
      </c>
      <c r="D146" s="29"/>
      <c r="E146" s="59"/>
      <c r="F146" s="59"/>
      <c r="G146" s="61" t="s">
        <v>56</v>
      </c>
    </row>
    <row r="147" spans="1:7" s="60" customFormat="1" ht="21">
      <c r="A147" s="58"/>
      <c r="B147" s="29" t="s">
        <v>661</v>
      </c>
      <c r="C147" s="59">
        <v>500000</v>
      </c>
      <c r="D147" s="29"/>
      <c r="E147" s="59"/>
      <c r="F147" s="59"/>
      <c r="G147" s="61" t="s">
        <v>57</v>
      </c>
    </row>
    <row r="148" spans="1:7" s="70" customFormat="1" ht="21">
      <c r="A148" s="66"/>
      <c r="B148" s="67" t="s">
        <v>662</v>
      </c>
      <c r="C148" s="68">
        <v>150000</v>
      </c>
      <c r="D148" s="67"/>
      <c r="E148" s="68"/>
      <c r="F148" s="68"/>
      <c r="G148" s="69" t="s">
        <v>57</v>
      </c>
    </row>
    <row r="149" spans="1:7" s="70" customFormat="1" ht="21">
      <c r="A149" s="66"/>
      <c r="B149" s="67" t="s">
        <v>663</v>
      </c>
      <c r="C149" s="68">
        <v>3000000</v>
      </c>
      <c r="D149" s="67"/>
      <c r="E149" s="68"/>
      <c r="F149" s="68"/>
      <c r="G149" s="69" t="s">
        <v>57</v>
      </c>
    </row>
    <row r="150" spans="1:7" s="60" customFormat="1" ht="21">
      <c r="A150" s="58"/>
      <c r="B150" s="29" t="s">
        <v>664</v>
      </c>
      <c r="C150" s="59">
        <v>470000</v>
      </c>
      <c r="D150" s="29"/>
      <c r="E150" s="59"/>
      <c r="F150" s="59"/>
      <c r="G150" s="61" t="s">
        <v>57</v>
      </c>
    </row>
    <row r="151" spans="1:7" s="60" customFormat="1" ht="21">
      <c r="A151" s="58"/>
      <c r="B151" s="29" t="s">
        <v>665</v>
      </c>
      <c r="C151" s="59">
        <v>660000</v>
      </c>
      <c r="D151" s="29"/>
      <c r="E151" s="59"/>
      <c r="F151" s="59"/>
      <c r="G151" s="61" t="s">
        <v>54</v>
      </c>
    </row>
    <row r="152" spans="1:7" s="60" customFormat="1" ht="21">
      <c r="A152" s="58"/>
      <c r="B152" s="29" t="s">
        <v>582</v>
      </c>
      <c r="C152" s="59">
        <v>9600000</v>
      </c>
      <c r="D152" s="29"/>
      <c r="E152" s="59"/>
      <c r="F152" s="59"/>
      <c r="G152" s="61" t="s">
        <v>64</v>
      </c>
    </row>
    <row r="153" spans="1:7" ht="21">
      <c r="A153" s="34"/>
      <c r="B153" s="30"/>
      <c r="C153" s="31"/>
      <c r="D153" s="4"/>
      <c r="E153" s="31"/>
      <c r="F153" s="31"/>
      <c r="G153" s="32"/>
    </row>
    <row r="154" spans="1:7" ht="21">
      <c r="A154" s="34"/>
      <c r="B154" s="30"/>
      <c r="C154" s="31"/>
      <c r="D154" s="4"/>
      <c r="E154" s="31"/>
      <c r="F154" s="31"/>
      <c r="G154" s="32"/>
    </row>
    <row r="155" spans="1:7" ht="21">
      <c r="A155" s="34"/>
      <c r="B155" s="30"/>
      <c r="C155" s="31"/>
      <c r="D155" s="4"/>
      <c r="E155" s="31"/>
      <c r="F155" s="31"/>
      <c r="G155" s="32"/>
    </row>
    <row r="156" spans="1:7" s="60" customFormat="1" ht="21">
      <c r="A156" s="58">
        <v>44914</v>
      </c>
      <c r="B156" s="29" t="s">
        <v>666</v>
      </c>
      <c r="C156" s="59">
        <v>3696000</v>
      </c>
      <c r="D156" s="29"/>
      <c r="E156" s="59"/>
      <c r="F156" s="59"/>
      <c r="G156" s="61"/>
    </row>
    <row r="157" spans="1:7" s="70" customFormat="1" ht="21">
      <c r="A157" s="66"/>
      <c r="B157" s="67" t="s">
        <v>98</v>
      </c>
      <c r="C157" s="68">
        <v>4800000</v>
      </c>
      <c r="D157" s="67"/>
      <c r="E157" s="68"/>
      <c r="F157" s="68"/>
      <c r="G157" s="69"/>
    </row>
    <row r="158" spans="1:7" s="60" customFormat="1" ht="21">
      <c r="A158" s="58"/>
      <c r="B158" s="29" t="s">
        <v>68</v>
      </c>
      <c r="C158" s="59">
        <v>18567727</v>
      </c>
      <c r="D158" s="29"/>
      <c r="E158" s="59"/>
      <c r="F158" s="59"/>
      <c r="G158" s="61"/>
    </row>
    <row r="159" spans="1:7" s="70" customFormat="1" ht="21">
      <c r="A159" s="66"/>
      <c r="B159" s="67" t="s">
        <v>667</v>
      </c>
      <c r="C159" s="68">
        <v>20000000</v>
      </c>
      <c r="D159" s="67"/>
      <c r="E159" s="68"/>
      <c r="F159" s="68"/>
      <c r="G159" s="69"/>
    </row>
    <row r="160" spans="1:7" s="60" customFormat="1" ht="21">
      <c r="A160" s="58"/>
      <c r="B160" s="29" t="s">
        <v>528</v>
      </c>
      <c r="C160" s="59">
        <v>21397409</v>
      </c>
      <c r="D160" s="29"/>
      <c r="E160" s="59"/>
      <c r="F160" s="59"/>
      <c r="G160" s="61"/>
    </row>
    <row r="161" spans="1:7" s="60" customFormat="1" ht="21">
      <c r="A161" s="58"/>
      <c r="B161" s="29" t="s">
        <v>553</v>
      </c>
      <c r="C161" s="59">
        <v>13460175</v>
      </c>
      <c r="D161" s="29"/>
      <c r="E161" s="59"/>
      <c r="F161" s="59"/>
      <c r="G161" s="61" t="s">
        <v>57</v>
      </c>
    </row>
    <row r="162" spans="1:7" s="60" customFormat="1" ht="21">
      <c r="A162" s="58"/>
      <c r="B162" s="29" t="s">
        <v>244</v>
      </c>
      <c r="C162" s="59">
        <v>125695</v>
      </c>
      <c r="D162" s="29"/>
      <c r="E162" s="59"/>
      <c r="F162" s="59"/>
      <c r="G162" s="61"/>
    </row>
    <row r="163" spans="1:7" s="60" customFormat="1" ht="21">
      <c r="A163" s="58"/>
      <c r="B163" s="29" t="s">
        <v>668</v>
      </c>
      <c r="C163" s="59">
        <v>345000</v>
      </c>
      <c r="D163" s="29"/>
      <c r="E163" s="59"/>
      <c r="F163" s="59"/>
      <c r="G163" s="61" t="s">
        <v>57</v>
      </c>
    </row>
    <row r="164" spans="1:7" s="60" customFormat="1" ht="21">
      <c r="A164" s="58"/>
      <c r="B164" s="29" t="s">
        <v>669</v>
      </c>
      <c r="C164" s="59">
        <v>387550</v>
      </c>
      <c r="D164" s="29"/>
      <c r="E164" s="59"/>
      <c r="F164" s="59"/>
      <c r="G164" s="61" t="s">
        <v>57</v>
      </c>
    </row>
    <row r="165" spans="1:7" s="60" customFormat="1" ht="21">
      <c r="A165" s="58"/>
      <c r="B165" s="29" t="s">
        <v>670</v>
      </c>
      <c r="C165" s="59">
        <v>4425000</v>
      </c>
      <c r="D165" s="29"/>
      <c r="E165" s="59"/>
      <c r="F165" s="59"/>
      <c r="G165" s="61" t="s">
        <v>54</v>
      </c>
    </row>
    <row r="166" spans="1:7" s="70" customFormat="1" ht="21">
      <c r="A166" s="66"/>
      <c r="B166" s="67" t="s">
        <v>292</v>
      </c>
      <c r="C166" s="68">
        <v>40138278</v>
      </c>
      <c r="D166" s="67"/>
      <c r="E166" s="68"/>
      <c r="F166" s="68"/>
      <c r="G166" s="69" t="s">
        <v>60</v>
      </c>
    </row>
    <row r="167" spans="1:7" s="60" customFormat="1" ht="21">
      <c r="A167" s="58"/>
      <c r="B167" s="29" t="s">
        <v>671</v>
      </c>
      <c r="C167" s="59">
        <v>31183678</v>
      </c>
      <c r="D167" s="29"/>
      <c r="E167" s="59"/>
      <c r="F167" s="59"/>
      <c r="G167" s="61" t="s">
        <v>58</v>
      </c>
    </row>
    <row r="168" spans="1:7" s="60" customFormat="1" ht="21">
      <c r="A168" s="58"/>
      <c r="B168" s="29" t="s">
        <v>672</v>
      </c>
      <c r="C168" s="59">
        <v>16471421</v>
      </c>
      <c r="D168" s="29"/>
      <c r="E168" s="59"/>
      <c r="F168" s="59"/>
      <c r="G168" s="61" t="s">
        <v>58</v>
      </c>
    </row>
    <row r="169" spans="1:7" s="60" customFormat="1" ht="21">
      <c r="A169" s="58"/>
      <c r="B169" s="29" t="s">
        <v>671</v>
      </c>
      <c r="C169" s="59">
        <v>31732913</v>
      </c>
      <c r="D169" s="29"/>
      <c r="E169" s="59"/>
      <c r="F169" s="59"/>
      <c r="G169" s="61" t="s">
        <v>58</v>
      </c>
    </row>
    <row r="170" spans="1:7" ht="21">
      <c r="A170" s="34"/>
      <c r="B170" s="30"/>
      <c r="C170" s="31"/>
      <c r="D170" s="4"/>
      <c r="E170" s="31"/>
      <c r="F170" s="31"/>
      <c r="G170" s="32"/>
    </row>
    <row r="171" spans="1:7" s="60" customFormat="1" ht="21">
      <c r="A171" s="58">
        <v>44915</v>
      </c>
      <c r="B171" s="29" t="s">
        <v>67</v>
      </c>
      <c r="C171" s="59">
        <v>8017982</v>
      </c>
      <c r="D171" s="29"/>
      <c r="E171" s="59"/>
      <c r="F171" s="59"/>
      <c r="G171" s="61" t="s">
        <v>154</v>
      </c>
    </row>
    <row r="172" spans="1:7" s="60" customFormat="1" ht="21">
      <c r="A172" s="58"/>
      <c r="B172" s="29" t="s">
        <v>250</v>
      </c>
      <c r="C172" s="59">
        <v>39294148</v>
      </c>
      <c r="D172" s="29"/>
      <c r="E172" s="59"/>
      <c r="F172" s="59"/>
      <c r="G172" s="61" t="s">
        <v>154</v>
      </c>
    </row>
    <row r="173" spans="1:7" s="60" customFormat="1" ht="21">
      <c r="A173" s="58"/>
      <c r="B173" s="29" t="s">
        <v>575</v>
      </c>
      <c r="C173" s="59">
        <v>127293</v>
      </c>
      <c r="D173" s="29"/>
      <c r="E173" s="59"/>
      <c r="F173" s="59"/>
      <c r="G173" s="61" t="s">
        <v>56</v>
      </c>
    </row>
    <row r="174" spans="1:7" s="60" customFormat="1" ht="21">
      <c r="A174" s="58"/>
      <c r="B174" s="29" t="s">
        <v>673</v>
      </c>
      <c r="C174" s="59">
        <v>660000</v>
      </c>
      <c r="D174" s="29"/>
      <c r="E174" s="59"/>
      <c r="F174" s="59"/>
      <c r="G174" s="61" t="s">
        <v>56</v>
      </c>
    </row>
    <row r="175" spans="1:7" s="60" customFormat="1" ht="21">
      <c r="A175" s="58"/>
      <c r="B175" s="29" t="s">
        <v>674</v>
      </c>
      <c r="C175" s="59">
        <v>1500000</v>
      </c>
      <c r="D175" s="29"/>
      <c r="E175" s="59"/>
      <c r="F175" s="59"/>
      <c r="G175" s="61" t="s">
        <v>56</v>
      </c>
    </row>
    <row r="176" spans="1:7" s="60" customFormat="1" ht="21">
      <c r="A176" s="58"/>
      <c r="B176" s="29" t="s">
        <v>675</v>
      </c>
      <c r="C176" s="59">
        <v>5782732</v>
      </c>
      <c r="D176" s="29"/>
      <c r="E176" s="59"/>
      <c r="F176" s="59"/>
      <c r="G176" s="61" t="s">
        <v>56</v>
      </c>
    </row>
    <row r="177" spans="1:7" s="164" customFormat="1" ht="21">
      <c r="A177" s="160"/>
      <c r="B177" s="161" t="s">
        <v>634</v>
      </c>
      <c r="C177" s="162">
        <v>13760274</v>
      </c>
      <c r="D177" s="161"/>
      <c r="E177" s="162"/>
      <c r="F177" s="162"/>
      <c r="G177" s="163" t="s">
        <v>56</v>
      </c>
    </row>
    <row r="178" spans="1:7" s="60" customFormat="1" ht="21">
      <c r="A178" s="58"/>
      <c r="B178" s="29" t="s">
        <v>676</v>
      </c>
      <c r="C178" s="59">
        <v>528000</v>
      </c>
      <c r="D178" s="29"/>
      <c r="E178" s="59"/>
      <c r="F178" s="59"/>
      <c r="G178" s="61" t="s">
        <v>54</v>
      </c>
    </row>
    <row r="179" spans="1:7" s="60" customFormat="1" ht="21">
      <c r="A179" s="58"/>
      <c r="B179" s="29" t="s">
        <v>677</v>
      </c>
      <c r="C179" s="59">
        <v>726000</v>
      </c>
      <c r="D179" s="29"/>
      <c r="E179" s="59"/>
      <c r="F179" s="59"/>
      <c r="G179" s="61" t="s">
        <v>58</v>
      </c>
    </row>
    <row r="180" spans="1:7" ht="21">
      <c r="A180" s="34"/>
      <c r="B180" s="30"/>
      <c r="C180" s="31"/>
      <c r="D180" s="4"/>
      <c r="E180" s="31"/>
      <c r="F180" s="31"/>
      <c r="G180" s="32"/>
    </row>
    <row r="181" spans="1:7" ht="21">
      <c r="A181" s="34"/>
      <c r="B181" s="30"/>
      <c r="C181" s="31"/>
      <c r="D181" s="4"/>
      <c r="E181" s="31"/>
      <c r="F181" s="31"/>
      <c r="G181" s="32"/>
    </row>
    <row r="182" spans="1:7" s="60" customFormat="1" ht="21">
      <c r="A182" s="58">
        <v>44916</v>
      </c>
      <c r="B182" s="29" t="s">
        <v>678</v>
      </c>
      <c r="C182" s="59">
        <v>1848000</v>
      </c>
      <c r="D182" s="29"/>
      <c r="E182" s="59"/>
      <c r="F182" s="59"/>
      <c r="G182" s="61" t="s">
        <v>56</v>
      </c>
    </row>
    <row r="183" spans="1:7" s="60" customFormat="1" ht="21">
      <c r="A183" s="58"/>
      <c r="B183" s="29" t="s">
        <v>679</v>
      </c>
      <c r="C183" s="59">
        <v>932574</v>
      </c>
      <c r="D183" s="29"/>
      <c r="E183" s="59"/>
      <c r="F183" s="59"/>
      <c r="G183" s="61" t="s">
        <v>56</v>
      </c>
    </row>
    <row r="184" spans="1:7" s="60" customFormat="1" ht="21">
      <c r="A184" s="58"/>
      <c r="B184" s="29" t="s">
        <v>680</v>
      </c>
      <c r="C184" s="59">
        <v>358200</v>
      </c>
      <c r="D184" s="29"/>
      <c r="E184" s="59"/>
      <c r="F184" s="59"/>
      <c r="G184" s="61" t="s">
        <v>57</v>
      </c>
    </row>
    <row r="185" spans="1:7" s="74" customFormat="1" ht="21">
      <c r="A185" s="71"/>
      <c r="B185" s="72" t="s">
        <v>376</v>
      </c>
      <c r="C185" s="73">
        <v>166943083</v>
      </c>
      <c r="D185" s="72"/>
      <c r="E185" s="73"/>
      <c r="F185" s="73"/>
      <c r="G185" s="75" t="s">
        <v>57</v>
      </c>
    </row>
    <row r="186" spans="1:7" s="60" customFormat="1" ht="21">
      <c r="A186" s="58"/>
      <c r="B186" s="29" t="s">
        <v>681</v>
      </c>
      <c r="C186" s="59">
        <v>726000</v>
      </c>
      <c r="D186" s="29"/>
      <c r="E186" s="59"/>
      <c r="F186" s="59"/>
      <c r="G186" s="61" t="s">
        <v>57</v>
      </c>
    </row>
    <row r="187" spans="1:7" s="60" customFormat="1" ht="21">
      <c r="A187" s="58"/>
      <c r="B187" s="29" t="s">
        <v>501</v>
      </c>
      <c r="C187" s="59">
        <v>840160</v>
      </c>
      <c r="D187" s="29"/>
      <c r="E187" s="59"/>
      <c r="F187" s="59"/>
      <c r="G187" s="61" t="s">
        <v>57</v>
      </c>
    </row>
    <row r="188" spans="1:7" s="164" customFormat="1" ht="21">
      <c r="A188" s="160"/>
      <c r="B188" s="161" t="s">
        <v>682</v>
      </c>
      <c r="C188" s="162">
        <v>4000000</v>
      </c>
      <c r="D188" s="161"/>
      <c r="E188" s="162"/>
      <c r="F188" s="162"/>
      <c r="G188" s="163" t="s">
        <v>57</v>
      </c>
    </row>
    <row r="189" spans="1:7" s="60" customFormat="1" ht="21">
      <c r="A189" s="58"/>
      <c r="B189" s="29" t="s">
        <v>683</v>
      </c>
      <c r="C189" s="59">
        <v>1320000</v>
      </c>
      <c r="D189" s="29"/>
      <c r="E189" s="59"/>
      <c r="F189" s="59"/>
      <c r="G189" s="61" t="s">
        <v>60</v>
      </c>
    </row>
    <row r="190" spans="1:7" ht="21">
      <c r="A190" s="34"/>
      <c r="B190" s="30"/>
      <c r="C190" s="31"/>
      <c r="D190" s="4"/>
      <c r="E190" s="31"/>
      <c r="F190" s="31"/>
      <c r="G190" s="32"/>
    </row>
    <row r="191" spans="1:7" s="70" customFormat="1" ht="21">
      <c r="A191" s="66">
        <v>44917</v>
      </c>
      <c r="B191" s="67" t="s">
        <v>522</v>
      </c>
      <c r="C191" s="68">
        <v>17926822</v>
      </c>
      <c r="D191" s="67"/>
      <c r="E191" s="68"/>
      <c r="F191" s="68"/>
      <c r="G191" s="69" t="s">
        <v>154</v>
      </c>
    </row>
    <row r="192" spans="1:7" s="60" customFormat="1" ht="21">
      <c r="A192" s="58"/>
      <c r="B192" s="29" t="s">
        <v>684</v>
      </c>
      <c r="C192" s="59">
        <v>2236080</v>
      </c>
      <c r="D192" s="29"/>
      <c r="E192" s="59"/>
      <c r="F192" s="59"/>
      <c r="G192" s="61" t="s">
        <v>56</v>
      </c>
    </row>
    <row r="193" spans="1:7" s="60" customFormat="1" ht="21">
      <c r="A193" s="58"/>
      <c r="B193" s="29" t="s">
        <v>685</v>
      </c>
      <c r="C193" s="59">
        <v>145500</v>
      </c>
      <c r="D193" s="29"/>
      <c r="E193" s="59"/>
      <c r="F193" s="59"/>
      <c r="G193" s="61" t="s">
        <v>57</v>
      </c>
    </row>
    <row r="194" spans="1:7" s="60" customFormat="1" ht="21">
      <c r="A194" s="58"/>
      <c r="B194" s="29" t="s">
        <v>686</v>
      </c>
      <c r="C194" s="59">
        <v>600000</v>
      </c>
      <c r="D194" s="29"/>
      <c r="E194" s="59"/>
      <c r="F194" s="59"/>
      <c r="G194" s="61" t="s">
        <v>57</v>
      </c>
    </row>
    <row r="195" spans="1:7" s="60" customFormat="1" ht="21">
      <c r="A195" s="58"/>
      <c r="B195" s="29" t="s">
        <v>59</v>
      </c>
      <c r="C195" s="59">
        <v>414000</v>
      </c>
      <c r="D195" s="29"/>
      <c r="E195" s="59"/>
      <c r="F195" s="59"/>
      <c r="G195" s="61" t="s">
        <v>57</v>
      </c>
    </row>
    <row r="196" spans="1:7" s="164" customFormat="1" ht="21">
      <c r="A196" s="160"/>
      <c r="B196" s="161" t="s">
        <v>102</v>
      </c>
      <c r="C196" s="162">
        <v>298973</v>
      </c>
      <c r="D196" s="161"/>
      <c r="E196" s="162"/>
      <c r="F196" s="162"/>
      <c r="G196" s="163" t="s">
        <v>53</v>
      </c>
    </row>
    <row r="197" spans="1:7" s="74" customFormat="1" ht="21">
      <c r="A197" s="71"/>
      <c r="B197" s="72" t="s">
        <v>687</v>
      </c>
      <c r="C197" s="73">
        <v>415128</v>
      </c>
      <c r="D197" s="72"/>
      <c r="E197" s="73"/>
      <c r="F197" s="73"/>
      <c r="G197" s="75" t="s">
        <v>53</v>
      </c>
    </row>
    <row r="198" spans="1:7" ht="21">
      <c r="A198" s="34"/>
      <c r="B198" s="30"/>
      <c r="C198" s="31"/>
      <c r="D198" s="4"/>
      <c r="E198" s="31"/>
      <c r="F198" s="31"/>
      <c r="G198" s="32"/>
    </row>
    <row r="199" spans="1:7" s="60" customFormat="1" ht="21">
      <c r="A199" s="58">
        <v>44918</v>
      </c>
      <c r="B199" s="29" t="s">
        <v>358</v>
      </c>
      <c r="C199" s="59">
        <v>633600</v>
      </c>
      <c r="D199" s="29"/>
      <c r="E199" s="59"/>
      <c r="F199" s="59"/>
      <c r="G199" s="61" t="s">
        <v>154</v>
      </c>
    </row>
    <row r="200" spans="1:7" s="60" customFormat="1" ht="21">
      <c r="A200" s="58"/>
      <c r="B200" s="29" t="s">
        <v>379</v>
      </c>
      <c r="C200" s="59">
        <v>1044780</v>
      </c>
      <c r="D200" s="29"/>
      <c r="E200" s="59"/>
      <c r="F200" s="59"/>
      <c r="G200" s="61" t="s">
        <v>56</v>
      </c>
    </row>
    <row r="201" spans="1:7" s="70" customFormat="1" ht="21">
      <c r="A201" s="66"/>
      <c r="B201" s="67" t="s">
        <v>688</v>
      </c>
      <c r="C201" s="68">
        <v>16395154</v>
      </c>
      <c r="D201" s="67"/>
      <c r="E201" s="68"/>
      <c r="F201" s="68"/>
      <c r="G201" s="69" t="s">
        <v>56</v>
      </c>
    </row>
    <row r="202" spans="1:7" s="60" customFormat="1" ht="21">
      <c r="A202" s="58"/>
      <c r="B202" s="29" t="s">
        <v>689</v>
      </c>
      <c r="C202" s="59">
        <v>161000</v>
      </c>
      <c r="D202" s="29"/>
      <c r="E202" s="59"/>
      <c r="F202" s="59"/>
      <c r="G202" s="61" t="s">
        <v>56</v>
      </c>
    </row>
    <row r="203" spans="1:7" s="60" customFormat="1" ht="21">
      <c r="A203" s="58"/>
      <c r="B203" s="29" t="s">
        <v>609</v>
      </c>
      <c r="C203" s="59">
        <v>660000</v>
      </c>
      <c r="D203" s="29"/>
      <c r="E203" s="59"/>
      <c r="F203" s="59"/>
      <c r="G203" s="61" t="s">
        <v>57</v>
      </c>
    </row>
    <row r="204" spans="1:7" s="74" customFormat="1" ht="21">
      <c r="A204" s="71"/>
      <c r="B204" s="72" t="s">
        <v>376</v>
      </c>
      <c r="C204" s="73">
        <v>6947470</v>
      </c>
      <c r="D204" s="72"/>
      <c r="E204" s="73"/>
      <c r="F204" s="73"/>
      <c r="G204" s="75" t="s">
        <v>57</v>
      </c>
    </row>
    <row r="205" spans="1:7" s="60" customFormat="1" ht="21">
      <c r="A205" s="58"/>
      <c r="B205" s="29" t="s">
        <v>84</v>
      </c>
      <c r="C205" s="59">
        <v>7302701</v>
      </c>
      <c r="D205" s="29"/>
      <c r="E205" s="59"/>
      <c r="F205" s="59"/>
      <c r="G205" s="61" t="s">
        <v>53</v>
      </c>
    </row>
    <row r="206" spans="1:7" s="74" customFormat="1" ht="21">
      <c r="A206" s="71"/>
      <c r="B206" s="72" t="s">
        <v>690</v>
      </c>
      <c r="C206" s="73">
        <v>6115220</v>
      </c>
      <c r="D206" s="72"/>
      <c r="E206" s="73"/>
      <c r="F206" s="73"/>
      <c r="G206" s="75" t="s">
        <v>53</v>
      </c>
    </row>
    <row r="207" spans="1:7" s="60" customFormat="1" ht="21">
      <c r="A207" s="58"/>
      <c r="B207" s="29" t="s">
        <v>691</v>
      </c>
      <c r="C207" s="59">
        <v>1050000</v>
      </c>
      <c r="D207" s="29"/>
      <c r="E207" s="59"/>
      <c r="F207" s="59"/>
      <c r="G207" s="61" t="s">
        <v>60</v>
      </c>
    </row>
    <row r="208" spans="1:7" s="60" customFormat="1" ht="21">
      <c r="A208" s="58"/>
      <c r="B208" s="29" t="s">
        <v>692</v>
      </c>
      <c r="C208" s="59">
        <v>1848000</v>
      </c>
      <c r="D208" s="29"/>
      <c r="E208" s="59"/>
      <c r="F208" s="59"/>
      <c r="G208" s="61" t="s">
        <v>58</v>
      </c>
    </row>
    <row r="209" spans="1:7" s="60" customFormat="1" ht="21">
      <c r="A209" s="58"/>
      <c r="B209" s="29" t="s">
        <v>574</v>
      </c>
      <c r="C209" s="59">
        <v>3016430</v>
      </c>
      <c r="D209" s="29"/>
      <c r="E209" s="59"/>
      <c r="F209" s="59"/>
      <c r="G209" s="61" t="s">
        <v>58</v>
      </c>
    </row>
    <row r="210" spans="1:7" ht="21">
      <c r="A210" s="34"/>
      <c r="B210" s="30"/>
      <c r="C210" s="31"/>
      <c r="D210" s="4"/>
      <c r="E210" s="31"/>
      <c r="F210" s="31"/>
      <c r="G210" s="32"/>
    </row>
    <row r="211" spans="1:7" s="70" customFormat="1" ht="21">
      <c r="A211" s="66">
        <v>44921</v>
      </c>
      <c r="B211" s="67" t="s">
        <v>693</v>
      </c>
      <c r="C211" s="68">
        <v>3413200</v>
      </c>
      <c r="D211" s="67"/>
      <c r="E211" s="68"/>
      <c r="F211" s="68"/>
      <c r="G211" s="69" t="s">
        <v>154</v>
      </c>
    </row>
    <row r="212" spans="1:7" s="60" customFormat="1" ht="21">
      <c r="A212" s="58"/>
      <c r="B212" s="29" t="s">
        <v>694</v>
      </c>
      <c r="C212" s="59">
        <v>1535250</v>
      </c>
      <c r="D212" s="29"/>
      <c r="E212" s="59"/>
      <c r="F212" s="59"/>
      <c r="G212" s="61" t="s">
        <v>154</v>
      </c>
    </row>
    <row r="213" spans="1:7" s="60" customFormat="1" ht="21">
      <c r="A213" s="58"/>
      <c r="B213" s="29" t="s">
        <v>428</v>
      </c>
      <c r="C213" s="59">
        <v>16970404</v>
      </c>
      <c r="D213" s="29"/>
      <c r="E213" s="59"/>
      <c r="F213" s="59"/>
      <c r="G213" s="61" t="s">
        <v>56</v>
      </c>
    </row>
    <row r="214" spans="1:7" s="60" customFormat="1" ht="21">
      <c r="A214" s="58"/>
      <c r="B214" s="29" t="s">
        <v>68</v>
      </c>
      <c r="C214" s="59">
        <v>24702163</v>
      </c>
      <c r="D214" s="29"/>
      <c r="E214" s="59"/>
      <c r="F214" s="59"/>
      <c r="G214" s="61" t="s">
        <v>56</v>
      </c>
    </row>
    <row r="215" spans="1:7" s="60" customFormat="1" ht="21">
      <c r="A215" s="58"/>
      <c r="B215" s="29" t="s">
        <v>528</v>
      </c>
      <c r="C215" s="59">
        <v>29256049</v>
      </c>
      <c r="D215" s="29"/>
      <c r="E215" s="59"/>
      <c r="F215" s="59"/>
      <c r="G215" s="61" t="s">
        <v>56</v>
      </c>
    </row>
    <row r="216" spans="1:7" s="60" customFormat="1" ht="21">
      <c r="A216" s="58"/>
      <c r="B216" s="29" t="s">
        <v>110</v>
      </c>
      <c r="C216" s="59">
        <v>64584000</v>
      </c>
      <c r="D216" s="29"/>
      <c r="E216" s="59"/>
      <c r="F216" s="59"/>
      <c r="G216" s="61" t="s">
        <v>56</v>
      </c>
    </row>
    <row r="217" spans="1:7" s="60" customFormat="1" ht="21">
      <c r="A217" s="58"/>
      <c r="B217" s="29" t="s">
        <v>695</v>
      </c>
      <c r="C217" s="59">
        <v>2904000</v>
      </c>
      <c r="D217" s="29"/>
      <c r="E217" s="59"/>
      <c r="F217" s="59"/>
      <c r="G217" s="61" t="s">
        <v>56</v>
      </c>
    </row>
    <row r="218" spans="1:7" s="60" customFormat="1" ht="21">
      <c r="A218" s="58"/>
      <c r="B218" s="29" t="s">
        <v>181</v>
      </c>
      <c r="C218" s="59">
        <v>2639286</v>
      </c>
      <c r="D218" s="29"/>
      <c r="E218" s="59"/>
      <c r="F218" s="59"/>
      <c r="G218" s="61" t="s">
        <v>57</v>
      </c>
    </row>
    <row r="219" spans="1:7" s="60" customFormat="1" ht="21">
      <c r="A219" s="58"/>
      <c r="B219" s="29" t="s">
        <v>696</v>
      </c>
      <c r="C219" s="59">
        <v>390000</v>
      </c>
      <c r="D219" s="29"/>
      <c r="E219" s="59"/>
      <c r="F219" s="59"/>
      <c r="G219" s="61" t="s">
        <v>57</v>
      </c>
    </row>
    <row r="220" spans="1:7" s="164" customFormat="1" ht="21">
      <c r="A220" s="160"/>
      <c r="B220" s="161" t="s">
        <v>697</v>
      </c>
      <c r="C220" s="162"/>
      <c r="D220" s="161"/>
      <c r="E220" s="162"/>
      <c r="F220" s="162"/>
      <c r="G220" s="163" t="s">
        <v>57</v>
      </c>
    </row>
    <row r="221" spans="1:7" s="60" customFormat="1" ht="21">
      <c r="A221" s="58"/>
      <c r="B221" s="29" t="s">
        <v>698</v>
      </c>
      <c r="C221" s="59">
        <v>385696</v>
      </c>
      <c r="D221" s="29"/>
      <c r="E221" s="59"/>
      <c r="F221" s="59"/>
      <c r="G221" s="61" t="s">
        <v>57</v>
      </c>
    </row>
    <row r="222" spans="1:7" s="164" customFormat="1" ht="21">
      <c r="A222" s="160"/>
      <c r="B222" s="161" t="s">
        <v>699</v>
      </c>
      <c r="C222" s="162"/>
      <c r="D222" s="161"/>
      <c r="E222" s="162"/>
      <c r="F222" s="162"/>
      <c r="G222" s="163" t="s">
        <v>57</v>
      </c>
    </row>
    <row r="223" spans="1:7" s="60" customFormat="1" ht="21">
      <c r="A223" s="58"/>
      <c r="B223" s="29" t="s">
        <v>585</v>
      </c>
      <c r="C223" s="59">
        <v>379375</v>
      </c>
      <c r="D223" s="29"/>
      <c r="E223" s="59"/>
      <c r="F223" s="59"/>
      <c r="G223" s="61" t="s">
        <v>57</v>
      </c>
    </row>
    <row r="224" spans="1:7" s="60" customFormat="1" ht="21">
      <c r="A224" s="58"/>
      <c r="B224" s="29" t="s">
        <v>700</v>
      </c>
      <c r="C224" s="59">
        <v>1110747</v>
      </c>
      <c r="D224" s="29"/>
      <c r="E224" s="59"/>
      <c r="F224" s="59"/>
      <c r="G224" s="61"/>
    </row>
    <row r="225" spans="1:7" s="60" customFormat="1" ht="21">
      <c r="A225" s="58"/>
      <c r="B225" s="29" t="s">
        <v>701</v>
      </c>
      <c r="C225" s="59">
        <v>344350</v>
      </c>
      <c r="D225" s="29"/>
      <c r="E225" s="59"/>
      <c r="F225" s="59"/>
      <c r="G225" s="61"/>
    </row>
    <row r="226" spans="1:7" s="60" customFormat="1" ht="21">
      <c r="A226" s="58"/>
      <c r="B226" s="29" t="s">
        <v>107</v>
      </c>
      <c r="C226" s="59">
        <v>1091580</v>
      </c>
      <c r="D226" s="29"/>
      <c r="E226" s="59"/>
      <c r="F226" s="59"/>
      <c r="G226" s="61" t="s">
        <v>54</v>
      </c>
    </row>
    <row r="227" spans="1:7" s="60" customFormat="1" ht="21">
      <c r="A227" s="58"/>
      <c r="B227" s="29" t="s">
        <v>702</v>
      </c>
      <c r="C227" s="59">
        <v>9614315</v>
      </c>
      <c r="D227" s="29"/>
      <c r="E227" s="59"/>
      <c r="F227" s="59"/>
      <c r="G227" s="61" t="s">
        <v>58</v>
      </c>
    </row>
    <row r="228" spans="1:7" s="60" customFormat="1" ht="21">
      <c r="A228" s="58"/>
      <c r="B228" s="29" t="s">
        <v>703</v>
      </c>
      <c r="C228" s="59">
        <v>154000</v>
      </c>
      <c r="D228" s="29"/>
      <c r="E228" s="59"/>
      <c r="F228" s="59"/>
      <c r="G228" s="61" t="s">
        <v>58</v>
      </c>
    </row>
    <row r="229" spans="1:7" ht="21">
      <c r="A229" s="34"/>
      <c r="B229" s="30"/>
      <c r="C229" s="31"/>
      <c r="D229" s="4"/>
      <c r="E229" s="31"/>
      <c r="F229" s="31"/>
      <c r="G229" s="32"/>
    </row>
    <row r="230" spans="1:7" s="60" customFormat="1" ht="21">
      <c r="A230" s="58">
        <v>44922</v>
      </c>
      <c r="B230" s="29" t="s">
        <v>704</v>
      </c>
      <c r="C230" s="59">
        <v>2500000</v>
      </c>
      <c r="D230" s="29"/>
      <c r="E230" s="59"/>
      <c r="F230" s="59"/>
      <c r="G230" s="61" t="s">
        <v>56</v>
      </c>
    </row>
    <row r="231" spans="1:7" s="60" customFormat="1" ht="21">
      <c r="A231" s="58"/>
      <c r="B231" s="29" t="s">
        <v>705</v>
      </c>
      <c r="C231" s="59">
        <v>1597200</v>
      </c>
      <c r="D231" s="29"/>
      <c r="E231" s="59"/>
      <c r="F231" s="59"/>
      <c r="G231" s="61" t="s">
        <v>56</v>
      </c>
    </row>
    <row r="232" spans="1:7" s="60" customFormat="1" ht="21">
      <c r="A232" s="58"/>
      <c r="B232" s="29" t="s">
        <v>204</v>
      </c>
      <c r="C232" s="59">
        <v>1516680</v>
      </c>
      <c r="D232" s="29"/>
      <c r="E232" s="59"/>
      <c r="F232" s="59"/>
      <c r="G232" s="61" t="s">
        <v>56</v>
      </c>
    </row>
    <row r="233" spans="1:7" s="60" customFormat="1" ht="21">
      <c r="A233" s="58"/>
      <c r="B233" s="29" t="s">
        <v>240</v>
      </c>
      <c r="C233" s="59">
        <v>460000</v>
      </c>
      <c r="D233" s="29"/>
      <c r="E233" s="59"/>
      <c r="F233" s="59"/>
      <c r="G233" s="61" t="s">
        <v>57</v>
      </c>
    </row>
    <row r="234" spans="1:7" s="60" customFormat="1" ht="21">
      <c r="A234" s="58"/>
      <c r="B234" s="29" t="s">
        <v>173</v>
      </c>
      <c r="C234" s="59">
        <v>21277293</v>
      </c>
      <c r="D234" s="29"/>
      <c r="E234" s="59"/>
      <c r="F234" s="59"/>
      <c r="G234" s="61" t="s">
        <v>57</v>
      </c>
    </row>
    <row r="235" spans="1:7" s="74" customFormat="1" ht="21">
      <c r="A235" s="71"/>
      <c r="B235" s="72" t="s">
        <v>468</v>
      </c>
      <c r="C235" s="73">
        <v>67497509</v>
      </c>
      <c r="D235" s="72"/>
      <c r="E235" s="73"/>
      <c r="F235" s="73"/>
      <c r="G235" s="75" t="s">
        <v>57</v>
      </c>
    </row>
    <row r="236" spans="1:7" s="60" customFormat="1" ht="21">
      <c r="A236" s="58"/>
      <c r="B236" s="29" t="s">
        <v>105</v>
      </c>
      <c r="C236" s="59">
        <v>3871649</v>
      </c>
      <c r="D236" s="29"/>
      <c r="E236" s="59"/>
      <c r="F236" s="59"/>
      <c r="G236" s="61" t="s">
        <v>54</v>
      </c>
    </row>
    <row r="237" spans="1:7" s="60" customFormat="1" ht="21">
      <c r="A237" s="58"/>
      <c r="B237" s="29" t="s">
        <v>602</v>
      </c>
      <c r="C237" s="59">
        <v>4739527</v>
      </c>
      <c r="D237" s="29"/>
      <c r="E237" s="59"/>
      <c r="F237" s="59"/>
      <c r="G237" s="61" t="s">
        <v>54</v>
      </c>
    </row>
    <row r="238" spans="1:7" s="60" customFormat="1" ht="21">
      <c r="A238" s="58"/>
      <c r="B238" s="29" t="s">
        <v>83</v>
      </c>
      <c r="C238" s="59">
        <v>36438206</v>
      </c>
      <c r="D238" s="29"/>
      <c r="E238" s="59"/>
      <c r="F238" s="59"/>
      <c r="G238" s="61" t="s">
        <v>53</v>
      </c>
    </row>
    <row r="239" spans="1:7" s="60" customFormat="1" ht="21">
      <c r="A239" s="58"/>
      <c r="B239" s="29" t="s">
        <v>83</v>
      </c>
      <c r="C239" s="59">
        <v>37519329</v>
      </c>
      <c r="D239" s="29"/>
      <c r="E239" s="59"/>
      <c r="F239" s="59"/>
      <c r="G239" s="61" t="s">
        <v>53</v>
      </c>
    </row>
    <row r="240" spans="1:7" s="164" customFormat="1" ht="21">
      <c r="A240" s="160"/>
      <c r="B240" s="161" t="s">
        <v>465</v>
      </c>
      <c r="C240" s="162">
        <v>297788</v>
      </c>
      <c r="D240" s="161"/>
      <c r="E240" s="162"/>
      <c r="F240" s="162"/>
      <c r="G240" s="163" t="s">
        <v>53</v>
      </c>
    </row>
    <row r="241" spans="1:7" s="60" customFormat="1" ht="21">
      <c r="A241" s="58"/>
      <c r="B241" s="29" t="s">
        <v>398</v>
      </c>
      <c r="C241" s="59">
        <v>712800</v>
      </c>
      <c r="D241" s="29"/>
      <c r="E241" s="59"/>
      <c r="F241" s="59"/>
      <c r="G241" s="61" t="s">
        <v>58</v>
      </c>
    </row>
    <row r="242" spans="1:7" ht="21">
      <c r="A242" s="34"/>
      <c r="B242" s="30"/>
      <c r="C242" s="31"/>
      <c r="D242" s="4"/>
      <c r="E242" s="31"/>
      <c r="F242" s="31"/>
      <c r="G242" s="32"/>
    </row>
    <row r="243" spans="1:7" ht="21">
      <c r="A243" s="34"/>
      <c r="B243" s="30"/>
      <c r="C243" s="31"/>
      <c r="D243" s="4"/>
      <c r="E243" s="31"/>
      <c r="F243" s="31"/>
      <c r="G243" s="32"/>
    </row>
    <row r="244" spans="1:7" s="60" customFormat="1" ht="21">
      <c r="A244" s="58">
        <v>44923</v>
      </c>
      <c r="B244" s="29" t="s">
        <v>706</v>
      </c>
      <c r="C244" s="59">
        <v>3146000</v>
      </c>
      <c r="D244" s="29"/>
      <c r="E244" s="59"/>
      <c r="F244" s="59"/>
      <c r="G244" s="61" t="s">
        <v>56</v>
      </c>
    </row>
    <row r="245" spans="1:7" s="60" customFormat="1" ht="21">
      <c r="A245" s="58"/>
      <c r="B245" s="29" t="s">
        <v>472</v>
      </c>
      <c r="C245" s="59">
        <v>387120</v>
      </c>
      <c r="D245" s="29"/>
      <c r="E245" s="59"/>
      <c r="F245" s="59"/>
      <c r="G245" s="61" t="s">
        <v>57</v>
      </c>
    </row>
    <row r="246" spans="1:7" s="60" customFormat="1" ht="21">
      <c r="A246" s="58"/>
      <c r="B246" s="29" t="s">
        <v>707</v>
      </c>
      <c r="C246" s="59">
        <v>422561</v>
      </c>
      <c r="D246" s="29"/>
      <c r="E246" s="59"/>
      <c r="F246" s="59"/>
      <c r="G246" s="61" t="s">
        <v>57</v>
      </c>
    </row>
    <row r="247" spans="1:7" s="60" customFormat="1" ht="21">
      <c r="A247" s="58"/>
      <c r="B247" s="29" t="s">
        <v>708</v>
      </c>
      <c r="C247" s="59">
        <v>100000</v>
      </c>
      <c r="D247" s="29"/>
      <c r="E247" s="59"/>
      <c r="F247" s="59"/>
      <c r="G247" s="61" t="s">
        <v>57</v>
      </c>
    </row>
    <row r="248" spans="1:7" s="60" customFormat="1" ht="21">
      <c r="A248" s="58"/>
      <c r="B248" s="29" t="s">
        <v>313</v>
      </c>
      <c r="C248" s="59">
        <v>237949</v>
      </c>
      <c r="D248" s="29"/>
      <c r="E248" s="59"/>
      <c r="F248" s="59"/>
      <c r="G248" s="61" t="s">
        <v>57</v>
      </c>
    </row>
    <row r="249" spans="1:7" s="70" customFormat="1" ht="21">
      <c r="A249" s="66"/>
      <c r="B249" s="67" t="s">
        <v>709</v>
      </c>
      <c r="C249" s="68"/>
      <c r="D249" s="67"/>
      <c r="E249" s="68"/>
      <c r="F249" s="68"/>
      <c r="G249" s="69"/>
    </row>
    <row r="250" spans="1:7" s="60" customFormat="1" ht="21">
      <c r="A250" s="58"/>
      <c r="B250" s="29" t="s">
        <v>172</v>
      </c>
      <c r="C250" s="59">
        <v>3191130</v>
      </c>
      <c r="D250" s="29"/>
      <c r="E250" s="59"/>
      <c r="F250" s="59"/>
      <c r="G250" s="61" t="s">
        <v>58</v>
      </c>
    </row>
    <row r="251" spans="1:7" ht="21">
      <c r="A251" s="34"/>
      <c r="B251" s="30"/>
      <c r="C251" s="31"/>
      <c r="D251" s="4"/>
      <c r="E251" s="31"/>
      <c r="F251" s="31"/>
      <c r="G251" s="32"/>
    </row>
    <row r="252" spans="1:7" ht="21">
      <c r="A252" s="34"/>
      <c r="B252" s="30"/>
      <c r="C252" s="31"/>
      <c r="D252" s="4"/>
      <c r="E252" s="31"/>
      <c r="F252" s="31"/>
      <c r="G252" s="32"/>
    </row>
    <row r="253" spans="1:7" s="70" customFormat="1" ht="21">
      <c r="A253" s="66">
        <v>44924</v>
      </c>
      <c r="B253" s="67" t="s">
        <v>709</v>
      </c>
      <c r="C253" s="68"/>
      <c r="D253" s="67"/>
      <c r="E253" s="68"/>
      <c r="F253" s="68"/>
      <c r="G253" s="69" t="s">
        <v>154</v>
      </c>
    </row>
    <row r="254" spans="1:7" s="60" customFormat="1" ht="21">
      <c r="A254" s="58"/>
      <c r="B254" s="29" t="s">
        <v>710</v>
      </c>
      <c r="C254" s="59">
        <v>2500000</v>
      </c>
      <c r="D254" s="29"/>
      <c r="E254" s="59"/>
      <c r="F254" s="59"/>
      <c r="G254" s="61" t="s">
        <v>56</v>
      </c>
    </row>
    <row r="255" spans="1:7" s="60" customFormat="1" ht="21">
      <c r="A255" s="58"/>
      <c r="B255" s="29" t="s">
        <v>711</v>
      </c>
      <c r="C255" s="59">
        <v>5000000</v>
      </c>
      <c r="D255" s="29"/>
      <c r="E255" s="59"/>
      <c r="F255" s="59"/>
      <c r="G255" s="61" t="s">
        <v>57</v>
      </c>
    </row>
    <row r="256" spans="1:7" s="164" customFormat="1" ht="21">
      <c r="A256" s="160"/>
      <c r="B256" s="161" t="s">
        <v>197</v>
      </c>
      <c r="C256" s="162">
        <v>2680000</v>
      </c>
      <c r="D256" s="161"/>
      <c r="E256" s="162"/>
      <c r="F256" s="162"/>
      <c r="G256" s="163" t="s">
        <v>57</v>
      </c>
    </row>
    <row r="257" spans="1:7" s="60" customFormat="1" ht="21">
      <c r="A257" s="58"/>
      <c r="B257" s="29" t="s">
        <v>712</v>
      </c>
      <c r="C257" s="59">
        <v>1111879</v>
      </c>
      <c r="D257" s="29"/>
      <c r="E257" s="59"/>
      <c r="F257" s="59"/>
      <c r="G257" s="61" t="s">
        <v>57</v>
      </c>
    </row>
    <row r="258" spans="1:7" s="164" customFormat="1" ht="21">
      <c r="A258" s="160"/>
      <c r="B258" s="161" t="s">
        <v>269</v>
      </c>
      <c r="C258" s="162">
        <v>4000000</v>
      </c>
      <c r="D258" s="161"/>
      <c r="E258" s="162"/>
      <c r="F258" s="162"/>
      <c r="G258" s="163" t="s">
        <v>57</v>
      </c>
    </row>
    <row r="259" spans="1:7" s="74" customFormat="1" ht="21">
      <c r="A259" s="71"/>
      <c r="B259" s="72" t="s">
        <v>468</v>
      </c>
      <c r="C259" s="73">
        <v>48324483</v>
      </c>
      <c r="D259" s="72"/>
      <c r="E259" s="73"/>
      <c r="F259" s="73"/>
      <c r="G259" s="75" t="s">
        <v>57</v>
      </c>
    </row>
    <row r="260" spans="1:7" s="70" customFormat="1" ht="21">
      <c r="A260" s="66"/>
      <c r="B260" s="67" t="s">
        <v>709</v>
      </c>
      <c r="C260" s="68"/>
      <c r="D260" s="67"/>
      <c r="E260" s="68"/>
      <c r="F260" s="68"/>
      <c r="G260" s="69" t="s">
        <v>90</v>
      </c>
    </row>
    <row r="261" spans="1:7" s="60" customFormat="1" ht="21">
      <c r="A261" s="58"/>
      <c r="B261" s="29" t="s">
        <v>65</v>
      </c>
      <c r="C261" s="59">
        <v>12847336</v>
      </c>
      <c r="D261" s="29"/>
      <c r="E261" s="59"/>
      <c r="F261" s="59"/>
      <c r="G261" s="61" t="s">
        <v>53</v>
      </c>
    </row>
    <row r="262" spans="1:7" s="60" customFormat="1" ht="21">
      <c r="A262" s="58"/>
      <c r="B262" s="29" t="s">
        <v>713</v>
      </c>
      <c r="C262" s="59">
        <v>4818374</v>
      </c>
      <c r="D262" s="29"/>
      <c r="E262" s="59"/>
      <c r="F262" s="59"/>
      <c r="G262" s="61" t="s">
        <v>58</v>
      </c>
    </row>
    <row r="263" spans="1:7" ht="21">
      <c r="A263" s="34"/>
      <c r="B263" s="30"/>
      <c r="C263" s="31"/>
      <c r="D263" s="4"/>
      <c r="E263" s="31"/>
      <c r="F263" s="31"/>
      <c r="G263" s="32"/>
    </row>
    <row r="264" spans="1:7" ht="21">
      <c r="A264" s="34"/>
      <c r="B264" s="30"/>
      <c r="C264" s="31"/>
      <c r="D264" s="4"/>
      <c r="E264" s="31"/>
      <c r="F264" s="31"/>
      <c r="G264" s="32"/>
    </row>
    <row r="265" spans="1:7" s="60" customFormat="1" ht="21">
      <c r="A265" s="58">
        <v>44925</v>
      </c>
      <c r="B265" s="29" t="s">
        <v>714</v>
      </c>
      <c r="C265" s="59">
        <v>5864762</v>
      </c>
      <c r="D265" s="29"/>
      <c r="E265" s="59"/>
      <c r="F265" s="59"/>
      <c r="G265" s="61" t="s">
        <v>57</v>
      </c>
    </row>
    <row r="266" spans="1:7" s="60" customFormat="1" ht="21">
      <c r="A266" s="58"/>
      <c r="B266" s="29" t="s">
        <v>226</v>
      </c>
      <c r="C266" s="59">
        <v>726000</v>
      </c>
      <c r="D266" s="29"/>
      <c r="E266" s="59"/>
      <c r="F266" s="59"/>
      <c r="G266" s="61" t="s">
        <v>57</v>
      </c>
    </row>
    <row r="267" spans="1:7" s="60" customFormat="1" ht="21">
      <c r="A267" s="58"/>
      <c r="B267" s="29" t="s">
        <v>584</v>
      </c>
      <c r="C267" s="59">
        <v>345076</v>
      </c>
      <c r="D267" s="29"/>
      <c r="E267" s="59"/>
      <c r="F267" s="59"/>
      <c r="G267" s="61" t="s">
        <v>53</v>
      </c>
    </row>
    <row r="268" spans="1:7" s="60" customFormat="1" ht="21">
      <c r="A268" s="58"/>
      <c r="B268" s="29" t="s">
        <v>97</v>
      </c>
      <c r="C268" s="59">
        <v>24568748</v>
      </c>
      <c r="D268" s="29"/>
      <c r="E268" s="59"/>
      <c r="F268" s="59"/>
      <c r="G268" s="61" t="s">
        <v>53</v>
      </c>
    </row>
    <row r="269" spans="1:7" ht="21">
      <c r="A269" s="34"/>
      <c r="B269" s="30"/>
      <c r="C269" s="31"/>
      <c r="D269" s="4"/>
      <c r="E269" s="31"/>
      <c r="F269" s="31"/>
      <c r="G269" s="32"/>
    </row>
    <row r="270" spans="1:7" ht="21">
      <c r="A270" s="34"/>
      <c r="B270" s="30"/>
      <c r="C270" s="31"/>
      <c r="D270" s="4"/>
      <c r="E270" s="31"/>
      <c r="F270" s="31"/>
      <c r="G270" s="32"/>
    </row>
    <row r="271" spans="1:7" s="164" customFormat="1" ht="21">
      <c r="A271" s="160"/>
      <c r="B271" s="161" t="s">
        <v>715</v>
      </c>
      <c r="C271" s="162">
        <v>128612619</v>
      </c>
      <c r="D271" s="161"/>
      <c r="E271" s="162"/>
      <c r="F271" s="162"/>
      <c r="G271" s="163"/>
    </row>
    <row r="272" spans="1:7" s="164" customFormat="1" ht="21">
      <c r="A272" s="160"/>
      <c r="B272" s="161" t="s">
        <v>716</v>
      </c>
      <c r="C272" s="162">
        <f>151897282+8899525</f>
        <v>160796807</v>
      </c>
      <c r="D272" s="161"/>
      <c r="E272" s="162"/>
      <c r="F272" s="162"/>
      <c r="G272" s="163"/>
    </row>
    <row r="273" spans="1:7" ht="21">
      <c r="A273" s="34"/>
      <c r="B273" s="30"/>
      <c r="C273" s="31"/>
      <c r="D273" s="4"/>
      <c r="E273" s="31"/>
      <c r="F273" s="31"/>
      <c r="G273" s="32"/>
    </row>
    <row r="274" spans="1:7" ht="21">
      <c r="A274" s="34"/>
      <c r="B274" s="30" t="s">
        <v>520</v>
      </c>
      <c r="C274" s="31">
        <v>2161347624</v>
      </c>
      <c r="D274" s="4"/>
      <c r="E274" s="31"/>
      <c r="F274" s="31"/>
      <c r="G274" s="32"/>
    </row>
    <row r="275" spans="1:7" ht="21">
      <c r="A275" s="34"/>
      <c r="B275" s="30"/>
      <c r="C275" s="31"/>
      <c r="D275" s="4"/>
      <c r="E275" s="31"/>
      <c r="F275" s="31"/>
      <c r="G275" s="32"/>
    </row>
    <row r="276" spans="1:7" ht="21">
      <c r="A276" s="34"/>
      <c r="B276" s="30" t="s">
        <v>717</v>
      </c>
      <c r="C276" s="31">
        <v>784607415</v>
      </c>
      <c r="D276" s="4"/>
      <c r="E276" s="31"/>
      <c r="F276" s="31"/>
      <c r="G276" s="32"/>
    </row>
    <row r="277" spans="1:7" ht="21">
      <c r="A277" s="34"/>
      <c r="B277" s="30"/>
      <c r="C277" s="31"/>
      <c r="D277" s="4"/>
      <c r="E277" s="31"/>
      <c r="F277" s="31"/>
      <c r="G277" s="32"/>
    </row>
    <row r="278" spans="1:7" ht="21">
      <c r="A278" s="34"/>
      <c r="B278" s="30"/>
      <c r="C278" s="31"/>
      <c r="D278" s="4"/>
      <c r="E278" s="31"/>
      <c r="F278" s="31"/>
      <c r="G278" s="32"/>
    </row>
    <row r="279" spans="1:7" ht="21">
      <c r="A279" s="34"/>
      <c r="B279" s="30"/>
      <c r="C279" s="31"/>
      <c r="D279" s="4"/>
      <c r="E279" s="31"/>
      <c r="F279" s="31"/>
      <c r="G279" s="32"/>
    </row>
    <row r="280" spans="1:7" ht="21">
      <c r="B280" s="35"/>
      <c r="C280" s="36"/>
      <c r="D280" s="4"/>
      <c r="E280" s="31"/>
      <c r="F280" s="155"/>
      <c r="G280" s="32"/>
    </row>
    <row r="281" spans="1:7" ht="18.5">
      <c r="B281" s="37"/>
      <c r="C281" s="38">
        <f>SUM(C7:C280)</f>
        <v>5173148667</v>
      </c>
      <c r="D281" s="4"/>
      <c r="E281" s="38">
        <f>SUM(E8:E280)</f>
        <v>0</v>
      </c>
      <c r="F281" s="38"/>
      <c r="G281" s="4"/>
    </row>
    <row r="284" spans="1:7" ht="19" thickBot="1">
      <c r="B284" s="39" t="s">
        <v>71</v>
      </c>
      <c r="C284" s="39"/>
      <c r="D284" s="39" t="s">
        <v>580</v>
      </c>
    </row>
    <row r="289" spans="2:3" ht="18.5">
      <c r="B289" s="570" t="s">
        <v>73</v>
      </c>
      <c r="C289" s="571"/>
    </row>
    <row r="291" spans="2:3" ht="18.5">
      <c r="B291" s="41" t="s">
        <v>74</v>
      </c>
      <c r="C291" s="41" t="s">
        <v>51</v>
      </c>
    </row>
    <row r="292" spans="2:3" ht="21">
      <c r="B292" s="42">
        <v>44922</v>
      </c>
      <c r="C292" s="43">
        <v>104988538</v>
      </c>
    </row>
    <row r="293" spans="2:3" ht="21">
      <c r="B293" s="42">
        <v>44923</v>
      </c>
      <c r="C293" s="43">
        <v>292325686</v>
      </c>
    </row>
    <row r="294" spans="2:3" ht="21">
      <c r="B294" s="42">
        <v>44924</v>
      </c>
      <c r="C294" s="43">
        <v>493698004</v>
      </c>
    </row>
    <row r="295" spans="2:3" ht="21">
      <c r="B295" s="42">
        <v>44925</v>
      </c>
      <c r="C295" s="43">
        <v>7202518</v>
      </c>
    </row>
    <row r="296" spans="2:3" ht="21">
      <c r="B296" s="42">
        <v>44928</v>
      </c>
      <c r="C296" s="43">
        <v>429081917</v>
      </c>
    </row>
    <row r="297" spans="2:3" ht="21">
      <c r="B297" s="41" t="s">
        <v>75</v>
      </c>
      <c r="C297" s="43">
        <f>C292+C293+C294+C295+C296</f>
        <v>1327296663</v>
      </c>
    </row>
    <row r="299" spans="2:3">
      <c r="C299" s="44"/>
    </row>
    <row r="300" spans="2:3">
      <c r="C300" s="44"/>
    </row>
    <row r="301" spans="2:3" ht="21">
      <c r="B301" s="46"/>
      <c r="C301" s="44"/>
    </row>
    <row r="302" spans="2:3" ht="18.5">
      <c r="B302" s="47" t="s">
        <v>76</v>
      </c>
    </row>
    <row r="304" spans="2:3" ht="15.5">
      <c r="B304" s="48"/>
      <c r="C304" s="49"/>
    </row>
    <row r="305" spans="2:3" ht="15.5">
      <c r="B305" s="48"/>
      <c r="C305" s="49"/>
    </row>
    <row r="306" spans="2:3" ht="15.5">
      <c r="B306" s="50" t="s">
        <v>77</v>
      </c>
    </row>
    <row r="307" spans="2:3" ht="21">
      <c r="B307" s="30"/>
      <c r="C307" s="31"/>
    </row>
    <row r="308" spans="2:3" ht="21">
      <c r="B308" s="30"/>
      <c r="C308" s="31"/>
    </row>
    <row r="309" spans="2:3" ht="21">
      <c r="B309" s="30"/>
      <c r="C309" s="31"/>
    </row>
    <row r="310" spans="2:3" ht="21">
      <c r="B310" s="30"/>
      <c r="C310" s="31"/>
    </row>
    <row r="311" spans="2:3" ht="21">
      <c r="B311" s="30"/>
      <c r="C311" s="31"/>
    </row>
    <row r="312" spans="2:3" ht="21">
      <c r="B312" s="30"/>
      <c r="C312" s="31"/>
    </row>
    <row r="313" spans="2:3" ht="21">
      <c r="B313" s="30"/>
      <c r="C313" s="31"/>
    </row>
    <row r="314" spans="2:3" ht="21">
      <c r="B314" s="30"/>
      <c r="C314" s="31"/>
    </row>
    <row r="315" spans="2:3" ht="21">
      <c r="B315" s="30"/>
      <c r="C315" s="31"/>
    </row>
    <row r="316" spans="2:3" ht="21">
      <c r="B316" s="30"/>
      <c r="C316" s="31"/>
    </row>
    <row r="317" spans="2:3" ht="21">
      <c r="B317" s="30"/>
      <c r="C317" s="31"/>
    </row>
    <row r="318" spans="2:3" ht="21">
      <c r="B318" s="30"/>
      <c r="C318" s="31"/>
    </row>
    <row r="319" spans="2:3" ht="21">
      <c r="B319" s="30"/>
      <c r="C319" s="31"/>
    </row>
    <row r="320" spans="2:3" ht="21">
      <c r="B320" s="30"/>
      <c r="C320" s="31"/>
    </row>
    <row r="321" spans="2:3" ht="21">
      <c r="B321" s="30"/>
      <c r="C321" s="31"/>
    </row>
    <row r="322" spans="2:3" ht="21">
      <c r="B322" s="30"/>
      <c r="C322" s="31"/>
    </row>
    <row r="323" spans="2:3" ht="21">
      <c r="B323" s="30"/>
      <c r="C323" s="31"/>
    </row>
    <row r="324" spans="2:3" ht="21">
      <c r="B324" s="30"/>
      <c r="C324" s="31"/>
    </row>
    <row r="325" spans="2:3" ht="21">
      <c r="B325" s="51"/>
      <c r="C325" s="31"/>
    </row>
    <row r="326" spans="2:3" ht="15.5">
      <c r="B326" s="48" t="s">
        <v>75</v>
      </c>
      <c r="C326" s="49">
        <f>C320+C319+C318+C317+C316+C315+C314+C313+C312+C311+C310+C309+C308+C307</f>
        <v>0</v>
      </c>
    </row>
    <row r="327" spans="2:3" ht="15.5">
      <c r="B327" s="48"/>
      <c r="C327" s="49"/>
    </row>
    <row r="328" spans="2:3" ht="15.5">
      <c r="B328" s="48"/>
      <c r="C328" s="49"/>
    </row>
    <row r="329" spans="2:3" ht="15.5">
      <c r="B329" s="48"/>
      <c r="C329" s="49"/>
    </row>
    <row r="330" spans="2:3" ht="15.5">
      <c r="B330" s="50" t="s">
        <v>78</v>
      </c>
    </row>
    <row r="331" spans="2:3" ht="21">
      <c r="B331" s="30" t="s">
        <v>468</v>
      </c>
      <c r="C331" s="31">
        <v>67497509</v>
      </c>
    </row>
    <row r="332" spans="2:3" ht="21">
      <c r="B332" s="30" t="s">
        <v>113</v>
      </c>
      <c r="C332" s="31">
        <v>48324483</v>
      </c>
    </row>
    <row r="333" spans="2:3" ht="21">
      <c r="B333" s="30"/>
      <c r="C333" s="31"/>
    </row>
    <row r="334" spans="2:3" ht="21">
      <c r="B334" s="30"/>
      <c r="C334" s="31"/>
    </row>
    <row r="335" spans="2:3" ht="21">
      <c r="B335" s="30"/>
      <c r="C335" s="31"/>
    </row>
    <row r="336" spans="2:3" ht="21">
      <c r="B336" s="30"/>
      <c r="C336" s="31"/>
    </row>
    <row r="337" spans="2:3" ht="21">
      <c r="B337" s="30"/>
      <c r="C337" s="31"/>
    </row>
    <row r="338" spans="2:3" ht="21">
      <c r="B338" s="30"/>
      <c r="C338" s="31"/>
    </row>
    <row r="339" spans="2:3" ht="21">
      <c r="B339" s="30"/>
      <c r="C339" s="31"/>
    </row>
    <row r="340" spans="2:3" ht="21">
      <c r="B340" s="30"/>
      <c r="C340" s="31"/>
    </row>
    <row r="341" spans="2:3" ht="21">
      <c r="B341" s="30"/>
      <c r="C341" s="31"/>
    </row>
    <row r="342" spans="2:3" ht="21">
      <c r="B342" s="30"/>
      <c r="C342" s="31"/>
    </row>
    <row r="343" spans="2:3" ht="21">
      <c r="B343" s="31"/>
      <c r="C343" s="31"/>
    </row>
    <row r="344" spans="2:3" ht="21">
      <c r="B344" s="31"/>
      <c r="C344" s="31"/>
    </row>
    <row r="345" spans="2:3" ht="21">
      <c r="B345" s="31"/>
      <c r="C345" s="31"/>
    </row>
    <row r="346" spans="2:3" ht="21">
      <c r="B346" s="30"/>
      <c r="C346" s="31"/>
    </row>
    <row r="347" spans="2:3" ht="15.5">
      <c r="B347" s="48" t="s">
        <v>75</v>
      </c>
      <c r="C347" s="49">
        <f>C335+C334+C333+C332+C331</f>
        <v>115821992</v>
      </c>
    </row>
    <row r="348" spans="2:3" ht="15.5">
      <c r="B348" s="48"/>
      <c r="C348" s="49"/>
    </row>
    <row r="349" spans="2:3" ht="15.5">
      <c r="B349" s="48"/>
      <c r="C349" s="49"/>
    </row>
    <row r="350" spans="2:3" ht="15.5">
      <c r="B350" s="48"/>
      <c r="C350" s="49"/>
    </row>
    <row r="351" spans="2:3" ht="15.5">
      <c r="B351" s="50" t="s">
        <v>79</v>
      </c>
    </row>
    <row r="352" spans="2:3" ht="21">
      <c r="B352" s="30" t="s">
        <v>197</v>
      </c>
      <c r="C352" s="31">
        <v>2680000</v>
      </c>
    </row>
    <row r="353" spans="2:3" ht="21">
      <c r="B353" s="30" t="s">
        <v>626</v>
      </c>
      <c r="C353" s="31">
        <v>4000000</v>
      </c>
    </row>
    <row r="354" spans="2:3" ht="21">
      <c r="B354" s="30" t="s">
        <v>718</v>
      </c>
      <c r="C354" s="31">
        <v>4399525</v>
      </c>
    </row>
    <row r="355" spans="2:3" ht="21">
      <c r="B355" s="30" t="s">
        <v>719</v>
      </c>
      <c r="C355" s="31">
        <v>500000</v>
      </c>
    </row>
    <row r="356" spans="2:3" ht="21">
      <c r="B356" s="30"/>
      <c r="C356" s="31"/>
    </row>
    <row r="357" spans="2:3" ht="21">
      <c r="B357" s="30"/>
      <c r="C357" s="31"/>
    </row>
    <row r="358" spans="2:3" ht="21">
      <c r="B358" s="30"/>
      <c r="C358" s="31"/>
    </row>
    <row r="359" spans="2:3" ht="21">
      <c r="B359" s="30"/>
      <c r="C359" s="31"/>
    </row>
    <row r="360" spans="2:3" ht="21">
      <c r="B360" s="30" t="s">
        <v>75</v>
      </c>
      <c r="C360" s="31">
        <f>SUM(C352:C359)</f>
        <v>11579525</v>
      </c>
    </row>
    <row r="361" spans="2:3" ht="15.5">
      <c r="B361" s="48"/>
      <c r="C361" s="49"/>
    </row>
    <row r="362" spans="2:3" ht="15.5">
      <c r="B362" s="48"/>
      <c r="C362" s="49"/>
    </row>
    <row r="363" spans="2:3" ht="15.5">
      <c r="B363" s="48"/>
      <c r="C363" s="49"/>
    </row>
    <row r="364" spans="2:3" ht="15.5">
      <c r="B364" s="48"/>
      <c r="C364" s="49"/>
    </row>
    <row r="365" spans="2:3">
      <c r="C365" s="44"/>
    </row>
    <row r="366" spans="2:3" ht="15.5">
      <c r="B366" s="50" t="s">
        <v>80</v>
      </c>
    </row>
    <row r="367" spans="2:3" ht="21">
      <c r="B367" s="30" t="s">
        <v>694</v>
      </c>
      <c r="C367" s="31">
        <v>1535250</v>
      </c>
    </row>
    <row r="368" spans="2:3" ht="21">
      <c r="B368" s="30" t="s">
        <v>204</v>
      </c>
      <c r="C368" s="31">
        <v>1510080</v>
      </c>
    </row>
    <row r="369" spans="2:3" ht="21">
      <c r="B369" s="30" t="s">
        <v>720</v>
      </c>
      <c r="C369" s="31">
        <v>1597200</v>
      </c>
    </row>
    <row r="370" spans="2:3" ht="21">
      <c r="B370" s="30" t="s">
        <v>721</v>
      </c>
      <c r="C370" s="31">
        <v>2500000</v>
      </c>
    </row>
    <row r="371" spans="2:3" ht="21">
      <c r="B371" s="30" t="s">
        <v>240</v>
      </c>
      <c r="C371" s="31">
        <v>460000</v>
      </c>
    </row>
    <row r="372" spans="2:3" ht="21">
      <c r="B372" s="30" t="s">
        <v>173</v>
      </c>
      <c r="C372" s="31">
        <v>21277293</v>
      </c>
    </row>
    <row r="373" spans="2:3" ht="21">
      <c r="B373" s="30" t="s">
        <v>105</v>
      </c>
      <c r="C373" s="31">
        <v>3871679</v>
      </c>
    </row>
    <row r="374" spans="2:3" ht="21">
      <c r="B374" s="30" t="s">
        <v>722</v>
      </c>
      <c r="C374" s="31">
        <v>4739527</v>
      </c>
    </row>
    <row r="375" spans="2:3" ht="21">
      <c r="B375" s="30" t="s">
        <v>723</v>
      </c>
      <c r="C375" s="31">
        <v>3146000</v>
      </c>
    </row>
    <row r="376" spans="2:3" ht="21">
      <c r="B376" s="30" t="s">
        <v>472</v>
      </c>
      <c r="C376" s="31">
        <v>387120</v>
      </c>
    </row>
    <row r="377" spans="2:3" ht="21">
      <c r="B377" s="30" t="s">
        <v>724</v>
      </c>
      <c r="C377" s="31">
        <v>422561</v>
      </c>
    </row>
    <row r="378" spans="2:3" ht="21">
      <c r="B378" s="30" t="s">
        <v>62</v>
      </c>
      <c r="C378" s="31">
        <v>100000</v>
      </c>
    </row>
    <row r="379" spans="2:3" ht="21">
      <c r="B379" s="30" t="s">
        <v>313</v>
      </c>
      <c r="C379" s="31">
        <v>237494</v>
      </c>
    </row>
    <row r="380" spans="2:3" ht="21">
      <c r="B380" s="30" t="s">
        <v>725</v>
      </c>
      <c r="C380" s="31">
        <v>159419892</v>
      </c>
    </row>
    <row r="381" spans="2:3" ht="21">
      <c r="B381" s="30" t="s">
        <v>726</v>
      </c>
      <c r="C381" s="31">
        <v>128612619</v>
      </c>
    </row>
    <row r="382" spans="2:3" ht="21">
      <c r="B382" s="30" t="s">
        <v>709</v>
      </c>
      <c r="C382" s="31">
        <v>159419892</v>
      </c>
    </row>
    <row r="383" spans="2:3" ht="21">
      <c r="B383" s="30" t="s">
        <v>727</v>
      </c>
      <c r="C383" s="31">
        <v>2500000</v>
      </c>
    </row>
    <row r="384" spans="2:3" ht="21">
      <c r="B384" s="30" t="s">
        <v>711</v>
      </c>
      <c r="C384" s="31">
        <v>5000000</v>
      </c>
    </row>
    <row r="385" spans="2:3" ht="21">
      <c r="B385" s="30" t="s">
        <v>728</v>
      </c>
      <c r="C385" s="31">
        <v>1111879</v>
      </c>
    </row>
    <row r="386" spans="2:3" ht="21">
      <c r="B386" s="30" t="s">
        <v>729</v>
      </c>
      <c r="C386" s="31">
        <v>159419892</v>
      </c>
    </row>
    <row r="387" spans="2:3" ht="21">
      <c r="B387" s="30" t="s">
        <v>370</v>
      </c>
      <c r="C387" s="31">
        <v>106842333</v>
      </c>
    </row>
    <row r="388" spans="2:3" ht="21">
      <c r="B388" s="30" t="s">
        <v>156</v>
      </c>
      <c r="C388" s="31">
        <v>584456</v>
      </c>
    </row>
    <row r="389" spans="2:3" ht="21">
      <c r="B389" s="30" t="s">
        <v>693</v>
      </c>
      <c r="C389" s="31">
        <v>27500</v>
      </c>
    </row>
    <row r="390" spans="2:3" ht="21">
      <c r="B390" s="30" t="s">
        <v>581</v>
      </c>
      <c r="C390" s="31">
        <v>5864562</v>
      </c>
    </row>
    <row r="391" spans="2:3" ht="21">
      <c r="B391" s="30" t="s">
        <v>730</v>
      </c>
      <c r="C391" s="31">
        <v>726000</v>
      </c>
    </row>
    <row r="392" spans="2:3" ht="21">
      <c r="B392" s="30" t="s">
        <v>731</v>
      </c>
      <c r="C392" s="31">
        <v>1390000</v>
      </c>
    </row>
    <row r="393" spans="2:3" ht="21">
      <c r="B393" s="30" t="s">
        <v>732</v>
      </c>
      <c r="C393" s="31">
        <v>5000000</v>
      </c>
    </row>
    <row r="394" spans="2:3" ht="21">
      <c r="B394" s="30" t="s">
        <v>733</v>
      </c>
      <c r="C394" s="31">
        <v>10000000</v>
      </c>
    </row>
    <row r="395" spans="2:3" ht="21">
      <c r="B395" s="30" t="s">
        <v>250</v>
      </c>
      <c r="C395" s="31">
        <v>76733694</v>
      </c>
    </row>
    <row r="396" spans="2:3" ht="21">
      <c r="B396" s="30" t="s">
        <v>734</v>
      </c>
      <c r="C396" s="31">
        <v>288980608</v>
      </c>
    </row>
    <row r="397" spans="2:3" ht="21">
      <c r="B397" s="30" t="s">
        <v>735</v>
      </c>
      <c r="C397" s="31">
        <v>10654143</v>
      </c>
    </row>
    <row r="398" spans="2:3" ht="21">
      <c r="B398" s="30" t="s">
        <v>736</v>
      </c>
      <c r="C398" s="31">
        <v>421665</v>
      </c>
    </row>
    <row r="399" spans="2:3" ht="21">
      <c r="B399" s="30" t="s">
        <v>737</v>
      </c>
      <c r="C399" s="31">
        <v>358900</v>
      </c>
    </row>
    <row r="400" spans="2:3" ht="21">
      <c r="B400" s="30" t="s">
        <v>738</v>
      </c>
      <c r="C400" s="31">
        <v>3918780</v>
      </c>
    </row>
    <row r="401" spans="2:5" ht="21">
      <c r="B401" s="30" t="s">
        <v>739</v>
      </c>
      <c r="C401" s="31">
        <v>600000</v>
      </c>
    </row>
    <row r="402" spans="2:5" ht="21">
      <c r="B402" s="30" t="s">
        <v>740</v>
      </c>
      <c r="C402" s="31">
        <v>1590000</v>
      </c>
    </row>
    <row r="403" spans="2:5" ht="21">
      <c r="B403" s="30" t="s">
        <v>587</v>
      </c>
      <c r="C403" s="31">
        <v>370000</v>
      </c>
    </row>
    <row r="404" spans="2:5" ht="21">
      <c r="B404" s="30" t="s">
        <v>741</v>
      </c>
      <c r="C404" s="31">
        <v>18121219</v>
      </c>
    </row>
    <row r="405" spans="2:5" ht="21">
      <c r="B405" s="30" t="s">
        <v>105</v>
      </c>
      <c r="C405" s="31">
        <v>10442908</v>
      </c>
    </row>
    <row r="406" spans="2:5" ht="21">
      <c r="B406" s="30"/>
      <c r="C406" s="31"/>
    </row>
    <row r="407" spans="2:5" ht="21">
      <c r="B407" s="53"/>
      <c r="C407" s="43">
        <f>SUM(C367:C406)</f>
        <v>1199895146</v>
      </c>
    </row>
    <row r="409" spans="2:5">
      <c r="C409" s="21">
        <f>SUBTOTAL(9,C58:C249)</f>
        <v>1435579393</v>
      </c>
    </row>
    <row r="410" spans="2:5">
      <c r="C410" s="21"/>
      <c r="E410" s="44">
        <v>478259676</v>
      </c>
    </row>
    <row r="411" spans="2:5">
      <c r="C411">
        <v>234150851</v>
      </c>
    </row>
  </sheetData>
  <autoFilter ref="B4:B407"/>
  <mergeCells count="5">
    <mergeCell ref="B4:C4"/>
    <mergeCell ref="C6:D6"/>
    <mergeCell ref="E6:F6"/>
    <mergeCell ref="G6:G7"/>
    <mergeCell ref="B289:C28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473"/>
  <sheetViews>
    <sheetView topLeftCell="A34" workbookViewId="0">
      <selection activeCell="E41" sqref="E41"/>
    </sheetView>
  </sheetViews>
  <sheetFormatPr baseColWidth="10" defaultRowHeight="14.5"/>
  <cols>
    <col min="1" max="1" width="17.6328125" bestFit="1" customWidth="1"/>
    <col min="2" max="2" width="61" customWidth="1"/>
    <col min="3" max="3" width="23.36328125" customWidth="1"/>
    <col min="4" max="4" width="21" bestFit="1" customWidth="1"/>
    <col min="5" max="5" width="23.453125" bestFit="1" customWidth="1"/>
    <col min="6" max="6" width="16.36328125" customWidth="1"/>
    <col min="7" max="7" width="12.81640625" bestFit="1" customWidth="1"/>
    <col min="8" max="8" width="11.6328125" bestFit="1" customWidth="1"/>
    <col min="9" max="9" width="12.6328125" bestFit="1" customWidth="1"/>
  </cols>
  <sheetData>
    <row r="5" spans="1:7" ht="26">
      <c r="B5" s="564" t="s">
        <v>440</v>
      </c>
      <c r="C5" s="564"/>
    </row>
    <row r="7" spans="1:7" ht="20">
      <c r="B7" s="23" t="s">
        <v>441</v>
      </c>
      <c r="C7" s="565" t="s">
        <v>46</v>
      </c>
      <c r="D7" s="566"/>
      <c r="E7" s="565" t="s">
        <v>47</v>
      </c>
      <c r="F7" s="567"/>
      <c r="G7" s="568" t="s">
        <v>48</v>
      </c>
    </row>
    <row r="8" spans="1:7" ht="30.5">
      <c r="B8" s="23"/>
      <c r="C8" s="25" t="s">
        <v>49</v>
      </c>
      <c r="D8" s="26" t="s">
        <v>50</v>
      </c>
      <c r="E8" s="27" t="s">
        <v>51</v>
      </c>
      <c r="F8" s="28" t="s">
        <v>52</v>
      </c>
      <c r="G8" s="569"/>
    </row>
    <row r="9" spans="1:7" ht="21">
      <c r="A9" s="34"/>
      <c r="B9" s="30"/>
      <c r="C9" s="31"/>
      <c r="D9" s="4"/>
      <c r="E9" s="31"/>
      <c r="F9" s="31"/>
      <c r="G9" s="32"/>
    </row>
    <row r="10" spans="1:7" ht="21">
      <c r="A10" s="34"/>
      <c r="B10" s="30"/>
      <c r="C10" s="31"/>
      <c r="D10" s="4"/>
      <c r="E10" s="31"/>
      <c r="F10" s="31"/>
      <c r="G10" s="32"/>
    </row>
    <row r="11" spans="1:7" ht="24" thickBot="1">
      <c r="A11" s="121">
        <v>44827</v>
      </c>
      <c r="B11" s="142" t="s">
        <v>442</v>
      </c>
      <c r="C11" s="118">
        <v>0</v>
      </c>
      <c r="D11" s="118"/>
      <c r="E11" s="117">
        <v>157247314</v>
      </c>
      <c r="F11" s="118"/>
      <c r="G11" s="143"/>
    </row>
    <row r="12" spans="1:7" s="70" customFormat="1" ht="24" thickBot="1">
      <c r="A12" s="157"/>
      <c r="B12" s="158" t="s">
        <v>443</v>
      </c>
      <c r="C12" s="93"/>
      <c r="D12" s="93"/>
      <c r="E12" s="94">
        <v>10700853</v>
      </c>
      <c r="F12" s="93"/>
      <c r="G12" s="159"/>
    </row>
    <row r="13" spans="1:7" ht="24" thickBot="1">
      <c r="A13" s="111"/>
      <c r="B13" s="144" t="s">
        <v>433</v>
      </c>
      <c r="C13" s="145"/>
      <c r="D13" s="145"/>
      <c r="E13" s="146">
        <v>1408000</v>
      </c>
      <c r="F13" s="145"/>
      <c r="G13" s="147" t="s">
        <v>56</v>
      </c>
    </row>
    <row r="14" spans="1:7" ht="24" thickBot="1">
      <c r="A14" s="111"/>
      <c r="B14" s="144" t="s">
        <v>434</v>
      </c>
      <c r="C14" s="145">
        <v>0</v>
      </c>
      <c r="D14" s="145"/>
      <c r="E14" s="146">
        <v>2640000</v>
      </c>
      <c r="F14" s="145"/>
      <c r="G14" s="147" t="s">
        <v>56</v>
      </c>
    </row>
    <row r="15" spans="1:7" ht="24" thickBot="1">
      <c r="A15" s="111"/>
      <c r="B15" s="144" t="s">
        <v>435</v>
      </c>
      <c r="C15" s="145"/>
      <c r="D15" s="145"/>
      <c r="E15" s="146">
        <v>5693330</v>
      </c>
      <c r="F15" s="145"/>
      <c r="G15" s="147"/>
    </row>
    <row r="16" spans="1:7" ht="24" thickBot="1">
      <c r="A16" s="111"/>
      <c r="B16" s="144" t="s">
        <v>156</v>
      </c>
      <c r="C16" s="145"/>
      <c r="D16" s="145"/>
      <c r="E16" s="146">
        <v>1312419</v>
      </c>
      <c r="F16" s="145"/>
      <c r="G16" s="147"/>
    </row>
    <row r="17" spans="1:7" ht="24" thickBot="1">
      <c r="A17" s="121">
        <v>44830</v>
      </c>
      <c r="B17" s="144" t="s">
        <v>86</v>
      </c>
      <c r="C17" s="145"/>
      <c r="D17" s="145"/>
      <c r="E17" s="146">
        <f>44953651+24681000+130094</f>
        <v>69764745</v>
      </c>
      <c r="F17" s="145"/>
      <c r="G17" s="147" t="s">
        <v>56</v>
      </c>
    </row>
    <row r="18" spans="1:7" ht="24" thickBot="1">
      <c r="A18" s="111"/>
      <c r="B18" s="144" t="s">
        <v>436</v>
      </c>
      <c r="C18" s="146"/>
      <c r="D18" s="145"/>
      <c r="E18" s="146">
        <v>29949450</v>
      </c>
      <c r="F18" s="145"/>
      <c r="G18" s="147" t="s">
        <v>58</v>
      </c>
    </row>
    <row r="19" spans="1:7" ht="24" thickBot="1">
      <c r="A19" s="121">
        <v>44831</v>
      </c>
      <c r="B19" s="144" t="s">
        <v>444</v>
      </c>
      <c r="C19" s="145">
        <v>0</v>
      </c>
      <c r="D19" s="145"/>
      <c r="E19" s="146">
        <v>19044893</v>
      </c>
      <c r="F19" s="145"/>
      <c r="G19" s="147" t="s">
        <v>64</v>
      </c>
    </row>
    <row r="20" spans="1:7" ht="24" thickBot="1">
      <c r="A20" s="111"/>
      <c r="B20" s="144" t="s">
        <v>445</v>
      </c>
      <c r="C20" s="145"/>
      <c r="D20" s="145"/>
      <c r="E20" s="146">
        <v>528000</v>
      </c>
      <c r="F20" s="145"/>
      <c r="G20" s="147" t="s">
        <v>56</v>
      </c>
    </row>
    <row r="21" spans="1:7" ht="24" thickBot="1">
      <c r="A21" s="111"/>
      <c r="B21" s="144" t="s">
        <v>446</v>
      </c>
      <c r="C21" s="145"/>
      <c r="D21" s="145"/>
      <c r="E21" s="146">
        <v>1242000</v>
      </c>
      <c r="F21" s="145"/>
      <c r="G21" s="147" t="s">
        <v>154</v>
      </c>
    </row>
    <row r="22" spans="1:7" ht="24" thickBot="1">
      <c r="A22" s="111"/>
      <c r="B22" s="144" t="s">
        <v>447</v>
      </c>
      <c r="C22" s="145"/>
      <c r="D22" s="145"/>
      <c r="E22" s="146">
        <v>528000</v>
      </c>
      <c r="F22" s="145"/>
      <c r="G22" s="147" t="s">
        <v>154</v>
      </c>
    </row>
    <row r="23" spans="1:7" ht="24" thickBot="1">
      <c r="A23" s="111"/>
      <c r="B23" s="144" t="s">
        <v>156</v>
      </c>
      <c r="C23" s="145"/>
      <c r="D23" s="145"/>
      <c r="E23" s="146">
        <v>391758</v>
      </c>
      <c r="F23" s="145"/>
      <c r="G23" s="147" t="s">
        <v>154</v>
      </c>
    </row>
    <row r="24" spans="1:7" ht="24" thickBot="1">
      <c r="A24" s="111"/>
      <c r="B24" s="144" t="s">
        <v>173</v>
      </c>
      <c r="C24" s="145"/>
      <c r="D24" s="145"/>
      <c r="E24" s="146">
        <v>18330102</v>
      </c>
      <c r="F24" s="145"/>
      <c r="G24" s="147" t="s">
        <v>53</v>
      </c>
    </row>
    <row r="25" spans="1:7" ht="24" thickBot="1">
      <c r="A25" s="111"/>
      <c r="B25" s="144" t="s">
        <v>173</v>
      </c>
      <c r="C25" s="145"/>
      <c r="D25" s="145"/>
      <c r="E25" s="146">
        <v>20198209</v>
      </c>
      <c r="F25" s="145"/>
      <c r="G25" s="147" t="s">
        <v>53</v>
      </c>
    </row>
    <row r="26" spans="1:7" s="70" customFormat="1" ht="24" thickBot="1">
      <c r="A26" s="157"/>
      <c r="B26" s="158" t="s">
        <v>96</v>
      </c>
      <c r="C26" s="93"/>
      <c r="D26" s="93"/>
      <c r="E26" s="94">
        <v>113794</v>
      </c>
      <c r="F26" s="93"/>
      <c r="G26" s="159" t="s">
        <v>53</v>
      </c>
    </row>
    <row r="27" spans="1:7" s="70" customFormat="1" ht="24" thickBot="1">
      <c r="A27" s="157"/>
      <c r="B27" s="158" t="s">
        <v>96</v>
      </c>
      <c r="C27" s="93"/>
      <c r="D27" s="93"/>
      <c r="E27" s="94">
        <v>131245</v>
      </c>
      <c r="F27" s="93"/>
      <c r="G27" s="159" t="s">
        <v>53</v>
      </c>
    </row>
    <row r="28" spans="1:7" ht="24" thickBot="1">
      <c r="A28" s="111"/>
      <c r="B28" s="144" t="s">
        <v>448</v>
      </c>
      <c r="C28" s="145"/>
      <c r="D28" s="145"/>
      <c r="E28" s="146">
        <v>493416</v>
      </c>
      <c r="F28" s="145"/>
      <c r="G28" s="147" t="s">
        <v>58</v>
      </c>
    </row>
    <row r="29" spans="1:7" ht="24" thickBot="1">
      <c r="A29" s="121">
        <v>44832</v>
      </c>
      <c r="B29" s="144" t="s">
        <v>449</v>
      </c>
      <c r="C29" s="145"/>
      <c r="D29" s="145"/>
      <c r="E29" s="146">
        <v>2331881</v>
      </c>
      <c r="F29" s="145"/>
      <c r="G29" s="147" t="s">
        <v>56</v>
      </c>
    </row>
    <row r="30" spans="1:7" ht="24" thickBot="1">
      <c r="A30" s="111"/>
      <c r="B30" s="144" t="s">
        <v>450</v>
      </c>
      <c r="C30" s="145"/>
      <c r="D30" s="145"/>
      <c r="E30" s="146">
        <v>2625000</v>
      </c>
      <c r="F30" s="145"/>
      <c r="G30" s="147" t="s">
        <v>56</v>
      </c>
    </row>
    <row r="31" spans="1:7" ht="24" thickBot="1">
      <c r="A31" s="111"/>
      <c r="B31" s="144" t="s">
        <v>124</v>
      </c>
      <c r="C31" s="145"/>
      <c r="D31" s="145"/>
      <c r="E31" s="146">
        <v>17579595</v>
      </c>
      <c r="F31" s="145"/>
      <c r="G31" s="147" t="s">
        <v>56</v>
      </c>
    </row>
    <row r="32" spans="1:7" ht="24" thickBot="1">
      <c r="A32" s="111"/>
      <c r="B32" s="144" t="s">
        <v>451</v>
      </c>
      <c r="C32" s="145"/>
      <c r="D32" s="145"/>
      <c r="E32" s="146">
        <v>145500</v>
      </c>
      <c r="F32" s="145"/>
      <c r="G32" s="147" t="s">
        <v>56</v>
      </c>
    </row>
    <row r="33" spans="1:7" ht="24" thickBot="1">
      <c r="A33" s="111"/>
      <c r="B33" s="144" t="s">
        <v>66</v>
      </c>
      <c r="C33" s="145"/>
      <c r="D33" s="145"/>
      <c r="E33" s="146">
        <v>2294275</v>
      </c>
      <c r="F33" s="145"/>
      <c r="G33" s="147" t="s">
        <v>54</v>
      </c>
    </row>
    <row r="34" spans="1:7" s="70" customFormat="1" ht="24" thickBot="1">
      <c r="A34" s="157"/>
      <c r="B34" s="158" t="s">
        <v>452</v>
      </c>
      <c r="C34" s="93"/>
      <c r="D34" s="93"/>
      <c r="E34" s="94">
        <v>5000000</v>
      </c>
      <c r="F34" s="93"/>
      <c r="G34" s="159" t="s">
        <v>57</v>
      </c>
    </row>
    <row r="35" spans="1:7" s="70" customFormat="1" ht="24" thickBot="1">
      <c r="A35" s="157"/>
      <c r="B35" s="158" t="s">
        <v>453</v>
      </c>
      <c r="C35" s="93"/>
      <c r="D35" s="93"/>
      <c r="E35" s="94">
        <v>4000000</v>
      </c>
      <c r="F35" s="93"/>
      <c r="G35" s="159" t="s">
        <v>57</v>
      </c>
    </row>
    <row r="36" spans="1:7" s="70" customFormat="1" ht="24" thickBot="1">
      <c r="A36" s="157"/>
      <c r="B36" s="158" t="s">
        <v>454</v>
      </c>
      <c r="C36" s="93"/>
      <c r="D36" s="93"/>
      <c r="E36" s="94">
        <v>11200000</v>
      </c>
      <c r="F36" s="93"/>
      <c r="G36" s="159" t="s">
        <v>57</v>
      </c>
    </row>
    <row r="37" spans="1:7" s="70" customFormat="1" ht="24" thickBot="1">
      <c r="A37" s="157"/>
      <c r="B37" s="158" t="s">
        <v>455</v>
      </c>
      <c r="C37" s="93"/>
      <c r="D37" s="93"/>
      <c r="E37" s="94">
        <v>5000000</v>
      </c>
      <c r="F37" s="93"/>
      <c r="G37" s="159" t="s">
        <v>57</v>
      </c>
    </row>
    <row r="38" spans="1:7" ht="24" thickBot="1">
      <c r="A38" s="111"/>
      <c r="B38" s="144" t="s">
        <v>456</v>
      </c>
      <c r="C38" s="145"/>
      <c r="D38" s="145"/>
      <c r="E38" s="146">
        <v>285640</v>
      </c>
      <c r="F38" s="145"/>
      <c r="G38" s="147" t="s">
        <v>53</v>
      </c>
    </row>
    <row r="39" spans="1:7" ht="24" thickBot="1">
      <c r="A39" s="111"/>
      <c r="B39" s="144" t="s">
        <v>65</v>
      </c>
      <c r="C39" s="145"/>
      <c r="D39" s="145"/>
      <c r="E39" s="146">
        <v>14685541</v>
      </c>
      <c r="F39" s="145"/>
      <c r="G39" s="147" t="s">
        <v>53</v>
      </c>
    </row>
    <row r="40" spans="1:7" ht="24" thickBot="1">
      <c r="A40" s="111"/>
      <c r="B40" s="135" t="s">
        <v>457</v>
      </c>
      <c r="C40" s="123"/>
      <c r="D40" s="123"/>
      <c r="E40" s="124">
        <v>145276259</v>
      </c>
      <c r="F40" s="123"/>
      <c r="G40" s="136" t="s">
        <v>58</v>
      </c>
    </row>
    <row r="41" spans="1:7" ht="24" thickBot="1">
      <c r="A41" s="111"/>
      <c r="B41" s="135" t="s">
        <v>457</v>
      </c>
      <c r="C41" s="123"/>
      <c r="D41" s="123"/>
      <c r="E41" s="124">
        <v>4016999</v>
      </c>
      <c r="F41" s="123"/>
      <c r="G41" s="136" t="s">
        <v>58</v>
      </c>
    </row>
    <row r="42" spans="1:7" ht="24" thickBot="1">
      <c r="A42" s="121">
        <v>44833</v>
      </c>
      <c r="B42" s="144" t="s">
        <v>458</v>
      </c>
      <c r="C42" s="145"/>
      <c r="D42" s="145"/>
      <c r="E42" s="146">
        <v>7558058</v>
      </c>
      <c r="F42" s="145"/>
      <c r="G42" s="147" t="s">
        <v>64</v>
      </c>
    </row>
    <row r="43" spans="1:7" ht="24" thickBot="1">
      <c r="A43" s="111"/>
      <c r="B43" s="144" t="s">
        <v>459</v>
      </c>
      <c r="C43" s="145"/>
      <c r="D43" s="145"/>
      <c r="E43" s="146">
        <v>396000</v>
      </c>
      <c r="F43" s="145"/>
      <c r="G43" s="147" t="s">
        <v>56</v>
      </c>
    </row>
    <row r="44" spans="1:7" ht="24" thickBot="1">
      <c r="A44" s="111"/>
      <c r="B44" s="144" t="s">
        <v>166</v>
      </c>
      <c r="C44" s="145"/>
      <c r="D44" s="145"/>
      <c r="E44" s="146">
        <v>660000</v>
      </c>
      <c r="F44" s="145"/>
      <c r="G44" s="147" t="s">
        <v>56</v>
      </c>
    </row>
    <row r="45" spans="1:7" ht="24" thickBot="1">
      <c r="A45" s="111"/>
      <c r="B45" s="144" t="s">
        <v>240</v>
      </c>
      <c r="C45" s="145"/>
      <c r="D45" s="145"/>
      <c r="E45" s="146">
        <v>402500</v>
      </c>
      <c r="F45" s="145"/>
      <c r="G45" s="147" t="s">
        <v>56</v>
      </c>
    </row>
    <row r="46" spans="1:7" ht="24" thickBot="1">
      <c r="A46" s="111"/>
      <c r="B46" s="144" t="s">
        <v>213</v>
      </c>
      <c r="C46" s="145"/>
      <c r="D46" s="145"/>
      <c r="E46" s="146">
        <v>2415000</v>
      </c>
      <c r="F46" s="145"/>
      <c r="G46" s="147" t="s">
        <v>56</v>
      </c>
    </row>
    <row r="47" spans="1:7" ht="24" thickBot="1">
      <c r="A47" s="111"/>
      <c r="B47" s="144" t="s">
        <v>124</v>
      </c>
      <c r="C47" s="145"/>
      <c r="D47" s="145"/>
      <c r="E47" s="146">
        <v>10167299</v>
      </c>
      <c r="F47" s="145"/>
      <c r="G47" s="147" t="s">
        <v>56</v>
      </c>
    </row>
    <row r="48" spans="1:7" ht="24" thickBot="1">
      <c r="A48" s="111"/>
      <c r="B48" s="144" t="s">
        <v>460</v>
      </c>
      <c r="C48" s="145"/>
      <c r="D48" s="145"/>
      <c r="E48" s="146">
        <v>660000</v>
      </c>
      <c r="F48" s="145"/>
      <c r="G48" s="147" t="s">
        <v>57</v>
      </c>
    </row>
    <row r="49" spans="1:7" ht="24" thickBot="1">
      <c r="A49" s="111"/>
      <c r="B49" s="144" t="s">
        <v>461</v>
      </c>
      <c r="C49" s="145"/>
      <c r="D49" s="145"/>
      <c r="E49" s="146">
        <v>580800</v>
      </c>
      <c r="F49" s="145"/>
      <c r="G49" s="147" t="s">
        <v>57</v>
      </c>
    </row>
    <row r="50" spans="1:7" ht="24" thickBot="1">
      <c r="A50" s="121"/>
      <c r="B50" s="142" t="s">
        <v>462</v>
      </c>
      <c r="C50" s="118"/>
      <c r="D50" s="118"/>
      <c r="E50" s="117">
        <v>2280000</v>
      </c>
      <c r="F50" s="118"/>
      <c r="G50" s="143" t="s">
        <v>57</v>
      </c>
    </row>
    <row r="51" spans="1:7" s="70" customFormat="1" ht="24" thickBot="1">
      <c r="A51" s="157"/>
      <c r="B51" s="158" t="s">
        <v>113</v>
      </c>
      <c r="C51" s="93"/>
      <c r="D51" s="93"/>
      <c r="E51" s="94">
        <v>10024081</v>
      </c>
      <c r="F51" s="93"/>
      <c r="G51" s="159" t="s">
        <v>57</v>
      </c>
    </row>
    <row r="52" spans="1:7" ht="24" thickBot="1">
      <c r="A52" s="111"/>
      <c r="B52" s="144" t="s">
        <v>463</v>
      </c>
      <c r="C52" s="145"/>
      <c r="D52" s="145"/>
      <c r="E52" s="146">
        <v>466100</v>
      </c>
      <c r="F52" s="145"/>
      <c r="G52" s="147" t="s">
        <v>53</v>
      </c>
    </row>
    <row r="53" spans="1:7" ht="24" thickBot="1">
      <c r="A53" s="111"/>
      <c r="B53" s="144" t="s">
        <v>464</v>
      </c>
      <c r="C53" s="145"/>
      <c r="D53" s="145"/>
      <c r="E53" s="146">
        <v>22359020</v>
      </c>
      <c r="F53" s="145"/>
      <c r="G53" s="147" t="s">
        <v>53</v>
      </c>
    </row>
    <row r="54" spans="1:7" ht="24" thickBot="1">
      <c r="A54" s="111"/>
      <c r="B54" s="144" t="s">
        <v>271</v>
      </c>
      <c r="C54" s="145"/>
      <c r="D54" s="145"/>
      <c r="E54" s="146">
        <v>2882833</v>
      </c>
      <c r="F54" s="145"/>
      <c r="G54" s="147" t="s">
        <v>53</v>
      </c>
    </row>
    <row r="55" spans="1:7" ht="24" thickBot="1">
      <c r="A55" s="111"/>
      <c r="B55" s="144" t="s">
        <v>465</v>
      </c>
      <c r="C55" s="145"/>
      <c r="D55" s="145"/>
      <c r="E55" s="146">
        <v>204158</v>
      </c>
      <c r="F55" s="145"/>
      <c r="G55" s="147" t="s">
        <v>53</v>
      </c>
    </row>
    <row r="56" spans="1:7" ht="24" thickBot="1">
      <c r="A56" s="121">
        <v>44834</v>
      </c>
      <c r="B56" s="144" t="s">
        <v>466</v>
      </c>
      <c r="C56" s="145"/>
      <c r="D56" s="145"/>
      <c r="E56" s="146">
        <v>36816000</v>
      </c>
      <c r="F56" s="145"/>
      <c r="G56" s="147" t="s">
        <v>64</v>
      </c>
    </row>
    <row r="57" spans="1:7" s="70" customFormat="1" ht="24" thickBot="1">
      <c r="A57" s="157"/>
      <c r="B57" s="158" t="s">
        <v>467</v>
      </c>
      <c r="C57" s="93"/>
      <c r="D57" s="93"/>
      <c r="E57" s="94">
        <v>260847</v>
      </c>
      <c r="F57" s="93"/>
      <c r="G57" s="159" t="s">
        <v>57</v>
      </c>
    </row>
    <row r="58" spans="1:7" s="70" customFormat="1" ht="24" thickBot="1">
      <c r="A58" s="157"/>
      <c r="B58" s="158" t="s">
        <v>468</v>
      </c>
      <c r="C58" s="93"/>
      <c r="D58" s="93"/>
      <c r="E58" s="94">
        <v>97776647</v>
      </c>
      <c r="F58" s="93"/>
      <c r="G58" s="159" t="s">
        <v>57</v>
      </c>
    </row>
    <row r="59" spans="1:7" ht="24" thickBot="1">
      <c r="A59" s="111"/>
      <c r="B59" s="127" t="s">
        <v>469</v>
      </c>
      <c r="C59" s="104"/>
      <c r="D59" s="104"/>
      <c r="E59" s="105">
        <v>38586132</v>
      </c>
      <c r="F59" s="104"/>
      <c r="G59" s="128" t="s">
        <v>154</v>
      </c>
    </row>
    <row r="60" spans="1:7" ht="24" thickBot="1">
      <c r="A60" s="111"/>
      <c r="B60" s="144" t="s">
        <v>100</v>
      </c>
      <c r="C60" s="145"/>
      <c r="D60" s="145"/>
      <c r="E60" s="146">
        <v>4963275</v>
      </c>
      <c r="F60" s="145"/>
      <c r="G60" s="147" t="s">
        <v>154</v>
      </c>
    </row>
    <row r="61" spans="1:7" s="70" customFormat="1" ht="24" thickBot="1">
      <c r="A61" s="157"/>
      <c r="B61" s="158" t="s">
        <v>96</v>
      </c>
      <c r="C61" s="93"/>
      <c r="D61" s="93"/>
      <c r="E61" s="94">
        <v>29255999</v>
      </c>
      <c r="F61" s="93"/>
      <c r="G61" s="159" t="s">
        <v>53</v>
      </c>
    </row>
    <row r="62" spans="1:7" ht="21">
      <c r="A62" s="34">
        <v>44837</v>
      </c>
      <c r="B62" s="29" t="s">
        <v>470</v>
      </c>
      <c r="D62" s="29"/>
      <c r="E62" s="59">
        <v>4217567</v>
      </c>
      <c r="F62" s="59"/>
      <c r="G62" s="61" t="s">
        <v>56</v>
      </c>
    </row>
    <row r="63" spans="1:7" ht="21">
      <c r="A63" s="34"/>
      <c r="B63" s="29" t="s">
        <v>86</v>
      </c>
      <c r="D63" s="29"/>
      <c r="E63" s="59">
        <v>500000</v>
      </c>
      <c r="F63" s="59"/>
      <c r="G63" s="61" t="s">
        <v>54</v>
      </c>
    </row>
    <row r="64" spans="1:7" ht="21">
      <c r="A64" s="34"/>
      <c r="B64" s="29" t="s">
        <v>471</v>
      </c>
      <c r="D64" s="29"/>
      <c r="E64" s="59">
        <v>4254563</v>
      </c>
      <c r="F64" s="59"/>
      <c r="G64" s="61" t="s">
        <v>54</v>
      </c>
    </row>
    <row r="65" spans="1:7" ht="21">
      <c r="A65" s="34"/>
      <c r="B65" s="29" t="s">
        <v>472</v>
      </c>
      <c r="D65" s="29"/>
      <c r="E65" s="59">
        <v>89850</v>
      </c>
      <c r="F65" s="59"/>
      <c r="G65" s="61" t="s">
        <v>57</v>
      </c>
    </row>
    <row r="66" spans="1:7" ht="21">
      <c r="A66" s="34">
        <v>44838</v>
      </c>
      <c r="B66" s="67" t="s">
        <v>96</v>
      </c>
      <c r="D66" s="67"/>
      <c r="E66" s="68">
        <v>449500</v>
      </c>
      <c r="F66" s="68"/>
      <c r="G66" s="69" t="s">
        <v>57</v>
      </c>
    </row>
    <row r="67" spans="1:7" ht="21">
      <c r="A67" s="34"/>
      <c r="B67" s="67" t="s">
        <v>96</v>
      </c>
      <c r="D67" s="67"/>
      <c r="E67" s="68">
        <v>449500</v>
      </c>
      <c r="F67" s="68"/>
      <c r="G67" s="69" t="s">
        <v>57</v>
      </c>
    </row>
    <row r="68" spans="1:7" ht="21">
      <c r="A68" s="34"/>
      <c r="B68" s="29" t="s">
        <v>156</v>
      </c>
      <c r="D68" s="29"/>
      <c r="E68" s="59">
        <v>554995</v>
      </c>
      <c r="F68" s="59"/>
      <c r="G68" s="61" t="s">
        <v>55</v>
      </c>
    </row>
    <row r="69" spans="1:7" ht="21">
      <c r="A69" s="34"/>
      <c r="B69" s="29" t="s">
        <v>83</v>
      </c>
      <c r="D69" s="29"/>
      <c r="E69" s="59">
        <v>37487822</v>
      </c>
      <c r="F69" s="59"/>
      <c r="G69" s="61" t="s">
        <v>53</v>
      </c>
    </row>
    <row r="70" spans="1:7" ht="21">
      <c r="A70" s="34"/>
      <c r="B70" s="30" t="s">
        <v>473</v>
      </c>
      <c r="D70" s="30"/>
      <c r="E70" s="31">
        <v>765612937</v>
      </c>
      <c r="F70" s="31"/>
      <c r="G70" s="32" t="s">
        <v>53</v>
      </c>
    </row>
    <row r="71" spans="1:7" ht="24" thickBot="1">
      <c r="A71" s="121">
        <v>44839</v>
      </c>
      <c r="B71" s="142" t="s">
        <v>474</v>
      </c>
      <c r="C71" s="118"/>
      <c r="D71" s="118"/>
      <c r="E71" s="117">
        <v>1190000</v>
      </c>
      <c r="F71" s="118"/>
      <c r="G71" s="143" t="s">
        <v>56</v>
      </c>
    </row>
    <row r="72" spans="1:7" ht="21">
      <c r="A72" s="34"/>
      <c r="B72" s="29" t="s">
        <v>475</v>
      </c>
      <c r="D72" s="29"/>
      <c r="E72" s="59">
        <v>4720000</v>
      </c>
      <c r="F72" s="59"/>
      <c r="G72" s="61" t="s">
        <v>56</v>
      </c>
    </row>
    <row r="73" spans="1:7" ht="21">
      <c r="A73" s="34"/>
      <c r="B73" s="29" t="s">
        <v>180</v>
      </c>
      <c r="D73" s="29"/>
      <c r="E73" s="59">
        <v>792000</v>
      </c>
      <c r="F73" s="59"/>
      <c r="G73" s="61" t="s">
        <v>56</v>
      </c>
    </row>
    <row r="74" spans="1:7" ht="21">
      <c r="A74" s="34"/>
      <c r="B74" s="29" t="s">
        <v>476</v>
      </c>
      <c r="D74" s="29"/>
      <c r="E74" s="59">
        <v>792000</v>
      </c>
      <c r="F74" s="59"/>
      <c r="G74" s="61" t="s">
        <v>56</v>
      </c>
    </row>
    <row r="75" spans="1:7" ht="21">
      <c r="A75" s="34"/>
      <c r="B75" s="29" t="s">
        <v>228</v>
      </c>
      <c r="D75" s="29"/>
      <c r="E75" s="59">
        <v>726000</v>
      </c>
      <c r="F75" s="59"/>
      <c r="G75" s="61" t="s">
        <v>56</v>
      </c>
    </row>
    <row r="76" spans="1:7" ht="21">
      <c r="A76" s="34"/>
      <c r="B76" s="29" t="s">
        <v>477</v>
      </c>
      <c r="D76" s="29"/>
      <c r="E76" s="59">
        <v>660000</v>
      </c>
      <c r="F76" s="59"/>
      <c r="G76" s="61" t="s">
        <v>56</v>
      </c>
    </row>
    <row r="77" spans="1:7" ht="21">
      <c r="A77" s="34"/>
      <c r="B77" s="29" t="s">
        <v>478</v>
      </c>
      <c r="D77" s="29"/>
      <c r="E77" s="59">
        <v>528000</v>
      </c>
      <c r="F77" s="59"/>
      <c r="G77" s="61" t="s">
        <v>56</v>
      </c>
    </row>
    <row r="78" spans="1:7" ht="21">
      <c r="A78" s="34"/>
      <c r="B78" s="29" t="s">
        <v>479</v>
      </c>
      <c r="D78" s="29"/>
      <c r="E78" s="59">
        <v>285000</v>
      </c>
      <c r="F78" s="59"/>
      <c r="G78" s="61" t="s">
        <v>56</v>
      </c>
    </row>
    <row r="79" spans="1:7" ht="24" thickBot="1">
      <c r="A79" s="121"/>
      <c r="B79" s="142" t="s">
        <v>480</v>
      </c>
      <c r="C79" s="118"/>
      <c r="D79" s="118"/>
      <c r="E79" s="117">
        <v>650000</v>
      </c>
      <c r="F79" s="118"/>
      <c r="G79" s="143" t="s">
        <v>54</v>
      </c>
    </row>
    <row r="80" spans="1:7" ht="21">
      <c r="A80" s="34"/>
      <c r="B80" s="29" t="s">
        <v>105</v>
      </c>
      <c r="D80" s="29"/>
      <c r="E80" s="59">
        <v>342367</v>
      </c>
      <c r="F80" s="59"/>
      <c r="G80" s="61" t="s">
        <v>54</v>
      </c>
    </row>
    <row r="81" spans="1:7" ht="21">
      <c r="A81" s="34"/>
      <c r="B81" s="29" t="s">
        <v>244</v>
      </c>
      <c r="D81" s="29"/>
      <c r="E81" s="59">
        <v>1177050</v>
      </c>
      <c r="F81" s="59"/>
      <c r="G81" s="61" t="s">
        <v>54</v>
      </c>
    </row>
    <row r="82" spans="1:7" ht="21">
      <c r="A82" s="34"/>
      <c r="B82" s="29" t="s">
        <v>308</v>
      </c>
      <c r="D82" s="29"/>
      <c r="E82" s="59">
        <v>1056000</v>
      </c>
      <c r="F82" s="59"/>
      <c r="G82" s="61" t="s">
        <v>54</v>
      </c>
    </row>
    <row r="83" spans="1:7" ht="21">
      <c r="A83" s="34"/>
      <c r="B83" s="29" t="s">
        <v>245</v>
      </c>
      <c r="D83" s="29"/>
      <c r="E83" s="59">
        <v>633600</v>
      </c>
      <c r="F83" s="59"/>
      <c r="G83" s="61" t="s">
        <v>54</v>
      </c>
    </row>
    <row r="84" spans="1:7" ht="21">
      <c r="A84" s="34"/>
      <c r="B84" s="29" t="s">
        <v>481</v>
      </c>
      <c r="D84" s="29"/>
      <c r="E84" s="59">
        <v>109050</v>
      </c>
      <c r="F84" s="59"/>
      <c r="G84" s="61" t="s">
        <v>57</v>
      </c>
    </row>
    <row r="85" spans="1:7" ht="21">
      <c r="A85" s="34"/>
      <c r="B85" s="29" t="s">
        <v>164</v>
      </c>
      <c r="D85" s="29"/>
      <c r="E85" s="59">
        <v>660000</v>
      </c>
      <c r="F85" s="59"/>
      <c r="G85" s="61" t="s">
        <v>57</v>
      </c>
    </row>
    <row r="86" spans="1:7" ht="21">
      <c r="A86" s="34"/>
      <c r="B86" s="29" t="s">
        <v>163</v>
      </c>
      <c r="D86" s="29"/>
      <c r="E86" s="59">
        <v>792000</v>
      </c>
      <c r="F86" s="59"/>
      <c r="G86" s="61" t="s">
        <v>57</v>
      </c>
    </row>
    <row r="87" spans="1:7" ht="21">
      <c r="A87" s="34"/>
      <c r="B87" s="29" t="s">
        <v>235</v>
      </c>
      <c r="D87" s="29"/>
      <c r="E87" s="59">
        <v>726000</v>
      </c>
      <c r="F87" s="59"/>
      <c r="G87" s="61" t="s">
        <v>154</v>
      </c>
    </row>
    <row r="88" spans="1:7" ht="21">
      <c r="A88" s="34"/>
      <c r="B88" s="29" t="s">
        <v>482</v>
      </c>
      <c r="D88" s="29"/>
      <c r="E88" s="59">
        <v>435600</v>
      </c>
      <c r="F88" s="59"/>
      <c r="G88" s="61" t="s">
        <v>154</v>
      </c>
    </row>
    <row r="89" spans="1:7" ht="21">
      <c r="A89" s="34"/>
      <c r="B89" s="29" t="s">
        <v>153</v>
      </c>
      <c r="D89" s="29"/>
      <c r="E89" s="59">
        <v>528000</v>
      </c>
      <c r="F89" s="59"/>
      <c r="G89" s="61" t="s">
        <v>154</v>
      </c>
    </row>
    <row r="90" spans="1:7" ht="21">
      <c r="A90" s="34"/>
      <c r="B90" s="29" t="s">
        <v>483</v>
      </c>
      <c r="D90" s="29"/>
      <c r="E90" s="59">
        <v>396000</v>
      </c>
      <c r="F90" s="59"/>
      <c r="G90" s="61" t="s">
        <v>154</v>
      </c>
    </row>
    <row r="91" spans="1:7" ht="21">
      <c r="A91" s="34"/>
      <c r="B91" s="29" t="s">
        <v>484</v>
      </c>
      <c r="D91" s="29"/>
      <c r="E91" s="59">
        <v>1438020</v>
      </c>
      <c r="F91" s="59"/>
      <c r="G91" s="61" t="s">
        <v>53</v>
      </c>
    </row>
    <row r="92" spans="1:7" ht="21">
      <c r="A92" s="34"/>
      <c r="B92" s="29" t="s">
        <v>485</v>
      </c>
      <c r="D92" s="29"/>
      <c r="E92" s="59">
        <v>792000</v>
      </c>
      <c r="F92" s="59"/>
      <c r="G92" s="61" t="s">
        <v>53</v>
      </c>
    </row>
    <row r="93" spans="1:7" ht="21">
      <c r="A93" s="34"/>
      <c r="B93" s="29" t="s">
        <v>159</v>
      </c>
      <c r="D93" s="29"/>
      <c r="E93" s="59">
        <v>580800</v>
      </c>
      <c r="F93" s="59"/>
      <c r="G93" s="61" t="s">
        <v>58</v>
      </c>
    </row>
    <row r="94" spans="1:7" ht="21">
      <c r="A94" s="34"/>
      <c r="B94" s="29" t="s">
        <v>486</v>
      </c>
      <c r="D94" s="29"/>
      <c r="E94" s="59">
        <v>528000</v>
      </c>
      <c r="F94" s="59"/>
      <c r="G94" s="61" t="s">
        <v>58</v>
      </c>
    </row>
    <row r="95" spans="1:7" ht="21">
      <c r="A95" s="34"/>
      <c r="B95" s="29" t="s">
        <v>94</v>
      </c>
      <c r="D95" s="29"/>
      <c r="E95" s="59">
        <v>5534098</v>
      </c>
      <c r="F95" s="59"/>
      <c r="G95" s="61" t="s">
        <v>58</v>
      </c>
    </row>
    <row r="96" spans="1:7" ht="21">
      <c r="A96" s="34"/>
      <c r="B96" s="29" t="s">
        <v>487</v>
      </c>
      <c r="D96" s="29"/>
      <c r="E96" s="59">
        <v>100720712</v>
      </c>
      <c r="F96" s="59"/>
      <c r="G96" s="61" t="s">
        <v>58</v>
      </c>
    </row>
    <row r="97" spans="1:7" ht="21">
      <c r="A97" s="34">
        <v>44840</v>
      </c>
      <c r="B97" s="29" t="s">
        <v>488</v>
      </c>
      <c r="D97" s="29"/>
      <c r="E97" s="59">
        <v>4750000</v>
      </c>
      <c r="F97" s="59"/>
      <c r="G97" s="61" t="s">
        <v>56</v>
      </c>
    </row>
    <row r="98" spans="1:7" ht="21">
      <c r="A98" s="34"/>
      <c r="B98" s="29" t="s">
        <v>489</v>
      </c>
      <c r="D98" s="29"/>
      <c r="E98" s="59">
        <v>3264462</v>
      </c>
      <c r="F98" s="59"/>
      <c r="G98" s="61" t="s">
        <v>56</v>
      </c>
    </row>
    <row r="99" spans="1:7" ht="21">
      <c r="A99" s="34"/>
      <c r="B99" s="29" t="s">
        <v>107</v>
      </c>
      <c r="D99" s="29"/>
      <c r="E99" s="59">
        <v>8710500</v>
      </c>
      <c r="F99" s="59"/>
      <c r="G99" s="61" t="s">
        <v>54</v>
      </c>
    </row>
    <row r="100" spans="1:7" ht="21">
      <c r="A100" s="34"/>
      <c r="B100" s="29" t="s">
        <v>313</v>
      </c>
      <c r="D100" s="29"/>
      <c r="E100" s="59">
        <v>185852</v>
      </c>
      <c r="F100" s="59"/>
      <c r="G100" s="61" t="s">
        <v>57</v>
      </c>
    </row>
    <row r="101" spans="1:7" ht="21">
      <c r="A101" s="34"/>
      <c r="B101" s="29" t="s">
        <v>490</v>
      </c>
      <c r="D101" s="29"/>
      <c r="E101" s="59">
        <v>69335616</v>
      </c>
      <c r="F101" s="59"/>
      <c r="G101" s="61" t="s">
        <v>57</v>
      </c>
    </row>
    <row r="102" spans="1:7" ht="21">
      <c r="A102" s="34">
        <v>44844</v>
      </c>
      <c r="B102" s="33" t="s">
        <v>63</v>
      </c>
      <c r="D102" s="33"/>
      <c r="E102" s="77">
        <v>170813773</v>
      </c>
      <c r="F102" s="77"/>
      <c r="G102" s="79" t="s">
        <v>56</v>
      </c>
    </row>
    <row r="103" spans="1:7" ht="21">
      <c r="A103" s="34"/>
      <c r="B103" s="33" t="s">
        <v>63</v>
      </c>
      <c r="D103" s="33"/>
      <c r="E103" s="77">
        <v>1062000</v>
      </c>
      <c r="F103" s="77"/>
      <c r="G103" s="79" t="s">
        <v>56</v>
      </c>
    </row>
    <row r="104" spans="1:7" ht="21">
      <c r="A104" s="34"/>
      <c r="B104" s="29" t="s">
        <v>491</v>
      </c>
      <c r="D104" s="29"/>
      <c r="E104" s="59">
        <v>396028</v>
      </c>
      <c r="F104" s="59"/>
      <c r="G104" s="61" t="s">
        <v>57</v>
      </c>
    </row>
    <row r="105" spans="1:7" ht="21">
      <c r="A105" s="34"/>
      <c r="B105" s="29" t="s">
        <v>472</v>
      </c>
      <c r="D105" s="29"/>
      <c r="E105" s="59">
        <v>337850</v>
      </c>
      <c r="F105" s="59"/>
      <c r="G105" s="61" t="s">
        <v>57</v>
      </c>
    </row>
    <row r="106" spans="1:7" ht="21">
      <c r="A106" s="34"/>
      <c r="B106" s="29" t="s">
        <v>472</v>
      </c>
      <c r="D106" s="29"/>
      <c r="E106" s="59">
        <v>329250</v>
      </c>
      <c r="F106" s="59"/>
      <c r="G106" s="61" t="s">
        <v>57</v>
      </c>
    </row>
    <row r="107" spans="1:7" ht="21">
      <c r="A107" s="34"/>
      <c r="B107" s="29" t="s">
        <v>66</v>
      </c>
      <c r="D107" s="29"/>
      <c r="E107" s="59">
        <v>12500000</v>
      </c>
      <c r="F107" s="59"/>
      <c r="G107" s="61" t="s">
        <v>53</v>
      </c>
    </row>
    <row r="108" spans="1:7" ht="21">
      <c r="A108" s="34"/>
      <c r="B108" s="30" t="s">
        <v>492</v>
      </c>
      <c r="D108" s="30"/>
      <c r="E108" s="43">
        <v>830690120</v>
      </c>
      <c r="F108" s="31"/>
      <c r="G108" s="32" t="s">
        <v>58</v>
      </c>
    </row>
    <row r="109" spans="1:7" ht="21">
      <c r="A109" s="34">
        <v>44845</v>
      </c>
      <c r="B109" s="29" t="s">
        <v>493</v>
      </c>
      <c r="D109" s="29"/>
      <c r="E109" s="59">
        <v>2692800</v>
      </c>
      <c r="F109" s="59"/>
      <c r="G109" s="61" t="s">
        <v>56</v>
      </c>
    </row>
    <row r="110" spans="1:7" ht="21">
      <c r="A110" s="34"/>
      <c r="B110" s="29" t="s">
        <v>494</v>
      </c>
      <c r="D110" s="29"/>
      <c r="E110" s="59">
        <v>145500</v>
      </c>
      <c r="F110" s="59"/>
      <c r="G110" s="61" t="s">
        <v>56</v>
      </c>
    </row>
    <row r="111" spans="1:7" ht="21">
      <c r="A111" s="34"/>
      <c r="B111" s="29" t="s">
        <v>495</v>
      </c>
      <c r="D111" s="29"/>
      <c r="E111" s="59">
        <v>1235800</v>
      </c>
      <c r="F111" s="59"/>
      <c r="G111" s="61" t="s">
        <v>54</v>
      </c>
    </row>
    <row r="112" spans="1:7" ht="21">
      <c r="A112" s="34"/>
      <c r="B112" s="29" t="s">
        <v>496</v>
      </c>
      <c r="D112" s="29"/>
      <c r="E112" s="59">
        <v>767000</v>
      </c>
      <c r="F112" s="59"/>
      <c r="G112" s="61" t="s">
        <v>154</v>
      </c>
    </row>
    <row r="113" spans="1:7" ht="21">
      <c r="A113" s="34"/>
      <c r="B113" s="29" t="s">
        <v>156</v>
      </c>
      <c r="D113" s="29"/>
      <c r="E113" s="59">
        <v>314195</v>
      </c>
      <c r="F113" s="59"/>
      <c r="G113" s="61" t="s">
        <v>154</v>
      </c>
    </row>
    <row r="114" spans="1:7" ht="21">
      <c r="A114" s="34"/>
      <c r="B114" s="29" t="s">
        <v>156</v>
      </c>
      <c r="D114" s="29"/>
      <c r="E114" s="59">
        <v>1214520</v>
      </c>
      <c r="F114" s="59"/>
      <c r="G114" s="61" t="s">
        <v>154</v>
      </c>
    </row>
    <row r="115" spans="1:7" ht="21">
      <c r="A115" s="34"/>
      <c r="B115" s="29" t="s">
        <v>107</v>
      </c>
      <c r="D115" s="29"/>
      <c r="E115" s="59">
        <v>460000</v>
      </c>
      <c r="F115" s="59"/>
      <c r="G115" s="61" t="s">
        <v>57</v>
      </c>
    </row>
    <row r="116" spans="1:7" ht="21">
      <c r="A116" s="34"/>
      <c r="B116" s="29" t="s">
        <v>497</v>
      </c>
      <c r="D116" s="29"/>
      <c r="E116" s="59">
        <v>560500</v>
      </c>
      <c r="F116" s="59"/>
      <c r="G116" s="61" t="s">
        <v>57</v>
      </c>
    </row>
    <row r="117" spans="1:7" ht="21">
      <c r="A117" s="34"/>
      <c r="B117" s="29" t="s">
        <v>271</v>
      </c>
      <c r="D117" s="29"/>
      <c r="E117" s="59">
        <v>186556</v>
      </c>
      <c r="F117" s="59"/>
      <c r="G117" s="61" t="s">
        <v>57</v>
      </c>
    </row>
    <row r="118" spans="1:7" ht="21">
      <c r="A118" s="34"/>
      <c r="B118" s="29" t="s">
        <v>498</v>
      </c>
      <c r="D118" s="29"/>
      <c r="E118" s="59">
        <v>4938176</v>
      </c>
      <c r="F118" s="59"/>
      <c r="G118" s="61" t="s">
        <v>58</v>
      </c>
    </row>
    <row r="119" spans="1:7" ht="21">
      <c r="A119" s="34"/>
      <c r="B119" s="29" t="s">
        <v>499</v>
      </c>
      <c r="D119" s="29"/>
      <c r="E119" s="59">
        <v>8574271</v>
      </c>
      <c r="F119" s="59"/>
      <c r="G119" s="61" t="s">
        <v>58</v>
      </c>
    </row>
    <row r="120" spans="1:7" ht="21">
      <c r="A120" s="34">
        <v>44846</v>
      </c>
      <c r="B120" s="29" t="s">
        <v>500</v>
      </c>
      <c r="D120" s="29"/>
      <c r="E120" s="59">
        <v>2000000</v>
      </c>
      <c r="F120" s="59"/>
      <c r="G120" s="61" t="s">
        <v>56</v>
      </c>
    </row>
    <row r="121" spans="1:7" ht="21">
      <c r="A121" s="34"/>
      <c r="B121" s="29" t="s">
        <v>271</v>
      </c>
      <c r="D121" s="29"/>
      <c r="E121" s="59">
        <v>552935</v>
      </c>
      <c r="F121" s="59"/>
      <c r="G121" s="61" t="s">
        <v>54</v>
      </c>
    </row>
    <row r="122" spans="1:7" ht="21">
      <c r="A122" s="34"/>
      <c r="B122" s="29" t="s">
        <v>501</v>
      </c>
      <c r="D122" s="29"/>
      <c r="E122" s="59">
        <v>9992240</v>
      </c>
      <c r="F122" s="59"/>
      <c r="G122" s="61" t="s">
        <v>57</v>
      </c>
    </row>
    <row r="123" spans="1:7" ht="21">
      <c r="A123" s="34"/>
      <c r="B123" s="29" t="s">
        <v>502</v>
      </c>
      <c r="D123" s="29"/>
      <c r="E123" s="59">
        <v>726000</v>
      </c>
      <c r="F123" s="59"/>
      <c r="G123" s="61" t="s">
        <v>57</v>
      </c>
    </row>
    <row r="124" spans="1:7" ht="21">
      <c r="A124" s="34"/>
      <c r="B124" s="29" t="s">
        <v>503</v>
      </c>
      <c r="D124" s="29"/>
      <c r="E124" s="59">
        <v>39937279</v>
      </c>
      <c r="F124" s="59"/>
      <c r="G124" s="61" t="s">
        <v>57</v>
      </c>
    </row>
    <row r="125" spans="1:7" ht="21">
      <c r="A125" s="34"/>
      <c r="B125" s="29" t="s">
        <v>266</v>
      </c>
      <c r="D125" s="29"/>
      <c r="E125" s="59">
        <v>13708693</v>
      </c>
      <c r="F125" s="59"/>
      <c r="G125" s="61" t="s">
        <v>58</v>
      </c>
    </row>
    <row r="126" spans="1:7" ht="21">
      <c r="A126" s="34">
        <v>44847</v>
      </c>
      <c r="B126" s="29" t="s">
        <v>504</v>
      </c>
      <c r="D126" s="29"/>
      <c r="E126" s="59">
        <v>63444319</v>
      </c>
      <c r="F126" s="59"/>
      <c r="G126" s="61" t="s">
        <v>56</v>
      </c>
    </row>
    <row r="127" spans="1:7" ht="21">
      <c r="A127" s="34"/>
      <c r="B127" s="29" t="s">
        <v>237</v>
      </c>
      <c r="D127" s="29"/>
      <c r="E127" s="59">
        <v>7036509</v>
      </c>
      <c r="F127" s="59"/>
      <c r="G127" s="61" t="s">
        <v>56</v>
      </c>
    </row>
    <row r="128" spans="1:7" ht="24" thickBot="1">
      <c r="A128" s="121"/>
      <c r="B128" s="142" t="s">
        <v>269</v>
      </c>
      <c r="C128" s="118"/>
      <c r="D128" s="118"/>
      <c r="E128" s="117">
        <v>4000000</v>
      </c>
      <c r="F128" s="118"/>
      <c r="G128" s="143" t="s">
        <v>56</v>
      </c>
    </row>
    <row r="129" spans="1:7" ht="24" thickBot="1">
      <c r="A129" s="121"/>
      <c r="B129" s="142" t="s">
        <v>505</v>
      </c>
      <c r="C129" s="118"/>
      <c r="D129" s="118"/>
      <c r="E129" s="117">
        <v>1403390</v>
      </c>
      <c r="F129" s="118"/>
      <c r="G129" s="143" t="s">
        <v>54</v>
      </c>
    </row>
    <row r="130" spans="1:7" ht="24" thickBot="1">
      <c r="A130" s="121"/>
      <c r="B130" s="142" t="s">
        <v>506</v>
      </c>
      <c r="C130" s="118"/>
      <c r="D130" s="118"/>
      <c r="E130" s="117">
        <v>2011164</v>
      </c>
      <c r="F130" s="118"/>
      <c r="G130" s="143" t="s">
        <v>154</v>
      </c>
    </row>
    <row r="131" spans="1:7" ht="24" thickBot="1">
      <c r="A131" s="121"/>
      <c r="B131" s="142" t="s">
        <v>507</v>
      </c>
      <c r="C131" s="118"/>
      <c r="D131" s="118"/>
      <c r="E131" s="117">
        <v>1675971</v>
      </c>
      <c r="F131" s="118"/>
      <c r="G131" s="143" t="s">
        <v>154</v>
      </c>
    </row>
    <row r="132" spans="1:7" ht="24" thickBot="1">
      <c r="A132" s="121"/>
      <c r="B132" s="142" t="s">
        <v>508</v>
      </c>
      <c r="C132" s="118"/>
      <c r="D132" s="118"/>
      <c r="E132" s="117">
        <v>670388</v>
      </c>
      <c r="F132" s="118"/>
      <c r="G132" s="143" t="s">
        <v>154</v>
      </c>
    </row>
    <row r="133" spans="1:7" ht="24" thickBot="1">
      <c r="A133" s="121"/>
      <c r="B133" s="142" t="s">
        <v>509</v>
      </c>
      <c r="C133" s="118"/>
      <c r="D133" s="118"/>
      <c r="E133" s="117">
        <v>670388</v>
      </c>
      <c r="F133" s="118"/>
      <c r="G133" s="143" t="s">
        <v>154</v>
      </c>
    </row>
    <row r="134" spans="1:7" ht="21">
      <c r="A134" s="34"/>
      <c r="B134" s="67" t="s">
        <v>510</v>
      </c>
      <c r="D134" s="67"/>
      <c r="E134" s="68">
        <v>841950</v>
      </c>
      <c r="F134" s="68"/>
      <c r="G134" s="69" t="s">
        <v>57</v>
      </c>
    </row>
    <row r="135" spans="1:7" ht="21">
      <c r="A135" s="34"/>
      <c r="B135" s="56" t="s">
        <v>511</v>
      </c>
      <c r="D135" s="56"/>
      <c r="E135" s="63">
        <v>79652494</v>
      </c>
      <c r="F135" s="63"/>
      <c r="G135" s="64" t="s">
        <v>64</v>
      </c>
    </row>
    <row r="136" spans="1:7" s="70" customFormat="1" ht="21">
      <c r="A136" s="66">
        <v>44848</v>
      </c>
      <c r="B136" s="67" t="s">
        <v>512</v>
      </c>
      <c r="D136" s="67"/>
      <c r="E136" s="68">
        <v>6789000</v>
      </c>
      <c r="F136" s="68"/>
      <c r="G136" s="69" t="s">
        <v>57</v>
      </c>
    </row>
    <row r="137" spans="1:7" s="70" customFormat="1" ht="21">
      <c r="A137" s="66"/>
      <c r="B137" s="67" t="s">
        <v>513</v>
      </c>
      <c r="D137" s="67"/>
      <c r="E137" s="68">
        <v>26154000</v>
      </c>
      <c r="F137" s="68"/>
      <c r="G137" s="69" t="s">
        <v>57</v>
      </c>
    </row>
    <row r="138" spans="1:7" ht="21">
      <c r="A138" s="34"/>
      <c r="B138" s="29" t="s">
        <v>514</v>
      </c>
      <c r="D138" s="29"/>
      <c r="E138" s="59">
        <v>88500</v>
      </c>
      <c r="F138" s="59"/>
      <c r="G138" s="61" t="s">
        <v>57</v>
      </c>
    </row>
    <row r="139" spans="1:7" ht="21">
      <c r="A139" s="34"/>
      <c r="B139" s="29" t="s">
        <v>515</v>
      </c>
      <c r="D139" s="29"/>
      <c r="E139" s="59">
        <v>425000</v>
      </c>
      <c r="F139" s="59"/>
      <c r="G139" s="61" t="s">
        <v>57</v>
      </c>
    </row>
    <row r="140" spans="1:7" ht="21">
      <c r="A140" s="34"/>
      <c r="B140" s="29" t="s">
        <v>241</v>
      </c>
      <c r="D140" s="29"/>
      <c r="E140" s="59">
        <v>528000</v>
      </c>
      <c r="F140" s="59"/>
      <c r="G140" s="61" t="s">
        <v>57</v>
      </c>
    </row>
    <row r="141" spans="1:7" ht="21">
      <c r="A141" s="148">
        <v>44851</v>
      </c>
      <c r="B141" s="29" t="s">
        <v>516</v>
      </c>
      <c r="D141" s="29"/>
      <c r="E141" s="59">
        <v>78200000</v>
      </c>
      <c r="F141" s="59"/>
      <c r="G141" s="61" t="s">
        <v>53</v>
      </c>
    </row>
    <row r="142" spans="1:7" ht="21">
      <c r="A142" s="34">
        <v>44852</v>
      </c>
      <c r="B142" s="29" t="s">
        <v>517</v>
      </c>
      <c r="D142" s="29"/>
      <c r="E142" s="59">
        <v>1584000</v>
      </c>
      <c r="F142" s="59"/>
      <c r="G142" s="61" t="s">
        <v>54</v>
      </c>
    </row>
    <row r="143" spans="1:7" ht="21">
      <c r="A143" s="34"/>
      <c r="B143" s="29" t="s">
        <v>518</v>
      </c>
      <c r="D143" s="29"/>
      <c r="E143" s="59">
        <v>1161600</v>
      </c>
      <c r="F143" s="59"/>
      <c r="G143" s="61" t="s">
        <v>54</v>
      </c>
    </row>
    <row r="144" spans="1:7" ht="21">
      <c r="A144" s="34"/>
      <c r="B144" s="29" t="s">
        <v>519</v>
      </c>
      <c r="D144" s="29"/>
      <c r="E144" s="59">
        <v>700000</v>
      </c>
      <c r="F144" s="59"/>
      <c r="G144" s="61" t="s">
        <v>57</v>
      </c>
    </row>
    <row r="145" spans="1:7" ht="21">
      <c r="A145" s="34"/>
      <c r="B145" s="56" t="s">
        <v>98</v>
      </c>
      <c r="D145" s="56"/>
      <c r="E145" s="63">
        <v>113638257</v>
      </c>
      <c r="F145" s="63"/>
      <c r="G145" s="64" t="s">
        <v>154</v>
      </c>
    </row>
    <row r="146" spans="1:7" ht="21">
      <c r="A146" s="34"/>
      <c r="B146" s="29" t="s">
        <v>314</v>
      </c>
      <c r="D146" s="29"/>
      <c r="E146" s="59">
        <v>183345348</v>
      </c>
      <c r="F146" s="59"/>
      <c r="G146" s="61" t="s">
        <v>90</v>
      </c>
    </row>
    <row r="147" spans="1:7" ht="21">
      <c r="A147" s="34"/>
      <c r="B147" s="29" t="s">
        <v>314</v>
      </c>
      <c r="D147" s="29"/>
      <c r="E147" s="59">
        <v>390199680</v>
      </c>
      <c r="F147" s="59"/>
      <c r="G147" s="61" t="s">
        <v>90</v>
      </c>
    </row>
    <row r="148" spans="1:7" ht="21">
      <c r="A148" s="34"/>
      <c r="B148" s="30" t="s">
        <v>520</v>
      </c>
      <c r="D148" s="30"/>
      <c r="E148" s="31">
        <v>640468816</v>
      </c>
      <c r="F148" s="31"/>
      <c r="G148" s="32" t="s">
        <v>53</v>
      </c>
    </row>
    <row r="149" spans="1:7" ht="21">
      <c r="A149" s="34">
        <v>44853</v>
      </c>
      <c r="B149" s="29" t="s">
        <v>472</v>
      </c>
      <c r="D149" s="29"/>
      <c r="E149" s="59">
        <v>89850</v>
      </c>
      <c r="F149" s="59"/>
      <c r="G149" s="61" t="s">
        <v>57</v>
      </c>
    </row>
    <row r="150" spans="1:7" ht="21">
      <c r="A150" s="34"/>
      <c r="B150" s="29" t="s">
        <v>521</v>
      </c>
      <c r="D150" s="59"/>
      <c r="E150" s="59">
        <v>1000000</v>
      </c>
      <c r="F150" s="59"/>
      <c r="G150" s="61" t="s">
        <v>57</v>
      </c>
    </row>
    <row r="151" spans="1:7" ht="21">
      <c r="A151" s="34"/>
      <c r="B151" s="56" t="s">
        <v>522</v>
      </c>
      <c r="D151" s="63"/>
      <c r="E151" s="63">
        <v>5846382</v>
      </c>
      <c r="F151" s="63"/>
      <c r="G151" s="64" t="s">
        <v>154</v>
      </c>
    </row>
    <row r="152" spans="1:7" ht="21">
      <c r="A152" s="34"/>
      <c r="B152" s="29" t="s">
        <v>523</v>
      </c>
      <c r="D152" s="59"/>
      <c r="E152" s="59">
        <v>1573935</v>
      </c>
      <c r="F152" s="59"/>
      <c r="G152" s="61" t="s">
        <v>58</v>
      </c>
    </row>
    <row r="153" spans="1:7" ht="21">
      <c r="A153" s="149"/>
      <c r="B153" s="67" t="s">
        <v>96</v>
      </c>
      <c r="D153" s="68"/>
      <c r="E153" s="68">
        <v>569261</v>
      </c>
      <c r="F153" s="68"/>
      <c r="G153" s="69" t="s">
        <v>53</v>
      </c>
    </row>
    <row r="154" spans="1:7" ht="21">
      <c r="A154" s="34"/>
      <c r="B154" s="29" t="s">
        <v>297</v>
      </c>
      <c r="D154" s="29"/>
      <c r="E154" s="59">
        <v>2313450</v>
      </c>
      <c r="F154" s="59"/>
      <c r="G154" s="61" t="s">
        <v>53</v>
      </c>
    </row>
    <row r="155" spans="1:7" ht="21">
      <c r="A155" s="34">
        <v>44854</v>
      </c>
      <c r="B155" s="29" t="s">
        <v>524</v>
      </c>
      <c r="D155" s="59"/>
      <c r="E155" s="59">
        <v>11116654</v>
      </c>
      <c r="F155" s="150"/>
      <c r="G155" s="61" t="s">
        <v>54</v>
      </c>
    </row>
    <row r="156" spans="1:7" ht="21">
      <c r="A156" s="34"/>
      <c r="B156" s="29" t="s">
        <v>525</v>
      </c>
      <c r="D156" s="59"/>
      <c r="E156" s="59">
        <v>580800</v>
      </c>
      <c r="F156" s="150"/>
      <c r="G156" s="61" t="s">
        <v>57</v>
      </c>
    </row>
    <row r="157" spans="1:7" ht="21">
      <c r="A157" s="34"/>
      <c r="B157" s="29" t="s">
        <v>526</v>
      </c>
      <c r="D157" s="59"/>
      <c r="E157" s="59">
        <v>660000</v>
      </c>
      <c r="F157" s="150"/>
      <c r="G157" s="61" t="s">
        <v>56</v>
      </c>
    </row>
    <row r="158" spans="1:7" ht="21">
      <c r="A158" s="34"/>
      <c r="B158" s="29" t="s">
        <v>280</v>
      </c>
      <c r="D158" s="59"/>
      <c r="E158" s="59">
        <v>792000</v>
      </c>
      <c r="F158" s="150"/>
      <c r="G158" s="61" t="s">
        <v>56</v>
      </c>
    </row>
    <row r="159" spans="1:7" ht="21">
      <c r="A159" s="34"/>
      <c r="B159" s="29" t="s">
        <v>527</v>
      </c>
      <c r="D159" s="59"/>
      <c r="E159" s="59">
        <v>1916640</v>
      </c>
      <c r="F159" s="150"/>
      <c r="G159" s="61" t="s">
        <v>56</v>
      </c>
    </row>
    <row r="160" spans="1:7" ht="24" thickBot="1">
      <c r="A160" s="121"/>
      <c r="B160" s="142" t="s">
        <v>269</v>
      </c>
      <c r="C160" s="118"/>
      <c r="D160" s="118"/>
      <c r="E160" s="117">
        <v>4000000</v>
      </c>
      <c r="F160" s="118"/>
      <c r="G160" s="143" t="s">
        <v>56</v>
      </c>
    </row>
    <row r="161" spans="1:7" ht="21">
      <c r="A161" s="34"/>
      <c r="B161" s="29" t="s">
        <v>528</v>
      </c>
      <c r="D161" s="59"/>
      <c r="E161" s="59">
        <v>19173138</v>
      </c>
      <c r="F161" s="151"/>
      <c r="G161" s="61" t="s">
        <v>56</v>
      </c>
    </row>
    <row r="162" spans="1:7" ht="21">
      <c r="A162" s="34"/>
      <c r="B162" s="29" t="s">
        <v>68</v>
      </c>
      <c r="D162" s="59"/>
      <c r="E162" s="59">
        <v>27146974</v>
      </c>
      <c r="F162" s="150"/>
      <c r="G162" s="61" t="s">
        <v>56</v>
      </c>
    </row>
    <row r="163" spans="1:7" ht="21">
      <c r="A163" s="149"/>
      <c r="B163" s="67" t="s">
        <v>96</v>
      </c>
      <c r="D163" s="67"/>
      <c r="E163" s="68">
        <v>2647741</v>
      </c>
      <c r="F163" s="68"/>
      <c r="G163" s="69" t="s">
        <v>53</v>
      </c>
    </row>
    <row r="164" spans="1:7" ht="21">
      <c r="A164" s="34"/>
      <c r="B164" s="67" t="s">
        <v>96</v>
      </c>
      <c r="D164" s="68"/>
      <c r="E164" s="68">
        <v>10124655</v>
      </c>
      <c r="F164" s="152"/>
      <c r="G164" s="69" t="s">
        <v>53</v>
      </c>
    </row>
    <row r="165" spans="1:7" ht="21">
      <c r="A165" s="34">
        <v>44855</v>
      </c>
      <c r="B165" s="29" t="s">
        <v>529</v>
      </c>
      <c r="D165" s="59"/>
      <c r="E165" s="59">
        <v>1200000</v>
      </c>
      <c r="F165" s="150"/>
      <c r="G165" s="61" t="s">
        <v>54</v>
      </c>
    </row>
    <row r="166" spans="1:7" ht="21">
      <c r="A166" s="34"/>
      <c r="B166" s="30" t="s">
        <v>530</v>
      </c>
      <c r="D166" s="31"/>
      <c r="E166" s="31">
        <v>40669334</v>
      </c>
      <c r="F166" s="36"/>
      <c r="G166" s="32" t="s">
        <v>60</v>
      </c>
    </row>
    <row r="167" spans="1:7" ht="24" thickBot="1">
      <c r="A167" s="121"/>
      <c r="B167" s="142" t="s">
        <v>531</v>
      </c>
      <c r="C167" s="118"/>
      <c r="D167" s="118"/>
      <c r="E167" s="117">
        <v>600000</v>
      </c>
      <c r="F167" s="118"/>
      <c r="G167" s="143" t="s">
        <v>54</v>
      </c>
    </row>
    <row r="168" spans="1:7" ht="21">
      <c r="A168" s="34"/>
      <c r="B168" s="29" t="s">
        <v>532</v>
      </c>
      <c r="D168" s="59"/>
      <c r="E168" s="59">
        <v>1849790</v>
      </c>
      <c r="F168" s="150"/>
      <c r="G168" s="61" t="s">
        <v>54</v>
      </c>
    </row>
    <row r="169" spans="1:7" ht="21">
      <c r="A169" s="34"/>
      <c r="B169" s="29" t="s">
        <v>533</v>
      </c>
      <c r="D169" s="59"/>
      <c r="E169" s="59">
        <v>2640000</v>
      </c>
      <c r="F169" s="150"/>
      <c r="G169" s="61" t="s">
        <v>54</v>
      </c>
    </row>
    <row r="170" spans="1:7" ht="21">
      <c r="A170" s="34"/>
      <c r="B170" s="29" t="s">
        <v>534</v>
      </c>
      <c r="D170" s="59"/>
      <c r="E170" s="59">
        <v>1016400</v>
      </c>
      <c r="F170" s="150"/>
      <c r="G170" s="61" t="s">
        <v>54</v>
      </c>
    </row>
    <row r="171" spans="1:7" ht="21">
      <c r="A171" s="34"/>
      <c r="B171" s="29" t="s">
        <v>535</v>
      </c>
      <c r="D171" s="59"/>
      <c r="E171" s="59">
        <v>313792</v>
      </c>
      <c r="F171" s="150"/>
      <c r="G171" s="61" t="s">
        <v>57</v>
      </c>
    </row>
    <row r="172" spans="1:7" ht="21">
      <c r="A172" s="34"/>
      <c r="B172" s="29" t="s">
        <v>296</v>
      </c>
      <c r="D172" s="59"/>
      <c r="E172" s="59">
        <v>396000</v>
      </c>
      <c r="F172" s="150"/>
      <c r="G172" s="61" t="s">
        <v>57</v>
      </c>
    </row>
    <row r="173" spans="1:7" ht="24" thickBot="1">
      <c r="A173" s="121"/>
      <c r="B173" s="142" t="s">
        <v>536</v>
      </c>
      <c r="C173" s="118"/>
      <c r="D173" s="118"/>
      <c r="E173" s="117">
        <v>420000</v>
      </c>
      <c r="F173" s="118"/>
      <c r="G173" s="143" t="s">
        <v>57</v>
      </c>
    </row>
    <row r="174" spans="1:7" ht="21">
      <c r="A174" s="34"/>
      <c r="B174" s="29" t="s">
        <v>537</v>
      </c>
      <c r="D174" s="59"/>
      <c r="E174" s="59">
        <v>4000000</v>
      </c>
      <c r="F174" s="150"/>
      <c r="G174" s="61" t="s">
        <v>57</v>
      </c>
    </row>
    <row r="175" spans="1:7" ht="21">
      <c r="A175" s="34"/>
      <c r="B175" s="29" t="s">
        <v>538</v>
      </c>
      <c r="D175" s="59"/>
      <c r="E175" s="59">
        <v>455000</v>
      </c>
      <c r="F175" s="150"/>
      <c r="G175" s="61" t="s">
        <v>57</v>
      </c>
    </row>
    <row r="176" spans="1:7" ht="21">
      <c r="A176" s="34"/>
      <c r="B176" s="29" t="s">
        <v>539</v>
      </c>
      <c r="D176" s="59"/>
      <c r="E176" s="59">
        <v>500000</v>
      </c>
      <c r="F176" s="150"/>
      <c r="G176" s="61" t="s">
        <v>57</v>
      </c>
    </row>
    <row r="177" spans="1:7" ht="21">
      <c r="A177" s="34"/>
      <c r="B177" s="29" t="s">
        <v>540</v>
      </c>
      <c r="D177" s="59"/>
      <c r="E177" s="59">
        <v>1173180</v>
      </c>
      <c r="F177" s="150"/>
      <c r="G177" s="61" t="s">
        <v>55</v>
      </c>
    </row>
    <row r="178" spans="1:7" ht="21">
      <c r="A178" s="34"/>
      <c r="B178" s="29" t="s">
        <v>541</v>
      </c>
      <c r="D178" s="59"/>
      <c r="E178" s="59">
        <v>703908</v>
      </c>
      <c r="F178" s="150"/>
      <c r="G178" s="61" t="s">
        <v>55</v>
      </c>
    </row>
    <row r="179" spans="1:7" ht="21">
      <c r="A179" s="34"/>
      <c r="B179" s="29" t="s">
        <v>542</v>
      </c>
      <c r="D179" s="59"/>
      <c r="E179" s="59">
        <v>938544</v>
      </c>
      <c r="F179" s="150"/>
      <c r="G179" s="61" t="s">
        <v>55</v>
      </c>
    </row>
    <row r="180" spans="1:7" ht="21">
      <c r="A180" s="34"/>
      <c r="B180" s="29" t="s">
        <v>543</v>
      </c>
      <c r="D180" s="59"/>
      <c r="E180" s="59">
        <v>1031250</v>
      </c>
      <c r="F180" s="150"/>
      <c r="G180" s="61" t="s">
        <v>55</v>
      </c>
    </row>
    <row r="181" spans="1:7" ht="21">
      <c r="A181" s="34"/>
      <c r="B181" s="29" t="s">
        <v>156</v>
      </c>
      <c r="D181" s="59"/>
      <c r="E181" s="59">
        <v>443796</v>
      </c>
      <c r="F181" s="150"/>
      <c r="G181" s="61" t="s">
        <v>55</v>
      </c>
    </row>
    <row r="182" spans="1:7" ht="21">
      <c r="A182" s="34"/>
      <c r="B182" s="29" t="s">
        <v>544</v>
      </c>
      <c r="D182" s="59"/>
      <c r="E182" s="59">
        <v>792000</v>
      </c>
      <c r="F182" s="150"/>
      <c r="G182" s="61" t="s">
        <v>55</v>
      </c>
    </row>
    <row r="183" spans="1:7" ht="21">
      <c r="A183" s="34"/>
      <c r="B183" s="29" t="s">
        <v>545</v>
      </c>
      <c r="D183" s="59"/>
      <c r="E183" s="59">
        <v>5145490</v>
      </c>
      <c r="F183" s="150"/>
      <c r="G183" s="61" t="s">
        <v>55</v>
      </c>
    </row>
    <row r="184" spans="1:7" ht="21">
      <c r="A184" s="34"/>
      <c r="B184" s="29" t="s">
        <v>100</v>
      </c>
      <c r="D184" s="59"/>
      <c r="E184" s="59">
        <v>5615243</v>
      </c>
      <c r="F184" s="150"/>
      <c r="G184" s="61" t="s">
        <v>55</v>
      </c>
    </row>
    <row r="185" spans="1:7" ht="21">
      <c r="A185" s="34"/>
      <c r="B185" s="29" t="s">
        <v>546</v>
      </c>
      <c r="D185" s="59"/>
      <c r="E185" s="59">
        <v>38381250</v>
      </c>
      <c r="F185" s="150"/>
      <c r="G185" s="61" t="s">
        <v>90</v>
      </c>
    </row>
    <row r="186" spans="1:7" ht="21">
      <c r="A186" s="34"/>
      <c r="B186" s="29" t="s">
        <v>157</v>
      </c>
      <c r="D186" s="59"/>
      <c r="E186" s="59">
        <v>855360</v>
      </c>
      <c r="F186" s="150"/>
      <c r="G186" s="61" t="s">
        <v>58</v>
      </c>
    </row>
    <row r="187" spans="1:7" ht="21">
      <c r="A187" s="34"/>
      <c r="B187" s="29" t="s">
        <v>547</v>
      </c>
      <c r="D187" s="59"/>
      <c r="E187" s="59">
        <v>10082864</v>
      </c>
      <c r="F187" s="150"/>
      <c r="G187" s="61" t="s">
        <v>58</v>
      </c>
    </row>
    <row r="188" spans="1:7" ht="21">
      <c r="A188" s="34"/>
      <c r="B188" s="29" t="s">
        <v>128</v>
      </c>
      <c r="D188" s="59"/>
      <c r="E188" s="59">
        <v>8271460</v>
      </c>
      <c r="F188" s="150"/>
      <c r="G188" s="61" t="s">
        <v>58</v>
      </c>
    </row>
    <row r="189" spans="1:7" ht="21">
      <c r="A189" s="34"/>
      <c r="B189" s="29" t="s">
        <v>257</v>
      </c>
      <c r="D189" s="59"/>
      <c r="E189" s="59">
        <v>5925092</v>
      </c>
      <c r="F189" s="150"/>
      <c r="G189" s="61" t="s">
        <v>58</v>
      </c>
    </row>
    <row r="190" spans="1:7" ht="21">
      <c r="A190" s="34"/>
      <c r="B190" s="29" t="s">
        <v>547</v>
      </c>
      <c r="D190" s="59"/>
      <c r="E190" s="59">
        <v>5052799</v>
      </c>
      <c r="F190" s="150"/>
      <c r="G190" s="61" t="s">
        <v>58</v>
      </c>
    </row>
    <row r="191" spans="1:7" ht="21">
      <c r="A191" s="34"/>
      <c r="B191" s="29" t="s">
        <v>414</v>
      </c>
      <c r="D191" s="59"/>
      <c r="E191" s="59">
        <v>1953550</v>
      </c>
      <c r="F191" s="150"/>
      <c r="G191" s="61" t="s">
        <v>64</v>
      </c>
    </row>
    <row r="192" spans="1:7" ht="21">
      <c r="A192" s="34"/>
      <c r="B192" s="29" t="s">
        <v>548</v>
      </c>
      <c r="D192" s="59"/>
      <c r="E192" s="59">
        <v>4558200</v>
      </c>
      <c r="F192" s="150"/>
      <c r="G192" s="61" t="s">
        <v>64</v>
      </c>
    </row>
    <row r="193" spans="1:7" ht="21">
      <c r="A193" s="34"/>
      <c r="B193" s="29" t="s">
        <v>549</v>
      </c>
      <c r="D193" s="59"/>
      <c r="E193" s="59">
        <v>12467008</v>
      </c>
      <c r="F193" s="150"/>
      <c r="G193" s="61" t="s">
        <v>64</v>
      </c>
    </row>
    <row r="194" spans="1:7" ht="21">
      <c r="A194" s="149"/>
      <c r="B194" s="29" t="s">
        <v>550</v>
      </c>
      <c r="D194" s="59"/>
      <c r="E194" s="59">
        <v>100000000</v>
      </c>
      <c r="F194" s="150"/>
      <c r="G194" s="61" t="s">
        <v>53</v>
      </c>
    </row>
    <row r="195" spans="1:7" ht="21">
      <c r="A195" s="34">
        <v>44858</v>
      </c>
      <c r="B195" s="29" t="s">
        <v>551</v>
      </c>
      <c r="D195" s="59"/>
      <c r="E195" s="59">
        <v>528000</v>
      </c>
      <c r="F195" s="150"/>
      <c r="G195" s="61" t="s">
        <v>54</v>
      </c>
    </row>
    <row r="196" spans="1:7" ht="21">
      <c r="A196" s="34"/>
      <c r="B196" s="29" t="s">
        <v>145</v>
      </c>
      <c r="D196" s="59"/>
      <c r="E196" s="59">
        <v>2098800</v>
      </c>
      <c r="F196" s="150"/>
      <c r="G196" s="61" t="s">
        <v>54</v>
      </c>
    </row>
    <row r="197" spans="1:7" ht="21">
      <c r="A197" s="34"/>
      <c r="B197" s="29" t="s">
        <v>552</v>
      </c>
      <c r="D197" s="59"/>
      <c r="E197" s="59">
        <v>2046091</v>
      </c>
      <c r="F197" s="150"/>
      <c r="G197" s="61" t="s">
        <v>54</v>
      </c>
    </row>
    <row r="198" spans="1:7" ht="21">
      <c r="A198" s="34"/>
      <c r="B198" s="29" t="s">
        <v>553</v>
      </c>
      <c r="D198" s="59"/>
      <c r="E198" s="59">
        <v>31407075</v>
      </c>
      <c r="F198" s="150"/>
      <c r="G198" s="61" t="s">
        <v>54</v>
      </c>
    </row>
    <row r="199" spans="1:7" ht="21">
      <c r="A199" s="34"/>
      <c r="B199" s="29" t="s">
        <v>554</v>
      </c>
      <c r="D199" s="59"/>
      <c r="E199" s="59">
        <v>15044448</v>
      </c>
      <c r="F199" s="150"/>
      <c r="G199" s="61" t="s">
        <v>54</v>
      </c>
    </row>
    <row r="200" spans="1:7" ht="21">
      <c r="A200" s="34"/>
      <c r="B200" s="29" t="s">
        <v>555</v>
      </c>
      <c r="D200" s="59"/>
      <c r="E200" s="59">
        <v>382000</v>
      </c>
      <c r="F200" s="150"/>
      <c r="G200" s="61" t="s">
        <v>57</v>
      </c>
    </row>
    <row r="201" spans="1:7" ht="21">
      <c r="A201" s="34"/>
      <c r="B201" s="29" t="s">
        <v>556</v>
      </c>
      <c r="D201" s="59"/>
      <c r="E201" s="59">
        <v>12509297</v>
      </c>
      <c r="F201" s="150"/>
      <c r="G201" s="61" t="s">
        <v>57</v>
      </c>
    </row>
    <row r="202" spans="1:7" ht="21">
      <c r="A202" s="34"/>
      <c r="B202" s="29" t="s">
        <v>557</v>
      </c>
      <c r="D202" s="59"/>
      <c r="E202" s="59">
        <v>316250</v>
      </c>
      <c r="F202" s="150"/>
      <c r="G202" s="61" t="s">
        <v>57</v>
      </c>
    </row>
    <row r="203" spans="1:7" ht="21">
      <c r="A203" s="34"/>
      <c r="B203" s="29" t="s">
        <v>558</v>
      </c>
      <c r="D203" s="59"/>
      <c r="E203" s="59">
        <v>1510000</v>
      </c>
      <c r="F203" s="150"/>
      <c r="G203" s="61" t="s">
        <v>56</v>
      </c>
    </row>
    <row r="204" spans="1:7" ht="21">
      <c r="A204" s="34"/>
      <c r="B204" s="33" t="s">
        <v>63</v>
      </c>
      <c r="D204" s="77"/>
      <c r="E204" s="77">
        <v>8207095</v>
      </c>
      <c r="F204" s="153"/>
      <c r="G204" s="79" t="s">
        <v>56</v>
      </c>
    </row>
    <row r="205" spans="1:7" ht="21">
      <c r="A205" s="149"/>
      <c r="B205" s="29" t="s">
        <v>84</v>
      </c>
      <c r="D205" s="59"/>
      <c r="E205" s="59">
        <v>204359</v>
      </c>
      <c r="F205" s="150"/>
      <c r="G205" s="61" t="s">
        <v>53</v>
      </c>
    </row>
    <row r="206" spans="1:7" ht="21">
      <c r="A206" s="34"/>
      <c r="B206" s="29" t="s">
        <v>84</v>
      </c>
      <c r="D206" s="59"/>
      <c r="E206" s="59">
        <v>9986332</v>
      </c>
      <c r="F206" s="150"/>
      <c r="G206" s="61" t="s">
        <v>53</v>
      </c>
    </row>
    <row r="207" spans="1:7" ht="24" thickBot="1">
      <c r="A207" s="121"/>
      <c r="B207" s="142" t="s">
        <v>559</v>
      </c>
      <c r="C207" s="118"/>
      <c r="D207" s="118"/>
      <c r="E207" s="117">
        <v>152633275</v>
      </c>
      <c r="F207" s="118"/>
      <c r="G207" s="143"/>
    </row>
    <row r="208" spans="1:7" ht="21">
      <c r="A208" s="34">
        <v>44859</v>
      </c>
      <c r="B208" s="29" t="s">
        <v>560</v>
      </c>
      <c r="D208" s="59"/>
      <c r="E208" s="59">
        <v>48142488</v>
      </c>
      <c r="F208" s="150"/>
      <c r="G208" s="61" t="s">
        <v>54</v>
      </c>
    </row>
    <row r="209" spans="1:7" ht="21">
      <c r="A209" s="34"/>
      <c r="B209" s="29" t="s">
        <v>560</v>
      </c>
      <c r="D209" s="59"/>
      <c r="E209" s="59">
        <v>394850</v>
      </c>
      <c r="F209" s="150"/>
      <c r="G209" s="61" t="s">
        <v>56</v>
      </c>
    </row>
    <row r="210" spans="1:7" ht="21">
      <c r="A210" s="34"/>
      <c r="B210" s="29" t="s">
        <v>561</v>
      </c>
      <c r="D210" s="59"/>
      <c r="E210" s="59">
        <v>385910</v>
      </c>
      <c r="F210" s="150"/>
      <c r="G210" s="61" t="s">
        <v>57</v>
      </c>
    </row>
    <row r="211" spans="1:7" ht="21">
      <c r="A211" s="34"/>
      <c r="B211" s="29" t="s">
        <v>562</v>
      </c>
      <c r="D211" s="59"/>
      <c r="E211" s="59">
        <v>140300</v>
      </c>
      <c r="F211" s="150"/>
      <c r="G211" s="61" t="s">
        <v>57</v>
      </c>
    </row>
    <row r="212" spans="1:7" ht="21">
      <c r="A212" s="34"/>
      <c r="B212" s="29" t="s">
        <v>84</v>
      </c>
      <c r="D212" s="59"/>
      <c r="E212" s="59">
        <v>12031600</v>
      </c>
      <c r="F212" s="150"/>
      <c r="G212" s="61" t="s">
        <v>53</v>
      </c>
    </row>
    <row r="213" spans="1:7" ht="21">
      <c r="A213" s="34"/>
      <c r="B213" s="29" t="s">
        <v>173</v>
      </c>
      <c r="D213" s="59"/>
      <c r="E213" s="59">
        <v>26730701</v>
      </c>
      <c r="F213" s="150"/>
      <c r="G213" s="61" t="s">
        <v>53</v>
      </c>
    </row>
    <row r="214" spans="1:7" ht="21">
      <c r="A214" s="34"/>
      <c r="B214" s="29" t="s">
        <v>173</v>
      </c>
      <c r="D214" s="59"/>
      <c r="E214" s="59">
        <v>33833304</v>
      </c>
      <c r="F214" s="150"/>
      <c r="G214" s="61" t="s">
        <v>53</v>
      </c>
    </row>
    <row r="215" spans="1:7" ht="21">
      <c r="A215" s="34"/>
      <c r="B215" s="30" t="s">
        <v>563</v>
      </c>
      <c r="D215" s="31"/>
      <c r="E215" s="31">
        <v>678329941</v>
      </c>
      <c r="F215" s="36"/>
      <c r="G215" s="32" t="s">
        <v>58</v>
      </c>
    </row>
    <row r="216" spans="1:7" ht="21">
      <c r="A216" s="34">
        <v>44860</v>
      </c>
      <c r="B216" s="29" t="s">
        <v>83</v>
      </c>
      <c r="D216" s="59"/>
      <c r="E216" s="59">
        <v>3722358</v>
      </c>
      <c r="F216" s="150"/>
      <c r="G216" s="61" t="s">
        <v>54</v>
      </c>
    </row>
    <row r="217" spans="1:7" ht="21">
      <c r="A217" s="34"/>
      <c r="B217" s="29" t="s">
        <v>142</v>
      </c>
      <c r="D217" s="59"/>
      <c r="E217" s="59">
        <v>362250</v>
      </c>
      <c r="F217" s="150"/>
      <c r="G217" s="61" t="s">
        <v>57</v>
      </c>
    </row>
    <row r="218" spans="1:7" ht="21">
      <c r="A218" s="34"/>
      <c r="B218" s="29" t="s">
        <v>564</v>
      </c>
      <c r="D218" s="59"/>
      <c r="E218" s="59">
        <v>345000</v>
      </c>
      <c r="F218" s="150"/>
      <c r="G218" s="61" t="s">
        <v>57</v>
      </c>
    </row>
    <row r="219" spans="1:7" ht="21">
      <c r="A219" s="34"/>
      <c r="B219" s="29" t="s">
        <v>65</v>
      </c>
      <c r="D219" s="59"/>
      <c r="E219" s="59">
        <v>18913045</v>
      </c>
      <c r="F219" s="150"/>
      <c r="G219" s="61" t="s">
        <v>57</v>
      </c>
    </row>
    <row r="220" spans="1:7" ht="21">
      <c r="A220" s="34"/>
      <c r="B220" s="29" t="s">
        <v>65</v>
      </c>
      <c r="D220" s="59"/>
      <c r="E220" s="59">
        <v>1751298</v>
      </c>
      <c r="F220" s="150"/>
      <c r="G220" s="61" t="s">
        <v>57</v>
      </c>
    </row>
    <row r="221" spans="1:7" ht="21">
      <c r="A221" s="34"/>
      <c r="B221" s="29" t="s">
        <v>65</v>
      </c>
      <c r="D221" s="59"/>
      <c r="E221" s="59">
        <v>12347650</v>
      </c>
      <c r="F221" s="150"/>
      <c r="G221" s="61" t="s">
        <v>57</v>
      </c>
    </row>
    <row r="222" spans="1:7" ht="21">
      <c r="A222" s="34"/>
      <c r="B222" s="29" t="s">
        <v>465</v>
      </c>
      <c r="D222" s="59"/>
      <c r="E222" s="59">
        <v>1357812</v>
      </c>
      <c r="F222" s="150"/>
      <c r="G222" s="61" t="s">
        <v>57</v>
      </c>
    </row>
    <row r="223" spans="1:7" ht="21">
      <c r="A223" s="34"/>
      <c r="B223" s="29" t="s">
        <v>465</v>
      </c>
      <c r="D223" s="59"/>
      <c r="E223" s="59">
        <v>100000</v>
      </c>
      <c r="F223" s="150"/>
      <c r="G223" s="61" t="s">
        <v>57</v>
      </c>
    </row>
    <row r="224" spans="1:7" ht="21">
      <c r="A224" s="34"/>
      <c r="B224" s="30" t="s">
        <v>96</v>
      </c>
      <c r="D224" s="31"/>
      <c r="E224" s="31">
        <v>600000000</v>
      </c>
      <c r="F224" s="36"/>
      <c r="G224" s="32" t="s">
        <v>154</v>
      </c>
    </row>
    <row r="225" spans="1:7" ht="21">
      <c r="A225" s="34"/>
      <c r="B225" s="29" t="s">
        <v>516</v>
      </c>
      <c r="D225" s="59"/>
      <c r="E225" s="59">
        <v>25645000</v>
      </c>
      <c r="F225" s="150"/>
      <c r="G225" s="61" t="s">
        <v>53</v>
      </c>
    </row>
    <row r="226" spans="1:7" ht="21">
      <c r="A226" s="34"/>
      <c r="B226" s="29" t="s">
        <v>516</v>
      </c>
      <c r="D226" s="59"/>
      <c r="E226" s="59">
        <v>2070000</v>
      </c>
      <c r="F226" s="150"/>
      <c r="G226" s="61" t="s">
        <v>53</v>
      </c>
    </row>
    <row r="227" spans="1:7" ht="21">
      <c r="A227" s="34"/>
      <c r="B227" s="29" t="s">
        <v>516</v>
      </c>
      <c r="D227" s="59"/>
      <c r="E227" s="59">
        <v>42550000</v>
      </c>
      <c r="F227" s="150"/>
      <c r="G227" s="61" t="s">
        <v>53</v>
      </c>
    </row>
    <row r="228" spans="1:7" ht="21">
      <c r="A228" s="34"/>
      <c r="B228" s="29" t="s">
        <v>247</v>
      </c>
      <c r="D228" s="59"/>
      <c r="E228" s="59">
        <v>2136004</v>
      </c>
      <c r="F228" s="150"/>
      <c r="G228" s="61" t="s">
        <v>64</v>
      </c>
    </row>
    <row r="229" spans="1:7" ht="21">
      <c r="A229" s="34"/>
      <c r="B229" s="29" t="s">
        <v>140</v>
      </c>
      <c r="D229" s="59"/>
      <c r="E229" s="59">
        <v>5495620</v>
      </c>
      <c r="F229" s="150"/>
      <c r="G229" s="61" t="s">
        <v>58</v>
      </c>
    </row>
    <row r="230" spans="1:7" ht="21">
      <c r="A230" s="34"/>
      <c r="B230" s="29" t="s">
        <v>94</v>
      </c>
      <c r="D230" s="59"/>
      <c r="E230" s="59">
        <v>30407368</v>
      </c>
      <c r="F230" s="150"/>
      <c r="G230" s="61" t="s">
        <v>58</v>
      </c>
    </row>
    <row r="231" spans="1:7" ht="21">
      <c r="A231" s="34">
        <v>44861</v>
      </c>
      <c r="B231" s="29" t="s">
        <v>565</v>
      </c>
      <c r="D231" s="59"/>
      <c r="E231" s="59">
        <v>1100000</v>
      </c>
      <c r="F231" s="150"/>
      <c r="G231" s="61" t="s">
        <v>56</v>
      </c>
    </row>
    <row r="232" spans="1:7" ht="24" thickBot="1">
      <c r="A232" s="121"/>
      <c r="B232" s="142" t="s">
        <v>566</v>
      </c>
      <c r="C232" s="118"/>
      <c r="D232" s="118"/>
      <c r="E232" s="117">
        <v>700000</v>
      </c>
      <c r="F232" s="118"/>
      <c r="G232" s="143" t="s">
        <v>57</v>
      </c>
    </row>
    <row r="233" spans="1:7" ht="21">
      <c r="A233" s="34"/>
      <c r="B233" s="29" t="s">
        <v>567</v>
      </c>
      <c r="D233" s="59"/>
      <c r="E233" s="59">
        <v>500000</v>
      </c>
      <c r="F233" s="150"/>
      <c r="G233" s="61" t="s">
        <v>57</v>
      </c>
    </row>
    <row r="234" spans="1:7" ht="21">
      <c r="A234" s="34"/>
      <c r="B234" s="29" t="s">
        <v>102</v>
      </c>
      <c r="D234" s="59"/>
      <c r="E234" s="59">
        <v>134610</v>
      </c>
      <c r="F234" s="150"/>
      <c r="G234" s="61" t="s">
        <v>57</v>
      </c>
    </row>
    <row r="235" spans="1:7" ht="21">
      <c r="A235" s="34"/>
      <c r="B235" s="29" t="s">
        <v>83</v>
      </c>
      <c r="D235" s="59"/>
      <c r="E235" s="59">
        <v>32975775</v>
      </c>
      <c r="F235" s="150"/>
      <c r="G235" s="61" t="s">
        <v>53</v>
      </c>
    </row>
    <row r="236" spans="1:7" ht="21">
      <c r="A236" s="34"/>
      <c r="B236" s="29" t="s">
        <v>97</v>
      </c>
      <c r="D236" s="59"/>
      <c r="E236" s="59">
        <v>25959500</v>
      </c>
      <c r="F236" s="150"/>
      <c r="G236" s="61" t="s">
        <v>53</v>
      </c>
    </row>
    <row r="237" spans="1:7" ht="21">
      <c r="A237" s="34"/>
      <c r="B237" s="29" t="s">
        <v>83</v>
      </c>
      <c r="D237" s="59"/>
      <c r="E237" s="59">
        <v>59837596</v>
      </c>
      <c r="F237" s="150"/>
      <c r="G237" s="61" t="s">
        <v>53</v>
      </c>
    </row>
    <row r="238" spans="1:7" ht="21">
      <c r="A238" s="34">
        <v>44862</v>
      </c>
      <c r="B238" s="29" t="s">
        <v>568</v>
      </c>
      <c r="D238" s="59"/>
      <c r="E238" s="59">
        <v>3800000</v>
      </c>
      <c r="F238" s="150"/>
      <c r="G238" s="61" t="s">
        <v>56</v>
      </c>
    </row>
    <row r="239" spans="1:7" ht="21">
      <c r="A239" s="34"/>
      <c r="B239" s="56" t="s">
        <v>569</v>
      </c>
      <c r="D239" s="63"/>
      <c r="E239" s="63">
        <v>1343770</v>
      </c>
      <c r="F239" s="154"/>
      <c r="G239" s="64" t="s">
        <v>56</v>
      </c>
    </row>
    <row r="240" spans="1:7" ht="21">
      <c r="A240" s="34"/>
      <c r="B240" s="56" t="s">
        <v>570</v>
      </c>
      <c r="D240" s="63"/>
      <c r="E240" s="63">
        <v>24518345</v>
      </c>
      <c r="F240" s="154"/>
      <c r="G240" s="64" t="s">
        <v>57</v>
      </c>
    </row>
    <row r="241" spans="1:7" s="70" customFormat="1" ht="21">
      <c r="A241" s="66"/>
      <c r="B241" s="67" t="s">
        <v>571</v>
      </c>
      <c r="D241" s="68"/>
      <c r="E241" s="68">
        <v>14559000</v>
      </c>
      <c r="F241" s="152"/>
      <c r="G241" s="69" t="s">
        <v>57</v>
      </c>
    </row>
    <row r="242" spans="1:7" s="70" customFormat="1" ht="21">
      <c r="A242" s="66"/>
      <c r="B242" s="67" t="s">
        <v>572</v>
      </c>
      <c r="D242" s="68"/>
      <c r="E242" s="68">
        <v>1631970</v>
      </c>
      <c r="F242" s="152"/>
      <c r="G242" s="69" t="s">
        <v>57</v>
      </c>
    </row>
    <row r="243" spans="1:7" ht="21">
      <c r="A243" s="34"/>
      <c r="B243" s="56" t="s">
        <v>573</v>
      </c>
      <c r="D243" s="63"/>
      <c r="E243" s="63">
        <v>9891774</v>
      </c>
      <c r="F243" s="154"/>
      <c r="G243" s="64" t="s">
        <v>154</v>
      </c>
    </row>
    <row r="244" spans="1:7" ht="21">
      <c r="A244" s="34"/>
      <c r="B244" s="29" t="s">
        <v>472</v>
      </c>
      <c r="D244" s="59"/>
      <c r="E244" s="59">
        <v>89850</v>
      </c>
      <c r="F244" s="150"/>
      <c r="G244" s="61" t="s">
        <v>53</v>
      </c>
    </row>
    <row r="245" spans="1:7" ht="21">
      <c r="A245" s="34"/>
      <c r="B245" s="29" t="s">
        <v>574</v>
      </c>
      <c r="D245" s="59"/>
      <c r="E245" s="59">
        <v>113011521</v>
      </c>
      <c r="F245" s="150"/>
      <c r="G245" s="61" t="s">
        <v>58</v>
      </c>
    </row>
    <row r="246" spans="1:7" ht="21">
      <c r="A246" s="34"/>
      <c r="B246" s="29" t="s">
        <v>257</v>
      </c>
      <c r="D246" s="59"/>
      <c r="E246" s="59">
        <v>6902420</v>
      </c>
      <c r="F246" s="150"/>
      <c r="G246" s="61" t="s">
        <v>58</v>
      </c>
    </row>
    <row r="247" spans="1:7" ht="21">
      <c r="A247" s="34"/>
      <c r="B247" s="30" t="s">
        <v>210</v>
      </c>
      <c r="D247" s="31"/>
      <c r="E247" s="31">
        <v>9630492307</v>
      </c>
      <c r="F247" s="36"/>
      <c r="G247" s="32" t="s">
        <v>58</v>
      </c>
    </row>
    <row r="248" spans="1:7" ht="21">
      <c r="A248" s="34">
        <v>44865</v>
      </c>
      <c r="B248" s="29" t="s">
        <v>575</v>
      </c>
      <c r="D248" s="59"/>
      <c r="E248" s="59">
        <v>459054</v>
      </c>
      <c r="F248" s="150"/>
      <c r="G248" s="61" t="s">
        <v>154</v>
      </c>
    </row>
    <row r="249" spans="1:7" ht="24" thickBot="1">
      <c r="A249" s="121"/>
      <c r="B249" s="142" t="s">
        <v>576</v>
      </c>
      <c r="C249" s="118"/>
      <c r="D249" s="118"/>
      <c r="E249" s="117">
        <v>1142000</v>
      </c>
      <c r="F249" s="118"/>
      <c r="G249" s="143" t="s">
        <v>54</v>
      </c>
    </row>
    <row r="250" spans="1:7" ht="21">
      <c r="A250" s="34"/>
      <c r="B250" s="29" t="s">
        <v>577</v>
      </c>
      <c r="D250" s="59"/>
      <c r="E250" s="59">
        <v>712800</v>
      </c>
      <c r="F250" s="150"/>
      <c r="G250" s="61" t="s">
        <v>54</v>
      </c>
    </row>
    <row r="251" spans="1:7" ht="24" thickBot="1">
      <c r="A251" s="121"/>
      <c r="B251" s="142" t="s">
        <v>578</v>
      </c>
      <c r="C251" s="118"/>
      <c r="D251" s="118"/>
      <c r="E251" s="117">
        <v>2280000</v>
      </c>
      <c r="F251" s="118"/>
      <c r="G251" s="143" t="s">
        <v>57</v>
      </c>
    </row>
    <row r="252" spans="1:7" ht="24" thickBot="1">
      <c r="A252" s="121"/>
      <c r="B252" s="142" t="s">
        <v>269</v>
      </c>
      <c r="C252" s="118"/>
      <c r="D252" s="118"/>
      <c r="E252" s="117">
        <v>4000000</v>
      </c>
      <c r="F252" s="118"/>
      <c r="G252" s="143" t="s">
        <v>57</v>
      </c>
    </row>
    <row r="253" spans="1:7" ht="21">
      <c r="A253" s="34"/>
      <c r="B253" s="67" t="s">
        <v>96</v>
      </c>
      <c r="D253" s="68"/>
      <c r="E253" s="68">
        <v>2128136</v>
      </c>
      <c r="F253" s="152"/>
      <c r="G253" s="69" t="s">
        <v>53</v>
      </c>
    </row>
    <row r="254" spans="1:7" ht="21">
      <c r="A254" s="34"/>
      <c r="B254" s="67" t="s">
        <v>96</v>
      </c>
      <c r="D254" s="68"/>
      <c r="E254" s="68">
        <v>245465</v>
      </c>
      <c r="F254" s="152"/>
      <c r="G254" s="69" t="s">
        <v>53</v>
      </c>
    </row>
    <row r="255" spans="1:7" ht="21">
      <c r="A255" s="34"/>
      <c r="B255" s="29" t="s">
        <v>465</v>
      </c>
      <c r="D255" s="59"/>
      <c r="E255" s="59">
        <v>180486</v>
      </c>
      <c r="F255" s="150"/>
      <c r="G255" s="61" t="s">
        <v>53</v>
      </c>
    </row>
    <row r="256" spans="1:7" ht="21">
      <c r="A256" s="34"/>
      <c r="B256" s="29" t="s">
        <v>579</v>
      </c>
      <c r="D256" s="59"/>
      <c r="E256" s="59">
        <v>19797744</v>
      </c>
      <c r="F256" s="150"/>
      <c r="G256" s="61" t="s">
        <v>64</v>
      </c>
    </row>
    <row r="257" spans="1:7" ht="21">
      <c r="A257" s="34"/>
      <c r="B257" s="29" t="s">
        <v>59</v>
      </c>
      <c r="D257" s="59"/>
      <c r="E257" s="59">
        <v>1335111</v>
      </c>
      <c r="F257" s="150"/>
      <c r="G257" s="61" t="s">
        <v>58</v>
      </c>
    </row>
    <row r="258" spans="1:7" ht="21">
      <c r="A258" s="34"/>
      <c r="B258" s="30"/>
      <c r="C258" s="31"/>
      <c r="D258" s="31"/>
      <c r="E258" s="31"/>
      <c r="F258" s="36"/>
      <c r="G258" s="32"/>
    </row>
    <row r="259" spans="1:7" ht="21">
      <c r="A259" s="34"/>
      <c r="B259" s="30"/>
      <c r="C259" s="31"/>
      <c r="D259" s="31"/>
      <c r="E259" s="31"/>
      <c r="F259" s="36"/>
      <c r="G259" s="32"/>
    </row>
    <row r="260" spans="1:7" ht="21">
      <c r="A260" s="34"/>
      <c r="B260" s="30"/>
      <c r="C260" s="31"/>
      <c r="D260" s="31"/>
      <c r="E260" s="31"/>
      <c r="F260" s="36"/>
      <c r="G260" s="32"/>
    </row>
    <row r="261" spans="1:7" ht="21">
      <c r="A261" s="34"/>
      <c r="B261" s="30"/>
      <c r="C261" s="31"/>
      <c r="D261" s="31"/>
      <c r="E261" s="31"/>
      <c r="F261" s="36"/>
      <c r="G261" s="32"/>
    </row>
    <row r="262" spans="1:7" ht="21">
      <c r="A262" s="34"/>
      <c r="B262" s="30"/>
      <c r="C262" s="31"/>
      <c r="D262" s="31"/>
      <c r="E262" s="31"/>
      <c r="F262" s="36"/>
      <c r="G262" s="32"/>
    </row>
    <row r="263" spans="1:7" ht="21">
      <c r="A263" s="34"/>
      <c r="B263" s="30"/>
      <c r="C263" s="31"/>
      <c r="D263" s="31"/>
      <c r="E263" s="31"/>
      <c r="F263" s="36"/>
      <c r="G263" s="32"/>
    </row>
    <row r="264" spans="1:7" ht="21">
      <c r="A264" s="34"/>
      <c r="B264" s="30"/>
      <c r="C264" s="31"/>
      <c r="D264" s="31"/>
      <c r="E264" s="31"/>
      <c r="F264" s="36"/>
      <c r="G264" s="32"/>
    </row>
    <row r="265" spans="1:7" ht="21">
      <c r="A265" s="34"/>
      <c r="B265" s="30"/>
      <c r="C265" s="31"/>
      <c r="D265" s="31"/>
      <c r="E265" s="31"/>
      <c r="F265" s="36"/>
      <c r="G265" s="32"/>
    </row>
    <row r="266" spans="1:7" ht="21">
      <c r="A266" s="34"/>
      <c r="B266" s="30"/>
      <c r="C266" s="31"/>
      <c r="D266" s="31"/>
      <c r="E266" s="31"/>
      <c r="F266" s="36"/>
      <c r="G266" s="32"/>
    </row>
    <row r="267" spans="1:7" ht="21">
      <c r="A267" s="34"/>
      <c r="B267" s="30"/>
      <c r="C267" s="31"/>
      <c r="D267" s="31"/>
      <c r="E267" s="31"/>
      <c r="F267" s="36"/>
      <c r="G267" s="32"/>
    </row>
    <row r="268" spans="1:7" ht="21">
      <c r="A268" s="34"/>
      <c r="B268" s="30"/>
      <c r="C268" s="31"/>
      <c r="D268" s="31"/>
      <c r="E268" s="31"/>
      <c r="F268" s="36"/>
      <c r="G268" s="32"/>
    </row>
    <row r="269" spans="1:7" ht="21">
      <c r="A269" s="34"/>
      <c r="B269" s="30"/>
      <c r="C269" s="31"/>
      <c r="D269" s="31"/>
      <c r="E269" s="31"/>
      <c r="F269" s="36"/>
      <c r="G269" s="32"/>
    </row>
    <row r="270" spans="1:7" ht="21">
      <c r="A270" s="34"/>
      <c r="B270" s="30"/>
      <c r="C270" s="31"/>
      <c r="D270" s="31"/>
      <c r="E270" s="31"/>
      <c r="F270" s="36"/>
      <c r="G270" s="32"/>
    </row>
    <row r="271" spans="1:7" ht="21">
      <c r="B271" s="35"/>
      <c r="C271" s="36"/>
      <c r="D271" s="4"/>
      <c r="E271" s="31"/>
      <c r="F271" s="155"/>
      <c r="G271" s="32"/>
    </row>
    <row r="272" spans="1:7" ht="18.5">
      <c r="B272" s="37"/>
      <c r="C272" s="38">
        <f>SUM(C8:C271)</f>
        <v>0</v>
      </c>
      <c r="D272" s="4"/>
      <c r="E272" s="38">
        <f>SUM(E9:E271)</f>
        <v>16649150233</v>
      </c>
      <c r="F272" s="38"/>
      <c r="G272" s="4"/>
    </row>
    <row r="275" spans="2:6" ht="19" thickBot="1">
      <c r="B275" s="39" t="s">
        <v>71</v>
      </c>
      <c r="C275" s="39"/>
      <c r="D275" s="39" t="s">
        <v>580</v>
      </c>
    </row>
    <row r="277" spans="2:6">
      <c r="E277" s="90"/>
      <c r="F277" s="90"/>
    </row>
    <row r="278" spans="2:6" ht="26">
      <c r="B278" s="40" t="s">
        <v>72</v>
      </c>
      <c r="E278" s="90"/>
      <c r="F278" s="90"/>
    </row>
    <row r="279" spans="2:6">
      <c r="E279" s="90"/>
      <c r="F279" s="90"/>
    </row>
    <row r="283" spans="2:6" ht="18.5">
      <c r="B283" s="570" t="s">
        <v>73</v>
      </c>
      <c r="C283" s="571"/>
    </row>
    <row r="285" spans="2:6" ht="18.5">
      <c r="B285" s="41" t="s">
        <v>74</v>
      </c>
      <c r="C285" s="41" t="s">
        <v>51</v>
      </c>
    </row>
    <row r="286" spans="2:6" ht="21">
      <c r="B286" s="42">
        <v>44859</v>
      </c>
      <c r="C286" s="43"/>
    </row>
    <row r="287" spans="2:6" ht="21">
      <c r="B287" s="42">
        <v>44860</v>
      </c>
      <c r="C287" s="43"/>
    </row>
    <row r="288" spans="2:6" ht="21">
      <c r="B288" s="42">
        <v>44861</v>
      </c>
      <c r="C288" s="43"/>
    </row>
    <row r="289" spans="2:9" ht="21">
      <c r="B289" s="42">
        <v>44862</v>
      </c>
      <c r="C289" s="43"/>
      <c r="E289" s="156"/>
    </row>
    <row r="290" spans="2:9" ht="21">
      <c r="B290" s="42">
        <v>44865</v>
      </c>
      <c r="C290" s="43"/>
      <c r="E290" s="156"/>
    </row>
    <row r="291" spans="2:9" ht="21">
      <c r="B291" s="41" t="s">
        <v>75</v>
      </c>
      <c r="C291" s="43">
        <f>C286+C287+C288+C289+C290</f>
        <v>0</v>
      </c>
    </row>
    <row r="293" spans="2:9">
      <c r="C293" s="44"/>
    </row>
    <row r="294" spans="2:9">
      <c r="C294" s="44"/>
    </row>
    <row r="295" spans="2:9">
      <c r="C295" s="44"/>
    </row>
    <row r="296" spans="2:9">
      <c r="C296" s="44"/>
    </row>
    <row r="297" spans="2:9" ht="21">
      <c r="B297" s="45"/>
      <c r="C297" s="44"/>
    </row>
    <row r="298" spans="2:9" ht="21">
      <c r="B298" s="45"/>
      <c r="C298" s="44"/>
      <c r="D298" s="21">
        <v>5939405</v>
      </c>
      <c r="E298" s="21">
        <f>+D298/1.18</f>
        <v>5033394.0677966103</v>
      </c>
      <c r="F298" s="21">
        <f>+E298*3%</f>
        <v>151001.82203389829</v>
      </c>
      <c r="G298" s="21">
        <f>+D298-F298</f>
        <v>5788403.177966102</v>
      </c>
      <c r="H298" s="21">
        <f>-D298*10%</f>
        <v>-593940.5</v>
      </c>
      <c r="I298" s="21">
        <f>SUM(G298:H298)</f>
        <v>5194462.677966102</v>
      </c>
    </row>
    <row r="299" spans="2:9" ht="21">
      <c r="B299" s="45"/>
      <c r="C299" s="44"/>
    </row>
    <row r="300" spans="2:9">
      <c r="C300" s="44"/>
    </row>
    <row r="301" spans="2:9" ht="21">
      <c r="B301" s="45"/>
      <c r="C301" s="44"/>
    </row>
    <row r="302" spans="2:9" ht="21">
      <c r="B302" s="45"/>
      <c r="C302" s="44"/>
    </row>
    <row r="303" spans="2:9" ht="21">
      <c r="B303" s="45"/>
      <c r="C303" s="44"/>
      <c r="D303" s="21">
        <v>250000</v>
      </c>
      <c r="E303" s="21">
        <v>9997200</v>
      </c>
      <c r="F303" s="21">
        <f>+E303/2</f>
        <v>4998600</v>
      </c>
    </row>
    <row r="304" spans="2:9" ht="21">
      <c r="B304" s="45"/>
      <c r="C304" s="44"/>
      <c r="D304" s="21"/>
      <c r="E304" s="21"/>
    </row>
    <row r="305" spans="2:7" ht="21">
      <c r="B305" s="45"/>
      <c r="C305" s="44"/>
      <c r="D305" s="21">
        <f>+D303*3</f>
        <v>750000</v>
      </c>
      <c r="E305" s="21"/>
    </row>
    <row r="306" spans="2:7" ht="21">
      <c r="B306" s="45"/>
      <c r="C306" s="44"/>
      <c r="D306" s="21"/>
      <c r="E306" s="21"/>
    </row>
    <row r="307" spans="2:7">
      <c r="C307" s="44"/>
      <c r="D307" s="21">
        <f>+D305*-12%</f>
        <v>-90000</v>
      </c>
      <c r="E307" s="21"/>
    </row>
    <row r="308" spans="2:7">
      <c r="C308" s="44"/>
      <c r="D308" s="21"/>
      <c r="E308" s="21"/>
    </row>
    <row r="309" spans="2:7">
      <c r="C309" s="44"/>
      <c r="D309" s="21">
        <f>SUM(D305:D308)</f>
        <v>660000</v>
      </c>
      <c r="E309" s="21">
        <f>+D309*2</f>
        <v>1320000</v>
      </c>
    </row>
    <row r="310" spans="2:7" ht="21">
      <c r="B310" s="45"/>
      <c r="C310" s="44"/>
      <c r="D310" s="21"/>
      <c r="E310" s="21"/>
    </row>
    <row r="311" spans="2:7" ht="21">
      <c r="B311" s="45"/>
      <c r="C311" s="44"/>
      <c r="D311" s="21">
        <v>3642331</v>
      </c>
      <c r="E311" s="21">
        <f>+D311/1.18</f>
        <v>3086721.1864406783</v>
      </c>
      <c r="F311" s="21">
        <f>+E311*3%</f>
        <v>92601.635593220344</v>
      </c>
      <c r="G311" s="21">
        <f>+D311-F311</f>
        <v>3549729.3644067799</v>
      </c>
    </row>
    <row r="312" spans="2:7">
      <c r="C312" s="44"/>
      <c r="D312" s="21">
        <v>3599325</v>
      </c>
      <c r="E312" s="21">
        <f t="shared" ref="E312:E315" si="0">+D312/1.18</f>
        <v>3050275.4237288139</v>
      </c>
      <c r="F312" s="21">
        <f t="shared" ref="F312:F315" si="1">+E312*3%</f>
        <v>91508.262711864416</v>
      </c>
      <c r="G312" s="21">
        <f t="shared" ref="G312:G315" si="2">+D312-F312</f>
        <v>3507816.7372881356</v>
      </c>
    </row>
    <row r="313" spans="2:7" ht="21">
      <c r="B313" s="46"/>
      <c r="C313" s="44"/>
      <c r="D313" s="21">
        <v>1670326</v>
      </c>
      <c r="E313" s="21">
        <f t="shared" si="0"/>
        <v>1415530.5084745763</v>
      </c>
      <c r="F313" s="21">
        <f t="shared" si="1"/>
        <v>42465.91525423729</v>
      </c>
      <c r="G313" s="21">
        <f t="shared" si="2"/>
        <v>1627860.0847457626</v>
      </c>
    </row>
    <row r="314" spans="2:7" ht="18.5">
      <c r="B314" s="47" t="s">
        <v>76</v>
      </c>
      <c r="D314" s="21">
        <v>3340653</v>
      </c>
      <c r="E314" s="21">
        <f t="shared" si="0"/>
        <v>2831061.8644067799</v>
      </c>
      <c r="F314" s="21">
        <f t="shared" si="1"/>
        <v>84931.855932203398</v>
      </c>
      <c r="G314" s="21">
        <f t="shared" si="2"/>
        <v>3255721.1440677964</v>
      </c>
    </row>
    <row r="315" spans="2:7">
      <c r="D315" s="21">
        <v>21767024</v>
      </c>
      <c r="E315" s="21">
        <f t="shared" si="0"/>
        <v>18446630.508474577</v>
      </c>
      <c r="F315" s="21">
        <f t="shared" si="1"/>
        <v>553398.91525423725</v>
      </c>
      <c r="G315" s="21">
        <f t="shared" si="2"/>
        <v>21213625.084745761</v>
      </c>
    </row>
    <row r="316" spans="2:7" ht="15.5">
      <c r="B316" s="48"/>
      <c r="C316" s="49"/>
    </row>
    <row r="317" spans="2:7" ht="15.5">
      <c r="B317" s="48"/>
      <c r="C317" s="49"/>
      <c r="G317" s="22">
        <f>SUM(G311:G316)</f>
        <v>33154752.415254235</v>
      </c>
    </row>
    <row r="318" spans="2:7" ht="15.5">
      <c r="B318" s="50" t="s">
        <v>77</v>
      </c>
    </row>
    <row r="319" spans="2:7" ht="21">
      <c r="B319" s="30"/>
      <c r="C319" s="31"/>
    </row>
    <row r="320" spans="2:7" ht="21">
      <c r="B320" s="30"/>
      <c r="C320" s="31"/>
    </row>
    <row r="321" spans="2:3" ht="21">
      <c r="B321" s="30"/>
      <c r="C321" s="31"/>
    </row>
    <row r="322" spans="2:3" ht="21">
      <c r="B322" s="30"/>
      <c r="C322" s="31"/>
    </row>
    <row r="323" spans="2:3" ht="21">
      <c r="B323" s="30"/>
      <c r="C323" s="31"/>
    </row>
    <row r="324" spans="2:3" ht="21">
      <c r="B324" s="30"/>
      <c r="C324" s="31"/>
    </row>
    <row r="325" spans="2:3" ht="21">
      <c r="B325" s="30"/>
      <c r="C325" s="31"/>
    </row>
    <row r="326" spans="2:3" ht="21">
      <c r="B326" s="30"/>
      <c r="C326" s="31"/>
    </row>
    <row r="327" spans="2:3" ht="21">
      <c r="B327" s="30"/>
      <c r="C327" s="31"/>
    </row>
    <row r="328" spans="2:3" ht="21">
      <c r="B328" s="30"/>
      <c r="C328" s="31"/>
    </row>
    <row r="329" spans="2:3" ht="21">
      <c r="B329" s="30"/>
      <c r="C329" s="31"/>
    </row>
    <row r="330" spans="2:3" ht="21">
      <c r="B330" s="30"/>
      <c r="C330" s="31"/>
    </row>
    <row r="331" spans="2:3" ht="21">
      <c r="B331" s="30"/>
      <c r="C331" s="31"/>
    </row>
    <row r="332" spans="2:3" ht="21">
      <c r="B332" s="30"/>
      <c r="C332" s="31"/>
    </row>
    <row r="333" spans="2:3" ht="21">
      <c r="B333" s="30"/>
      <c r="C333" s="31"/>
    </row>
    <row r="334" spans="2:3" ht="21">
      <c r="B334" s="30"/>
      <c r="C334" s="31"/>
    </row>
    <row r="335" spans="2:3" ht="21">
      <c r="B335" s="30"/>
      <c r="C335" s="31"/>
    </row>
    <row r="336" spans="2:3" ht="21">
      <c r="B336" s="30"/>
      <c r="C336" s="31"/>
    </row>
    <row r="337" spans="2:3" ht="21">
      <c r="B337" s="51"/>
      <c r="C337" s="31"/>
    </row>
    <row r="338" spans="2:3" ht="15.5">
      <c r="B338" s="48" t="s">
        <v>75</v>
      </c>
      <c r="C338" s="49">
        <f>C332+C331+C330+C329+C328+C327+C326+C325+C324+C323+C322+C321+C320+C319</f>
        <v>0</v>
      </c>
    </row>
    <row r="339" spans="2:3" ht="15.5">
      <c r="B339" s="48"/>
      <c r="C339" s="49"/>
    </row>
    <row r="340" spans="2:3" ht="15.5">
      <c r="B340" s="48"/>
      <c r="C340" s="49"/>
    </row>
    <row r="341" spans="2:3" ht="15.5">
      <c r="B341" s="48"/>
      <c r="C341" s="49"/>
    </row>
    <row r="342" spans="2:3" ht="15.5">
      <c r="B342" s="50" t="s">
        <v>78</v>
      </c>
    </row>
    <row r="343" spans="2:3" ht="21">
      <c r="B343" s="30"/>
      <c r="C343" s="31"/>
    </row>
    <row r="344" spans="2:3" ht="21">
      <c r="B344" s="30"/>
      <c r="C344" s="31"/>
    </row>
    <row r="345" spans="2:3" ht="21">
      <c r="B345" s="30"/>
      <c r="C345" s="31"/>
    </row>
    <row r="346" spans="2:3" ht="21">
      <c r="B346" s="30"/>
      <c r="C346" s="31"/>
    </row>
    <row r="347" spans="2:3" ht="21">
      <c r="B347" s="30"/>
      <c r="C347" s="31"/>
    </row>
    <row r="348" spans="2:3" ht="21">
      <c r="B348" s="30"/>
      <c r="C348" s="31"/>
    </row>
    <row r="349" spans="2:3" ht="21">
      <c r="B349" s="30"/>
      <c r="C349" s="31"/>
    </row>
    <row r="350" spans="2:3" ht="21">
      <c r="B350" s="30"/>
      <c r="C350" s="31"/>
    </row>
    <row r="351" spans="2:3" ht="21">
      <c r="B351" s="30"/>
      <c r="C351" s="31"/>
    </row>
    <row r="352" spans="2:3" ht="21">
      <c r="B352" s="30"/>
      <c r="C352" s="31"/>
    </row>
    <row r="353" spans="2:5" ht="21">
      <c r="B353" s="30"/>
      <c r="C353" s="31"/>
    </row>
    <row r="354" spans="2:5" ht="21">
      <c r="B354" s="30"/>
      <c r="C354" s="31"/>
    </row>
    <row r="355" spans="2:5" ht="21">
      <c r="B355" s="31"/>
      <c r="C355" s="31"/>
    </row>
    <row r="356" spans="2:5" ht="21">
      <c r="B356" s="31"/>
      <c r="C356" s="31"/>
    </row>
    <row r="357" spans="2:5" ht="21">
      <c r="B357" s="31"/>
      <c r="C357" s="31"/>
    </row>
    <row r="358" spans="2:5" ht="21">
      <c r="B358" s="30"/>
      <c r="C358" s="31"/>
      <c r="E358" s="44"/>
    </row>
    <row r="359" spans="2:5" ht="15.5">
      <c r="B359" s="48" t="s">
        <v>75</v>
      </c>
      <c r="C359" s="49">
        <f>C347+C346+C345+C344+C343</f>
        <v>0</v>
      </c>
    </row>
    <row r="360" spans="2:5" ht="15.5">
      <c r="B360" s="48"/>
      <c r="C360" s="49"/>
    </row>
    <row r="361" spans="2:5" ht="15.5">
      <c r="B361" s="48"/>
      <c r="C361" s="49"/>
    </row>
    <row r="362" spans="2:5" ht="15.5">
      <c r="B362" s="48"/>
      <c r="C362" s="49"/>
    </row>
    <row r="363" spans="2:5" ht="15.5">
      <c r="B363" s="50" t="s">
        <v>79</v>
      </c>
    </row>
    <row r="364" spans="2:5" ht="21">
      <c r="B364" s="30"/>
      <c r="C364" s="31"/>
    </row>
    <row r="365" spans="2:5" ht="21">
      <c r="B365" s="30"/>
      <c r="C365" s="31"/>
    </row>
    <row r="366" spans="2:5" ht="21">
      <c r="B366" s="30"/>
      <c r="C366" s="31"/>
    </row>
    <row r="367" spans="2:5" ht="21">
      <c r="B367" s="30"/>
      <c r="C367" s="31"/>
    </row>
    <row r="368" spans="2:5" ht="21">
      <c r="B368" s="30"/>
      <c r="C368" s="31"/>
    </row>
    <row r="369" spans="2:3" ht="21">
      <c r="B369" s="30"/>
      <c r="C369" s="31"/>
    </row>
    <row r="370" spans="2:3" ht="21">
      <c r="B370" s="30"/>
      <c r="C370" s="31"/>
    </row>
    <row r="371" spans="2:3" ht="21">
      <c r="B371" s="30"/>
      <c r="C371" s="31"/>
    </row>
    <row r="372" spans="2:3" ht="21">
      <c r="B372" s="30"/>
      <c r="C372" s="31"/>
    </row>
    <row r="373" spans="2:3" ht="15.5">
      <c r="B373" s="48" t="s">
        <v>75</v>
      </c>
      <c r="C373" s="49">
        <f>C372+C371+C370+C369+C368+C367+C366+C365+C364</f>
        <v>0</v>
      </c>
    </row>
    <row r="374" spans="2:3" ht="15.5">
      <c r="B374" s="48"/>
      <c r="C374" s="49"/>
    </row>
    <row r="375" spans="2:3" ht="15.5">
      <c r="B375" s="48"/>
      <c r="C375" s="49"/>
    </row>
    <row r="376" spans="2:3" ht="15.5">
      <c r="B376" s="48"/>
      <c r="C376" s="49"/>
    </row>
    <row r="377" spans="2:3">
      <c r="C377" s="44"/>
    </row>
    <row r="378" spans="2:3" ht="15.5">
      <c r="B378" s="50" t="s">
        <v>80</v>
      </c>
    </row>
    <row r="379" spans="2:3" ht="21">
      <c r="B379" s="30"/>
      <c r="C379" s="31"/>
    </row>
    <row r="380" spans="2:3" ht="21.75" customHeight="1">
      <c r="B380" s="30"/>
      <c r="C380" s="31"/>
    </row>
    <row r="381" spans="2:3" ht="21.75" customHeight="1">
      <c r="B381" s="30"/>
      <c r="C381" s="31"/>
    </row>
    <row r="382" spans="2:3" ht="21.75" customHeight="1">
      <c r="B382" s="30"/>
      <c r="C382" s="31"/>
    </row>
    <row r="383" spans="2:3" ht="21.75" customHeight="1">
      <c r="B383" s="30"/>
      <c r="C383" s="31"/>
    </row>
    <row r="384" spans="2:3" ht="21.75" customHeight="1">
      <c r="B384" s="30"/>
      <c r="C384" s="31"/>
    </row>
    <row r="385" spans="2:3" ht="21.75" customHeight="1">
      <c r="B385" s="30"/>
      <c r="C385" s="31"/>
    </row>
    <row r="386" spans="2:3" ht="21.75" customHeight="1">
      <c r="B386" s="30"/>
      <c r="C386" s="31"/>
    </row>
    <row r="387" spans="2:3" ht="21.75" customHeight="1">
      <c r="B387" s="30"/>
      <c r="C387" s="31"/>
    </row>
    <row r="388" spans="2:3" ht="21.75" customHeight="1">
      <c r="B388" s="30"/>
      <c r="C388" s="31"/>
    </row>
    <row r="389" spans="2:3" ht="21.75" customHeight="1">
      <c r="B389" s="30"/>
      <c r="C389" s="31"/>
    </row>
    <row r="390" spans="2:3" ht="21.75" customHeight="1">
      <c r="B390" s="30"/>
      <c r="C390" s="31"/>
    </row>
    <row r="391" spans="2:3" ht="21.75" customHeight="1">
      <c r="B391" s="30"/>
      <c r="C391" s="31"/>
    </row>
    <row r="392" spans="2:3" ht="21.75" customHeight="1">
      <c r="B392" s="30"/>
      <c r="C392" s="31"/>
    </row>
    <row r="393" spans="2:3" ht="21.75" customHeight="1">
      <c r="B393" s="30"/>
      <c r="C393" s="31"/>
    </row>
    <row r="394" spans="2:3" ht="21.75" customHeight="1">
      <c r="B394" s="30"/>
      <c r="C394" s="31"/>
    </row>
    <row r="395" spans="2:3" ht="21.75" customHeight="1">
      <c r="B395" s="30"/>
      <c r="C395" s="31"/>
    </row>
    <row r="396" spans="2:3" ht="21.75" customHeight="1">
      <c r="B396" s="30"/>
      <c r="C396" s="31"/>
    </row>
    <row r="397" spans="2:3" ht="21.75" customHeight="1">
      <c r="B397" s="30"/>
      <c r="C397" s="31"/>
    </row>
    <row r="398" spans="2:3" ht="21.75" customHeight="1">
      <c r="B398" s="30"/>
      <c r="C398" s="31"/>
    </row>
    <row r="399" spans="2:3" ht="21.75" customHeight="1">
      <c r="B399" s="30"/>
      <c r="C399" s="31"/>
    </row>
    <row r="400" spans="2:3" ht="21.75" customHeight="1">
      <c r="B400" s="30"/>
      <c r="C400" s="31"/>
    </row>
    <row r="401" spans="2:3" ht="21.75" customHeight="1">
      <c r="B401" s="30"/>
      <c r="C401" s="31"/>
    </row>
    <row r="402" spans="2:3" ht="21.75" customHeight="1">
      <c r="B402" s="30"/>
      <c r="C402" s="31"/>
    </row>
    <row r="403" spans="2:3" ht="21.75" customHeight="1">
      <c r="B403" s="30"/>
      <c r="C403" s="31"/>
    </row>
    <row r="404" spans="2:3" ht="21.75" customHeight="1">
      <c r="B404" s="30"/>
      <c r="C404" s="31"/>
    </row>
    <row r="405" spans="2:3" ht="21.75" customHeight="1">
      <c r="B405" s="30"/>
      <c r="C405" s="31"/>
    </row>
    <row r="406" spans="2:3" ht="21.75" customHeight="1">
      <c r="B406" s="30"/>
      <c r="C406" s="31"/>
    </row>
    <row r="407" spans="2:3" ht="21.75" customHeight="1">
      <c r="B407" s="30"/>
      <c r="C407" s="31"/>
    </row>
    <row r="408" spans="2:3" ht="21.75" customHeight="1">
      <c r="B408" s="30"/>
      <c r="C408" s="31"/>
    </row>
    <row r="409" spans="2:3" ht="21.75" customHeight="1">
      <c r="B409" s="30"/>
      <c r="C409" s="31"/>
    </row>
    <row r="410" spans="2:3" ht="21.75" customHeight="1">
      <c r="B410" s="30"/>
      <c r="C410" s="31"/>
    </row>
    <row r="411" spans="2:3" ht="21.75" customHeight="1">
      <c r="B411" s="30"/>
      <c r="C411" s="31"/>
    </row>
    <row r="412" spans="2:3" ht="21.75" customHeight="1">
      <c r="B412" s="30"/>
      <c r="C412" s="31"/>
    </row>
    <row r="413" spans="2:3" ht="21.75" customHeight="1">
      <c r="B413" s="30"/>
      <c r="C413" s="31"/>
    </row>
    <row r="414" spans="2:3" ht="21.75" customHeight="1">
      <c r="B414" s="30"/>
      <c r="C414" s="31"/>
    </row>
    <row r="415" spans="2:3" ht="21.75" customHeight="1">
      <c r="B415" s="30"/>
      <c r="C415" s="31"/>
    </row>
    <row r="416" spans="2:3" ht="21.75" customHeight="1">
      <c r="B416" s="30"/>
      <c r="C416" s="31"/>
    </row>
    <row r="417" spans="2:3" ht="21.75" customHeight="1">
      <c r="B417" s="30"/>
      <c r="C417" s="31"/>
    </row>
    <row r="418" spans="2:3" ht="21.75" customHeight="1">
      <c r="B418" s="30"/>
      <c r="C418" s="31"/>
    </row>
    <row r="419" spans="2:3" ht="21.75" customHeight="1">
      <c r="B419" s="30"/>
      <c r="C419" s="31"/>
    </row>
    <row r="420" spans="2:3" ht="21.75" customHeight="1">
      <c r="B420" s="30"/>
      <c r="C420" s="31"/>
    </row>
    <row r="421" spans="2:3" ht="21.75" customHeight="1">
      <c r="B421" s="30"/>
      <c r="C421" s="31"/>
    </row>
    <row r="422" spans="2:3" ht="21.75" customHeight="1">
      <c r="B422" s="30"/>
      <c r="C422" s="31"/>
    </row>
    <row r="423" spans="2:3" ht="21.75" customHeight="1">
      <c r="B423" s="30"/>
      <c r="C423" s="31"/>
    </row>
    <row r="424" spans="2:3" ht="21.75" customHeight="1">
      <c r="B424" s="30"/>
      <c r="C424" s="31"/>
    </row>
    <row r="425" spans="2:3" ht="21.75" customHeight="1">
      <c r="B425" s="30"/>
      <c r="C425" s="31"/>
    </row>
    <row r="426" spans="2:3" ht="21.75" customHeight="1">
      <c r="B426" s="30"/>
      <c r="C426" s="31"/>
    </row>
    <row r="427" spans="2:3" ht="21.75" customHeight="1">
      <c r="B427" s="30"/>
      <c r="C427" s="31"/>
    </row>
    <row r="428" spans="2:3" ht="21.75" customHeight="1">
      <c r="B428" s="30"/>
      <c r="C428" s="31"/>
    </row>
    <row r="429" spans="2:3" ht="21.75" customHeight="1">
      <c r="B429" s="30"/>
      <c r="C429" s="31"/>
    </row>
    <row r="430" spans="2:3" ht="21.75" customHeight="1">
      <c r="B430" s="30"/>
      <c r="C430" s="31"/>
    </row>
    <row r="431" spans="2:3" ht="21.75" customHeight="1">
      <c r="B431" s="30"/>
      <c r="C431" s="31"/>
    </row>
    <row r="432" spans="2:3" ht="21.75" customHeight="1">
      <c r="B432" s="30"/>
      <c r="C432" s="31"/>
    </row>
    <row r="433" spans="2:3" ht="21.75" customHeight="1">
      <c r="B433" s="30"/>
      <c r="C433" s="31"/>
    </row>
    <row r="434" spans="2:3" ht="21.75" customHeight="1">
      <c r="B434" s="30"/>
      <c r="C434" s="31"/>
    </row>
    <row r="435" spans="2:3" ht="21.75" customHeight="1">
      <c r="B435" s="30"/>
      <c r="C435" s="31"/>
    </row>
    <row r="436" spans="2:3" ht="21.75" customHeight="1">
      <c r="B436" s="30"/>
      <c r="C436" s="31"/>
    </row>
    <row r="437" spans="2:3" ht="21.75" customHeight="1">
      <c r="B437" s="30"/>
      <c r="C437" s="31"/>
    </row>
    <row r="438" spans="2:3" ht="21.75" customHeight="1">
      <c r="B438" s="30"/>
      <c r="C438" s="31"/>
    </row>
    <row r="439" spans="2:3" ht="21.75" customHeight="1">
      <c r="B439" s="30"/>
      <c r="C439" s="31"/>
    </row>
    <row r="440" spans="2:3" ht="21.75" customHeight="1">
      <c r="B440" s="30"/>
      <c r="C440" s="31"/>
    </row>
    <row r="441" spans="2:3" ht="21.75" customHeight="1">
      <c r="B441" s="30"/>
      <c r="C441" s="31"/>
    </row>
    <row r="442" spans="2:3" ht="21.75" customHeight="1">
      <c r="B442" s="30"/>
      <c r="C442" s="31"/>
    </row>
    <row r="443" spans="2:3" ht="21.75" customHeight="1">
      <c r="B443" s="30"/>
      <c r="C443" s="31"/>
    </row>
    <row r="444" spans="2:3" ht="21.75" customHeight="1">
      <c r="B444" s="30"/>
      <c r="C444" s="31"/>
    </row>
    <row r="445" spans="2:3" ht="21.75" customHeight="1">
      <c r="B445" s="30"/>
      <c r="C445" s="31"/>
    </row>
    <row r="446" spans="2:3" ht="21.75" customHeight="1">
      <c r="B446" s="30"/>
      <c r="C446" s="31"/>
    </row>
    <row r="447" spans="2:3" ht="21.75" customHeight="1">
      <c r="B447" s="30"/>
      <c r="C447" s="31"/>
    </row>
    <row r="448" spans="2:3" ht="21.75" customHeight="1">
      <c r="B448" s="30"/>
      <c r="C448" s="31"/>
    </row>
    <row r="449" spans="2:3" ht="21.75" customHeight="1">
      <c r="B449" s="30"/>
      <c r="C449" s="31"/>
    </row>
    <row r="450" spans="2:3" ht="21.75" customHeight="1">
      <c r="B450" s="30"/>
      <c r="C450" s="31"/>
    </row>
    <row r="451" spans="2:3" ht="21.75" customHeight="1">
      <c r="B451" s="30"/>
      <c r="C451" s="31"/>
    </row>
    <row r="452" spans="2:3" ht="21.75" customHeight="1">
      <c r="B452" s="30"/>
      <c r="C452" s="31"/>
    </row>
    <row r="453" spans="2:3" ht="21.75" customHeight="1">
      <c r="B453" s="30"/>
      <c r="C453" s="31"/>
    </row>
    <row r="454" spans="2:3" ht="21.75" customHeight="1">
      <c r="B454" s="30"/>
      <c r="C454" s="31"/>
    </row>
    <row r="455" spans="2:3" ht="21.75" customHeight="1">
      <c r="B455" s="30"/>
      <c r="C455" s="31"/>
    </row>
    <row r="456" spans="2:3" ht="21.75" customHeight="1">
      <c r="B456" s="30"/>
      <c r="C456" s="31"/>
    </row>
    <row r="457" spans="2:3" ht="21.75" customHeight="1">
      <c r="B457" s="30"/>
      <c r="C457" s="31"/>
    </row>
    <row r="458" spans="2:3" ht="21.75" customHeight="1">
      <c r="B458" s="30"/>
      <c r="C458" s="31"/>
    </row>
    <row r="459" spans="2:3" ht="21.75" customHeight="1">
      <c r="B459" s="30"/>
      <c r="C459" s="31"/>
    </row>
    <row r="460" spans="2:3" ht="21.75" customHeight="1">
      <c r="B460" s="30"/>
      <c r="C460" s="31"/>
    </row>
    <row r="461" spans="2:3" ht="21.75" customHeight="1">
      <c r="B461" s="30"/>
      <c r="C461" s="31"/>
    </row>
    <row r="462" spans="2:3" ht="21.75" customHeight="1">
      <c r="B462" s="30"/>
      <c r="C462" s="31"/>
    </row>
    <row r="463" spans="2:3" ht="21.75" customHeight="1">
      <c r="B463" s="30"/>
      <c r="C463" s="31"/>
    </row>
    <row r="464" spans="2:3" ht="21.75" customHeight="1">
      <c r="B464" s="30"/>
      <c r="C464" s="31"/>
    </row>
    <row r="465" spans="2:5" ht="21.75" customHeight="1">
      <c r="B465" s="30"/>
      <c r="C465" s="31"/>
    </row>
    <row r="466" spans="2:5" ht="21">
      <c r="B466" s="30"/>
      <c r="C466" s="31"/>
    </row>
    <row r="467" spans="2:5" ht="21">
      <c r="B467" s="53"/>
      <c r="C467" s="43"/>
    </row>
    <row r="468" spans="2:5" ht="15.5">
      <c r="B468" s="54" t="s">
        <v>75</v>
      </c>
      <c r="C468" s="49">
        <f>C466+C465+C464+C463+C462+C461+C460+C459+C458+C457+C456+C455+C454+C453+C452+C451+C450+C449+C448+C447+C446+C445+C444+C443+C442+C441+C440+C439+C438+C437+C436+C435+C434+C433+C432+C431+C430+C429+C428+C427+C426+C425+C424+C423+C422+C421+C420+C419+C418+C417+C416+C415+C380+C379</f>
        <v>0</v>
      </c>
    </row>
    <row r="473" spans="2:5">
      <c r="E473" s="44"/>
    </row>
  </sheetData>
  <autoFilter ref="B5:B469"/>
  <mergeCells count="5">
    <mergeCell ref="B5:C5"/>
    <mergeCell ref="C7:D7"/>
    <mergeCell ref="E7:F7"/>
    <mergeCell ref="G7:G8"/>
    <mergeCell ref="B283:C28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476"/>
  <sheetViews>
    <sheetView topLeftCell="A316" workbookViewId="0">
      <selection activeCell="C258" sqref="C258"/>
    </sheetView>
  </sheetViews>
  <sheetFormatPr baseColWidth="10" defaultRowHeight="14.5"/>
  <cols>
    <col min="2" max="2" width="73.90625" customWidth="1"/>
    <col min="3" max="3" width="23" bestFit="1" customWidth="1"/>
    <col min="4" max="4" width="27.08984375" customWidth="1"/>
    <col min="5" max="5" width="23.453125" bestFit="1" customWidth="1"/>
    <col min="6" max="6" width="20.54296875" customWidth="1"/>
  </cols>
  <sheetData>
    <row r="4" spans="1:7" ht="26">
      <c r="B4" s="564" t="s">
        <v>103</v>
      </c>
      <c r="C4" s="564"/>
    </row>
    <row r="6" spans="1:7" ht="20">
      <c r="B6" s="23" t="s">
        <v>104</v>
      </c>
      <c r="C6" s="565" t="s">
        <v>46</v>
      </c>
      <c r="D6" s="566"/>
      <c r="E6" s="24" t="s">
        <v>47</v>
      </c>
      <c r="F6" s="23"/>
      <c r="G6" s="568" t="s">
        <v>48</v>
      </c>
    </row>
    <row r="7" spans="1:7" ht="30.5">
      <c r="B7" s="23"/>
      <c r="C7" s="25" t="s">
        <v>49</v>
      </c>
      <c r="D7" s="26" t="s">
        <v>50</v>
      </c>
      <c r="E7" s="27" t="s">
        <v>51</v>
      </c>
      <c r="F7" s="28" t="s">
        <v>52</v>
      </c>
      <c r="G7" s="569"/>
    </row>
    <row r="8" spans="1:7" ht="21">
      <c r="A8" s="57"/>
      <c r="B8" s="30"/>
      <c r="C8" s="31"/>
      <c r="D8" s="30"/>
      <c r="E8" s="31"/>
      <c r="F8" s="31"/>
      <c r="G8" s="32"/>
    </row>
    <row r="9" spans="1:7" s="60" customFormat="1" ht="21">
      <c r="A9" s="58">
        <v>44735</v>
      </c>
      <c r="B9" s="29" t="s">
        <v>105</v>
      </c>
      <c r="C9" s="59">
        <v>558323</v>
      </c>
      <c r="D9" s="29"/>
      <c r="F9" s="59"/>
      <c r="G9" s="61" t="s">
        <v>54</v>
      </c>
    </row>
    <row r="10" spans="1:7" s="60" customFormat="1" ht="21">
      <c r="A10" s="58"/>
      <c r="B10" s="29" t="s">
        <v>86</v>
      </c>
      <c r="C10" s="59">
        <v>200000</v>
      </c>
      <c r="D10" s="29" t="s">
        <v>106</v>
      </c>
      <c r="E10" s="59">
        <v>0</v>
      </c>
      <c r="F10" s="59"/>
      <c r="G10" s="61" t="s">
        <v>54</v>
      </c>
    </row>
    <row r="11" spans="1:7" s="60" customFormat="1" ht="21">
      <c r="A11" s="58"/>
      <c r="B11" s="29" t="s">
        <v>107</v>
      </c>
      <c r="C11" s="59">
        <v>1199554</v>
      </c>
      <c r="D11" s="29"/>
      <c r="F11" s="59"/>
      <c r="G11" s="61" t="s">
        <v>54</v>
      </c>
    </row>
    <row r="12" spans="1:7" s="60" customFormat="1" ht="21">
      <c r="A12" s="58"/>
      <c r="B12" s="29" t="s">
        <v>86</v>
      </c>
      <c r="C12" s="59">
        <v>580000</v>
      </c>
      <c r="D12" s="29" t="s">
        <v>108</v>
      </c>
      <c r="E12" s="59">
        <v>0</v>
      </c>
      <c r="F12" s="59"/>
      <c r="G12" s="61" t="s">
        <v>56</v>
      </c>
    </row>
    <row r="13" spans="1:7" s="60" customFormat="1" ht="21">
      <c r="A13" s="58"/>
      <c r="B13" s="29" t="s">
        <v>86</v>
      </c>
      <c r="C13" s="59">
        <v>736000</v>
      </c>
      <c r="D13" s="29" t="s">
        <v>109</v>
      </c>
      <c r="E13" s="59">
        <v>0</v>
      </c>
      <c r="F13" s="59"/>
      <c r="G13" s="61" t="s">
        <v>56</v>
      </c>
    </row>
    <row r="14" spans="1:7" s="60" customFormat="1" ht="21">
      <c r="A14" s="58"/>
      <c r="B14" s="29" t="s">
        <v>110</v>
      </c>
      <c r="C14" s="59">
        <v>57642600</v>
      </c>
      <c r="D14" s="29"/>
      <c r="F14" s="59"/>
      <c r="G14" s="61" t="s">
        <v>56</v>
      </c>
    </row>
    <row r="15" spans="1:7" s="65" customFormat="1" ht="21">
      <c r="A15" s="62"/>
      <c r="B15" s="56" t="s">
        <v>111</v>
      </c>
      <c r="C15" s="63">
        <v>1825000</v>
      </c>
      <c r="D15" s="56" t="s">
        <v>112</v>
      </c>
      <c r="E15" s="63">
        <v>0</v>
      </c>
      <c r="F15" s="63"/>
      <c r="G15" s="64" t="s">
        <v>57</v>
      </c>
    </row>
    <row r="16" spans="1:7" s="70" customFormat="1" ht="21">
      <c r="A16" s="66"/>
      <c r="B16" s="67" t="s">
        <v>113</v>
      </c>
      <c r="C16" s="68">
        <v>20407400</v>
      </c>
      <c r="D16" s="67"/>
      <c r="E16" s="68">
        <v>0</v>
      </c>
      <c r="F16" s="68"/>
      <c r="G16" s="69" t="s">
        <v>57</v>
      </c>
    </row>
    <row r="17" spans="1:7" s="70" customFormat="1" ht="21">
      <c r="A17" s="66"/>
      <c r="B17" s="67" t="s">
        <v>96</v>
      </c>
      <c r="C17" s="68">
        <v>284221</v>
      </c>
      <c r="D17" s="67"/>
      <c r="E17" s="68">
        <v>0</v>
      </c>
      <c r="F17" s="68"/>
      <c r="G17" s="69" t="s">
        <v>57</v>
      </c>
    </row>
    <row r="18" spans="1:7" s="60" customFormat="1" ht="21">
      <c r="A18" s="58"/>
      <c r="B18" s="29" t="s">
        <v>114</v>
      </c>
      <c r="C18" s="59">
        <v>13775097</v>
      </c>
      <c r="D18" s="29"/>
      <c r="F18" s="59"/>
      <c r="G18" s="61" t="s">
        <v>60</v>
      </c>
    </row>
    <row r="19" spans="1:7" s="60" customFormat="1" ht="21">
      <c r="A19" s="58"/>
      <c r="B19" s="29" t="s">
        <v>95</v>
      </c>
      <c r="C19" s="59">
        <v>33436753</v>
      </c>
      <c r="D19" s="29"/>
      <c r="F19" s="59"/>
      <c r="G19" s="61" t="s">
        <v>60</v>
      </c>
    </row>
    <row r="20" spans="1:7" s="74" customFormat="1" ht="21">
      <c r="A20" s="71"/>
      <c r="B20" s="72" t="s">
        <v>115</v>
      </c>
      <c r="C20" s="73">
        <v>149686632</v>
      </c>
      <c r="D20" s="72"/>
      <c r="F20" s="73"/>
      <c r="G20" s="75"/>
    </row>
    <row r="21" spans="1:7" ht="21">
      <c r="A21" s="57"/>
      <c r="B21" s="30"/>
      <c r="C21" s="31"/>
      <c r="D21" s="30"/>
      <c r="E21" s="31"/>
      <c r="F21" s="31"/>
      <c r="G21" s="32"/>
    </row>
    <row r="22" spans="1:7" s="60" customFormat="1" ht="21">
      <c r="A22" s="58">
        <v>44736</v>
      </c>
      <c r="B22" s="29" t="s">
        <v>116</v>
      </c>
      <c r="C22" s="59">
        <v>108000</v>
      </c>
      <c r="D22" s="29"/>
      <c r="F22" s="59"/>
      <c r="G22" s="61" t="s">
        <v>56</v>
      </c>
    </row>
    <row r="23" spans="1:7" s="60" customFormat="1" ht="21">
      <c r="A23" s="58"/>
      <c r="B23" s="29" t="s">
        <v>86</v>
      </c>
      <c r="C23" s="59">
        <v>700000</v>
      </c>
      <c r="D23" s="29" t="s">
        <v>117</v>
      </c>
      <c r="E23" s="59">
        <v>0</v>
      </c>
      <c r="F23" s="59"/>
      <c r="G23" s="61" t="s">
        <v>56</v>
      </c>
    </row>
    <row r="24" spans="1:7" s="60" customFormat="1" ht="21">
      <c r="A24" s="58"/>
      <c r="B24" s="29" t="s">
        <v>118</v>
      </c>
      <c r="C24" s="59">
        <v>1092500</v>
      </c>
      <c r="D24" s="29" t="s">
        <v>119</v>
      </c>
      <c r="E24" s="59">
        <v>0</v>
      </c>
      <c r="F24" s="59"/>
      <c r="G24" s="61" t="s">
        <v>56</v>
      </c>
    </row>
    <row r="25" spans="1:7" s="60" customFormat="1" ht="21">
      <c r="A25" s="58"/>
      <c r="B25" s="29" t="s">
        <v>120</v>
      </c>
      <c r="C25" s="59">
        <v>2722680</v>
      </c>
      <c r="D25" s="29"/>
      <c r="F25" s="59"/>
      <c r="G25" s="61" t="s">
        <v>56</v>
      </c>
    </row>
    <row r="26" spans="1:7" s="60" customFormat="1" ht="21">
      <c r="A26" s="58"/>
      <c r="B26" s="29" t="s">
        <v>86</v>
      </c>
      <c r="C26" s="59">
        <v>3206016</v>
      </c>
      <c r="D26" s="29" t="s">
        <v>121</v>
      </c>
      <c r="E26" s="59">
        <v>0</v>
      </c>
      <c r="F26" s="59"/>
      <c r="G26" s="61" t="s">
        <v>56</v>
      </c>
    </row>
    <row r="27" spans="1:7" s="60" customFormat="1" ht="21">
      <c r="A27" s="58"/>
      <c r="B27" s="29" t="s">
        <v>122</v>
      </c>
      <c r="C27" s="59">
        <v>4000000</v>
      </c>
      <c r="D27" s="29" t="s">
        <v>123</v>
      </c>
      <c r="E27" s="59">
        <v>0</v>
      </c>
      <c r="F27" s="59"/>
      <c r="G27" s="61" t="s">
        <v>56</v>
      </c>
    </row>
    <row r="28" spans="1:7" s="60" customFormat="1" ht="21">
      <c r="A28" s="58"/>
      <c r="B28" s="29" t="s">
        <v>91</v>
      </c>
      <c r="C28" s="59">
        <v>7075361</v>
      </c>
      <c r="D28" s="29"/>
      <c r="F28" s="59"/>
      <c r="G28" s="61" t="s">
        <v>56</v>
      </c>
    </row>
    <row r="29" spans="1:7" s="60" customFormat="1" ht="21">
      <c r="A29" s="58"/>
      <c r="B29" s="29" t="s">
        <v>124</v>
      </c>
      <c r="C29" s="59">
        <v>27535939</v>
      </c>
      <c r="D29" s="29"/>
      <c r="F29" s="59"/>
      <c r="G29" s="61" t="s">
        <v>56</v>
      </c>
    </row>
    <row r="30" spans="1:7" s="70" customFormat="1" ht="21">
      <c r="A30" s="66"/>
      <c r="B30" s="67" t="s">
        <v>125</v>
      </c>
      <c r="C30" s="68">
        <v>732020</v>
      </c>
      <c r="D30" s="67"/>
      <c r="F30" s="68"/>
      <c r="G30" s="69" t="s">
        <v>57</v>
      </c>
    </row>
    <row r="31" spans="1:7" s="65" customFormat="1" ht="21">
      <c r="A31" s="62"/>
      <c r="B31" s="56" t="s">
        <v>126</v>
      </c>
      <c r="C31" s="63">
        <v>1927280</v>
      </c>
      <c r="D31" s="56"/>
      <c r="F31" s="63"/>
      <c r="G31" s="64" t="s">
        <v>64</v>
      </c>
    </row>
    <row r="32" spans="1:7" s="60" customFormat="1" ht="21">
      <c r="A32" s="58"/>
      <c r="B32" s="29" t="s">
        <v>69</v>
      </c>
      <c r="C32" s="59">
        <v>1966500</v>
      </c>
      <c r="D32" s="29"/>
      <c r="F32" s="59"/>
      <c r="G32" s="61" t="s">
        <v>64</v>
      </c>
    </row>
    <row r="33" spans="1:7" s="60" customFormat="1" ht="21">
      <c r="A33" s="58"/>
      <c r="B33" s="29" t="s">
        <v>127</v>
      </c>
      <c r="C33" s="59">
        <f>9056458+905775</f>
        <v>9962233</v>
      </c>
      <c r="D33" s="29"/>
      <c r="F33" s="59"/>
      <c r="G33" s="61" t="s">
        <v>64</v>
      </c>
    </row>
    <row r="34" spans="1:7" s="60" customFormat="1" ht="21">
      <c r="A34" s="58"/>
      <c r="B34" s="29" t="s">
        <v>128</v>
      </c>
      <c r="C34" s="59">
        <v>8271460</v>
      </c>
      <c r="D34" s="29"/>
      <c r="F34" s="59"/>
      <c r="G34" s="61" t="s">
        <v>58</v>
      </c>
    </row>
    <row r="35" spans="1:7" s="60" customFormat="1" ht="21">
      <c r="A35" s="58"/>
      <c r="B35" s="29" t="s">
        <v>114</v>
      </c>
      <c r="C35" s="59">
        <v>7941513</v>
      </c>
      <c r="D35" s="29"/>
      <c r="F35" s="59"/>
      <c r="G35" s="61" t="s">
        <v>58</v>
      </c>
    </row>
    <row r="36" spans="1:7" ht="21">
      <c r="A36" s="57"/>
      <c r="B36" s="30"/>
      <c r="C36" s="31"/>
      <c r="D36" s="30"/>
      <c r="E36" s="31"/>
      <c r="F36" s="31"/>
      <c r="G36" s="32"/>
    </row>
    <row r="37" spans="1:7" s="60" customFormat="1" ht="21">
      <c r="A37" s="58">
        <v>44739</v>
      </c>
      <c r="B37" s="29" t="s">
        <v>129</v>
      </c>
      <c r="C37" s="59">
        <v>368085</v>
      </c>
      <c r="D37" s="29" t="s">
        <v>130</v>
      </c>
      <c r="E37" s="59">
        <v>0</v>
      </c>
      <c r="F37" s="59"/>
      <c r="G37" s="61" t="s">
        <v>57</v>
      </c>
    </row>
    <row r="38" spans="1:7" s="60" customFormat="1" ht="21">
      <c r="A38" s="58"/>
      <c r="B38" s="29" t="s">
        <v>131</v>
      </c>
      <c r="C38" s="59">
        <v>18687501</v>
      </c>
      <c r="D38" s="29"/>
      <c r="F38" s="59"/>
      <c r="G38" s="61" t="s">
        <v>90</v>
      </c>
    </row>
    <row r="39" spans="1:7" s="60" customFormat="1" ht="21">
      <c r="A39" s="58"/>
      <c r="B39" s="29" t="s">
        <v>132</v>
      </c>
      <c r="C39" s="59">
        <v>114000</v>
      </c>
      <c r="D39" s="29"/>
      <c r="F39" s="59"/>
      <c r="G39" s="61" t="s">
        <v>54</v>
      </c>
    </row>
    <row r="40" spans="1:7" s="60" customFormat="1" ht="21">
      <c r="A40" s="58"/>
      <c r="B40" s="29" t="s">
        <v>86</v>
      </c>
      <c r="C40" s="59">
        <v>1318154</v>
      </c>
      <c r="D40" s="29"/>
      <c r="E40" s="59"/>
      <c r="F40" s="59"/>
      <c r="G40" s="61" t="s">
        <v>56</v>
      </c>
    </row>
    <row r="41" spans="1:7" s="60" customFormat="1" ht="21">
      <c r="A41" s="58"/>
      <c r="B41" s="29" t="s">
        <v>86</v>
      </c>
      <c r="C41" s="59">
        <v>1947000</v>
      </c>
      <c r="D41" s="29"/>
      <c r="E41" s="59"/>
      <c r="F41" s="59"/>
      <c r="G41" s="61" t="s">
        <v>56</v>
      </c>
    </row>
    <row r="42" spans="1:7" s="60" customFormat="1" ht="21">
      <c r="A42" s="58"/>
      <c r="B42" s="29" t="s">
        <v>133</v>
      </c>
      <c r="C42" s="59">
        <v>2895598</v>
      </c>
      <c r="D42" s="29"/>
      <c r="E42" s="59"/>
      <c r="F42" s="59"/>
      <c r="G42" s="61" t="s">
        <v>56</v>
      </c>
    </row>
    <row r="43" spans="1:7" ht="21">
      <c r="A43" s="57"/>
      <c r="B43" s="30"/>
      <c r="C43" s="31"/>
      <c r="D43" s="30"/>
      <c r="E43" s="31"/>
      <c r="F43" s="31"/>
      <c r="G43" s="32"/>
    </row>
    <row r="44" spans="1:7" s="60" customFormat="1" ht="21">
      <c r="A44" s="58">
        <v>44741</v>
      </c>
      <c r="B44" s="29" t="s">
        <v>134</v>
      </c>
      <c r="C44" s="59">
        <v>244605000</v>
      </c>
      <c r="D44" s="29"/>
      <c r="F44" s="59"/>
      <c r="G44" s="61" t="s">
        <v>58</v>
      </c>
    </row>
    <row r="45" spans="1:7" s="60" customFormat="1" ht="21">
      <c r="A45" s="58"/>
      <c r="B45" s="29" t="s">
        <v>135</v>
      </c>
      <c r="C45" s="59">
        <v>25125713</v>
      </c>
      <c r="D45" s="29"/>
      <c r="F45" s="59"/>
      <c r="G45" s="61" t="s">
        <v>58</v>
      </c>
    </row>
    <row r="46" spans="1:7" ht="21">
      <c r="A46" s="57"/>
      <c r="B46" s="30"/>
      <c r="C46" s="31"/>
      <c r="D46" s="30"/>
      <c r="E46" s="31"/>
      <c r="F46" s="31"/>
      <c r="G46" s="32"/>
    </row>
    <row r="47" spans="1:7" s="60" customFormat="1" ht="21">
      <c r="A47" s="58">
        <v>44742</v>
      </c>
      <c r="B47" s="29" t="s">
        <v>136</v>
      </c>
      <c r="C47" s="59">
        <v>50868531</v>
      </c>
      <c r="D47" s="29"/>
      <c r="F47" s="59"/>
      <c r="G47" s="61" t="s">
        <v>58</v>
      </c>
    </row>
    <row r="48" spans="1:7" s="60" customFormat="1" ht="21">
      <c r="A48" s="58"/>
      <c r="B48" s="29" t="s">
        <v>137</v>
      </c>
      <c r="C48" s="59">
        <v>34694051</v>
      </c>
      <c r="D48" s="29"/>
      <c r="F48" s="59"/>
      <c r="G48" s="61" t="s">
        <v>58</v>
      </c>
    </row>
    <row r="49" spans="1:7" s="60" customFormat="1" ht="21">
      <c r="A49" s="58"/>
      <c r="B49" s="29" t="s">
        <v>138</v>
      </c>
      <c r="C49" s="59">
        <v>1527355</v>
      </c>
      <c r="D49" s="29"/>
      <c r="F49" s="59"/>
      <c r="G49" s="61" t="s">
        <v>58</v>
      </c>
    </row>
    <row r="50" spans="1:7" s="60" customFormat="1" ht="21">
      <c r="A50" s="58"/>
      <c r="B50" s="29" t="s">
        <v>139</v>
      </c>
      <c r="C50" s="59">
        <v>2182585</v>
      </c>
      <c r="D50" s="29"/>
      <c r="F50" s="59"/>
      <c r="G50" s="61" t="s">
        <v>58</v>
      </c>
    </row>
    <row r="51" spans="1:7" s="60" customFormat="1" ht="21">
      <c r="A51" s="58"/>
      <c r="B51" s="29" t="s">
        <v>140</v>
      </c>
      <c r="C51" s="59">
        <v>1338600</v>
      </c>
      <c r="D51" s="29"/>
      <c r="F51" s="59"/>
      <c r="G51" s="61" t="s">
        <v>58</v>
      </c>
    </row>
    <row r="52" spans="1:7" s="60" customFormat="1" ht="21">
      <c r="A52" s="58"/>
      <c r="B52" s="29" t="s">
        <v>141</v>
      </c>
      <c r="C52" s="59">
        <v>7027680</v>
      </c>
      <c r="D52" s="29"/>
      <c r="F52" s="59"/>
      <c r="G52" s="61" t="s">
        <v>58</v>
      </c>
    </row>
    <row r="53" spans="1:7" ht="21">
      <c r="A53" s="57"/>
      <c r="B53" s="30"/>
      <c r="C53" s="31"/>
      <c r="D53" s="30"/>
      <c r="E53" s="31"/>
      <c r="F53" s="31"/>
      <c r="G53" s="32"/>
    </row>
    <row r="54" spans="1:7" s="60" customFormat="1" ht="21">
      <c r="A54" s="58">
        <v>44743</v>
      </c>
      <c r="B54" s="29" t="s">
        <v>85</v>
      </c>
      <c r="C54" s="59">
        <v>4363660</v>
      </c>
      <c r="D54" s="29"/>
      <c r="F54" s="59"/>
      <c r="G54" s="61" t="s">
        <v>58</v>
      </c>
    </row>
    <row r="55" spans="1:7" s="60" customFormat="1" ht="21">
      <c r="A55" s="58"/>
      <c r="B55" s="29" t="s">
        <v>142</v>
      </c>
      <c r="C55" s="59">
        <v>9487500</v>
      </c>
      <c r="D55" s="29"/>
      <c r="F55" s="59"/>
      <c r="G55" s="61" t="s">
        <v>57</v>
      </c>
    </row>
    <row r="56" spans="1:7" s="60" customFormat="1" ht="21">
      <c r="A56" s="58"/>
      <c r="B56" s="29" t="s">
        <v>143</v>
      </c>
      <c r="C56" s="59">
        <v>2372000</v>
      </c>
      <c r="D56" s="29"/>
      <c r="F56" s="59"/>
      <c r="G56" s="61" t="s">
        <v>57</v>
      </c>
    </row>
    <row r="57" spans="1:7" s="78" customFormat="1" ht="21">
      <c r="A57" s="76"/>
      <c r="B57" s="33" t="s">
        <v>63</v>
      </c>
      <c r="C57" s="77">
        <v>3560031</v>
      </c>
      <c r="D57" s="33"/>
      <c r="F57" s="77"/>
      <c r="G57" s="79" t="s">
        <v>56</v>
      </c>
    </row>
    <row r="58" spans="1:7" s="60" customFormat="1" ht="21">
      <c r="A58" s="58"/>
      <c r="B58" s="29" t="s">
        <v>144</v>
      </c>
      <c r="C58" s="59">
        <v>8683164</v>
      </c>
      <c r="D58" s="29"/>
      <c r="F58" s="59"/>
      <c r="G58" s="61" t="s">
        <v>56</v>
      </c>
    </row>
    <row r="59" spans="1:7" s="60" customFormat="1" ht="21">
      <c r="A59" s="58"/>
      <c r="B59" s="29" t="s">
        <v>97</v>
      </c>
      <c r="C59" s="59">
        <v>23874310</v>
      </c>
      <c r="D59" s="29"/>
      <c r="E59" s="59">
        <v>0</v>
      </c>
      <c r="F59" s="59"/>
      <c r="G59" s="61" t="s">
        <v>56</v>
      </c>
    </row>
    <row r="60" spans="1:7" s="60" customFormat="1" ht="21">
      <c r="A60" s="58"/>
      <c r="B60" s="29" t="s">
        <v>145</v>
      </c>
      <c r="C60" s="59">
        <v>2098800</v>
      </c>
      <c r="D60" s="29"/>
      <c r="F60" s="59"/>
      <c r="G60" s="61" t="s">
        <v>54</v>
      </c>
    </row>
    <row r="61" spans="1:7" ht="21">
      <c r="A61" s="57"/>
      <c r="B61" s="30"/>
      <c r="C61" s="31"/>
      <c r="D61" s="30"/>
      <c r="E61" s="31"/>
      <c r="F61" s="31"/>
      <c r="G61" s="32"/>
    </row>
    <row r="62" spans="1:7" ht="21">
      <c r="A62" s="57"/>
      <c r="B62" s="30"/>
      <c r="C62" s="31"/>
      <c r="D62" s="30"/>
      <c r="E62" s="31"/>
      <c r="F62" s="31"/>
      <c r="G62" s="32"/>
    </row>
    <row r="63" spans="1:7" s="60" customFormat="1" ht="21">
      <c r="A63" s="58">
        <v>44746</v>
      </c>
      <c r="B63" s="29" t="s">
        <v>146</v>
      </c>
      <c r="C63" s="59">
        <v>13725730</v>
      </c>
      <c r="D63" s="29"/>
      <c r="F63" s="59"/>
      <c r="G63" s="61" t="s">
        <v>60</v>
      </c>
    </row>
    <row r="64" spans="1:7" s="60" customFormat="1" ht="21">
      <c r="A64" s="58"/>
      <c r="B64" s="29" t="s">
        <v>147</v>
      </c>
      <c r="C64" s="59">
        <v>339500</v>
      </c>
      <c r="D64" s="29"/>
      <c r="E64" s="59">
        <v>0</v>
      </c>
      <c r="F64" s="59"/>
      <c r="G64" s="61" t="s">
        <v>57</v>
      </c>
    </row>
    <row r="65" spans="1:7" s="60" customFormat="1" ht="21">
      <c r="A65" s="58"/>
      <c r="B65" s="29" t="s">
        <v>148</v>
      </c>
      <c r="C65" s="59">
        <v>450000</v>
      </c>
      <c r="D65" s="29"/>
      <c r="E65" s="59">
        <v>0</v>
      </c>
      <c r="F65" s="59"/>
      <c r="G65" s="61" t="s">
        <v>57</v>
      </c>
    </row>
    <row r="66" spans="1:7" s="60" customFormat="1" ht="21">
      <c r="A66" s="58"/>
      <c r="B66" s="29" t="s">
        <v>149</v>
      </c>
      <c r="C66" s="59">
        <v>216884</v>
      </c>
      <c r="D66" s="29"/>
      <c r="E66" s="59">
        <v>0</v>
      </c>
      <c r="F66" s="59"/>
      <c r="G66" s="61" t="s">
        <v>57</v>
      </c>
    </row>
    <row r="67" spans="1:7" s="60" customFormat="1" ht="21">
      <c r="A67" s="58"/>
      <c r="B67" s="29" t="s">
        <v>150</v>
      </c>
      <c r="C67" s="59">
        <v>303975</v>
      </c>
      <c r="D67" s="29"/>
      <c r="E67" s="59">
        <v>0</v>
      </c>
      <c r="F67" s="59"/>
      <c r="G67" s="61" t="s">
        <v>57</v>
      </c>
    </row>
    <row r="68" spans="1:7" s="60" customFormat="1" ht="21">
      <c r="A68" s="58"/>
      <c r="B68" s="29" t="s">
        <v>83</v>
      </c>
      <c r="C68" s="59">
        <v>2000000</v>
      </c>
      <c r="D68" s="29"/>
      <c r="E68" s="59">
        <v>0</v>
      </c>
      <c r="F68" s="59"/>
      <c r="G68" s="61" t="s">
        <v>56</v>
      </c>
    </row>
    <row r="69" spans="1:7" ht="21">
      <c r="A69" s="57"/>
      <c r="B69" s="30"/>
      <c r="C69" s="31"/>
      <c r="D69" s="30"/>
      <c r="E69" s="31"/>
      <c r="F69" s="31"/>
      <c r="G69" s="32"/>
    </row>
    <row r="70" spans="1:7" ht="21">
      <c r="A70" s="57"/>
      <c r="B70" s="30"/>
      <c r="C70" s="31"/>
      <c r="D70" s="30"/>
      <c r="E70" s="31"/>
      <c r="F70" s="31"/>
      <c r="G70" s="32"/>
    </row>
    <row r="71" spans="1:7" s="65" customFormat="1" ht="21">
      <c r="A71" s="62">
        <v>44747</v>
      </c>
      <c r="B71" s="56" t="s">
        <v>151</v>
      </c>
      <c r="C71" s="63">
        <v>18622521</v>
      </c>
      <c r="D71" s="56"/>
      <c r="F71" s="63"/>
      <c r="G71" s="64" t="s">
        <v>60</v>
      </c>
    </row>
    <row r="72" spans="1:7" s="65" customFormat="1" ht="21">
      <c r="A72" s="62"/>
      <c r="B72" s="56" t="s">
        <v>151</v>
      </c>
      <c r="C72" s="63">
        <v>37389549</v>
      </c>
      <c r="D72" s="56"/>
      <c r="F72" s="63"/>
      <c r="G72" s="64" t="s">
        <v>60</v>
      </c>
    </row>
    <row r="73" spans="1:7" s="60" customFormat="1" ht="21">
      <c r="A73" s="58"/>
      <c r="B73" s="29" t="s">
        <v>152</v>
      </c>
      <c r="C73" s="59">
        <v>1270760</v>
      </c>
      <c r="D73" s="29"/>
      <c r="F73" s="59"/>
      <c r="G73" s="61" t="s">
        <v>64</v>
      </c>
    </row>
    <row r="74" spans="1:7" s="60" customFormat="1" ht="21">
      <c r="A74" s="58"/>
      <c r="B74" s="29" t="s">
        <v>153</v>
      </c>
      <c r="C74" s="59">
        <v>528000</v>
      </c>
      <c r="D74" s="29"/>
      <c r="F74" s="59"/>
      <c r="G74" s="61" t="s">
        <v>154</v>
      </c>
    </row>
    <row r="75" spans="1:7" s="60" customFormat="1" ht="21">
      <c r="A75" s="58"/>
      <c r="B75" s="29" t="s">
        <v>155</v>
      </c>
      <c r="C75" s="59">
        <v>528000</v>
      </c>
      <c r="D75" s="29"/>
      <c r="F75" s="59"/>
      <c r="G75" s="61" t="s">
        <v>154</v>
      </c>
    </row>
    <row r="76" spans="1:7" s="60" customFormat="1" ht="21">
      <c r="A76" s="58"/>
      <c r="B76" s="29" t="s">
        <v>156</v>
      </c>
      <c r="C76" s="59">
        <v>150000000</v>
      </c>
      <c r="D76" s="29"/>
      <c r="F76" s="59"/>
      <c r="G76" s="61" t="s">
        <v>154</v>
      </c>
    </row>
    <row r="77" spans="1:7" s="60" customFormat="1" ht="21">
      <c r="A77" s="58"/>
      <c r="B77" s="29" t="s">
        <v>157</v>
      </c>
      <c r="C77" s="59">
        <v>855360</v>
      </c>
      <c r="D77" s="29"/>
      <c r="F77" s="59"/>
      <c r="G77" s="61" t="s">
        <v>58</v>
      </c>
    </row>
    <row r="78" spans="1:7" s="60" customFormat="1" ht="21">
      <c r="A78" s="58"/>
      <c r="B78" s="29" t="s">
        <v>158</v>
      </c>
      <c r="C78" s="59">
        <v>45476372</v>
      </c>
      <c r="D78" s="29"/>
      <c r="F78" s="59"/>
      <c r="G78" s="61" t="s">
        <v>58</v>
      </c>
    </row>
    <row r="79" spans="1:7" s="60" customFormat="1" ht="21">
      <c r="A79" s="58"/>
      <c r="B79" s="29" t="s">
        <v>159</v>
      </c>
      <c r="C79" s="59">
        <v>580800</v>
      </c>
      <c r="D79" s="29"/>
      <c r="F79" s="59"/>
      <c r="G79" s="61" t="s">
        <v>58</v>
      </c>
    </row>
    <row r="80" spans="1:7" s="60" customFormat="1" ht="21">
      <c r="A80" s="58"/>
      <c r="B80" s="29" t="s">
        <v>160</v>
      </c>
      <c r="C80" s="59">
        <v>295652</v>
      </c>
      <c r="D80" s="29"/>
      <c r="F80" s="59"/>
      <c r="G80" s="61" t="s">
        <v>90</v>
      </c>
    </row>
    <row r="81" spans="1:7" s="60" customFormat="1" ht="21">
      <c r="A81" s="58"/>
      <c r="B81" s="29" t="s">
        <v>161</v>
      </c>
      <c r="C81" s="59">
        <v>844800</v>
      </c>
      <c r="D81" s="29"/>
      <c r="E81" s="59">
        <v>0</v>
      </c>
      <c r="F81" s="59"/>
      <c r="G81" s="61" t="s">
        <v>57</v>
      </c>
    </row>
    <row r="82" spans="1:7" s="60" customFormat="1" ht="21">
      <c r="A82" s="58"/>
      <c r="B82" s="29" t="s">
        <v>162</v>
      </c>
      <c r="C82" s="59">
        <v>660000</v>
      </c>
      <c r="D82" s="29"/>
      <c r="F82" s="59"/>
      <c r="G82" s="61" t="s">
        <v>57</v>
      </c>
    </row>
    <row r="83" spans="1:7" s="60" customFormat="1" ht="21">
      <c r="A83" s="58"/>
      <c r="B83" s="29" t="s">
        <v>163</v>
      </c>
      <c r="C83" s="59">
        <v>792000</v>
      </c>
      <c r="D83" s="29"/>
      <c r="F83" s="59"/>
      <c r="G83" s="61" t="s">
        <v>57</v>
      </c>
    </row>
    <row r="84" spans="1:7" s="60" customFormat="1" ht="21">
      <c r="A84" s="58"/>
      <c r="B84" s="29" t="s">
        <v>164</v>
      </c>
      <c r="C84" s="59">
        <v>660000</v>
      </c>
      <c r="D84" s="29"/>
      <c r="F84" s="59"/>
      <c r="G84" s="61" t="s">
        <v>57</v>
      </c>
    </row>
    <row r="85" spans="1:7" s="60" customFormat="1" ht="21">
      <c r="A85" s="58"/>
      <c r="B85" s="29" t="s">
        <v>165</v>
      </c>
      <c r="C85" s="59">
        <v>413500</v>
      </c>
      <c r="D85" s="29"/>
      <c r="E85" s="59">
        <v>0</v>
      </c>
      <c r="F85" s="59"/>
      <c r="G85" s="61" t="s">
        <v>56</v>
      </c>
    </row>
    <row r="86" spans="1:7" s="60" customFormat="1" ht="21">
      <c r="A86" s="58"/>
      <c r="B86" s="29" t="s">
        <v>166</v>
      </c>
      <c r="C86" s="59">
        <v>660000</v>
      </c>
      <c r="D86" s="29"/>
      <c r="F86" s="59"/>
      <c r="G86" s="61" t="s">
        <v>56</v>
      </c>
    </row>
    <row r="87" spans="1:7" s="60" customFormat="1" ht="21">
      <c r="A87" s="58"/>
      <c r="B87" s="29" t="s">
        <v>167</v>
      </c>
      <c r="C87" s="59">
        <v>843995</v>
      </c>
      <c r="D87" s="29"/>
      <c r="E87" s="59">
        <v>0</v>
      </c>
      <c r="F87" s="59"/>
      <c r="G87" s="61" t="s">
        <v>56</v>
      </c>
    </row>
    <row r="88" spans="1:7" s="60" customFormat="1" ht="21">
      <c r="A88" s="58"/>
      <c r="B88" s="29" t="s">
        <v>168</v>
      </c>
      <c r="C88" s="59">
        <v>1800000</v>
      </c>
      <c r="D88" s="29"/>
      <c r="E88" s="59">
        <v>0</v>
      </c>
      <c r="F88" s="59"/>
      <c r="G88" s="61" t="s">
        <v>56</v>
      </c>
    </row>
    <row r="89" spans="1:7" s="65" customFormat="1" ht="21">
      <c r="A89" s="62"/>
      <c r="B89" s="56" t="s">
        <v>169</v>
      </c>
      <c r="C89" s="63">
        <v>157787643</v>
      </c>
      <c r="D89" s="56"/>
      <c r="E89" s="63">
        <v>0</v>
      </c>
      <c r="F89" s="63"/>
      <c r="G89" s="64" t="s">
        <v>56</v>
      </c>
    </row>
    <row r="90" spans="1:7" s="60" customFormat="1" ht="21">
      <c r="A90" s="58"/>
      <c r="B90" s="29" t="s">
        <v>132</v>
      </c>
      <c r="C90" s="59">
        <v>471800</v>
      </c>
      <c r="D90" s="29"/>
      <c r="F90" s="59"/>
      <c r="G90" s="61" t="s">
        <v>54</v>
      </c>
    </row>
    <row r="91" spans="1:7" s="60" customFormat="1" ht="21">
      <c r="A91" s="58"/>
      <c r="B91" s="29" t="s">
        <v>170</v>
      </c>
      <c r="C91" s="59">
        <v>1656000</v>
      </c>
      <c r="D91" s="29"/>
      <c r="F91" s="59"/>
      <c r="G91" s="61" t="s">
        <v>54</v>
      </c>
    </row>
    <row r="92" spans="1:7" ht="21">
      <c r="A92" s="57"/>
      <c r="B92" s="30"/>
      <c r="C92" s="31"/>
      <c r="D92" s="30"/>
      <c r="F92" s="31"/>
      <c r="G92" s="32"/>
    </row>
    <row r="93" spans="1:7" ht="21">
      <c r="A93" s="57"/>
      <c r="B93" s="30"/>
      <c r="C93" s="31"/>
      <c r="D93" s="30"/>
      <c r="F93" s="31"/>
      <c r="G93" s="32"/>
    </row>
    <row r="94" spans="1:7" s="60" customFormat="1" ht="21">
      <c r="A94" s="58">
        <v>44748</v>
      </c>
      <c r="B94" s="29" t="s">
        <v>171</v>
      </c>
      <c r="C94" s="59">
        <v>38542545</v>
      </c>
      <c r="D94" s="29"/>
      <c r="F94" s="59"/>
      <c r="G94" s="61" t="s">
        <v>60</v>
      </c>
    </row>
    <row r="95" spans="1:7" s="60" customFormat="1" ht="21">
      <c r="A95" s="58"/>
      <c r="B95" s="29" t="s">
        <v>172</v>
      </c>
      <c r="C95" s="59">
        <v>154969842</v>
      </c>
      <c r="D95" s="29"/>
      <c r="F95" s="59"/>
      <c r="G95" s="61" t="s">
        <v>60</v>
      </c>
    </row>
    <row r="96" spans="1:7" s="60" customFormat="1" ht="21">
      <c r="A96" s="58"/>
      <c r="B96" s="29" t="s">
        <v>173</v>
      </c>
      <c r="C96" s="59">
        <v>23857600</v>
      </c>
      <c r="D96" s="29" t="s">
        <v>174</v>
      </c>
      <c r="E96" s="59">
        <v>0</v>
      </c>
      <c r="F96" s="59"/>
      <c r="G96" s="61" t="s">
        <v>53</v>
      </c>
    </row>
    <row r="97" spans="1:7" s="84" customFormat="1" ht="21">
      <c r="A97" s="80"/>
      <c r="B97" s="81" t="s">
        <v>175</v>
      </c>
      <c r="C97" s="82">
        <v>263240750</v>
      </c>
      <c r="D97" s="81"/>
      <c r="E97" s="82"/>
      <c r="F97" s="82"/>
      <c r="G97" s="83" t="s">
        <v>55</v>
      </c>
    </row>
    <row r="98" spans="1:7" s="84" customFormat="1" ht="21">
      <c r="A98" s="80"/>
      <c r="B98" s="81" t="s">
        <v>175</v>
      </c>
      <c r="C98" s="82">
        <v>500000000</v>
      </c>
      <c r="D98" s="81"/>
      <c r="E98" s="82">
        <v>0</v>
      </c>
      <c r="F98" s="82"/>
      <c r="G98" s="83" t="s">
        <v>53</v>
      </c>
    </row>
    <row r="99" spans="1:7" s="60" customFormat="1" ht="21">
      <c r="A99" s="58"/>
      <c r="B99" s="29" t="s">
        <v>176</v>
      </c>
      <c r="C99" s="59">
        <v>784400</v>
      </c>
      <c r="D99" s="29"/>
      <c r="E99" s="59">
        <v>0</v>
      </c>
      <c r="F99" s="59"/>
      <c r="G99" s="61" t="s">
        <v>57</v>
      </c>
    </row>
    <row r="100" spans="1:7" s="60" customFormat="1" ht="21">
      <c r="A100" s="58"/>
      <c r="B100" s="29" t="s">
        <v>81</v>
      </c>
      <c r="C100" s="59">
        <v>144918</v>
      </c>
      <c r="D100" s="29"/>
      <c r="E100" s="59">
        <v>0</v>
      </c>
      <c r="F100" s="59"/>
      <c r="G100" s="61" t="s">
        <v>57</v>
      </c>
    </row>
    <row r="101" spans="1:7" s="60" customFormat="1" ht="21">
      <c r="A101" s="58"/>
      <c r="B101" s="29" t="s">
        <v>86</v>
      </c>
      <c r="C101" s="59">
        <v>350000</v>
      </c>
      <c r="D101" s="29"/>
      <c r="E101" s="59"/>
      <c r="F101" s="59"/>
      <c r="G101" s="61" t="s">
        <v>56</v>
      </c>
    </row>
    <row r="102" spans="1:7" s="60" customFormat="1" ht="21">
      <c r="A102" s="58"/>
      <c r="B102" s="29" t="s">
        <v>177</v>
      </c>
      <c r="C102" s="59">
        <v>1500000</v>
      </c>
      <c r="D102" s="29"/>
      <c r="E102" s="59">
        <v>0</v>
      </c>
      <c r="F102" s="59"/>
      <c r="G102" s="61" t="s">
        <v>56</v>
      </c>
    </row>
    <row r="103" spans="1:7" s="60" customFormat="1" ht="21">
      <c r="A103" s="58"/>
      <c r="B103" s="29" t="s">
        <v>82</v>
      </c>
      <c r="C103" s="59">
        <v>450000</v>
      </c>
      <c r="D103" s="29"/>
      <c r="E103" s="59"/>
      <c r="F103" s="59"/>
      <c r="G103" s="61" t="s">
        <v>56</v>
      </c>
    </row>
    <row r="104" spans="1:7" s="60" customFormat="1" ht="21">
      <c r="A104" s="58"/>
      <c r="B104" s="29" t="s">
        <v>178</v>
      </c>
      <c r="C104" s="59">
        <v>528000</v>
      </c>
      <c r="D104" s="29"/>
      <c r="F104" s="59"/>
      <c r="G104" s="61" t="s">
        <v>56</v>
      </c>
    </row>
    <row r="105" spans="1:7" s="60" customFormat="1" ht="21">
      <c r="A105" s="58"/>
      <c r="B105" s="29" t="s">
        <v>179</v>
      </c>
      <c r="C105" s="59">
        <v>726000</v>
      </c>
      <c r="D105" s="29"/>
      <c r="F105" s="59"/>
      <c r="G105" s="61" t="s">
        <v>56</v>
      </c>
    </row>
    <row r="106" spans="1:7" s="60" customFormat="1" ht="21">
      <c r="A106" s="58"/>
      <c r="B106" s="29" t="s">
        <v>180</v>
      </c>
      <c r="C106" s="59">
        <v>792000</v>
      </c>
      <c r="D106" s="29"/>
      <c r="F106" s="59"/>
      <c r="G106" s="61" t="s">
        <v>56</v>
      </c>
    </row>
    <row r="107" spans="1:7" s="60" customFormat="1" ht="21">
      <c r="A107" s="58"/>
      <c r="B107" s="29" t="s">
        <v>181</v>
      </c>
      <c r="C107" s="59">
        <v>1000000</v>
      </c>
      <c r="D107" s="29"/>
      <c r="E107" s="59">
        <v>0</v>
      </c>
      <c r="F107" s="59"/>
      <c r="G107" s="61" t="s">
        <v>56</v>
      </c>
    </row>
    <row r="108" spans="1:7" s="60" customFormat="1" ht="21">
      <c r="A108" s="58"/>
      <c r="B108" s="29" t="s">
        <v>182</v>
      </c>
      <c r="C108" s="59">
        <v>1452000</v>
      </c>
      <c r="D108" s="29"/>
      <c r="E108" s="59"/>
      <c r="F108" s="59"/>
      <c r="G108" s="61" t="s">
        <v>56</v>
      </c>
    </row>
    <row r="109" spans="1:7" s="60" customFormat="1" ht="21">
      <c r="A109" s="58"/>
      <c r="B109" s="29" t="s">
        <v>183</v>
      </c>
      <c r="C109" s="59">
        <v>22928860</v>
      </c>
      <c r="D109" s="29"/>
      <c r="E109" s="59">
        <v>0</v>
      </c>
      <c r="F109" s="59"/>
      <c r="G109" s="61" t="s">
        <v>56</v>
      </c>
    </row>
    <row r="110" spans="1:7" s="60" customFormat="1" ht="21">
      <c r="A110" s="58"/>
      <c r="B110" s="29" t="s">
        <v>124</v>
      </c>
      <c r="C110" s="59">
        <v>28871678</v>
      </c>
      <c r="D110" s="29"/>
      <c r="F110" s="59"/>
      <c r="G110" s="61" t="s">
        <v>56</v>
      </c>
    </row>
    <row r="111" spans="1:7" s="60" customFormat="1" ht="21">
      <c r="A111" s="58"/>
      <c r="B111" s="29" t="s">
        <v>184</v>
      </c>
      <c r="C111" s="59">
        <v>40312231</v>
      </c>
      <c r="D111" s="29"/>
      <c r="E111" s="59">
        <v>0</v>
      </c>
      <c r="F111" s="59"/>
      <c r="G111" s="61" t="s">
        <v>56</v>
      </c>
    </row>
    <row r="112" spans="1:7" s="78" customFormat="1" ht="21">
      <c r="A112" s="76"/>
      <c r="B112" s="33" t="s">
        <v>63</v>
      </c>
      <c r="C112" s="77">
        <v>146420116</v>
      </c>
      <c r="D112" s="33"/>
      <c r="F112" s="77"/>
      <c r="G112" s="79" t="s">
        <v>56</v>
      </c>
    </row>
    <row r="113" spans="1:7" s="70" customFormat="1" ht="21">
      <c r="A113" s="66"/>
      <c r="B113" s="67" t="s">
        <v>185</v>
      </c>
      <c r="C113" s="68">
        <v>12335004</v>
      </c>
      <c r="D113" s="67"/>
      <c r="F113" s="68"/>
      <c r="G113" s="69"/>
    </row>
    <row r="114" spans="1:7" ht="21">
      <c r="A114" s="57"/>
      <c r="B114" s="30"/>
      <c r="C114" s="31"/>
      <c r="D114" s="30"/>
      <c r="E114" s="31"/>
      <c r="F114" s="31"/>
      <c r="G114" s="32"/>
    </row>
    <row r="115" spans="1:7" ht="21">
      <c r="A115" s="57"/>
      <c r="B115" s="30"/>
      <c r="C115" s="31"/>
      <c r="D115" s="30"/>
      <c r="E115" s="31"/>
      <c r="F115" s="31"/>
      <c r="G115" s="32"/>
    </row>
    <row r="116" spans="1:7" s="60" customFormat="1" ht="21">
      <c r="A116" s="58">
        <v>44749</v>
      </c>
      <c r="B116" s="29" t="s">
        <v>186</v>
      </c>
      <c r="C116" s="59">
        <v>435600</v>
      </c>
      <c r="D116" s="29"/>
      <c r="F116" s="59"/>
      <c r="G116" s="61" t="s">
        <v>55</v>
      </c>
    </row>
    <row r="117" spans="1:7" s="70" customFormat="1" ht="21">
      <c r="A117" s="66"/>
      <c r="B117" s="67" t="s">
        <v>187</v>
      </c>
      <c r="C117" s="68"/>
      <c r="D117" s="67"/>
      <c r="E117" s="68">
        <v>0</v>
      </c>
      <c r="F117" s="68"/>
      <c r="G117" s="69" t="s">
        <v>55</v>
      </c>
    </row>
    <row r="118" spans="1:7" s="60" customFormat="1" ht="21">
      <c r="A118" s="58"/>
      <c r="B118" s="29" t="s">
        <v>188</v>
      </c>
      <c r="C118" s="59">
        <v>172500</v>
      </c>
      <c r="D118" s="29"/>
      <c r="E118" s="59">
        <v>0</v>
      </c>
      <c r="F118" s="59"/>
      <c r="G118" s="61" t="s">
        <v>57</v>
      </c>
    </row>
    <row r="119" spans="1:7" ht="21">
      <c r="A119" s="57"/>
      <c r="B119" s="30"/>
      <c r="C119" s="31"/>
      <c r="D119" s="30"/>
      <c r="E119" s="31"/>
      <c r="F119" s="31"/>
      <c r="G119" s="32"/>
    </row>
    <row r="120" spans="1:7" s="60" customFormat="1" ht="21">
      <c r="A120" s="58">
        <v>44750</v>
      </c>
      <c r="B120" s="29" t="s">
        <v>189</v>
      </c>
      <c r="C120" s="59">
        <v>5000000</v>
      </c>
      <c r="D120" s="29"/>
      <c r="F120" s="59"/>
      <c r="G120" s="61" t="s">
        <v>64</v>
      </c>
    </row>
    <row r="121" spans="1:7" s="60" customFormat="1" ht="21">
      <c r="A121" s="58"/>
      <c r="B121" s="29" t="s">
        <v>190</v>
      </c>
      <c r="C121" s="59">
        <v>460000</v>
      </c>
      <c r="D121" s="29"/>
      <c r="F121" s="59"/>
      <c r="G121" s="61" t="s">
        <v>57</v>
      </c>
    </row>
    <row r="122" spans="1:7" s="60" customFormat="1" ht="21">
      <c r="A122" s="58"/>
      <c r="B122" s="29" t="s">
        <v>191</v>
      </c>
      <c r="C122" s="59">
        <v>320100</v>
      </c>
      <c r="D122" s="29"/>
      <c r="E122" s="59">
        <v>0</v>
      </c>
      <c r="F122" s="59"/>
      <c r="G122" s="61" t="s">
        <v>57</v>
      </c>
    </row>
    <row r="123" spans="1:7" s="60" customFormat="1" ht="21">
      <c r="A123" s="58"/>
      <c r="B123" s="29" t="s">
        <v>192</v>
      </c>
      <c r="C123" s="59">
        <v>3180000</v>
      </c>
      <c r="D123" s="29"/>
      <c r="E123" s="59">
        <v>0</v>
      </c>
      <c r="F123" s="59"/>
      <c r="G123" s="61" t="s">
        <v>57</v>
      </c>
    </row>
    <row r="124" spans="1:7" s="60" customFormat="1" ht="21">
      <c r="A124" s="58"/>
      <c r="B124" s="29" t="s">
        <v>193</v>
      </c>
      <c r="C124" s="59">
        <v>1709328</v>
      </c>
      <c r="D124" s="29"/>
      <c r="F124" s="59"/>
      <c r="G124" s="61" t="s">
        <v>57</v>
      </c>
    </row>
    <row r="125" spans="1:7" s="60" customFormat="1" ht="21">
      <c r="A125" s="58"/>
      <c r="B125" s="29" t="s">
        <v>194</v>
      </c>
      <c r="C125" s="59">
        <v>234500</v>
      </c>
      <c r="D125" s="29"/>
      <c r="F125" s="59"/>
      <c r="G125" s="61" t="s">
        <v>57</v>
      </c>
    </row>
    <row r="126" spans="1:7" s="60" customFormat="1" ht="21">
      <c r="A126" s="58"/>
      <c r="B126" s="29" t="s">
        <v>195</v>
      </c>
      <c r="C126" s="59">
        <v>731010</v>
      </c>
      <c r="D126" s="29"/>
      <c r="F126" s="59"/>
      <c r="G126" s="61" t="s">
        <v>57</v>
      </c>
    </row>
    <row r="127" spans="1:7" s="60" customFormat="1" ht="21">
      <c r="A127" s="58"/>
      <c r="B127" s="29" t="s">
        <v>195</v>
      </c>
      <c r="C127" s="59">
        <v>3577500</v>
      </c>
      <c r="D127" s="29"/>
      <c r="F127" s="59"/>
      <c r="G127" s="61" t="s">
        <v>57</v>
      </c>
    </row>
    <row r="128" spans="1:7" s="60" customFormat="1" ht="21">
      <c r="A128" s="58"/>
      <c r="B128" s="29" t="s">
        <v>196</v>
      </c>
      <c r="C128" s="59">
        <v>252358</v>
      </c>
      <c r="D128" s="29"/>
      <c r="E128" s="59">
        <v>0</v>
      </c>
      <c r="F128" s="59"/>
      <c r="G128" s="61" t="s">
        <v>57</v>
      </c>
    </row>
    <row r="129" spans="1:7" s="60" customFormat="1" ht="21">
      <c r="A129" s="58"/>
      <c r="B129" s="29" t="s">
        <v>173</v>
      </c>
      <c r="C129" s="59">
        <v>2000000</v>
      </c>
      <c r="D129" s="29"/>
      <c r="E129" s="59">
        <v>0</v>
      </c>
      <c r="F129" s="59"/>
      <c r="G129" s="61" t="s">
        <v>56</v>
      </c>
    </row>
    <row r="130" spans="1:7" s="60" customFormat="1" ht="21">
      <c r="A130" s="58"/>
      <c r="B130" s="29" t="s">
        <v>68</v>
      </c>
      <c r="C130" s="59">
        <v>26626300</v>
      </c>
      <c r="D130" s="29"/>
      <c r="F130" s="59"/>
      <c r="G130" s="61" t="s">
        <v>56</v>
      </c>
    </row>
    <row r="131" spans="1:7" s="60" customFormat="1" ht="21">
      <c r="A131" s="58"/>
      <c r="B131" s="29" t="s">
        <v>133</v>
      </c>
      <c r="C131" s="59">
        <v>30885816</v>
      </c>
      <c r="D131" s="29"/>
      <c r="F131" s="59"/>
      <c r="G131" s="61" t="s">
        <v>56</v>
      </c>
    </row>
    <row r="132" spans="1:7" ht="21">
      <c r="A132" s="57"/>
      <c r="B132" s="30"/>
      <c r="C132" s="31"/>
      <c r="D132" s="30"/>
      <c r="E132" s="31"/>
      <c r="F132" s="31"/>
      <c r="G132" s="32"/>
    </row>
    <row r="133" spans="1:7" ht="21">
      <c r="A133" s="57"/>
      <c r="B133" s="30"/>
      <c r="C133" s="31"/>
      <c r="D133" s="30"/>
      <c r="E133" s="31"/>
      <c r="F133" s="31"/>
      <c r="G133" s="32"/>
    </row>
    <row r="134" spans="1:7" s="74" customFormat="1" ht="21">
      <c r="A134" s="71">
        <v>44753</v>
      </c>
      <c r="B134" s="72" t="s">
        <v>197</v>
      </c>
      <c r="C134" s="73">
        <v>1680000</v>
      </c>
      <c r="D134" s="72" t="s">
        <v>198</v>
      </c>
      <c r="E134" s="73">
        <v>0</v>
      </c>
      <c r="F134" s="73"/>
      <c r="G134" s="75" t="s">
        <v>53</v>
      </c>
    </row>
    <row r="135" spans="1:7" s="65" customFormat="1" ht="21">
      <c r="A135" s="62"/>
      <c r="B135" s="56" t="s">
        <v>199</v>
      </c>
      <c r="C135" s="63">
        <v>2939261</v>
      </c>
      <c r="D135" s="56"/>
      <c r="F135" s="63"/>
      <c r="G135" s="64" t="s">
        <v>55</v>
      </c>
    </row>
    <row r="136" spans="1:7" s="60" customFormat="1" ht="21">
      <c r="A136" s="58"/>
      <c r="B136" s="29" t="s">
        <v>200</v>
      </c>
      <c r="C136" s="59">
        <v>917852</v>
      </c>
      <c r="D136" s="29"/>
      <c r="F136" s="59"/>
      <c r="G136" s="61" t="s">
        <v>55</v>
      </c>
    </row>
    <row r="137" spans="1:7" ht="21">
      <c r="A137" s="57"/>
      <c r="B137" s="30" t="s">
        <v>201</v>
      </c>
      <c r="C137" s="31">
        <v>1100013090</v>
      </c>
      <c r="D137" s="30"/>
      <c r="F137" s="31"/>
      <c r="G137" s="32" t="s">
        <v>58</v>
      </c>
    </row>
    <row r="138" spans="1:7" s="74" customFormat="1" ht="21">
      <c r="A138" s="71"/>
      <c r="B138" s="72" t="s">
        <v>202</v>
      </c>
      <c r="C138" s="73">
        <v>3000000</v>
      </c>
      <c r="D138" s="72"/>
      <c r="E138" s="73">
        <v>0</v>
      </c>
      <c r="F138" s="73"/>
      <c r="G138" s="75" t="s">
        <v>57</v>
      </c>
    </row>
    <row r="139" spans="1:7" s="70" customFormat="1" ht="21">
      <c r="A139" s="66"/>
      <c r="B139" s="67" t="s">
        <v>125</v>
      </c>
      <c r="C139" s="68">
        <v>1440910</v>
      </c>
      <c r="D139" s="67"/>
      <c r="F139" s="68"/>
      <c r="G139" s="69" t="s">
        <v>57</v>
      </c>
    </row>
    <row r="140" spans="1:7" s="60" customFormat="1" ht="21">
      <c r="A140" s="58"/>
      <c r="B140" s="29" t="s">
        <v>92</v>
      </c>
      <c r="C140" s="59">
        <v>67640</v>
      </c>
      <c r="D140" s="29"/>
      <c r="E140" s="59">
        <v>0</v>
      </c>
      <c r="F140" s="59"/>
      <c r="G140" s="61" t="s">
        <v>57</v>
      </c>
    </row>
    <row r="141" spans="1:7" s="60" customFormat="1" ht="21">
      <c r="A141" s="58"/>
      <c r="B141" s="29" t="s">
        <v>92</v>
      </c>
      <c r="C141" s="59">
        <v>683770</v>
      </c>
      <c r="D141" s="29"/>
      <c r="E141" s="59">
        <v>0</v>
      </c>
      <c r="F141" s="59"/>
      <c r="G141" s="61" t="s">
        <v>57</v>
      </c>
    </row>
    <row r="142" spans="1:7" s="60" customFormat="1" ht="21">
      <c r="A142" s="58"/>
      <c r="B142" s="29" t="s">
        <v>195</v>
      </c>
      <c r="C142" s="59">
        <v>752840</v>
      </c>
      <c r="D142" s="29"/>
      <c r="E142" s="59">
        <v>0</v>
      </c>
      <c r="F142" s="59"/>
      <c r="G142" s="61" t="s">
        <v>57</v>
      </c>
    </row>
    <row r="143" spans="1:7" s="60" customFormat="1" ht="21">
      <c r="A143" s="58"/>
      <c r="B143" s="29" t="s">
        <v>203</v>
      </c>
      <c r="C143" s="59">
        <v>726000</v>
      </c>
      <c r="D143" s="29"/>
      <c r="E143" s="59">
        <v>0</v>
      </c>
      <c r="F143" s="59"/>
      <c r="G143" s="61" t="s">
        <v>56</v>
      </c>
    </row>
    <row r="144" spans="1:7" s="60" customFormat="1" ht="21">
      <c r="A144" s="58"/>
      <c r="B144" s="29" t="s">
        <v>204</v>
      </c>
      <c r="C144" s="59">
        <v>1516680</v>
      </c>
      <c r="D144" s="29"/>
      <c r="E144" s="59">
        <v>0</v>
      </c>
      <c r="F144" s="59"/>
      <c r="G144" s="61" t="s">
        <v>56</v>
      </c>
    </row>
    <row r="145" spans="1:7" s="60" customFormat="1" ht="21">
      <c r="A145" s="58"/>
      <c r="B145" s="29" t="s">
        <v>205</v>
      </c>
      <c r="C145" s="59">
        <v>4000000</v>
      </c>
      <c r="D145" s="29"/>
      <c r="E145" s="59">
        <v>0</v>
      </c>
      <c r="F145" s="59"/>
      <c r="G145" s="61" t="s">
        <v>56</v>
      </c>
    </row>
    <row r="146" spans="1:7" ht="21">
      <c r="A146" s="57"/>
      <c r="B146" s="30"/>
      <c r="C146" s="31"/>
      <c r="D146" s="30"/>
      <c r="E146" s="31"/>
      <c r="F146" s="31"/>
      <c r="G146" s="32"/>
    </row>
    <row r="147" spans="1:7" ht="21">
      <c r="A147" s="57"/>
      <c r="B147" s="30"/>
      <c r="C147" s="31"/>
      <c r="D147" s="30"/>
      <c r="E147" s="31"/>
      <c r="F147" s="31"/>
      <c r="G147" s="32"/>
    </row>
    <row r="148" spans="1:7" s="70" customFormat="1" ht="21">
      <c r="A148" s="66">
        <v>44754</v>
      </c>
      <c r="B148" s="67" t="s">
        <v>206</v>
      </c>
      <c r="C148" s="68"/>
      <c r="D148" s="67"/>
      <c r="F148" s="68"/>
      <c r="G148" s="69" t="s">
        <v>60</v>
      </c>
    </row>
    <row r="149" spans="1:7" s="60" customFormat="1" ht="21">
      <c r="A149" s="58"/>
      <c r="B149" s="29" t="s">
        <v>146</v>
      </c>
      <c r="C149" s="59">
        <v>24018523</v>
      </c>
      <c r="D149" s="29"/>
      <c r="F149" s="59"/>
      <c r="G149" s="61" t="s">
        <v>58</v>
      </c>
    </row>
    <row r="150" spans="1:7" s="60" customFormat="1" ht="21">
      <c r="A150" s="58"/>
      <c r="B150" s="29" t="s">
        <v>196</v>
      </c>
      <c r="C150" s="59">
        <v>154000</v>
      </c>
      <c r="D150" s="29"/>
      <c r="E150" s="59">
        <v>0</v>
      </c>
      <c r="F150" s="59"/>
      <c r="G150" s="61" t="s">
        <v>57</v>
      </c>
    </row>
    <row r="151" spans="1:7" s="60" customFormat="1" ht="21">
      <c r="A151" s="58"/>
      <c r="B151" s="29" t="s">
        <v>67</v>
      </c>
      <c r="C151" s="59">
        <v>386342</v>
      </c>
      <c r="D151" s="29"/>
      <c r="F151" s="59"/>
      <c r="G151" s="61" t="s">
        <v>57</v>
      </c>
    </row>
    <row r="152" spans="1:7" s="60" customFormat="1" ht="21">
      <c r="A152" s="58"/>
      <c r="B152" s="29" t="s">
        <v>207</v>
      </c>
      <c r="C152" s="59">
        <v>1386000</v>
      </c>
      <c r="D152" s="29"/>
      <c r="E152" s="59">
        <v>0</v>
      </c>
      <c r="F152" s="59"/>
      <c r="G152" s="61" t="s">
        <v>56</v>
      </c>
    </row>
    <row r="153" spans="1:7" ht="21">
      <c r="A153" s="57"/>
      <c r="B153" s="30"/>
      <c r="C153" s="31"/>
      <c r="D153" s="30"/>
      <c r="E153" s="31"/>
      <c r="F153" s="31"/>
      <c r="G153" s="32"/>
    </row>
    <row r="154" spans="1:7" ht="21">
      <c r="A154" s="57"/>
      <c r="B154" s="30"/>
      <c r="C154" s="31"/>
      <c r="D154" s="30"/>
      <c r="E154" s="31"/>
      <c r="F154" s="31"/>
      <c r="G154" s="32"/>
    </row>
    <row r="155" spans="1:7" s="60" customFormat="1" ht="21">
      <c r="A155" s="58">
        <v>44755</v>
      </c>
      <c r="B155" s="29" t="s">
        <v>208</v>
      </c>
      <c r="C155" s="59">
        <v>435600</v>
      </c>
      <c r="D155" s="29"/>
      <c r="F155" s="59"/>
      <c r="G155" s="61" t="s">
        <v>60</v>
      </c>
    </row>
    <row r="156" spans="1:7" s="60" customFormat="1" ht="21">
      <c r="A156" s="58"/>
      <c r="B156" s="29" t="s">
        <v>209</v>
      </c>
      <c r="C156" s="59">
        <v>13035800</v>
      </c>
      <c r="D156" s="29"/>
      <c r="F156" s="59"/>
      <c r="G156" s="61" t="s">
        <v>60</v>
      </c>
    </row>
    <row r="157" spans="1:7" s="88" customFormat="1" ht="21">
      <c r="A157" s="85"/>
      <c r="B157" s="86" t="s">
        <v>210</v>
      </c>
      <c r="C157" s="87">
        <v>62971872</v>
      </c>
      <c r="D157" s="86"/>
      <c r="F157" s="87"/>
      <c r="G157" s="89" t="s">
        <v>60</v>
      </c>
    </row>
    <row r="158" spans="1:7" s="60" customFormat="1" ht="21">
      <c r="A158" s="58"/>
      <c r="B158" s="29" t="s">
        <v>211</v>
      </c>
      <c r="C158" s="59">
        <v>792000</v>
      </c>
      <c r="D158" s="29"/>
      <c r="F158" s="59"/>
      <c r="G158" s="61" t="s">
        <v>64</v>
      </c>
    </row>
    <row r="159" spans="1:7" s="60" customFormat="1" ht="21">
      <c r="A159" s="58"/>
      <c r="B159" s="29" t="s">
        <v>212</v>
      </c>
      <c r="C159" s="59">
        <v>2476800</v>
      </c>
      <c r="D159" s="29"/>
      <c r="F159" s="59"/>
      <c r="G159" s="61" t="s">
        <v>64</v>
      </c>
    </row>
    <row r="160" spans="1:7" s="70" customFormat="1" ht="21">
      <c r="A160" s="66"/>
      <c r="B160" s="67" t="s">
        <v>96</v>
      </c>
      <c r="C160" s="68">
        <v>1886203</v>
      </c>
      <c r="D160" s="67"/>
      <c r="E160" s="68"/>
      <c r="F160" s="68"/>
      <c r="G160" s="69" t="s">
        <v>53</v>
      </c>
    </row>
    <row r="161" spans="1:7" s="70" customFormat="1" ht="21">
      <c r="A161" s="66"/>
      <c r="B161" s="67" t="s">
        <v>187</v>
      </c>
      <c r="C161" s="68"/>
      <c r="D161" s="67"/>
      <c r="F161" s="68"/>
      <c r="G161" s="69" t="s">
        <v>90</v>
      </c>
    </row>
    <row r="162" spans="1:7" s="60" customFormat="1" ht="21">
      <c r="A162" s="58"/>
      <c r="B162" s="29" t="s">
        <v>213</v>
      </c>
      <c r="C162" s="59">
        <v>224250</v>
      </c>
      <c r="D162" s="29"/>
      <c r="E162" s="59">
        <v>0</v>
      </c>
      <c r="F162" s="59"/>
      <c r="G162" s="61" t="s">
        <v>57</v>
      </c>
    </row>
    <row r="163" spans="1:7" s="60" customFormat="1" ht="21">
      <c r="A163" s="58"/>
      <c r="B163" s="29" t="s">
        <v>191</v>
      </c>
      <c r="C163" s="59">
        <v>46700</v>
      </c>
      <c r="D163" s="29"/>
      <c r="E163" s="59">
        <v>0</v>
      </c>
      <c r="F163" s="59"/>
      <c r="G163" s="61" t="s">
        <v>57</v>
      </c>
    </row>
    <row r="164" spans="1:7" s="60" customFormat="1" ht="21">
      <c r="A164" s="58"/>
      <c r="B164" s="29" t="s">
        <v>214</v>
      </c>
      <c r="C164" s="59">
        <v>225919</v>
      </c>
      <c r="D164" s="29"/>
      <c r="E164" s="59">
        <v>0</v>
      </c>
      <c r="F164" s="59"/>
      <c r="G164" s="61" t="s">
        <v>57</v>
      </c>
    </row>
    <row r="165" spans="1:7" s="70" customFormat="1" ht="21">
      <c r="A165" s="66"/>
      <c r="B165" s="67" t="s">
        <v>215</v>
      </c>
      <c r="C165" s="68">
        <v>31945586</v>
      </c>
      <c r="D165" s="67"/>
      <c r="E165" s="68">
        <v>0</v>
      </c>
      <c r="F165" s="68"/>
      <c r="G165" s="69" t="s">
        <v>57</v>
      </c>
    </row>
    <row r="166" spans="1:7" s="60" customFormat="1" ht="21">
      <c r="A166" s="58"/>
      <c r="B166" s="29" t="s">
        <v>59</v>
      </c>
      <c r="C166" s="59">
        <v>250750</v>
      </c>
      <c r="D166" s="29"/>
      <c r="E166" s="59">
        <v>0</v>
      </c>
      <c r="F166" s="59"/>
      <c r="G166" s="61" t="s">
        <v>57</v>
      </c>
    </row>
    <row r="167" spans="1:7" s="60" customFormat="1" ht="21">
      <c r="A167" s="58"/>
      <c r="B167" s="29" t="s">
        <v>216</v>
      </c>
      <c r="C167" s="59">
        <v>414000</v>
      </c>
      <c r="D167" s="29"/>
      <c r="E167" s="59">
        <v>0</v>
      </c>
      <c r="F167" s="59"/>
      <c r="G167" s="61" t="s">
        <v>57</v>
      </c>
    </row>
    <row r="168" spans="1:7" s="60" customFormat="1" ht="21">
      <c r="A168" s="58"/>
      <c r="B168" s="29" t="s">
        <v>217</v>
      </c>
      <c r="C168" s="59">
        <v>517310</v>
      </c>
      <c r="D168" s="29"/>
      <c r="E168" s="59">
        <v>0</v>
      </c>
      <c r="F168" s="59"/>
      <c r="G168" s="61" t="s">
        <v>57</v>
      </c>
    </row>
    <row r="169" spans="1:7" s="74" customFormat="1" ht="21">
      <c r="A169" s="71"/>
      <c r="B169" s="72" t="s">
        <v>93</v>
      </c>
      <c r="C169" s="73">
        <v>500000</v>
      </c>
      <c r="D169" s="72"/>
      <c r="E169" s="73">
        <v>0</v>
      </c>
      <c r="F169" s="73"/>
      <c r="G169" s="75" t="s">
        <v>57</v>
      </c>
    </row>
    <row r="170" spans="1:7" s="60" customFormat="1" ht="21">
      <c r="A170" s="58"/>
      <c r="B170" s="29" t="s">
        <v>218</v>
      </c>
      <c r="C170" s="59">
        <v>871200</v>
      </c>
      <c r="D170" s="29"/>
      <c r="E170" s="59">
        <v>0</v>
      </c>
      <c r="F170" s="59"/>
      <c r="G170" s="61" t="s">
        <v>56</v>
      </c>
    </row>
    <row r="171" spans="1:7" s="60" customFormat="1" ht="21">
      <c r="A171" s="58"/>
      <c r="B171" s="29" t="s">
        <v>84</v>
      </c>
      <c r="C171" s="59">
        <v>1000000</v>
      </c>
      <c r="D171" s="29"/>
      <c r="E171" s="59">
        <v>0</v>
      </c>
      <c r="F171" s="59"/>
      <c r="G171" s="61" t="s">
        <v>56</v>
      </c>
    </row>
    <row r="172" spans="1:7" s="60" customFormat="1" ht="21">
      <c r="A172" s="58"/>
      <c r="B172" s="29" t="s">
        <v>219</v>
      </c>
      <c r="C172" s="59">
        <v>1800000</v>
      </c>
      <c r="D172" s="29"/>
      <c r="E172" s="59">
        <v>0</v>
      </c>
      <c r="F172" s="59"/>
      <c r="G172" s="61" t="s">
        <v>56</v>
      </c>
    </row>
    <row r="173" spans="1:7" s="60" customFormat="1" ht="21">
      <c r="A173" s="58"/>
      <c r="B173" s="29" t="s">
        <v>220</v>
      </c>
      <c r="C173" s="59">
        <v>3794940</v>
      </c>
      <c r="D173" s="29"/>
      <c r="E173" s="59">
        <v>0</v>
      </c>
      <c r="F173" s="59"/>
      <c r="G173" s="61" t="s">
        <v>56</v>
      </c>
    </row>
    <row r="174" spans="1:7" ht="21">
      <c r="A174" s="57"/>
      <c r="B174" s="30"/>
      <c r="C174" s="31"/>
      <c r="D174" s="30"/>
      <c r="E174" s="31"/>
      <c r="F174" s="31"/>
      <c r="G174" s="32"/>
    </row>
    <row r="175" spans="1:7" ht="21">
      <c r="A175" s="57"/>
      <c r="B175" s="30"/>
      <c r="C175" s="31"/>
      <c r="D175" s="30"/>
      <c r="E175" s="31"/>
      <c r="F175" s="31"/>
      <c r="G175" s="32"/>
    </row>
    <row r="176" spans="1:7" s="60" customFormat="1" ht="21">
      <c r="A176" s="58">
        <v>44756</v>
      </c>
      <c r="B176" s="29" t="s">
        <v>221</v>
      </c>
      <c r="C176" s="59">
        <v>9200000</v>
      </c>
      <c r="D176" s="29"/>
      <c r="F176" s="59"/>
      <c r="G176" s="61" t="s">
        <v>60</v>
      </c>
    </row>
    <row r="177" spans="1:7" s="60" customFormat="1" ht="21">
      <c r="A177" s="58"/>
      <c r="B177" s="29" t="s">
        <v>222</v>
      </c>
      <c r="C177" s="59">
        <v>42007831</v>
      </c>
      <c r="D177" s="29"/>
      <c r="F177" s="59"/>
      <c r="G177" s="61" t="s">
        <v>60</v>
      </c>
    </row>
    <row r="178" spans="1:7" s="60" customFormat="1" ht="21">
      <c r="A178" s="58"/>
      <c r="B178" s="29" t="s">
        <v>69</v>
      </c>
      <c r="C178" s="59">
        <v>6670000</v>
      </c>
      <c r="D178" s="29"/>
      <c r="F178" s="59"/>
      <c r="G178" s="61" t="s">
        <v>64</v>
      </c>
    </row>
    <row r="179" spans="1:7" s="60" customFormat="1" ht="21">
      <c r="A179" s="58"/>
      <c r="B179" s="29" t="s">
        <v>194</v>
      </c>
      <c r="C179" s="59">
        <v>3275773</v>
      </c>
      <c r="D179" s="29"/>
      <c r="F179" s="59"/>
      <c r="G179" s="61" t="s">
        <v>55</v>
      </c>
    </row>
    <row r="180" spans="1:7" s="60" customFormat="1" ht="21">
      <c r="A180" s="58"/>
      <c r="B180" s="29" t="s">
        <v>223</v>
      </c>
      <c r="C180" s="59">
        <v>22771072</v>
      </c>
      <c r="D180" s="29"/>
      <c r="F180" s="59"/>
      <c r="G180" s="61" t="s">
        <v>58</v>
      </c>
    </row>
    <row r="181" spans="1:7" s="60" customFormat="1" ht="21">
      <c r="A181" s="58"/>
      <c r="B181" s="29" t="s">
        <v>224</v>
      </c>
      <c r="C181" s="59">
        <v>5009623</v>
      </c>
      <c r="D181" s="29"/>
      <c r="F181" s="59"/>
      <c r="G181" s="61" t="s">
        <v>90</v>
      </c>
    </row>
    <row r="182" spans="1:7" s="60" customFormat="1" ht="21">
      <c r="A182" s="58"/>
      <c r="B182" s="29" t="s">
        <v>225</v>
      </c>
      <c r="C182" s="59">
        <v>528600</v>
      </c>
      <c r="D182" s="29"/>
      <c r="F182" s="59"/>
      <c r="G182" s="61" t="s">
        <v>57</v>
      </c>
    </row>
    <row r="183" spans="1:7" s="60" customFormat="1" ht="21">
      <c r="A183" s="58"/>
      <c r="B183" s="29" t="s">
        <v>142</v>
      </c>
      <c r="C183" s="59">
        <v>396750</v>
      </c>
      <c r="D183" s="29"/>
      <c r="E183" s="59">
        <v>0</v>
      </c>
      <c r="F183" s="59"/>
      <c r="G183" s="61" t="s">
        <v>57</v>
      </c>
    </row>
    <row r="184" spans="1:7" s="60" customFormat="1" ht="21">
      <c r="A184" s="58"/>
      <c r="B184" s="29" t="s">
        <v>226</v>
      </c>
      <c r="C184" s="59">
        <v>1452000</v>
      </c>
      <c r="D184" s="29"/>
      <c r="E184" s="59">
        <v>0</v>
      </c>
      <c r="F184" s="59"/>
      <c r="G184" s="61" t="s">
        <v>57</v>
      </c>
    </row>
    <row r="185" spans="1:7" s="60" customFormat="1" ht="21">
      <c r="A185" s="58"/>
      <c r="B185" s="29" t="s">
        <v>227</v>
      </c>
      <c r="C185" s="59">
        <v>354850</v>
      </c>
      <c r="D185" s="29"/>
      <c r="E185" s="59">
        <v>0</v>
      </c>
      <c r="F185" s="59"/>
      <c r="G185" s="61" t="s">
        <v>57</v>
      </c>
    </row>
    <row r="186" spans="1:7" s="60" customFormat="1" ht="21">
      <c r="A186" s="58"/>
      <c r="B186" s="29" t="s">
        <v>228</v>
      </c>
      <c r="C186" s="59">
        <v>660000</v>
      </c>
      <c r="D186" s="29"/>
      <c r="F186" s="59"/>
      <c r="G186" s="61" t="s">
        <v>56</v>
      </c>
    </row>
    <row r="187" spans="1:7" s="60" customFormat="1" ht="21">
      <c r="A187" s="58"/>
      <c r="B187" s="29" t="s">
        <v>229</v>
      </c>
      <c r="C187" s="59">
        <v>726000</v>
      </c>
      <c r="D187" s="29"/>
      <c r="F187" s="59"/>
      <c r="G187" s="61" t="s">
        <v>56</v>
      </c>
    </row>
    <row r="188" spans="1:7" s="60" customFormat="1" ht="21">
      <c r="A188" s="58"/>
      <c r="B188" s="29" t="s">
        <v>230</v>
      </c>
      <c r="C188" s="59">
        <v>880000</v>
      </c>
      <c r="D188" s="29"/>
      <c r="F188" s="59"/>
      <c r="G188" s="61" t="s">
        <v>56</v>
      </c>
    </row>
    <row r="189" spans="1:7" s="60" customFormat="1" ht="21">
      <c r="A189" s="58"/>
      <c r="B189" s="29" t="s">
        <v>231</v>
      </c>
      <c r="C189" s="59">
        <v>924000</v>
      </c>
      <c r="D189" s="29"/>
      <c r="F189" s="59"/>
      <c r="G189" s="61" t="s">
        <v>56</v>
      </c>
    </row>
    <row r="190" spans="1:7" s="60" customFormat="1" ht="21">
      <c r="A190" s="58"/>
      <c r="B190" s="29" t="s">
        <v>232</v>
      </c>
      <c r="C190" s="59">
        <v>1431000</v>
      </c>
      <c r="D190" s="29"/>
      <c r="F190" s="59"/>
      <c r="G190" s="61" t="s">
        <v>56</v>
      </c>
    </row>
    <row r="191" spans="1:7" s="60" customFormat="1" ht="21">
      <c r="A191" s="58"/>
      <c r="B191" s="29" t="s">
        <v>233</v>
      </c>
      <c r="C191" s="59">
        <v>2885850</v>
      </c>
      <c r="D191" s="29"/>
      <c r="F191" s="59"/>
      <c r="G191" s="61" t="s">
        <v>56</v>
      </c>
    </row>
    <row r="192" spans="1:7" ht="21">
      <c r="A192" s="57"/>
      <c r="B192" s="30"/>
      <c r="C192" s="31"/>
      <c r="D192" s="30"/>
      <c r="E192" s="31"/>
      <c r="F192" s="31"/>
      <c r="G192" s="32"/>
    </row>
    <row r="193" spans="1:7" ht="21">
      <c r="A193" s="57"/>
      <c r="B193" s="30"/>
      <c r="C193" s="31"/>
      <c r="D193" s="30"/>
      <c r="E193" s="31"/>
      <c r="F193" s="31"/>
      <c r="G193" s="32"/>
    </row>
    <row r="194" spans="1:7" s="60" customFormat="1" ht="21">
      <c r="A194" s="58">
        <v>44757</v>
      </c>
      <c r="B194" s="29" t="s">
        <v>234</v>
      </c>
      <c r="C194" s="59">
        <v>1584000</v>
      </c>
      <c r="D194" s="29"/>
      <c r="F194" s="59"/>
      <c r="G194" s="61" t="s">
        <v>60</v>
      </c>
    </row>
    <row r="195" spans="1:7" s="60" customFormat="1" ht="21">
      <c r="A195" s="58"/>
      <c r="B195" s="29" t="s">
        <v>235</v>
      </c>
      <c r="C195" s="59">
        <v>726000</v>
      </c>
      <c r="D195" s="29"/>
      <c r="F195" s="59"/>
      <c r="G195" s="61" t="s">
        <v>55</v>
      </c>
    </row>
    <row r="196" spans="1:7" s="60" customFormat="1" ht="21">
      <c r="A196" s="58"/>
      <c r="B196" s="29" t="s">
        <v>236</v>
      </c>
      <c r="C196" s="59">
        <v>74823125</v>
      </c>
      <c r="D196" s="29"/>
      <c r="F196" s="59"/>
      <c r="G196" s="61" t="s">
        <v>58</v>
      </c>
    </row>
    <row r="197" spans="1:7" s="60" customFormat="1" ht="21">
      <c r="A197" s="58"/>
      <c r="B197" s="29" t="s">
        <v>94</v>
      </c>
      <c r="C197" s="59">
        <v>103245561</v>
      </c>
      <c r="D197" s="29"/>
      <c r="F197" s="59"/>
      <c r="G197" s="61" t="s">
        <v>58</v>
      </c>
    </row>
    <row r="198" spans="1:7" s="70" customFormat="1" ht="21">
      <c r="A198" s="66"/>
      <c r="B198" s="67" t="s">
        <v>87</v>
      </c>
      <c r="C198" s="68">
        <v>1600020</v>
      </c>
      <c r="D198" s="67"/>
      <c r="F198" s="68"/>
      <c r="G198" s="69" t="s">
        <v>57</v>
      </c>
    </row>
    <row r="199" spans="1:7" s="60" customFormat="1" ht="21">
      <c r="A199" s="58"/>
      <c r="B199" s="29" t="s">
        <v>237</v>
      </c>
      <c r="C199" s="59">
        <v>3096000</v>
      </c>
      <c r="D199" s="29"/>
      <c r="F199" s="59"/>
      <c r="G199" s="61" t="s">
        <v>56</v>
      </c>
    </row>
    <row r="200" spans="1:7" s="60" customFormat="1" ht="21">
      <c r="A200" s="58"/>
      <c r="B200" s="29" t="s">
        <v>238</v>
      </c>
      <c r="C200" s="59">
        <v>4828995</v>
      </c>
      <c r="D200" s="29"/>
      <c r="F200" s="59"/>
      <c r="G200" s="61" t="s">
        <v>56</v>
      </c>
    </row>
    <row r="201" spans="1:7" ht="21">
      <c r="A201" s="57"/>
      <c r="B201" s="30"/>
      <c r="C201" s="31"/>
      <c r="D201" s="30"/>
      <c r="E201" s="31"/>
      <c r="F201" s="31"/>
      <c r="G201" s="32"/>
    </row>
    <row r="202" spans="1:7" ht="21">
      <c r="A202" s="57"/>
      <c r="B202" s="30"/>
      <c r="C202" s="31"/>
      <c r="D202" s="30"/>
      <c r="E202" s="31"/>
      <c r="F202" s="31"/>
      <c r="G202" s="32"/>
    </row>
    <row r="203" spans="1:7" s="60" customFormat="1" ht="21">
      <c r="A203" s="58">
        <v>44760</v>
      </c>
      <c r="B203" s="29" t="s">
        <v>239</v>
      </c>
      <c r="C203" s="59">
        <v>30259902</v>
      </c>
      <c r="D203" s="29"/>
      <c r="F203" s="59"/>
      <c r="G203" s="61" t="s">
        <v>58</v>
      </c>
    </row>
    <row r="204" spans="1:7" s="60" customFormat="1" ht="21">
      <c r="A204" s="58"/>
      <c r="B204" s="29" t="s">
        <v>240</v>
      </c>
      <c r="C204" s="59">
        <v>862500</v>
      </c>
      <c r="D204" s="29"/>
      <c r="E204" s="59">
        <v>0</v>
      </c>
      <c r="F204" s="59"/>
      <c r="G204" s="61" t="s">
        <v>57</v>
      </c>
    </row>
    <row r="205" spans="1:7" s="60" customFormat="1" ht="21">
      <c r="A205" s="58"/>
      <c r="B205" s="29" t="s">
        <v>70</v>
      </c>
      <c r="C205" s="59">
        <v>12009899</v>
      </c>
      <c r="D205" s="29"/>
      <c r="E205" s="59">
        <v>0</v>
      </c>
      <c r="F205" s="59"/>
      <c r="G205" s="61" t="s">
        <v>57</v>
      </c>
    </row>
    <row r="206" spans="1:7" s="60" customFormat="1" ht="21">
      <c r="A206" s="58"/>
      <c r="B206" s="29" t="s">
        <v>241</v>
      </c>
      <c r="C206" s="59">
        <v>528000</v>
      </c>
      <c r="D206" s="29"/>
      <c r="E206" s="59">
        <v>0</v>
      </c>
      <c r="F206" s="59"/>
      <c r="G206" s="61" t="s">
        <v>57</v>
      </c>
    </row>
    <row r="207" spans="1:7" s="60" customFormat="1" ht="21">
      <c r="A207" s="58"/>
      <c r="B207" s="29" t="s">
        <v>242</v>
      </c>
      <c r="C207" s="59">
        <v>157500</v>
      </c>
      <c r="D207" s="29"/>
      <c r="E207" s="59">
        <v>0</v>
      </c>
      <c r="F207" s="59"/>
      <c r="G207" s="61" t="s">
        <v>57</v>
      </c>
    </row>
    <row r="208" spans="1:7" s="60" customFormat="1" ht="21">
      <c r="A208" s="58"/>
      <c r="B208" s="29" t="s">
        <v>93</v>
      </c>
      <c r="C208" s="59">
        <v>75750000</v>
      </c>
      <c r="D208" s="29"/>
      <c r="F208" s="59"/>
      <c r="G208" s="61" t="s">
        <v>54</v>
      </c>
    </row>
    <row r="209" spans="1:7" s="60" customFormat="1" ht="21">
      <c r="A209" s="58"/>
      <c r="B209" s="29" t="s">
        <v>243</v>
      </c>
      <c r="C209" s="59">
        <v>798600</v>
      </c>
      <c r="D209" s="29"/>
      <c r="F209" s="59"/>
      <c r="G209" s="61" t="s">
        <v>54</v>
      </c>
    </row>
    <row r="210" spans="1:7" s="60" customFormat="1" ht="21">
      <c r="A210" s="58"/>
      <c r="B210" s="29" t="s">
        <v>244</v>
      </c>
      <c r="C210" s="59">
        <v>2151280</v>
      </c>
      <c r="D210" s="29"/>
      <c r="F210" s="59"/>
      <c r="G210" s="61" t="s">
        <v>54</v>
      </c>
    </row>
    <row r="211" spans="1:7" s="60" customFormat="1" ht="21">
      <c r="A211" s="58"/>
      <c r="B211" s="29" t="s">
        <v>245</v>
      </c>
      <c r="C211" s="59">
        <v>633600</v>
      </c>
      <c r="D211" s="29"/>
      <c r="F211" s="59"/>
      <c r="G211" s="61" t="s">
        <v>54</v>
      </c>
    </row>
    <row r="212" spans="1:7" s="60" customFormat="1" ht="21">
      <c r="A212" s="58"/>
      <c r="B212" s="29" t="s">
        <v>246</v>
      </c>
      <c r="C212" s="59">
        <v>4425000</v>
      </c>
      <c r="D212" s="29"/>
      <c r="F212" s="59"/>
      <c r="G212" s="61" t="s">
        <v>54</v>
      </c>
    </row>
    <row r="213" spans="1:7" s="60" customFormat="1" ht="21">
      <c r="A213" s="58"/>
      <c r="B213" s="29" t="s">
        <v>181</v>
      </c>
      <c r="C213" s="59">
        <v>3733767</v>
      </c>
      <c r="D213" s="29"/>
      <c r="E213" s="59">
        <v>0</v>
      </c>
      <c r="F213" s="59"/>
      <c r="G213" s="61" t="s">
        <v>54</v>
      </c>
    </row>
    <row r="214" spans="1:7" ht="21">
      <c r="A214" s="57"/>
      <c r="B214" s="30"/>
      <c r="C214" s="31"/>
      <c r="D214" s="30"/>
      <c r="E214" s="31"/>
      <c r="F214" s="31"/>
      <c r="G214" s="32"/>
    </row>
    <row r="215" spans="1:7" s="60" customFormat="1" ht="21">
      <c r="A215" s="58">
        <v>44761</v>
      </c>
      <c r="B215" s="29" t="s">
        <v>247</v>
      </c>
      <c r="C215" s="59">
        <v>2210352</v>
      </c>
      <c r="D215" s="29"/>
      <c r="F215" s="59"/>
      <c r="G215" s="61" t="s">
        <v>64</v>
      </c>
    </row>
    <row r="216" spans="1:7" s="60" customFormat="1" ht="21">
      <c r="A216" s="58"/>
      <c r="B216" s="29" t="s">
        <v>140</v>
      </c>
      <c r="C216" s="59">
        <v>5202600</v>
      </c>
      <c r="D216" s="29"/>
      <c r="F216" s="59"/>
      <c r="G216" s="61" t="s">
        <v>58</v>
      </c>
    </row>
    <row r="217" spans="1:7" s="60" customFormat="1" ht="21">
      <c r="A217" s="58"/>
      <c r="B217" s="29" t="s">
        <v>89</v>
      </c>
      <c r="C217" s="59">
        <v>12921705</v>
      </c>
      <c r="D217" s="29"/>
      <c r="F217" s="59"/>
      <c r="G217" s="61" t="s">
        <v>90</v>
      </c>
    </row>
    <row r="218" spans="1:7" s="60" customFormat="1" ht="21">
      <c r="A218" s="58"/>
      <c r="B218" s="29" t="s">
        <v>248</v>
      </c>
      <c r="C218" s="59">
        <v>580800</v>
      </c>
      <c r="D218" s="29"/>
      <c r="E218" s="59">
        <v>0</v>
      </c>
      <c r="F218" s="59"/>
      <c r="G218" s="61" t="s">
        <v>57</v>
      </c>
    </row>
    <row r="219" spans="1:7" s="60" customFormat="1" ht="21">
      <c r="A219" s="58"/>
      <c r="B219" s="29" t="s">
        <v>249</v>
      </c>
      <c r="C219" s="59">
        <v>174600</v>
      </c>
      <c r="D219" s="29"/>
      <c r="E219" s="59">
        <v>0</v>
      </c>
      <c r="F219" s="59"/>
      <c r="G219" s="61" t="s">
        <v>57</v>
      </c>
    </row>
    <row r="220" spans="1:7" s="60" customFormat="1" ht="21">
      <c r="A220" s="58"/>
      <c r="B220" s="29" t="s">
        <v>94</v>
      </c>
      <c r="C220" s="59">
        <v>1566415</v>
      </c>
      <c r="D220" s="29"/>
      <c r="F220" s="59"/>
      <c r="G220" s="61" t="s">
        <v>57</v>
      </c>
    </row>
    <row r="221" spans="1:7" s="60" customFormat="1" ht="21">
      <c r="A221" s="58"/>
      <c r="B221" s="29" t="s">
        <v>250</v>
      </c>
      <c r="C221" s="59">
        <v>70800</v>
      </c>
      <c r="D221" s="29"/>
      <c r="E221" s="59">
        <v>0</v>
      </c>
      <c r="F221" s="59"/>
      <c r="G221" s="61" t="s">
        <v>57</v>
      </c>
    </row>
    <row r="222" spans="1:7" s="60" customFormat="1" ht="21">
      <c r="A222" s="58"/>
      <c r="B222" s="29" t="s">
        <v>251</v>
      </c>
      <c r="C222" s="59">
        <v>261900</v>
      </c>
      <c r="D222" s="29"/>
      <c r="E222" s="59">
        <v>0</v>
      </c>
      <c r="F222" s="59"/>
      <c r="G222" s="61" t="s">
        <v>57</v>
      </c>
    </row>
    <row r="223" spans="1:7" ht="21">
      <c r="A223" s="57"/>
      <c r="B223" s="30"/>
      <c r="C223" s="31"/>
      <c r="D223" s="30"/>
      <c r="E223" s="31"/>
      <c r="F223" s="31"/>
      <c r="G223" s="32"/>
    </row>
    <row r="224" spans="1:7" s="60" customFormat="1" ht="21">
      <c r="A224" s="58" t="s">
        <v>252</v>
      </c>
      <c r="B224" s="29" t="s">
        <v>100</v>
      </c>
      <c r="C224" s="59">
        <v>594697</v>
      </c>
      <c r="D224" s="29"/>
      <c r="F224" s="59"/>
      <c r="G224" s="61" t="s">
        <v>55</v>
      </c>
    </row>
    <row r="225" spans="1:7" s="60" customFormat="1" ht="21">
      <c r="A225" s="58"/>
      <c r="B225" s="29" t="s">
        <v>61</v>
      </c>
      <c r="C225" s="59">
        <v>768361</v>
      </c>
      <c r="D225" s="29"/>
      <c r="F225" s="59"/>
      <c r="G225" s="61" t="s">
        <v>55</v>
      </c>
    </row>
    <row r="226" spans="1:7" s="60" customFormat="1" ht="21">
      <c r="A226" s="58"/>
      <c r="B226" s="29" t="s">
        <v>253</v>
      </c>
      <c r="C226" s="59">
        <v>1031250</v>
      </c>
      <c r="D226" s="29"/>
      <c r="F226" s="59"/>
      <c r="G226" s="61" t="s">
        <v>55</v>
      </c>
    </row>
    <row r="227" spans="1:7" s="60" customFormat="1" ht="21">
      <c r="A227" s="58"/>
      <c r="B227" s="29" t="s">
        <v>254</v>
      </c>
      <c r="C227" s="59">
        <v>1200000</v>
      </c>
      <c r="D227" s="29"/>
      <c r="E227" s="59">
        <v>0</v>
      </c>
      <c r="F227" s="59"/>
      <c r="G227" s="61" t="s">
        <v>57</v>
      </c>
    </row>
    <row r="228" spans="1:7" s="60" customFormat="1" ht="21">
      <c r="A228" s="58"/>
      <c r="B228" s="29" t="s">
        <v>65</v>
      </c>
      <c r="C228" s="59">
        <v>19383759</v>
      </c>
      <c r="D228" s="29"/>
      <c r="E228" s="59">
        <v>0</v>
      </c>
      <c r="F228" s="59"/>
      <c r="G228" s="61" t="s">
        <v>57</v>
      </c>
    </row>
    <row r="229" spans="1:7" s="60" customFormat="1" ht="21">
      <c r="A229" s="58"/>
      <c r="B229" s="29" t="s">
        <v>255</v>
      </c>
      <c r="C229" s="59">
        <v>413000</v>
      </c>
      <c r="D229" s="29"/>
      <c r="E229" s="59">
        <v>0</v>
      </c>
      <c r="F229" s="59"/>
      <c r="G229" s="61" t="s">
        <v>57</v>
      </c>
    </row>
    <row r="230" spans="1:7" ht="21">
      <c r="A230" s="57"/>
      <c r="B230" s="30"/>
      <c r="C230" s="31"/>
      <c r="D230" s="30"/>
      <c r="E230" s="31"/>
      <c r="F230" s="31"/>
      <c r="G230" s="32"/>
    </row>
    <row r="231" spans="1:7" s="60" customFormat="1" ht="21">
      <c r="A231" s="58">
        <v>44763</v>
      </c>
      <c r="B231" s="29" t="s">
        <v>256</v>
      </c>
      <c r="C231" s="59">
        <v>1584000</v>
      </c>
      <c r="D231" s="29"/>
      <c r="F231" s="59"/>
      <c r="G231" s="61" t="s">
        <v>60</v>
      </c>
    </row>
    <row r="232" spans="1:7" s="60" customFormat="1" ht="21">
      <c r="A232" s="58"/>
      <c r="B232" s="29" t="s">
        <v>61</v>
      </c>
      <c r="C232" s="59">
        <v>704186063</v>
      </c>
      <c r="D232" s="29"/>
      <c r="F232" s="59"/>
      <c r="G232" s="61" t="s">
        <v>55</v>
      </c>
    </row>
    <row r="233" spans="1:7" s="60" customFormat="1" ht="21">
      <c r="A233" s="58"/>
      <c r="B233" s="29" t="s">
        <v>257</v>
      </c>
      <c r="C233" s="59">
        <v>24975754</v>
      </c>
      <c r="D233" s="29"/>
      <c r="F233" s="59"/>
      <c r="G233" s="61" t="s">
        <v>58</v>
      </c>
    </row>
    <row r="234" spans="1:7" s="60" customFormat="1" ht="21">
      <c r="A234" s="58"/>
      <c r="B234" s="29" t="s">
        <v>258</v>
      </c>
      <c r="C234" s="59">
        <v>1932612</v>
      </c>
      <c r="D234" s="29"/>
      <c r="F234" s="59"/>
      <c r="G234" s="61" t="s">
        <v>58</v>
      </c>
    </row>
    <row r="235" spans="1:7" s="60" customFormat="1" ht="21">
      <c r="A235" s="58"/>
      <c r="B235" s="29" t="s">
        <v>259</v>
      </c>
      <c r="C235" s="59">
        <v>4151500</v>
      </c>
      <c r="D235" s="29"/>
      <c r="F235" s="59"/>
      <c r="G235" s="61" t="s">
        <v>90</v>
      </c>
    </row>
    <row r="236" spans="1:7" s="60" customFormat="1" ht="21">
      <c r="A236" s="58"/>
      <c r="B236" s="29" t="s">
        <v>260</v>
      </c>
      <c r="C236" s="59">
        <v>884400</v>
      </c>
      <c r="D236" s="29"/>
      <c r="F236" s="59"/>
      <c r="G236" s="61" t="s">
        <v>57</v>
      </c>
    </row>
    <row r="237" spans="1:7" s="60" customFormat="1" ht="21">
      <c r="A237" s="58"/>
      <c r="B237" s="29" t="s">
        <v>261</v>
      </c>
      <c r="C237" s="59">
        <v>451935</v>
      </c>
      <c r="D237" s="29"/>
      <c r="E237" s="59">
        <v>0</v>
      </c>
      <c r="F237" s="59"/>
      <c r="G237" s="61" t="s">
        <v>57</v>
      </c>
    </row>
    <row r="238" spans="1:7" s="60" customFormat="1" ht="21">
      <c r="A238" s="58"/>
      <c r="B238" s="29" t="s">
        <v>262</v>
      </c>
      <c r="C238" s="59">
        <v>377720</v>
      </c>
      <c r="D238" s="29"/>
      <c r="E238" s="59">
        <v>0</v>
      </c>
      <c r="F238" s="59"/>
      <c r="G238" s="61" t="s">
        <v>57</v>
      </c>
    </row>
    <row r="239" spans="1:7" s="60" customFormat="1" ht="21">
      <c r="A239" s="58"/>
      <c r="B239" s="29" t="s">
        <v>97</v>
      </c>
      <c r="C239" s="59">
        <v>2000000</v>
      </c>
      <c r="D239" s="29"/>
      <c r="E239" s="59">
        <v>0</v>
      </c>
      <c r="F239" s="59"/>
      <c r="G239" s="61" t="s">
        <v>57</v>
      </c>
    </row>
    <row r="240" spans="1:7" ht="21">
      <c r="A240" s="57"/>
      <c r="B240" s="30"/>
      <c r="C240" s="31"/>
      <c r="D240" s="30"/>
      <c r="E240" s="31"/>
      <c r="F240" s="31"/>
      <c r="G240" s="32"/>
    </row>
    <row r="241" spans="1:7" s="70" customFormat="1" ht="21">
      <c r="A241" s="66">
        <v>44764</v>
      </c>
      <c r="B241" s="67" t="s">
        <v>263</v>
      </c>
      <c r="C241" s="68">
        <v>6289842</v>
      </c>
      <c r="D241" s="67"/>
      <c r="E241" s="68">
        <v>0</v>
      </c>
      <c r="F241" s="68"/>
      <c r="G241" s="69" t="s">
        <v>53</v>
      </c>
    </row>
    <row r="242" spans="1:7" s="70" customFormat="1" ht="21">
      <c r="A242" s="66"/>
      <c r="B242" s="67" t="s">
        <v>263</v>
      </c>
      <c r="C242" s="68">
        <v>9455843</v>
      </c>
      <c r="D242" s="67"/>
      <c r="E242" s="68">
        <v>0</v>
      </c>
      <c r="F242" s="68"/>
      <c r="G242" s="69" t="s">
        <v>53</v>
      </c>
    </row>
    <row r="243" spans="1:7" s="70" customFormat="1" ht="21">
      <c r="A243" s="66"/>
      <c r="B243" s="67" t="s">
        <v>263</v>
      </c>
      <c r="C243" s="68">
        <v>125440803</v>
      </c>
      <c r="D243" s="67"/>
      <c r="E243" s="68">
        <v>0</v>
      </c>
      <c r="F243" s="68"/>
      <c r="G243" s="69" t="s">
        <v>53</v>
      </c>
    </row>
    <row r="244" spans="1:7" s="60" customFormat="1" ht="21">
      <c r="A244" s="58"/>
      <c r="B244" s="29" t="s">
        <v>264</v>
      </c>
      <c r="C244" s="59">
        <v>200000000</v>
      </c>
      <c r="D244" s="29"/>
      <c r="E244" s="59">
        <v>0</v>
      </c>
      <c r="F244" s="59"/>
      <c r="G244" s="61" t="s">
        <v>53</v>
      </c>
    </row>
    <row r="245" spans="1:7" s="60" customFormat="1" ht="21">
      <c r="A245" s="58"/>
      <c r="B245" s="29" t="s">
        <v>265</v>
      </c>
      <c r="C245" s="59">
        <v>42332442</v>
      </c>
      <c r="D245" s="29"/>
      <c r="F245" s="59"/>
      <c r="G245" s="61" t="s">
        <v>55</v>
      </c>
    </row>
    <row r="246" spans="1:7" s="60" customFormat="1" ht="21">
      <c r="A246" s="58"/>
      <c r="B246" s="29" t="s">
        <v>266</v>
      </c>
      <c r="C246" s="59">
        <v>3796573</v>
      </c>
      <c r="D246" s="29"/>
      <c r="F246" s="59"/>
      <c r="G246" s="61" t="s">
        <v>58</v>
      </c>
    </row>
    <row r="247" spans="1:7" s="60" customFormat="1" ht="21">
      <c r="A247" s="58"/>
      <c r="B247" s="29" t="s">
        <v>101</v>
      </c>
      <c r="C247" s="59">
        <v>4971996</v>
      </c>
      <c r="D247" s="29"/>
      <c r="F247" s="59"/>
      <c r="G247" s="61" t="s">
        <v>58</v>
      </c>
    </row>
    <row r="248" spans="1:7" s="60" customFormat="1" ht="21">
      <c r="A248" s="58"/>
      <c r="B248" s="29" t="s">
        <v>267</v>
      </c>
      <c r="C248" s="59">
        <v>3233798</v>
      </c>
      <c r="D248" s="29"/>
      <c r="F248" s="59"/>
      <c r="G248" s="61" t="s">
        <v>58</v>
      </c>
    </row>
    <row r="249" spans="1:7" s="60" customFormat="1" ht="21">
      <c r="A249" s="58"/>
      <c r="B249" s="29" t="s">
        <v>268</v>
      </c>
      <c r="C249" s="59">
        <v>4828139</v>
      </c>
      <c r="D249" s="29"/>
      <c r="F249" s="59"/>
      <c r="G249" s="61" t="s">
        <v>58</v>
      </c>
    </row>
    <row r="250" spans="1:7" s="60" customFormat="1" ht="21">
      <c r="A250" s="58"/>
      <c r="B250" s="29" t="s">
        <v>114</v>
      </c>
      <c r="C250" s="59">
        <v>14108147</v>
      </c>
      <c r="D250" s="29"/>
      <c r="F250" s="59"/>
      <c r="G250" s="61" t="s">
        <v>58</v>
      </c>
    </row>
    <row r="251" spans="1:7" s="60" customFormat="1" ht="21">
      <c r="A251" s="58"/>
      <c r="B251" s="29" t="s">
        <v>269</v>
      </c>
      <c r="C251" s="59">
        <v>4000000</v>
      </c>
      <c r="D251" s="29"/>
      <c r="E251" s="59">
        <v>0</v>
      </c>
      <c r="F251" s="59"/>
      <c r="G251" s="61" t="s">
        <v>57</v>
      </c>
    </row>
    <row r="252" spans="1:7" s="60" customFormat="1" ht="21">
      <c r="A252" s="58"/>
      <c r="B252" s="29" t="s">
        <v>264</v>
      </c>
      <c r="C252" s="59">
        <v>90000000</v>
      </c>
      <c r="D252" s="29"/>
      <c r="E252" s="59">
        <v>0</v>
      </c>
      <c r="F252" s="59"/>
      <c r="G252" s="61" t="s">
        <v>57</v>
      </c>
    </row>
    <row r="253" spans="1:7" s="70" customFormat="1" ht="21">
      <c r="A253" s="66"/>
      <c r="B253" s="67" t="s">
        <v>215</v>
      </c>
      <c r="C253" s="68">
        <v>13749685</v>
      </c>
      <c r="D253" s="67"/>
      <c r="E253" s="68">
        <v>0</v>
      </c>
      <c r="F253" s="68"/>
      <c r="G253" s="69" t="s">
        <v>57</v>
      </c>
    </row>
    <row r="254" spans="1:7" s="60" customFormat="1" ht="21">
      <c r="A254" s="58"/>
      <c r="B254" s="29" t="s">
        <v>270</v>
      </c>
      <c r="C254" s="59">
        <v>28512000</v>
      </c>
      <c r="D254" s="29"/>
      <c r="E254" s="59">
        <v>0</v>
      </c>
      <c r="F254" s="59"/>
      <c r="G254" s="61" t="s">
        <v>57</v>
      </c>
    </row>
    <row r="255" spans="1:7" s="60" customFormat="1" ht="21">
      <c r="A255" s="58"/>
      <c r="B255" s="29" t="s">
        <v>270</v>
      </c>
      <c r="C255" s="59">
        <v>4750659</v>
      </c>
      <c r="D255" s="29"/>
      <c r="E255" s="59">
        <v>0</v>
      </c>
      <c r="F255" s="59"/>
      <c r="G255" s="61" t="s">
        <v>57</v>
      </c>
    </row>
    <row r="256" spans="1:7" s="60" customFormat="1" ht="21">
      <c r="A256" s="58"/>
      <c r="B256" s="29" t="s">
        <v>271</v>
      </c>
      <c r="C256" s="59">
        <v>2387696</v>
      </c>
      <c r="D256" s="29"/>
      <c r="E256" s="59">
        <v>0</v>
      </c>
      <c r="F256" s="59"/>
      <c r="G256" s="61" t="s">
        <v>57</v>
      </c>
    </row>
    <row r="257" spans="1:7" s="60" customFormat="1" ht="21">
      <c r="A257" s="58"/>
      <c r="B257" s="29" t="s">
        <v>272</v>
      </c>
      <c r="C257" s="59">
        <v>660000</v>
      </c>
      <c r="D257" s="29"/>
      <c r="E257" s="59">
        <v>0</v>
      </c>
      <c r="F257" s="59"/>
      <c r="G257" s="61" t="s">
        <v>56</v>
      </c>
    </row>
    <row r="258" spans="1:7" s="74" customFormat="1" ht="21">
      <c r="A258" s="71"/>
      <c r="B258" s="72" t="s">
        <v>273</v>
      </c>
      <c r="C258" s="73">
        <v>157135974</v>
      </c>
      <c r="D258" s="72"/>
      <c r="F258" s="73"/>
      <c r="G258" s="75">
        <v>0</v>
      </c>
    </row>
    <row r="259" spans="1:7" ht="21">
      <c r="A259" s="57"/>
      <c r="B259" s="30"/>
      <c r="C259" s="31"/>
      <c r="D259" s="30"/>
      <c r="E259" s="31"/>
      <c r="F259" s="31"/>
      <c r="G259" s="32"/>
    </row>
    <row r="260" spans="1:7" s="60" customFormat="1" ht="21">
      <c r="A260" s="58">
        <v>44767</v>
      </c>
      <c r="B260" s="29" t="s">
        <v>274</v>
      </c>
      <c r="C260" s="59">
        <v>6736700</v>
      </c>
      <c r="D260" s="29"/>
      <c r="F260" s="59"/>
      <c r="G260" s="61" t="s">
        <v>64</v>
      </c>
    </row>
    <row r="261" spans="1:7" s="60" customFormat="1" ht="21">
      <c r="A261" s="58"/>
      <c r="B261" s="29" t="s">
        <v>69</v>
      </c>
      <c r="C261" s="59">
        <v>1829305</v>
      </c>
      <c r="D261" s="29"/>
      <c r="F261" s="59"/>
      <c r="G261" s="61" t="s">
        <v>64</v>
      </c>
    </row>
    <row r="262" spans="1:7" s="60" customFormat="1" ht="21">
      <c r="A262" s="58"/>
      <c r="B262" s="29" t="s">
        <v>271</v>
      </c>
      <c r="C262" s="59">
        <v>2027116</v>
      </c>
      <c r="D262" s="29"/>
      <c r="E262" s="59">
        <v>0</v>
      </c>
      <c r="F262" s="59"/>
      <c r="G262" s="61" t="s">
        <v>53</v>
      </c>
    </row>
    <row r="263" spans="1:7" s="60" customFormat="1" ht="21">
      <c r="A263" s="58"/>
      <c r="B263" s="29" t="s">
        <v>275</v>
      </c>
      <c r="C263" s="59">
        <v>1392400</v>
      </c>
      <c r="D263" s="29"/>
      <c r="E263" s="59">
        <v>0</v>
      </c>
      <c r="F263" s="59"/>
      <c r="G263" s="61" t="s">
        <v>53</v>
      </c>
    </row>
    <row r="264" spans="1:7" s="60" customFormat="1" ht="21">
      <c r="A264" s="58"/>
      <c r="B264" s="29" t="s">
        <v>276</v>
      </c>
      <c r="C264" s="59">
        <v>660000</v>
      </c>
      <c r="D264" s="29"/>
      <c r="E264" s="59">
        <v>0</v>
      </c>
      <c r="F264" s="59"/>
      <c r="G264" s="61" t="s">
        <v>56</v>
      </c>
    </row>
    <row r="265" spans="1:7" s="60" customFormat="1" ht="21">
      <c r="A265" s="58"/>
      <c r="B265" s="29" t="s">
        <v>84</v>
      </c>
      <c r="C265" s="59">
        <v>14794748</v>
      </c>
      <c r="D265" s="29"/>
      <c r="E265" s="59">
        <v>0</v>
      </c>
      <c r="F265" s="59"/>
      <c r="G265" s="61" t="s">
        <v>56</v>
      </c>
    </row>
    <row r="266" spans="1:7" ht="21">
      <c r="A266" s="57"/>
      <c r="B266" s="30"/>
      <c r="C266" s="31"/>
      <c r="D266" s="30"/>
      <c r="E266" s="31"/>
      <c r="F266" s="31"/>
      <c r="G266" s="32"/>
    </row>
    <row r="267" spans="1:7" ht="21">
      <c r="A267" s="57"/>
      <c r="B267" s="30"/>
      <c r="C267" s="31"/>
      <c r="D267" s="30"/>
      <c r="E267" s="31"/>
      <c r="F267" s="31"/>
      <c r="G267" s="32"/>
    </row>
    <row r="268" spans="1:7" s="60" customFormat="1" ht="21">
      <c r="A268" s="58">
        <v>44768</v>
      </c>
      <c r="B268" s="29" t="s">
        <v>277</v>
      </c>
      <c r="C268" s="59">
        <v>18880319</v>
      </c>
      <c r="D268" s="29"/>
      <c r="F268" s="59"/>
      <c r="G268" s="61" t="s">
        <v>64</v>
      </c>
    </row>
    <row r="269" spans="1:7" s="60" customFormat="1" ht="21">
      <c r="A269" s="58"/>
      <c r="B269" s="29" t="s">
        <v>59</v>
      </c>
      <c r="C269" s="59">
        <v>1060865</v>
      </c>
      <c r="D269" s="29"/>
      <c r="F269" s="59"/>
      <c r="G269" s="61" t="s">
        <v>58</v>
      </c>
    </row>
    <row r="270" spans="1:7" s="60" customFormat="1" ht="21">
      <c r="A270" s="58"/>
      <c r="B270" s="29" t="s">
        <v>278</v>
      </c>
      <c r="C270" s="59">
        <v>287969</v>
      </c>
      <c r="D270" s="29"/>
      <c r="E270" s="59">
        <v>0</v>
      </c>
      <c r="F270" s="59"/>
      <c r="G270" s="61" t="s">
        <v>57</v>
      </c>
    </row>
    <row r="271" spans="1:7" s="60" customFormat="1" ht="21">
      <c r="A271" s="58"/>
      <c r="B271" s="29" t="s">
        <v>279</v>
      </c>
      <c r="C271" s="59">
        <v>528000</v>
      </c>
      <c r="D271" s="29"/>
      <c r="F271" s="59"/>
      <c r="G271" s="61" t="s">
        <v>57</v>
      </c>
    </row>
    <row r="272" spans="1:7" s="60" customFormat="1" ht="21">
      <c r="A272" s="58"/>
      <c r="B272" s="29" t="s">
        <v>88</v>
      </c>
      <c r="C272" s="59">
        <v>528000</v>
      </c>
      <c r="D272" s="29"/>
      <c r="F272" s="59"/>
      <c r="G272" s="61" t="s">
        <v>56</v>
      </c>
    </row>
    <row r="273" spans="1:7" s="60" customFormat="1" ht="21">
      <c r="A273" s="58"/>
      <c r="B273" s="29" t="s">
        <v>280</v>
      </c>
      <c r="C273" s="59">
        <v>792000</v>
      </c>
      <c r="D273" s="29"/>
      <c r="F273" s="59"/>
      <c r="G273" s="61" t="s">
        <v>56</v>
      </c>
    </row>
    <row r="274" spans="1:7" s="60" customFormat="1" ht="21">
      <c r="A274" s="58"/>
      <c r="B274" s="29" t="s">
        <v>281</v>
      </c>
      <c r="C274" s="59">
        <v>792000</v>
      </c>
      <c r="D274" s="29"/>
      <c r="F274" s="59"/>
      <c r="G274" s="61" t="s">
        <v>56</v>
      </c>
    </row>
    <row r="275" spans="1:7" s="60" customFormat="1" ht="21">
      <c r="A275" s="58"/>
      <c r="B275" s="29" t="s">
        <v>282</v>
      </c>
      <c r="C275" s="59">
        <v>5000000</v>
      </c>
      <c r="D275" s="29"/>
      <c r="E275" s="59">
        <v>0</v>
      </c>
      <c r="F275" s="59"/>
      <c r="G275" s="61" t="s">
        <v>56</v>
      </c>
    </row>
    <row r="276" spans="1:7" s="60" customFormat="1" ht="21">
      <c r="A276" s="58"/>
      <c r="B276" s="29" t="s">
        <v>68</v>
      </c>
      <c r="C276" s="59">
        <v>19711631</v>
      </c>
      <c r="D276" s="29"/>
      <c r="F276" s="59"/>
      <c r="G276" s="61" t="s">
        <v>56</v>
      </c>
    </row>
    <row r="277" spans="1:7" s="60" customFormat="1" ht="21">
      <c r="A277" s="58"/>
      <c r="B277" s="29" t="s">
        <v>283</v>
      </c>
      <c r="C277" s="59">
        <v>24684000</v>
      </c>
      <c r="D277" s="29"/>
      <c r="E277" s="59">
        <v>0</v>
      </c>
      <c r="F277" s="59"/>
      <c r="G277" s="61" t="s">
        <v>56</v>
      </c>
    </row>
    <row r="278" spans="1:7" ht="21">
      <c r="A278" s="57"/>
      <c r="B278" s="30"/>
      <c r="C278" s="31"/>
      <c r="D278" s="30"/>
      <c r="E278" s="31"/>
      <c r="F278" s="31"/>
      <c r="G278" s="32"/>
    </row>
    <row r="279" spans="1:7" s="60" customFormat="1" ht="21">
      <c r="A279" s="58">
        <v>44769</v>
      </c>
      <c r="B279" s="29" t="s">
        <v>284</v>
      </c>
      <c r="C279" s="59">
        <v>1050000</v>
      </c>
      <c r="D279" s="29"/>
      <c r="F279" s="59"/>
      <c r="G279" s="61" t="s">
        <v>60</v>
      </c>
    </row>
    <row r="280" spans="1:7" s="60" customFormat="1" ht="21">
      <c r="A280" s="58"/>
      <c r="B280" s="29" t="s">
        <v>285</v>
      </c>
      <c r="C280" s="59">
        <v>2112000</v>
      </c>
      <c r="D280" s="29"/>
      <c r="F280" s="59"/>
      <c r="G280" s="61" t="s">
        <v>60</v>
      </c>
    </row>
    <row r="281" spans="1:7" s="60" customFormat="1" ht="21">
      <c r="A281" s="58"/>
      <c r="B281" s="29" t="s">
        <v>97</v>
      </c>
      <c r="C281" s="59">
        <v>34680384</v>
      </c>
      <c r="D281" s="29"/>
      <c r="E281" s="59">
        <v>0</v>
      </c>
      <c r="F281" s="59"/>
      <c r="G281" s="61" t="s">
        <v>53</v>
      </c>
    </row>
    <row r="282" spans="1:7" s="60" customFormat="1" ht="21">
      <c r="A282" s="58"/>
      <c r="B282" s="29" t="s">
        <v>286</v>
      </c>
      <c r="C282" s="59">
        <v>660000</v>
      </c>
      <c r="D282" s="29"/>
      <c r="F282" s="59"/>
      <c r="G282" s="61" t="s">
        <v>55</v>
      </c>
    </row>
    <row r="283" spans="1:7" s="60" customFormat="1" ht="21">
      <c r="A283" s="58"/>
      <c r="B283" s="29" t="s">
        <v>287</v>
      </c>
      <c r="C283" s="59">
        <v>528000</v>
      </c>
      <c r="D283" s="29"/>
      <c r="F283" s="59"/>
      <c r="G283" s="61" t="s">
        <v>58</v>
      </c>
    </row>
    <row r="284" spans="1:7" s="60" customFormat="1" ht="21">
      <c r="A284" s="58"/>
      <c r="B284" s="29" t="s">
        <v>70</v>
      </c>
      <c r="C284" s="59">
        <v>12091275</v>
      </c>
      <c r="D284" s="29"/>
      <c r="E284" s="59">
        <v>0</v>
      </c>
      <c r="F284" s="59"/>
      <c r="G284" s="61" t="s">
        <v>57</v>
      </c>
    </row>
    <row r="285" spans="1:7" s="60" customFormat="1" ht="21">
      <c r="A285" s="58"/>
      <c r="B285" s="29" t="s">
        <v>288</v>
      </c>
      <c r="C285" s="59">
        <v>1590000</v>
      </c>
      <c r="D285" s="29"/>
      <c r="E285" s="59">
        <v>0</v>
      </c>
      <c r="F285" s="59"/>
      <c r="G285" s="61" t="s">
        <v>57</v>
      </c>
    </row>
    <row r="286" spans="1:7" s="60" customFormat="1" ht="21">
      <c r="A286" s="58"/>
      <c r="B286" s="29" t="s">
        <v>289</v>
      </c>
      <c r="C286" s="59">
        <v>145500</v>
      </c>
      <c r="D286" s="29"/>
      <c r="E286" s="59"/>
      <c r="F286" s="59"/>
      <c r="G286" s="61" t="s">
        <v>56</v>
      </c>
    </row>
    <row r="287" spans="1:7" s="60" customFormat="1" ht="21">
      <c r="A287" s="58"/>
      <c r="B287" s="29" t="s">
        <v>127</v>
      </c>
      <c r="C287" s="59">
        <v>195500</v>
      </c>
      <c r="D287" s="29"/>
      <c r="E287" s="59">
        <v>0</v>
      </c>
      <c r="F287" s="59"/>
      <c r="G287" s="61" t="s">
        <v>56</v>
      </c>
    </row>
    <row r="288" spans="1:7" s="60" customFormat="1" ht="21">
      <c r="A288" s="58"/>
      <c r="B288" s="29" t="s">
        <v>290</v>
      </c>
      <c r="C288" s="59">
        <v>512820</v>
      </c>
      <c r="D288" s="29"/>
      <c r="F288" s="59"/>
      <c r="G288" s="61" t="s">
        <v>54</v>
      </c>
    </row>
    <row r="289" spans="1:7" s="60" customFormat="1" ht="21">
      <c r="A289" s="58"/>
      <c r="B289" s="29" t="s">
        <v>291</v>
      </c>
      <c r="C289" s="59">
        <v>1016400</v>
      </c>
      <c r="D289" s="29"/>
      <c r="F289" s="59"/>
      <c r="G289" s="61" t="s">
        <v>54</v>
      </c>
    </row>
    <row r="290" spans="1:7" ht="21">
      <c r="A290" s="57"/>
      <c r="B290" s="30"/>
      <c r="C290" s="31"/>
      <c r="D290" s="30"/>
      <c r="E290" s="31"/>
      <c r="F290" s="31"/>
      <c r="G290" s="32"/>
    </row>
    <row r="291" spans="1:7" s="60" customFormat="1" ht="21">
      <c r="A291" s="58">
        <v>44770</v>
      </c>
      <c r="B291" s="29" t="s">
        <v>292</v>
      </c>
      <c r="C291" s="59">
        <v>34979625</v>
      </c>
      <c r="D291" s="29"/>
      <c r="F291" s="59"/>
      <c r="G291" s="61" t="s">
        <v>60</v>
      </c>
    </row>
    <row r="292" spans="1:7" s="60" customFormat="1" ht="21">
      <c r="A292" s="58"/>
      <c r="B292" s="29" t="s">
        <v>152</v>
      </c>
      <c r="C292" s="59">
        <v>2728061</v>
      </c>
      <c r="D292" s="29"/>
      <c r="F292" s="59"/>
      <c r="G292" s="61" t="s">
        <v>64</v>
      </c>
    </row>
    <row r="293" spans="1:7" s="60" customFormat="1" ht="21">
      <c r="A293" s="58"/>
      <c r="B293" s="29" t="s">
        <v>98</v>
      </c>
      <c r="C293" s="59">
        <v>35709911</v>
      </c>
      <c r="D293" s="29"/>
      <c r="F293" s="59"/>
      <c r="G293" s="61" t="s">
        <v>64</v>
      </c>
    </row>
    <row r="294" spans="1:7" s="60" customFormat="1" ht="21">
      <c r="A294" s="58"/>
      <c r="B294" s="29" t="s">
        <v>293</v>
      </c>
      <c r="C294" s="59">
        <v>274258</v>
      </c>
      <c r="D294" s="29"/>
      <c r="E294" s="59">
        <v>0</v>
      </c>
      <c r="F294" s="59"/>
      <c r="G294" s="61" t="s">
        <v>53</v>
      </c>
    </row>
    <row r="295" spans="1:7" s="60" customFormat="1" ht="21">
      <c r="A295" s="58"/>
      <c r="B295" s="29" t="s">
        <v>102</v>
      </c>
      <c r="C295" s="59">
        <v>244966</v>
      </c>
      <c r="D295" s="29"/>
      <c r="E295" s="59">
        <v>0</v>
      </c>
      <c r="F295" s="59"/>
      <c r="G295" s="61" t="s">
        <v>53</v>
      </c>
    </row>
    <row r="296" spans="1:7" s="60" customFormat="1" ht="21">
      <c r="A296" s="58"/>
      <c r="B296" s="29" t="s">
        <v>294</v>
      </c>
      <c r="C296" s="59">
        <v>660000</v>
      </c>
      <c r="D296" s="29"/>
      <c r="F296" s="59"/>
      <c r="G296" s="61" t="s">
        <v>55</v>
      </c>
    </row>
    <row r="297" spans="1:7" s="60" customFormat="1" ht="21">
      <c r="A297" s="58"/>
      <c r="B297" s="29" t="s">
        <v>295</v>
      </c>
      <c r="C297" s="59">
        <v>932200</v>
      </c>
      <c r="D297" s="29"/>
      <c r="F297" s="59"/>
      <c r="G297" s="61" t="s">
        <v>55</v>
      </c>
    </row>
    <row r="298" spans="1:7" s="60" customFormat="1" ht="21">
      <c r="A298" s="58"/>
      <c r="B298" s="29" t="s">
        <v>296</v>
      </c>
      <c r="C298" s="59">
        <v>388000</v>
      </c>
      <c r="D298" s="29"/>
      <c r="E298" s="59">
        <v>0</v>
      </c>
      <c r="F298" s="59"/>
      <c r="G298" s="61" t="s">
        <v>57</v>
      </c>
    </row>
    <row r="299" spans="1:7" s="60" customFormat="1" ht="21">
      <c r="A299" s="58"/>
      <c r="B299" s="29" t="s">
        <v>296</v>
      </c>
      <c r="C299" s="59">
        <v>318000</v>
      </c>
      <c r="D299" s="29"/>
      <c r="E299" s="59">
        <v>0</v>
      </c>
      <c r="F299" s="59"/>
      <c r="G299" s="61" t="s">
        <v>57</v>
      </c>
    </row>
    <row r="300" spans="1:7" s="60" customFormat="1" ht="21">
      <c r="A300" s="58"/>
      <c r="B300" s="29" t="s">
        <v>240</v>
      </c>
      <c r="C300" s="59">
        <v>4025000</v>
      </c>
      <c r="D300" s="29"/>
      <c r="E300" s="59">
        <v>0</v>
      </c>
      <c r="F300" s="59"/>
      <c r="G300" s="61" t="s">
        <v>57</v>
      </c>
    </row>
    <row r="301" spans="1:7" s="60" customFormat="1" ht="21">
      <c r="A301" s="58"/>
      <c r="B301" s="29" t="s">
        <v>297</v>
      </c>
      <c r="C301" s="59">
        <v>4626900</v>
      </c>
      <c r="D301" s="29"/>
      <c r="E301" s="59">
        <v>0</v>
      </c>
      <c r="F301" s="59"/>
      <c r="G301" s="61" t="s">
        <v>57</v>
      </c>
    </row>
    <row r="302" spans="1:7" s="70" customFormat="1" ht="21">
      <c r="A302" s="66"/>
      <c r="B302" s="67" t="s">
        <v>99</v>
      </c>
      <c r="C302" s="68">
        <v>67500000</v>
      </c>
      <c r="D302" s="67"/>
      <c r="E302" s="68">
        <v>0</v>
      </c>
      <c r="F302" s="68"/>
      <c r="G302" s="69" t="s">
        <v>57</v>
      </c>
    </row>
    <row r="303" spans="1:7" s="84" customFormat="1" ht="21">
      <c r="A303" s="80"/>
      <c r="B303" s="81" t="s">
        <v>62</v>
      </c>
      <c r="C303" s="82">
        <v>7500000</v>
      </c>
      <c r="D303" s="81"/>
      <c r="E303" s="82">
        <v>0</v>
      </c>
      <c r="F303" s="82"/>
      <c r="G303" s="83" t="s">
        <v>57</v>
      </c>
    </row>
    <row r="304" spans="1:7" s="60" customFormat="1" ht="21">
      <c r="A304" s="58"/>
      <c r="B304" s="29" t="s">
        <v>298</v>
      </c>
      <c r="C304" s="59">
        <v>1164000</v>
      </c>
      <c r="D304" s="29"/>
      <c r="E304" s="59">
        <v>0</v>
      </c>
      <c r="F304" s="59"/>
      <c r="G304" s="61" t="s">
        <v>57</v>
      </c>
    </row>
    <row r="305" spans="1:7" s="60" customFormat="1" ht="21">
      <c r="A305" s="58"/>
      <c r="B305" s="29" t="s">
        <v>255</v>
      </c>
      <c r="C305" s="59">
        <v>1416000</v>
      </c>
      <c r="D305" s="29"/>
      <c r="E305" s="59">
        <v>0</v>
      </c>
      <c r="F305" s="59"/>
      <c r="G305" s="61" t="s">
        <v>57</v>
      </c>
    </row>
    <row r="306" spans="1:7" s="60" customFormat="1" ht="21">
      <c r="A306" s="58"/>
      <c r="B306" s="29" t="s">
        <v>97</v>
      </c>
      <c r="C306" s="59">
        <v>1447329</v>
      </c>
      <c r="D306" s="29"/>
      <c r="E306" s="59">
        <v>0</v>
      </c>
      <c r="F306" s="59"/>
      <c r="G306" s="61" t="s">
        <v>57</v>
      </c>
    </row>
    <row r="307" spans="1:7" s="60" customFormat="1" ht="21">
      <c r="A307" s="58"/>
      <c r="B307" s="29" t="s">
        <v>65</v>
      </c>
      <c r="C307" s="59">
        <v>422380</v>
      </c>
      <c r="D307" s="29"/>
      <c r="E307" s="59"/>
      <c r="F307" s="59"/>
      <c r="G307" s="61" t="s">
        <v>54</v>
      </c>
    </row>
    <row r="308" spans="1:7" ht="21">
      <c r="A308" s="57"/>
      <c r="B308" s="30"/>
      <c r="C308" s="31"/>
      <c r="D308" s="30"/>
      <c r="E308" s="31"/>
      <c r="F308" s="31"/>
      <c r="G308" s="32"/>
    </row>
    <row r="309" spans="1:7" s="60" customFormat="1" ht="21">
      <c r="A309" s="58">
        <v>44771</v>
      </c>
      <c r="B309" s="29" t="s">
        <v>299</v>
      </c>
      <c r="C309" s="59">
        <v>2875000</v>
      </c>
      <c r="D309" s="29"/>
      <c r="F309" s="59"/>
      <c r="G309" s="61" t="s">
        <v>55</v>
      </c>
    </row>
    <row r="310" spans="1:7" s="60" customFormat="1" ht="21">
      <c r="A310" s="58"/>
      <c r="B310" s="29" t="s">
        <v>300</v>
      </c>
      <c r="C310" s="59">
        <v>792000</v>
      </c>
      <c r="D310" s="29"/>
      <c r="F310" s="59"/>
      <c r="G310" s="61" t="s">
        <v>55</v>
      </c>
    </row>
    <row r="311" spans="1:7" s="60" customFormat="1" ht="21">
      <c r="A311" s="58"/>
      <c r="B311" s="29" t="s">
        <v>301</v>
      </c>
      <c r="C311" s="59">
        <v>1500000</v>
      </c>
      <c r="D311" s="29"/>
      <c r="F311" s="59"/>
      <c r="G311" s="61" t="s">
        <v>55</v>
      </c>
    </row>
    <row r="312" spans="1:7" s="60" customFormat="1" ht="21">
      <c r="A312" s="58"/>
      <c r="B312" s="29" t="s">
        <v>302</v>
      </c>
      <c r="C312" s="59">
        <v>450000</v>
      </c>
      <c r="D312" s="29"/>
      <c r="E312" s="59">
        <v>0</v>
      </c>
      <c r="F312" s="59"/>
      <c r="G312" s="61" t="s">
        <v>57</v>
      </c>
    </row>
    <row r="313" spans="1:7" s="60" customFormat="1" ht="21">
      <c r="A313" s="58"/>
      <c r="B313" s="29" t="s">
        <v>303</v>
      </c>
      <c r="C313" s="59">
        <v>480000</v>
      </c>
      <c r="D313" s="29"/>
      <c r="E313" s="59">
        <v>0</v>
      </c>
      <c r="F313" s="59"/>
      <c r="G313" s="61" t="s">
        <v>57</v>
      </c>
    </row>
    <row r="314" spans="1:7" s="60" customFormat="1" ht="21">
      <c r="A314" s="58"/>
      <c r="B314" s="29" t="s">
        <v>304</v>
      </c>
      <c r="C314" s="59">
        <v>600000</v>
      </c>
      <c r="D314" s="29"/>
      <c r="E314" s="59">
        <v>0</v>
      </c>
      <c r="F314" s="59"/>
      <c r="G314" s="61" t="s">
        <v>57</v>
      </c>
    </row>
    <row r="315" spans="1:7" s="60" customFormat="1" ht="21">
      <c r="A315" s="58"/>
      <c r="B315" s="29" t="s">
        <v>305</v>
      </c>
      <c r="C315" s="59">
        <v>480000</v>
      </c>
      <c r="D315" s="29"/>
      <c r="E315" s="59">
        <v>0</v>
      </c>
      <c r="F315" s="59"/>
      <c r="G315" s="61" t="s">
        <v>57</v>
      </c>
    </row>
    <row r="316" spans="1:7" s="60" customFormat="1" ht="21">
      <c r="A316" s="58"/>
      <c r="B316" s="29" t="s">
        <v>66</v>
      </c>
      <c r="C316" s="59">
        <v>1949755</v>
      </c>
      <c r="D316" s="29"/>
      <c r="E316" s="59">
        <v>0</v>
      </c>
      <c r="F316" s="59"/>
      <c r="G316" s="61" t="s">
        <v>56</v>
      </c>
    </row>
    <row r="317" spans="1:7" s="60" customFormat="1" ht="21">
      <c r="A317" s="58"/>
      <c r="B317" s="29" t="s">
        <v>306</v>
      </c>
      <c r="C317" s="59">
        <v>3600000</v>
      </c>
      <c r="D317" s="29"/>
      <c r="E317" s="59">
        <v>0</v>
      </c>
      <c r="F317" s="59"/>
      <c r="G317" s="61" t="s">
        <v>56</v>
      </c>
    </row>
    <row r="318" spans="1:7" s="60" customFormat="1" ht="21">
      <c r="A318" s="58"/>
      <c r="B318" s="29" t="s">
        <v>307</v>
      </c>
      <c r="C318" s="59">
        <v>51951717</v>
      </c>
      <c r="D318" s="29"/>
      <c r="E318" s="59">
        <v>0</v>
      </c>
      <c r="F318" s="59"/>
      <c r="G318" s="61" t="s">
        <v>56</v>
      </c>
    </row>
    <row r="319" spans="1:7" s="60" customFormat="1" ht="21">
      <c r="A319" s="58"/>
      <c r="B319" s="29" t="s">
        <v>93</v>
      </c>
      <c r="C319" s="59">
        <v>67000000</v>
      </c>
      <c r="D319" s="29"/>
      <c r="F319" s="59"/>
      <c r="G319" s="61" t="s">
        <v>54</v>
      </c>
    </row>
    <row r="320" spans="1:7" s="60" customFormat="1" ht="21">
      <c r="A320" s="58"/>
      <c r="B320" s="29" t="s">
        <v>308</v>
      </c>
      <c r="C320" s="59">
        <v>1056000</v>
      </c>
      <c r="D320" s="29"/>
      <c r="F320" s="59"/>
      <c r="G320" s="61" t="s">
        <v>54</v>
      </c>
    </row>
    <row r="321" spans="1:7" ht="21">
      <c r="A321" s="57"/>
      <c r="B321" s="30"/>
      <c r="C321" s="31"/>
      <c r="D321" s="30"/>
      <c r="E321" s="31"/>
      <c r="F321" s="31"/>
      <c r="G321" s="32"/>
    </row>
    <row r="322" spans="1:7" ht="21">
      <c r="A322" s="57"/>
      <c r="B322" s="30"/>
      <c r="C322" s="31"/>
      <c r="D322" s="30"/>
      <c r="E322" s="31"/>
      <c r="F322" s="31"/>
      <c r="G322" s="32"/>
    </row>
    <row r="323" spans="1:7" ht="21">
      <c r="A323" s="57"/>
      <c r="B323" s="30"/>
      <c r="C323" s="31"/>
      <c r="D323" s="30"/>
      <c r="E323" s="31"/>
      <c r="F323" s="31"/>
      <c r="G323" s="32"/>
    </row>
    <row r="324" spans="1:7" ht="21">
      <c r="A324" s="34"/>
      <c r="B324" s="30"/>
      <c r="C324" s="31"/>
      <c r="D324" s="4"/>
      <c r="E324" s="31"/>
      <c r="F324" s="31"/>
      <c r="G324" s="32"/>
    </row>
    <row r="325" spans="1:7" ht="21">
      <c r="B325" s="35"/>
      <c r="C325" s="36"/>
      <c r="D325" s="4"/>
      <c r="E325" s="31"/>
      <c r="F325" s="31"/>
      <c r="G325" s="32"/>
    </row>
    <row r="326" spans="1:7" ht="18.5">
      <c r="B326" s="37"/>
      <c r="C326" s="38">
        <f>SUM(C7:C325)</f>
        <v>6199870987</v>
      </c>
      <c r="D326" s="4"/>
      <c r="E326" s="38">
        <f>SUM(E8:E325)</f>
        <v>0</v>
      </c>
      <c r="F326" s="38"/>
      <c r="G326" s="4"/>
    </row>
    <row r="329" spans="1:7" ht="19" thickBot="1">
      <c r="B329" s="39" t="s">
        <v>71</v>
      </c>
      <c r="C329" s="39"/>
      <c r="D329" s="39">
        <f>C326+E326</f>
        <v>6199870987</v>
      </c>
    </row>
    <row r="332" spans="1:7" ht="26">
      <c r="B332" s="40" t="s">
        <v>72</v>
      </c>
    </row>
    <row r="337" spans="2:3" ht="18.5">
      <c r="B337" s="570" t="s">
        <v>73</v>
      </c>
      <c r="C337" s="571"/>
    </row>
    <row r="339" spans="2:3" ht="18.5">
      <c r="B339" s="41" t="s">
        <v>74</v>
      </c>
      <c r="C339" s="41" t="s">
        <v>51</v>
      </c>
    </row>
    <row r="340" spans="2:3" ht="21">
      <c r="B340" s="42">
        <v>44768</v>
      </c>
      <c r="C340" s="43"/>
    </row>
    <row r="341" spans="2:3" ht="21">
      <c r="B341" s="42">
        <v>44769</v>
      </c>
      <c r="C341" s="43"/>
    </row>
    <row r="342" spans="2:3" ht="21">
      <c r="B342" s="42">
        <v>44770</v>
      </c>
      <c r="C342" s="43"/>
    </row>
    <row r="343" spans="2:3" ht="21">
      <c r="B343" s="42">
        <v>44771</v>
      </c>
      <c r="C343" s="43"/>
    </row>
    <row r="344" spans="2:3" ht="21">
      <c r="B344" s="42">
        <v>44767</v>
      </c>
      <c r="C344" s="43"/>
    </row>
    <row r="345" spans="2:3" ht="21">
      <c r="B345" s="41" t="s">
        <v>75</v>
      </c>
      <c r="C345" s="43">
        <f>C344+C343+C342+C341+C340</f>
        <v>0</v>
      </c>
    </row>
    <row r="347" spans="2:3">
      <c r="C347" s="44"/>
    </row>
    <row r="348" spans="2:3">
      <c r="C348" s="44"/>
    </row>
    <row r="349" spans="2:3">
      <c r="C349" s="44"/>
    </row>
    <row r="350" spans="2:3">
      <c r="C350" s="44"/>
    </row>
    <row r="351" spans="2:3" ht="21">
      <c r="B351" s="45"/>
      <c r="C351" s="44"/>
    </row>
    <row r="352" spans="2:3" ht="21">
      <c r="B352" s="45"/>
      <c r="C352" s="44"/>
    </row>
    <row r="353" spans="2:3" ht="21">
      <c r="B353" s="45"/>
      <c r="C353" s="44"/>
    </row>
    <row r="354" spans="2:3">
      <c r="C354" s="44"/>
    </row>
    <row r="355" spans="2:3" ht="21">
      <c r="B355" s="45"/>
      <c r="C355" s="44"/>
    </row>
    <row r="356" spans="2:3" ht="21">
      <c r="B356" s="45"/>
      <c r="C356" s="44"/>
    </row>
    <row r="357" spans="2:3" ht="21">
      <c r="B357" s="45"/>
      <c r="C357" s="44"/>
    </row>
    <row r="358" spans="2:3" ht="21">
      <c r="B358" s="45"/>
      <c r="C358" s="44"/>
    </row>
    <row r="359" spans="2:3" ht="21">
      <c r="B359" s="45"/>
      <c r="C359" s="44"/>
    </row>
    <row r="360" spans="2:3" ht="21">
      <c r="B360" s="45"/>
      <c r="C360" s="44"/>
    </row>
    <row r="361" spans="2:3">
      <c r="C361" s="44"/>
    </row>
    <row r="362" spans="2:3">
      <c r="C362" s="44"/>
    </row>
    <row r="363" spans="2:3">
      <c r="C363" s="44"/>
    </row>
    <row r="364" spans="2:3" ht="21">
      <c r="B364" s="45"/>
      <c r="C364" s="44"/>
    </row>
    <row r="365" spans="2:3" ht="21">
      <c r="B365" s="45"/>
      <c r="C365" s="44"/>
    </row>
    <row r="366" spans="2:3">
      <c r="C366" s="44"/>
    </row>
    <row r="367" spans="2:3" ht="21">
      <c r="B367" s="46"/>
      <c r="C367" s="44"/>
    </row>
    <row r="368" spans="2:3" ht="18.5">
      <c r="B368" s="47" t="s">
        <v>76</v>
      </c>
    </row>
    <row r="370" spans="2:3" ht="15.5">
      <c r="B370" s="48"/>
      <c r="C370" s="49"/>
    </row>
    <row r="371" spans="2:3" ht="15.5">
      <c r="B371" s="48"/>
      <c r="C371" s="49"/>
    </row>
    <row r="372" spans="2:3" ht="15.5">
      <c r="B372" s="50" t="s">
        <v>77</v>
      </c>
    </row>
    <row r="373" spans="2:3" ht="21">
      <c r="B373" s="30"/>
      <c r="C373" s="31"/>
    </row>
    <row r="374" spans="2:3" ht="21">
      <c r="B374" s="30"/>
      <c r="C374" s="31"/>
    </row>
    <row r="375" spans="2:3" ht="21">
      <c r="B375" s="30"/>
      <c r="C375" s="31"/>
    </row>
    <row r="376" spans="2:3" ht="21">
      <c r="B376" s="30"/>
      <c r="C376" s="31"/>
    </row>
    <row r="377" spans="2:3" ht="21">
      <c r="B377" s="30"/>
      <c r="C377" s="31"/>
    </row>
    <row r="378" spans="2:3" ht="21">
      <c r="B378" s="30"/>
      <c r="C378" s="31"/>
    </row>
    <row r="379" spans="2:3" ht="21">
      <c r="B379" s="30"/>
      <c r="C379" s="31"/>
    </row>
    <row r="380" spans="2:3" ht="21">
      <c r="B380" s="30"/>
      <c r="C380" s="31"/>
    </row>
    <row r="381" spans="2:3" ht="21">
      <c r="B381" s="30"/>
      <c r="C381" s="31"/>
    </row>
    <row r="382" spans="2:3" ht="21">
      <c r="B382" s="30"/>
      <c r="C382" s="31"/>
    </row>
    <row r="383" spans="2:3" ht="21">
      <c r="B383" s="30"/>
      <c r="C383" s="31"/>
    </row>
    <row r="384" spans="2:3" ht="21">
      <c r="B384" s="30"/>
      <c r="C384" s="31"/>
    </row>
    <row r="385" spans="2:3" ht="21">
      <c r="B385" s="30"/>
      <c r="C385" s="31"/>
    </row>
    <row r="386" spans="2:3" ht="21">
      <c r="B386" s="30"/>
      <c r="C386" s="31"/>
    </row>
    <row r="387" spans="2:3" ht="21">
      <c r="B387" s="30"/>
      <c r="C387" s="31"/>
    </row>
    <row r="388" spans="2:3" ht="21">
      <c r="B388" s="30"/>
      <c r="C388" s="31"/>
    </row>
    <row r="389" spans="2:3" ht="21">
      <c r="B389" s="30"/>
      <c r="C389" s="31"/>
    </row>
    <row r="390" spans="2:3" ht="21">
      <c r="B390" s="30"/>
      <c r="C390" s="31"/>
    </row>
    <row r="391" spans="2:3" ht="21">
      <c r="B391" s="51"/>
      <c r="C391" s="31"/>
    </row>
    <row r="392" spans="2:3" ht="15.5">
      <c r="B392" s="48" t="s">
        <v>75</v>
      </c>
      <c r="C392" s="49">
        <f>C386+C385+C384+C383+C382+C381+C380+C379+C378+C377+C376+C375+C374+C373</f>
        <v>0</v>
      </c>
    </row>
    <row r="393" spans="2:3" ht="15.5">
      <c r="B393" s="48"/>
      <c r="C393" s="49"/>
    </row>
    <row r="394" spans="2:3" ht="15.5">
      <c r="B394" s="48"/>
      <c r="C394" s="49"/>
    </row>
    <row r="395" spans="2:3" ht="15.5">
      <c r="B395" s="48"/>
      <c r="C395" s="49"/>
    </row>
    <row r="396" spans="2:3" ht="15.5">
      <c r="B396" s="50" t="s">
        <v>78</v>
      </c>
    </row>
    <row r="397" spans="2:3" ht="21">
      <c r="B397" s="30"/>
      <c r="C397" s="31"/>
    </row>
    <row r="398" spans="2:3" ht="21">
      <c r="B398" s="30"/>
      <c r="C398" s="31"/>
    </row>
    <row r="399" spans="2:3" ht="21">
      <c r="B399" s="30"/>
      <c r="C399" s="31"/>
    </row>
    <row r="400" spans="2:3" ht="21">
      <c r="B400" s="30"/>
      <c r="C400" s="31"/>
    </row>
    <row r="401" spans="2:3" ht="21">
      <c r="B401" s="30"/>
      <c r="C401" s="31"/>
    </row>
    <row r="402" spans="2:3" ht="21">
      <c r="B402" s="30"/>
      <c r="C402" s="31"/>
    </row>
    <row r="403" spans="2:3" ht="21">
      <c r="B403" s="30"/>
      <c r="C403" s="31"/>
    </row>
    <row r="404" spans="2:3" ht="21">
      <c r="B404" s="30"/>
      <c r="C404" s="31"/>
    </row>
    <row r="405" spans="2:3" ht="21">
      <c r="B405" s="30"/>
      <c r="C405" s="31"/>
    </row>
    <row r="406" spans="2:3" ht="21">
      <c r="B406" s="30"/>
      <c r="C406" s="31"/>
    </row>
    <row r="407" spans="2:3" ht="21">
      <c r="B407" s="30"/>
      <c r="C407" s="31"/>
    </row>
    <row r="408" spans="2:3" ht="21">
      <c r="B408" s="30"/>
      <c r="C408" s="31"/>
    </row>
    <row r="409" spans="2:3" ht="21">
      <c r="B409" s="31"/>
      <c r="C409" s="31"/>
    </row>
    <row r="410" spans="2:3" ht="21">
      <c r="B410" s="31"/>
      <c r="C410" s="31"/>
    </row>
    <row r="411" spans="2:3" ht="21">
      <c r="B411" s="31"/>
      <c r="C411" s="31"/>
    </row>
    <row r="412" spans="2:3" ht="21">
      <c r="B412" s="30"/>
      <c r="C412" s="31"/>
    </row>
    <row r="413" spans="2:3" ht="15.5">
      <c r="B413" s="48" t="s">
        <v>75</v>
      </c>
      <c r="C413" s="49">
        <f>C401+C400+C399+C398+C397</f>
        <v>0</v>
      </c>
    </row>
    <row r="414" spans="2:3" ht="15.5">
      <c r="B414" s="48"/>
      <c r="C414" s="49"/>
    </row>
    <row r="415" spans="2:3" ht="15.5">
      <c r="B415" s="48"/>
      <c r="C415" s="49"/>
    </row>
    <row r="416" spans="2:3" ht="15.5">
      <c r="B416" s="48"/>
      <c r="C416" s="49"/>
    </row>
    <row r="417" spans="2:3" ht="15.5">
      <c r="B417" s="50" t="s">
        <v>79</v>
      </c>
    </row>
    <row r="418" spans="2:3" ht="21">
      <c r="B418" s="56"/>
      <c r="C418" s="31"/>
    </row>
    <row r="419" spans="2:3" ht="21">
      <c r="B419" s="29"/>
      <c r="C419" s="31"/>
    </row>
    <row r="420" spans="2:3" ht="21">
      <c r="B420" s="56"/>
      <c r="C420" s="31"/>
    </row>
    <row r="421" spans="2:3" ht="21">
      <c r="B421" s="30"/>
      <c r="C421" s="31"/>
    </row>
    <row r="422" spans="2:3" ht="15.5">
      <c r="B422" s="52"/>
      <c r="C422" s="4"/>
    </row>
    <row r="423" spans="2:3" ht="15.5">
      <c r="B423" s="48" t="s">
        <v>75</v>
      </c>
      <c r="C423" s="49">
        <f>C420+C418</f>
        <v>0</v>
      </c>
    </row>
    <row r="424" spans="2:3" ht="15.5">
      <c r="B424" s="48"/>
      <c r="C424" s="49"/>
    </row>
    <row r="425" spans="2:3" ht="15.5">
      <c r="B425" s="48"/>
      <c r="C425" s="49"/>
    </row>
    <row r="426" spans="2:3" ht="15.5">
      <c r="B426" s="48"/>
      <c r="C426" s="49"/>
    </row>
    <row r="427" spans="2:3">
      <c r="C427" s="44"/>
    </row>
    <row r="428" spans="2:3" ht="15.5">
      <c r="B428" s="50" t="s">
        <v>80</v>
      </c>
    </row>
    <row r="429" spans="2:3" ht="21">
      <c r="B429" s="30"/>
      <c r="C429" s="31"/>
    </row>
    <row r="430" spans="2:3" ht="21">
      <c r="B430" s="30"/>
      <c r="C430" s="31"/>
    </row>
    <row r="431" spans="2:3" ht="21">
      <c r="B431" s="30"/>
      <c r="C431" s="31"/>
    </row>
    <row r="432" spans="2:3" ht="21">
      <c r="B432" s="30"/>
      <c r="C432" s="31"/>
    </row>
    <row r="433" spans="2:3" ht="21">
      <c r="B433" s="30"/>
      <c r="C433" s="31"/>
    </row>
    <row r="434" spans="2:3" ht="21">
      <c r="B434" s="30"/>
      <c r="C434" s="31"/>
    </row>
    <row r="435" spans="2:3" ht="21">
      <c r="B435" s="30"/>
      <c r="C435" s="31"/>
    </row>
    <row r="436" spans="2:3" ht="21">
      <c r="B436" s="30"/>
      <c r="C436" s="31"/>
    </row>
    <row r="437" spans="2:3" ht="21">
      <c r="B437" s="30"/>
      <c r="C437" s="31"/>
    </row>
    <row r="438" spans="2:3" ht="21">
      <c r="B438" s="30"/>
      <c r="C438" s="31"/>
    </row>
    <row r="439" spans="2:3" ht="21">
      <c r="B439" s="30"/>
      <c r="C439" s="31"/>
    </row>
    <row r="440" spans="2:3" ht="21">
      <c r="B440" s="30"/>
      <c r="C440" s="31"/>
    </row>
    <row r="441" spans="2:3" ht="21">
      <c r="B441" s="30"/>
      <c r="C441" s="31"/>
    </row>
    <row r="442" spans="2:3" ht="21">
      <c r="B442" s="30"/>
      <c r="C442" s="31"/>
    </row>
    <row r="443" spans="2:3" ht="21">
      <c r="B443" s="30"/>
      <c r="C443" s="31"/>
    </row>
    <row r="444" spans="2:3" ht="21">
      <c r="B444" s="30"/>
      <c r="C444" s="31"/>
    </row>
    <row r="445" spans="2:3" ht="21">
      <c r="B445" s="30"/>
      <c r="C445" s="31"/>
    </row>
    <row r="446" spans="2:3" ht="21">
      <c r="B446" s="30"/>
      <c r="C446" s="31"/>
    </row>
    <row r="447" spans="2:3" ht="21">
      <c r="B447" s="30"/>
      <c r="C447" s="31"/>
    </row>
    <row r="448" spans="2:3" ht="21">
      <c r="B448" s="30"/>
      <c r="C448" s="31"/>
    </row>
    <row r="449" spans="2:3" ht="21">
      <c r="B449" s="30"/>
      <c r="C449" s="31"/>
    </row>
    <row r="450" spans="2:3" ht="21">
      <c r="B450" s="30"/>
      <c r="C450" s="31"/>
    </row>
    <row r="451" spans="2:3" ht="21">
      <c r="B451" s="30"/>
      <c r="C451" s="31"/>
    </row>
    <row r="452" spans="2:3" ht="21">
      <c r="B452" s="30"/>
      <c r="C452" s="31"/>
    </row>
    <row r="453" spans="2:3" ht="21">
      <c r="B453" s="30"/>
      <c r="C453" s="31"/>
    </row>
    <row r="454" spans="2:3" ht="21">
      <c r="B454" s="30"/>
      <c r="C454" s="31"/>
    </row>
    <row r="455" spans="2:3" ht="21">
      <c r="B455" s="30"/>
      <c r="C455" s="31"/>
    </row>
    <row r="456" spans="2:3" ht="21">
      <c r="B456" s="30"/>
      <c r="C456" s="31"/>
    </row>
    <row r="457" spans="2:3" ht="21">
      <c r="B457" s="30"/>
      <c r="C457" s="31"/>
    </row>
    <row r="458" spans="2:3" ht="21">
      <c r="B458" s="30"/>
      <c r="C458" s="31"/>
    </row>
    <row r="459" spans="2:3" ht="21">
      <c r="B459" s="30"/>
      <c r="C459" s="31"/>
    </row>
    <row r="460" spans="2:3" ht="21">
      <c r="B460" s="30"/>
      <c r="C460" s="31"/>
    </row>
    <row r="461" spans="2:3" ht="21">
      <c r="B461" s="30"/>
      <c r="C461" s="31"/>
    </row>
    <row r="462" spans="2:3" ht="21">
      <c r="B462" s="30"/>
      <c r="C462" s="31"/>
    </row>
    <row r="463" spans="2:3" ht="21">
      <c r="B463" s="30"/>
      <c r="C463" s="31"/>
    </row>
    <row r="464" spans="2:3" ht="21">
      <c r="B464" s="30"/>
      <c r="C464" s="31"/>
    </row>
    <row r="465" spans="2:3" ht="21">
      <c r="B465" s="30"/>
      <c r="C465" s="31"/>
    </row>
    <row r="466" spans="2:3" ht="21">
      <c r="B466" s="30"/>
      <c r="C466" s="31"/>
    </row>
    <row r="467" spans="2:3" ht="21">
      <c r="B467" s="30"/>
      <c r="C467" s="31"/>
    </row>
    <row r="468" spans="2:3" ht="21">
      <c r="B468" s="30"/>
      <c r="C468" s="31"/>
    </row>
    <row r="469" spans="2:3" ht="21">
      <c r="B469" s="30"/>
      <c r="C469" s="31"/>
    </row>
    <row r="470" spans="2:3" ht="21">
      <c r="B470" s="53"/>
      <c r="C470" s="43"/>
    </row>
    <row r="471" spans="2:3" ht="15.5">
      <c r="B471" s="54" t="s">
        <v>75</v>
      </c>
      <c r="C471" s="49">
        <f>C469+C468+C467+C466+C465+C464+C463+C462+C461+C460+C459+C458+C457+C456+C455+C454+C453+C452+C451+C450+C449+C448+C447+C446+C445+C444+C443+C442+C441+C440+C439+C438+C437+C436+C435+C434+C433+C432+C431+C430+C429</f>
        <v>0</v>
      </c>
    </row>
    <row r="474" spans="2:3">
      <c r="C474" s="21">
        <f>SUBTOTAL(9,C9:C320)</f>
        <v>6199870987</v>
      </c>
    </row>
    <row r="476" spans="2:3">
      <c r="C476">
        <v>551951015</v>
      </c>
    </row>
  </sheetData>
  <autoFilter ref="B4:B471"/>
  <mergeCells count="4">
    <mergeCell ref="B4:C4"/>
    <mergeCell ref="C6:D6"/>
    <mergeCell ref="G6:G7"/>
    <mergeCell ref="B337:C3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23</vt:i4>
      </vt:variant>
    </vt:vector>
  </HeadingPairs>
  <TitlesOfParts>
    <vt:vector size="23" baseType="lpstr">
      <vt:lpstr>SEPT 22</vt:lpstr>
      <vt:lpstr>SYNTHESE</vt:lpstr>
      <vt:lpstr>ENC AGCES FEVR 25</vt:lpstr>
      <vt:lpstr>ENC AGCES</vt:lpstr>
      <vt:lpstr>Activations de forfaits et créd</vt:lpstr>
      <vt:lpstr>TOP UP</vt:lpstr>
      <vt:lpstr>OCT 24</vt:lpstr>
      <vt:lpstr>FEV 25</vt:lpstr>
      <vt:lpstr>AUTRES PMTS</vt:lpstr>
      <vt:lpstr>DETAILS XBORDER- SEPT 2024</vt:lpstr>
      <vt:lpstr>DETAILS XBORDER OCT-2024</vt:lpstr>
      <vt:lpstr>DETAILS XBORDER-2024</vt:lpstr>
      <vt:lpstr>FLOOZ REPORT</vt:lpstr>
      <vt:lpstr>DETAILS XBORDER- DEC 2024</vt:lpstr>
      <vt:lpstr>flooz report Févr 25</vt:lpstr>
      <vt:lpstr>FLOOZ REPORT OCT 24</vt:lpstr>
      <vt:lpstr>TOPUP</vt:lpstr>
      <vt:lpstr>Activations de forfaits et  (2</vt:lpstr>
      <vt:lpstr>FEV 23</vt:lpstr>
      <vt:lpstr>JAN 23</vt:lpstr>
      <vt:lpstr>DEC 22</vt:lpstr>
      <vt:lpstr>OCT 22</vt:lpstr>
      <vt:lpstr>JUILLET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EDAH</dc:creator>
  <cp:lastModifiedBy>Abdel Mouiz BACHABI</cp:lastModifiedBy>
  <dcterms:created xsi:type="dcterms:W3CDTF">2022-06-05T13:03:47Z</dcterms:created>
  <dcterms:modified xsi:type="dcterms:W3CDTF">2025-03-07T16:32:34Z</dcterms:modified>
</cp:coreProperties>
</file>