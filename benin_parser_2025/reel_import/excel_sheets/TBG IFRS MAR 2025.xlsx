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3.xml" ContentType="application/vnd.openxmlformats-officedocument.spreadsheetml.comments+xml"/>
  <Override PartName="/xl/externalLinks/externalLink25.xml" ContentType="application/vnd.openxmlformats-officedocument.spreadsheetml.externalLink+xml"/>
  <Override PartName="/xl/externalLinks/externalLink1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_rels/externalLink25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10.xml.rels" ContentType="application/vnd.openxmlformats-package.relationships+xml"/>
  <Override PartName="/xl/externalLinks/_rels/externalLink15.xml.rels" ContentType="application/vnd.openxmlformats-package.relationships+xml"/>
  <Override PartName="/xl/externalLinks/_rels/externalLink8.xml.rels" ContentType="application/vnd.openxmlformats-package.relationships+xml"/>
  <Override PartName="/xl/externalLinks/_rels/externalLink16.xml.rels" ContentType="application/vnd.openxmlformats-package.relationships+xml"/>
  <Override PartName="/xl/externalLinks/_rels/externalLink9.xml.rels" ContentType="application/vnd.openxmlformats-package.relationships+xml"/>
  <Override PartName="/xl/externalLinks/_rels/externalLink17.xml.rels" ContentType="application/vnd.openxmlformats-package.relationships+xml"/>
  <Override PartName="/xl/externalLinks/_rels/externalLink18.xml.rels" ContentType="application/vnd.openxmlformats-package.relationships+xml"/>
  <Override PartName="/xl/externalLinks/_rels/externalLink20.xml.rels" ContentType="application/vnd.openxmlformats-package.relationships+xml"/>
  <Override PartName="/xl/externalLinks/_rels/externalLink19.xml.rels" ContentType="application/vnd.openxmlformats-package.relationships+xml"/>
  <Override PartName="/xl/externalLinks/_rels/externalLink1.xml.rels" ContentType="application/vnd.openxmlformats-package.relationships+xml"/>
  <Override PartName="/xl/externalLinks/_rels/externalLink23.xml.rels" ContentType="application/vnd.openxmlformats-package.relationships+xml"/>
  <Override PartName="/xl/externalLinks/_rels/externalLink21.xml.rels" ContentType="application/vnd.openxmlformats-package.relationships+xml"/>
  <Override PartName="/xl/externalLinks/_rels/externalLink22.xml.rels" ContentType="application/vnd.openxmlformats-package.relationships+xml"/>
  <Override PartName="/xl/externalLinks/_rels/externalLink6.xml.rels" ContentType="application/vnd.openxmlformats-package.relationships+xml"/>
  <Override PartName="/xl/externalLinks/_rels/externalLink28.xml.rels" ContentType="application/vnd.openxmlformats-package.relationships+xml"/>
  <Override PartName="/xl/externalLinks/_rels/externalLink12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27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24.xml.rels" ContentType="application/vnd.openxmlformats-package.relationships+xml"/>
  <Override PartName="/xl/externalLinks/_rels/externalLink13.xml.rels" ContentType="application/vnd.openxmlformats-package.relationships+xml"/>
  <Override PartName="/xl/externalLinks/_rels/externalLink11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26.xml.rels" ContentType="application/vnd.openxmlformats-package.relationships+xml"/>
  <Override PartName="/xl/externalLinks/_rels/externalLink14.xml.rels" ContentType="application/vnd.openxmlformats-package.relationships+xml"/>
  <Override PartName="/xl/externalLinks/_rels/externalLink7.xml.rels" ContentType="application/vnd.openxmlformats-package.relationships+xml"/>
  <Override PartName="/xl/externalLinks/_rels/externalLink29.xml.rels" ContentType="application/vnd.openxmlformats-package.relationships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.png" ContentType="image/png"/>
  <Override PartName="/xl/comments5.xml" ContentType="application/vnd.openxmlformats-officedocument.spreadsheetml.comment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&amp;L conso" sheetId="1" state="visible" r:id="rId2"/>
    <sheet name="Opex Consolidés" sheetId="2" state="visible" r:id="rId3"/>
    <sheet name="Marge Mobile" sheetId="3" state="visible" r:id="rId4"/>
    <sheet name="CA Mobile" sheetId="4" state="hidden" r:id="rId5"/>
    <sheet name="Reclassement P&amp;L conso" sheetId="5" state="hidden" r:id="rId6"/>
    <sheet name="Reclassement Opex Consolidés" sheetId="6" state="hidden" r:id="rId7"/>
    <sheet name="Reclassement Marge Mobile" sheetId="7" state="hidden" r:id="rId8"/>
    <sheet name="tmpscrapsheet" sheetId="8" state="hidden" r:id="rId9"/>
    <sheet name="Source" sheetId="9" state="hidden" r:id="rId10"/>
    <sheet name="Ls_XLB_WorkbookFile" sheetId="10" state="hidden" r:id="rId11"/>
    <sheet name="Ls_AgXLB_WorkbookFile" sheetId="11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function="false" hidden="false" localSheetId="2" name="_xlnm.Print_Area" vbProcedure="false">'Marge Mobile'!$A$1:$AZ$46</definedName>
    <definedName function="false" hidden="false" localSheetId="1" name="_xlnm.Print_Area" vbProcedure="false">'Opex Consolidés'!$A$1:$AN$53</definedName>
    <definedName function="false" hidden="false" localSheetId="0" name="_xlnm.Print_Area" vbProcedure="false">'P&amp;L conso'!$A$1:$AZ$57</definedName>
    <definedName function="false" hidden="false" localSheetId="6" name="_xlnm.Print_Area" vbProcedure="false">'Reclassement Marge Mobile'!$A$1:$P$46</definedName>
    <definedName function="false" hidden="false" localSheetId="5" name="_xlnm.Print_Area" vbProcedure="false">'Reclassement Opex Consolidés'!$A$1:$P$39</definedName>
    <definedName function="false" hidden="false" localSheetId="4" name="_xlnm.Print_Area" vbProcedure="false">'Reclassement P&amp;L conso'!$A$1:$P$57</definedName>
    <definedName function="false" hidden="false" name="aaaaaa" vbProcedure="false">{"IS",#N/A,FALSE,"IS";"RPTIS",#N/A,FALSE,"RPTIS";"STATS",#N/A,FALSE,"STATS";"CELL",#N/A,FALSE,"CELL";"BS",#N/A,FALSE,"BS"}</definedName>
    <definedName function="false" hidden="false" name="aaaaaaaaa" vbProcedure="false">{"subs",#N/A,FALSE,"database ";"proportional",#N/A,FALSE,"database "}</definedName>
    <definedName function="false" hidden="false" name="AAA_DOCTOPS" vbProcedure="false">"AAA_SET"</definedName>
    <definedName function="false" hidden="false" name="AAA_duser" vbProcedure="false">"OFF"</definedName>
    <definedName function="false" hidden="false" name="AAB_Addin5" vbProcedure="false">"AAB_Description for addin 5,Description for addin 5,Description for addin 5,Description for addin 5,Description for addin 5,Description for addin 5"</definedName>
    <definedName function="false" hidden="false" name="ac" vbProcedure="false">{#N/A,#N/A,TRUE,"Pro Forma";#N/A,#N/A,TRUE,"PF_Bal";#N/A,#N/A,TRUE,"PF_INC";#N/A,#N/A,TRUE,"CBE";#N/A,#N/A,TRUE,"SWK"}</definedName>
    <definedName function="false" hidden="false" name="AccessDatabase" vbProcedure="false">"P:\auctions\auction.11\programs\11_flash.mdb"</definedName>
    <definedName function="false" hidden="false" name="ad" vbProcedure="false">{"IS",#N/A,FALSE,"IS";"RPTIS",#N/A,FALSE,"RPTIS";"STATS",#N/A,FALSE,"STATS";"CELL",#N/A,FALSE,"CELL";"BS",#N/A,FALSE,"BS"}</definedName>
    <definedName function="false" hidden="false" name="addg" vbProcedure="false">{#N/A,#N/A,FALSE,"CBE";#N/A,#N/A,FALSE,"SWK"}</definedName>
    <definedName function="false" hidden="false" name="a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ah" vbProcedure="false">{"test2",#N/A,TRUE,"Prices"}</definedName>
    <definedName function="false" hidden="false" name="ai" vbProcedure="false">{"subs",#N/A,FALSE,"database ";"proportional",#N/A,FALSE,"database "}</definedName>
    <definedName function="false" hidden="false" name="aj" vbProcedure="false">{"IS",#N/A,FALSE,"IS";"RPTIS",#N/A,FALSE,"RPTIS";"STATS",#N/A,FALSE,"STATS";"BS",#N/A,FALSE,"BS"}</definedName>
    <definedName function="false" hidden="false" name="anscount" vbProcedure="false">1</definedName>
    <definedName function="false" hidden="false" name="ao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ap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appendix4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AprRtgMFR" vbProcedure="false">{#N/A,#N/A,FALSE,"1999 Fiscal Current Week";#N/A,#N/A,FALSE,"1999 Fiscal Variance"}</definedName>
    <definedName function="false" hidden="false" name="aq" vbProcedure="false">{"IS",#N/A,FALSE,"IS";"RPTIS",#N/A,FALSE,"RPTIS";"STATS",#N/A,FALSE,"STATS";"CELL",#N/A,FALSE,"CELL";"BS",#N/A,FALSE,"BS"}</definedName>
    <definedName function="false" hidden="false" name="art" vbProcedure="false">{"First Page",#N/A,FALSE,"Surfactants LBO";"Second Page",#N/A,FALSE,"Surfactants LBO"}</definedName>
    <definedName function="false" hidden="false" name="Artems" vbProcedure="false">{"First Page",#N/A,FALSE,"Surfactants LBO";"Second Page",#N/A,FALSE,"Surfactants LBO"}</definedName>
    <definedName function="false" hidden="false" name="Artic" vbProcedure="false">{"First Page",#N/A,FALSE,"Surfactants LBO";"Second Page",#N/A,FALSE,"Surfactants LBO"}</definedName>
    <definedName function="false" hidden="false" name="as" vbProcedure="false">{"comp1",#N/A,FALSE,"COMPS";"footnotes",#N/A,FALSE,"COMPS"}</definedName>
    <definedName function="false" hidden="false" name="AS2DocOpenMode" vbProcedure="false">"AS2DocumentEdit"</definedName>
    <definedName function="false" hidden="false" name="AS2HasNoAutoHeaderFooter" vbProcedure="false">" "</definedName>
    <definedName function="false" hidden="false" name="AS2ReportLS" vbProcedure="false">1</definedName>
    <definedName function="false" hidden="false" name="AS2StaticLS" vbProcedure="false">'[6]Stocks lead'!A1</definedName>
    <definedName function="false" hidden="false" name="AS2SyncStepLS" vbProcedure="false">0</definedName>
    <definedName function="false" hidden="false" name="AS2VersionLS" vbProcedure="false">300</definedName>
    <definedName function="false" hidden="false" name="asd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asdf" vbProcedure="false">{#N/A,#N/A,FALSE,"Calc";#N/A,#N/A,FALSE,"Sensitivity";#N/A,#N/A,FALSE,"LT Earn.Dil.";#N/A,#N/A,FALSE,"Dil. AVP"}</definedName>
    <definedName function="false" hidden="false" name="at" vbProcedure="false">{"IS",#N/A,FALSE,"IS";"RPTIS",#N/A,FALSE,"RPTIS";"STATS",#N/A,FALSE,"STATS";"CELL",#N/A,FALSE,"CELL";"BS",#N/A,FALSE,"BS"}</definedName>
    <definedName function="false" hidden="false" name="au" vbProcedure="false">{#N/A,#N/A,FALSE,"ORIX CSC"}</definedName>
    <definedName function="false" hidden="false" name="ay" vbProcedure="false">{"print 1",#N/A,FALSE,"PrimeCo PCS";"print 2",#N/A,FALSE,"PrimeCo PCS";"valuation",#N/A,FALSE,"PrimeCo PCS"}</definedName>
    <definedName function="false" hidden="false" name="azazaz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azraze" vbProcedure="false">{"orixcsc",#N/A,FALSE,"ORIX CSC";"orixcsc2",#N/A,FALSE,"ORIX CSC"}</definedName>
    <definedName function="false" hidden="false" name="bc" vbProcedure="false">{"IS",#N/A,FALSE,"IS";"RPTIS",#N/A,FALSE,"RPTIS";"STATS",#N/A,FALSE,"STATS";"CELL",#N/A,FALSE,"CELL";"BS",#N/A,FALSE,"BS"}</definedName>
    <definedName function="false" hidden="false" name="belnew" vbProcedure="false">{"IS",#N/A,FALSE,"IS";"RPTIS",#N/A,FALSE,"RPTIS";"STATS",#N/A,FALSE,"STATS";"CELL",#N/A,FALSE,"CELL";"BS",#N/A,FALSE,"BS"}</definedName>
    <definedName function="false" hidden="false" name="belnew1" vbProcedure="false">{"IS",#N/A,FALSE,"IS";"RPTIS",#N/A,FALSE,"RPTIS";"STATS",#N/A,FALSE,"STATS";"CELL",#N/A,FALSE,"CELL";"BS",#N/A,FALSE,"BS"}</definedName>
    <definedName function="false" hidden="false" name="belnew10" vbProcedure="false">{"IS",#N/A,FALSE,"IS";"RPTIS",#N/A,FALSE,"RPTIS";"STATS",#N/A,FALSE,"STATS";"CELL",#N/A,FALSE,"CELL";"BS",#N/A,FALSE,"BS"}</definedName>
    <definedName function="false" hidden="false" name="BG" vbProcedure="false">{#N/A,#N/A,TRUE,"Cover sheet";#N/A,#N/A,TRUE,"DCF analysis";#N/A,#N/A,TRUE,"WACC calculation"}</definedName>
    <definedName function="false" hidden="false" name="BG_Del" vbProcedure="false">15</definedName>
    <definedName function="false" hidden="false" name="BG_Ins" vbProcedure="false">4</definedName>
    <definedName function="false" hidden="false" name="BG_Mod" vbProcedure="false">6</definedName>
    <definedName function="false" hidden="false" name="bhjilouiop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blabla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labla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bnkj" vbProcedure="false">{#N/A,#N/A,FALSE,"output";#N/A,#N/A,FALSE,"contrib";#N/A,#N/A,FALSE,"profile";#N/A,#N/A,FALSE,"comps"}</definedName>
    <definedName function="false" hidden="false" name="budfev" vbProcedure="false">[7]A!$U$2:$AH$2</definedName>
    <definedName function="false" hidden="false" name="Cable" vbProcedure="false">{#N/A,#N/A,FALSE,"Operations";#N/A,#N/A,FALSE,"Financials"}</definedName>
    <definedName function="false" hidden="false" name="Cable2" vbProcedure="false">{#N/A,#N/A,FALSE,"Operations";#N/A,#N/A,FALSE,"Financials"}</definedName>
    <definedName function="false" hidden="false" name="camel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cc" vbProcedure="false">{#N/A,#N/A,FALSE,"CBE";#N/A,#N/A,FALSE,"SWK"}</definedName>
    <definedName function="false" hidden="false" name="Comp" vbProcedure="false">{"First Page",#N/A,FALSE,"Surfactants LBO";"Second Page",#N/A,FALSE,"Surfactants LBO"}</definedName>
    <definedName function="false" hidden="false" name="Comparable" vbProcedure="false">{"First Page",#N/A,FALSE,"Surfactants LBO";"Second Page",#N/A,FALSE,"Surfactants LBO"}</definedName>
    <definedName function="false" hidden="false" name="cooper2" vbProcedure="false">{#N/A,#N/A,TRUE,"Pro Forma";#N/A,#N/A,TRUE,"PF_Bal";#N/A,#N/A,TRUE,"PF_INC";#N/A,#N/A,TRUE,"CBE";#N/A,#N/A,TRUE,"SWK"}</definedName>
    <definedName function="false" hidden="false" name="coucou" vbProcedure="false">{#N/A,#N/A,TRUE,"Cover sheet";#N/A,#N/A,TRUE,"INPUTS";#N/A,#N/A,TRUE,"OUTPUTS";#N/A,#N/A,TRUE,"VALUATION"}</definedName>
    <definedName function="false" hidden="false" name="CSDCDS" vbProcedure="false">[8]AW!$E$11:$E$24</definedName>
    <definedName function="false" hidden="false" name="das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ddc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DF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de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decembre" vbProcedure="false">{#N/A,#N/A,FALSE,"Umsatz";#N/A,#N/A,FALSE,"Base V.02";#N/A,#N/A,FALSE,"Charts"}</definedName>
    <definedName function="false" hidden="false" name="deciembre" vbProcedure="false">{#N/A,#N/A,FALSE,"Umsatz";#N/A,#N/A,FALSE,"Base V.02";#N/A,#N/A,FALSE,"Charts"}</definedName>
    <definedName function="false" hidden="false" name="deg" vbProcedure="false">{"First Page",#N/A,FALSE,"Surfactants LBO";"Second Page",#N/A,FALSE,"Surfactants LBO"}</definedName>
    <definedName function="false" hidden="false" name="dfd" vbProcedure="false">{"comp1",#N/A,FALSE,"COMPS";"footnotes",#N/A,FALSE,"COMPS"}</definedName>
    <definedName function="false" hidden="false" name="dhgndn" vbProcedure="false">[8]AW!$D$12</definedName>
    <definedName function="false" hidden="false" name="Diable" vbProcedure="false">{#N/A,#N/A,FALSE,"Operations";#N/A,#N/A,FALSE,"Financials"}</definedName>
    <definedName function="false" hidden="false" name="djcgf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dr" vbProcedure="false">{"IS",#N/A,FALSE,"IS";"RPTIS",#N/A,FALSE,"RPTIS";"STATS",#N/A,FALSE,"STATS";"BS",#N/A,FALSE,"BS"}</definedName>
    <definedName function="false" hidden="false" name="dsggd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dz" vbProcedure="false">{"test2",#N/A,TRUE,"Prices"}</definedName>
    <definedName function="false" hidden="false" name="ea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edp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efrqezrqze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emily" vbProcedure="false">{#N/A,#N/A,FALSE,"Calc";#N/A,#N/A,FALSE,"Sensitivity";#N/A,#N/A,FALSE,"LT Earn.Dil.";#N/A,#N/A,FALSE,"Dil. AVP"}</definedName>
    <definedName function="false" hidden="false" name="Emploi" vbProcedure="false">{"IS",#N/A,FALSE,"IS";"RPTIS",#N/A,FALSE,"RPTIS";"STATS",#N/A,FALSE,"STATS";"CELL",#N/A,FALSE,"CELL";"BS",#N/A,FALSE,"BS"}</definedName>
    <definedName function="false" hidden="false" name="ERTY" vbProcedure="false">[8]AW!$C$30:$H$35</definedName>
    <definedName function="false" hidden="false" name="essais" vbProcedure="false">{#N/A,#N/A,FALSE,"F_Plan";#N/A,#N/A,FALSE,"Parameter"}</definedName>
    <definedName function="false" hidden="false" name="et" vbProcedure="false">{"IS",#N/A,FALSE,"IS";"RPTIS",#N/A,FALSE,"RPTIS";"STATS",#N/A,FALSE,"STATS";"BS",#N/A,FALSE,"BS"}</definedName>
    <definedName function="false" hidden="false" name="EV__LASTREFTIME__" vbProcedure="false">39293.7047916667</definedName>
    <definedName function="false" hidden="false" name="e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eyr" vbProcedure="false">{"hiden",#N/A,FALSE,"14";"hidden",#N/A,FALSE,"16";"hidden",#N/A,FALSE,"18";"hidden",#N/A,FALSE,"20"}</definedName>
    <definedName function="false" hidden="false" name="ezrtrezt" vbProcedure="false">[8]AW!$D$11:$D$24</definedName>
    <definedName function="false" hidden="false" name="fcfdd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FDD_0_0" vbProcedure="false">"A30681"</definedName>
    <definedName function="false" hidden="false" name="FDD_0_1" vbProcedure="false">"A31047"</definedName>
    <definedName function="false" hidden="false" name="FDD_0_10" vbProcedure="false">"A34334"</definedName>
    <definedName function="false" hidden="false" name="FDD_0_11" vbProcedure="false">"A34699"</definedName>
    <definedName function="false" hidden="false" name="FDD_0_12" vbProcedure="false">"A35064"</definedName>
    <definedName function="false" hidden="false" name="FDD_0_13" vbProcedure="false">"A35430"</definedName>
    <definedName function="false" hidden="false" name="FDD_0_14" vbProcedure="false">"A35795"</definedName>
    <definedName function="false" hidden="false" name="FDD_0_2" vbProcedure="false">"A31412"</definedName>
    <definedName function="false" hidden="false" name="FDD_0_3" vbProcedure="false">"A31777"</definedName>
    <definedName function="false" hidden="false" name="FDD_0_4" vbProcedure="false">"A32142"</definedName>
    <definedName function="false" hidden="false" name="FDD_0_5" vbProcedure="false">"A32508"</definedName>
    <definedName function="false" hidden="false" name="FDD_0_6" vbProcedure="false">"A32873"</definedName>
    <definedName function="false" hidden="false" name="FDD_0_7" vbProcedure="false">"A33238"</definedName>
    <definedName function="false" hidden="false" name="FDD_0_8" vbProcedure="false">"A33603"</definedName>
    <definedName function="false" hidden="false" name="FDD_0_9" vbProcedure="false">"A33969"</definedName>
    <definedName function="false" hidden="false" name="FDD_100_0" vbProcedure="false">"A25569"</definedName>
    <definedName function="false" hidden="false" name="FDD_101_0" vbProcedure="false">"A25569"</definedName>
    <definedName function="false" hidden="false" name="FDD_102_0" vbProcedure="false">"A25569"</definedName>
    <definedName function="false" hidden="false" name="FDD_103_0" vbProcedure="false">"A25569"</definedName>
    <definedName function="false" hidden="false" name="FDD_104_0" vbProcedure="false">"A25569"</definedName>
    <definedName function="false" hidden="false" name="FDD_105_0" vbProcedure="false">"A25569"</definedName>
    <definedName function="false" hidden="false" name="FDD_106_0" vbProcedure="false">"A25569"</definedName>
    <definedName function="false" hidden="false" name="FDD_107_0" vbProcedure="false">"A25569"</definedName>
    <definedName function="false" hidden="false" name="FDD_108_0" vbProcedure="false">"A25569"</definedName>
    <definedName function="false" hidden="false" name="FDD_109_0" vbProcedure="false">"A25569"</definedName>
    <definedName function="false" hidden="false" name="FDD_10_0" vbProcedure="false">"A25569"</definedName>
    <definedName function="false" hidden="false" name="FDD_110_0" vbProcedure="false">"A25569"</definedName>
    <definedName function="false" hidden="false" name="FDD_111_0" vbProcedure="false">"A25569"</definedName>
    <definedName function="false" hidden="false" name="FDD_112_0" vbProcedure="false">"A25569"</definedName>
    <definedName function="false" hidden="false" name="FDD_113_0" vbProcedure="false">"A25569"</definedName>
    <definedName function="false" hidden="false" name="FDD_114_0" vbProcedure="false">"A25569"</definedName>
    <definedName function="false" hidden="false" name="FDD_115_0" vbProcedure="false">"A25569"</definedName>
    <definedName function="false" hidden="false" name="FDD_116_0" vbProcedure="false">"A25569"</definedName>
    <definedName function="false" hidden="false" name="FDD_117_0" vbProcedure="false">"A30681"</definedName>
    <definedName function="false" hidden="false" name="FDD_117_1" vbProcedure="false">"A31047"</definedName>
    <definedName function="false" hidden="false" name="FDD_117_10" vbProcedure="false">"A34334"</definedName>
    <definedName function="false" hidden="false" name="FDD_117_11" vbProcedure="false">"A34699"</definedName>
    <definedName function="false" hidden="false" name="FDD_117_12" vbProcedure="false">"A35064"</definedName>
    <definedName function="false" hidden="false" name="FDD_117_13" vbProcedure="false">"A35430"</definedName>
    <definedName function="false" hidden="false" name="FDD_117_14" vbProcedure="false">"A35795"</definedName>
    <definedName function="false" hidden="false" name="FDD_117_2" vbProcedure="false">"A31412"</definedName>
    <definedName function="false" hidden="false" name="FDD_117_3" vbProcedure="false">"A31777"</definedName>
    <definedName function="false" hidden="false" name="FDD_117_4" vbProcedure="false">"A32142"</definedName>
    <definedName function="false" hidden="false" name="FDD_117_5" vbProcedure="false">"A32508"</definedName>
    <definedName function="false" hidden="false" name="FDD_117_6" vbProcedure="false">"A32873"</definedName>
    <definedName function="false" hidden="false" name="FDD_117_7" vbProcedure="false">"A33238"</definedName>
    <definedName function="false" hidden="false" name="FDD_117_8" vbProcedure="false">"A33603"</definedName>
    <definedName function="false" hidden="false" name="FDD_117_9" vbProcedure="false">"A33969"</definedName>
    <definedName function="false" hidden="false" name="FDD_118_0" vbProcedure="false">"A30681"</definedName>
    <definedName function="false" hidden="false" name="FDD_118_1" vbProcedure="false">"A31047"</definedName>
    <definedName function="false" hidden="false" name="FDD_118_10" vbProcedure="false">"A34334"</definedName>
    <definedName function="false" hidden="false" name="FDD_118_11" vbProcedure="false">"A34699"</definedName>
    <definedName function="false" hidden="false" name="FDD_118_12" vbProcedure="false">"A35064"</definedName>
    <definedName function="false" hidden="false" name="FDD_118_13" vbProcedure="false">"A35430"</definedName>
    <definedName function="false" hidden="false" name="FDD_118_14" vbProcedure="false">"A35795"</definedName>
    <definedName function="false" hidden="false" name="FDD_118_2" vbProcedure="false">"A31412"</definedName>
    <definedName function="false" hidden="false" name="FDD_118_3" vbProcedure="false">"A31777"</definedName>
    <definedName function="false" hidden="false" name="FDD_118_4" vbProcedure="false">"A32142"</definedName>
    <definedName function="false" hidden="false" name="FDD_118_5" vbProcedure="false">"A32508"</definedName>
    <definedName function="false" hidden="false" name="FDD_118_6" vbProcedure="false">"A32873"</definedName>
    <definedName function="false" hidden="false" name="FDD_118_7" vbProcedure="false">"A33238"</definedName>
    <definedName function="false" hidden="false" name="FDD_118_8" vbProcedure="false">"A33603"</definedName>
    <definedName function="false" hidden="false" name="FDD_118_9" vbProcedure="false">"A33969"</definedName>
    <definedName function="false" hidden="false" name="FDD_119_0" vbProcedure="false">"A30681"</definedName>
    <definedName function="false" hidden="false" name="FDD_119_1" vbProcedure="false">"A31047"</definedName>
    <definedName function="false" hidden="false" name="FDD_119_10" vbProcedure="false">"A34334"</definedName>
    <definedName function="false" hidden="false" name="FDD_119_11" vbProcedure="false">"A34699"</definedName>
    <definedName function="false" hidden="false" name="FDD_119_12" vbProcedure="false">"A35064"</definedName>
    <definedName function="false" hidden="false" name="FDD_119_13" vbProcedure="false">"A35430"</definedName>
    <definedName function="false" hidden="false" name="FDD_119_14" vbProcedure="false">"A35795"</definedName>
    <definedName function="false" hidden="false" name="FDD_119_2" vbProcedure="false">"A31412"</definedName>
    <definedName function="false" hidden="false" name="FDD_119_3" vbProcedure="false">"A31777"</definedName>
    <definedName function="false" hidden="false" name="FDD_119_4" vbProcedure="false">"A32142"</definedName>
    <definedName function="false" hidden="false" name="FDD_119_5" vbProcedure="false">"A32508"</definedName>
    <definedName function="false" hidden="false" name="FDD_119_6" vbProcedure="false">"A32873"</definedName>
    <definedName function="false" hidden="false" name="FDD_119_7" vbProcedure="false">"A33238"</definedName>
    <definedName function="false" hidden="false" name="FDD_119_8" vbProcedure="false">"A33603"</definedName>
    <definedName function="false" hidden="false" name="FDD_119_9" vbProcedure="false">"A33969"</definedName>
    <definedName function="false" hidden="false" name="FDD_11_0" vbProcedure="false">"A25569"</definedName>
    <definedName function="false" hidden="false" name="FDD_120_0" vbProcedure="false">"A30681"</definedName>
    <definedName function="false" hidden="false" name="FDD_120_1" vbProcedure="false">"A31047"</definedName>
    <definedName function="false" hidden="false" name="FDD_120_10" vbProcedure="false">"A34334"</definedName>
    <definedName function="false" hidden="false" name="FDD_120_11" vbProcedure="false">"A34699"</definedName>
    <definedName function="false" hidden="false" name="FDD_120_12" vbProcedure="false">"A35064"</definedName>
    <definedName function="false" hidden="false" name="FDD_120_13" vbProcedure="false">"A35430"</definedName>
    <definedName function="false" hidden="false" name="FDD_120_14" vbProcedure="false">"A35795"</definedName>
    <definedName function="false" hidden="false" name="FDD_120_2" vbProcedure="false">"A31412"</definedName>
    <definedName function="false" hidden="false" name="FDD_120_3" vbProcedure="false">"A31777"</definedName>
    <definedName function="false" hidden="false" name="FDD_120_4" vbProcedure="false">"A32142"</definedName>
    <definedName function="false" hidden="false" name="FDD_120_5" vbProcedure="false">"A32508"</definedName>
    <definedName function="false" hidden="false" name="FDD_120_6" vbProcedure="false">"A32873"</definedName>
    <definedName function="false" hidden="false" name="FDD_120_7" vbProcedure="false">"A33238"</definedName>
    <definedName function="false" hidden="false" name="FDD_120_8" vbProcedure="false">"A33603"</definedName>
    <definedName function="false" hidden="false" name="FDD_120_9" vbProcedure="false">"A33969"</definedName>
    <definedName function="false" hidden="false" name="FDD_121_0" vbProcedure="false">"A30681"</definedName>
    <definedName function="false" hidden="false" name="FDD_121_1" vbProcedure="false">"A31047"</definedName>
    <definedName function="false" hidden="false" name="FDD_121_10" vbProcedure="false">"A34334"</definedName>
    <definedName function="false" hidden="false" name="FDD_121_11" vbProcedure="false">"A34699"</definedName>
    <definedName function="false" hidden="false" name="FDD_121_12" vbProcedure="false">"A35064"</definedName>
    <definedName function="false" hidden="false" name="FDD_121_13" vbProcedure="false">"A35430"</definedName>
    <definedName function="false" hidden="false" name="FDD_121_14" vbProcedure="false">"A35795"</definedName>
    <definedName function="false" hidden="false" name="FDD_121_2" vbProcedure="false">"A31412"</definedName>
    <definedName function="false" hidden="false" name="FDD_121_3" vbProcedure="false">"A31777"</definedName>
    <definedName function="false" hidden="false" name="FDD_121_4" vbProcedure="false">"A32142"</definedName>
    <definedName function="false" hidden="false" name="FDD_121_5" vbProcedure="false">"A32508"</definedName>
    <definedName function="false" hidden="false" name="FDD_121_6" vbProcedure="false">"A32873"</definedName>
    <definedName function="false" hidden="false" name="FDD_121_7" vbProcedure="false">"A33238"</definedName>
    <definedName function="false" hidden="false" name="FDD_121_8" vbProcedure="false">"A33603"</definedName>
    <definedName function="false" hidden="false" name="FDD_121_9" vbProcedure="false">"A33969"</definedName>
    <definedName function="false" hidden="false" name="FDD_122_0" vbProcedure="false">"A30681"</definedName>
    <definedName function="false" hidden="false" name="FDD_122_1" vbProcedure="false">"A31047"</definedName>
    <definedName function="false" hidden="false" name="FDD_122_10" vbProcedure="false">"A34334"</definedName>
    <definedName function="false" hidden="false" name="FDD_122_11" vbProcedure="false">"A34699"</definedName>
    <definedName function="false" hidden="false" name="FDD_122_12" vbProcedure="false">"A35064"</definedName>
    <definedName function="false" hidden="false" name="FDD_122_13" vbProcedure="false">"A35430"</definedName>
    <definedName function="false" hidden="false" name="FDD_122_14" vbProcedure="false">"A35795"</definedName>
    <definedName function="false" hidden="false" name="FDD_122_2" vbProcedure="false">"A31412"</definedName>
    <definedName function="false" hidden="false" name="FDD_122_3" vbProcedure="false">"A31777"</definedName>
    <definedName function="false" hidden="false" name="FDD_122_4" vbProcedure="false">"A32142"</definedName>
    <definedName function="false" hidden="false" name="FDD_122_5" vbProcedure="false">"A32508"</definedName>
    <definedName function="false" hidden="false" name="FDD_122_6" vbProcedure="false">"A32873"</definedName>
    <definedName function="false" hidden="false" name="FDD_122_7" vbProcedure="false">"A33238"</definedName>
    <definedName function="false" hidden="false" name="FDD_122_8" vbProcedure="false">"A33603"</definedName>
    <definedName function="false" hidden="false" name="FDD_122_9" vbProcedure="false">"A33969"</definedName>
    <definedName function="false" hidden="false" name="FDD_123_0" vbProcedure="false">"A30681"</definedName>
    <definedName function="false" hidden="false" name="FDD_123_1" vbProcedure="false">"A31047"</definedName>
    <definedName function="false" hidden="false" name="FDD_123_10" vbProcedure="false">"A34334"</definedName>
    <definedName function="false" hidden="false" name="FDD_123_11" vbProcedure="false">"A34699"</definedName>
    <definedName function="false" hidden="false" name="FDD_123_12" vbProcedure="false">"A35064"</definedName>
    <definedName function="false" hidden="false" name="FDD_123_13" vbProcedure="false">"A35430"</definedName>
    <definedName function="false" hidden="false" name="FDD_123_14" vbProcedure="false">"A35795"</definedName>
    <definedName function="false" hidden="false" name="FDD_123_2" vbProcedure="false">"A31412"</definedName>
    <definedName function="false" hidden="false" name="FDD_123_3" vbProcedure="false">"A31777"</definedName>
    <definedName function="false" hidden="false" name="FDD_123_4" vbProcedure="false">"A32142"</definedName>
    <definedName function="false" hidden="false" name="FDD_123_5" vbProcedure="false">"A32508"</definedName>
    <definedName function="false" hidden="false" name="FDD_123_6" vbProcedure="false">"A32873"</definedName>
    <definedName function="false" hidden="false" name="FDD_123_7" vbProcedure="false">"A33238"</definedName>
    <definedName function="false" hidden="false" name="FDD_123_8" vbProcedure="false">"A33603"</definedName>
    <definedName function="false" hidden="false" name="FDD_123_9" vbProcedure="false">"A33969"</definedName>
    <definedName function="false" hidden="false" name="FDD_124_0" vbProcedure="false">"A30681"</definedName>
    <definedName function="false" hidden="false" name="FDD_124_1" vbProcedure="false">"A31047"</definedName>
    <definedName function="false" hidden="false" name="FDD_124_10" vbProcedure="false">"A34334"</definedName>
    <definedName function="false" hidden="false" name="FDD_124_11" vbProcedure="false">"A34699"</definedName>
    <definedName function="false" hidden="false" name="FDD_124_12" vbProcedure="false">"A35064"</definedName>
    <definedName function="false" hidden="false" name="FDD_124_13" vbProcedure="false">"A35430"</definedName>
    <definedName function="false" hidden="false" name="FDD_124_14" vbProcedure="false">"A35795"</definedName>
    <definedName function="false" hidden="false" name="FDD_124_2" vbProcedure="false">"A31412"</definedName>
    <definedName function="false" hidden="false" name="FDD_124_3" vbProcedure="false">"A31777"</definedName>
    <definedName function="false" hidden="false" name="FDD_124_4" vbProcedure="false">"A32142"</definedName>
    <definedName function="false" hidden="false" name="FDD_124_5" vbProcedure="false">"A32508"</definedName>
    <definedName function="false" hidden="false" name="FDD_124_6" vbProcedure="false">"A32873"</definedName>
    <definedName function="false" hidden="false" name="FDD_124_7" vbProcedure="false">"A33238"</definedName>
    <definedName function="false" hidden="false" name="FDD_124_8" vbProcedure="false">"A33603"</definedName>
    <definedName function="false" hidden="false" name="FDD_124_9" vbProcedure="false">"A33969"</definedName>
    <definedName function="false" hidden="false" name="FDD_125_0" vbProcedure="false">"A30681"</definedName>
    <definedName function="false" hidden="false" name="FDD_125_1" vbProcedure="false">"A31047"</definedName>
    <definedName function="false" hidden="false" name="FDD_125_10" vbProcedure="false">"A34334"</definedName>
    <definedName function="false" hidden="false" name="FDD_125_11" vbProcedure="false">"A34699"</definedName>
    <definedName function="false" hidden="false" name="FDD_125_12" vbProcedure="false">"A35064"</definedName>
    <definedName function="false" hidden="false" name="FDD_125_13" vbProcedure="false">"A35430"</definedName>
    <definedName function="false" hidden="false" name="FDD_125_14" vbProcedure="false">"A35795"</definedName>
    <definedName function="false" hidden="false" name="FDD_125_2" vbProcedure="false">"A31412"</definedName>
    <definedName function="false" hidden="false" name="FDD_125_3" vbProcedure="false">"A31777"</definedName>
    <definedName function="false" hidden="false" name="FDD_125_4" vbProcedure="false">"A32142"</definedName>
    <definedName function="false" hidden="false" name="FDD_125_5" vbProcedure="false">"A32508"</definedName>
    <definedName function="false" hidden="false" name="FDD_125_6" vbProcedure="false">"A32873"</definedName>
    <definedName function="false" hidden="false" name="FDD_125_7" vbProcedure="false">"A33238"</definedName>
    <definedName function="false" hidden="false" name="FDD_125_8" vbProcedure="false">"A33603"</definedName>
    <definedName function="false" hidden="false" name="FDD_125_9" vbProcedure="false">"A33969"</definedName>
    <definedName function="false" hidden="false" name="FDD_126_0" vbProcedure="false">"A30681"</definedName>
    <definedName function="false" hidden="false" name="FDD_126_1" vbProcedure="false">"A31047"</definedName>
    <definedName function="false" hidden="false" name="FDD_126_10" vbProcedure="false">"A34334"</definedName>
    <definedName function="false" hidden="false" name="FDD_126_11" vbProcedure="false">"A34699"</definedName>
    <definedName function="false" hidden="false" name="FDD_126_12" vbProcedure="false">"A35064"</definedName>
    <definedName function="false" hidden="false" name="FDD_126_13" vbProcedure="false">"A35430"</definedName>
    <definedName function="false" hidden="false" name="FDD_126_14" vbProcedure="false">"A35795"</definedName>
    <definedName function="false" hidden="false" name="FDD_126_2" vbProcedure="false">"A31412"</definedName>
    <definedName function="false" hidden="false" name="FDD_126_3" vbProcedure="false">"A31777"</definedName>
    <definedName function="false" hidden="false" name="FDD_126_4" vbProcedure="false">"A32142"</definedName>
    <definedName function="false" hidden="false" name="FDD_126_5" vbProcedure="false">"A32508"</definedName>
    <definedName function="false" hidden="false" name="FDD_126_6" vbProcedure="false">"A32873"</definedName>
    <definedName function="false" hidden="false" name="FDD_126_7" vbProcedure="false">"A33238"</definedName>
    <definedName function="false" hidden="false" name="FDD_126_8" vbProcedure="false">"A33603"</definedName>
    <definedName function="false" hidden="false" name="FDD_126_9" vbProcedure="false">"A33969"</definedName>
    <definedName function="false" hidden="false" name="FDD_127_0" vbProcedure="false">"A30681"</definedName>
    <definedName function="false" hidden="false" name="FDD_127_1" vbProcedure="false">"A31047"</definedName>
    <definedName function="false" hidden="false" name="FDD_127_10" vbProcedure="false">"A34334"</definedName>
    <definedName function="false" hidden="false" name="FDD_127_11" vbProcedure="false">"A34699"</definedName>
    <definedName function="false" hidden="false" name="FDD_127_12" vbProcedure="false">"A35064"</definedName>
    <definedName function="false" hidden="false" name="FDD_127_13" vbProcedure="false">"A35430"</definedName>
    <definedName function="false" hidden="false" name="FDD_127_14" vbProcedure="false">"A35795"</definedName>
    <definedName function="false" hidden="false" name="FDD_127_2" vbProcedure="false">"A31412"</definedName>
    <definedName function="false" hidden="false" name="FDD_127_3" vbProcedure="false">"A31777"</definedName>
    <definedName function="false" hidden="false" name="FDD_127_4" vbProcedure="false">"A32142"</definedName>
    <definedName function="false" hidden="false" name="FDD_127_5" vbProcedure="false">"A32508"</definedName>
    <definedName function="false" hidden="false" name="FDD_127_6" vbProcedure="false">"A32873"</definedName>
    <definedName function="false" hidden="false" name="FDD_127_7" vbProcedure="false">"A33238"</definedName>
    <definedName function="false" hidden="false" name="FDD_127_8" vbProcedure="false">"A33603"</definedName>
    <definedName function="false" hidden="false" name="FDD_127_9" vbProcedure="false">"A33969"</definedName>
    <definedName function="false" hidden="false" name="FDD_128_0" vbProcedure="false">"A30681"</definedName>
    <definedName function="false" hidden="false" name="FDD_128_1" vbProcedure="false">"A31047"</definedName>
    <definedName function="false" hidden="false" name="FDD_128_10" vbProcedure="false">"A34334"</definedName>
    <definedName function="false" hidden="false" name="FDD_128_11" vbProcedure="false">"A34699"</definedName>
    <definedName function="false" hidden="false" name="FDD_128_12" vbProcedure="false">"A35064"</definedName>
    <definedName function="false" hidden="false" name="FDD_128_13" vbProcedure="false">"A35430"</definedName>
    <definedName function="false" hidden="false" name="FDD_128_14" vbProcedure="false">"A35795"</definedName>
    <definedName function="false" hidden="false" name="FDD_128_2" vbProcedure="false">"A31412"</definedName>
    <definedName function="false" hidden="false" name="FDD_128_3" vbProcedure="false">"A31777"</definedName>
    <definedName function="false" hidden="false" name="FDD_128_4" vbProcedure="false">"A32142"</definedName>
    <definedName function="false" hidden="false" name="FDD_128_5" vbProcedure="false">"A32508"</definedName>
    <definedName function="false" hidden="false" name="FDD_128_6" vbProcedure="false">"A32873"</definedName>
    <definedName function="false" hidden="false" name="FDD_128_7" vbProcedure="false">"A33238"</definedName>
    <definedName function="false" hidden="false" name="FDD_128_8" vbProcedure="false">"A33603"</definedName>
    <definedName function="false" hidden="false" name="FDD_128_9" vbProcedure="false">"A33969"</definedName>
    <definedName function="false" hidden="false" name="FDD_129_0" vbProcedure="false">"A30681"</definedName>
    <definedName function="false" hidden="false" name="FDD_129_1" vbProcedure="false">"A31047"</definedName>
    <definedName function="false" hidden="false" name="FDD_129_10" vbProcedure="false">"A34334"</definedName>
    <definedName function="false" hidden="false" name="FDD_129_11" vbProcedure="false">"A34699"</definedName>
    <definedName function="false" hidden="false" name="FDD_129_12" vbProcedure="false">"A35064"</definedName>
    <definedName function="false" hidden="false" name="FDD_129_13" vbProcedure="false">"A35430"</definedName>
    <definedName function="false" hidden="false" name="FDD_129_14" vbProcedure="false">"A35795"</definedName>
    <definedName function="false" hidden="false" name="FDD_129_2" vbProcedure="false">"A31412"</definedName>
    <definedName function="false" hidden="false" name="FDD_129_3" vbProcedure="false">"A31777"</definedName>
    <definedName function="false" hidden="false" name="FDD_129_4" vbProcedure="false">"A32142"</definedName>
    <definedName function="false" hidden="false" name="FDD_129_5" vbProcedure="false">"A32508"</definedName>
    <definedName function="false" hidden="false" name="FDD_129_6" vbProcedure="false">"A32873"</definedName>
    <definedName function="false" hidden="false" name="FDD_129_7" vbProcedure="false">"A33238"</definedName>
    <definedName function="false" hidden="false" name="FDD_129_8" vbProcedure="false">"A33603"</definedName>
    <definedName function="false" hidden="false" name="FDD_129_9" vbProcedure="false">"A33969"</definedName>
    <definedName function="false" hidden="false" name="FDD_12_0" vbProcedure="false">"A25569"</definedName>
    <definedName function="false" hidden="false" name="FDD_130_0" vbProcedure="false">"A30681"</definedName>
    <definedName function="false" hidden="false" name="FDD_130_1" vbProcedure="false">"A31047"</definedName>
    <definedName function="false" hidden="false" name="FDD_130_10" vbProcedure="false">"A34334"</definedName>
    <definedName function="false" hidden="false" name="FDD_130_11" vbProcedure="false">"A34699"</definedName>
    <definedName function="false" hidden="false" name="FDD_130_12" vbProcedure="false">"A35064"</definedName>
    <definedName function="false" hidden="false" name="FDD_130_13" vbProcedure="false">"A35430"</definedName>
    <definedName function="false" hidden="false" name="FDD_130_14" vbProcedure="false">"A35795"</definedName>
    <definedName function="false" hidden="false" name="FDD_130_2" vbProcedure="false">"A31412"</definedName>
    <definedName function="false" hidden="false" name="FDD_130_3" vbProcedure="false">"A31777"</definedName>
    <definedName function="false" hidden="false" name="FDD_130_4" vbProcedure="false">"A32142"</definedName>
    <definedName function="false" hidden="false" name="FDD_130_5" vbProcedure="false">"A32508"</definedName>
    <definedName function="false" hidden="false" name="FDD_130_6" vbProcedure="false">"A32873"</definedName>
    <definedName function="false" hidden="false" name="FDD_130_7" vbProcedure="false">"A33238"</definedName>
    <definedName function="false" hidden="false" name="FDD_130_8" vbProcedure="false">"A33603"</definedName>
    <definedName function="false" hidden="false" name="FDD_130_9" vbProcedure="false">"A33969"</definedName>
    <definedName function="false" hidden="false" name="FDD_131_0" vbProcedure="false">"A30681"</definedName>
    <definedName function="false" hidden="false" name="FDD_131_1" vbProcedure="false">"A31047"</definedName>
    <definedName function="false" hidden="false" name="FDD_131_10" vbProcedure="false">"A34334"</definedName>
    <definedName function="false" hidden="false" name="FDD_131_11" vbProcedure="false">"A34699"</definedName>
    <definedName function="false" hidden="false" name="FDD_131_12" vbProcedure="false">"A35064"</definedName>
    <definedName function="false" hidden="false" name="FDD_131_13" vbProcedure="false">"A35430"</definedName>
    <definedName function="false" hidden="false" name="FDD_131_14" vbProcedure="false">"A35795"</definedName>
    <definedName function="false" hidden="false" name="FDD_131_2" vbProcedure="false">"A31412"</definedName>
    <definedName function="false" hidden="false" name="FDD_131_3" vbProcedure="false">"A31777"</definedName>
    <definedName function="false" hidden="false" name="FDD_131_4" vbProcedure="false">"A32142"</definedName>
    <definedName function="false" hidden="false" name="FDD_131_5" vbProcedure="false">"A32508"</definedName>
    <definedName function="false" hidden="false" name="FDD_131_6" vbProcedure="false">"A32873"</definedName>
    <definedName function="false" hidden="false" name="FDD_131_7" vbProcedure="false">"A33238"</definedName>
    <definedName function="false" hidden="false" name="FDD_131_8" vbProcedure="false">"A33603"</definedName>
    <definedName function="false" hidden="false" name="FDD_131_9" vbProcedure="false">"A33969"</definedName>
    <definedName function="false" hidden="false" name="FDD_132_0" vbProcedure="false">"U30681"</definedName>
    <definedName function="false" hidden="false" name="FDD_132_1" vbProcedure="false">"U31047"</definedName>
    <definedName function="false" hidden="false" name="FDD_132_10" vbProcedure="false">"U34334"</definedName>
    <definedName function="false" hidden="false" name="FDD_132_11" vbProcedure="false">"U34699"</definedName>
    <definedName function="false" hidden="false" name="FDD_132_12" vbProcedure="false">"U35064"</definedName>
    <definedName function="false" hidden="false" name="FDD_132_13" vbProcedure="false">"U35430"</definedName>
    <definedName function="false" hidden="false" name="FDD_132_14" vbProcedure="false">"U35795"</definedName>
    <definedName function="false" hidden="false" name="FDD_132_2" vbProcedure="false">"U31412"</definedName>
    <definedName function="false" hidden="false" name="FDD_132_3" vbProcedure="false">"U31777"</definedName>
    <definedName function="false" hidden="false" name="FDD_132_4" vbProcedure="false">"U32142"</definedName>
    <definedName function="false" hidden="false" name="FDD_132_5" vbProcedure="false">"U32508"</definedName>
    <definedName function="false" hidden="false" name="FDD_132_6" vbProcedure="false">"U32873"</definedName>
    <definedName function="false" hidden="false" name="FDD_132_7" vbProcedure="false">"U33238"</definedName>
    <definedName function="false" hidden="false" name="FDD_132_8" vbProcedure="false">"U33603"</definedName>
    <definedName function="false" hidden="false" name="FDD_132_9" vbProcedure="false">"U33969"</definedName>
    <definedName function="false" hidden="false" name="FDD_133_0" vbProcedure="false">"A30681"</definedName>
    <definedName function="false" hidden="false" name="FDD_133_1" vbProcedure="false">"A31047"</definedName>
    <definedName function="false" hidden="false" name="FDD_133_10" vbProcedure="false">"A34334"</definedName>
    <definedName function="false" hidden="false" name="FDD_133_11" vbProcedure="false">"A34699"</definedName>
    <definedName function="false" hidden="false" name="FDD_133_12" vbProcedure="false">"A35064"</definedName>
    <definedName function="false" hidden="false" name="FDD_133_13" vbProcedure="false">"A35430"</definedName>
    <definedName function="false" hidden="false" name="FDD_133_14" vbProcedure="false">"A35795"</definedName>
    <definedName function="false" hidden="false" name="FDD_133_2" vbProcedure="false">"A31412"</definedName>
    <definedName function="false" hidden="false" name="FDD_133_3" vbProcedure="false">"A31777"</definedName>
    <definedName function="false" hidden="false" name="FDD_133_4" vbProcedure="false">"A32142"</definedName>
    <definedName function="false" hidden="false" name="FDD_133_5" vbProcedure="false">"A32508"</definedName>
    <definedName function="false" hidden="false" name="FDD_133_6" vbProcedure="false">"A32873"</definedName>
    <definedName function="false" hidden="false" name="FDD_133_7" vbProcedure="false">"A33238"</definedName>
    <definedName function="false" hidden="false" name="FDD_133_8" vbProcedure="false">"A33603"</definedName>
    <definedName function="false" hidden="false" name="FDD_133_9" vbProcedure="false">"A33969"</definedName>
    <definedName function="false" hidden="false" name="FDD_134_0" vbProcedure="false">"A30681"</definedName>
    <definedName function="false" hidden="false" name="FDD_134_1" vbProcedure="false">"A31047"</definedName>
    <definedName function="false" hidden="false" name="FDD_134_10" vbProcedure="false">"A34334"</definedName>
    <definedName function="false" hidden="false" name="FDD_134_11" vbProcedure="false">"A34699"</definedName>
    <definedName function="false" hidden="false" name="FDD_134_12" vbProcedure="false">"A35064"</definedName>
    <definedName function="false" hidden="false" name="FDD_134_13" vbProcedure="false">"A35430"</definedName>
    <definedName function="false" hidden="false" name="FDD_134_14" vbProcedure="false">"A35795"</definedName>
    <definedName function="false" hidden="false" name="FDD_134_2" vbProcedure="false">"A31412"</definedName>
    <definedName function="false" hidden="false" name="FDD_134_3" vbProcedure="false">"A31777"</definedName>
    <definedName function="false" hidden="false" name="FDD_134_4" vbProcedure="false">"A32142"</definedName>
    <definedName function="false" hidden="false" name="FDD_134_5" vbProcedure="false">"A32508"</definedName>
    <definedName function="false" hidden="false" name="FDD_134_6" vbProcedure="false">"A32873"</definedName>
    <definedName function="false" hidden="false" name="FDD_134_7" vbProcedure="false">"A33238"</definedName>
    <definedName function="false" hidden="false" name="FDD_134_8" vbProcedure="false">"A33603"</definedName>
    <definedName function="false" hidden="false" name="FDD_134_9" vbProcedure="false">"A33969"</definedName>
    <definedName function="false" hidden="false" name="FDD_135_0" vbProcedure="false">"A30681"</definedName>
    <definedName function="false" hidden="false" name="FDD_135_1" vbProcedure="false">"A31047"</definedName>
    <definedName function="false" hidden="false" name="FDD_135_10" vbProcedure="false">"A34334"</definedName>
    <definedName function="false" hidden="false" name="FDD_135_11" vbProcedure="false">"A34699"</definedName>
    <definedName function="false" hidden="false" name="FDD_135_12" vbProcedure="false">"A35064"</definedName>
    <definedName function="false" hidden="false" name="FDD_135_13" vbProcedure="false">"A35430"</definedName>
    <definedName function="false" hidden="false" name="FDD_135_14" vbProcedure="false">"A35795"</definedName>
    <definedName function="false" hidden="false" name="FDD_135_2" vbProcedure="false">"A31412"</definedName>
    <definedName function="false" hidden="false" name="FDD_135_3" vbProcedure="false">"A31777"</definedName>
    <definedName function="false" hidden="false" name="FDD_135_4" vbProcedure="false">"A32142"</definedName>
    <definedName function="false" hidden="false" name="FDD_135_5" vbProcedure="false">"A32508"</definedName>
    <definedName function="false" hidden="false" name="FDD_135_6" vbProcedure="false">"A32873"</definedName>
    <definedName function="false" hidden="false" name="FDD_135_7" vbProcedure="false">"A33238"</definedName>
    <definedName function="false" hidden="false" name="FDD_135_8" vbProcedure="false">"A33603"</definedName>
    <definedName function="false" hidden="false" name="FDD_135_9" vbProcedure="false">"A33969"</definedName>
    <definedName function="false" hidden="false" name="FDD_136_0" vbProcedure="false">"A30681"</definedName>
    <definedName function="false" hidden="false" name="FDD_136_1" vbProcedure="false">"A31047"</definedName>
    <definedName function="false" hidden="false" name="FDD_136_10" vbProcedure="false">"A34334"</definedName>
    <definedName function="false" hidden="false" name="FDD_136_11" vbProcedure="false">"A34699"</definedName>
    <definedName function="false" hidden="false" name="FDD_136_12" vbProcedure="false">"A35064"</definedName>
    <definedName function="false" hidden="false" name="FDD_136_13" vbProcedure="false">"A35430"</definedName>
    <definedName function="false" hidden="false" name="FDD_136_14" vbProcedure="false">"A35795"</definedName>
    <definedName function="false" hidden="false" name="FDD_136_2" vbProcedure="false">"A31412"</definedName>
    <definedName function="false" hidden="false" name="FDD_136_3" vbProcedure="false">"A31777"</definedName>
    <definedName function="false" hidden="false" name="FDD_136_4" vbProcedure="false">"A32142"</definedName>
    <definedName function="false" hidden="false" name="FDD_136_5" vbProcedure="false">"A32508"</definedName>
    <definedName function="false" hidden="false" name="FDD_136_6" vbProcedure="false">"A32873"</definedName>
    <definedName function="false" hidden="false" name="FDD_136_7" vbProcedure="false">"A33238"</definedName>
    <definedName function="false" hidden="false" name="FDD_136_8" vbProcedure="false">"A33603"</definedName>
    <definedName function="false" hidden="false" name="FDD_136_9" vbProcedure="false">"A33969"</definedName>
    <definedName function="false" hidden="false" name="FDD_137_0" vbProcedure="false">"A30681"</definedName>
    <definedName function="false" hidden="false" name="FDD_137_1" vbProcedure="false">"A31047"</definedName>
    <definedName function="false" hidden="false" name="FDD_137_10" vbProcedure="false">"A34334"</definedName>
    <definedName function="false" hidden="false" name="FDD_137_11" vbProcedure="false">"A34699"</definedName>
    <definedName function="false" hidden="false" name="FDD_137_12" vbProcedure="false">"A35064"</definedName>
    <definedName function="false" hidden="false" name="FDD_137_13" vbProcedure="false">"A35430"</definedName>
    <definedName function="false" hidden="false" name="FDD_137_14" vbProcedure="false">"A35795"</definedName>
    <definedName function="false" hidden="false" name="FDD_137_2" vbProcedure="false">"A31412"</definedName>
    <definedName function="false" hidden="false" name="FDD_137_3" vbProcedure="false">"A31777"</definedName>
    <definedName function="false" hidden="false" name="FDD_137_4" vbProcedure="false">"A32142"</definedName>
    <definedName function="false" hidden="false" name="FDD_137_5" vbProcedure="false">"A32508"</definedName>
    <definedName function="false" hidden="false" name="FDD_137_6" vbProcedure="false">"A32873"</definedName>
    <definedName function="false" hidden="false" name="FDD_137_7" vbProcedure="false">"A33238"</definedName>
    <definedName function="false" hidden="false" name="FDD_137_8" vbProcedure="false">"A33603"</definedName>
    <definedName function="false" hidden="false" name="FDD_137_9" vbProcedure="false">"A33969"</definedName>
    <definedName function="false" hidden="false" name="FDD_138_0" vbProcedure="false">"A30681"</definedName>
    <definedName function="false" hidden="false" name="FDD_138_1" vbProcedure="false">"A31047"</definedName>
    <definedName function="false" hidden="false" name="FDD_138_10" vbProcedure="false">"A34334"</definedName>
    <definedName function="false" hidden="false" name="FDD_138_11" vbProcedure="false">"A34699"</definedName>
    <definedName function="false" hidden="false" name="FDD_138_12" vbProcedure="false">"A35064"</definedName>
    <definedName function="false" hidden="false" name="FDD_138_13" vbProcedure="false">"A35430"</definedName>
    <definedName function="false" hidden="false" name="FDD_138_14" vbProcedure="false">"A35795"</definedName>
    <definedName function="false" hidden="false" name="FDD_138_2" vbProcedure="false">"A31412"</definedName>
    <definedName function="false" hidden="false" name="FDD_138_3" vbProcedure="false">"A31777"</definedName>
    <definedName function="false" hidden="false" name="FDD_138_4" vbProcedure="false">"A32142"</definedName>
    <definedName function="false" hidden="false" name="FDD_138_5" vbProcedure="false">"A32508"</definedName>
    <definedName function="false" hidden="false" name="FDD_138_6" vbProcedure="false">"A32873"</definedName>
    <definedName function="false" hidden="false" name="FDD_138_7" vbProcedure="false">"A33238"</definedName>
    <definedName function="false" hidden="false" name="FDD_138_8" vbProcedure="false">"A33603"</definedName>
    <definedName function="false" hidden="false" name="FDD_138_9" vbProcedure="false">"A33969"</definedName>
    <definedName function="false" hidden="false" name="FDD_139_0" vbProcedure="false">"A30681"</definedName>
    <definedName function="false" hidden="false" name="FDD_139_1" vbProcedure="false">"A31047"</definedName>
    <definedName function="false" hidden="false" name="FDD_139_10" vbProcedure="false">"U34334"</definedName>
    <definedName function="false" hidden="false" name="FDD_139_11" vbProcedure="false">"U34699"</definedName>
    <definedName function="false" hidden="false" name="FDD_139_12" vbProcedure="false">"U35064"</definedName>
    <definedName function="false" hidden="false" name="FDD_139_13" vbProcedure="false">"U35430"</definedName>
    <definedName function="false" hidden="false" name="FDD_139_14" vbProcedure="false">"U35795"</definedName>
    <definedName function="false" hidden="false" name="FDD_139_2" vbProcedure="false">"A31412"</definedName>
    <definedName function="false" hidden="false" name="FDD_139_3" vbProcedure="false">"U31777"</definedName>
    <definedName function="false" hidden="false" name="FDD_139_4" vbProcedure="false">"U32142"</definedName>
    <definedName function="false" hidden="false" name="FDD_139_5" vbProcedure="false">"U32508"</definedName>
    <definedName function="false" hidden="false" name="FDD_139_6" vbProcedure="false">"U32873"</definedName>
    <definedName function="false" hidden="false" name="FDD_139_7" vbProcedure="false">"U33238"</definedName>
    <definedName function="false" hidden="false" name="FDD_139_8" vbProcedure="false">"U33603"</definedName>
    <definedName function="false" hidden="false" name="FDD_139_9" vbProcedure="false">"U33969"</definedName>
    <definedName function="false" hidden="false" name="FDD_13_0" vbProcedure="false">"A25569"</definedName>
    <definedName function="false" hidden="false" name="FDD_140_0" vbProcedure="false">"A25569"</definedName>
    <definedName function="false" hidden="false" name="FDD_141_0" vbProcedure="false">"A30681"</definedName>
    <definedName function="false" hidden="false" name="FDD_141_1" vbProcedure="false">"A31047"</definedName>
    <definedName function="false" hidden="false" name="FDD_141_10" vbProcedure="false">"A34334"</definedName>
    <definedName function="false" hidden="false" name="FDD_141_11" vbProcedure="false">"A34699"</definedName>
    <definedName function="false" hidden="false" name="FDD_141_12" vbProcedure="false">"A35064"</definedName>
    <definedName function="false" hidden="false" name="FDD_141_13" vbProcedure="false">"A35430"</definedName>
    <definedName function="false" hidden="false" name="FDD_141_14" vbProcedure="false">"A35795"</definedName>
    <definedName function="false" hidden="false" name="FDD_141_2" vbProcedure="false">"A31412"</definedName>
    <definedName function="false" hidden="false" name="FDD_141_3" vbProcedure="false">"A31777"</definedName>
    <definedName function="false" hidden="false" name="FDD_141_4" vbProcedure="false">"A32142"</definedName>
    <definedName function="false" hidden="false" name="FDD_141_5" vbProcedure="false">"A32508"</definedName>
    <definedName function="false" hidden="false" name="FDD_141_6" vbProcedure="false">"A32873"</definedName>
    <definedName function="false" hidden="false" name="FDD_141_7" vbProcedure="false">"A33238"</definedName>
    <definedName function="false" hidden="false" name="FDD_141_8" vbProcedure="false">"A33603"</definedName>
    <definedName function="false" hidden="false" name="FDD_141_9" vbProcedure="false">"A33969"</definedName>
    <definedName function="false" hidden="false" name="FDD_142_0" vbProcedure="false">"A30681"</definedName>
    <definedName function="false" hidden="false" name="FDD_142_1" vbProcedure="false">"A31047"</definedName>
    <definedName function="false" hidden="false" name="FDD_142_10" vbProcedure="false">"A34334"</definedName>
    <definedName function="false" hidden="false" name="FDD_142_11" vbProcedure="false">"A34699"</definedName>
    <definedName function="false" hidden="false" name="FDD_142_12" vbProcedure="false">"A35064"</definedName>
    <definedName function="false" hidden="false" name="FDD_142_13" vbProcedure="false">"A35430"</definedName>
    <definedName function="false" hidden="false" name="FDD_142_14" vbProcedure="false">"A35795"</definedName>
    <definedName function="false" hidden="false" name="FDD_142_2" vbProcedure="false">"A31412"</definedName>
    <definedName function="false" hidden="false" name="FDD_142_3" vbProcedure="false">"A31777"</definedName>
    <definedName function="false" hidden="false" name="FDD_142_4" vbProcedure="false">"A32142"</definedName>
    <definedName function="false" hidden="false" name="FDD_142_5" vbProcedure="false">"A32508"</definedName>
    <definedName function="false" hidden="false" name="FDD_142_6" vbProcedure="false">"A32873"</definedName>
    <definedName function="false" hidden="false" name="FDD_142_7" vbProcedure="false">"A33238"</definedName>
    <definedName function="false" hidden="false" name="FDD_142_8" vbProcedure="false">"A33603"</definedName>
    <definedName function="false" hidden="false" name="FDD_142_9" vbProcedure="false">"A33969"</definedName>
    <definedName function="false" hidden="false" name="FDD_143_0" vbProcedure="false">"A30681"</definedName>
    <definedName function="false" hidden="false" name="FDD_143_1" vbProcedure="false">"A31047"</definedName>
    <definedName function="false" hidden="false" name="FDD_143_10" vbProcedure="false">"A34334"</definedName>
    <definedName function="false" hidden="false" name="FDD_143_11" vbProcedure="false">"A34699"</definedName>
    <definedName function="false" hidden="false" name="FDD_143_12" vbProcedure="false">"A35064"</definedName>
    <definedName function="false" hidden="false" name="FDD_143_13" vbProcedure="false">"A35430"</definedName>
    <definedName function="false" hidden="false" name="FDD_143_14" vbProcedure="false">"A35795"</definedName>
    <definedName function="false" hidden="false" name="FDD_143_2" vbProcedure="false">"A31412"</definedName>
    <definedName function="false" hidden="false" name="FDD_143_3" vbProcedure="false">"A31777"</definedName>
    <definedName function="false" hidden="false" name="FDD_143_4" vbProcedure="false">"A32142"</definedName>
    <definedName function="false" hidden="false" name="FDD_143_5" vbProcedure="false">"A32508"</definedName>
    <definedName function="false" hidden="false" name="FDD_143_6" vbProcedure="false">"A32873"</definedName>
    <definedName function="false" hidden="false" name="FDD_143_7" vbProcedure="false">"A33238"</definedName>
    <definedName function="false" hidden="false" name="FDD_143_8" vbProcedure="false">"A33603"</definedName>
    <definedName function="false" hidden="false" name="FDD_143_9" vbProcedure="false">"A33969"</definedName>
    <definedName function="false" hidden="false" name="FDD_144_0" vbProcedure="false">"A30681"</definedName>
    <definedName function="false" hidden="false" name="FDD_144_1" vbProcedure="false">"A31047"</definedName>
    <definedName function="false" hidden="false" name="FDD_144_10" vbProcedure="false">"A34334"</definedName>
    <definedName function="false" hidden="false" name="FDD_144_11" vbProcedure="false">"A34699"</definedName>
    <definedName function="false" hidden="false" name="FDD_144_12" vbProcedure="false">"A35064"</definedName>
    <definedName function="false" hidden="false" name="FDD_144_13" vbProcedure="false">"A35430"</definedName>
    <definedName function="false" hidden="false" name="FDD_144_14" vbProcedure="false">"A35795"</definedName>
    <definedName function="false" hidden="false" name="FDD_144_2" vbProcedure="false">"A31412"</definedName>
    <definedName function="false" hidden="false" name="FDD_144_3" vbProcedure="false">"A31777"</definedName>
    <definedName function="false" hidden="false" name="FDD_144_4" vbProcedure="false">"A32142"</definedName>
    <definedName function="false" hidden="false" name="FDD_144_5" vbProcedure="false">"A32508"</definedName>
    <definedName function="false" hidden="false" name="FDD_144_6" vbProcedure="false">"A32873"</definedName>
    <definedName function="false" hidden="false" name="FDD_144_7" vbProcedure="false">"A33238"</definedName>
    <definedName function="false" hidden="false" name="FDD_144_8" vbProcedure="false">"A33603"</definedName>
    <definedName function="false" hidden="false" name="FDD_144_9" vbProcedure="false">"A33969"</definedName>
    <definedName function="false" hidden="false" name="FDD_145_0" vbProcedure="false">"A30681"</definedName>
    <definedName function="false" hidden="false" name="FDD_145_1" vbProcedure="false">"A31047"</definedName>
    <definedName function="false" hidden="false" name="FDD_145_10" vbProcedure="false">"A34334"</definedName>
    <definedName function="false" hidden="false" name="FDD_145_11" vbProcedure="false">"A34699"</definedName>
    <definedName function="false" hidden="false" name="FDD_145_12" vbProcedure="false">"A35064"</definedName>
    <definedName function="false" hidden="false" name="FDD_145_13" vbProcedure="false">"A35430"</definedName>
    <definedName function="false" hidden="false" name="FDD_145_14" vbProcedure="false">"A35795"</definedName>
    <definedName function="false" hidden="false" name="FDD_145_2" vbProcedure="false">"A31412"</definedName>
    <definedName function="false" hidden="false" name="FDD_145_3" vbProcedure="false">"A31777"</definedName>
    <definedName function="false" hidden="false" name="FDD_145_4" vbProcedure="false">"A32142"</definedName>
    <definedName function="false" hidden="false" name="FDD_145_5" vbProcedure="false">"A32508"</definedName>
    <definedName function="false" hidden="false" name="FDD_145_6" vbProcedure="false">"A32873"</definedName>
    <definedName function="false" hidden="false" name="FDD_145_7" vbProcedure="false">"A33238"</definedName>
    <definedName function="false" hidden="false" name="FDD_145_8" vbProcedure="false">"A33603"</definedName>
    <definedName function="false" hidden="false" name="FDD_145_9" vbProcedure="false">"A33969"</definedName>
    <definedName function="false" hidden="false" name="FDD_146_0" vbProcedure="false">"A30681"</definedName>
    <definedName function="false" hidden="false" name="FDD_146_1" vbProcedure="false">"A31047"</definedName>
    <definedName function="false" hidden="false" name="FDD_146_10" vbProcedure="false">"A34334"</definedName>
    <definedName function="false" hidden="false" name="FDD_146_11" vbProcedure="false">"A34699"</definedName>
    <definedName function="false" hidden="false" name="FDD_146_12" vbProcedure="false">"A35064"</definedName>
    <definedName function="false" hidden="false" name="FDD_146_13" vbProcedure="false">"A35430"</definedName>
    <definedName function="false" hidden="false" name="FDD_146_14" vbProcedure="false">"A35795"</definedName>
    <definedName function="false" hidden="false" name="FDD_146_2" vbProcedure="false">"A31412"</definedName>
    <definedName function="false" hidden="false" name="FDD_146_3" vbProcedure="false">"A31777"</definedName>
    <definedName function="false" hidden="false" name="FDD_146_4" vbProcedure="false">"A32142"</definedName>
    <definedName function="false" hidden="false" name="FDD_146_5" vbProcedure="false">"A32508"</definedName>
    <definedName function="false" hidden="false" name="FDD_146_6" vbProcedure="false">"A32873"</definedName>
    <definedName function="false" hidden="false" name="FDD_146_7" vbProcedure="false">"A33238"</definedName>
    <definedName function="false" hidden="false" name="FDD_146_8" vbProcedure="false">"A33603"</definedName>
    <definedName function="false" hidden="false" name="FDD_146_9" vbProcedure="false">"A33969"</definedName>
    <definedName function="false" hidden="false" name="FDD_147_0" vbProcedure="false">"U30681"</definedName>
    <definedName function="false" hidden="false" name="FDD_147_1" vbProcedure="false">"U31047"</definedName>
    <definedName function="false" hidden="false" name="FDD_147_10" vbProcedure="false">"U34334"</definedName>
    <definedName function="false" hidden="false" name="FDD_147_11" vbProcedure="false">"U34699"</definedName>
    <definedName function="false" hidden="false" name="FDD_147_12" vbProcedure="false">"U35064"</definedName>
    <definedName function="false" hidden="false" name="FDD_147_13" vbProcedure="false">"U35430"</definedName>
    <definedName function="false" hidden="false" name="FDD_147_14" vbProcedure="false">"U35795"</definedName>
    <definedName function="false" hidden="false" name="FDD_147_2" vbProcedure="false">"U31412"</definedName>
    <definedName function="false" hidden="false" name="FDD_147_3" vbProcedure="false">"U31777"</definedName>
    <definedName function="false" hidden="false" name="FDD_147_4" vbProcedure="false">"U32142"</definedName>
    <definedName function="false" hidden="false" name="FDD_147_5" vbProcedure="false">"U32508"</definedName>
    <definedName function="false" hidden="false" name="FDD_147_6" vbProcedure="false">"U32873"</definedName>
    <definedName function="false" hidden="false" name="FDD_147_7" vbProcedure="false">"U33238"</definedName>
    <definedName function="false" hidden="false" name="FDD_147_8" vbProcedure="false">"U33603"</definedName>
    <definedName function="false" hidden="false" name="FDD_147_9" vbProcedure="false">"U33969"</definedName>
    <definedName function="false" hidden="false" name="FDD_148_0" vbProcedure="false">"A30681"</definedName>
    <definedName function="false" hidden="false" name="FDD_148_1" vbProcedure="false">"A31047"</definedName>
    <definedName function="false" hidden="false" name="FDD_148_10" vbProcedure="false">"A34334"</definedName>
    <definedName function="false" hidden="false" name="FDD_148_11" vbProcedure="false">"A34699"</definedName>
    <definedName function="false" hidden="false" name="FDD_148_12" vbProcedure="false">"A35064"</definedName>
    <definedName function="false" hidden="false" name="FDD_148_13" vbProcedure="false">"A35430"</definedName>
    <definedName function="false" hidden="false" name="FDD_148_14" vbProcedure="false">"A35795"</definedName>
    <definedName function="false" hidden="false" name="FDD_148_2" vbProcedure="false">"A31412"</definedName>
    <definedName function="false" hidden="false" name="FDD_148_3" vbProcedure="false">"A31777"</definedName>
    <definedName function="false" hidden="false" name="FDD_148_4" vbProcedure="false">"A32142"</definedName>
    <definedName function="false" hidden="false" name="FDD_148_5" vbProcedure="false">"A32508"</definedName>
    <definedName function="false" hidden="false" name="FDD_148_6" vbProcedure="false">"A32873"</definedName>
    <definedName function="false" hidden="false" name="FDD_148_7" vbProcedure="false">"A33238"</definedName>
    <definedName function="false" hidden="false" name="FDD_148_8" vbProcedure="false">"A33603"</definedName>
    <definedName function="false" hidden="false" name="FDD_148_9" vbProcedure="false">"A33969"</definedName>
    <definedName function="false" hidden="false" name="FDD_149_0" vbProcedure="false">"U30681"</definedName>
    <definedName function="false" hidden="false" name="FDD_149_1" vbProcedure="false">"U31047"</definedName>
    <definedName function="false" hidden="false" name="FDD_149_10" vbProcedure="false">"U34334"</definedName>
    <definedName function="false" hidden="false" name="FDD_149_11" vbProcedure="false">"U34699"</definedName>
    <definedName function="false" hidden="false" name="FDD_149_12" vbProcedure="false">"U35064"</definedName>
    <definedName function="false" hidden="false" name="FDD_149_13" vbProcedure="false">"U35430"</definedName>
    <definedName function="false" hidden="false" name="FDD_149_14" vbProcedure="false">"A35795"</definedName>
    <definedName function="false" hidden="false" name="FDD_149_2" vbProcedure="false">"U31412"</definedName>
    <definedName function="false" hidden="false" name="FDD_149_3" vbProcedure="false">"U31777"</definedName>
    <definedName function="false" hidden="false" name="FDD_149_4" vbProcedure="false">"U32142"</definedName>
    <definedName function="false" hidden="false" name="FDD_149_5" vbProcedure="false">"U32508"</definedName>
    <definedName function="false" hidden="false" name="FDD_149_6" vbProcedure="false">"U32873"</definedName>
    <definedName function="false" hidden="false" name="FDD_149_7" vbProcedure="false">"U33238"</definedName>
    <definedName function="false" hidden="false" name="FDD_149_8" vbProcedure="false">"U33603"</definedName>
    <definedName function="false" hidden="false" name="FDD_149_9" vbProcedure="false">"U33969"</definedName>
    <definedName function="false" hidden="false" name="FDD_14_0" vbProcedure="false">"A25569"</definedName>
    <definedName function="false" hidden="false" name="FDD_151_0" vbProcedure="false">"A30681"</definedName>
    <definedName function="false" hidden="false" name="FDD_151_1" vbProcedure="false">"A31047"</definedName>
    <definedName function="false" hidden="false" name="FDD_151_10" vbProcedure="false">"A34334"</definedName>
    <definedName function="false" hidden="false" name="FDD_151_11" vbProcedure="false">"A34699"</definedName>
    <definedName function="false" hidden="false" name="FDD_151_12" vbProcedure="false">"A35064"</definedName>
    <definedName function="false" hidden="false" name="FDD_151_13" vbProcedure="false">"A35430"</definedName>
    <definedName function="false" hidden="false" name="FDD_151_14" vbProcedure="false">"A35795"</definedName>
    <definedName function="false" hidden="false" name="FDD_151_2" vbProcedure="false">"A31412"</definedName>
    <definedName function="false" hidden="false" name="FDD_151_3" vbProcedure="false">"A31777"</definedName>
    <definedName function="false" hidden="false" name="FDD_151_4" vbProcedure="false">"A32142"</definedName>
    <definedName function="false" hidden="false" name="FDD_151_5" vbProcedure="false">"A32508"</definedName>
    <definedName function="false" hidden="false" name="FDD_151_6" vbProcedure="false">"A32873"</definedName>
    <definedName function="false" hidden="false" name="FDD_151_7" vbProcedure="false">"A33238"</definedName>
    <definedName function="false" hidden="false" name="FDD_151_8" vbProcedure="false">"A33603"</definedName>
    <definedName function="false" hidden="false" name="FDD_151_9" vbProcedure="false">"A33969"</definedName>
    <definedName function="false" hidden="false" name="FDD_152_0" vbProcedure="false">"A30681"</definedName>
    <definedName function="false" hidden="false" name="FDD_152_1" vbProcedure="false">"A31047"</definedName>
    <definedName function="false" hidden="false" name="FDD_152_10" vbProcedure="false">"A34334"</definedName>
    <definedName function="false" hidden="false" name="FDD_152_11" vbProcedure="false">"A34699"</definedName>
    <definedName function="false" hidden="false" name="FDD_152_12" vbProcedure="false">"A35064"</definedName>
    <definedName function="false" hidden="false" name="FDD_152_13" vbProcedure="false">"A35430"</definedName>
    <definedName function="false" hidden="false" name="FDD_152_14" vbProcedure="false">"A35795"</definedName>
    <definedName function="false" hidden="false" name="FDD_152_15" vbProcedure="false">"E36160"</definedName>
    <definedName function="false" hidden="false" name="FDD_152_2" vbProcedure="false">"A31412"</definedName>
    <definedName function="false" hidden="false" name="FDD_152_3" vbProcedure="false">"A31777"</definedName>
    <definedName function="false" hidden="false" name="FDD_152_4" vbProcedure="false">"A32142"</definedName>
    <definedName function="false" hidden="false" name="FDD_152_5" vbProcedure="false">"A32508"</definedName>
    <definedName function="false" hidden="false" name="FDD_152_6" vbProcedure="false">"A32873"</definedName>
    <definedName function="false" hidden="false" name="FDD_152_7" vbProcedure="false">"A33238"</definedName>
    <definedName function="false" hidden="false" name="FDD_152_8" vbProcedure="false">"A33603"</definedName>
    <definedName function="false" hidden="false" name="FDD_152_9" vbProcedure="false">"A33969"</definedName>
    <definedName function="false" hidden="false" name="FDD_153_0" vbProcedure="false">"A30681"</definedName>
    <definedName function="false" hidden="false" name="FDD_153_1" vbProcedure="false">"A31047"</definedName>
    <definedName function="false" hidden="false" name="FDD_153_10" vbProcedure="false">"A34334"</definedName>
    <definedName function="false" hidden="false" name="FDD_153_11" vbProcedure="false">"A34699"</definedName>
    <definedName function="false" hidden="false" name="FDD_153_12" vbProcedure="false">"A35064"</definedName>
    <definedName function="false" hidden="false" name="FDD_153_13" vbProcedure="false">"A35430"</definedName>
    <definedName function="false" hidden="false" name="FDD_153_14" vbProcedure="false">"A35795"</definedName>
    <definedName function="false" hidden="false" name="FDD_153_2" vbProcedure="false">"A31412"</definedName>
    <definedName function="false" hidden="false" name="FDD_153_3" vbProcedure="false">"A31777"</definedName>
    <definedName function="false" hidden="false" name="FDD_153_4" vbProcedure="false">"A32142"</definedName>
    <definedName function="false" hidden="false" name="FDD_153_5" vbProcedure="false">"A32508"</definedName>
    <definedName function="false" hidden="false" name="FDD_153_6" vbProcedure="false">"A32873"</definedName>
    <definedName function="false" hidden="false" name="FDD_153_7" vbProcedure="false">"A33238"</definedName>
    <definedName function="false" hidden="false" name="FDD_153_8" vbProcedure="false">"A33603"</definedName>
    <definedName function="false" hidden="false" name="FDD_153_9" vbProcedure="false">"A33969"</definedName>
    <definedName function="false" hidden="false" name="FDD_154_0" vbProcedure="false">"A30681"</definedName>
    <definedName function="false" hidden="false" name="FDD_154_1" vbProcedure="false">"A31047"</definedName>
    <definedName function="false" hidden="false" name="FDD_154_10" vbProcedure="false">"A34334"</definedName>
    <definedName function="false" hidden="false" name="FDD_154_11" vbProcedure="false">"A34699"</definedName>
    <definedName function="false" hidden="false" name="FDD_154_12" vbProcedure="false">"A35064"</definedName>
    <definedName function="false" hidden="false" name="FDD_154_13" vbProcedure="false">"A35430"</definedName>
    <definedName function="false" hidden="false" name="FDD_154_14" vbProcedure="false">"A35795"</definedName>
    <definedName function="false" hidden="false" name="FDD_154_2" vbProcedure="false">"A31412"</definedName>
    <definedName function="false" hidden="false" name="FDD_154_3" vbProcedure="false">"A31777"</definedName>
    <definedName function="false" hidden="false" name="FDD_154_4" vbProcedure="false">"A32142"</definedName>
    <definedName function="false" hidden="false" name="FDD_154_5" vbProcedure="false">"A32508"</definedName>
    <definedName function="false" hidden="false" name="FDD_154_6" vbProcedure="false">"A32873"</definedName>
    <definedName function="false" hidden="false" name="FDD_154_7" vbProcedure="false">"A33238"</definedName>
    <definedName function="false" hidden="false" name="FDD_154_8" vbProcedure="false">"A33603"</definedName>
    <definedName function="false" hidden="false" name="FDD_154_9" vbProcedure="false">"A33969"</definedName>
    <definedName function="false" hidden="false" name="FDD_155_0" vbProcedure="false">"A25569"</definedName>
    <definedName function="false" hidden="false" name="FDD_156_0" vbProcedure="false">"A30681"</definedName>
    <definedName function="false" hidden="false" name="FDD_156_1" vbProcedure="false">"A31047"</definedName>
    <definedName function="false" hidden="false" name="FDD_156_10" vbProcedure="false">"A34334"</definedName>
    <definedName function="false" hidden="false" name="FDD_156_11" vbProcedure="false">"A34699"</definedName>
    <definedName function="false" hidden="false" name="FDD_156_12" vbProcedure="false">"A35064"</definedName>
    <definedName function="false" hidden="false" name="FDD_156_13" vbProcedure="false">"A35430"</definedName>
    <definedName function="false" hidden="false" name="FDD_156_14" vbProcedure="false">"A35795"</definedName>
    <definedName function="false" hidden="false" name="FDD_156_15" vbProcedure="false">"E36160"</definedName>
    <definedName function="false" hidden="false" name="FDD_156_2" vbProcedure="false">"A31412"</definedName>
    <definedName function="false" hidden="false" name="FDD_156_3" vbProcedure="false">"A31777"</definedName>
    <definedName function="false" hidden="false" name="FDD_156_4" vbProcedure="false">"A32142"</definedName>
    <definedName function="false" hidden="false" name="FDD_156_5" vbProcedure="false">"A32508"</definedName>
    <definedName function="false" hidden="false" name="FDD_156_6" vbProcedure="false">"A32873"</definedName>
    <definedName function="false" hidden="false" name="FDD_156_7" vbProcedure="false">"A33238"</definedName>
    <definedName function="false" hidden="false" name="FDD_156_8" vbProcedure="false">"A33603"</definedName>
    <definedName function="false" hidden="false" name="FDD_156_9" vbProcedure="false">"A33969"</definedName>
    <definedName function="false" hidden="false" name="FDD_157_0" vbProcedure="false">"A30681"</definedName>
    <definedName function="false" hidden="false" name="FDD_157_1" vbProcedure="false">"A31047"</definedName>
    <definedName function="false" hidden="false" name="FDD_157_10" vbProcedure="false">"A34334"</definedName>
    <definedName function="false" hidden="false" name="FDD_157_11" vbProcedure="false">"A34699"</definedName>
    <definedName function="false" hidden="false" name="FDD_157_12" vbProcedure="false">"A35064"</definedName>
    <definedName function="false" hidden="false" name="FDD_157_13" vbProcedure="false">"A35430"</definedName>
    <definedName function="false" hidden="false" name="FDD_157_14" vbProcedure="false">"A35795"</definedName>
    <definedName function="false" hidden="false" name="FDD_157_2" vbProcedure="false">"A31412"</definedName>
    <definedName function="false" hidden="false" name="FDD_157_3" vbProcedure="false">"A31777"</definedName>
    <definedName function="false" hidden="false" name="FDD_157_4" vbProcedure="false">"A32142"</definedName>
    <definedName function="false" hidden="false" name="FDD_157_5" vbProcedure="false">"A32508"</definedName>
    <definedName function="false" hidden="false" name="FDD_157_6" vbProcedure="false">"A32873"</definedName>
    <definedName function="false" hidden="false" name="FDD_157_7" vbProcedure="false">"A33238"</definedName>
    <definedName function="false" hidden="false" name="FDD_157_8" vbProcedure="false">"A33603"</definedName>
    <definedName function="false" hidden="false" name="FDD_157_9" vbProcedure="false">"A33969"</definedName>
    <definedName function="false" hidden="false" name="FDD_158_0" vbProcedure="false">"A30681"</definedName>
    <definedName function="false" hidden="false" name="FDD_158_1" vbProcedure="false">"A31047"</definedName>
    <definedName function="false" hidden="false" name="FDD_158_10" vbProcedure="false">"A34334"</definedName>
    <definedName function="false" hidden="false" name="FDD_158_11" vbProcedure="false">"A34699"</definedName>
    <definedName function="false" hidden="false" name="FDD_158_12" vbProcedure="false">"A35064"</definedName>
    <definedName function="false" hidden="false" name="FDD_158_13" vbProcedure="false">"A35430"</definedName>
    <definedName function="false" hidden="false" name="FDD_158_14" vbProcedure="false">"A35795"</definedName>
    <definedName function="false" hidden="false" name="FDD_158_15" vbProcedure="false">"E36160"</definedName>
    <definedName function="false" hidden="false" name="FDD_158_2" vbProcedure="false">"A31412"</definedName>
    <definedName function="false" hidden="false" name="FDD_158_3" vbProcedure="false">"A31777"</definedName>
    <definedName function="false" hidden="false" name="FDD_158_4" vbProcedure="false">"A32142"</definedName>
    <definedName function="false" hidden="false" name="FDD_158_5" vbProcedure="false">"A32508"</definedName>
    <definedName function="false" hidden="false" name="FDD_158_6" vbProcedure="false">"A32873"</definedName>
    <definedName function="false" hidden="false" name="FDD_158_7" vbProcedure="false">"A33238"</definedName>
    <definedName function="false" hidden="false" name="FDD_158_8" vbProcedure="false">"A33603"</definedName>
    <definedName function="false" hidden="false" name="FDD_158_9" vbProcedure="false">"A33969"</definedName>
    <definedName function="false" hidden="false" name="FDD_159_0" vbProcedure="false">"A30681"</definedName>
    <definedName function="false" hidden="false" name="FDD_159_1" vbProcedure="false">"A31047"</definedName>
    <definedName function="false" hidden="false" name="FDD_159_10" vbProcedure="false">"A34334"</definedName>
    <definedName function="false" hidden="false" name="FDD_159_11" vbProcedure="false">"A34699"</definedName>
    <definedName function="false" hidden="false" name="FDD_159_12" vbProcedure="false">"A35064"</definedName>
    <definedName function="false" hidden="false" name="FDD_159_13" vbProcedure="false">"A35430"</definedName>
    <definedName function="false" hidden="false" name="FDD_159_14" vbProcedure="false">"A35795"</definedName>
    <definedName function="false" hidden="false" name="FDD_159_2" vbProcedure="false">"A31412"</definedName>
    <definedName function="false" hidden="false" name="FDD_159_3" vbProcedure="false">"A31777"</definedName>
    <definedName function="false" hidden="false" name="FDD_159_4" vbProcedure="false">"A32142"</definedName>
    <definedName function="false" hidden="false" name="FDD_159_5" vbProcedure="false">"A32508"</definedName>
    <definedName function="false" hidden="false" name="FDD_159_6" vbProcedure="false">"A32873"</definedName>
    <definedName function="false" hidden="false" name="FDD_159_7" vbProcedure="false">"A33238"</definedName>
    <definedName function="false" hidden="false" name="FDD_159_8" vbProcedure="false">"A33603"</definedName>
    <definedName function="false" hidden="false" name="FDD_159_9" vbProcedure="false">"A33969"</definedName>
    <definedName function="false" hidden="false" name="FDD_15_0" vbProcedure="false">"A25569"</definedName>
    <definedName function="false" hidden="false" name="FDD_160_0" vbProcedure="false">"A30681"</definedName>
    <definedName function="false" hidden="false" name="FDD_160_1" vbProcedure="false">"A31047"</definedName>
    <definedName function="false" hidden="false" name="FDD_160_10" vbProcedure="false">"A34334"</definedName>
    <definedName function="false" hidden="false" name="FDD_160_11" vbProcedure="false">"A34699"</definedName>
    <definedName function="false" hidden="false" name="FDD_160_12" vbProcedure="false">"A35064"</definedName>
    <definedName function="false" hidden="false" name="FDD_160_13" vbProcedure="false">"A35430"</definedName>
    <definedName function="false" hidden="false" name="FDD_160_14" vbProcedure="false">"A35795"</definedName>
    <definedName function="false" hidden="false" name="FDD_160_15" vbProcedure="false">"E36160"</definedName>
    <definedName function="false" hidden="false" name="FDD_160_2" vbProcedure="false">"A31412"</definedName>
    <definedName function="false" hidden="false" name="FDD_160_3" vbProcedure="false">"A31777"</definedName>
    <definedName function="false" hidden="false" name="FDD_160_4" vbProcedure="false">"A32142"</definedName>
    <definedName function="false" hidden="false" name="FDD_160_5" vbProcedure="false">"A32508"</definedName>
    <definedName function="false" hidden="false" name="FDD_160_6" vbProcedure="false">"A32873"</definedName>
    <definedName function="false" hidden="false" name="FDD_160_7" vbProcedure="false">"A33238"</definedName>
    <definedName function="false" hidden="false" name="FDD_160_8" vbProcedure="false">"A33603"</definedName>
    <definedName function="false" hidden="false" name="FDD_160_9" vbProcedure="false">"A33969"</definedName>
    <definedName function="false" hidden="false" name="FDD_161_0" vbProcedure="false">"A30681"</definedName>
    <definedName function="false" hidden="false" name="FDD_161_1" vbProcedure="false">"A31047"</definedName>
    <definedName function="false" hidden="false" name="FDD_161_10" vbProcedure="false">"A34334"</definedName>
    <definedName function="false" hidden="false" name="FDD_161_11" vbProcedure="false">"A34699"</definedName>
    <definedName function="false" hidden="false" name="FDD_161_12" vbProcedure="false">"A35064"</definedName>
    <definedName function="false" hidden="false" name="FDD_161_13" vbProcedure="false">"A35430"</definedName>
    <definedName function="false" hidden="false" name="FDD_161_14" vbProcedure="false">"A35795"</definedName>
    <definedName function="false" hidden="false" name="FDD_161_2" vbProcedure="false">"A31412"</definedName>
    <definedName function="false" hidden="false" name="FDD_161_3" vbProcedure="false">"A31777"</definedName>
    <definedName function="false" hidden="false" name="FDD_161_4" vbProcedure="false">"A32142"</definedName>
    <definedName function="false" hidden="false" name="FDD_161_5" vbProcedure="false">"A32508"</definedName>
    <definedName function="false" hidden="false" name="FDD_161_6" vbProcedure="false">"A32873"</definedName>
    <definedName function="false" hidden="false" name="FDD_161_7" vbProcedure="false">"A33238"</definedName>
    <definedName function="false" hidden="false" name="FDD_161_8" vbProcedure="false">"A33603"</definedName>
    <definedName function="false" hidden="false" name="FDD_161_9" vbProcedure="false">"A33969"</definedName>
    <definedName function="false" hidden="false" name="FDD_162_0" vbProcedure="false">"A30681"</definedName>
    <definedName function="false" hidden="false" name="FDD_162_1" vbProcedure="false">"A31047"</definedName>
    <definedName function="false" hidden="false" name="FDD_162_10" vbProcedure="false">"A34334"</definedName>
    <definedName function="false" hidden="false" name="FDD_162_11" vbProcedure="false">"A34699"</definedName>
    <definedName function="false" hidden="false" name="FDD_162_12" vbProcedure="false">"A35064"</definedName>
    <definedName function="false" hidden="false" name="FDD_162_13" vbProcedure="false">"A35430"</definedName>
    <definedName function="false" hidden="false" name="FDD_162_14" vbProcedure="false">"A35795"</definedName>
    <definedName function="false" hidden="false" name="FDD_162_2" vbProcedure="false">"A31412"</definedName>
    <definedName function="false" hidden="false" name="FDD_162_3" vbProcedure="false">"A31777"</definedName>
    <definedName function="false" hidden="false" name="FDD_162_4" vbProcedure="false">"A32142"</definedName>
    <definedName function="false" hidden="false" name="FDD_162_5" vbProcedure="false">"A32508"</definedName>
    <definedName function="false" hidden="false" name="FDD_162_6" vbProcedure="false">"A32873"</definedName>
    <definedName function="false" hidden="false" name="FDD_162_7" vbProcedure="false">"A33238"</definedName>
    <definedName function="false" hidden="false" name="FDD_162_8" vbProcedure="false">"A33603"</definedName>
    <definedName function="false" hidden="false" name="FDD_162_9" vbProcedure="false">"A33969"</definedName>
    <definedName function="false" hidden="false" name="FDD_163_0" vbProcedure="false">"A30681"</definedName>
    <definedName function="false" hidden="false" name="FDD_163_1" vbProcedure="false">"A31047"</definedName>
    <definedName function="false" hidden="false" name="FDD_163_10" vbProcedure="false">"A34334"</definedName>
    <definedName function="false" hidden="false" name="FDD_163_11" vbProcedure="false">"A34699"</definedName>
    <definedName function="false" hidden="false" name="FDD_163_12" vbProcedure="false">"A35064"</definedName>
    <definedName function="false" hidden="false" name="FDD_163_13" vbProcedure="false">"A35430"</definedName>
    <definedName function="false" hidden="false" name="FDD_163_14" vbProcedure="false">"A35795"</definedName>
    <definedName function="false" hidden="false" name="FDD_163_2" vbProcedure="false">"A31412"</definedName>
    <definedName function="false" hidden="false" name="FDD_163_3" vbProcedure="false">"A31777"</definedName>
    <definedName function="false" hidden="false" name="FDD_163_4" vbProcedure="false">"A32142"</definedName>
    <definedName function="false" hidden="false" name="FDD_163_5" vbProcedure="false">"A32508"</definedName>
    <definedName function="false" hidden="false" name="FDD_163_6" vbProcedure="false">"A32873"</definedName>
    <definedName function="false" hidden="false" name="FDD_163_7" vbProcedure="false">"A33238"</definedName>
    <definedName function="false" hidden="false" name="FDD_163_8" vbProcedure="false">"A33603"</definedName>
    <definedName function="false" hidden="false" name="FDD_163_9" vbProcedure="false">"A33969"</definedName>
    <definedName function="false" hidden="false" name="FDD_164_0" vbProcedure="false">"A25569"</definedName>
    <definedName function="false" hidden="false" name="FDD_165_0" vbProcedure="false">"A30681"</definedName>
    <definedName function="false" hidden="false" name="FDD_165_1" vbProcedure="false">"A31047"</definedName>
    <definedName function="false" hidden="false" name="FDD_165_10" vbProcedure="false">"A34334"</definedName>
    <definedName function="false" hidden="false" name="FDD_165_11" vbProcedure="false">"A34699"</definedName>
    <definedName function="false" hidden="false" name="FDD_165_12" vbProcedure="false">"A35064"</definedName>
    <definedName function="false" hidden="false" name="FDD_165_13" vbProcedure="false">"A35430"</definedName>
    <definedName function="false" hidden="false" name="FDD_165_14" vbProcedure="false">"A35795"</definedName>
    <definedName function="false" hidden="false" name="FDD_165_2" vbProcedure="false">"A31412"</definedName>
    <definedName function="false" hidden="false" name="FDD_165_3" vbProcedure="false">"A31777"</definedName>
    <definedName function="false" hidden="false" name="FDD_165_4" vbProcedure="false">"A32142"</definedName>
    <definedName function="false" hidden="false" name="FDD_165_5" vbProcedure="false">"A32508"</definedName>
    <definedName function="false" hidden="false" name="FDD_165_6" vbProcedure="false">"A32873"</definedName>
    <definedName function="false" hidden="false" name="FDD_165_7" vbProcedure="false">"A33238"</definedName>
    <definedName function="false" hidden="false" name="FDD_165_8" vbProcedure="false">"A33603"</definedName>
    <definedName function="false" hidden="false" name="FDD_165_9" vbProcedure="false">"A33969"</definedName>
    <definedName function="false" hidden="false" name="FDD_166_0" vbProcedure="false">"A30681"</definedName>
    <definedName function="false" hidden="false" name="FDD_166_1" vbProcedure="false">"A31047"</definedName>
    <definedName function="false" hidden="false" name="FDD_166_10" vbProcedure="false">"A34334"</definedName>
    <definedName function="false" hidden="false" name="FDD_166_11" vbProcedure="false">"A34699"</definedName>
    <definedName function="false" hidden="false" name="FDD_166_12" vbProcedure="false">"A35064"</definedName>
    <definedName function="false" hidden="false" name="FDD_166_13" vbProcedure="false">"A35430"</definedName>
    <definedName function="false" hidden="false" name="FDD_166_14" vbProcedure="false">"A35795"</definedName>
    <definedName function="false" hidden="false" name="FDD_166_2" vbProcedure="false">"A31412"</definedName>
    <definedName function="false" hidden="false" name="FDD_166_3" vbProcedure="false">"A31777"</definedName>
    <definedName function="false" hidden="false" name="FDD_166_4" vbProcedure="false">"A32142"</definedName>
    <definedName function="false" hidden="false" name="FDD_166_5" vbProcedure="false">"A32508"</definedName>
    <definedName function="false" hidden="false" name="FDD_166_6" vbProcedure="false">"A32873"</definedName>
    <definedName function="false" hidden="false" name="FDD_166_7" vbProcedure="false">"A33238"</definedName>
    <definedName function="false" hidden="false" name="FDD_166_8" vbProcedure="false">"A33603"</definedName>
    <definedName function="false" hidden="false" name="FDD_166_9" vbProcedure="false">"A33969"</definedName>
    <definedName function="false" hidden="false" name="FDD_167_0" vbProcedure="false">"A30681"</definedName>
    <definedName function="false" hidden="false" name="FDD_167_1" vbProcedure="false">"A31047"</definedName>
    <definedName function="false" hidden="false" name="FDD_167_10" vbProcedure="false">"A34334"</definedName>
    <definedName function="false" hidden="false" name="FDD_167_11" vbProcedure="false">"A34699"</definedName>
    <definedName function="false" hidden="false" name="FDD_167_12" vbProcedure="false">"A35064"</definedName>
    <definedName function="false" hidden="false" name="FDD_167_13" vbProcedure="false">"A35430"</definedName>
    <definedName function="false" hidden="false" name="FDD_167_14" vbProcedure="false">"A35795"</definedName>
    <definedName function="false" hidden="false" name="FDD_167_2" vbProcedure="false">"A31412"</definedName>
    <definedName function="false" hidden="false" name="FDD_167_3" vbProcedure="false">"A31777"</definedName>
    <definedName function="false" hidden="false" name="FDD_167_4" vbProcedure="false">"A32142"</definedName>
    <definedName function="false" hidden="false" name="FDD_167_5" vbProcedure="false">"A32508"</definedName>
    <definedName function="false" hidden="false" name="FDD_167_6" vbProcedure="false">"A32873"</definedName>
    <definedName function="false" hidden="false" name="FDD_167_7" vbProcedure="false">"A33238"</definedName>
    <definedName function="false" hidden="false" name="FDD_167_8" vbProcedure="false">"A33603"</definedName>
    <definedName function="false" hidden="false" name="FDD_167_9" vbProcedure="false">"A33969"</definedName>
    <definedName function="false" hidden="false" name="FDD_168_0" vbProcedure="false">"E36160"</definedName>
    <definedName function="false" hidden="false" name="FDD_168_1" vbProcedure="false">"E36525"</definedName>
    <definedName function="false" hidden="false" name="FDD_168_2" vbProcedure="false">"E36891"</definedName>
    <definedName function="false" hidden="false" name="FDD_169_0" vbProcedure="false">"A30681"</definedName>
    <definedName function="false" hidden="false" name="FDD_169_1" vbProcedure="false">"A31047"</definedName>
    <definedName function="false" hidden="false" name="FDD_169_10" vbProcedure="false">"A34334"</definedName>
    <definedName function="false" hidden="false" name="FDD_169_11" vbProcedure="false">"A34699"</definedName>
    <definedName function="false" hidden="false" name="FDD_169_12" vbProcedure="false">"A35064"</definedName>
    <definedName function="false" hidden="false" name="FDD_169_13" vbProcedure="false">"A35430"</definedName>
    <definedName function="false" hidden="false" name="FDD_169_14" vbProcedure="false">"A35795"</definedName>
    <definedName function="false" hidden="false" name="FDD_169_2" vbProcedure="false">"A31412"</definedName>
    <definedName function="false" hidden="false" name="FDD_169_3" vbProcedure="false">"A31777"</definedName>
    <definedName function="false" hidden="false" name="FDD_169_4" vbProcedure="false">"A32142"</definedName>
    <definedName function="false" hidden="false" name="FDD_169_5" vbProcedure="false">"A32508"</definedName>
    <definedName function="false" hidden="false" name="FDD_169_6" vbProcedure="false">"A32873"</definedName>
    <definedName function="false" hidden="false" name="FDD_169_7" vbProcedure="false">"A33238"</definedName>
    <definedName function="false" hidden="false" name="FDD_169_8" vbProcedure="false">"A33603"</definedName>
    <definedName function="false" hidden="false" name="FDD_169_9" vbProcedure="false">"A33969"</definedName>
    <definedName function="false" hidden="false" name="FDD_16_0" vbProcedure="false">"A25569"</definedName>
    <definedName function="false" hidden="false" name="FDD_170_0" vbProcedure="false">"A30681"</definedName>
    <definedName function="false" hidden="false" name="FDD_170_1" vbProcedure="false">"A31047"</definedName>
    <definedName function="false" hidden="false" name="FDD_170_10" vbProcedure="false">"A34334"</definedName>
    <definedName function="false" hidden="false" name="FDD_170_11" vbProcedure="false">"A34699"</definedName>
    <definedName function="false" hidden="false" name="FDD_170_12" vbProcedure="false">"A35064"</definedName>
    <definedName function="false" hidden="false" name="FDD_170_13" vbProcedure="false">"A35430"</definedName>
    <definedName function="false" hidden="false" name="FDD_170_14" vbProcedure="false">"A35795"</definedName>
    <definedName function="false" hidden="false" name="FDD_170_2" vbProcedure="false">"A31412"</definedName>
    <definedName function="false" hidden="false" name="FDD_170_3" vbProcedure="false">"A31777"</definedName>
    <definedName function="false" hidden="false" name="FDD_170_4" vbProcedure="false">"A32142"</definedName>
    <definedName function="false" hidden="false" name="FDD_170_5" vbProcedure="false">"A32508"</definedName>
    <definedName function="false" hidden="false" name="FDD_170_6" vbProcedure="false">"A32873"</definedName>
    <definedName function="false" hidden="false" name="FDD_170_7" vbProcedure="false">"A33238"</definedName>
    <definedName function="false" hidden="false" name="FDD_170_8" vbProcedure="false">"A33603"</definedName>
    <definedName function="false" hidden="false" name="FDD_170_9" vbProcedure="false">"A33969"</definedName>
    <definedName function="false" hidden="false" name="FDD_171_0" vbProcedure="false">"A30681"</definedName>
    <definedName function="false" hidden="false" name="FDD_171_1" vbProcedure="false">"A31047"</definedName>
    <definedName function="false" hidden="false" name="FDD_171_10" vbProcedure="false">"A34334"</definedName>
    <definedName function="false" hidden="false" name="FDD_171_11" vbProcedure="false">"A34699"</definedName>
    <definedName function="false" hidden="false" name="FDD_171_12" vbProcedure="false">"A35064"</definedName>
    <definedName function="false" hidden="false" name="FDD_171_13" vbProcedure="false">"A35430"</definedName>
    <definedName function="false" hidden="false" name="FDD_171_14" vbProcedure="false">"A35795"</definedName>
    <definedName function="false" hidden="false" name="FDD_171_2" vbProcedure="false">"A31412"</definedName>
    <definedName function="false" hidden="false" name="FDD_171_3" vbProcedure="false">"A31777"</definedName>
    <definedName function="false" hidden="false" name="FDD_171_4" vbProcedure="false">"A32142"</definedName>
    <definedName function="false" hidden="false" name="FDD_171_5" vbProcedure="false">"A32508"</definedName>
    <definedName function="false" hidden="false" name="FDD_171_6" vbProcedure="false">"A32873"</definedName>
    <definedName function="false" hidden="false" name="FDD_171_7" vbProcedure="false">"A33238"</definedName>
    <definedName function="false" hidden="false" name="FDD_171_8" vbProcedure="false">"A33603"</definedName>
    <definedName function="false" hidden="false" name="FDD_171_9" vbProcedure="false">"A33969"</definedName>
    <definedName function="false" hidden="false" name="FDD_172_0" vbProcedure="false">"A30681"</definedName>
    <definedName function="false" hidden="false" name="FDD_172_1" vbProcedure="false">"A31047"</definedName>
    <definedName function="false" hidden="false" name="FDD_172_10" vbProcedure="false">"A34334"</definedName>
    <definedName function="false" hidden="false" name="FDD_172_11" vbProcedure="false">"A34699"</definedName>
    <definedName function="false" hidden="false" name="FDD_172_12" vbProcedure="false">"A35064"</definedName>
    <definedName function="false" hidden="false" name="FDD_172_13" vbProcedure="false">"A35430"</definedName>
    <definedName function="false" hidden="false" name="FDD_172_14" vbProcedure="false">"A35795"</definedName>
    <definedName function="false" hidden="false" name="FDD_172_2" vbProcedure="false">"A31412"</definedName>
    <definedName function="false" hidden="false" name="FDD_172_3" vbProcedure="false">"A31777"</definedName>
    <definedName function="false" hidden="false" name="FDD_172_4" vbProcedure="false">"A32142"</definedName>
    <definedName function="false" hidden="false" name="FDD_172_5" vbProcedure="false">"A32508"</definedName>
    <definedName function="false" hidden="false" name="FDD_172_6" vbProcedure="false">"A32873"</definedName>
    <definedName function="false" hidden="false" name="FDD_172_7" vbProcedure="false">"A33238"</definedName>
    <definedName function="false" hidden="false" name="FDD_172_8" vbProcedure="false">"A33603"</definedName>
    <definedName function="false" hidden="false" name="FDD_172_9" vbProcedure="false">"A33969"</definedName>
    <definedName function="false" hidden="false" name="FDD_173_0" vbProcedure="false">"A30681"</definedName>
    <definedName function="false" hidden="false" name="FDD_173_1" vbProcedure="false">"A31047"</definedName>
    <definedName function="false" hidden="false" name="FDD_173_10" vbProcedure="false">"A34334"</definedName>
    <definedName function="false" hidden="false" name="FDD_173_11" vbProcedure="false">"A34699"</definedName>
    <definedName function="false" hidden="false" name="FDD_173_12" vbProcedure="false">"A35064"</definedName>
    <definedName function="false" hidden="false" name="FDD_173_13" vbProcedure="false">"A35430"</definedName>
    <definedName function="false" hidden="false" name="FDD_173_14" vbProcedure="false">"A35795"</definedName>
    <definedName function="false" hidden="false" name="FDD_173_2" vbProcedure="false">"A31412"</definedName>
    <definedName function="false" hidden="false" name="FDD_173_3" vbProcedure="false">"A31777"</definedName>
    <definedName function="false" hidden="false" name="FDD_173_4" vbProcedure="false">"A32142"</definedName>
    <definedName function="false" hidden="false" name="FDD_173_5" vbProcedure="false">"A32508"</definedName>
    <definedName function="false" hidden="false" name="FDD_173_6" vbProcedure="false">"A32873"</definedName>
    <definedName function="false" hidden="false" name="FDD_173_7" vbProcedure="false">"A33238"</definedName>
    <definedName function="false" hidden="false" name="FDD_173_8" vbProcedure="false">"A33603"</definedName>
    <definedName function="false" hidden="false" name="FDD_173_9" vbProcedure="false">"A33969"</definedName>
    <definedName function="false" hidden="false" name="FDD_174_0" vbProcedure="false">"A30681"</definedName>
    <definedName function="false" hidden="false" name="FDD_174_1" vbProcedure="false">"A31047"</definedName>
    <definedName function="false" hidden="false" name="FDD_174_10" vbProcedure="false">"A34334"</definedName>
    <definedName function="false" hidden="false" name="FDD_174_11" vbProcedure="false">"A34699"</definedName>
    <definedName function="false" hidden="false" name="FDD_174_12" vbProcedure="false">"A35064"</definedName>
    <definedName function="false" hidden="false" name="FDD_174_13" vbProcedure="false">"A35430"</definedName>
    <definedName function="false" hidden="false" name="FDD_174_14" vbProcedure="false">"A35795"</definedName>
    <definedName function="false" hidden="false" name="FDD_174_2" vbProcedure="false">"A31412"</definedName>
    <definedName function="false" hidden="false" name="FDD_174_3" vbProcedure="false">"A31777"</definedName>
    <definedName function="false" hidden="false" name="FDD_174_4" vbProcedure="false">"A32142"</definedName>
    <definedName function="false" hidden="false" name="FDD_174_5" vbProcedure="false">"A32508"</definedName>
    <definedName function="false" hidden="false" name="FDD_174_6" vbProcedure="false">"A32873"</definedName>
    <definedName function="false" hidden="false" name="FDD_174_7" vbProcedure="false">"A33238"</definedName>
    <definedName function="false" hidden="false" name="FDD_174_8" vbProcedure="false">"A33603"</definedName>
    <definedName function="false" hidden="false" name="FDD_174_9" vbProcedure="false">"A33969"</definedName>
    <definedName function="false" hidden="false" name="FDD_175_0" vbProcedure="false">"E36160"</definedName>
    <definedName function="false" hidden="false" name="FDD_175_1" vbProcedure="false">"E36525"</definedName>
    <definedName function="false" hidden="false" name="FDD_175_2" vbProcedure="false">"E36891"</definedName>
    <definedName function="false" hidden="false" name="FDD_176_0" vbProcedure="false">"E36160"</definedName>
    <definedName function="false" hidden="false" name="FDD_176_1" vbProcedure="false">"E36525"</definedName>
    <definedName function="false" hidden="false" name="FDD_176_2" vbProcedure="false">"E36891"</definedName>
    <definedName function="false" hidden="false" name="FDD_177_0" vbProcedure="false">"E36160"</definedName>
    <definedName function="false" hidden="false" name="FDD_177_1" vbProcedure="false">"E36525"</definedName>
    <definedName function="false" hidden="false" name="FDD_177_2" vbProcedure="false">"E36891"</definedName>
    <definedName function="false" hidden="false" name="FDD_178_0" vbProcedure="false">"E36160"</definedName>
    <definedName function="false" hidden="false" name="FDD_178_1" vbProcedure="false">"E36525"</definedName>
    <definedName function="false" hidden="false" name="FDD_178_2" vbProcedure="false">"E36891"</definedName>
    <definedName function="false" hidden="false" name="FDD_179_0" vbProcedure="false">"E36160"</definedName>
    <definedName function="false" hidden="false" name="FDD_179_1" vbProcedure="false">"E36525"</definedName>
    <definedName function="false" hidden="false" name="FDD_179_2" vbProcedure="false">"E36891"</definedName>
    <definedName function="false" hidden="false" name="FDD_17_0" vbProcedure="false">"A25569"</definedName>
    <definedName function="false" hidden="false" name="FDD_180_0" vbProcedure="false">"E36160"</definedName>
    <definedName function="false" hidden="false" name="FDD_180_1" vbProcedure="false">"E36525"</definedName>
    <definedName function="false" hidden="false" name="FDD_180_2" vbProcedure="false">"E36891"</definedName>
    <definedName function="false" hidden="false" name="FDD_181_0" vbProcedure="false">"E36160"</definedName>
    <definedName function="false" hidden="false" name="FDD_181_1" vbProcedure="false">"E36525"</definedName>
    <definedName function="false" hidden="false" name="FDD_181_2" vbProcedure="false">"E36891"</definedName>
    <definedName function="false" hidden="false" name="FDD_182_0" vbProcedure="false">"E36160"</definedName>
    <definedName function="false" hidden="false" name="FDD_182_1" vbProcedure="false">"E36525"</definedName>
    <definedName function="false" hidden="false" name="FDD_182_2" vbProcedure="false">"E36891"</definedName>
    <definedName function="false" hidden="false" name="FDD_183_0" vbProcedure="false">"E36160"</definedName>
    <definedName function="false" hidden="false" name="FDD_183_1" vbProcedure="false">"E36525"</definedName>
    <definedName function="false" hidden="false" name="FDD_183_2" vbProcedure="false">"E36891"</definedName>
    <definedName function="false" hidden="false" name="FDD_184_0" vbProcedure="false">"E36160"</definedName>
    <definedName function="false" hidden="false" name="FDD_184_1" vbProcedure="false">"E36525"</definedName>
    <definedName function="false" hidden="false" name="FDD_184_2" vbProcedure="false">"E36891"</definedName>
    <definedName function="false" hidden="false" name="FDD_185_0" vbProcedure="false">"E36160"</definedName>
    <definedName function="false" hidden="false" name="FDD_185_1" vbProcedure="false">"E36525"</definedName>
    <definedName function="false" hidden="false" name="FDD_185_2" vbProcedure="false">"E36891"</definedName>
    <definedName function="false" hidden="false" name="FDD_186_0" vbProcedure="false">"E36160"</definedName>
    <definedName function="false" hidden="false" name="FDD_186_1" vbProcedure="false">"E36525"</definedName>
    <definedName function="false" hidden="false" name="FDD_186_2" vbProcedure="false">"E36891"</definedName>
    <definedName function="false" hidden="false" name="FDD_187_0" vbProcedure="false">"E36160"</definedName>
    <definedName function="false" hidden="false" name="FDD_187_1" vbProcedure="false">"E36525"</definedName>
    <definedName function="false" hidden="false" name="FDD_187_2" vbProcedure="false">"E36891"</definedName>
    <definedName function="false" hidden="false" name="FDD_188_0" vbProcedure="false">"A30681"</definedName>
    <definedName function="false" hidden="false" name="FDD_188_1" vbProcedure="false">"A31047"</definedName>
    <definedName function="false" hidden="false" name="FDD_188_10" vbProcedure="false">"A34334"</definedName>
    <definedName function="false" hidden="false" name="FDD_188_11" vbProcedure="false">"A34699"</definedName>
    <definedName function="false" hidden="false" name="FDD_188_12" vbProcedure="false">"A35064"</definedName>
    <definedName function="false" hidden="false" name="FDD_188_13" vbProcedure="false">"A35430"</definedName>
    <definedName function="false" hidden="false" name="FDD_188_14" vbProcedure="false">"A35795"</definedName>
    <definedName function="false" hidden="false" name="FDD_188_2" vbProcedure="false">"A31412"</definedName>
    <definedName function="false" hidden="false" name="FDD_188_3" vbProcedure="false">"A31777"</definedName>
    <definedName function="false" hidden="false" name="FDD_188_4" vbProcedure="false">"A32142"</definedName>
    <definedName function="false" hidden="false" name="FDD_188_5" vbProcedure="false">"A32508"</definedName>
    <definedName function="false" hidden="false" name="FDD_188_6" vbProcedure="false">"A32873"</definedName>
    <definedName function="false" hidden="false" name="FDD_188_7" vbProcedure="false">"A33238"</definedName>
    <definedName function="false" hidden="false" name="FDD_188_8" vbProcedure="false">"A33603"</definedName>
    <definedName function="false" hidden="false" name="FDD_188_9" vbProcedure="false">"A33969"</definedName>
    <definedName function="false" hidden="false" name="FDD_189_0" vbProcedure="false">"A30681"</definedName>
    <definedName function="false" hidden="false" name="FDD_189_1" vbProcedure="false">"A31047"</definedName>
    <definedName function="false" hidden="false" name="FDD_189_10" vbProcedure="false">"A34334"</definedName>
    <definedName function="false" hidden="false" name="FDD_189_11" vbProcedure="false">"A34699"</definedName>
    <definedName function="false" hidden="false" name="FDD_189_12" vbProcedure="false">"A35064"</definedName>
    <definedName function="false" hidden="false" name="FDD_189_13" vbProcedure="false">"A35430"</definedName>
    <definedName function="false" hidden="false" name="FDD_189_14" vbProcedure="false">"A35795"</definedName>
    <definedName function="false" hidden="false" name="FDD_189_2" vbProcedure="false">"A31412"</definedName>
    <definedName function="false" hidden="false" name="FDD_189_3" vbProcedure="false">"A31777"</definedName>
    <definedName function="false" hidden="false" name="FDD_189_4" vbProcedure="false">"A32142"</definedName>
    <definedName function="false" hidden="false" name="FDD_189_5" vbProcedure="false">"A32508"</definedName>
    <definedName function="false" hidden="false" name="FDD_189_6" vbProcedure="false">"A32873"</definedName>
    <definedName function="false" hidden="false" name="FDD_189_7" vbProcedure="false">"A33238"</definedName>
    <definedName function="false" hidden="false" name="FDD_189_8" vbProcedure="false">"A33603"</definedName>
    <definedName function="false" hidden="false" name="FDD_189_9" vbProcedure="false">"A33969"</definedName>
    <definedName function="false" hidden="false" name="FDD_18_0" vbProcedure="false">"A25569"</definedName>
    <definedName function="false" hidden="false" name="FDD_190_0" vbProcedure="false">"A30681"</definedName>
    <definedName function="false" hidden="false" name="FDD_190_1" vbProcedure="false">"A31047"</definedName>
    <definedName function="false" hidden="false" name="FDD_190_10" vbProcedure="false">"A34334"</definedName>
    <definedName function="false" hidden="false" name="FDD_190_11" vbProcedure="false">"A34699"</definedName>
    <definedName function="false" hidden="false" name="FDD_190_12" vbProcedure="false">"A35064"</definedName>
    <definedName function="false" hidden="false" name="FDD_190_13" vbProcedure="false">"A35430"</definedName>
    <definedName function="false" hidden="false" name="FDD_190_14" vbProcedure="false">"A35795"</definedName>
    <definedName function="false" hidden="false" name="FDD_190_2" vbProcedure="false">"A31412"</definedName>
    <definedName function="false" hidden="false" name="FDD_190_3" vbProcedure="false">"A31777"</definedName>
    <definedName function="false" hidden="false" name="FDD_190_4" vbProcedure="false">"A32142"</definedName>
    <definedName function="false" hidden="false" name="FDD_190_5" vbProcedure="false">"A32508"</definedName>
    <definedName function="false" hidden="false" name="FDD_190_6" vbProcedure="false">"A32873"</definedName>
    <definedName function="false" hidden="false" name="FDD_190_7" vbProcedure="false">"A33238"</definedName>
    <definedName function="false" hidden="false" name="FDD_190_8" vbProcedure="false">"A33603"</definedName>
    <definedName function="false" hidden="false" name="FDD_190_9" vbProcedure="false">"A33969"</definedName>
    <definedName function="false" hidden="false" name="FDD_191_0" vbProcedure="false">"A30681"</definedName>
    <definedName function="false" hidden="false" name="FDD_191_1" vbProcedure="false">"A31047"</definedName>
    <definedName function="false" hidden="false" name="FDD_191_10" vbProcedure="false">"A34334"</definedName>
    <definedName function="false" hidden="false" name="FDD_191_11" vbProcedure="false">"A34699"</definedName>
    <definedName function="false" hidden="false" name="FDD_191_12" vbProcedure="false">"A35064"</definedName>
    <definedName function="false" hidden="false" name="FDD_191_13" vbProcedure="false">"A35430"</definedName>
    <definedName function="false" hidden="false" name="FDD_191_14" vbProcedure="false">"A35795"</definedName>
    <definedName function="false" hidden="false" name="FDD_191_2" vbProcedure="false">"A31412"</definedName>
    <definedName function="false" hidden="false" name="FDD_191_3" vbProcedure="false">"A31777"</definedName>
    <definedName function="false" hidden="false" name="FDD_191_4" vbProcedure="false">"A32142"</definedName>
    <definedName function="false" hidden="false" name="FDD_191_5" vbProcedure="false">"A32508"</definedName>
    <definedName function="false" hidden="false" name="FDD_191_6" vbProcedure="false">"A32873"</definedName>
    <definedName function="false" hidden="false" name="FDD_191_7" vbProcedure="false">"A33238"</definedName>
    <definedName function="false" hidden="false" name="FDD_191_8" vbProcedure="false">"A33603"</definedName>
    <definedName function="false" hidden="false" name="FDD_191_9" vbProcedure="false">"A33969"</definedName>
    <definedName function="false" hidden="false" name="FDD_192_0" vbProcedure="false">"E36160"</definedName>
    <definedName function="false" hidden="false" name="FDD_192_1" vbProcedure="false">"E36525"</definedName>
    <definedName function="false" hidden="false" name="FDD_192_2" vbProcedure="false">"E36891"</definedName>
    <definedName function="false" hidden="false" name="FDD_193_0" vbProcedure="false">"A30681"</definedName>
    <definedName function="false" hidden="false" name="FDD_193_1" vbProcedure="false">"A31047"</definedName>
    <definedName function="false" hidden="false" name="FDD_193_10" vbProcedure="false">"A34334"</definedName>
    <definedName function="false" hidden="false" name="FDD_193_11" vbProcedure="false">"A34699"</definedName>
    <definedName function="false" hidden="false" name="FDD_193_12" vbProcedure="false">"A35064"</definedName>
    <definedName function="false" hidden="false" name="FDD_193_13" vbProcedure="false">"A35430"</definedName>
    <definedName function="false" hidden="false" name="FDD_193_14" vbProcedure="false">"A35795"</definedName>
    <definedName function="false" hidden="false" name="FDD_193_2" vbProcedure="false">"A31412"</definedName>
    <definedName function="false" hidden="false" name="FDD_193_3" vbProcedure="false">"A31777"</definedName>
    <definedName function="false" hidden="false" name="FDD_193_4" vbProcedure="false">"A32142"</definedName>
    <definedName function="false" hidden="false" name="FDD_193_5" vbProcedure="false">"A32508"</definedName>
    <definedName function="false" hidden="false" name="FDD_193_6" vbProcedure="false">"A32873"</definedName>
    <definedName function="false" hidden="false" name="FDD_193_7" vbProcedure="false">"A33238"</definedName>
    <definedName function="false" hidden="false" name="FDD_193_8" vbProcedure="false">"A33603"</definedName>
    <definedName function="false" hidden="false" name="FDD_193_9" vbProcedure="false">"A33969"</definedName>
    <definedName function="false" hidden="false" name="FDD_194_0" vbProcedure="false">"A30681"</definedName>
    <definedName function="false" hidden="false" name="FDD_194_1" vbProcedure="false">"A31047"</definedName>
    <definedName function="false" hidden="false" name="FDD_194_10" vbProcedure="false">"A34334"</definedName>
    <definedName function="false" hidden="false" name="FDD_194_11" vbProcedure="false">"A34699"</definedName>
    <definedName function="false" hidden="false" name="FDD_194_12" vbProcedure="false">"A35064"</definedName>
    <definedName function="false" hidden="false" name="FDD_194_13" vbProcedure="false">"A35430"</definedName>
    <definedName function="false" hidden="false" name="FDD_194_14" vbProcedure="false">"A35795"</definedName>
    <definedName function="false" hidden="false" name="FDD_194_2" vbProcedure="false">"A31412"</definedName>
    <definedName function="false" hidden="false" name="FDD_194_3" vbProcedure="false">"A31777"</definedName>
    <definedName function="false" hidden="false" name="FDD_194_4" vbProcedure="false">"A32142"</definedName>
    <definedName function="false" hidden="false" name="FDD_194_5" vbProcedure="false">"A32508"</definedName>
    <definedName function="false" hidden="false" name="FDD_194_6" vbProcedure="false">"A32873"</definedName>
    <definedName function="false" hidden="false" name="FDD_194_7" vbProcedure="false">"A33238"</definedName>
    <definedName function="false" hidden="false" name="FDD_194_8" vbProcedure="false">"A33603"</definedName>
    <definedName function="false" hidden="false" name="FDD_194_9" vbProcedure="false">"A33969"</definedName>
    <definedName function="false" hidden="false" name="FDD_195_0" vbProcedure="false">"A30681"</definedName>
    <definedName function="false" hidden="false" name="FDD_195_1" vbProcedure="false">"A31047"</definedName>
    <definedName function="false" hidden="false" name="FDD_195_10" vbProcedure="false">"A34334"</definedName>
    <definedName function="false" hidden="false" name="FDD_195_11" vbProcedure="false">"A34699"</definedName>
    <definedName function="false" hidden="false" name="FDD_195_12" vbProcedure="false">"A35064"</definedName>
    <definedName function="false" hidden="false" name="FDD_195_13" vbProcedure="false">"A35430"</definedName>
    <definedName function="false" hidden="false" name="FDD_195_14" vbProcedure="false">"A35795"</definedName>
    <definedName function="false" hidden="false" name="FDD_195_2" vbProcedure="false">"A31412"</definedName>
    <definedName function="false" hidden="false" name="FDD_195_3" vbProcedure="false">"A31777"</definedName>
    <definedName function="false" hidden="false" name="FDD_195_4" vbProcedure="false">"A32142"</definedName>
    <definedName function="false" hidden="false" name="FDD_195_5" vbProcedure="false">"A32508"</definedName>
    <definedName function="false" hidden="false" name="FDD_195_6" vbProcedure="false">"A32873"</definedName>
    <definedName function="false" hidden="false" name="FDD_195_7" vbProcedure="false">"A33238"</definedName>
    <definedName function="false" hidden="false" name="FDD_195_8" vbProcedure="false">"A33603"</definedName>
    <definedName function="false" hidden="false" name="FDD_195_9" vbProcedure="false">"A33969"</definedName>
    <definedName function="false" hidden="false" name="FDD_196_0" vbProcedure="false">"E36160"</definedName>
    <definedName function="false" hidden="false" name="FDD_196_1" vbProcedure="false">"E36525"</definedName>
    <definedName function="false" hidden="false" name="FDD_196_2" vbProcedure="false">"E36891"</definedName>
    <definedName function="false" hidden="false" name="FDD_197_0" vbProcedure="false">"A30681"</definedName>
    <definedName function="false" hidden="false" name="FDD_197_1" vbProcedure="false">"A31047"</definedName>
    <definedName function="false" hidden="false" name="FDD_197_10" vbProcedure="false">"A34334"</definedName>
    <definedName function="false" hidden="false" name="FDD_197_11" vbProcedure="false">"A34699"</definedName>
    <definedName function="false" hidden="false" name="FDD_197_12" vbProcedure="false">"A35064"</definedName>
    <definedName function="false" hidden="false" name="FDD_197_13" vbProcedure="false">"A35430"</definedName>
    <definedName function="false" hidden="false" name="FDD_197_14" vbProcedure="false">"A35795"</definedName>
    <definedName function="false" hidden="false" name="FDD_197_2" vbProcedure="false">"A31412"</definedName>
    <definedName function="false" hidden="false" name="FDD_197_3" vbProcedure="false">"A31777"</definedName>
    <definedName function="false" hidden="false" name="FDD_197_4" vbProcedure="false">"A32142"</definedName>
    <definedName function="false" hidden="false" name="FDD_197_5" vbProcedure="false">"A32508"</definedName>
    <definedName function="false" hidden="false" name="FDD_197_6" vbProcedure="false">"A32873"</definedName>
    <definedName function="false" hidden="false" name="FDD_197_7" vbProcedure="false">"A33238"</definedName>
    <definedName function="false" hidden="false" name="FDD_197_8" vbProcedure="false">"A33603"</definedName>
    <definedName function="false" hidden="false" name="FDD_197_9" vbProcedure="false">"A33969"</definedName>
    <definedName function="false" hidden="false" name="FDD_198_0" vbProcedure="false">"A30681"</definedName>
    <definedName function="false" hidden="false" name="FDD_198_1" vbProcedure="false">"A31047"</definedName>
    <definedName function="false" hidden="false" name="FDD_198_10" vbProcedure="false">"U34334"</definedName>
    <definedName function="false" hidden="false" name="FDD_198_11" vbProcedure="false">"U34699"</definedName>
    <definedName function="false" hidden="false" name="FDD_198_12" vbProcedure="false">"U35064"</definedName>
    <definedName function="false" hidden="false" name="FDD_198_13" vbProcedure="false">"U35430"</definedName>
    <definedName function="false" hidden="false" name="FDD_198_14" vbProcedure="false">"U35795"</definedName>
    <definedName function="false" hidden="false" name="FDD_198_2" vbProcedure="false">"A31412"</definedName>
    <definedName function="false" hidden="false" name="FDD_198_3" vbProcedure="false">"U31777"</definedName>
    <definedName function="false" hidden="false" name="FDD_198_4" vbProcedure="false">"U32142"</definedName>
    <definedName function="false" hidden="false" name="FDD_198_5" vbProcedure="false">"U32508"</definedName>
    <definedName function="false" hidden="false" name="FDD_198_6" vbProcedure="false">"U32873"</definedName>
    <definedName function="false" hidden="false" name="FDD_198_7" vbProcedure="false">"U33238"</definedName>
    <definedName function="false" hidden="false" name="FDD_198_8" vbProcedure="false">"U33603"</definedName>
    <definedName function="false" hidden="false" name="FDD_198_9" vbProcedure="false">"U33969"</definedName>
    <definedName function="false" hidden="false" name="FDD_199_0" vbProcedure="false">"E36160"</definedName>
    <definedName function="false" hidden="false" name="FDD_199_1" vbProcedure="false">"E36525"</definedName>
    <definedName function="false" hidden="false" name="FDD_199_2" vbProcedure="false">"E36891"</definedName>
    <definedName function="false" hidden="false" name="FDD_19_0" vbProcedure="false">"A25569"</definedName>
    <definedName function="false" hidden="false" name="FDD_1_0" vbProcedure="false">"U25569"</definedName>
    <definedName function="false" hidden="false" name="FDD_200_0" vbProcedure="false">"E36160"</definedName>
    <definedName function="false" hidden="false" name="FDD_200_1" vbProcedure="false">"E36525"</definedName>
    <definedName function="false" hidden="false" name="FDD_200_2" vbProcedure="false">"E36891"</definedName>
    <definedName function="false" hidden="false" name="FDD_201_0" vbProcedure="false">"A30681"</definedName>
    <definedName function="false" hidden="false" name="FDD_201_1" vbProcedure="false">"A31047"</definedName>
    <definedName function="false" hidden="false" name="FDD_201_10" vbProcedure="false">"A34334"</definedName>
    <definedName function="false" hidden="false" name="FDD_201_11" vbProcedure="false">"A34699"</definedName>
    <definedName function="false" hidden="false" name="FDD_201_12" vbProcedure="false">"A35064"</definedName>
    <definedName function="false" hidden="false" name="FDD_201_13" vbProcedure="false">"A35430"</definedName>
    <definedName function="false" hidden="false" name="FDD_201_14" vbProcedure="false">"A35795"</definedName>
    <definedName function="false" hidden="false" name="FDD_201_2" vbProcedure="false">"A31412"</definedName>
    <definedName function="false" hidden="false" name="FDD_201_3" vbProcedure="false">"A31777"</definedName>
    <definedName function="false" hidden="false" name="FDD_201_4" vbProcedure="false">"A32142"</definedName>
    <definedName function="false" hidden="false" name="FDD_201_5" vbProcedure="false">"A32508"</definedName>
    <definedName function="false" hidden="false" name="FDD_201_6" vbProcedure="false">"A32873"</definedName>
    <definedName function="false" hidden="false" name="FDD_201_7" vbProcedure="false">"A33238"</definedName>
    <definedName function="false" hidden="false" name="FDD_201_8" vbProcedure="false">"A33603"</definedName>
    <definedName function="false" hidden="false" name="FDD_201_9" vbProcedure="false">"A33969"</definedName>
    <definedName function="false" hidden="false" name="FDD_202_0" vbProcedure="false">"A30681"</definedName>
    <definedName function="false" hidden="false" name="FDD_202_1" vbProcedure="false">"A31047"</definedName>
    <definedName function="false" hidden="false" name="FDD_202_10" vbProcedure="false">"A34334"</definedName>
    <definedName function="false" hidden="false" name="FDD_202_11" vbProcedure="false">"A34699"</definedName>
    <definedName function="false" hidden="false" name="FDD_202_12" vbProcedure="false">"A35064"</definedName>
    <definedName function="false" hidden="false" name="FDD_202_13" vbProcedure="false">"A35430"</definedName>
    <definedName function="false" hidden="false" name="FDD_202_14" vbProcedure="false">"A35795"</definedName>
    <definedName function="false" hidden="false" name="FDD_202_2" vbProcedure="false">"A31412"</definedName>
    <definedName function="false" hidden="false" name="FDD_202_3" vbProcedure="false">"A31777"</definedName>
    <definedName function="false" hidden="false" name="FDD_202_4" vbProcedure="false">"A32142"</definedName>
    <definedName function="false" hidden="false" name="FDD_202_5" vbProcedure="false">"A32508"</definedName>
    <definedName function="false" hidden="false" name="FDD_202_6" vbProcedure="false">"A32873"</definedName>
    <definedName function="false" hidden="false" name="FDD_202_7" vbProcedure="false">"A33238"</definedName>
    <definedName function="false" hidden="false" name="FDD_202_8" vbProcedure="false">"A33603"</definedName>
    <definedName function="false" hidden="false" name="FDD_202_9" vbProcedure="false">"A33969"</definedName>
    <definedName function="false" hidden="false" name="FDD_203_0" vbProcedure="false">"E36160"</definedName>
    <definedName function="false" hidden="false" name="FDD_203_1" vbProcedure="false">"E36525"</definedName>
    <definedName function="false" hidden="false" name="FDD_203_2" vbProcedure="false">"E36891"</definedName>
    <definedName function="false" hidden="false" name="FDD_204_0" vbProcedure="false">"A25569"</definedName>
    <definedName function="false" hidden="false" name="FDD_205_0" vbProcedure="false">"A25569"</definedName>
    <definedName function="false" hidden="false" name="FDD_206_0" vbProcedure="false">"A25569"</definedName>
    <definedName function="false" hidden="false" name="FDD_207_0" vbProcedure="false">"A25569"</definedName>
    <definedName function="false" hidden="false" name="FDD_208_0" vbProcedure="false">"E36160"</definedName>
    <definedName function="false" hidden="false" name="FDD_208_1" vbProcedure="false">"E36525"</definedName>
    <definedName function="false" hidden="false" name="FDD_208_2" vbProcedure="false">"E36891"</definedName>
    <definedName function="false" hidden="false" name="FDD_209_0" vbProcedure="false">"A25569"</definedName>
    <definedName function="false" hidden="false" name="FDD_20_0" vbProcedure="false">"A25569"</definedName>
    <definedName function="false" hidden="false" name="FDD_210_0" vbProcedure="false">"A25569"</definedName>
    <definedName function="false" hidden="false" name="FDD_211_0" vbProcedure="false">"A25569"</definedName>
    <definedName function="false" hidden="false" name="FDD_212_0" vbProcedure="false">"A25569"</definedName>
    <definedName function="false" hidden="false" name="FDD_213_0" vbProcedure="false">"E36160"</definedName>
    <definedName function="false" hidden="false" name="FDD_213_1" vbProcedure="false">"E36525"</definedName>
    <definedName function="false" hidden="false" name="FDD_213_2" vbProcedure="false">"E36891"</definedName>
    <definedName function="false" hidden="false" name="FDD_214_0" vbProcedure="false">"A25569"</definedName>
    <definedName function="false" hidden="false" name="FDD_215_0" vbProcedure="false">"A25569"</definedName>
    <definedName function="false" hidden="false" name="FDD_216_0" vbProcedure="false">"A25569"</definedName>
    <definedName function="false" hidden="false" name="FDD_217_0" vbProcedure="false">"A25569"</definedName>
    <definedName function="false" hidden="false" name="FDD_218_0" vbProcedure="false">"E36160"</definedName>
    <definedName function="false" hidden="false" name="FDD_218_1" vbProcedure="false">"E36525"</definedName>
    <definedName function="false" hidden="false" name="FDD_218_2" vbProcedure="false">"E36891"</definedName>
    <definedName function="false" hidden="false" name="FDD_219_0" vbProcedure="false">"U25569"</definedName>
    <definedName function="false" hidden="false" name="FDD_21_0" vbProcedure="false">"A25569"</definedName>
    <definedName function="false" hidden="false" name="FDD_220_0" vbProcedure="false">"U25569"</definedName>
    <definedName function="false" hidden="false" name="FDD_221_0" vbProcedure="false">"U25569"</definedName>
    <definedName function="false" hidden="false" name="FDD_222_0" vbProcedure="false">"U25569"</definedName>
    <definedName function="false" hidden="false" name="FDD_223_0" vbProcedure="false">"E36160"</definedName>
    <definedName function="false" hidden="false" name="FDD_223_1" vbProcedure="false">"E36525"</definedName>
    <definedName function="false" hidden="false" name="FDD_223_2" vbProcedure="false">"E36891"</definedName>
    <definedName function="false" hidden="false" name="FDD_224_0" vbProcedure="false">"A25569"</definedName>
    <definedName function="false" hidden="false" name="FDD_225_0" vbProcedure="false">"A25569"</definedName>
    <definedName function="false" hidden="false" name="FDD_226_0" vbProcedure="false">"A25569"</definedName>
    <definedName function="false" hidden="false" name="FDD_227_0" vbProcedure="false">"A25569"</definedName>
    <definedName function="false" hidden="false" name="FDD_228_0" vbProcedure="false">"E36160"</definedName>
    <definedName function="false" hidden="false" name="FDD_228_1" vbProcedure="false">"E36525"</definedName>
    <definedName function="false" hidden="false" name="FDD_228_2" vbProcedure="false">"E36891"</definedName>
    <definedName function="false" hidden="false" name="FDD_229_0" vbProcedure="false">"A25569"</definedName>
    <definedName function="false" hidden="false" name="FDD_22_0" vbProcedure="false">"A25569"</definedName>
    <definedName function="false" hidden="false" name="FDD_230_0" vbProcedure="false">"A25569"</definedName>
    <definedName function="false" hidden="false" name="FDD_231_0" vbProcedure="false">"A25569"</definedName>
    <definedName function="false" hidden="false" name="FDD_232_0" vbProcedure="false">"A25569"</definedName>
    <definedName function="false" hidden="false" name="FDD_233_0" vbProcedure="false">"A25569"</definedName>
    <definedName function="false" hidden="false" name="FDD_234_0" vbProcedure="false">"A25569"</definedName>
    <definedName function="false" hidden="false" name="FDD_235_0" vbProcedure="false">"A25569"</definedName>
    <definedName function="false" hidden="false" name="FDD_236_0" vbProcedure="false">"A25569"</definedName>
    <definedName function="false" hidden="false" name="FDD_237_0" vbProcedure="false">"A25569"</definedName>
    <definedName function="false" hidden="false" name="FDD_238_0" vbProcedure="false">"A30681"</definedName>
    <definedName function="false" hidden="false" name="FDD_238_1" vbProcedure="false">"A31047"</definedName>
    <definedName function="false" hidden="false" name="FDD_238_10" vbProcedure="false">"A34334"</definedName>
    <definedName function="false" hidden="false" name="FDD_238_11" vbProcedure="false">"A34699"</definedName>
    <definedName function="false" hidden="false" name="FDD_238_12" vbProcedure="false">"A35064"</definedName>
    <definedName function="false" hidden="false" name="FDD_238_13" vbProcedure="false">"A35430"</definedName>
    <definedName function="false" hidden="false" name="FDD_238_14" vbProcedure="false">"A35795"</definedName>
    <definedName function="false" hidden="false" name="FDD_238_2" vbProcedure="false">"A31412"</definedName>
    <definedName function="false" hidden="false" name="FDD_238_3" vbProcedure="false">"A31777"</definedName>
    <definedName function="false" hidden="false" name="FDD_238_4" vbProcedure="false">"A32142"</definedName>
    <definedName function="false" hidden="false" name="FDD_238_5" vbProcedure="false">"A32508"</definedName>
    <definedName function="false" hidden="false" name="FDD_238_6" vbProcedure="false">"A32873"</definedName>
    <definedName function="false" hidden="false" name="FDD_238_7" vbProcedure="false">"A33238"</definedName>
    <definedName function="false" hidden="false" name="FDD_238_8" vbProcedure="false">"A33603"</definedName>
    <definedName function="false" hidden="false" name="FDD_238_9" vbProcedure="false">"A33969"</definedName>
    <definedName function="false" hidden="false" name="FDD_23_0" vbProcedure="false">"A25569"</definedName>
    <definedName function="false" hidden="false" name="FDD_243_0" vbProcedure="false">"E36160"</definedName>
    <definedName function="false" hidden="false" name="FDD_243_1" vbProcedure="false">"E36525"</definedName>
    <definedName function="false" hidden="false" name="FDD_243_2" vbProcedure="false">"E36891"</definedName>
    <definedName function="false" hidden="false" name="FDD_244_0" vbProcedure="false">"A25569"</definedName>
    <definedName function="false" hidden="false" name="FDD_245_0" vbProcedure="false">"A25569"</definedName>
    <definedName function="false" hidden="false" name="FDD_246_0" vbProcedure="false">"A25569"</definedName>
    <definedName function="false" hidden="false" name="FDD_247_0" vbProcedure="false">"A25569"</definedName>
    <definedName function="false" hidden="false" name="FDD_248_0" vbProcedure="false">"E36160"</definedName>
    <definedName function="false" hidden="false" name="FDD_248_1" vbProcedure="false">"E36525"</definedName>
    <definedName function="false" hidden="false" name="FDD_248_2" vbProcedure="false">"E36891"</definedName>
    <definedName function="false" hidden="false" name="FDD_249_0" vbProcedure="false">"A25569"</definedName>
    <definedName function="false" hidden="false" name="FDD_24_0" vbProcedure="false">"A25569"</definedName>
    <definedName function="false" hidden="false" name="FDD_250_0" vbProcedure="false">"A25569"</definedName>
    <definedName function="false" hidden="false" name="FDD_251_0" vbProcedure="false">"A25569"</definedName>
    <definedName function="false" hidden="false" name="FDD_252_0" vbProcedure="false">"A25569"</definedName>
    <definedName function="false" hidden="false" name="FDD_253_0" vbProcedure="false">"E36160"</definedName>
    <definedName function="false" hidden="false" name="FDD_253_1" vbProcedure="false">"E36525"</definedName>
    <definedName function="false" hidden="false" name="FDD_253_2" vbProcedure="false">"E36891"</definedName>
    <definedName function="false" hidden="false" name="FDD_254_0" vbProcedure="false">"E36160"</definedName>
    <definedName function="false" hidden="false" name="FDD_254_1" vbProcedure="false">"E36525"</definedName>
    <definedName function="false" hidden="false" name="FDD_254_2" vbProcedure="false">"E36891"</definedName>
    <definedName function="false" hidden="false" name="FDD_255_0" vbProcedure="false">"E36160"</definedName>
    <definedName function="false" hidden="false" name="FDD_255_1" vbProcedure="false">"E36525"</definedName>
    <definedName function="false" hidden="false" name="FDD_255_2" vbProcedure="false">"E36891"</definedName>
    <definedName function="false" hidden="false" name="FDD_256_0" vbProcedure="false">"U36160"</definedName>
    <definedName function="false" hidden="false" name="FDD_256_1" vbProcedure="false">"U36525"</definedName>
    <definedName function="false" hidden="false" name="FDD_256_2" vbProcedure="false">"U36891"</definedName>
    <definedName function="false" hidden="false" name="FDD_257_0" vbProcedure="false">"E36160"</definedName>
    <definedName function="false" hidden="false" name="FDD_257_1" vbProcedure="false">"E36525"</definedName>
    <definedName function="false" hidden="false" name="FDD_257_2" vbProcedure="false">"E36891"</definedName>
    <definedName function="false" hidden="false" name="FDD_258_0" vbProcedure="false">"E36160"</definedName>
    <definedName function="false" hidden="false" name="FDD_258_1" vbProcedure="false">"E36525"</definedName>
    <definedName function="false" hidden="false" name="FDD_258_2" vbProcedure="false">"E36891"</definedName>
    <definedName function="false" hidden="false" name="FDD_259_0" vbProcedure="false">"E36160"</definedName>
    <definedName function="false" hidden="false" name="FDD_259_1" vbProcedure="false">"E36525"</definedName>
    <definedName function="false" hidden="false" name="FDD_259_2" vbProcedure="false">"E36891"</definedName>
    <definedName function="false" hidden="false" name="FDD_25_0" vbProcedure="false">"A25569"</definedName>
    <definedName function="false" hidden="false" name="FDD_260_0" vbProcedure="false">"E36160"</definedName>
    <definedName function="false" hidden="false" name="FDD_260_1" vbProcedure="false">"E36525"</definedName>
    <definedName function="false" hidden="false" name="FDD_260_2" vbProcedure="false">"E36891"</definedName>
    <definedName function="false" hidden="false" name="FDD_261_0" vbProcedure="false">"E36160"</definedName>
    <definedName function="false" hidden="false" name="FDD_261_1" vbProcedure="false">"E36525"</definedName>
    <definedName function="false" hidden="false" name="FDD_261_2" vbProcedure="false">"E36891"</definedName>
    <definedName function="false" hidden="false" name="FDD_264_0" vbProcedure="false">"E36160"</definedName>
    <definedName function="false" hidden="false" name="FDD_264_1" vbProcedure="false">"E36525"</definedName>
    <definedName function="false" hidden="false" name="FDD_264_2" vbProcedure="false">"E36891"</definedName>
    <definedName function="false" hidden="false" name="FDD_265_0" vbProcedure="false">"A25569"</definedName>
    <definedName function="false" hidden="false" name="FDD_266_0" vbProcedure="false">"A25569"</definedName>
    <definedName function="false" hidden="false" name="FDD_267_0" vbProcedure="false">"A25569"</definedName>
    <definedName function="false" hidden="false" name="FDD_268_0" vbProcedure="false">"A25569"</definedName>
    <definedName function="false" hidden="false" name="FDD_269_0" vbProcedure="false">"E36160"</definedName>
    <definedName function="false" hidden="false" name="FDD_269_1" vbProcedure="false">"E36525"</definedName>
    <definedName function="false" hidden="false" name="FDD_269_2" vbProcedure="false">"E36891"</definedName>
    <definedName function="false" hidden="false" name="FDD_26_0" vbProcedure="false">"A25569"</definedName>
    <definedName function="false" hidden="false" name="FDD_270_0" vbProcedure="false">"A25569"</definedName>
    <definedName function="false" hidden="false" name="FDD_271_0" vbProcedure="false">"A25569"</definedName>
    <definedName function="false" hidden="false" name="FDD_272_0" vbProcedure="false">"A25569"</definedName>
    <definedName function="false" hidden="false" name="FDD_273_0" vbProcedure="false">"A25569"</definedName>
    <definedName function="false" hidden="false" name="FDD_274_0" vbProcedure="false">"E36160"</definedName>
    <definedName function="false" hidden="false" name="FDD_274_1" vbProcedure="false">"E36525"</definedName>
    <definedName function="false" hidden="false" name="FDD_274_2" vbProcedure="false">"E36891"</definedName>
    <definedName function="false" hidden="false" name="FDD_275_0" vbProcedure="false">"A25569"</definedName>
    <definedName function="false" hidden="false" name="FDD_276_0" vbProcedure="false">"A25569"</definedName>
    <definedName function="false" hidden="false" name="FDD_277_0" vbProcedure="false">"A25569"</definedName>
    <definedName function="false" hidden="false" name="FDD_278_0" vbProcedure="false">"A25569"</definedName>
    <definedName function="false" hidden="false" name="FDD_279_0" vbProcedure="false">"E36160"</definedName>
    <definedName function="false" hidden="false" name="FDD_279_1" vbProcedure="false">"E36525"</definedName>
    <definedName function="false" hidden="false" name="FDD_279_2" vbProcedure="false">"E36891"</definedName>
    <definedName function="false" hidden="false" name="FDD_27_0" vbProcedure="false">"A25569"</definedName>
    <definedName function="false" hidden="false" name="FDD_280_0" vbProcedure="false">"E36160"</definedName>
    <definedName function="false" hidden="false" name="FDD_280_1" vbProcedure="false">"E36525"</definedName>
    <definedName function="false" hidden="false" name="FDD_280_2" vbProcedure="false">"E36891"</definedName>
    <definedName function="false" hidden="false" name="FDD_281_0" vbProcedure="false">"E36160"</definedName>
    <definedName function="false" hidden="false" name="FDD_281_1" vbProcedure="false">"E36525"</definedName>
    <definedName function="false" hidden="false" name="FDD_281_2" vbProcedure="false">"E36891"</definedName>
    <definedName function="false" hidden="false" name="FDD_282_0" vbProcedure="false">"E36160"</definedName>
    <definedName function="false" hidden="false" name="FDD_282_1" vbProcedure="false">"E36525"</definedName>
    <definedName function="false" hidden="false" name="FDD_282_2" vbProcedure="false">"E36891"</definedName>
    <definedName function="false" hidden="false" name="FDD_283_0" vbProcedure="false">"E36160"</definedName>
    <definedName function="false" hidden="false" name="FDD_283_1" vbProcedure="false">"E36525"</definedName>
    <definedName function="false" hidden="false" name="FDD_283_2" vbProcedure="false">"E36891"</definedName>
    <definedName function="false" hidden="false" name="FDD_284_0" vbProcedure="false">"A30681"</definedName>
    <definedName function="false" hidden="false" name="FDD_284_1" vbProcedure="false">"A31047"</definedName>
    <definedName function="false" hidden="false" name="FDD_284_10" vbProcedure="false">"A34334"</definedName>
    <definedName function="false" hidden="false" name="FDD_284_11" vbProcedure="false">"A34699"</definedName>
    <definedName function="false" hidden="false" name="FDD_284_12" vbProcedure="false">"A35064"</definedName>
    <definedName function="false" hidden="false" name="FDD_284_13" vbProcedure="false">"A35430"</definedName>
    <definedName function="false" hidden="false" name="FDD_284_14" vbProcedure="false">"A35795"</definedName>
    <definedName function="false" hidden="false" name="FDD_284_2" vbProcedure="false">"A31412"</definedName>
    <definedName function="false" hidden="false" name="FDD_284_3" vbProcedure="false">"A31777"</definedName>
    <definedName function="false" hidden="false" name="FDD_284_4" vbProcedure="false">"A32142"</definedName>
    <definedName function="false" hidden="false" name="FDD_284_5" vbProcedure="false">"A32508"</definedName>
    <definedName function="false" hidden="false" name="FDD_284_6" vbProcedure="false">"A32873"</definedName>
    <definedName function="false" hidden="false" name="FDD_284_7" vbProcedure="false">"A33238"</definedName>
    <definedName function="false" hidden="false" name="FDD_284_8" vbProcedure="false">"A33603"</definedName>
    <definedName function="false" hidden="false" name="FDD_284_9" vbProcedure="false">"A33969"</definedName>
    <definedName function="false" hidden="false" name="FDD_285_0" vbProcedure="false">"A35795"</definedName>
    <definedName function="false" hidden="false" name="FDD_285_1" vbProcedure="false">"E36160"</definedName>
    <definedName function="false" hidden="false" name="FDD_285_10" vbProcedure="false">"E39447"</definedName>
    <definedName function="false" hidden="false" name="FDD_285_11" vbProcedure="false">"E39813"</definedName>
    <definedName function="false" hidden="false" name="FDD_285_12" vbProcedure="false">"E40178"</definedName>
    <definedName function="false" hidden="false" name="FDD_285_13" vbProcedure="false">"E40543"</definedName>
    <definedName function="false" hidden="false" name="FDD_285_14" vbProcedure="false">"E40908"</definedName>
    <definedName function="false" hidden="false" name="FDD_285_15" vbProcedure="false">"E41274"</definedName>
    <definedName function="false" hidden="false" name="FDD_285_16" vbProcedure="false">"E41639"</definedName>
    <definedName function="false" hidden="false" name="FDD_285_17" vbProcedure="false">"E42004"</definedName>
    <definedName function="false" hidden="false" name="FDD_285_18" vbProcedure="false">"E42369"</definedName>
    <definedName function="false" hidden="false" name="FDD_285_19" vbProcedure="false">"E42735"</definedName>
    <definedName function="false" hidden="false" name="FDD_285_2" vbProcedure="false">"E36525"</definedName>
    <definedName function="false" hidden="false" name="FDD_285_20" vbProcedure="false">"E43100"</definedName>
    <definedName function="false" hidden="false" name="FDD_285_21" vbProcedure="false">"E43465"</definedName>
    <definedName function="false" hidden="false" name="FDD_285_22" vbProcedure="false">"E43830"</definedName>
    <definedName function="false" hidden="false" name="FDD_285_23" vbProcedure="false">"E44196"</definedName>
    <definedName function="false" hidden="false" name="FDD_285_24" vbProcedure="false">"E44561"</definedName>
    <definedName function="false" hidden="false" name="FDD_285_25" vbProcedure="false">"E44926"</definedName>
    <definedName function="false" hidden="false" name="FDD_285_3" vbProcedure="false">"E36891"</definedName>
    <definedName function="false" hidden="false" name="FDD_285_4" vbProcedure="false">"E37256"</definedName>
    <definedName function="false" hidden="false" name="FDD_285_5" vbProcedure="false">"E37621"</definedName>
    <definedName function="false" hidden="false" name="FDD_285_6" vbProcedure="false">"E37986"</definedName>
    <definedName function="false" hidden="false" name="FDD_285_7" vbProcedure="false">"E38352"</definedName>
    <definedName function="false" hidden="false" name="FDD_285_8" vbProcedure="false">"E38717"</definedName>
    <definedName function="false" hidden="false" name="FDD_285_9" vbProcedure="false">"E39082"</definedName>
    <definedName function="false" hidden="false" name="FDD_286_0" vbProcedure="false">"E36160"</definedName>
    <definedName function="false" hidden="false" name="FDD_286_1" vbProcedure="false">"E36525"</definedName>
    <definedName function="false" hidden="false" name="FDD_286_10" vbProcedure="false">"E39813"</definedName>
    <definedName function="false" hidden="false" name="FDD_286_11" vbProcedure="false">"E40178"</definedName>
    <definedName function="false" hidden="false" name="FDD_286_12" vbProcedure="false">"E40543"</definedName>
    <definedName function="false" hidden="false" name="FDD_286_13" vbProcedure="false">"E40908"</definedName>
    <definedName function="false" hidden="false" name="FDD_286_14" vbProcedure="false">"E41274"</definedName>
    <definedName function="false" hidden="false" name="FDD_286_15" vbProcedure="false">"E41639"</definedName>
    <definedName function="false" hidden="false" name="FDD_286_16" vbProcedure="false">"E42004"</definedName>
    <definedName function="false" hidden="false" name="FDD_286_17" vbProcedure="false">"E42369"</definedName>
    <definedName function="false" hidden="false" name="FDD_286_18" vbProcedure="false">"E42735"</definedName>
    <definedName function="false" hidden="false" name="FDD_286_19" vbProcedure="false">"E43100"</definedName>
    <definedName function="false" hidden="false" name="FDD_286_2" vbProcedure="false">"E36891"</definedName>
    <definedName function="false" hidden="false" name="FDD_286_20" vbProcedure="false">"E43465"</definedName>
    <definedName function="false" hidden="false" name="FDD_286_21" vbProcedure="false">"E43830"</definedName>
    <definedName function="false" hidden="false" name="FDD_286_22" vbProcedure="false">"E44196"</definedName>
    <definedName function="false" hidden="false" name="FDD_286_23" vbProcedure="false">"E44561"</definedName>
    <definedName function="false" hidden="false" name="FDD_286_24" vbProcedure="false">"E44926"</definedName>
    <definedName function="false" hidden="false" name="FDD_286_3" vbProcedure="false">"E37256"</definedName>
    <definedName function="false" hidden="false" name="FDD_286_4" vbProcedure="false">"E37621"</definedName>
    <definedName function="false" hidden="false" name="FDD_286_5" vbProcedure="false">"E37986"</definedName>
    <definedName function="false" hidden="false" name="FDD_286_6" vbProcedure="false">"E38352"</definedName>
    <definedName function="false" hidden="false" name="FDD_286_7" vbProcedure="false">"E38717"</definedName>
    <definedName function="false" hidden="false" name="FDD_286_8" vbProcedure="false">"E39082"</definedName>
    <definedName function="false" hidden="false" name="FDD_286_9" vbProcedure="false">"E39447"</definedName>
    <definedName function="false" hidden="false" name="FDD_287_0" vbProcedure="false">"A25569"</definedName>
    <definedName function="false" hidden="false" name="FDD_288_0" vbProcedure="false">"A25569"</definedName>
    <definedName function="false" hidden="false" name="FDD_289_0" vbProcedure="false">"A36890"</definedName>
    <definedName function="false" hidden="false" name="FDD_28_0" vbProcedure="false">"A25569"</definedName>
    <definedName function="false" hidden="false" name="FDD_290_0" vbProcedure="false">"A36890"</definedName>
    <definedName function="false" hidden="false" name="FDD_291_0" vbProcedure="false">"A25569"</definedName>
    <definedName function="false" hidden="false" name="FDD_295_0" vbProcedure="false">"U25569"</definedName>
    <definedName function="false" hidden="false" name="FDD_296_0" vbProcedure="false">"A25569"</definedName>
    <definedName function="false" hidden="false" name="FDD_297_0" vbProcedure="false">"A25569"</definedName>
    <definedName function="false" hidden="false" name="FDD_298_0" vbProcedure="false">"A25569"</definedName>
    <definedName function="false" hidden="false" name="FDD_299_0" vbProcedure="false">"A25569"</definedName>
    <definedName function="false" hidden="false" name="FDD_29_0" vbProcedure="false">"A25569"</definedName>
    <definedName function="false" hidden="false" name="FDD_2_0" vbProcedure="false">"A25569"</definedName>
    <definedName function="false" hidden="false" name="FDD_300_0" vbProcedure="false">"U25569"</definedName>
    <definedName function="false" hidden="false" name="FDD_301_0" vbProcedure="false">"U35795"</definedName>
    <definedName function="false" hidden="false" name="FDD_301_1" vbProcedure="false">"U36160"</definedName>
    <definedName function="false" hidden="false" name="FDD_301_2" vbProcedure="false">"U36525"</definedName>
    <definedName function="false" hidden="false" name="FDD_302_0" vbProcedure="false">"U35795"</definedName>
    <definedName function="false" hidden="false" name="FDD_302_1" vbProcedure="false">"U36160"</definedName>
    <definedName function="false" hidden="false" name="FDD_302_2" vbProcedure="false">"U36525"</definedName>
    <definedName function="false" hidden="false" name="FDD_303_0" vbProcedure="false">"U35795"</definedName>
    <definedName function="false" hidden="false" name="FDD_303_1" vbProcedure="false">"U36160"</definedName>
    <definedName function="false" hidden="false" name="FDD_303_2" vbProcedure="false">"U36525"</definedName>
    <definedName function="false" hidden="false" name="FDD_304_0" vbProcedure="false">"U35795"</definedName>
    <definedName function="false" hidden="false" name="FDD_304_1" vbProcedure="false">"U36160"</definedName>
    <definedName function="false" hidden="false" name="FDD_304_2" vbProcedure="false">"U36525"</definedName>
    <definedName function="false" hidden="false" name="FDD_305_0" vbProcedure="false">"A30681"</definedName>
    <definedName function="false" hidden="false" name="FDD_305_1" vbProcedure="false">"A31047"</definedName>
    <definedName function="false" hidden="false" name="FDD_305_10" vbProcedure="false">"U34334"</definedName>
    <definedName function="false" hidden="false" name="FDD_305_11" vbProcedure="false">"U34699"</definedName>
    <definedName function="false" hidden="false" name="FDD_305_12" vbProcedure="false">"U35064"</definedName>
    <definedName function="false" hidden="false" name="FDD_305_13" vbProcedure="false">"U35430"</definedName>
    <definedName function="false" hidden="false" name="FDD_305_14" vbProcedure="false">"U35795"</definedName>
    <definedName function="false" hidden="false" name="FDD_305_2" vbProcedure="false">"A31412"</definedName>
    <definedName function="false" hidden="false" name="FDD_305_3" vbProcedure="false">"U31777"</definedName>
    <definedName function="false" hidden="false" name="FDD_305_4" vbProcedure="false">"U32142"</definedName>
    <definedName function="false" hidden="false" name="FDD_305_5" vbProcedure="false">"U32508"</definedName>
    <definedName function="false" hidden="false" name="FDD_305_6" vbProcedure="false">"U32873"</definedName>
    <definedName function="false" hidden="false" name="FDD_305_7" vbProcedure="false">"U33238"</definedName>
    <definedName function="false" hidden="false" name="FDD_305_8" vbProcedure="false">"U33603"</definedName>
    <definedName function="false" hidden="false" name="FDD_305_9" vbProcedure="false">"U33969"</definedName>
    <definedName function="false" hidden="false" name="FDD_306_0" vbProcedure="false">"U35795"</definedName>
    <definedName function="false" hidden="false" name="FDD_306_1" vbProcedure="false">"E36160"</definedName>
    <definedName function="false" hidden="false" name="FDD_306_2" vbProcedure="false">"U36525"</definedName>
    <definedName function="false" hidden="false" name="FDD_307_0" vbProcedure="false">"A35795"</definedName>
    <definedName function="false" hidden="false" name="FDD_307_1" vbProcedure="false">"U36160"</definedName>
    <definedName function="false" hidden="false" name="FDD_307_2" vbProcedure="false">"U36525"</definedName>
    <definedName function="false" hidden="false" name="FDD_30_0" vbProcedure="false">"A25569"</definedName>
    <definedName function="false" hidden="false" name="FDD_31_0" vbProcedure="false">"A25569"</definedName>
    <definedName function="false" hidden="false" name="FDD_32_0" vbProcedure="false">"A25569"</definedName>
    <definedName function="false" hidden="false" name="FDD_33_0" vbProcedure="false">"A25569"</definedName>
    <definedName function="false" hidden="false" name="FDD_34_0" vbProcedure="false">"A25569"</definedName>
    <definedName function="false" hidden="false" name="FDD_35_0" vbProcedure="false">"A25569"</definedName>
    <definedName function="false" hidden="false" name="FDD_36_0" vbProcedure="false">"A25569"</definedName>
    <definedName function="false" hidden="false" name="FDD_37_0" vbProcedure="false">"A25569"</definedName>
    <definedName function="false" hidden="false" name="FDD_38_0" vbProcedure="false">"A25569"</definedName>
    <definedName function="false" hidden="false" name="FDD_39_0" vbProcedure="false">"A25569"</definedName>
    <definedName function="false" hidden="false" name="FDD_3_0" vbProcedure="false">"A25569"</definedName>
    <definedName function="false" hidden="false" name="FDD_40_0" vbProcedure="false">"A25569"</definedName>
    <definedName function="false" hidden="false" name="FDD_41_0" vbProcedure="false">"U25569"</definedName>
    <definedName function="false" hidden="false" name="FDD_42_0" vbProcedure="false">"U25569"</definedName>
    <definedName function="false" hidden="false" name="FDD_43_0" vbProcedure="false">"A25569"</definedName>
    <definedName function="false" hidden="false" name="FDD_44_0" vbProcedure="false">"A30681"</definedName>
    <definedName function="false" hidden="false" name="FDD_44_1" vbProcedure="false">"A31047"</definedName>
    <definedName function="false" hidden="false" name="FDD_44_10" vbProcedure="false">"A34334"</definedName>
    <definedName function="false" hidden="false" name="FDD_44_11" vbProcedure="false">"A34699"</definedName>
    <definedName function="false" hidden="false" name="FDD_44_12" vbProcedure="false">"A35064"</definedName>
    <definedName function="false" hidden="false" name="FDD_44_13" vbProcedure="false">"A35430"</definedName>
    <definedName function="false" hidden="false" name="FDD_44_14" vbProcedure="false">"A35795"</definedName>
    <definedName function="false" hidden="false" name="FDD_44_2" vbProcedure="false">"A31412"</definedName>
    <definedName function="false" hidden="false" name="FDD_44_3" vbProcedure="false">"A31777"</definedName>
    <definedName function="false" hidden="false" name="FDD_44_4" vbProcedure="false">"A32142"</definedName>
    <definedName function="false" hidden="false" name="FDD_44_5" vbProcedure="false">"A32508"</definedName>
    <definedName function="false" hidden="false" name="FDD_44_6" vbProcedure="false">"A32873"</definedName>
    <definedName function="false" hidden="false" name="FDD_44_7" vbProcedure="false">"A33238"</definedName>
    <definedName function="false" hidden="false" name="FDD_44_8" vbProcedure="false">"A33603"</definedName>
    <definedName function="false" hidden="false" name="FDD_44_9" vbProcedure="false">"A33969"</definedName>
    <definedName function="false" hidden="false" name="FDD_45_0" vbProcedure="false">"A30681"</definedName>
    <definedName function="false" hidden="false" name="FDD_45_1" vbProcedure="false">"A31047"</definedName>
    <definedName function="false" hidden="false" name="FDD_45_10" vbProcedure="false">"A34334"</definedName>
    <definedName function="false" hidden="false" name="FDD_45_11" vbProcedure="false">"A34699"</definedName>
    <definedName function="false" hidden="false" name="FDD_45_12" vbProcedure="false">"A35064"</definedName>
    <definedName function="false" hidden="false" name="FDD_45_13" vbProcedure="false">"A35430"</definedName>
    <definedName function="false" hidden="false" name="FDD_45_14" vbProcedure="false">"A35795"</definedName>
    <definedName function="false" hidden="false" name="FDD_45_2" vbProcedure="false">"A31412"</definedName>
    <definedName function="false" hidden="false" name="FDD_45_3" vbProcedure="false">"A31777"</definedName>
    <definedName function="false" hidden="false" name="FDD_45_4" vbProcedure="false">"A32142"</definedName>
    <definedName function="false" hidden="false" name="FDD_45_5" vbProcedure="false">"A32508"</definedName>
    <definedName function="false" hidden="false" name="FDD_45_6" vbProcedure="false">"A32873"</definedName>
    <definedName function="false" hidden="false" name="FDD_45_7" vbProcedure="false">"A33238"</definedName>
    <definedName function="false" hidden="false" name="FDD_45_8" vbProcedure="false">"A33603"</definedName>
    <definedName function="false" hidden="false" name="FDD_45_9" vbProcedure="false">"A33969"</definedName>
    <definedName function="false" hidden="false" name="FDD_46_0" vbProcedure="false">"A30681"</definedName>
    <definedName function="false" hidden="false" name="FDD_46_1" vbProcedure="false">"A31047"</definedName>
    <definedName function="false" hidden="false" name="FDD_46_10" vbProcedure="false">"A34334"</definedName>
    <definedName function="false" hidden="false" name="FDD_46_11" vbProcedure="false">"A34699"</definedName>
    <definedName function="false" hidden="false" name="FDD_46_12" vbProcedure="false">"A35064"</definedName>
    <definedName function="false" hidden="false" name="FDD_46_13" vbProcedure="false">"A35430"</definedName>
    <definedName function="false" hidden="false" name="FDD_46_14" vbProcedure="false">"A35795"</definedName>
    <definedName function="false" hidden="false" name="FDD_46_2" vbProcedure="false">"A31412"</definedName>
    <definedName function="false" hidden="false" name="FDD_46_3" vbProcedure="false">"A31777"</definedName>
    <definedName function="false" hidden="false" name="FDD_46_4" vbProcedure="false">"A32142"</definedName>
    <definedName function="false" hidden="false" name="FDD_46_5" vbProcedure="false">"A32508"</definedName>
    <definedName function="false" hidden="false" name="FDD_46_6" vbProcedure="false">"A32873"</definedName>
    <definedName function="false" hidden="false" name="FDD_46_7" vbProcedure="false">"A33238"</definedName>
    <definedName function="false" hidden="false" name="FDD_46_8" vbProcedure="false">"A33603"</definedName>
    <definedName function="false" hidden="false" name="FDD_46_9" vbProcedure="false">"A33969"</definedName>
    <definedName function="false" hidden="false" name="FDD_47_0" vbProcedure="false">"A30681"</definedName>
    <definedName function="false" hidden="false" name="FDD_47_1" vbProcedure="false">"A31047"</definedName>
    <definedName function="false" hidden="false" name="FDD_47_10" vbProcedure="false">"A34334"</definedName>
    <definedName function="false" hidden="false" name="FDD_47_11" vbProcedure="false">"A34699"</definedName>
    <definedName function="false" hidden="false" name="FDD_47_12" vbProcedure="false">"A35064"</definedName>
    <definedName function="false" hidden="false" name="FDD_47_13" vbProcedure="false">"A35430"</definedName>
    <definedName function="false" hidden="false" name="FDD_47_14" vbProcedure="false">"A35795"</definedName>
    <definedName function="false" hidden="false" name="FDD_47_2" vbProcedure="false">"A31412"</definedName>
    <definedName function="false" hidden="false" name="FDD_47_3" vbProcedure="false">"A31777"</definedName>
    <definedName function="false" hidden="false" name="FDD_47_4" vbProcedure="false">"A32142"</definedName>
    <definedName function="false" hidden="false" name="FDD_47_5" vbProcedure="false">"A32508"</definedName>
    <definedName function="false" hidden="false" name="FDD_47_6" vbProcedure="false">"A32873"</definedName>
    <definedName function="false" hidden="false" name="FDD_47_7" vbProcedure="false">"A33238"</definedName>
    <definedName function="false" hidden="false" name="FDD_47_8" vbProcedure="false">"A33603"</definedName>
    <definedName function="false" hidden="false" name="FDD_47_9" vbProcedure="false">"A33969"</definedName>
    <definedName function="false" hidden="false" name="FDD_48_0" vbProcedure="false">"A30681"</definedName>
    <definedName function="false" hidden="false" name="FDD_48_1" vbProcedure="false">"A31047"</definedName>
    <definedName function="false" hidden="false" name="FDD_48_10" vbProcedure="false">"A34334"</definedName>
    <definedName function="false" hidden="false" name="FDD_48_11" vbProcedure="false">"A34699"</definedName>
    <definedName function="false" hidden="false" name="FDD_48_12" vbProcedure="false">"A35064"</definedName>
    <definedName function="false" hidden="false" name="FDD_48_13" vbProcedure="false">"A35430"</definedName>
    <definedName function="false" hidden="false" name="FDD_48_14" vbProcedure="false">"A35795"</definedName>
    <definedName function="false" hidden="false" name="FDD_48_2" vbProcedure="false">"A31412"</definedName>
    <definedName function="false" hidden="false" name="FDD_48_3" vbProcedure="false">"A31777"</definedName>
    <definedName function="false" hidden="false" name="FDD_48_4" vbProcedure="false">"A32142"</definedName>
    <definedName function="false" hidden="false" name="FDD_48_5" vbProcedure="false">"A32508"</definedName>
    <definedName function="false" hidden="false" name="FDD_48_6" vbProcedure="false">"A32873"</definedName>
    <definedName function="false" hidden="false" name="FDD_48_7" vbProcedure="false">"A33238"</definedName>
    <definedName function="false" hidden="false" name="FDD_48_8" vbProcedure="false">"A33603"</definedName>
    <definedName function="false" hidden="false" name="FDD_48_9" vbProcedure="false">"A33969"</definedName>
    <definedName function="false" hidden="false" name="FDD_49_0" vbProcedure="false">"A30681"</definedName>
    <definedName function="false" hidden="false" name="FDD_49_1" vbProcedure="false">"A31047"</definedName>
    <definedName function="false" hidden="false" name="FDD_49_10" vbProcedure="false">"A34334"</definedName>
    <definedName function="false" hidden="false" name="FDD_49_11" vbProcedure="false">"A34699"</definedName>
    <definedName function="false" hidden="false" name="FDD_49_12" vbProcedure="false">"A35064"</definedName>
    <definedName function="false" hidden="false" name="FDD_49_13" vbProcedure="false">"A35430"</definedName>
    <definedName function="false" hidden="false" name="FDD_49_14" vbProcedure="false">"A35795"</definedName>
    <definedName function="false" hidden="false" name="FDD_49_2" vbProcedure="false">"A31412"</definedName>
    <definedName function="false" hidden="false" name="FDD_49_3" vbProcedure="false">"A31777"</definedName>
    <definedName function="false" hidden="false" name="FDD_49_4" vbProcedure="false">"A32142"</definedName>
    <definedName function="false" hidden="false" name="FDD_49_5" vbProcedure="false">"A32508"</definedName>
    <definedName function="false" hidden="false" name="FDD_49_6" vbProcedure="false">"A32873"</definedName>
    <definedName function="false" hidden="false" name="FDD_49_7" vbProcedure="false">"A33238"</definedName>
    <definedName function="false" hidden="false" name="FDD_49_8" vbProcedure="false">"A33603"</definedName>
    <definedName function="false" hidden="false" name="FDD_49_9" vbProcedure="false">"A33969"</definedName>
    <definedName function="false" hidden="false" name="FDD_4_0" vbProcedure="false">"A25569"</definedName>
    <definedName function="false" hidden="false" name="FDD_50_0" vbProcedure="false">"A30681"</definedName>
    <definedName function="false" hidden="false" name="FDD_50_1" vbProcedure="false">"A31047"</definedName>
    <definedName function="false" hidden="false" name="FDD_50_10" vbProcedure="false">"A34334"</definedName>
    <definedName function="false" hidden="false" name="FDD_50_11" vbProcedure="false">"A34699"</definedName>
    <definedName function="false" hidden="false" name="FDD_50_12" vbProcedure="false">"A35064"</definedName>
    <definedName function="false" hidden="false" name="FDD_50_13" vbProcedure="false">"A35430"</definedName>
    <definedName function="false" hidden="false" name="FDD_50_14" vbProcedure="false">"A35795"</definedName>
    <definedName function="false" hidden="false" name="FDD_50_2" vbProcedure="false">"A31412"</definedName>
    <definedName function="false" hidden="false" name="FDD_50_3" vbProcedure="false">"A31777"</definedName>
    <definedName function="false" hidden="false" name="FDD_50_4" vbProcedure="false">"A32142"</definedName>
    <definedName function="false" hidden="false" name="FDD_50_5" vbProcedure="false">"A32508"</definedName>
    <definedName function="false" hidden="false" name="FDD_50_6" vbProcedure="false">"A32873"</definedName>
    <definedName function="false" hidden="false" name="FDD_50_7" vbProcedure="false">"A33238"</definedName>
    <definedName function="false" hidden="false" name="FDD_50_8" vbProcedure="false">"A33603"</definedName>
    <definedName function="false" hidden="false" name="FDD_50_9" vbProcedure="false">"A33969"</definedName>
    <definedName function="false" hidden="false" name="FDD_51_0" vbProcedure="false">"A30681"</definedName>
    <definedName function="false" hidden="false" name="FDD_51_1" vbProcedure="false">"A31047"</definedName>
    <definedName function="false" hidden="false" name="FDD_51_10" vbProcedure="false">"A34334"</definedName>
    <definedName function="false" hidden="false" name="FDD_51_11" vbProcedure="false">"A34699"</definedName>
    <definedName function="false" hidden="false" name="FDD_51_12" vbProcedure="false">"A35064"</definedName>
    <definedName function="false" hidden="false" name="FDD_51_13" vbProcedure="false">"A35430"</definedName>
    <definedName function="false" hidden="false" name="FDD_51_14" vbProcedure="false">"A35795"</definedName>
    <definedName function="false" hidden="false" name="FDD_51_2" vbProcedure="false">"A31412"</definedName>
    <definedName function="false" hidden="false" name="FDD_51_3" vbProcedure="false">"A31777"</definedName>
    <definedName function="false" hidden="false" name="FDD_51_4" vbProcedure="false">"A32142"</definedName>
    <definedName function="false" hidden="false" name="FDD_51_5" vbProcedure="false">"A32508"</definedName>
    <definedName function="false" hidden="false" name="FDD_51_6" vbProcedure="false">"A32873"</definedName>
    <definedName function="false" hidden="false" name="FDD_51_7" vbProcedure="false">"A33238"</definedName>
    <definedName function="false" hidden="false" name="FDD_51_8" vbProcedure="false">"A33603"</definedName>
    <definedName function="false" hidden="false" name="FDD_51_9" vbProcedure="false">"A33969"</definedName>
    <definedName function="false" hidden="false" name="FDD_52_0" vbProcedure="false">"A30681"</definedName>
    <definedName function="false" hidden="false" name="FDD_52_1" vbProcedure="false">"A31047"</definedName>
    <definedName function="false" hidden="false" name="FDD_52_10" vbProcedure="false">"A34334"</definedName>
    <definedName function="false" hidden="false" name="FDD_52_11" vbProcedure="false">"A34699"</definedName>
    <definedName function="false" hidden="false" name="FDD_52_12" vbProcedure="false">"A35064"</definedName>
    <definedName function="false" hidden="false" name="FDD_52_13" vbProcedure="false">"A35430"</definedName>
    <definedName function="false" hidden="false" name="FDD_52_14" vbProcedure="false">"A35795"</definedName>
    <definedName function="false" hidden="false" name="FDD_52_2" vbProcedure="false">"A31412"</definedName>
    <definedName function="false" hidden="false" name="FDD_52_3" vbProcedure="false">"A31777"</definedName>
    <definedName function="false" hidden="false" name="FDD_52_4" vbProcedure="false">"A32142"</definedName>
    <definedName function="false" hidden="false" name="FDD_52_5" vbProcedure="false">"A32508"</definedName>
    <definedName function="false" hidden="false" name="FDD_52_6" vbProcedure="false">"A32873"</definedName>
    <definedName function="false" hidden="false" name="FDD_52_7" vbProcedure="false">"A33238"</definedName>
    <definedName function="false" hidden="false" name="FDD_52_8" vbProcedure="false">"A33603"</definedName>
    <definedName function="false" hidden="false" name="FDD_52_9" vbProcedure="false">"A33969"</definedName>
    <definedName function="false" hidden="false" name="FDD_53_0" vbProcedure="false">"U30681"</definedName>
    <definedName function="false" hidden="false" name="FDD_53_1" vbProcedure="false">"A31047"</definedName>
    <definedName function="false" hidden="false" name="FDD_53_10" vbProcedure="false">"A34334"</definedName>
    <definedName function="false" hidden="false" name="FDD_53_11" vbProcedure="false">"A34699"</definedName>
    <definedName function="false" hidden="false" name="FDD_53_12" vbProcedure="false">"A35064"</definedName>
    <definedName function="false" hidden="false" name="FDD_53_13" vbProcedure="false">"A35430"</definedName>
    <definedName function="false" hidden="false" name="FDD_53_14" vbProcedure="false">"A35795"</definedName>
    <definedName function="false" hidden="false" name="FDD_53_2" vbProcedure="false">"A31412"</definedName>
    <definedName function="false" hidden="false" name="FDD_53_3" vbProcedure="false">"A31777"</definedName>
    <definedName function="false" hidden="false" name="FDD_53_4" vbProcedure="false">"A32142"</definedName>
    <definedName function="false" hidden="false" name="FDD_53_5" vbProcedure="false">"A32508"</definedName>
    <definedName function="false" hidden="false" name="FDD_53_6" vbProcedure="false">"A32873"</definedName>
    <definedName function="false" hidden="false" name="FDD_53_7" vbProcedure="false">"A33238"</definedName>
    <definedName function="false" hidden="false" name="FDD_53_8" vbProcedure="false">"A33603"</definedName>
    <definedName function="false" hidden="false" name="FDD_53_9" vbProcedure="false">"A33969"</definedName>
    <definedName function="false" hidden="false" name="FDD_54_0" vbProcedure="false">"A30681"</definedName>
    <definedName function="false" hidden="false" name="FDD_54_1" vbProcedure="false">"A31047"</definedName>
    <definedName function="false" hidden="false" name="FDD_54_10" vbProcedure="false">"A34334"</definedName>
    <definedName function="false" hidden="false" name="FDD_54_11" vbProcedure="false">"A34699"</definedName>
    <definedName function="false" hidden="false" name="FDD_54_12" vbProcedure="false">"A35064"</definedName>
    <definedName function="false" hidden="false" name="FDD_54_13" vbProcedure="false">"A35430"</definedName>
    <definedName function="false" hidden="false" name="FDD_54_14" vbProcedure="false">"A35795"</definedName>
    <definedName function="false" hidden="false" name="FDD_54_2" vbProcedure="false">"A31412"</definedName>
    <definedName function="false" hidden="false" name="FDD_54_3" vbProcedure="false">"A31777"</definedName>
    <definedName function="false" hidden="false" name="FDD_54_4" vbProcedure="false">"A32142"</definedName>
    <definedName function="false" hidden="false" name="FDD_54_5" vbProcedure="false">"A32508"</definedName>
    <definedName function="false" hidden="false" name="FDD_54_6" vbProcedure="false">"A32873"</definedName>
    <definedName function="false" hidden="false" name="FDD_54_7" vbProcedure="false">"A33238"</definedName>
    <definedName function="false" hidden="false" name="FDD_54_8" vbProcedure="false">"A33603"</definedName>
    <definedName function="false" hidden="false" name="FDD_54_9" vbProcedure="false">"A33969"</definedName>
    <definedName function="false" hidden="false" name="FDD_55_0" vbProcedure="false">"A30681"</definedName>
    <definedName function="false" hidden="false" name="FDD_55_1" vbProcedure="false">"A31047"</definedName>
    <definedName function="false" hidden="false" name="FDD_55_10" vbProcedure="false">"A34334"</definedName>
    <definedName function="false" hidden="false" name="FDD_55_11" vbProcedure="false">"A34699"</definedName>
    <definedName function="false" hidden="false" name="FDD_55_12" vbProcedure="false">"A35064"</definedName>
    <definedName function="false" hidden="false" name="FDD_55_13" vbProcedure="false">"A35430"</definedName>
    <definedName function="false" hidden="false" name="FDD_55_14" vbProcedure="false">"A35795"</definedName>
    <definedName function="false" hidden="false" name="FDD_55_2" vbProcedure="false">"A31412"</definedName>
    <definedName function="false" hidden="false" name="FDD_55_3" vbProcedure="false">"A31777"</definedName>
    <definedName function="false" hidden="false" name="FDD_55_4" vbProcedure="false">"A32142"</definedName>
    <definedName function="false" hidden="false" name="FDD_55_5" vbProcedure="false">"A32508"</definedName>
    <definedName function="false" hidden="false" name="FDD_55_6" vbProcedure="false">"A32873"</definedName>
    <definedName function="false" hidden="false" name="FDD_55_7" vbProcedure="false">"A33238"</definedName>
    <definedName function="false" hidden="false" name="FDD_55_8" vbProcedure="false">"A33603"</definedName>
    <definedName function="false" hidden="false" name="FDD_55_9" vbProcedure="false">"A33969"</definedName>
    <definedName function="false" hidden="false" name="FDD_56_0" vbProcedure="false">"A30681"</definedName>
    <definedName function="false" hidden="false" name="FDD_56_1" vbProcedure="false">"A31047"</definedName>
    <definedName function="false" hidden="false" name="FDD_56_10" vbProcedure="false">"A34334"</definedName>
    <definedName function="false" hidden="false" name="FDD_56_11" vbProcedure="false">"A34699"</definedName>
    <definedName function="false" hidden="false" name="FDD_56_12" vbProcedure="false">"A35064"</definedName>
    <definedName function="false" hidden="false" name="FDD_56_13" vbProcedure="false">"A35430"</definedName>
    <definedName function="false" hidden="false" name="FDD_56_14" vbProcedure="false">"A35795"</definedName>
    <definedName function="false" hidden="false" name="FDD_56_2" vbProcedure="false">"A31412"</definedName>
    <definedName function="false" hidden="false" name="FDD_56_3" vbProcedure="false">"A31777"</definedName>
    <definedName function="false" hidden="false" name="FDD_56_4" vbProcedure="false">"A32142"</definedName>
    <definedName function="false" hidden="false" name="FDD_56_5" vbProcedure="false">"A32508"</definedName>
    <definedName function="false" hidden="false" name="FDD_56_6" vbProcedure="false">"A32873"</definedName>
    <definedName function="false" hidden="false" name="FDD_56_7" vbProcedure="false">"A33238"</definedName>
    <definedName function="false" hidden="false" name="FDD_56_8" vbProcedure="false">"A33603"</definedName>
    <definedName function="false" hidden="false" name="FDD_56_9" vbProcedure="false">"A33969"</definedName>
    <definedName function="false" hidden="false" name="FDD_57_0" vbProcedure="false">"A30681"</definedName>
    <definedName function="false" hidden="false" name="FDD_57_1" vbProcedure="false">"A31047"</definedName>
    <definedName function="false" hidden="false" name="FDD_57_10" vbProcedure="false">"A34334"</definedName>
    <definedName function="false" hidden="false" name="FDD_57_11" vbProcedure="false">"A34699"</definedName>
    <definedName function="false" hidden="false" name="FDD_57_12" vbProcedure="false">"A35064"</definedName>
    <definedName function="false" hidden="false" name="FDD_57_13" vbProcedure="false">"A35430"</definedName>
    <definedName function="false" hidden="false" name="FDD_57_14" vbProcedure="false">"A35795"</definedName>
    <definedName function="false" hidden="false" name="FDD_57_2" vbProcedure="false">"A31412"</definedName>
    <definedName function="false" hidden="false" name="FDD_57_3" vbProcedure="false">"A31777"</definedName>
    <definedName function="false" hidden="false" name="FDD_57_4" vbProcedure="false">"A32142"</definedName>
    <definedName function="false" hidden="false" name="FDD_57_5" vbProcedure="false">"A32508"</definedName>
    <definedName function="false" hidden="false" name="FDD_57_6" vbProcedure="false">"A32873"</definedName>
    <definedName function="false" hidden="false" name="FDD_57_7" vbProcedure="false">"A33238"</definedName>
    <definedName function="false" hidden="false" name="FDD_57_8" vbProcedure="false">"A33603"</definedName>
    <definedName function="false" hidden="false" name="FDD_57_9" vbProcedure="false">"A33969"</definedName>
    <definedName function="false" hidden="false" name="FDD_58_0" vbProcedure="false">"A30681"</definedName>
    <definedName function="false" hidden="false" name="FDD_58_1" vbProcedure="false">"A31047"</definedName>
    <definedName function="false" hidden="false" name="FDD_58_10" vbProcedure="false">"A34334"</definedName>
    <definedName function="false" hidden="false" name="FDD_58_11" vbProcedure="false">"A34699"</definedName>
    <definedName function="false" hidden="false" name="FDD_58_12" vbProcedure="false">"A35064"</definedName>
    <definedName function="false" hidden="false" name="FDD_58_13" vbProcedure="false">"A35430"</definedName>
    <definedName function="false" hidden="false" name="FDD_58_14" vbProcedure="false">"A35795"</definedName>
    <definedName function="false" hidden="false" name="FDD_58_2" vbProcedure="false">"A31412"</definedName>
    <definedName function="false" hidden="false" name="FDD_58_3" vbProcedure="false">"A31777"</definedName>
    <definedName function="false" hidden="false" name="FDD_58_4" vbProcedure="false">"A32142"</definedName>
    <definedName function="false" hidden="false" name="FDD_58_5" vbProcedure="false">"A32508"</definedName>
    <definedName function="false" hidden="false" name="FDD_58_6" vbProcedure="false">"A32873"</definedName>
    <definedName function="false" hidden="false" name="FDD_58_7" vbProcedure="false">"A33238"</definedName>
    <definedName function="false" hidden="false" name="FDD_58_8" vbProcedure="false">"A33603"</definedName>
    <definedName function="false" hidden="false" name="FDD_58_9" vbProcedure="false">"A33969"</definedName>
    <definedName function="false" hidden="false" name="FDD_59_0" vbProcedure="false">"A30681"</definedName>
    <definedName function="false" hidden="false" name="FDD_59_1" vbProcedure="false">"A31047"</definedName>
    <definedName function="false" hidden="false" name="FDD_59_10" vbProcedure="false">"A34334"</definedName>
    <definedName function="false" hidden="false" name="FDD_59_11" vbProcedure="false">"A34699"</definedName>
    <definedName function="false" hidden="false" name="FDD_59_12" vbProcedure="false">"A35064"</definedName>
    <definedName function="false" hidden="false" name="FDD_59_13" vbProcedure="false">"A35430"</definedName>
    <definedName function="false" hidden="false" name="FDD_59_14" vbProcedure="false">"A35795"</definedName>
    <definedName function="false" hidden="false" name="FDD_59_2" vbProcedure="false">"A31412"</definedName>
    <definedName function="false" hidden="false" name="FDD_59_3" vbProcedure="false">"A31777"</definedName>
    <definedName function="false" hidden="false" name="FDD_59_4" vbProcedure="false">"A32142"</definedName>
    <definedName function="false" hidden="false" name="FDD_59_5" vbProcedure="false">"A32508"</definedName>
    <definedName function="false" hidden="false" name="FDD_59_6" vbProcedure="false">"A32873"</definedName>
    <definedName function="false" hidden="false" name="FDD_59_7" vbProcedure="false">"A33238"</definedName>
    <definedName function="false" hidden="false" name="FDD_59_8" vbProcedure="false">"A33603"</definedName>
    <definedName function="false" hidden="false" name="FDD_59_9" vbProcedure="false">"A33969"</definedName>
    <definedName function="false" hidden="false" name="FDD_5_0" vbProcedure="false">"A25569"</definedName>
    <definedName function="false" hidden="false" name="FDD_60_0" vbProcedure="false">"A30681"</definedName>
    <definedName function="false" hidden="false" name="FDD_60_1" vbProcedure="false">"A31047"</definedName>
    <definedName function="false" hidden="false" name="FDD_60_10" vbProcedure="false">"A34334"</definedName>
    <definedName function="false" hidden="false" name="FDD_60_11" vbProcedure="false">"A34699"</definedName>
    <definedName function="false" hidden="false" name="FDD_60_12" vbProcedure="false">"A35064"</definedName>
    <definedName function="false" hidden="false" name="FDD_60_13" vbProcedure="false">"A35430"</definedName>
    <definedName function="false" hidden="false" name="FDD_60_14" vbProcedure="false">"A35795"</definedName>
    <definedName function="false" hidden="false" name="FDD_60_2" vbProcedure="false">"A31412"</definedName>
    <definedName function="false" hidden="false" name="FDD_60_3" vbProcedure="false">"A31777"</definedName>
    <definedName function="false" hidden="false" name="FDD_60_4" vbProcedure="false">"A32142"</definedName>
    <definedName function="false" hidden="false" name="FDD_60_5" vbProcedure="false">"A32508"</definedName>
    <definedName function="false" hidden="false" name="FDD_60_6" vbProcedure="false">"A32873"</definedName>
    <definedName function="false" hidden="false" name="FDD_60_7" vbProcedure="false">"A33238"</definedName>
    <definedName function="false" hidden="false" name="FDD_60_8" vbProcedure="false">"A33603"</definedName>
    <definedName function="false" hidden="false" name="FDD_60_9" vbProcedure="false">"A33969"</definedName>
    <definedName function="false" hidden="false" name="FDD_61_0" vbProcedure="false">"A30681"</definedName>
    <definedName function="false" hidden="false" name="FDD_61_1" vbProcedure="false">"A31047"</definedName>
    <definedName function="false" hidden="false" name="FDD_61_10" vbProcedure="false">"A34334"</definedName>
    <definedName function="false" hidden="false" name="FDD_61_11" vbProcedure="false">"A34699"</definedName>
    <definedName function="false" hidden="false" name="FDD_61_12" vbProcedure="false">"A35064"</definedName>
    <definedName function="false" hidden="false" name="FDD_61_13" vbProcedure="false">"A35430"</definedName>
    <definedName function="false" hidden="false" name="FDD_61_14" vbProcedure="false">"A35795"</definedName>
    <definedName function="false" hidden="false" name="FDD_61_2" vbProcedure="false">"A31412"</definedName>
    <definedName function="false" hidden="false" name="FDD_61_3" vbProcedure="false">"A31777"</definedName>
    <definedName function="false" hidden="false" name="FDD_61_4" vbProcedure="false">"A32142"</definedName>
    <definedName function="false" hidden="false" name="FDD_61_5" vbProcedure="false">"A32508"</definedName>
    <definedName function="false" hidden="false" name="FDD_61_6" vbProcedure="false">"A32873"</definedName>
    <definedName function="false" hidden="false" name="FDD_61_7" vbProcedure="false">"A33238"</definedName>
    <definedName function="false" hidden="false" name="FDD_61_8" vbProcedure="false">"A33603"</definedName>
    <definedName function="false" hidden="false" name="FDD_61_9" vbProcedure="false">"A33969"</definedName>
    <definedName function="false" hidden="false" name="FDD_62_0" vbProcedure="false">"A30681"</definedName>
    <definedName function="false" hidden="false" name="FDD_62_1" vbProcedure="false">"A31047"</definedName>
    <definedName function="false" hidden="false" name="FDD_62_10" vbProcedure="false">"A34334"</definedName>
    <definedName function="false" hidden="false" name="FDD_62_11" vbProcedure="false">"A34699"</definedName>
    <definedName function="false" hidden="false" name="FDD_62_12" vbProcedure="false">"A35064"</definedName>
    <definedName function="false" hidden="false" name="FDD_62_13" vbProcedure="false">"A35430"</definedName>
    <definedName function="false" hidden="false" name="FDD_62_14" vbProcedure="false">"A35795"</definedName>
    <definedName function="false" hidden="false" name="FDD_62_2" vbProcedure="false">"A31412"</definedName>
    <definedName function="false" hidden="false" name="FDD_62_3" vbProcedure="false">"A31777"</definedName>
    <definedName function="false" hidden="false" name="FDD_62_4" vbProcedure="false">"A32142"</definedName>
    <definedName function="false" hidden="false" name="FDD_62_5" vbProcedure="false">"A32508"</definedName>
    <definedName function="false" hidden="false" name="FDD_62_6" vbProcedure="false">"A32873"</definedName>
    <definedName function="false" hidden="false" name="FDD_62_7" vbProcedure="false">"A33238"</definedName>
    <definedName function="false" hidden="false" name="FDD_62_8" vbProcedure="false">"A33603"</definedName>
    <definedName function="false" hidden="false" name="FDD_62_9" vbProcedure="false">"A33969"</definedName>
    <definedName function="false" hidden="false" name="FDD_63_0" vbProcedure="false">"A30681"</definedName>
    <definedName function="false" hidden="false" name="FDD_63_1" vbProcedure="false">"A31047"</definedName>
    <definedName function="false" hidden="false" name="FDD_63_10" vbProcedure="false">"A34334"</definedName>
    <definedName function="false" hidden="false" name="FDD_63_11" vbProcedure="false">"A34699"</definedName>
    <definedName function="false" hidden="false" name="FDD_63_12" vbProcedure="false">"A35064"</definedName>
    <definedName function="false" hidden="false" name="FDD_63_13" vbProcedure="false">"A35430"</definedName>
    <definedName function="false" hidden="false" name="FDD_63_14" vbProcedure="false">"A35795"</definedName>
    <definedName function="false" hidden="false" name="FDD_63_2" vbProcedure="false">"A31412"</definedName>
    <definedName function="false" hidden="false" name="FDD_63_3" vbProcedure="false">"A31777"</definedName>
    <definedName function="false" hidden="false" name="FDD_63_4" vbProcedure="false">"A32142"</definedName>
    <definedName function="false" hidden="false" name="FDD_63_5" vbProcedure="false">"A32508"</definedName>
    <definedName function="false" hidden="false" name="FDD_63_6" vbProcedure="false">"A32873"</definedName>
    <definedName function="false" hidden="false" name="FDD_63_7" vbProcedure="false">"A33238"</definedName>
    <definedName function="false" hidden="false" name="FDD_63_8" vbProcedure="false">"A33603"</definedName>
    <definedName function="false" hidden="false" name="FDD_63_9" vbProcedure="false">"A33969"</definedName>
    <definedName function="false" hidden="false" name="FDD_64_0" vbProcedure="false">"A30681"</definedName>
    <definedName function="false" hidden="false" name="FDD_64_1" vbProcedure="false">"A31047"</definedName>
    <definedName function="false" hidden="false" name="FDD_64_10" vbProcedure="false">"A34334"</definedName>
    <definedName function="false" hidden="false" name="FDD_64_11" vbProcedure="false">"A34699"</definedName>
    <definedName function="false" hidden="false" name="FDD_64_12" vbProcedure="false">"A35064"</definedName>
    <definedName function="false" hidden="false" name="FDD_64_13" vbProcedure="false">"A35430"</definedName>
    <definedName function="false" hidden="false" name="FDD_64_14" vbProcedure="false">"A35795"</definedName>
    <definedName function="false" hidden="false" name="FDD_64_2" vbProcedure="false">"A31412"</definedName>
    <definedName function="false" hidden="false" name="FDD_64_3" vbProcedure="false">"A31777"</definedName>
    <definedName function="false" hidden="false" name="FDD_64_4" vbProcedure="false">"A32142"</definedName>
    <definedName function="false" hidden="false" name="FDD_64_5" vbProcedure="false">"A32508"</definedName>
    <definedName function="false" hidden="false" name="FDD_64_6" vbProcedure="false">"A32873"</definedName>
    <definedName function="false" hidden="false" name="FDD_64_7" vbProcedure="false">"A33238"</definedName>
    <definedName function="false" hidden="false" name="FDD_64_8" vbProcedure="false">"A33603"</definedName>
    <definedName function="false" hidden="false" name="FDD_64_9" vbProcedure="false">"A33969"</definedName>
    <definedName function="false" hidden="false" name="FDD_65_0" vbProcedure="false">"A30681"</definedName>
    <definedName function="false" hidden="false" name="FDD_65_1" vbProcedure="false">"A31047"</definedName>
    <definedName function="false" hidden="false" name="FDD_65_10" vbProcedure="false">"A34334"</definedName>
    <definedName function="false" hidden="false" name="FDD_65_11" vbProcedure="false">"A34699"</definedName>
    <definedName function="false" hidden="false" name="FDD_65_12" vbProcedure="false">"A35064"</definedName>
    <definedName function="false" hidden="false" name="FDD_65_13" vbProcedure="false">"A35430"</definedName>
    <definedName function="false" hidden="false" name="FDD_65_14" vbProcedure="false">"A35795"</definedName>
    <definedName function="false" hidden="false" name="FDD_65_2" vbProcedure="false">"A31412"</definedName>
    <definedName function="false" hidden="false" name="FDD_65_3" vbProcedure="false">"A31777"</definedName>
    <definedName function="false" hidden="false" name="FDD_65_4" vbProcedure="false">"A32142"</definedName>
    <definedName function="false" hidden="false" name="FDD_65_5" vbProcedure="false">"A32508"</definedName>
    <definedName function="false" hidden="false" name="FDD_65_6" vbProcedure="false">"A32873"</definedName>
    <definedName function="false" hidden="false" name="FDD_65_7" vbProcedure="false">"A33238"</definedName>
    <definedName function="false" hidden="false" name="FDD_65_8" vbProcedure="false">"A33603"</definedName>
    <definedName function="false" hidden="false" name="FDD_65_9" vbProcedure="false">"A33969"</definedName>
    <definedName function="false" hidden="false" name="FDD_66_0" vbProcedure="false">"A30681"</definedName>
    <definedName function="false" hidden="false" name="FDD_66_1" vbProcedure="false">"A31047"</definedName>
    <definedName function="false" hidden="false" name="FDD_66_10" vbProcedure="false">"A34334"</definedName>
    <definedName function="false" hidden="false" name="FDD_66_11" vbProcedure="false">"A34699"</definedName>
    <definedName function="false" hidden="false" name="FDD_66_12" vbProcedure="false">"A35064"</definedName>
    <definedName function="false" hidden="false" name="FDD_66_13" vbProcedure="false">"A35430"</definedName>
    <definedName function="false" hidden="false" name="FDD_66_14" vbProcedure="false">"A35795"</definedName>
    <definedName function="false" hidden="false" name="FDD_66_2" vbProcedure="false">"A31412"</definedName>
    <definedName function="false" hidden="false" name="FDD_66_3" vbProcedure="false">"A31777"</definedName>
    <definedName function="false" hidden="false" name="FDD_66_4" vbProcedure="false">"A32142"</definedName>
    <definedName function="false" hidden="false" name="FDD_66_5" vbProcedure="false">"A32508"</definedName>
    <definedName function="false" hidden="false" name="FDD_66_6" vbProcedure="false">"A32873"</definedName>
    <definedName function="false" hidden="false" name="FDD_66_7" vbProcedure="false">"A33238"</definedName>
    <definedName function="false" hidden="false" name="FDD_66_8" vbProcedure="false">"A33603"</definedName>
    <definedName function="false" hidden="false" name="FDD_66_9" vbProcedure="false">"A33969"</definedName>
    <definedName function="false" hidden="false" name="FDD_67_0" vbProcedure="false">"A30681"</definedName>
    <definedName function="false" hidden="false" name="FDD_67_1" vbProcedure="false">"A31047"</definedName>
    <definedName function="false" hidden="false" name="FDD_67_10" vbProcedure="false">"A34334"</definedName>
    <definedName function="false" hidden="false" name="FDD_67_11" vbProcedure="false">"A34699"</definedName>
    <definedName function="false" hidden="false" name="FDD_67_12" vbProcedure="false">"A35064"</definedName>
    <definedName function="false" hidden="false" name="FDD_67_13" vbProcedure="false">"A35430"</definedName>
    <definedName function="false" hidden="false" name="FDD_67_14" vbProcedure="false">"A35795"</definedName>
    <definedName function="false" hidden="false" name="FDD_67_2" vbProcedure="false">"A31412"</definedName>
    <definedName function="false" hidden="false" name="FDD_67_3" vbProcedure="false">"A31777"</definedName>
    <definedName function="false" hidden="false" name="FDD_67_4" vbProcedure="false">"A32142"</definedName>
    <definedName function="false" hidden="false" name="FDD_67_5" vbProcedure="false">"A32508"</definedName>
    <definedName function="false" hidden="false" name="FDD_67_6" vbProcedure="false">"A32873"</definedName>
    <definedName function="false" hidden="false" name="FDD_67_7" vbProcedure="false">"A33238"</definedName>
    <definedName function="false" hidden="false" name="FDD_67_8" vbProcedure="false">"A33603"</definedName>
    <definedName function="false" hidden="false" name="FDD_67_9" vbProcedure="false">"A33969"</definedName>
    <definedName function="false" hidden="false" name="FDD_68_0" vbProcedure="false">"A30681"</definedName>
    <definedName function="false" hidden="false" name="FDD_68_1" vbProcedure="false">"A31047"</definedName>
    <definedName function="false" hidden="false" name="FDD_68_10" vbProcedure="false">"A34334"</definedName>
    <definedName function="false" hidden="false" name="FDD_68_11" vbProcedure="false">"A34699"</definedName>
    <definedName function="false" hidden="false" name="FDD_68_12" vbProcedure="false">"A35064"</definedName>
    <definedName function="false" hidden="false" name="FDD_68_13" vbProcedure="false">"A35430"</definedName>
    <definedName function="false" hidden="false" name="FDD_68_14" vbProcedure="false">"A35795"</definedName>
    <definedName function="false" hidden="false" name="FDD_68_2" vbProcedure="false">"A31412"</definedName>
    <definedName function="false" hidden="false" name="FDD_68_3" vbProcedure="false">"A31777"</definedName>
    <definedName function="false" hidden="false" name="FDD_68_4" vbProcedure="false">"A32142"</definedName>
    <definedName function="false" hidden="false" name="FDD_68_5" vbProcedure="false">"A32508"</definedName>
    <definedName function="false" hidden="false" name="FDD_68_6" vbProcedure="false">"A32873"</definedName>
    <definedName function="false" hidden="false" name="FDD_68_7" vbProcedure="false">"A33238"</definedName>
    <definedName function="false" hidden="false" name="FDD_68_8" vbProcedure="false">"A33603"</definedName>
    <definedName function="false" hidden="false" name="FDD_68_9" vbProcedure="false">"A33969"</definedName>
    <definedName function="false" hidden="false" name="FDD_69_0" vbProcedure="false">"U30681"</definedName>
    <definedName function="false" hidden="false" name="FDD_69_1" vbProcedure="false">"A31047"</definedName>
    <definedName function="false" hidden="false" name="FDD_69_10" vbProcedure="false">"A34334"</definedName>
    <definedName function="false" hidden="false" name="FDD_69_11" vbProcedure="false">"A34699"</definedName>
    <definedName function="false" hidden="false" name="FDD_69_12" vbProcedure="false">"A35064"</definedName>
    <definedName function="false" hidden="false" name="FDD_69_13" vbProcedure="false">"A35430"</definedName>
    <definedName function="false" hidden="false" name="FDD_69_14" vbProcedure="false">"A35795"</definedName>
    <definedName function="false" hidden="false" name="FDD_69_2" vbProcedure="false">"A31412"</definedName>
    <definedName function="false" hidden="false" name="FDD_69_3" vbProcedure="false">"A31777"</definedName>
    <definedName function="false" hidden="false" name="FDD_69_4" vbProcedure="false">"A32142"</definedName>
    <definedName function="false" hidden="false" name="FDD_69_5" vbProcedure="false">"A32508"</definedName>
    <definedName function="false" hidden="false" name="FDD_69_6" vbProcedure="false">"A32873"</definedName>
    <definedName function="false" hidden="false" name="FDD_69_7" vbProcedure="false">"A33238"</definedName>
    <definedName function="false" hidden="false" name="FDD_69_8" vbProcedure="false">"A33603"</definedName>
    <definedName function="false" hidden="false" name="FDD_69_9" vbProcedure="false">"A33969"</definedName>
    <definedName function="false" hidden="false" name="FDD_6_0" vbProcedure="false">"A25569"</definedName>
    <definedName function="false" hidden="false" name="FDD_70_0" vbProcedure="false">"A30681"</definedName>
    <definedName function="false" hidden="false" name="FDD_70_1" vbProcedure="false">"A31047"</definedName>
    <definedName function="false" hidden="false" name="FDD_70_10" vbProcedure="false">"A34334"</definedName>
    <definedName function="false" hidden="false" name="FDD_70_11" vbProcedure="false">"A34699"</definedName>
    <definedName function="false" hidden="false" name="FDD_70_12" vbProcedure="false">"A35064"</definedName>
    <definedName function="false" hidden="false" name="FDD_70_13" vbProcedure="false">"A35430"</definedName>
    <definedName function="false" hidden="false" name="FDD_70_14" vbProcedure="false">"A35795"</definedName>
    <definedName function="false" hidden="false" name="FDD_70_2" vbProcedure="false">"A31412"</definedName>
    <definedName function="false" hidden="false" name="FDD_70_3" vbProcedure="false">"A31777"</definedName>
    <definedName function="false" hidden="false" name="FDD_70_4" vbProcedure="false">"A32142"</definedName>
    <definedName function="false" hidden="false" name="FDD_70_5" vbProcedure="false">"A32508"</definedName>
    <definedName function="false" hidden="false" name="FDD_70_6" vbProcedure="false">"A32873"</definedName>
    <definedName function="false" hidden="false" name="FDD_70_7" vbProcedure="false">"A33238"</definedName>
    <definedName function="false" hidden="false" name="FDD_70_8" vbProcedure="false">"A33603"</definedName>
    <definedName function="false" hidden="false" name="FDD_70_9" vbProcedure="false">"A33969"</definedName>
    <definedName function="false" hidden="false" name="FDD_71_0" vbProcedure="false">"A30681"</definedName>
    <definedName function="false" hidden="false" name="FDD_71_1" vbProcedure="false">"A31047"</definedName>
    <definedName function="false" hidden="false" name="FDD_71_10" vbProcedure="false">"A34334"</definedName>
    <definedName function="false" hidden="false" name="FDD_71_11" vbProcedure="false">"A34699"</definedName>
    <definedName function="false" hidden="false" name="FDD_71_12" vbProcedure="false">"A35064"</definedName>
    <definedName function="false" hidden="false" name="FDD_71_13" vbProcedure="false">"A35430"</definedName>
    <definedName function="false" hidden="false" name="FDD_71_14" vbProcedure="false">"A35795"</definedName>
    <definedName function="false" hidden="false" name="FDD_71_2" vbProcedure="false">"A31412"</definedName>
    <definedName function="false" hidden="false" name="FDD_71_3" vbProcedure="false">"A31777"</definedName>
    <definedName function="false" hidden="false" name="FDD_71_4" vbProcedure="false">"A32142"</definedName>
    <definedName function="false" hidden="false" name="FDD_71_5" vbProcedure="false">"A32508"</definedName>
    <definedName function="false" hidden="false" name="FDD_71_6" vbProcedure="false">"A32873"</definedName>
    <definedName function="false" hidden="false" name="FDD_71_7" vbProcedure="false">"A33238"</definedName>
    <definedName function="false" hidden="false" name="FDD_71_8" vbProcedure="false">"A33603"</definedName>
    <definedName function="false" hidden="false" name="FDD_71_9" vbProcedure="false">"A33969"</definedName>
    <definedName function="false" hidden="false" name="FDD_72_0" vbProcedure="false">"A30681"</definedName>
    <definedName function="false" hidden="false" name="FDD_72_1" vbProcedure="false">"A31047"</definedName>
    <definedName function="false" hidden="false" name="FDD_72_10" vbProcedure="false">"A34334"</definedName>
    <definedName function="false" hidden="false" name="FDD_72_11" vbProcedure="false">"A34699"</definedName>
    <definedName function="false" hidden="false" name="FDD_72_12" vbProcedure="false">"A35064"</definedName>
    <definedName function="false" hidden="false" name="FDD_72_13" vbProcedure="false">"A35430"</definedName>
    <definedName function="false" hidden="false" name="FDD_72_14" vbProcedure="false">"A35795"</definedName>
    <definedName function="false" hidden="false" name="FDD_72_2" vbProcedure="false">"A31412"</definedName>
    <definedName function="false" hidden="false" name="FDD_72_3" vbProcedure="false">"A31777"</definedName>
    <definedName function="false" hidden="false" name="FDD_72_4" vbProcedure="false">"A32142"</definedName>
    <definedName function="false" hidden="false" name="FDD_72_5" vbProcedure="false">"A32508"</definedName>
    <definedName function="false" hidden="false" name="FDD_72_6" vbProcedure="false">"A32873"</definedName>
    <definedName function="false" hidden="false" name="FDD_72_7" vbProcedure="false">"A33238"</definedName>
    <definedName function="false" hidden="false" name="FDD_72_8" vbProcedure="false">"A33603"</definedName>
    <definedName function="false" hidden="false" name="FDD_72_9" vbProcedure="false">"A33969"</definedName>
    <definedName function="false" hidden="false" name="FDD_73_0" vbProcedure="false">"A30681"</definedName>
    <definedName function="false" hidden="false" name="FDD_73_1" vbProcedure="false">"A31047"</definedName>
    <definedName function="false" hidden="false" name="FDD_73_10" vbProcedure="false">"A34334"</definedName>
    <definedName function="false" hidden="false" name="FDD_73_11" vbProcedure="false">"A34699"</definedName>
    <definedName function="false" hidden="false" name="FDD_73_12" vbProcedure="false">"A35064"</definedName>
    <definedName function="false" hidden="false" name="FDD_73_13" vbProcedure="false">"A35430"</definedName>
    <definedName function="false" hidden="false" name="FDD_73_14" vbProcedure="false">"A35795"</definedName>
    <definedName function="false" hidden="false" name="FDD_73_2" vbProcedure="false">"A31412"</definedName>
    <definedName function="false" hidden="false" name="FDD_73_3" vbProcedure="false">"A31777"</definedName>
    <definedName function="false" hidden="false" name="FDD_73_4" vbProcedure="false">"A32142"</definedName>
    <definedName function="false" hidden="false" name="FDD_73_5" vbProcedure="false">"A32508"</definedName>
    <definedName function="false" hidden="false" name="FDD_73_6" vbProcedure="false">"A32873"</definedName>
    <definedName function="false" hidden="false" name="FDD_73_7" vbProcedure="false">"A33238"</definedName>
    <definedName function="false" hidden="false" name="FDD_73_8" vbProcedure="false">"A33603"</definedName>
    <definedName function="false" hidden="false" name="FDD_73_9" vbProcedure="false">"A33969"</definedName>
    <definedName function="false" hidden="false" name="FDD_74_0" vbProcedure="false">"A30681"</definedName>
    <definedName function="false" hidden="false" name="FDD_74_1" vbProcedure="false">"A31047"</definedName>
    <definedName function="false" hidden="false" name="FDD_74_10" vbProcedure="false">"A34334"</definedName>
    <definedName function="false" hidden="false" name="FDD_74_11" vbProcedure="false">"A34699"</definedName>
    <definedName function="false" hidden="false" name="FDD_74_12" vbProcedure="false">"A35064"</definedName>
    <definedName function="false" hidden="false" name="FDD_74_13" vbProcedure="false">"A35430"</definedName>
    <definedName function="false" hidden="false" name="FDD_74_14" vbProcedure="false">"A35795"</definedName>
    <definedName function="false" hidden="false" name="FDD_74_2" vbProcedure="false">"A31412"</definedName>
    <definedName function="false" hidden="false" name="FDD_74_3" vbProcedure="false">"A31777"</definedName>
    <definedName function="false" hidden="false" name="FDD_74_4" vbProcedure="false">"A32142"</definedName>
    <definedName function="false" hidden="false" name="FDD_74_5" vbProcedure="false">"A32508"</definedName>
    <definedName function="false" hidden="false" name="FDD_74_6" vbProcedure="false">"A32873"</definedName>
    <definedName function="false" hidden="false" name="FDD_74_7" vbProcedure="false">"A33238"</definedName>
    <definedName function="false" hidden="false" name="FDD_74_8" vbProcedure="false">"A33603"</definedName>
    <definedName function="false" hidden="false" name="FDD_74_9" vbProcedure="false">"A33969"</definedName>
    <definedName function="false" hidden="false" name="FDD_75_0" vbProcedure="false">"A30681"</definedName>
    <definedName function="false" hidden="false" name="FDD_75_1" vbProcedure="false">"A31047"</definedName>
    <definedName function="false" hidden="false" name="FDD_75_10" vbProcedure="false">"A34334"</definedName>
    <definedName function="false" hidden="false" name="FDD_75_11" vbProcedure="false">"A34699"</definedName>
    <definedName function="false" hidden="false" name="FDD_75_12" vbProcedure="false">"A35064"</definedName>
    <definedName function="false" hidden="false" name="FDD_75_13" vbProcedure="false">"A35430"</definedName>
    <definedName function="false" hidden="false" name="FDD_75_14" vbProcedure="false">"A35795"</definedName>
    <definedName function="false" hidden="false" name="FDD_75_2" vbProcedure="false">"A31412"</definedName>
    <definedName function="false" hidden="false" name="FDD_75_3" vbProcedure="false">"A31777"</definedName>
    <definedName function="false" hidden="false" name="FDD_75_4" vbProcedure="false">"A32142"</definedName>
    <definedName function="false" hidden="false" name="FDD_75_5" vbProcedure="false">"A32508"</definedName>
    <definedName function="false" hidden="false" name="FDD_75_6" vbProcedure="false">"A32873"</definedName>
    <definedName function="false" hidden="false" name="FDD_75_7" vbProcedure="false">"A33238"</definedName>
    <definedName function="false" hidden="false" name="FDD_75_8" vbProcedure="false">"A33603"</definedName>
    <definedName function="false" hidden="false" name="FDD_75_9" vbProcedure="false">"A33969"</definedName>
    <definedName function="false" hidden="false" name="FDD_76_0" vbProcedure="false">"A30681"</definedName>
    <definedName function="false" hidden="false" name="FDD_76_1" vbProcedure="false">"A31047"</definedName>
    <definedName function="false" hidden="false" name="FDD_76_10" vbProcedure="false">"A34334"</definedName>
    <definedName function="false" hidden="false" name="FDD_76_11" vbProcedure="false">"A34699"</definedName>
    <definedName function="false" hidden="false" name="FDD_76_12" vbProcedure="false">"A35064"</definedName>
    <definedName function="false" hidden="false" name="FDD_76_13" vbProcedure="false">"A35430"</definedName>
    <definedName function="false" hidden="false" name="FDD_76_14" vbProcedure="false">"A35795"</definedName>
    <definedName function="false" hidden="false" name="FDD_76_2" vbProcedure="false">"A31412"</definedName>
    <definedName function="false" hidden="false" name="FDD_76_3" vbProcedure="false">"A31777"</definedName>
    <definedName function="false" hidden="false" name="FDD_76_4" vbProcedure="false">"A32142"</definedName>
    <definedName function="false" hidden="false" name="FDD_76_5" vbProcedure="false">"A32508"</definedName>
    <definedName function="false" hidden="false" name="FDD_76_6" vbProcedure="false">"A32873"</definedName>
    <definedName function="false" hidden="false" name="FDD_76_7" vbProcedure="false">"A33238"</definedName>
    <definedName function="false" hidden="false" name="FDD_76_8" vbProcedure="false">"A33603"</definedName>
    <definedName function="false" hidden="false" name="FDD_76_9" vbProcedure="false">"A33969"</definedName>
    <definedName function="false" hidden="false" name="FDD_77_0" vbProcedure="false">"A30681"</definedName>
    <definedName function="false" hidden="false" name="FDD_77_1" vbProcedure="false">"A31047"</definedName>
    <definedName function="false" hidden="false" name="FDD_77_10" vbProcedure="false">"A34334"</definedName>
    <definedName function="false" hidden="false" name="FDD_77_11" vbProcedure="false">"A34699"</definedName>
    <definedName function="false" hidden="false" name="FDD_77_12" vbProcedure="false">"A35064"</definedName>
    <definedName function="false" hidden="false" name="FDD_77_13" vbProcedure="false">"A35430"</definedName>
    <definedName function="false" hidden="false" name="FDD_77_14" vbProcedure="false">"A35795"</definedName>
    <definedName function="false" hidden="false" name="FDD_77_2" vbProcedure="false">"A31412"</definedName>
    <definedName function="false" hidden="false" name="FDD_77_3" vbProcedure="false">"A31777"</definedName>
    <definedName function="false" hidden="false" name="FDD_77_4" vbProcedure="false">"A32142"</definedName>
    <definedName function="false" hidden="false" name="FDD_77_5" vbProcedure="false">"A32508"</definedName>
    <definedName function="false" hidden="false" name="FDD_77_6" vbProcedure="false">"A32873"</definedName>
    <definedName function="false" hidden="false" name="FDD_77_7" vbProcedure="false">"A33238"</definedName>
    <definedName function="false" hidden="false" name="FDD_77_8" vbProcedure="false">"A33603"</definedName>
    <definedName function="false" hidden="false" name="FDD_77_9" vbProcedure="false">"A33969"</definedName>
    <definedName function="false" hidden="false" name="FDD_78_0" vbProcedure="false">"A30681"</definedName>
    <definedName function="false" hidden="false" name="FDD_78_1" vbProcedure="false">"A31047"</definedName>
    <definedName function="false" hidden="false" name="FDD_78_10" vbProcedure="false">"A34334"</definedName>
    <definedName function="false" hidden="false" name="FDD_78_11" vbProcedure="false">"A34699"</definedName>
    <definedName function="false" hidden="false" name="FDD_78_12" vbProcedure="false">"A35064"</definedName>
    <definedName function="false" hidden="false" name="FDD_78_13" vbProcedure="false">"A35430"</definedName>
    <definedName function="false" hidden="false" name="FDD_78_14" vbProcedure="false">"A35795"</definedName>
    <definedName function="false" hidden="false" name="FDD_78_2" vbProcedure="false">"A31412"</definedName>
    <definedName function="false" hidden="false" name="FDD_78_3" vbProcedure="false">"A31777"</definedName>
    <definedName function="false" hidden="false" name="FDD_78_4" vbProcedure="false">"A32142"</definedName>
    <definedName function="false" hidden="false" name="FDD_78_5" vbProcedure="false">"A32508"</definedName>
    <definedName function="false" hidden="false" name="FDD_78_6" vbProcedure="false">"A32873"</definedName>
    <definedName function="false" hidden="false" name="FDD_78_7" vbProcedure="false">"A33238"</definedName>
    <definedName function="false" hidden="false" name="FDD_78_8" vbProcedure="false">"A33603"</definedName>
    <definedName function="false" hidden="false" name="FDD_78_9" vbProcedure="false">"A33969"</definedName>
    <definedName function="false" hidden="false" name="FDD_79_0" vbProcedure="false">"A30681"</definedName>
    <definedName function="false" hidden="false" name="FDD_79_1" vbProcedure="false">"A31047"</definedName>
    <definedName function="false" hidden="false" name="FDD_79_10" vbProcedure="false">"A34334"</definedName>
    <definedName function="false" hidden="false" name="FDD_79_11" vbProcedure="false">"A34699"</definedName>
    <definedName function="false" hidden="false" name="FDD_79_12" vbProcedure="false">"A35064"</definedName>
    <definedName function="false" hidden="false" name="FDD_79_13" vbProcedure="false">"A35430"</definedName>
    <definedName function="false" hidden="false" name="FDD_79_14" vbProcedure="false">"A35795"</definedName>
    <definedName function="false" hidden="false" name="FDD_79_2" vbProcedure="false">"A31412"</definedName>
    <definedName function="false" hidden="false" name="FDD_79_3" vbProcedure="false">"A31777"</definedName>
    <definedName function="false" hidden="false" name="FDD_79_4" vbProcedure="false">"A32142"</definedName>
    <definedName function="false" hidden="false" name="FDD_79_5" vbProcedure="false">"A32508"</definedName>
    <definedName function="false" hidden="false" name="FDD_79_6" vbProcedure="false">"A32873"</definedName>
    <definedName function="false" hidden="false" name="FDD_79_7" vbProcedure="false">"A33238"</definedName>
    <definedName function="false" hidden="false" name="FDD_79_8" vbProcedure="false">"A33603"</definedName>
    <definedName function="false" hidden="false" name="FDD_79_9" vbProcedure="false">"A33969"</definedName>
    <definedName function="false" hidden="false" name="FDD_7_0" vbProcedure="false">"A25569"</definedName>
    <definedName function="false" hidden="false" name="FDD_80_0" vbProcedure="false">"A30681"</definedName>
    <definedName function="false" hidden="false" name="FDD_80_1" vbProcedure="false">"A31047"</definedName>
    <definedName function="false" hidden="false" name="FDD_80_10" vbProcedure="false">"A34334"</definedName>
    <definedName function="false" hidden="false" name="FDD_80_11" vbProcedure="false">"A34699"</definedName>
    <definedName function="false" hidden="false" name="FDD_80_12" vbProcedure="false">"A35064"</definedName>
    <definedName function="false" hidden="false" name="FDD_80_13" vbProcedure="false">"A35430"</definedName>
    <definedName function="false" hidden="false" name="FDD_80_14" vbProcedure="false">"A35795"</definedName>
    <definedName function="false" hidden="false" name="FDD_80_2" vbProcedure="false">"A31412"</definedName>
    <definedName function="false" hidden="false" name="FDD_80_3" vbProcedure="false">"A31777"</definedName>
    <definedName function="false" hidden="false" name="FDD_80_4" vbProcedure="false">"A32142"</definedName>
    <definedName function="false" hidden="false" name="FDD_80_5" vbProcedure="false">"A32508"</definedName>
    <definedName function="false" hidden="false" name="FDD_80_6" vbProcedure="false">"A32873"</definedName>
    <definedName function="false" hidden="false" name="FDD_80_7" vbProcedure="false">"A33238"</definedName>
    <definedName function="false" hidden="false" name="FDD_80_8" vbProcedure="false">"A33603"</definedName>
    <definedName function="false" hidden="false" name="FDD_80_9" vbProcedure="false">"A33969"</definedName>
    <definedName function="false" hidden="false" name="FDD_81_0" vbProcedure="false">"A30681"</definedName>
    <definedName function="false" hidden="false" name="FDD_81_1" vbProcedure="false">"A31047"</definedName>
    <definedName function="false" hidden="false" name="FDD_81_10" vbProcedure="false">"A34334"</definedName>
    <definedName function="false" hidden="false" name="FDD_81_11" vbProcedure="false">"A34699"</definedName>
    <definedName function="false" hidden="false" name="FDD_81_12" vbProcedure="false">"A35064"</definedName>
    <definedName function="false" hidden="false" name="FDD_81_13" vbProcedure="false">"A35430"</definedName>
    <definedName function="false" hidden="false" name="FDD_81_14" vbProcedure="false">"A35795"</definedName>
    <definedName function="false" hidden="false" name="FDD_81_2" vbProcedure="false">"A31412"</definedName>
    <definedName function="false" hidden="false" name="FDD_81_3" vbProcedure="false">"A31777"</definedName>
    <definedName function="false" hidden="false" name="FDD_81_4" vbProcedure="false">"A32142"</definedName>
    <definedName function="false" hidden="false" name="FDD_81_5" vbProcedure="false">"A32508"</definedName>
    <definedName function="false" hidden="false" name="FDD_81_6" vbProcedure="false">"A32873"</definedName>
    <definedName function="false" hidden="false" name="FDD_81_7" vbProcedure="false">"A33238"</definedName>
    <definedName function="false" hidden="false" name="FDD_81_8" vbProcedure="false">"A33603"</definedName>
    <definedName function="false" hidden="false" name="FDD_81_9" vbProcedure="false">"A33969"</definedName>
    <definedName function="false" hidden="false" name="FDD_82_0" vbProcedure="false">"A30681"</definedName>
    <definedName function="false" hidden="false" name="FDD_82_1" vbProcedure="false">"A31047"</definedName>
    <definedName function="false" hidden="false" name="FDD_82_10" vbProcedure="false">"A34334"</definedName>
    <definedName function="false" hidden="false" name="FDD_82_11" vbProcedure="false">"A34699"</definedName>
    <definedName function="false" hidden="false" name="FDD_82_12" vbProcedure="false">"A35064"</definedName>
    <definedName function="false" hidden="false" name="FDD_82_13" vbProcedure="false">"A35430"</definedName>
    <definedName function="false" hidden="false" name="FDD_82_14" vbProcedure="false">"A35795"</definedName>
    <definedName function="false" hidden="false" name="FDD_82_2" vbProcedure="false">"A31412"</definedName>
    <definedName function="false" hidden="false" name="FDD_82_3" vbProcedure="false">"A31777"</definedName>
    <definedName function="false" hidden="false" name="FDD_82_4" vbProcedure="false">"A32142"</definedName>
    <definedName function="false" hidden="false" name="FDD_82_5" vbProcedure="false">"A32508"</definedName>
    <definedName function="false" hidden="false" name="FDD_82_6" vbProcedure="false">"A32873"</definedName>
    <definedName function="false" hidden="false" name="FDD_82_7" vbProcedure="false">"A33238"</definedName>
    <definedName function="false" hidden="false" name="FDD_82_8" vbProcedure="false">"A33603"</definedName>
    <definedName function="false" hidden="false" name="FDD_82_9" vbProcedure="false">"A33969"</definedName>
    <definedName function="false" hidden="false" name="FDD_83_0" vbProcedure="false">"A30681"</definedName>
    <definedName function="false" hidden="false" name="FDD_83_1" vbProcedure="false">"A31047"</definedName>
    <definedName function="false" hidden="false" name="FDD_83_10" vbProcedure="false">"A34334"</definedName>
    <definedName function="false" hidden="false" name="FDD_83_11" vbProcedure="false">"A34699"</definedName>
    <definedName function="false" hidden="false" name="FDD_83_12" vbProcedure="false">"A35064"</definedName>
    <definedName function="false" hidden="false" name="FDD_83_13" vbProcedure="false">"A35430"</definedName>
    <definedName function="false" hidden="false" name="FDD_83_14" vbProcedure="false">"A35795"</definedName>
    <definedName function="false" hidden="false" name="FDD_83_2" vbProcedure="false">"A31412"</definedName>
    <definedName function="false" hidden="false" name="FDD_83_3" vbProcedure="false">"A31777"</definedName>
    <definedName function="false" hidden="false" name="FDD_83_4" vbProcedure="false">"A32142"</definedName>
    <definedName function="false" hidden="false" name="FDD_83_5" vbProcedure="false">"A32508"</definedName>
    <definedName function="false" hidden="false" name="FDD_83_6" vbProcedure="false">"A32873"</definedName>
    <definedName function="false" hidden="false" name="FDD_83_7" vbProcedure="false">"A33238"</definedName>
    <definedName function="false" hidden="false" name="FDD_83_8" vbProcedure="false">"A33603"</definedName>
    <definedName function="false" hidden="false" name="FDD_83_9" vbProcedure="false">"A33969"</definedName>
    <definedName function="false" hidden="false" name="FDD_84_0" vbProcedure="false">"A30681"</definedName>
    <definedName function="false" hidden="false" name="FDD_84_1" vbProcedure="false">"A31047"</definedName>
    <definedName function="false" hidden="false" name="FDD_84_10" vbProcedure="false">"A34334"</definedName>
    <definedName function="false" hidden="false" name="FDD_84_11" vbProcedure="false">"A34699"</definedName>
    <definedName function="false" hidden="false" name="FDD_84_12" vbProcedure="false">"A35064"</definedName>
    <definedName function="false" hidden="false" name="FDD_84_13" vbProcedure="false">"A35430"</definedName>
    <definedName function="false" hidden="false" name="FDD_84_14" vbProcedure="false">"A35795"</definedName>
    <definedName function="false" hidden="false" name="FDD_84_2" vbProcedure="false">"A31412"</definedName>
    <definedName function="false" hidden="false" name="FDD_84_3" vbProcedure="false">"A31777"</definedName>
    <definedName function="false" hidden="false" name="FDD_84_4" vbProcedure="false">"A32142"</definedName>
    <definedName function="false" hidden="false" name="FDD_84_5" vbProcedure="false">"A32508"</definedName>
    <definedName function="false" hidden="false" name="FDD_84_6" vbProcedure="false">"A32873"</definedName>
    <definedName function="false" hidden="false" name="FDD_84_7" vbProcedure="false">"A33238"</definedName>
    <definedName function="false" hidden="false" name="FDD_84_8" vbProcedure="false">"A33603"</definedName>
    <definedName function="false" hidden="false" name="FDD_84_9" vbProcedure="false">"A33969"</definedName>
    <definedName function="false" hidden="false" name="FDD_85_0" vbProcedure="false">"A30681"</definedName>
    <definedName function="false" hidden="false" name="FDD_85_1" vbProcedure="false">"A31047"</definedName>
    <definedName function="false" hidden="false" name="FDD_85_10" vbProcedure="false">"A34334"</definedName>
    <definedName function="false" hidden="false" name="FDD_85_11" vbProcedure="false">"A34699"</definedName>
    <definedName function="false" hidden="false" name="FDD_85_12" vbProcedure="false">"A35064"</definedName>
    <definedName function="false" hidden="false" name="FDD_85_13" vbProcedure="false">"A35430"</definedName>
    <definedName function="false" hidden="false" name="FDD_85_14" vbProcedure="false">"A35795"</definedName>
    <definedName function="false" hidden="false" name="FDD_85_2" vbProcedure="false">"A31412"</definedName>
    <definedName function="false" hidden="false" name="FDD_85_3" vbProcedure="false">"A31777"</definedName>
    <definedName function="false" hidden="false" name="FDD_85_4" vbProcedure="false">"A32142"</definedName>
    <definedName function="false" hidden="false" name="FDD_85_5" vbProcedure="false">"A32508"</definedName>
    <definedName function="false" hidden="false" name="FDD_85_6" vbProcedure="false">"A32873"</definedName>
    <definedName function="false" hidden="false" name="FDD_85_7" vbProcedure="false">"A33238"</definedName>
    <definedName function="false" hidden="false" name="FDD_85_8" vbProcedure="false">"A33603"</definedName>
    <definedName function="false" hidden="false" name="FDD_85_9" vbProcedure="false">"A33969"</definedName>
    <definedName function="false" hidden="false" name="FDD_86_0" vbProcedure="false">"A30681"</definedName>
    <definedName function="false" hidden="false" name="FDD_86_1" vbProcedure="false">"A31047"</definedName>
    <definedName function="false" hidden="false" name="FDD_86_10" vbProcedure="false">"A34334"</definedName>
    <definedName function="false" hidden="false" name="FDD_86_11" vbProcedure="false">"A34699"</definedName>
    <definedName function="false" hidden="false" name="FDD_86_12" vbProcedure="false">"A35064"</definedName>
    <definedName function="false" hidden="false" name="FDD_86_13" vbProcedure="false">"A35430"</definedName>
    <definedName function="false" hidden="false" name="FDD_86_14" vbProcedure="false">"A35795"</definedName>
    <definedName function="false" hidden="false" name="FDD_86_2" vbProcedure="false">"A31412"</definedName>
    <definedName function="false" hidden="false" name="FDD_86_3" vbProcedure="false">"A31777"</definedName>
    <definedName function="false" hidden="false" name="FDD_86_4" vbProcedure="false">"A32142"</definedName>
    <definedName function="false" hidden="false" name="FDD_86_5" vbProcedure="false">"A32508"</definedName>
    <definedName function="false" hidden="false" name="FDD_86_6" vbProcedure="false">"A32873"</definedName>
    <definedName function="false" hidden="false" name="FDD_86_7" vbProcedure="false">"A33238"</definedName>
    <definedName function="false" hidden="false" name="FDD_86_8" vbProcedure="false">"A33603"</definedName>
    <definedName function="false" hidden="false" name="FDD_86_9" vbProcedure="false">"A33969"</definedName>
    <definedName function="false" hidden="false" name="FDD_87_0" vbProcedure="false">"A30681"</definedName>
    <definedName function="false" hidden="false" name="FDD_87_1" vbProcedure="false">"A31047"</definedName>
    <definedName function="false" hidden="false" name="FDD_87_10" vbProcedure="false">"A34334"</definedName>
    <definedName function="false" hidden="false" name="FDD_87_11" vbProcedure="false">"A34699"</definedName>
    <definedName function="false" hidden="false" name="FDD_87_12" vbProcedure="false">"A35064"</definedName>
    <definedName function="false" hidden="false" name="FDD_87_13" vbProcedure="false">"A35430"</definedName>
    <definedName function="false" hidden="false" name="FDD_87_14" vbProcedure="false">"A35795"</definedName>
    <definedName function="false" hidden="false" name="FDD_87_2" vbProcedure="false">"A31412"</definedName>
    <definedName function="false" hidden="false" name="FDD_87_3" vbProcedure="false">"A31777"</definedName>
    <definedName function="false" hidden="false" name="FDD_87_4" vbProcedure="false">"A32142"</definedName>
    <definedName function="false" hidden="false" name="FDD_87_5" vbProcedure="false">"A32508"</definedName>
    <definedName function="false" hidden="false" name="FDD_87_6" vbProcedure="false">"A32873"</definedName>
    <definedName function="false" hidden="false" name="FDD_87_7" vbProcedure="false">"A33238"</definedName>
    <definedName function="false" hidden="false" name="FDD_87_8" vbProcedure="false">"A33603"</definedName>
    <definedName function="false" hidden="false" name="FDD_87_9" vbProcedure="false">"A33969"</definedName>
    <definedName function="false" hidden="false" name="FDD_88_0" vbProcedure="false">"A30681"</definedName>
    <definedName function="false" hidden="false" name="FDD_88_1" vbProcedure="false">"A31047"</definedName>
    <definedName function="false" hidden="false" name="FDD_88_10" vbProcedure="false">"A34334"</definedName>
    <definedName function="false" hidden="false" name="FDD_88_11" vbProcedure="false">"A34699"</definedName>
    <definedName function="false" hidden="false" name="FDD_88_12" vbProcedure="false">"A35064"</definedName>
    <definedName function="false" hidden="false" name="FDD_88_13" vbProcedure="false">"A35430"</definedName>
    <definedName function="false" hidden="false" name="FDD_88_14" vbProcedure="false">"A35795"</definedName>
    <definedName function="false" hidden="false" name="FDD_88_2" vbProcedure="false">"A31412"</definedName>
    <definedName function="false" hidden="false" name="FDD_88_3" vbProcedure="false">"A31777"</definedName>
    <definedName function="false" hidden="false" name="FDD_88_4" vbProcedure="false">"A32142"</definedName>
    <definedName function="false" hidden="false" name="FDD_88_5" vbProcedure="false">"A32508"</definedName>
    <definedName function="false" hidden="false" name="FDD_88_6" vbProcedure="false">"A32873"</definedName>
    <definedName function="false" hidden="false" name="FDD_88_7" vbProcedure="false">"A33238"</definedName>
    <definedName function="false" hidden="false" name="FDD_88_8" vbProcedure="false">"A33603"</definedName>
    <definedName function="false" hidden="false" name="FDD_88_9" vbProcedure="false">"A33969"</definedName>
    <definedName function="false" hidden="false" name="FDD_89_0" vbProcedure="false">"A30681"</definedName>
    <definedName function="false" hidden="false" name="FDD_89_1" vbProcedure="false">"A31047"</definedName>
    <definedName function="false" hidden="false" name="FDD_89_10" vbProcedure="false">"A34334"</definedName>
    <definedName function="false" hidden="false" name="FDD_89_11" vbProcedure="false">"A34699"</definedName>
    <definedName function="false" hidden="false" name="FDD_89_12" vbProcedure="false">"A35064"</definedName>
    <definedName function="false" hidden="false" name="FDD_89_13" vbProcedure="false">"A35430"</definedName>
    <definedName function="false" hidden="false" name="FDD_89_14" vbProcedure="false">"A35795"</definedName>
    <definedName function="false" hidden="false" name="FDD_89_2" vbProcedure="false">"A31412"</definedName>
    <definedName function="false" hidden="false" name="FDD_89_3" vbProcedure="false">"A31777"</definedName>
    <definedName function="false" hidden="false" name="FDD_89_4" vbProcedure="false">"A32142"</definedName>
    <definedName function="false" hidden="false" name="FDD_89_5" vbProcedure="false">"A32508"</definedName>
    <definedName function="false" hidden="false" name="FDD_89_6" vbProcedure="false">"A32873"</definedName>
    <definedName function="false" hidden="false" name="FDD_89_7" vbProcedure="false">"A33238"</definedName>
    <definedName function="false" hidden="false" name="FDD_89_8" vbProcedure="false">"A33603"</definedName>
    <definedName function="false" hidden="false" name="FDD_89_9" vbProcedure="false">"A33969"</definedName>
    <definedName function="false" hidden="false" name="FDD_8_0" vbProcedure="false">"A25569"</definedName>
    <definedName function="false" hidden="false" name="FDD_90_0" vbProcedure="false">"A30681"</definedName>
    <definedName function="false" hidden="false" name="FDD_90_1" vbProcedure="false">"A31047"</definedName>
    <definedName function="false" hidden="false" name="FDD_90_10" vbProcedure="false">"A34334"</definedName>
    <definedName function="false" hidden="false" name="FDD_90_11" vbProcedure="false">"A34699"</definedName>
    <definedName function="false" hidden="false" name="FDD_90_12" vbProcedure="false">"A35064"</definedName>
    <definedName function="false" hidden="false" name="FDD_90_13" vbProcedure="false">"A35430"</definedName>
    <definedName function="false" hidden="false" name="FDD_90_14" vbProcedure="false">"A35795"</definedName>
    <definedName function="false" hidden="false" name="FDD_90_2" vbProcedure="false">"A31412"</definedName>
    <definedName function="false" hidden="false" name="FDD_90_3" vbProcedure="false">"A31777"</definedName>
    <definedName function="false" hidden="false" name="FDD_90_4" vbProcedure="false">"A32142"</definedName>
    <definedName function="false" hidden="false" name="FDD_90_5" vbProcedure="false">"A32508"</definedName>
    <definedName function="false" hidden="false" name="FDD_90_6" vbProcedure="false">"A32873"</definedName>
    <definedName function="false" hidden="false" name="FDD_90_7" vbProcedure="false">"A33238"</definedName>
    <definedName function="false" hidden="false" name="FDD_90_8" vbProcedure="false">"A33603"</definedName>
    <definedName function="false" hidden="false" name="FDD_90_9" vbProcedure="false">"A33969"</definedName>
    <definedName function="false" hidden="false" name="FDD_91_0" vbProcedure="false">"A30681"</definedName>
    <definedName function="false" hidden="false" name="FDD_91_1" vbProcedure="false">"A31047"</definedName>
    <definedName function="false" hidden="false" name="FDD_91_10" vbProcedure="false">"A34334"</definedName>
    <definedName function="false" hidden="false" name="FDD_91_11" vbProcedure="false">"A34699"</definedName>
    <definedName function="false" hidden="false" name="FDD_91_12" vbProcedure="false">"A35064"</definedName>
    <definedName function="false" hidden="false" name="FDD_91_13" vbProcedure="false">"A35430"</definedName>
    <definedName function="false" hidden="false" name="FDD_91_14" vbProcedure="false">"A35795"</definedName>
    <definedName function="false" hidden="false" name="FDD_91_2" vbProcedure="false">"A31412"</definedName>
    <definedName function="false" hidden="false" name="FDD_91_3" vbProcedure="false">"A31777"</definedName>
    <definedName function="false" hidden="false" name="FDD_91_4" vbProcedure="false">"A32142"</definedName>
    <definedName function="false" hidden="false" name="FDD_91_5" vbProcedure="false">"A32508"</definedName>
    <definedName function="false" hidden="false" name="FDD_91_6" vbProcedure="false">"A32873"</definedName>
    <definedName function="false" hidden="false" name="FDD_91_7" vbProcedure="false">"A33238"</definedName>
    <definedName function="false" hidden="false" name="FDD_91_8" vbProcedure="false">"A33603"</definedName>
    <definedName function="false" hidden="false" name="FDD_91_9" vbProcedure="false">"A33969"</definedName>
    <definedName function="false" hidden="false" name="FDD_92_0" vbProcedure="false">"A30681"</definedName>
    <definedName function="false" hidden="false" name="FDD_92_1" vbProcedure="false">"A31047"</definedName>
    <definedName function="false" hidden="false" name="FDD_92_10" vbProcedure="false">"A34334"</definedName>
    <definedName function="false" hidden="false" name="FDD_92_11" vbProcedure="false">"A34699"</definedName>
    <definedName function="false" hidden="false" name="FDD_92_12" vbProcedure="false">"A35064"</definedName>
    <definedName function="false" hidden="false" name="FDD_92_13" vbProcedure="false">"A35430"</definedName>
    <definedName function="false" hidden="false" name="FDD_92_14" vbProcedure="false">"A35795"</definedName>
    <definedName function="false" hidden="false" name="FDD_92_2" vbProcedure="false">"A31412"</definedName>
    <definedName function="false" hidden="false" name="FDD_92_3" vbProcedure="false">"A31777"</definedName>
    <definedName function="false" hidden="false" name="FDD_92_4" vbProcedure="false">"A32142"</definedName>
    <definedName function="false" hidden="false" name="FDD_92_5" vbProcedure="false">"A32508"</definedName>
    <definedName function="false" hidden="false" name="FDD_92_6" vbProcedure="false">"A32873"</definedName>
    <definedName function="false" hidden="false" name="FDD_92_7" vbProcedure="false">"A33238"</definedName>
    <definedName function="false" hidden="false" name="FDD_92_8" vbProcedure="false">"A33603"</definedName>
    <definedName function="false" hidden="false" name="FDD_92_9" vbProcedure="false">"A33969"</definedName>
    <definedName function="false" hidden="false" name="FDD_93_0" vbProcedure="false">"A30681"</definedName>
    <definedName function="false" hidden="false" name="FDD_93_1" vbProcedure="false">"A31047"</definedName>
    <definedName function="false" hidden="false" name="FDD_93_10" vbProcedure="false">"A34334"</definedName>
    <definedName function="false" hidden="false" name="FDD_93_11" vbProcedure="false">"A34699"</definedName>
    <definedName function="false" hidden="false" name="FDD_93_12" vbProcedure="false">"A35064"</definedName>
    <definedName function="false" hidden="false" name="FDD_93_13" vbProcedure="false">"A35430"</definedName>
    <definedName function="false" hidden="false" name="FDD_93_14" vbProcedure="false">"A35795"</definedName>
    <definedName function="false" hidden="false" name="FDD_93_2" vbProcedure="false">"A31412"</definedName>
    <definedName function="false" hidden="false" name="FDD_93_3" vbProcedure="false">"A31777"</definedName>
    <definedName function="false" hidden="false" name="FDD_93_4" vbProcedure="false">"A32142"</definedName>
    <definedName function="false" hidden="false" name="FDD_93_5" vbProcedure="false">"A32508"</definedName>
    <definedName function="false" hidden="false" name="FDD_93_6" vbProcedure="false">"A32873"</definedName>
    <definedName function="false" hidden="false" name="FDD_93_7" vbProcedure="false">"A33238"</definedName>
    <definedName function="false" hidden="false" name="FDD_93_8" vbProcedure="false">"A33603"</definedName>
    <definedName function="false" hidden="false" name="FDD_93_9" vbProcedure="false">"A33969"</definedName>
    <definedName function="false" hidden="false" name="FDD_94_0" vbProcedure="false">"A30681"</definedName>
    <definedName function="false" hidden="false" name="FDD_94_1" vbProcedure="false">"A31047"</definedName>
    <definedName function="false" hidden="false" name="FDD_94_10" vbProcedure="false">"A34334"</definedName>
    <definedName function="false" hidden="false" name="FDD_94_11" vbProcedure="false">"A34699"</definedName>
    <definedName function="false" hidden="false" name="FDD_94_12" vbProcedure="false">"A35064"</definedName>
    <definedName function="false" hidden="false" name="FDD_94_13" vbProcedure="false">"A35430"</definedName>
    <definedName function="false" hidden="false" name="FDD_94_14" vbProcedure="false">"A35795"</definedName>
    <definedName function="false" hidden="false" name="FDD_94_2" vbProcedure="false">"A31412"</definedName>
    <definedName function="false" hidden="false" name="FDD_94_3" vbProcedure="false">"A31777"</definedName>
    <definedName function="false" hidden="false" name="FDD_94_4" vbProcedure="false">"A32142"</definedName>
    <definedName function="false" hidden="false" name="FDD_94_5" vbProcedure="false">"A32508"</definedName>
    <definedName function="false" hidden="false" name="FDD_94_6" vbProcedure="false">"A32873"</definedName>
    <definedName function="false" hidden="false" name="FDD_94_7" vbProcedure="false">"A33238"</definedName>
    <definedName function="false" hidden="false" name="FDD_94_8" vbProcedure="false">"A33603"</definedName>
    <definedName function="false" hidden="false" name="FDD_94_9" vbProcedure="false">"A33969"</definedName>
    <definedName function="false" hidden="false" name="FDD_95_0" vbProcedure="false">"A30681"</definedName>
    <definedName function="false" hidden="false" name="FDD_95_1" vbProcedure="false">"A31047"</definedName>
    <definedName function="false" hidden="false" name="FDD_95_10" vbProcedure="false">"A34334"</definedName>
    <definedName function="false" hidden="false" name="FDD_95_11" vbProcedure="false">"A34699"</definedName>
    <definedName function="false" hidden="false" name="FDD_95_12" vbProcedure="false">"A35064"</definedName>
    <definedName function="false" hidden="false" name="FDD_95_13" vbProcedure="false">"A35430"</definedName>
    <definedName function="false" hidden="false" name="FDD_95_14" vbProcedure="false">"A35795"</definedName>
    <definedName function="false" hidden="false" name="FDD_95_2" vbProcedure="false">"A31412"</definedName>
    <definedName function="false" hidden="false" name="FDD_95_3" vbProcedure="false">"A31777"</definedName>
    <definedName function="false" hidden="false" name="FDD_95_4" vbProcedure="false">"A32142"</definedName>
    <definedName function="false" hidden="false" name="FDD_95_5" vbProcedure="false">"A32508"</definedName>
    <definedName function="false" hidden="false" name="FDD_95_6" vbProcedure="false">"A32873"</definedName>
    <definedName function="false" hidden="false" name="FDD_95_7" vbProcedure="false">"A33238"</definedName>
    <definedName function="false" hidden="false" name="FDD_95_8" vbProcedure="false">"A33603"</definedName>
    <definedName function="false" hidden="false" name="FDD_95_9" vbProcedure="false">"A33969"</definedName>
    <definedName function="false" hidden="false" name="FDD_96_0" vbProcedure="false">"U30681"</definedName>
    <definedName function="false" hidden="false" name="FDD_96_1" vbProcedure="false">"A31047"</definedName>
    <definedName function="false" hidden="false" name="FDD_96_10" vbProcedure="false">"A34334"</definedName>
    <definedName function="false" hidden="false" name="FDD_96_11" vbProcedure="false">"A34699"</definedName>
    <definedName function="false" hidden="false" name="FDD_96_12" vbProcedure="false">"A35064"</definedName>
    <definedName function="false" hidden="false" name="FDD_96_13" vbProcedure="false">"A35430"</definedName>
    <definedName function="false" hidden="false" name="FDD_96_14" vbProcedure="false">"A35795"</definedName>
    <definedName function="false" hidden="false" name="FDD_96_2" vbProcedure="false">"A31412"</definedName>
    <definedName function="false" hidden="false" name="FDD_96_3" vbProcedure="false">"A31777"</definedName>
    <definedName function="false" hidden="false" name="FDD_96_4" vbProcedure="false">"A32142"</definedName>
    <definedName function="false" hidden="false" name="FDD_96_5" vbProcedure="false">"A32508"</definedName>
    <definedName function="false" hidden="false" name="FDD_96_6" vbProcedure="false">"A32873"</definedName>
    <definedName function="false" hidden="false" name="FDD_96_7" vbProcedure="false">"A33238"</definedName>
    <definedName function="false" hidden="false" name="FDD_96_8" vbProcedure="false">"A33603"</definedName>
    <definedName function="false" hidden="false" name="FDD_96_9" vbProcedure="false">"A33969"</definedName>
    <definedName function="false" hidden="false" name="FDD_97_0" vbProcedure="false">"U30681"</definedName>
    <definedName function="false" hidden="false" name="FDD_97_1" vbProcedure="false">"A31047"</definedName>
    <definedName function="false" hidden="false" name="FDD_97_10" vbProcedure="false">"A34334"</definedName>
    <definedName function="false" hidden="false" name="FDD_97_11" vbProcedure="false">"A34699"</definedName>
    <definedName function="false" hidden="false" name="FDD_97_12" vbProcedure="false">"A35064"</definedName>
    <definedName function="false" hidden="false" name="FDD_97_13" vbProcedure="false">"A35430"</definedName>
    <definedName function="false" hidden="false" name="FDD_97_14" vbProcedure="false">"A35795"</definedName>
    <definedName function="false" hidden="false" name="FDD_97_2" vbProcedure="false">"A31412"</definedName>
    <definedName function="false" hidden="false" name="FDD_97_3" vbProcedure="false">"A31777"</definedName>
    <definedName function="false" hidden="false" name="FDD_97_4" vbProcedure="false">"A32142"</definedName>
    <definedName function="false" hidden="false" name="FDD_97_5" vbProcedure="false">"A32508"</definedName>
    <definedName function="false" hidden="false" name="FDD_97_6" vbProcedure="false">"A32873"</definedName>
    <definedName function="false" hidden="false" name="FDD_97_7" vbProcedure="false">"A33238"</definedName>
    <definedName function="false" hidden="false" name="FDD_97_8" vbProcedure="false">"A33603"</definedName>
    <definedName function="false" hidden="false" name="FDD_97_9" vbProcedure="false">"A33969"</definedName>
    <definedName function="false" hidden="false" name="FDD_98_0" vbProcedure="false">"U30681"</definedName>
    <definedName function="false" hidden="false" name="FDD_98_1" vbProcedure="false">"A31047"</definedName>
    <definedName function="false" hidden="false" name="FDD_98_10" vbProcedure="false">"A34334"</definedName>
    <definedName function="false" hidden="false" name="FDD_98_11" vbProcedure="false">"A34699"</definedName>
    <definedName function="false" hidden="false" name="FDD_98_12" vbProcedure="false">"A35064"</definedName>
    <definedName function="false" hidden="false" name="FDD_98_13" vbProcedure="false">"A35430"</definedName>
    <definedName function="false" hidden="false" name="FDD_98_14" vbProcedure="false">"A35795"</definedName>
    <definedName function="false" hidden="false" name="FDD_98_2" vbProcedure="false">"A31412"</definedName>
    <definedName function="false" hidden="false" name="FDD_98_3" vbProcedure="false">"A31777"</definedName>
    <definedName function="false" hidden="false" name="FDD_98_4" vbProcedure="false">"A32142"</definedName>
    <definedName function="false" hidden="false" name="FDD_98_5" vbProcedure="false">"A32508"</definedName>
    <definedName function="false" hidden="false" name="FDD_98_6" vbProcedure="false">"A32873"</definedName>
    <definedName function="false" hidden="false" name="FDD_98_7" vbProcedure="false">"A33238"</definedName>
    <definedName function="false" hidden="false" name="FDD_98_8" vbProcedure="false">"A33603"</definedName>
    <definedName function="false" hidden="false" name="FDD_98_9" vbProcedure="false">"A33969"</definedName>
    <definedName function="false" hidden="false" name="FDD_99_0" vbProcedure="false">"U30681"</definedName>
    <definedName function="false" hidden="false" name="FDD_99_1" vbProcedure="false">"A31047"</definedName>
    <definedName function="false" hidden="false" name="FDD_99_10" vbProcedure="false">"A34334"</definedName>
    <definedName function="false" hidden="false" name="FDD_99_11" vbProcedure="false">"A34699"</definedName>
    <definedName function="false" hidden="false" name="FDD_99_12" vbProcedure="false">"A35064"</definedName>
    <definedName function="false" hidden="false" name="FDD_99_13" vbProcedure="false">"A35430"</definedName>
    <definedName function="false" hidden="false" name="FDD_99_14" vbProcedure="false">"A35795"</definedName>
    <definedName function="false" hidden="false" name="FDD_99_2" vbProcedure="false">"A31412"</definedName>
    <definedName function="false" hidden="false" name="FDD_99_3" vbProcedure="false">"A31777"</definedName>
    <definedName function="false" hidden="false" name="FDD_99_4" vbProcedure="false">"A32142"</definedName>
    <definedName function="false" hidden="false" name="FDD_99_5" vbProcedure="false">"A32508"</definedName>
    <definedName function="false" hidden="false" name="FDD_99_6" vbProcedure="false">"A32873"</definedName>
    <definedName function="false" hidden="false" name="FDD_99_7" vbProcedure="false">"A33238"</definedName>
    <definedName function="false" hidden="false" name="FDD_99_8" vbProcedure="false">"A33603"</definedName>
    <definedName function="false" hidden="false" name="FDD_99_9" vbProcedure="false">"A33969"</definedName>
    <definedName function="false" hidden="false" name="FDD_9_0" vbProcedure="false">"A25569"</definedName>
    <definedName function="false" hidden="false" name="fdhfdh" vbProcedure="false">{"First Page",#N/A,FALSE,"Surfactants LBO";"Second Page",#N/A,FALSE,"Surfactants LBO"}</definedName>
    <definedName function="false" hidden="false" name="fdhfghfdh" vbProcedure="false">{"First Page",#N/A,FALSE,"Surfactants LBO";"Second Page",#N/A,FALSE,"Surfactants LBO"}</definedName>
    <definedName function="false" hidden="false" name="fffs" vbProcedure="false">{"IS",#N/A,FALSE,"IS";"RPTIS",#N/A,FALSE,"RPTIS";"STATS",#N/A,FALSE,"STATS";"CELL",#N/A,FALSE,"CELL";"BS",#N/A,FALSE,"BS"}</definedName>
    <definedName function="false" hidden="false" name="fgdsgsd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FGFR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fghdgfhdf" vbProcedure="false">{#N/A,#N/A,TRUE,"Cover sheet";#N/A,#N/A,TRUE,"DCF analysis";#N/A,#N/A,TRUE,"WACC calculation"}</definedName>
    <definedName function="false" hidden="false" name="fq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qds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Frank" vbProcedure="false">{#N/A,#N/A,TRUE,"Cover sheet";#N/A,#N/A,TRUE,"DCF analysis";#N/A,#N/A,TRUE,"WACC calculation"}</definedName>
    <definedName function="false" hidden="false" name="fuffuy" vbProcedure="false">{#N/A,#N/A,FALSE,"Cover";"outputs total",#N/A,FALSE,"Outputs"}</definedName>
    <definedName function="false" hidden="false" name="FXCurrencies" vbProcedure="false">[9]Toggles!$H$3:$J$11</definedName>
    <definedName function="false" hidden="false" name="FX_TOGGLE" vbProcedure="false">[9]Toggles!$I$2</definedName>
    <definedName function="false" hidden="false" name="gaga" vbProcedure="false">{#N/A,#N/A,TRUE,"Cover sheet";#N/A,#N/A,TRUE,"INPUTS";#N/A,#N/A,TRUE,"OUTPUTS";#N/A,#N/A,TRUE,"VALUATION"}</definedName>
    <definedName function="false" hidden="false" name="gdsfg" vbProcedure="false">{#N/A,#N/A,TRUE,"Cover sheet";#N/A,#N/A,TRUE,"INPUTS";#N/A,#N/A,TRUE,"OUTPUTS";#N/A,#N/A,TRUE,"VALUATION"}</definedName>
    <definedName function="false" hidden="false" name="gf" vbProcedure="false">{"IS",#N/A,FALSE,"IS";"RPTIS",#N/A,FALSE,"RPTIS";"STATS",#N/A,FALSE,"STATS";"CELL",#N/A,FALSE,"CELL";"BS",#N/A,FALSE,"BS"}</definedName>
    <definedName function="false" hidden="false" name="ggf" vbProcedure="false">{"comps",#N/A,FALSE,"comps";"notes",#N/A,FALSE,"comps"}</definedName>
    <definedName function="false" hidden="false" name="ghghgh" vbProcedure="false">{#N/A,#N/A,TRUE,"Cover sheet";#N/A,#N/A,TRUE,"DCF analysis";#N/A,#N/A,TRUE,"WACC calculation"}</definedName>
    <definedName function="false" hidden="false" name="ghghghghg" vbProcedure="false">{#N/A,#N/A,TRUE,"Cover sheet";#N/A,#N/A,TRUE,"DCF analysis";#N/A,#N/A,TRUE,"WACC calculation"}</definedName>
    <definedName function="false" hidden="false" name="ghuogo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gogo" vbProcedure="false">{#N/A,#N/A,TRUE,"Cover sheet";#N/A,#N/A,TRUE,"INPUTS";#N/A,#N/A,TRUE,"OUTPUTS";#N/A,#N/A,TRUE,"VALUATION"}</definedName>
    <definedName function="false" hidden="false" name="goodbye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gs" vbProcedure="false">{"IS",#N/A,FALSE,"IS";"RPTIS",#N/A,FALSE,"RPTIS";"STATS",#N/A,FALSE,"STATS";"CELL",#N/A,FALSE,"CELL";"BS",#N/A,FALSE,"BS"}</definedName>
    <definedName function="false" hidden="false" name="gtr" vbProcedure="false">{"print 1",#N/A,FALSE,"PrimeCo PCS";"print 2",#N/A,FALSE,"PrimeCo PCS";"valuation",#N/A,FALSE,"PrimeCo PCS"}</definedName>
    <definedName function="false" hidden="false" name="h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hello" vbProcedure="false">{#N/A,#N/A,FALSE,"Cover";"outputs total",#N/A,FALSE,"Outputs"}</definedName>
    <definedName function="false" hidden="false" name="hfsgfx" vbProcedure="false">{#N/A,#N/A,FALSE,"Outlook for Month ";#N/A,#N/A,FALSE,"Risk for Month ";#N/A,#N/A,FALSE,"Upside for Month"}</definedName>
    <definedName function="false" hidden="false" name="hhhsdf" vbProcedure="false">{"up stand alones",#N/A,FALSE,"Acquiror"}</definedName>
    <definedName function="false" hidden="false" name="HTML1_1" vbProcedure="false">"'[FLASH.XLS]R74'!$B$1:$M$50"</definedName>
    <definedName function="false" hidden="false" name="HTML1_10" vbProcedure="false">""</definedName>
    <definedName function="false" hidden="false" name="HTML1_11" vbProcedure="false">1</definedName>
    <definedName function="false" hidden="false" name="HTML1_12" vbProcedure="false">"C:\AUCTION\FLASH\MYHTML.HTM"</definedName>
    <definedName function="false" hidden="false" name="HTML1_2" vbProcedure="false">1</definedName>
    <definedName function="false" hidden="false" name="HTML1_3" vbProcedure="false">"FLASH"</definedName>
    <definedName function="false" hidden="false" name="HTML1_4" vbProcedure="false">"Flash Round 74"</definedName>
    <definedName function="false" hidden="false" name="HTML1_5" vbProcedure="false">"Wednesday April 3, 1996"</definedName>
    <definedName function="false" hidden="false" name="HTML1_6" vbProcedure="false">1</definedName>
    <definedName function="false" hidden="false" name="HTML1_7" vbProcedure="false">1</definedName>
    <definedName function="false" hidden="false" name="HTML1_8" vbProcedure="false">"4/3/96"</definedName>
    <definedName function="false" hidden="false" name="HTML1_9" vbProcedure="false">"Ken Hamel"</definedName>
    <definedName function="false" hidden="false" name="HTMLCount" vbProcedure="false">1</definedName>
    <definedName function="false" hidden="false" name="HTML_CodePage" vbProcedure="false">1252</definedName>
    <definedName function="false" hidden="false" name="HTML_Control" vbProcedure="false">{"' calendrier 2000'!$A$1:$Q$38"}</definedName>
    <definedName function="false" hidden="false" name="HTML_Control2" vbProcedure="false">{"' calendrier 2000'!$A$1:$Q$38"}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"calendrier 2000"</definedName>
    <definedName function="false" hidden="false" name="HTML_LastUpdate" vbProcedure="false">"06/04/00"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"LEMAITRE Thierry"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"K:\Divers\MonHTML.htm"</definedName>
    <definedName function="false" hidden="false" name="HTML_Title" vbProcedure="false">"calendrier 2000"</definedName>
    <definedName function="false" hidden="false" name="ik" vbProcedure="false">{"casespecific",#N/A,FALSE,"Assumptions"}</definedName>
    <definedName function="false" hidden="false" name="io" vbProcedure="false">{#N/A,#N/A,FALSE,"Contribution Analysis"}</definedName>
    <definedName function="false" hidden="false" name="IQ_ACCOUNTS_PAY" vbProcedure="false">"c32"</definedName>
    <definedName function="false" hidden="false" name="IQ_ACCOUNT_CHANGE" vbProcedure="false">"c413"</definedName>
    <definedName function="false" hidden="false" name="IQ_ACCRUED_EXP" vbProcedure="false">"c8"</definedName>
    <definedName function="false" hidden="false" name="IQ_ACCR_INT_PAY" vbProcedure="false">"c1"</definedName>
    <definedName function="false" hidden="false" name="IQ_ACCR_INT_PAY_CF" vbProcedure="false">"c2"</definedName>
    <definedName function="false" hidden="false" name="IQ_ACCR_INT_RECEIV" vbProcedure="false">"c3"</definedName>
    <definedName function="false" hidden="false" name="IQ_ACCR_INT_RECEIV_CF" vbProcedure="false">"c4"</definedName>
    <definedName function="false" hidden="false" name="IQ_ACCUM_DEP" vbProcedure="false">"c7"</definedName>
    <definedName function="false" hidden="false" name="IQ_ACQUIRE_REAL_ESTATE_CF" vbProcedure="false">"c6"</definedName>
    <definedName function="false" hidden="false" name="IQ_ACQUISITION_RE_ASSETS" vbProcedure="false">"c1628"</definedName>
    <definedName function="false" hidden="false" name="IQ_ACQ_COSTS_CAPITALIZED" vbProcedure="false">"c5"</definedName>
    <definedName function="false" hidden="false" name="IQ_AD" vbProcedure="false">"c7"</definedName>
    <definedName function="false" hidden="false" name="IQ_ADD_PAID_IN" vbProcedure="false">"c39"</definedName>
    <definedName function="false" hidden="false" name="IQ_ADVERTISING_MARKETING" vbProcedure="false">"c1566"</definedName>
    <definedName function="false" hidden="false" name="IQ_AE" vbProcedure="false">"c8"</definedName>
    <definedName function="false" hidden="false" name="IQ_AE_BNK" vbProcedure="false">"c9"</definedName>
    <definedName function="false" hidden="false" name="IQ_AE_BR" vbProcedure="false">"c10"</definedName>
    <definedName function="false" hidden="false" name="IQ_AE_FIN" vbProcedure="false">"c11"</definedName>
    <definedName function="false" hidden="false" name="IQ_AE_INS" vbProcedure="false">"c12"</definedName>
    <definedName function="false" hidden="false" name="IQ_AE_REIT" vbProcedure="false">"c13"</definedName>
    <definedName function="false" hidden="false" name="IQ_AE_UTI" vbProcedure="false">"c14"</definedName>
    <definedName function="false" hidden="false" name="IQ_ALLOWANCE_10YR_ANN_GROWTH" vbProcedure="false">"c18"</definedName>
    <definedName function="false" hidden="false" name="IQ_ALLOWANCE_1YR_ANN_GROWTH" vbProcedure="false">"c19"</definedName>
    <definedName function="false" hidden="false" name="IQ_ALLOWANCE_2YR_ANN_GROWTH" vbProcedure="false">"c20"</definedName>
    <definedName function="false" hidden="false" name="IQ_ALLOWANCE_3YR_ANN_GROWTH" vbProcedure="false">"c21"</definedName>
    <definedName function="false" hidden="false" name="IQ_ALLOWANCE_5YR_ANN_GROWTH" vbProcedure="false">"c22"</definedName>
    <definedName function="false" hidden="false" name="IQ_ALLOWANCE_7YR_ANN_GROWTH" vbProcedure="false">"c23"</definedName>
    <definedName function="false" hidden="false" name="IQ_ALLOWANCE_CHARGE_OFFS" vbProcedure="false">"c24"</definedName>
    <definedName function="false" hidden="false" name="IQ_ALLOWANCE_NON_PERF_LOANS" vbProcedure="false">"c25"</definedName>
    <definedName function="false" hidden="false" name="IQ_ALLOWANCE_TOTAL_LOANS" vbProcedure="false">"c26"</definedName>
    <definedName function="false" hidden="false" name="IQ_ALLOW_BORROW_CONST" vbProcedure="false">"c15"</definedName>
    <definedName function="false" hidden="false" name="IQ_ALLOW_CONST" vbProcedure="false">"c16"</definedName>
    <definedName function="false" hidden="false" name="IQ_ALLOW_EQUITY_CONST" vbProcedure="false">"c16"</definedName>
    <definedName function="false" hidden="false" name="IQ_ALLOW_LL" vbProcedure="false">"c17"</definedName>
    <definedName function="false" hidden="false" name="IQ_AMORTIZATION" vbProcedure="false">"c1471"</definedName>
    <definedName function="false" hidden="false" name="IQ_ANNUALIZED_DIVIDEND" vbProcedure="false">"c1579"</definedName>
    <definedName function="false" hidden="false" name="IQ_ANNUITY_LIAB" vbProcedure="false">"c27"</definedName>
    <definedName function="false" hidden="false" name="IQ_ANNUITY_PAY" vbProcedure="false">"c28"</definedName>
    <definedName function="false" hidden="false" name="IQ_ANNUITY_POLICY_EXP" vbProcedure="false">"c29"</definedName>
    <definedName function="false" hidden="false" name="IQ_ANNUITY_REC" vbProcedure="false">"c30"</definedName>
    <definedName function="false" hidden="false" name="IQ_ANNUITY_REV" vbProcedure="false">"c31"</definedName>
    <definedName function="false" hidden="false" name="IQ_AP" vbProcedure="false">"c32"</definedName>
    <definedName function="false" hidden="false" name="IQ_APIC" vbProcedure="false">"c39"</definedName>
    <definedName function="false" hidden="false" name="IQ_AP_BNK" vbProcedure="false">"c33"</definedName>
    <definedName function="false" hidden="false" name="IQ_AP_BR" vbProcedure="false">"c34"</definedName>
    <definedName function="false" hidden="false" name="IQ_AP_FIN" vbProcedure="false">"c35"</definedName>
    <definedName function="false" hidden="false" name="IQ_AP_INS" vbProcedure="false">"c36"</definedName>
    <definedName function="false" hidden="false" name="IQ_AP_REIT" vbProcedure="false">"c37"</definedName>
    <definedName function="false" hidden="false" name="IQ_AP_UTI" vbProcedure="false">"c38"</definedName>
    <definedName function="false" hidden="false" name="IQ_AR" vbProcedure="false">"c40"</definedName>
    <definedName function="false" hidden="false" name="IQ_AR_BR" vbProcedure="false">"c41"</definedName>
    <definedName function="false" hidden="false" name="IQ_AR_LT" vbProcedure="false">"c42"</definedName>
    <definedName function="false" hidden="false" name="IQ_AR_REIT" vbProcedure="false">"c43"</definedName>
    <definedName function="false" hidden="false" name="IQ_AR_TURNS" vbProcedure="false">"c44"</definedName>
    <definedName function="false" hidden="false" name="IQ_AR_UTI" vbProcedure="false">"c45"</definedName>
    <definedName function="false" hidden="false" name="IQ_ASSET_MGMT_FEE" vbProcedure="false">"c46"</definedName>
    <definedName function="false" hidden="false" name="IQ_ASSET_TURNS" vbProcedure="false">"c47"</definedName>
    <definedName function="false" hidden="false" name="IQ_ASSET_WRITEDOWN" vbProcedure="false">"c48"</definedName>
    <definedName function="false" hidden="false" name="IQ_ASSET_WRITEDOWN_BNK" vbProcedure="false">"c49"</definedName>
    <definedName function="false" hidden="false" name="IQ_ASSET_WRITEDOWN_BR" vbProcedure="false">"c50"</definedName>
    <definedName function="false" hidden="false" name="IQ_ASSET_WRITEDOWN_CF" vbProcedure="false">"c51"</definedName>
    <definedName function="false" hidden="false" name="IQ_ASSET_WRITEDOWN_CF_BNK" vbProcedure="false">"c52"</definedName>
    <definedName function="false" hidden="false" name="IQ_ASSET_WRITEDOWN_CF_BR" vbProcedure="false">"c53"</definedName>
    <definedName function="false" hidden="false" name="IQ_ASSET_WRITEDOWN_CF_FIN" vbProcedure="false">"c54"</definedName>
    <definedName function="false" hidden="false" name="IQ_ASSET_WRITEDOWN_CF_INS" vbProcedure="false">"c55"</definedName>
    <definedName function="false" hidden="false" name="IQ_ASSET_WRITEDOWN_CF_REIT" vbProcedure="false">"c56"</definedName>
    <definedName function="false" hidden="false" name="IQ_ASSET_WRITEDOWN_CF_UTI" vbProcedure="false">"c57"</definedName>
    <definedName function="false" hidden="false" name="IQ_ASSET_WRITEDOWN_FIN" vbProcedure="false">"c58"</definedName>
    <definedName function="false" hidden="false" name="IQ_ASSET_WRITEDOWN_INS" vbProcedure="false">"c59"</definedName>
    <definedName function="false" hidden="false" name="IQ_ASSET_WRITEDOWN_REIT" vbProcedure="false">"c60"</definedName>
    <definedName function="false" hidden="false" name="IQ_ASSET_WRITEDOWN_UTI" vbProcedure="false">"c61"</definedName>
    <definedName function="false" hidden="false" name="IQ_AUDITOR_NAME" vbProcedure="false">"c1539"</definedName>
    <definedName function="false" hidden="false" name="IQ_AUDITOR_OPINION" vbProcedure="false">"c1540"</definedName>
    <definedName function="false" hidden="false" name="IQ_AUTO_WRITTEN" vbProcedure="false">"c62"</definedName>
    <definedName function="false" hidden="false" name="IQ_AVG_BROKER_REC" vbProcedure="false">"c63"</definedName>
    <definedName function="false" hidden="false" name="IQ_AVG_BROKER_REC_NO" vbProcedure="false">"c64"</definedName>
    <definedName function="false" hidden="false" name="IQ_AVG_DAILY_VOL" vbProcedure="false">"c65"</definedName>
    <definedName function="false" hidden="false" name="IQ_AVG_INT_BEAR_LIAB" vbProcedure="false">"c66"</definedName>
    <definedName function="false" hidden="false" name="IQ_AVG_INT_BEAR_LIAB_10YR_ANN_GROWTH" vbProcedure="false">"c67"</definedName>
    <definedName function="false" hidden="false" name="IQ_AVG_INT_BEAR_LIAB_1YR_ANN_GROWTH" vbProcedure="false">"c68"</definedName>
    <definedName function="false" hidden="false" name="IQ_AVG_INT_BEAR_LIAB_2YR_ANN_GROWTH" vbProcedure="false">"c69"</definedName>
    <definedName function="false" hidden="false" name="IQ_AVG_INT_BEAR_LIAB_3YR_ANN_GROWTH" vbProcedure="false">"c70"</definedName>
    <definedName function="false" hidden="false" name="IQ_AVG_INT_BEAR_LIAB_5YR_ANN_GROWTH" vbProcedure="false">"c71"</definedName>
    <definedName function="false" hidden="false" name="IQ_AVG_INT_BEAR_LIAB_7YR_ANN_GROWTH" vbProcedure="false">"c72"</definedName>
    <definedName function="false" hidden="false" name="IQ_AVG_INT_EARN_ASSETS" vbProcedure="false">"c73"</definedName>
    <definedName function="false" hidden="false" name="IQ_AVG_INT_EARN_ASSETS_10YR_ANN_GROWTH" vbProcedure="false">"c74"</definedName>
    <definedName function="false" hidden="false" name="IQ_AVG_INT_EARN_ASSETS_1YR_ANN_GROWTH" vbProcedure="false">"c75"</definedName>
    <definedName function="false" hidden="false" name="IQ_AVG_INT_EARN_ASSETS_2YR_ANN_GROWTH" vbProcedure="false">"c76"</definedName>
    <definedName function="false" hidden="false" name="IQ_AVG_INT_EARN_ASSETS_3YR_ANN_GROWTH" vbProcedure="false">"c77"</definedName>
    <definedName function="false" hidden="false" name="IQ_AVG_INT_EARN_ASSETS_5YR_ANN_GROWTH" vbProcedure="false">"c78"</definedName>
    <definedName function="false" hidden="false" name="IQ_AVG_INT_EARN_ASSETS_7YR_ANN_GROWTH" vbProcedure="false">"c79"</definedName>
    <definedName function="false" hidden="false" name="IQ_AVG_MKTCAP" vbProcedure="false">"c80"</definedName>
    <definedName function="false" hidden="false" name="IQ_AVG_PRICE" vbProcedure="false">"c81"</definedName>
    <definedName function="false" hidden="false" name="IQ_AVG_PRICE_TARGET" vbProcedure="false">"c82"</definedName>
    <definedName function="false" hidden="false" name="IQ_AVG_SHAREOUTSTANDING" vbProcedure="false">"c83"</definedName>
    <definedName function="false" hidden="false" name="IQ_AVG_TEV" vbProcedure="false">"c84"</definedName>
    <definedName function="false" hidden="false" name="IQ_AVG_VOLUME" vbProcedure="false">"c65"</definedName>
    <definedName function="false" hidden="false" name="IQ_BASIC_EPS_EXCL" vbProcedure="false">"c85"</definedName>
    <definedName function="false" hidden="false" name="IQ_BASIC_EPS_INCL" vbProcedure="false">"c86"</definedName>
    <definedName function="false" hidden="false" name="IQ_BASIC_NORMAL_EPS" vbProcedure="false">"c1592"</definedName>
    <definedName function="false" hidden="false" name="IQ_BASIC_WEIGHT" vbProcedure="false">"c87"</definedName>
    <definedName function="false" hidden="false" name="IQ_BETA" vbProcedure="false">"c88"</definedName>
    <definedName function="false" hidden="false" name="IQ_BIG_INT_BEAR_CD" vbProcedure="false">"c89"</definedName>
    <definedName function="false" hidden="false" name="IQ_BOARD_MEMBER" vbProcedure="false">"c96"</definedName>
    <definedName function="false" hidden="false" name="IQ_BOARD_MEMBER_TITLE" vbProcedure="false">"c97"</definedName>
    <definedName function="false" hidden="false" name="IQ_BROK_COMISSION" vbProcedure="false">"c98"</definedName>
    <definedName function="false" hidden="false" name="IQ_BUILDINGS" vbProcedure="false">"c99"</definedName>
    <definedName function="false" hidden="false" name="IQ_BUSINESS_DESCRIPTION" vbProcedure="false">"c322"</definedName>
    <definedName function="false" hidden="false" name="IQ_BV_OVER_SHARES" vbProcedure="false">"c100"</definedName>
    <definedName function="false" hidden="false" name="IQ_BV_SHARE" vbProcedure="false">"c100"</definedName>
    <definedName function="false" hidden="false" name="IQ_CAL_Q" vbProcedure="false">"c101"</definedName>
    <definedName function="false" hidden="false" name="IQ_CAL_Y" vbProcedure="false">"c102"</definedName>
    <definedName function="false" hidden="false" name="IQ_CAPEX" vbProcedure="false">"c103"</definedName>
    <definedName function="false" hidden="false" name="IQ_CAPEX_10YR_ANN_GROWTH" vbProcedure="false">"c104"</definedName>
    <definedName function="false" hidden="false" name="IQ_CAPEX_1YR_ANN_GROWTH" vbProcedure="false">"c105"</definedName>
    <definedName function="false" hidden="false" name="IQ_CAPEX_2YR_ANN_GROWTH" vbProcedure="false">"c106"</definedName>
    <definedName function="false" hidden="false" name="IQ_CAPEX_3YR_ANN_GROWTH" vbProcedure="false">"c107"</definedName>
    <definedName function="false" hidden="false" name="IQ_CAPEX_5YR_ANN_GROWTH" vbProcedure="false">"c108"</definedName>
    <definedName function="false" hidden="false" name="IQ_CAPEX_7YR_ANN_GROWTH" vbProcedure="false">"c109"</definedName>
    <definedName function="false" hidden="false" name="IQ_CAPEX_BNK" vbProcedure="false">"c110"</definedName>
    <definedName function="false" hidden="false" name="IQ_CAPEX_BR" vbProcedure="false">"c111"</definedName>
    <definedName function="false" hidden="false" name="IQ_CAPEX_FIN" vbProcedure="false">"c112"</definedName>
    <definedName function="false" hidden="false" name="IQ_CAPEX_INS" vbProcedure="false">"c113"</definedName>
    <definedName function="false" hidden="false" name="IQ_CAPEX_UTI" vbProcedure="false">"c114"</definedName>
    <definedName function="false" hidden="false" name="IQ_CAPITAL_LEASE" vbProcedure="false">"c115"</definedName>
    <definedName function="false" hidden="false" name="IQ_CAPITAL_LEASES" vbProcedure="false">"c115"</definedName>
    <definedName function="false" hidden="false" name="IQ_CASH" vbProcedure="false">"c118"</definedName>
    <definedName function="false" hidden="false" name="IQ_CASH_ACQUIRE_CF" vbProcedure="false">"c1630"</definedName>
    <definedName function="false" hidden="false" name="IQ_CASH_CONVERSION" vbProcedure="false">"c117"</definedName>
    <definedName function="false" hidden="false" name="IQ_CASH_DUE_BANKS" vbProcedure="false">"c118"</definedName>
    <definedName function="false" hidden="false" name="IQ_CASH_EQUIV" vbProcedure="false">"c118"</definedName>
    <definedName function="false" hidden="false" name="IQ_CASH_FINAN" vbProcedure="false">"c119"</definedName>
    <definedName function="false" hidden="false" name="IQ_CASH_INTEREST" vbProcedure="false">"c120"</definedName>
    <definedName function="false" hidden="false" name="IQ_CASH_INVEST" vbProcedure="false">"c121"</definedName>
    <definedName function="false" hidden="false" name="IQ_CASH_OPER" vbProcedure="false">"c122"</definedName>
    <definedName function="false" hidden="false" name="IQ_CASH_SEGREG" vbProcedure="false">"c123"</definedName>
    <definedName function="false" hidden="false" name="IQ_CASH_ST" vbProcedure="false">"c124"</definedName>
    <definedName function="false" hidden="false" name="IQ_CASH_ST_INVEST" vbProcedure="false">"c124"</definedName>
    <definedName function="false" hidden="false" name="IQ_CASH_TAXES" vbProcedure="false">"c125"</definedName>
    <definedName function="false" hidden="false" name="IQ_CFO_10YR_ANN_GROWTH" vbProcedure="false">"c126"</definedName>
    <definedName function="false" hidden="false" name="IQ_CFO_1YR_ANN_GROWTH" vbProcedure="false">"c127"</definedName>
    <definedName function="false" hidden="false" name="IQ_CFO_2YR_ANN_GROWTH" vbProcedure="false">"c128"</definedName>
    <definedName function="false" hidden="false" name="IQ_CFO_3YR_ANN_GROWTH" vbProcedure="false">"c129"</definedName>
    <definedName function="false" hidden="false" name="IQ_CFO_5YR_ANN_GROWTH" vbProcedure="false">"c130"</definedName>
    <definedName function="false" hidden="false" name="IQ_CFO_7YR_ANN_GROWTH" vbProcedure="false">"c131"</definedName>
    <definedName function="false" hidden="false" name="IQ_CFO_CURRENT_LIAB" vbProcedure="false">"c132"</definedName>
    <definedName function="false" hidden="false" name="IQ_CHANGES_WORK_CAP" vbProcedure="false">"c161"</definedName>
    <definedName function="false" hidden="false" name="IQ_CHANGE_AP" vbProcedure="false">"c133"</definedName>
    <definedName function="false" hidden="false" name="IQ_CHANGE_AP_BNK" vbProcedure="false">"c134"</definedName>
    <definedName function="false" hidden="false" name="IQ_CHANGE_AP_BR" vbProcedure="false">"c135"</definedName>
    <definedName function="false" hidden="false" name="IQ_CHANGE_AP_FIN" vbProcedure="false">"c136"</definedName>
    <definedName function="false" hidden="false" name="IQ_CHANGE_AP_INS" vbProcedure="false">"c137"</definedName>
    <definedName function="false" hidden="false" name="IQ_CHANGE_AP_REIT" vbProcedure="false">"c138"</definedName>
    <definedName function="false" hidden="false" name="IQ_CHANGE_AP_UTI" vbProcedure="false">"c139"</definedName>
    <definedName function="false" hidden="false" name="IQ_CHANGE_AR" vbProcedure="false">"c140"</definedName>
    <definedName function="false" hidden="false" name="IQ_CHANGE_AR_BNK" vbProcedure="false">"c141"</definedName>
    <definedName function="false" hidden="false" name="IQ_CHANGE_AR_BR" vbProcedure="false">"c142"</definedName>
    <definedName function="false" hidden="false" name="IQ_CHANGE_AR_FIN" vbProcedure="false">"c143"</definedName>
    <definedName function="false" hidden="false" name="IQ_CHANGE_AR_INS" vbProcedure="false">"c144"</definedName>
    <definedName function="false" hidden="false" name="IQ_CHANGE_AR_REIT" vbProcedure="false">"c145"</definedName>
    <definedName function="false" hidden="false" name="IQ_CHANGE_AR_UTI" vbProcedure="false">"c146"</definedName>
    <definedName function="false" hidden="false" name="IQ_CHANGE_DEF_TAX" vbProcedure="false">"c147"</definedName>
    <definedName function="false" hidden="false" name="IQ_CHANGE_DEPOSIT_ACCT" vbProcedure="false">"c148"</definedName>
    <definedName function="false" hidden="false" name="IQ_CHANGE_INC_TAX" vbProcedure="false">"c149"</definedName>
    <definedName function="false" hidden="false" name="IQ_CHANGE_INS_RES_LIAB" vbProcedure="false">"c150"</definedName>
    <definedName function="false" hidden="false" name="IQ_CHANGE_INVENTORY" vbProcedure="false">"c151"</definedName>
    <definedName function="false" hidden="false" name="IQ_CHANGE_OTHER_WORK_CAP" vbProcedure="false">"c152"</definedName>
    <definedName function="false" hidden="false" name="IQ_CHANGE_OTHER_WORK_CAP_BNK" vbProcedure="false">"c153"</definedName>
    <definedName function="false" hidden="false" name="IQ_CHANGE_OTHER_WORK_CAP_BR" vbProcedure="false">"c154"</definedName>
    <definedName function="false" hidden="false" name="IQ_CHANGE_OTHER_WORK_CAP_FIN" vbProcedure="false">"c155"</definedName>
    <definedName function="false" hidden="false" name="IQ_CHANGE_OTHER_WORK_CAP_INS" vbProcedure="false">"c156"</definedName>
    <definedName function="false" hidden="false" name="IQ_CHANGE_OTHER_WORK_CAP_REIT" vbProcedure="false">"c157"</definedName>
    <definedName function="false" hidden="false" name="IQ_CHANGE_OTHER_WORK_CAP_UTI" vbProcedure="false">"c158"</definedName>
    <definedName function="false" hidden="false" name="IQ_CHANGE_TRADING_ASSETS" vbProcedure="false">"c159"</definedName>
    <definedName function="false" hidden="false" name="IQ_CHANGE_UNEARN_REV" vbProcedure="false">"c160"</definedName>
    <definedName function="false" hidden="false" name="IQ_CHANGE_WORK_CAP" vbProcedure="false">"c161"</definedName>
    <definedName function="false" hidden="false" name="IQ_CHARGE_OFFS_GROSS" vbProcedure="false">"c162"</definedName>
    <definedName function="false" hidden="false" name="IQ_CHARGE_OFFS_NET" vbProcedure="false">"c163"</definedName>
    <definedName function="false" hidden="false" name="IQ_CHARGE_OFFS_RECOVERED" vbProcedure="false">"c164"</definedName>
    <definedName function="false" hidden="false" name="IQ_CHARGE_OFFS_TOTAL_AVG_LOANS" vbProcedure="false">"c165"</definedName>
    <definedName function="false" hidden="false" name="IQ_CITY" vbProcedure="false">"c166"</definedName>
    <definedName function="false" hidden="false" name="IQ_CLOSEPRICE" vbProcedure="false">"c174"</definedName>
    <definedName function="false" hidden="false" name="IQ_CL_DUE_AFTER_FIVE" vbProcedure="false">"c167"</definedName>
    <definedName function="false" hidden="false" name="IQ_CL_DUE_CY" vbProcedure="false">"c168"</definedName>
    <definedName function="false" hidden="false" name="IQ_CL_DUE_CY1" vbProcedure="false">"c169"</definedName>
    <definedName function="false" hidden="false" name="IQ_CL_DUE_CY2" vbProcedure="false">"c170"</definedName>
    <definedName function="false" hidden="false" name="IQ_CL_DUE_CY3" vbProcedure="false">"c171"</definedName>
    <definedName function="false" hidden="false" name="IQ_CL_DUE_CY4" vbProcedure="false">"c172"</definedName>
    <definedName function="false" hidden="false" name="IQ_CL_DUE_NEXT_FIVE" vbProcedure="false">"c173"</definedName>
    <definedName function="false" hidden="false" name="IQ_COGS" vbProcedure="false">"c175"</definedName>
    <definedName function="false" hidden="false" name="IQ_COMBINED_RATIO" vbProcedure="false">"c176"</definedName>
    <definedName function="false" hidden="false" name="IQ_COMMERCIAL_DOM" vbProcedure="false">"c177"</definedName>
    <definedName function="false" hidden="false" name="IQ_COMMERCIAL_FIRE_WRITTEN" vbProcedure="false">"c178"</definedName>
    <definedName function="false" hidden="false" name="IQ_COMMERCIAL_MORT" vbProcedure="false">"c179"</definedName>
    <definedName function="false" hidden="false" name="IQ_COMMISSION_DEF" vbProcedure="false">"c181"</definedName>
    <definedName function="false" hidden="false" name="IQ_COMMISS_FEES" vbProcedure="false">"c180"</definedName>
    <definedName function="false" hidden="false" name="IQ_COMMON" vbProcedure="false">"c182"</definedName>
    <definedName function="false" hidden="false" name="IQ_COMMON_APIC" vbProcedure="false">"c183"</definedName>
    <definedName function="false" hidden="false" name="IQ_COMMON_APIC_BNK" vbProcedure="false">"c184"</definedName>
    <definedName function="false" hidden="false" name="IQ_COMMON_APIC_BR" vbProcedure="false">"c185"</definedName>
    <definedName function="false" hidden="false" name="IQ_COMMON_APIC_FIN" vbProcedure="false">"c186"</definedName>
    <definedName function="false" hidden="false" name="IQ_COMMON_APIC_INS" vbProcedure="false">"c187"</definedName>
    <definedName function="false" hidden="false" name="IQ_COMMON_APIC_REIT" vbProcedure="false">"c188"</definedName>
    <definedName function="false" hidden="false" name="IQ_COMMON_APIC_UTI" vbProcedure="false">"c189"</definedName>
    <definedName function="false" hidden="false" name="IQ_COMMON_DIV_CF" vbProcedure="false">"c190"</definedName>
    <definedName function="false" hidden="false" name="IQ_COMMON_EQUITY_10YR_ANN_GROWTH" vbProcedure="false">"c191"</definedName>
    <definedName function="false" hidden="false" name="IQ_COMMON_EQUITY_1YR_ANN_GROWTH" vbProcedure="false">"c192"</definedName>
    <definedName function="false" hidden="false" name="IQ_COMMON_EQUITY_2YR_ANN_GROWTH" vbProcedure="false">"c193"</definedName>
    <definedName function="false" hidden="false" name="IQ_COMMON_EQUITY_3YR_ANN_GROWTH" vbProcedure="false">"c194"</definedName>
    <definedName function="false" hidden="false" name="IQ_COMMON_EQUITY_5YR_ANN_GROWTH" vbProcedure="false">"c195"</definedName>
    <definedName function="false" hidden="false" name="IQ_COMMON_EQUITY_7YR_ANN_GROWTH" vbProcedure="false">"c196"</definedName>
    <definedName function="false" hidden="false" name="IQ_COMMON_ISSUED" vbProcedure="false">"c197"</definedName>
    <definedName function="false" hidden="false" name="IQ_COMMON_ISSUED_BNK" vbProcedure="false">"c198"</definedName>
    <definedName function="false" hidden="false" name="IQ_COMMON_ISSUED_BR" vbProcedure="false">"c199"</definedName>
    <definedName function="false" hidden="false" name="IQ_COMMON_ISSUED_FIN" vbProcedure="false">"c200"</definedName>
    <definedName function="false" hidden="false" name="IQ_COMMON_ISSUED_INS" vbProcedure="false">"c201"</definedName>
    <definedName function="false" hidden="false" name="IQ_COMMON_ISSUED_REIT" vbProcedure="false">"c202"</definedName>
    <definedName function="false" hidden="false" name="IQ_COMMON_ISSUED_UTI" vbProcedure="false">"c203"</definedName>
    <definedName function="false" hidden="false" name="IQ_COMMON_PER_ADR" vbProcedure="false">"c204"</definedName>
    <definedName function="false" hidden="false" name="IQ_COMMON_PREF_DIV_CF" vbProcedure="false">"c205"</definedName>
    <definedName function="false" hidden="false" name="IQ_COMMON_REP" vbProcedure="false">"c206"</definedName>
    <definedName function="false" hidden="false" name="IQ_COMMON_REP_BNK" vbProcedure="false">"c207"</definedName>
    <definedName function="false" hidden="false" name="IQ_COMMON_REP_BR" vbProcedure="false">"c208"</definedName>
    <definedName function="false" hidden="false" name="IQ_COMMON_REP_FIN" vbProcedure="false">"c209"</definedName>
    <definedName function="false" hidden="false" name="IQ_COMMON_REP_INS" vbProcedure="false">"c210"</definedName>
    <definedName function="false" hidden="false" name="IQ_COMMON_REP_REIT" vbProcedure="false">"c211"</definedName>
    <definedName function="false" hidden="false" name="IQ_COMMON_REP_UTI" vbProcedure="false">"c212"</definedName>
    <definedName function="false" hidden="false" name="IQ_COMMON_STOCK" vbProcedure="false">"c182"</definedName>
    <definedName function="false" hidden="false" name="IQ_COMPANY_ADDRESS" vbProcedure="false">"c214"</definedName>
    <definedName function="false" hidden="false" name="IQ_COMPANY_NAME" vbProcedure="false">"c215"</definedName>
    <definedName function="false" hidden="false" name="IQ_COMPANY_NAME_LONG" vbProcedure="false">"c1585"</definedName>
    <definedName function="false" hidden="false" name="IQ_COMPANY_PHONE" vbProcedure="false">"c216"</definedName>
    <definedName function="false" hidden="false" name="IQ_COMPANY_STREET1" vbProcedure="false">"c217"</definedName>
    <definedName function="false" hidden="false" name="IQ_COMPANY_STREET2" vbProcedure="false">"c218"</definedName>
    <definedName function="false" hidden="false" name="IQ_COMPANY_TICKER" vbProcedure="false">"c219"</definedName>
    <definedName function="false" hidden="false" name="IQ_COMPANY_WEBSITE" vbProcedure="false">"c220"</definedName>
    <definedName function="false" hidden="false" name="IQ_COMPANY_ZIP" vbProcedure="false">"c221"</definedName>
    <definedName function="false" hidden="false" name="IQ_COMP_BENEFITS" vbProcedure="false">"c213"</definedName>
    <definedName function="false" hidden="false" name="IQ_CONSTRUCTION_LOANS" vbProcedure="false">"c222"</definedName>
    <definedName function="false" hidden="false" name="IQ_CONSUMER_LOANS" vbProcedure="false">"c223"</definedName>
    <definedName function="false" hidden="false" name="IQ_COST_BORROWINGS" vbProcedure="false">"c225"</definedName>
    <definedName function="false" hidden="false" name="IQ_COST_REV" vbProcedure="false">"c226"</definedName>
    <definedName function="false" hidden="false" name="IQ_COST_REVENUE" vbProcedure="false">"c226"</definedName>
    <definedName function="false" hidden="false" name="IQ_COST_SAVINGS" vbProcedure="false">"c227"</definedName>
    <definedName function="false" hidden="false" name="IQ_COST_SERVICE" vbProcedure="false">"c228"</definedName>
    <definedName function="false" hidden="false" name="IQ_COST_TOTAL_BORROWINGS" vbProcedure="false">"c229"</definedName>
    <definedName function="false" hidden="false" name="IQ_COUNTRY_NAME" vbProcedure="false">"c230"</definedName>
    <definedName function="false" hidden="false" name="IQ_CQ" vbProcedure="false">5000</definedName>
    <definedName function="false" hidden="false" name="IQ_CREDIT_CARD_FEE_BNK" vbProcedure="false">"c231"</definedName>
    <definedName function="false" hidden="false" name="IQ_CREDIT_CARD_FEE_FIN" vbProcedure="false">"c1583"</definedName>
    <definedName function="false" hidden="false" name="IQ_CREDIT_LOSS_CF" vbProcedure="false">"c232"</definedName>
    <definedName function="false" hidden="false" name="IQ_CURRENCY_FACTOR_BS" vbProcedure="false">"c233"</definedName>
    <definedName function="false" hidden="false" name="IQ_CURRENCY_FACTOR_IS" vbProcedure="false">"c234"</definedName>
    <definedName function="false" hidden="false" name="IQ_CURRENCY_GAIN" vbProcedure="false">"c235"</definedName>
    <definedName function="false" hidden="false" name="IQ_CURRENCY_GAIN_BR" vbProcedure="false">"c236"</definedName>
    <definedName function="false" hidden="false" name="IQ_CURRENCY_GAIN_FIN" vbProcedure="false">"c237"</definedName>
    <definedName function="false" hidden="false" name="IQ_CURRENCY_GAIN_INS" vbProcedure="false">"c238"</definedName>
    <definedName function="false" hidden="false" name="IQ_CURRENCY_GAIN_REIT" vbProcedure="false">"c239"</definedName>
    <definedName function="false" hidden="false" name="IQ_CURRENCY_GAIN_UTI" vbProcedure="false">"c240"</definedName>
    <definedName function="false" hidden="false" name="IQ_CURRENT_PORT" vbProcedure="false">"c241"</definedName>
    <definedName function="false" hidden="false" name="IQ_CURRENT_PORT_BNK" vbProcedure="false">"c242"</definedName>
    <definedName function="false" hidden="false" name="IQ_CURRENT_PORT_DEBT" vbProcedure="false">"c243"</definedName>
    <definedName function="false" hidden="false" name="IQ_CURRENT_PORT_DEBT_BNK" vbProcedure="false">"c244"</definedName>
    <definedName function="false" hidden="false" name="IQ_CURRENT_PORT_DEBT_BR" vbProcedure="false">"c1567"</definedName>
    <definedName function="false" hidden="false" name="IQ_CURRENT_PORT_DEBT_FIN" vbProcedure="false">"c1568"</definedName>
    <definedName function="false" hidden="false" name="IQ_CURRENT_PORT_DEBT_INS" vbProcedure="false">"c1569"</definedName>
    <definedName function="false" hidden="false" name="IQ_CURRENT_PORT_DEBT_REIT" vbProcedure="false">"c1570"</definedName>
    <definedName function="false" hidden="false" name="IQ_CURRENT_PORT_DEBT_UTI" vbProcedure="false">"c1571"</definedName>
    <definedName function="false" hidden="false" name="IQ_CURRENT_PORT_LEASES" vbProcedure="false">"c245"</definedName>
    <definedName function="false" hidden="false" name="IQ_CURRENT_RATIO" vbProcedure="false">"c246"</definedName>
    <definedName function="false" hidden="false" name="IQ_CY" vbProcedure="false">10000</definedName>
    <definedName function="false" hidden="false" name="IQ_DA" vbProcedure="false">"c247"</definedName>
    <definedName function="false" hidden="false" name="IQ_DAYS_COVER_SHORT" vbProcedure="false">"c1578"</definedName>
    <definedName function="false" hidden="false" name="IQ_DAYS_INVENTORY_OUT" vbProcedure="false">"c273"</definedName>
    <definedName function="false" hidden="false" name="IQ_DAYS_PAYABLE_OUT" vbProcedure="false">"c274"</definedName>
    <definedName function="false" hidden="false" name="IQ_DAYS_PAY_OUTST" vbProcedure="false">"c274"</definedName>
    <definedName function="false" hidden="false" name="IQ_DAYS_SALES_OUT" vbProcedure="false">"c275"</definedName>
    <definedName function="false" hidden="false" name="IQ_DAYS_SALES_OUTST" vbProcedure="false">"c275"</definedName>
    <definedName function="false" hidden="false" name="IQ_DA_BR" vbProcedure="false">"c248"</definedName>
    <definedName function="false" hidden="false" name="IQ_DA_CF" vbProcedure="false">"c249"</definedName>
    <definedName function="false" hidden="false" name="IQ_DA_CF_BNK" vbProcedure="false">"c250"</definedName>
    <definedName function="false" hidden="false" name="IQ_DA_CF_BR" vbProcedure="false">"c251"</definedName>
    <definedName function="false" hidden="false" name="IQ_DA_CF_FIN" vbProcedure="false">"c252"</definedName>
    <definedName function="false" hidden="false" name="IQ_DA_CF_INS" vbProcedure="false">"c253"</definedName>
    <definedName function="false" hidden="false" name="IQ_DA_CF_REIT" vbProcedure="false">"c254"</definedName>
    <definedName function="false" hidden="false" name="IQ_DA_CF_UTI" vbProcedure="false">"c255"</definedName>
    <definedName function="false" hidden="false" name="IQ_DA_FIN" vbProcedure="false">"c256"</definedName>
    <definedName function="false" hidden="false" name="IQ_DA_INS" vbProcedure="false">"c257"</definedName>
    <definedName function="false" hidden="false" name="IQ_DA_REIT" vbProcedure="false">"c258"</definedName>
    <definedName function="false" hidden="false" name="IQ_DA_SUPPL" vbProcedure="false">"c259"</definedName>
    <definedName function="false" hidden="false" name="IQ_DA_SUPPL_BR" vbProcedure="false">"c260"</definedName>
    <definedName function="false" hidden="false" name="IQ_DA_SUPPL_CF" vbProcedure="false">"c261"</definedName>
    <definedName function="false" hidden="false" name="IQ_DA_SUPPL_CF_BNK" vbProcedure="false">"c262"</definedName>
    <definedName function="false" hidden="false" name="IQ_DA_SUPPL_CF_BR" vbProcedure="false">"c263"</definedName>
    <definedName function="false" hidden="false" name="IQ_DA_SUPPL_CF_FIN" vbProcedure="false">"c264"</definedName>
    <definedName function="false" hidden="false" name="IQ_DA_SUPPL_CF_INS" vbProcedure="false">"c265"</definedName>
    <definedName function="false" hidden="false" name="IQ_DA_SUPPL_CF_REIT" vbProcedure="false">"c266"</definedName>
    <definedName function="false" hidden="false" name="IQ_DA_SUPPL_CF_UTI" vbProcedure="false">"c267"</definedName>
    <definedName function="false" hidden="false" name="IQ_DA_SUPPL_FIN" vbProcedure="false">"c268"</definedName>
    <definedName function="false" hidden="false" name="IQ_DA_SUPPL_INS" vbProcedure="false">"c269"</definedName>
    <definedName function="false" hidden="false" name="IQ_DA_SUPPL_REIT" vbProcedure="false">"c270"</definedName>
    <definedName function="false" hidden="false" name="IQ_DA_SUPPL_UTI" vbProcedure="false">"c271"</definedName>
    <definedName function="false" hidden="false" name="IQ_DA_UTI" vbProcedure="false">"c272"</definedName>
    <definedName function="false" hidden="false" name="IQ_DEFERRED_INC_TAX" vbProcedure="false">"c315"</definedName>
    <definedName function="false" hidden="false" name="IQ_DEFERRED_TAXES" vbProcedure="false">"c147"</definedName>
    <definedName function="false" hidden="false" name="IQ_DEF_ACQ_CST" vbProcedure="false">"c301"</definedName>
    <definedName function="false" hidden="false" name="IQ_DEF_AMORT" vbProcedure="false">"c276"</definedName>
    <definedName function="false" hidden="false" name="IQ_DEF_AMORT_BNK" vbProcedure="false">"c277"</definedName>
    <definedName function="false" hidden="false" name="IQ_DEF_AMORT_BR" vbProcedure="false">"c278"</definedName>
    <definedName function="false" hidden="false" name="IQ_DEF_AMORT_FIN" vbProcedure="false">"c279"</definedName>
    <definedName function="false" hidden="false" name="IQ_DEF_AMORT_INS" vbProcedure="false">"c280"</definedName>
    <definedName function="false" hidden="false" name="IQ_DEF_AMORT_REIT" vbProcedure="false">"c281"</definedName>
    <definedName function="false" hidden="false" name="IQ_DEF_AMORT_UTI" vbProcedure="false">"c282"</definedName>
    <definedName function="false" hidden="false" name="IQ_DEF_BENEFIT_INTEREST_COST" vbProcedure="false">"c283"</definedName>
    <definedName function="false" hidden="false" name="IQ_DEF_BENEFIT_OTHER_COST" vbProcedure="false">"c284"</definedName>
    <definedName function="false" hidden="false" name="IQ_DEF_BENEFIT_ROA" vbProcedure="false">"c285"</definedName>
    <definedName function="false" hidden="false" name="IQ_DEF_BENEFIT_SERVICE_COST" vbProcedure="false">"c286"</definedName>
    <definedName function="false" hidden="false" name="IQ_DEF_BENEFIT_TOTAL_COST" vbProcedure="false">"c287"</definedName>
    <definedName function="false" hidden="false" name="IQ_DEF_CHARGES_BR" vbProcedure="false">"c288"</definedName>
    <definedName function="false" hidden="false" name="IQ_DEF_CHARGES_CF" vbProcedure="false">"c289"</definedName>
    <definedName function="false" hidden="false" name="IQ_DEF_CHARGES_FIN" vbProcedure="false">"c290"</definedName>
    <definedName function="false" hidden="false" name="IQ_DEF_CHARGES_INS" vbProcedure="false">"c291"</definedName>
    <definedName function="false" hidden="false" name="IQ_DEF_CHARGES_LT" vbProcedure="false">"c292"</definedName>
    <definedName function="false" hidden="false" name="IQ_DEF_CHARGES_LT_BNK" vbProcedure="false">"c293"</definedName>
    <definedName function="false" hidden="false" name="IQ_DEF_CHARGES_LT_BR" vbProcedure="false">"c294"</definedName>
    <definedName function="false" hidden="false" name="IQ_DEF_CHARGES_LT_FIN" vbProcedure="false">"c295"</definedName>
    <definedName function="false" hidden="false" name="IQ_DEF_CHARGES_LT_INS" vbProcedure="false">"c296"</definedName>
    <definedName function="false" hidden="false" name="IQ_DEF_CHARGES_LT_REIT" vbProcedure="false">"c297"</definedName>
    <definedName function="false" hidden="false" name="IQ_DEF_CHARGES_LT_UTI" vbProcedure="false">"c298"</definedName>
    <definedName function="false" hidden="false" name="IQ_DEF_CHARGES_REIT" vbProcedure="false">"c299"</definedName>
    <definedName function="false" hidden="false" name="IQ_DEF_CONTRIBUTION_TOTAL_COST" vbProcedure="false">"c300"</definedName>
    <definedName function="false" hidden="false" name="IQ_DEF_INC_TAX" vbProcedure="false">"c313"</definedName>
    <definedName function="false" hidden="false" name="IQ_DEF_POLICY_ACQ_COSTS" vbProcedure="false">"c301"</definedName>
    <definedName function="false" hidden="false" name="IQ_DEF_POLICY_ACQ_COSTS_CF" vbProcedure="false">"c302"</definedName>
    <definedName function="false" hidden="false" name="IQ_DEF_POLICY_AMORT" vbProcedure="false">"c303"</definedName>
    <definedName function="false" hidden="false" name="IQ_DEF_TAX_ASSETS_CURRENT" vbProcedure="false">"c309"</definedName>
    <definedName function="false" hidden="false" name="IQ_DEF_TAX_ASSETS_LT" vbProcedure="false">"c310"</definedName>
    <definedName function="false" hidden="false" name="IQ_DEF_TAX_ASSETS_LT_BNK" vbProcedure="false">"c311"</definedName>
    <definedName function="false" hidden="false" name="IQ_DEF_TAX_ASSET_LT_BR" vbProcedure="false">"c304"</definedName>
    <definedName function="false" hidden="false" name="IQ_DEF_TAX_ASSET_LT_FIN" vbProcedure="false">"c305"</definedName>
    <definedName function="false" hidden="false" name="IQ_DEF_TAX_ASSET_LT_INS" vbProcedure="false">"c306"</definedName>
    <definedName function="false" hidden="false" name="IQ_DEF_TAX_ASSET_LT_REIT" vbProcedure="false">"c307"</definedName>
    <definedName function="false" hidden="false" name="IQ_DEF_TAX_ASSET_LT_UTI" vbProcedure="false">"c308"</definedName>
    <definedName function="false" hidden="false" name="IQ_DEF_TAX_LIAB_CURRENT" vbProcedure="false">"c312"</definedName>
    <definedName function="false" hidden="false" name="IQ_DEF_TAX_LIAB_LT" vbProcedure="false">"c313"</definedName>
    <definedName function="false" hidden="false" name="IQ_DEF_TAX_LIAB_LT_BNK" vbProcedure="false">"c314"</definedName>
    <definedName function="false" hidden="false" name="IQ_DEF_TAX_LIAB_LT_BR" vbProcedure="false">"c315"</definedName>
    <definedName function="false" hidden="false" name="IQ_DEF_TAX_LIAB_LT_FIN" vbProcedure="false">"c316"</definedName>
    <definedName function="false" hidden="false" name="IQ_DEF_TAX_LIAB_LT_INS" vbProcedure="false">"c317"</definedName>
    <definedName function="false" hidden="false" name="IQ_DEF_TAX_LIAB_LT_REIT" vbProcedure="false">"c318"</definedName>
    <definedName function="false" hidden="false" name="IQ_DEF_TAX_LIAB_LT_UTI" vbProcedure="false">"c319"</definedName>
    <definedName function="false" hidden="false" name="IQ_DEMAND_DEP" vbProcedure="false">"c320"</definedName>
    <definedName function="false" hidden="false" name="IQ_DEPOSITS_FIN" vbProcedure="false">"c321"</definedName>
    <definedName function="false" hidden="false" name="IQ_DEPRE_AMORT" vbProcedure="false">"c247"</definedName>
    <definedName function="false" hidden="false" name="IQ_DEPRE_AMORT_SUPPL" vbProcedure="false">"c1593"</definedName>
    <definedName function="false" hidden="false" name="IQ_DEPRE_DEPLE" vbProcedure="false">"c261"</definedName>
    <definedName function="false" hidden="false" name="IQ_DEPRE_SUPP" vbProcedure="false">"c1443"</definedName>
    <definedName function="false" hidden="false" name="IQ_DESCRIPTION_LONG" vbProcedure="false">"c322"</definedName>
    <definedName function="false" hidden="false" name="IQ_DEVELOP_LAND" vbProcedure="false">"c323"</definedName>
    <definedName function="false" hidden="false" name="IQ_DILUT_ADJUST" vbProcedure="false">"c1621"</definedName>
    <definedName function="false" hidden="false" name="IQ_DILUT_EPS_EXCL" vbProcedure="false">"c324"</definedName>
    <definedName function="false" hidden="false" name="IQ_DILUT_EPS_INCL" vbProcedure="false">"c325"</definedName>
    <definedName function="false" hidden="false" name="IQ_DILUT_NORMAL_EPS" vbProcedure="false">"c1594"</definedName>
    <definedName function="false" hidden="false" name="IQ_DILUT_WEIGHT" vbProcedure="false">"c326"</definedName>
    <definedName function="false" hidden="false" name="IQ_DISCONT_OPER" vbProcedure="false">"c333"</definedName>
    <definedName function="false" hidden="false" name="IQ_DISCOUNT_RATE_PENSION_DOMESTIC" vbProcedure="false">"c327"</definedName>
    <definedName function="false" hidden="false" name="IQ_DISCOUNT_RATE_PENSION_FOREIGN" vbProcedure="false">"c328"</definedName>
    <definedName function="false" hidden="false" name="IQ_DISTR_EXCESS_EARN" vbProcedure="false">"c329"</definedName>
    <definedName function="false" hidden="false" name="IQ_DIVEST_CF" vbProcedure="false">"c331"</definedName>
    <definedName function="false" hidden="false" name="IQ_DIVIDEND_YIELD" vbProcedure="false">"c332"</definedName>
    <definedName function="false" hidden="false" name="IQ_DIVID_SHARE" vbProcedure="false">"c330"</definedName>
    <definedName function="false" hidden="false" name="IQ_DIV_SHARE" vbProcedure="false">"c330"</definedName>
    <definedName function="false" hidden="false" name="IQ_DO" vbProcedure="false">"c333"</definedName>
    <definedName function="false" hidden="false" name="IQ_DO_ASSETS_CURRENT" vbProcedure="false">"c334"</definedName>
    <definedName function="false" hidden="false" name="IQ_DO_ASSETS_LT" vbProcedure="false">"c335"</definedName>
    <definedName function="false" hidden="false" name="IQ_DO_CF" vbProcedure="false">"c336"</definedName>
    <definedName function="false" hidden="false" name="IQ_DPS_10YR_ANN_GROWTH" vbProcedure="false">"c337"</definedName>
    <definedName function="false" hidden="false" name="IQ_DPS_1YR_ANN_GROWTH" vbProcedure="false">"c338"</definedName>
    <definedName function="false" hidden="false" name="IQ_DPS_2YR_ANN_GROWTH" vbProcedure="false">"c339"</definedName>
    <definedName function="false" hidden="false" name="IQ_DPS_3YR_ANN_GROWTH" vbProcedure="false">"c340"</definedName>
    <definedName function="false" hidden="false" name="IQ_DPS_5YR_ANN_GROWTH" vbProcedure="false">"c341"</definedName>
    <definedName function="false" hidden="false" name="IQ_DPS_7YR_ANN_GROWTH" vbProcedure="false">"c342"</definedName>
    <definedName function="false" hidden="false" name="IQ_EARNING_ASSET_YIELD" vbProcedure="false">"c343"</definedName>
    <definedName function="false" hidden="false" name="IQ_EARNING_CO" vbProcedure="false">"c344"</definedName>
    <definedName function="false" hidden="false" name="IQ_EARNING_CO_10YR_ANN_GROWTH" vbProcedure="false">"c345"</definedName>
    <definedName function="false" hidden="false" name="IQ_EARNING_CO_1YR_ANN_GROWTH" vbProcedure="false">"c346"</definedName>
    <definedName function="false" hidden="false" name="IQ_EARNING_CO_2YR_ANN_GROWTH" vbProcedure="false">"c347"</definedName>
    <definedName function="false" hidden="false" name="IQ_EARNING_CO_3YR_ANN_GROWTH" vbProcedure="false">"c348"</definedName>
    <definedName function="false" hidden="false" name="IQ_EARNING_CO_5YR_ANN_GROWTH" vbProcedure="false">"c349"</definedName>
    <definedName function="false" hidden="false" name="IQ_EARNING_CO_7YR_ANN_GROWTH" vbProcedure="false">"c350"</definedName>
    <definedName function="false" hidden="false" name="IQ_EARNING_CO_MARGIN" vbProcedure="false">"c351"</definedName>
    <definedName function="false" hidden="false" name="IQ_EBIT" vbProcedure="false">"c352"</definedName>
    <definedName function="false" hidden="false" name="IQ_EBITDA" vbProcedure="false">"c361"</definedName>
    <definedName function="false" hidden="false" name="IQ_EBITDA_10YR_ANN_GROWTH" vbProcedure="false">"c362"</definedName>
    <definedName function="false" hidden="false" name="IQ_EBITDA_1YR_ANN_GROWTH" vbProcedure="false">"c363"</definedName>
    <definedName function="false" hidden="false" name="IQ_EBITDA_2YR_ANN_GROWTH" vbProcedure="false">"c364"</definedName>
    <definedName function="false" hidden="false" name="IQ_EBITDA_3YR_ANN_GROWTH" vbProcedure="false">"c365"</definedName>
    <definedName function="false" hidden="false" name="IQ_EBITDA_5YR_ANN_GROWTH" vbProcedure="false">"c366"</definedName>
    <definedName function="false" hidden="false" name="IQ_EBITDA_7YR_ANN_GROWTH" vbProcedure="false">"c367"</definedName>
    <definedName function="false" hidden="false" name="IQ_EBITDA_CAPEX_INT" vbProcedure="false">"c368"</definedName>
    <definedName function="false" hidden="false" name="IQ_EBITDA_CAPEX_OVER_TOTAL_IE" vbProcedure="false">"c368"</definedName>
    <definedName function="false" hidden="false" name="IQ_EBITDA_INT" vbProcedure="false">"c373"</definedName>
    <definedName function="false" hidden="false" name="IQ_EBITDA_MARGIN" vbProcedure="false">"c372"</definedName>
    <definedName function="false" hidden="false" name="IQ_EBITDA_OVER_TOTAL_IE" vbProcedure="false">"c373"</definedName>
    <definedName function="false" hidden="false" name="IQ_EBIT_10YR_ANN_GROWTH" vbProcedure="false">"c353"</definedName>
    <definedName function="false" hidden="false" name="IQ_EBIT_1YR_ANN_GROWTH" vbProcedure="false">"c354"</definedName>
    <definedName function="false" hidden="false" name="IQ_EBIT_2YR_ANN_GROWTH" vbProcedure="false">"c355"</definedName>
    <definedName function="false" hidden="false" name="IQ_EBIT_3YR_ANN_GROWTH" vbProcedure="false">"c356"</definedName>
    <definedName function="false" hidden="false" name="IQ_EBIT_5YR_ANN_GROWTH" vbProcedure="false">"c357"</definedName>
    <definedName function="false" hidden="false" name="IQ_EBIT_7YR_ANN_GROWTH" vbProcedure="false">"c358"</definedName>
    <definedName function="false" hidden="false" name="IQ_EBIT_INT" vbProcedure="false">"c360"</definedName>
    <definedName function="false" hidden="false" name="IQ_EBIT_MARGIN" vbProcedure="false">"c359"</definedName>
    <definedName function="false" hidden="false" name="IQ_EBIT_OVER_IE" vbProcedure="false">"c360"</definedName>
    <definedName function="false" hidden="false" name="IQ_EBT" vbProcedure="false">"c376"</definedName>
    <definedName function="false" hidden="false" name="IQ_EBT_BNK" vbProcedure="false">"c377"</definedName>
    <definedName function="false" hidden="false" name="IQ_EBT_BR" vbProcedure="false">"c378"</definedName>
    <definedName function="false" hidden="false" name="IQ_EBT_EXCL" vbProcedure="false">"c379"</definedName>
    <definedName function="false" hidden="false" name="IQ_EBT_EXCL_BNK" vbProcedure="false">"c380"</definedName>
    <definedName function="false" hidden="false" name="IQ_EBT_EXCL_BR" vbProcedure="false">"c381"</definedName>
    <definedName function="false" hidden="false" name="IQ_EBT_EXCL_FIN" vbProcedure="false">"c382"</definedName>
    <definedName function="false" hidden="false" name="IQ_EBT_EXCL_INS" vbProcedure="false">"c383"</definedName>
    <definedName function="false" hidden="false" name="IQ_EBT_EXCL_MARGIN" vbProcedure="false">"c1462"</definedName>
    <definedName function="false" hidden="false" name="IQ_EBT_EXCL_REIT" vbProcedure="false">"c384"</definedName>
    <definedName function="false" hidden="false" name="IQ_EBT_EXCL_UTI" vbProcedure="false">"c385"</definedName>
    <definedName function="false" hidden="false" name="IQ_EBT_FIN" vbProcedure="false">"c386"</definedName>
    <definedName function="false" hidden="false" name="IQ_EBT_INS" vbProcedure="false">"c388"</definedName>
    <definedName function="false" hidden="false" name="IQ_EBT_REIT" vbProcedure="false">"c389"</definedName>
    <definedName function="false" hidden="false" name="IQ_EBT_UTI" vbProcedure="false">"c390"</definedName>
    <definedName function="false" hidden="false" name="IQ_EFFECT_SPECIAL_CHARGE" vbProcedure="false">"c1595"</definedName>
    <definedName function="false" hidden="false" name="IQ_EFFICIENCY_RATIO" vbProcedure="false">"c391"</definedName>
    <definedName function="false" hidden="false" name="IQ_EMPLOYEES" vbProcedure="false">"c392"</definedName>
    <definedName function="false" hidden="false" name="IQ_ENTERPRISE_VALUE" vbProcedure="false">"c84"</definedName>
    <definedName function="false" hidden="false" name="IQ_EPS_10YR_ANN_GROWTH" vbProcedure="false">"c393"</definedName>
    <definedName function="false" hidden="false" name="IQ_EPS_1YR_ANN_GROWTH" vbProcedure="false">"c394"</definedName>
    <definedName function="false" hidden="false" name="IQ_EPS_2YR_ANN_GROWTH" vbProcedure="false">"c395"</definedName>
    <definedName function="false" hidden="false" name="IQ_EPS_3YR_ANN_GROWTH" vbProcedure="false">"c396"</definedName>
    <definedName function="false" hidden="false" name="IQ_EPS_5YR_ANN_GROWTH" vbProcedure="false">"c397"</definedName>
    <definedName function="false" hidden="false" name="IQ_EPS_7YR_ANN_GROWTH" vbProcedure="false">"c398"</definedName>
    <definedName function="false" hidden="false" name="IQ_EPS_EST" vbProcedure="false">"c399"</definedName>
    <definedName function="false" hidden="false" name="IQ_EQUITY_AFFIL" vbProcedure="false">"c552"</definedName>
    <definedName function="false" hidden="false" name="IQ_EQUITY_METHOD" vbProcedure="false">"c404"</definedName>
    <definedName function="false" hidden="false" name="IQ_EQV_OVER_BV" vbProcedure="false">"c1596"</definedName>
    <definedName function="false" hidden="false" name="IQ_EQV_OVER_LTM_PRETAX_INC" vbProcedure="false">"c739"</definedName>
    <definedName function="false" hidden="false" name="IQ_ESOP_DEBT" vbProcedure="false">"c1597"</definedName>
    <definedName function="false" hidden="false" name="IQ_EST_ACT_EPS" vbProcedure="false">"c1648"</definedName>
    <definedName function="false" hidden="false" name="IQ_EST_DATE" vbProcedure="false">"c1634"</definedName>
    <definedName function="false" hidden="false" name="IQ_EST_EPS_GROWTH_1YR" vbProcedure="false">"c1636"</definedName>
    <definedName function="false" hidden="false" name="IQ_EST_EPS_GROWTH_Q_1YR" vbProcedure="false">"c1641"</definedName>
    <definedName function="false" hidden="false" name="IQ_EV_OVER_EMPLOYEE" vbProcedure="false">"c1225"</definedName>
    <definedName function="false" hidden="false" name="IQ_EV_OVER_LTM_EBIT" vbProcedure="false">"c1221"</definedName>
    <definedName function="false" hidden="false" name="IQ_EV_OVER_LTM_EBITDA" vbProcedure="false">"c1223"</definedName>
    <definedName function="false" hidden="false" name="IQ_EV_OVER_LTM_REVENUE" vbProcedure="false">"c1227"</definedName>
    <definedName function="false" hidden="false" name="IQ_EXCHANGE" vbProcedure="false">"c405"</definedName>
    <definedName function="false" hidden="false" name="IQ_EXERCISE_PRICE" vbProcedure="false">"c406"</definedName>
    <definedName function="false" hidden="false" name="IQ_EXPLORE_DRILL" vbProcedure="false">"c409"</definedName>
    <definedName function="false" hidden="false" name="IQ_EXP_RETURN_PENSION_DOMESTIC" vbProcedure="false">"c407"</definedName>
    <definedName function="false" hidden="false" name="IQ_EXP_RETURN_PENSION_FOREIGN" vbProcedure="false">"c408"</definedName>
    <definedName function="false" hidden="false" name="IQ_EXTRA_ACC_ITEMS" vbProcedure="false">"c410"</definedName>
    <definedName function="false" hidden="false" name="IQ_EXTRA_ACC_ITEMS_BNK" vbProcedure="false">"c411"</definedName>
    <definedName function="false" hidden="false" name="IQ_EXTRA_ACC_ITEMS_BR" vbProcedure="false">"c412"</definedName>
    <definedName function="false" hidden="false" name="IQ_EXTRA_ACC_ITEMS_FIN" vbProcedure="false">"c413"</definedName>
    <definedName function="false" hidden="false" name="IQ_EXTRA_ACC_ITEMS_INS" vbProcedure="false">"c414"</definedName>
    <definedName function="false" hidden="false" name="IQ_EXTRA_ACC_ITEMS_REIT" vbProcedure="false">"c415"</definedName>
    <definedName function="false" hidden="false" name="IQ_EXTRA_ACC_ITEMS_UTI" vbProcedure="false">"c416"</definedName>
    <definedName function="false" hidden="false" name="IQ_EXTRA_ITEMS" vbProcedure="false">"c413"</definedName>
    <definedName function="false" hidden="false" name="IQ_FDIC" vbProcedure="false">"c417"</definedName>
    <definedName function="false" hidden="false" name="IQ_FFO" vbProcedure="false">"c1574"</definedName>
    <definedName function="false" hidden="false" name="IQ_FHLB_DEBT" vbProcedure="false">"c423"</definedName>
    <definedName function="false" hidden="false" name="IQ_FILINGDATE_BS" vbProcedure="false">"c424"</definedName>
    <definedName function="false" hidden="false" name="IQ_FILINGDATE_CF" vbProcedure="false">"c425"</definedName>
    <definedName function="false" hidden="false" name="IQ_FILINGDATE_IS" vbProcedure="false">"c426"</definedName>
    <definedName function="false" hidden="false" name="IQ_FINANCING_CASH" vbProcedure="false">"c893"</definedName>
    <definedName function="false" hidden="false" name="IQ_FINANCING_CASH_SUPPL" vbProcedure="false">"c899"</definedName>
    <definedName function="false" hidden="false" name="IQ_FINISHED_INV" vbProcedure="false">"c438"</definedName>
    <definedName function="false" hidden="false" name="IQ_FIN_DIV_ASSETS_CURRENT" vbProcedure="false">"c427"</definedName>
    <definedName function="false" hidden="false" name="IQ_FIN_DIV_ASSETS_LT" vbProcedure="false">"c428"</definedName>
    <definedName function="false" hidden="false" name="IQ_FIN_DIV_DEBT_CURRENT" vbProcedure="false">"c429"</definedName>
    <definedName function="false" hidden="false" name="IQ_FIN_DIV_DEBT_LT" vbProcedure="false">"c430"</definedName>
    <definedName function="false" hidden="false" name="IQ_FIN_DIV_EXP" vbProcedure="false">"c431"</definedName>
    <definedName function="false" hidden="false" name="IQ_FIN_DIV_INT_EXP" vbProcedure="false">"c432"</definedName>
    <definedName function="false" hidden="false" name="IQ_FIN_DIV_LIAB_CURRENT" vbProcedure="false">"c433"</definedName>
    <definedName function="false" hidden="false" name="IQ_FIN_DIV_LIAB_LT" vbProcedure="false">"c434"</definedName>
    <definedName function="false" hidden="false" name="IQ_FIN_DIV_LOANS_CURRENT" vbProcedure="false">"c435"</definedName>
    <definedName function="false" hidden="false" name="IQ_FIN_DIV_LOANS_LT" vbProcedure="false">"c436"</definedName>
    <definedName function="false" hidden="false" name="IQ_FIN_DIV_REV" vbProcedure="false">"c437"</definedName>
    <definedName function="false" hidden="false" name="IQ_FIRST_YEAR_LIFE" vbProcedure="false">"c439"</definedName>
    <definedName function="false" hidden="false" name="IQ_FISCAL_Q" vbProcedure="false">"c440"</definedName>
    <definedName function="false" hidden="false" name="IQ_FISCAL_Y" vbProcedure="false">"c441"</definedName>
    <definedName function="false" hidden="false" name="IQ_FIVEPERCENT_PERCENT" vbProcedure="false">"c443"</definedName>
    <definedName function="false" hidden="false" name="IQ_FIVEPERCENT_SHARES" vbProcedure="false">"c444"</definedName>
    <definedName function="false" hidden="false" name="IQ_FIVE_PERCENT_OWNER" vbProcedure="false">"c442"</definedName>
    <definedName function="false" hidden="false" name="IQ_FIXED_ASSET_TURNS" vbProcedure="false">"c445"</definedName>
    <definedName function="false" hidden="false" name="IQ_FLOAT_PERCENT" vbProcedure="false">"c1575"</definedName>
    <definedName function="false" hidden="false" name="IQ_FOREIGN_DEP_IB" vbProcedure="false">"c446"</definedName>
    <definedName function="false" hidden="false" name="IQ_FOREIGN_DEP_NON_IB" vbProcedure="false">"c447"</definedName>
    <definedName function="false" hidden="false" name="IQ_FOREIGN_EXCHANGE" vbProcedure="false">"c451"</definedName>
    <definedName function="false" hidden="false" name="IQ_FOREIGN_LOANS" vbProcedure="false">"c448"</definedName>
    <definedName function="false" hidden="false" name="IQ_FQ" vbProcedure="false">500</definedName>
    <definedName function="false" hidden="false" name="IQ_FUEL" vbProcedure="false">"c449"</definedName>
    <definedName function="false" hidden="false" name="IQ_FULL_TIME" vbProcedure="false">"c450"</definedName>
    <definedName function="false" hidden="false" name="IQ_FWD_CY" vbProcedure="false">10001</definedName>
    <definedName function="false" hidden="false" name="IQ_FWD_CY1" vbProcedure="false">10002</definedName>
    <definedName function="false" hidden="false" name="IQ_FWD_CY2" vbProcedure="false">10003</definedName>
    <definedName function="false" hidden="false" name="IQ_FWD_FY" vbProcedure="false">1001</definedName>
    <definedName function="false" hidden="false" name="IQ_FWD_FY1" vbProcedure="false">1002</definedName>
    <definedName function="false" hidden="false" name="IQ_FWD_FY2" vbProcedure="false">1003</definedName>
    <definedName function="false" hidden="false" name="IQ_FWD_Q" vbProcedure="false">501</definedName>
    <definedName function="false" hidden="false" name="IQ_FWD_Q1" vbProcedure="false">502</definedName>
    <definedName function="false" hidden="false" name="IQ_FWD_Q2" vbProcedure="false">503</definedName>
    <definedName function="false" hidden="false" name="IQ_FX" vbProcedure="false">"c451"</definedName>
    <definedName function="false" hidden="false" name="IQ_FY" vbProcedure="false">1000</definedName>
    <definedName function="false" hidden="false" name="IQ_GAIN_ASSETS" vbProcedure="false">"c452"</definedName>
    <definedName function="false" hidden="false" name="IQ_GAIN_ASSETS_BNK" vbProcedure="false">"c453"</definedName>
    <definedName function="false" hidden="false" name="IQ_GAIN_ASSETS_BR" vbProcedure="false">"c454"</definedName>
    <definedName function="false" hidden="false" name="IQ_GAIN_ASSETS_CF" vbProcedure="false">"c455"</definedName>
    <definedName function="false" hidden="false" name="IQ_GAIN_ASSETS_CF_BNK" vbProcedure="false">"c456"</definedName>
    <definedName function="false" hidden="false" name="IQ_GAIN_ASSETS_CF_BR" vbProcedure="false">"c457"</definedName>
    <definedName function="false" hidden="false" name="IQ_GAIN_ASSETS_CF_FIN" vbProcedure="false">"c458"</definedName>
    <definedName function="false" hidden="false" name="IQ_GAIN_ASSETS_CF_INS" vbProcedure="false">"c459"</definedName>
    <definedName function="false" hidden="false" name="IQ_GAIN_ASSETS_CF_REIT" vbProcedure="false">"c460"</definedName>
    <definedName function="false" hidden="false" name="IQ_GAIN_ASSETS_CF_UTI" vbProcedure="false">"c461"</definedName>
    <definedName function="false" hidden="false" name="IQ_GAIN_ASSETS_FIN" vbProcedure="false">"c462"</definedName>
    <definedName function="false" hidden="false" name="IQ_GAIN_ASSETS_INS" vbProcedure="false">"c463"</definedName>
    <definedName function="false" hidden="false" name="IQ_GAIN_ASSETS_REIT" vbProcedure="false">"c471"</definedName>
    <definedName function="false" hidden="false" name="IQ_GAIN_ASSETS_REV" vbProcedure="false">"c472"</definedName>
    <definedName function="false" hidden="false" name="IQ_GAIN_ASSETS_REV_BNK" vbProcedure="false">"c473"</definedName>
    <definedName function="false" hidden="false" name="IQ_GAIN_ASSETS_REV_BR" vbProcedure="false">"c474"</definedName>
    <definedName function="false" hidden="false" name="IQ_GAIN_ASSETS_REV_FIN" vbProcedure="false">"c475"</definedName>
    <definedName function="false" hidden="false" name="IQ_GAIN_ASSETS_REV_INS" vbProcedure="false">"c476"</definedName>
    <definedName function="false" hidden="false" name="IQ_GAIN_ASSETS_REV_REIT" vbProcedure="false">"c477"</definedName>
    <definedName function="false" hidden="false" name="IQ_GAIN_ASSETS_REV_UTI" vbProcedure="false">"c478"</definedName>
    <definedName function="false" hidden="false" name="IQ_GAIN_ASSETS_UTI" vbProcedure="false">"c479"</definedName>
    <definedName function="false" hidden="false" name="IQ_GAIN_INVEST" vbProcedure="false">"c1463"</definedName>
    <definedName function="false" hidden="false" name="IQ_GAIN_INVEST_BNK" vbProcedure="false">"c1582"</definedName>
    <definedName function="false" hidden="false" name="IQ_GAIN_INVEST_BR" vbProcedure="false">"c1464"</definedName>
    <definedName function="false" hidden="false" name="IQ_GAIN_INVEST_CF" vbProcedure="false">"c480"</definedName>
    <definedName function="false" hidden="false" name="IQ_GAIN_INVEST_CF_BNK" vbProcedure="false">"c481"</definedName>
    <definedName function="false" hidden="false" name="IQ_GAIN_INVEST_CF_BR" vbProcedure="false">"c482"</definedName>
    <definedName function="false" hidden="false" name="IQ_GAIN_INVEST_CF_FIN" vbProcedure="false">"c483"</definedName>
    <definedName function="false" hidden="false" name="IQ_GAIN_INVEST_CF_INS" vbProcedure="false">"c484"</definedName>
    <definedName function="false" hidden="false" name="IQ_GAIN_INVEST_CF_REIT" vbProcedure="false">"c485"</definedName>
    <definedName function="false" hidden="false" name="IQ_GAIN_INVEST_CF_UTI" vbProcedure="false">"c486"</definedName>
    <definedName function="false" hidden="false" name="IQ_GAIN_INVEST_FIN" vbProcedure="false">"c1465"</definedName>
    <definedName function="false" hidden="false" name="IQ_GAIN_INVEST_INS" vbProcedure="false">"c1466"</definedName>
    <definedName function="false" hidden="false" name="IQ_GAIN_INVEST_REIT" vbProcedure="false">"c1467"</definedName>
    <definedName function="false" hidden="false" name="IQ_GAIN_INVEST_REV" vbProcedure="false">"c494"</definedName>
    <definedName function="false" hidden="false" name="IQ_GAIN_INVEST_REV_BNK" vbProcedure="false">"c495"</definedName>
    <definedName function="false" hidden="false" name="IQ_GAIN_INVEST_REV_BR" vbProcedure="false">"c496"</definedName>
    <definedName function="false" hidden="false" name="IQ_GAIN_INVEST_REV_FIN" vbProcedure="false">"c497"</definedName>
    <definedName function="false" hidden="false" name="IQ_GAIN_INVEST_REV_INS" vbProcedure="false">"c498"</definedName>
    <definedName function="false" hidden="false" name="IQ_GAIN_INVEST_REV_REIT" vbProcedure="false">"c499"</definedName>
    <definedName function="false" hidden="false" name="IQ_GAIN_INVEST_REV_UTI" vbProcedure="false">"c500"</definedName>
    <definedName function="false" hidden="false" name="IQ_GAIN_INVEST_UTI" vbProcedure="false">"c1468"</definedName>
    <definedName function="false" hidden="false" name="IQ_GAIN_LOANS_REC" vbProcedure="false">"c501"</definedName>
    <definedName function="false" hidden="false" name="IQ_GAIN_LOANS_RECEIV" vbProcedure="false">"c502"</definedName>
    <definedName function="false" hidden="false" name="IQ_GAIN_LOANS_RECEIV_REV_FIN" vbProcedure="false">"c503"</definedName>
    <definedName function="false" hidden="false" name="IQ_GAIN_LOANS_REV" vbProcedure="false">"c504"</definedName>
    <definedName function="false" hidden="false" name="IQ_GAIN_SALE_ASSETS" vbProcedure="false">"c452"</definedName>
    <definedName function="false" hidden="false" name="IQ_GOODWILL_NET" vbProcedure="false">"c530"</definedName>
    <definedName function="false" hidden="false" name="IQ_GP" vbProcedure="false">"c511"</definedName>
    <definedName function="false" hidden="false" name="IQ_GPPE" vbProcedure="false">"c518"</definedName>
    <definedName function="false" hidden="false" name="IQ_GP_10YR_ANN_GROWTH" vbProcedure="false">"c512"</definedName>
    <definedName function="false" hidden="false" name="IQ_GP_1YR_ANN_GROWTH" vbProcedure="false">"c513"</definedName>
    <definedName function="false" hidden="false" name="IQ_GP_2YR_ANN_GROWTH" vbProcedure="false">"c514"</definedName>
    <definedName function="false" hidden="false" name="IQ_GP_3YR_ANN_GROWTH" vbProcedure="false">"c515"</definedName>
    <definedName function="false" hidden="false" name="IQ_GP_5YR_ANN_GROWTH" vbProcedure="false">"c516"</definedName>
    <definedName function="false" hidden="false" name="IQ_GP_7YR_ANN_GROWTH" vbProcedure="false">"c517"</definedName>
    <definedName function="false" hidden="false" name="IQ_GROSS_DIVID" vbProcedure="false">"c192"</definedName>
    <definedName function="false" hidden="false" name="IQ_GROSS_LOANS" vbProcedure="false">"c521"</definedName>
    <definedName function="false" hidden="false" name="IQ_GROSS_LOANS_10YR_ANN_GROWTH" vbProcedure="false">"c522"</definedName>
    <definedName function="false" hidden="false" name="IQ_GROSS_LOANS_1YR_ANN_GROWTH" vbProcedure="false">"c523"</definedName>
    <definedName function="false" hidden="false" name="IQ_GROSS_LOANS_2YR_ANN_GROWTH" vbProcedure="false">"c524"</definedName>
    <definedName function="false" hidden="false" name="IQ_GROSS_LOANS_3YR_ANN_GROWTH" vbProcedure="false">"c525"</definedName>
    <definedName function="false" hidden="false" name="IQ_GROSS_LOANS_5YR_ANN_GROWTH" vbProcedure="false">"c526"</definedName>
    <definedName function="false" hidden="false" name="IQ_GROSS_LOANS_7YR_ANN_GROWTH" vbProcedure="false">"c527"</definedName>
    <definedName function="false" hidden="false" name="IQ_GROSS_LOANS_TOTAL_DEPOSITS" vbProcedure="false">"c528"</definedName>
    <definedName function="false" hidden="false" name="IQ_GROSS_MARGIN" vbProcedure="false">"c529"</definedName>
    <definedName function="false" hidden="false" name="IQ_GROSS_PROFIT" vbProcedure="false">"c511"</definedName>
    <definedName function="false" hidden="false" name="IQ_GW" vbProcedure="false">"c530"</definedName>
    <definedName function="false" hidden="false" name="IQ_GW_INTAN_AMORT" vbProcedure="false">"c1469"</definedName>
    <definedName function="false" hidden="false" name="IQ_GW_INTAN_AMORT_BNK" vbProcedure="false">"c544"</definedName>
    <definedName function="false" hidden="false" name="IQ_GW_INTAN_AMORT_BR" vbProcedure="false">"c1470"</definedName>
    <definedName function="false" hidden="false" name="IQ_GW_INTAN_AMORT_CF" vbProcedure="false">"c1471"</definedName>
    <definedName function="false" hidden="false" name="IQ_GW_INTAN_AMORT_CF_BNK" vbProcedure="false">"c1472"</definedName>
    <definedName function="false" hidden="false" name="IQ_GW_INTAN_AMORT_CF_BR" vbProcedure="false">"c1473"</definedName>
    <definedName function="false" hidden="false" name="IQ_GW_INTAN_AMORT_CF_FIN" vbProcedure="false">"c1474"</definedName>
    <definedName function="false" hidden="false" name="IQ_GW_INTAN_AMORT_CF_INS" vbProcedure="false">"c1475"</definedName>
    <definedName function="false" hidden="false" name="IQ_GW_INTAN_AMORT_CF_REIT" vbProcedure="false">"c1476"</definedName>
    <definedName function="false" hidden="false" name="IQ_GW_INTAN_AMORT_CF_UTI" vbProcedure="false">"c1477"</definedName>
    <definedName function="false" hidden="false" name="IQ_GW_INTAN_AMORT_FIN" vbProcedure="false">"c1478"</definedName>
    <definedName function="false" hidden="false" name="IQ_GW_INTAN_AMORT_INS" vbProcedure="false">"c1479"</definedName>
    <definedName function="false" hidden="false" name="IQ_GW_INTAN_AMORT_REIT" vbProcedure="false">"c1480"</definedName>
    <definedName function="false" hidden="false" name="IQ_GW_INTAN_AMORT_UTI" vbProcedure="false">"c1481"</definedName>
    <definedName function="false" hidden="false" name="IQ_HIGHPRICE" vbProcedure="false">"c545"</definedName>
    <definedName function="false" hidden="false" name="IQ_HOMEOWNERS_WRITTEN" vbProcedure="false">"c546"</definedName>
    <definedName function="false" hidden="false" name="IQ_IMPAIRMENT_GW" vbProcedure="false">"c548"</definedName>
    <definedName function="false" hidden="false" name="IQ_IMPAIR_OIL" vbProcedure="false">"c547"</definedName>
    <definedName function="false" hidden="false" name="IQ_INC_AFTER_TAX" vbProcedure="false">"c1598"</definedName>
    <definedName function="false" hidden="false" name="IQ_INC_AVAIL_EXCL" vbProcedure="false">"c789"</definedName>
    <definedName function="false" hidden="false" name="IQ_INC_AVAIL_INCL" vbProcedure="false">"c791"</definedName>
    <definedName function="false" hidden="false" name="IQ_INC_BEFORE_TAX" vbProcedure="false">"c386"</definedName>
    <definedName function="false" hidden="false" name="IQ_INC_EQUITY" vbProcedure="false">"c549"</definedName>
    <definedName function="false" hidden="false" name="IQ_INC_EQUITY_BR" vbProcedure="false">"c550"</definedName>
    <definedName function="false" hidden="false" name="IQ_INC_EQUITY_CF" vbProcedure="false">"c551"</definedName>
    <definedName function="false" hidden="false" name="IQ_INC_EQUITY_FIN" vbProcedure="false">"c552"</definedName>
    <definedName function="false" hidden="false" name="IQ_INC_EQUITY_INS" vbProcedure="false">"c553"</definedName>
    <definedName function="false" hidden="false" name="IQ_INC_EQUITY_REC_BNK" vbProcedure="false">"c554"</definedName>
    <definedName function="false" hidden="false" name="IQ_INC_EQUITY_REIT" vbProcedure="false">"c555"</definedName>
    <definedName function="false" hidden="false" name="IQ_INC_EQUITY_REV_BNK" vbProcedure="false">"c556"</definedName>
    <definedName function="false" hidden="false" name="IQ_INC_EQUITY_UTI" vbProcedure="false">"c557"</definedName>
    <definedName function="false" hidden="false" name="IQ_INC_REAL_ESTATE_REC" vbProcedure="false">"c558"</definedName>
    <definedName function="false" hidden="false" name="IQ_INC_REAL_ESTATE_REV" vbProcedure="false">"c559"</definedName>
    <definedName function="false" hidden="false" name="IQ_INC_TAX" vbProcedure="false">"c560"</definedName>
    <definedName function="false" hidden="false" name="IQ_INC_TAX_EXCL" vbProcedure="false">"c1599"</definedName>
    <definedName function="false" hidden="false" name="IQ_INC_TAX_PAY_CURRENT" vbProcedure="false">"c561"</definedName>
    <definedName function="false" hidden="false" name="IQ_INC_TRADE_ACT" vbProcedure="false">"c562"</definedName>
    <definedName function="false" hidden="false" name="IQ_INSIDER_3MTH_BOUGHT_PCT" vbProcedure="false">"c1534"</definedName>
    <definedName function="false" hidden="false" name="IQ_INSIDER_3MTH_NET_PCT" vbProcedure="false">"c1535"</definedName>
    <definedName function="false" hidden="false" name="IQ_INSIDER_3MTH_SOLD_PCT" vbProcedure="false">"c1533"</definedName>
    <definedName function="false" hidden="false" name="IQ_INSIDER_6MTH_BOUGHT_PCT" vbProcedure="false">"c1537"</definedName>
    <definedName function="false" hidden="false" name="IQ_INSIDER_6MTH_NET_PCT" vbProcedure="false">"c1538"</definedName>
    <definedName function="false" hidden="false" name="IQ_INSIDER_6MTH_SOLD_PCT" vbProcedure="false">"c1536"</definedName>
    <definedName function="false" hidden="false" name="IQ_INSIDER_OVER_TOTAL" vbProcedure="false">"c1581"</definedName>
    <definedName function="false" hidden="false" name="IQ_INSIDER_OWNER" vbProcedure="false">"c577"</definedName>
    <definedName function="false" hidden="false" name="IQ_INSIDER_PERCENT" vbProcedure="false">"c578"</definedName>
    <definedName function="false" hidden="false" name="IQ_INSIDER_SHARES" vbProcedure="false">"c579"</definedName>
    <definedName function="false" hidden="false" name="IQ_INSTITUTIONAL_OVER_TOTAL" vbProcedure="false">"c1580"</definedName>
    <definedName function="false" hidden="false" name="IQ_INSTITUTIONAL_OWNER" vbProcedure="false">"c580"</definedName>
    <definedName function="false" hidden="false" name="IQ_INSTITUTIONAL_PERCENT" vbProcedure="false">"c581"</definedName>
    <definedName function="false" hidden="false" name="IQ_INSTITUTIONAL_SHARES" vbProcedure="false">"c582"</definedName>
    <definedName function="false" hidden="false" name="IQ_INSUR_RECEIV" vbProcedure="false">"c1600"</definedName>
    <definedName function="false" hidden="false" name="IQ_INS_ANNUITY_LIAB" vbProcedure="false">"c563"</definedName>
    <definedName function="false" hidden="false" name="IQ_INS_DIV_EXP" vbProcedure="false">"c564"</definedName>
    <definedName function="false" hidden="false" name="IQ_INS_DIV_REV" vbProcedure="false">"c565"</definedName>
    <definedName function="false" hidden="false" name="IQ_INS_IN_FORCE" vbProcedure="false">"c566"</definedName>
    <definedName function="false" hidden="false" name="IQ_INS_LIAB" vbProcedure="false">"c567"</definedName>
    <definedName function="false" hidden="false" name="IQ_INS_POLICY_EXP" vbProcedure="false">"c568"</definedName>
    <definedName function="false" hidden="false" name="IQ_INS_REV" vbProcedure="false">"c569"</definedName>
    <definedName function="false" hidden="false" name="IQ_INS_SETTLE" vbProcedure="false">"c570"</definedName>
    <definedName function="false" hidden="false" name="IQ_INS_SETTLE_BNK" vbProcedure="false">"c571"</definedName>
    <definedName function="false" hidden="false" name="IQ_INS_SETTLE_BR" vbProcedure="false">"c572"</definedName>
    <definedName function="false" hidden="false" name="IQ_INS_SETTLE_FIN" vbProcedure="false">"c573"</definedName>
    <definedName function="false" hidden="false" name="IQ_INS_SETTLE_INS" vbProcedure="false">"c574"</definedName>
    <definedName function="false" hidden="false" name="IQ_INS_SETTLE_REIT" vbProcedure="false">"c575"</definedName>
    <definedName function="false" hidden="false" name="IQ_INS_SETTLE_UTI" vbProcedure="false">"c576"</definedName>
    <definedName function="false" hidden="false" name="IQ_INTANGIBLES_NET" vbProcedure="false">"c907"</definedName>
    <definedName function="false" hidden="false" name="IQ_INTEREST_EXP" vbProcedure="false">"c618"</definedName>
    <definedName function="false" hidden="false" name="IQ_INTEREST_EXP_NET" vbProcedure="false">"c1450"</definedName>
    <definedName function="false" hidden="false" name="IQ_INTEREST_EXP_NON" vbProcedure="false">"c618"</definedName>
    <definedName function="false" hidden="false" name="IQ_INTEREST_EXP_SUPPL" vbProcedure="false">"c1460"</definedName>
    <definedName function="false" hidden="false" name="IQ_INTEREST_INC" vbProcedure="false">"c769"</definedName>
    <definedName function="false" hidden="false" name="IQ_INTEREST_INC_NON" vbProcedure="false">"c619"</definedName>
    <definedName function="false" hidden="false" name="IQ_INTEREST_INVEST_INC" vbProcedure="false">"c619"</definedName>
    <definedName function="false" hidden="false" name="IQ_INT_BORROW" vbProcedure="false">"c583"</definedName>
    <definedName function="false" hidden="false" name="IQ_INT_DEPOSITS" vbProcedure="false">"c584"</definedName>
    <definedName function="false" hidden="false" name="IQ_INT_DIV_INC" vbProcedure="false">"c585"</definedName>
    <definedName function="false" hidden="false" name="IQ_INT_EXP_BR" vbProcedure="false">"c586"</definedName>
    <definedName function="false" hidden="false" name="IQ_INT_EXP_COVERAGE" vbProcedure="false">"c587"</definedName>
    <definedName function="false" hidden="false" name="IQ_INT_EXP_FIN" vbProcedure="false">"c588"</definedName>
    <definedName function="false" hidden="false" name="IQ_INT_EXP_INS" vbProcedure="false">"c589"</definedName>
    <definedName function="false" hidden="false" name="IQ_INT_EXP_REIT" vbProcedure="false">"c590"</definedName>
    <definedName function="false" hidden="false" name="IQ_INT_EXP_TOTAL" vbProcedure="false">"c591"</definedName>
    <definedName function="false" hidden="false" name="IQ_INT_EXP_UTI" vbProcedure="false">"c592"</definedName>
    <definedName function="false" hidden="false" name="IQ_INT_INC_BR" vbProcedure="false">"c593"</definedName>
    <definedName function="false" hidden="false" name="IQ_INT_INC_FIN" vbProcedure="false">"c594"</definedName>
    <definedName function="false" hidden="false" name="IQ_INT_INC_INVEST" vbProcedure="false">"c595"</definedName>
    <definedName function="false" hidden="false" name="IQ_INT_INC_LOANS" vbProcedure="false">"c596"</definedName>
    <definedName function="false" hidden="false" name="IQ_INT_INC_REIT" vbProcedure="false">"c597"</definedName>
    <definedName function="false" hidden="false" name="IQ_INT_INC_TOTAL" vbProcedure="false">"c598"</definedName>
    <definedName function="false" hidden="false" name="IQ_INT_INC_UTI" vbProcedure="false">"c599"</definedName>
    <definedName function="false" hidden="false" name="IQ_INT_INV_INC" vbProcedure="false">"c600"</definedName>
    <definedName function="false" hidden="false" name="IQ_INT_INV_INC_REIT" vbProcedure="false">"c601"</definedName>
    <definedName function="false" hidden="false" name="IQ_INT_INV_INC_UTI" vbProcedure="false">"c602"</definedName>
    <definedName function="false" hidden="false" name="IQ_INT_ON_BORROWING_COVERAGE" vbProcedure="false">"c603"</definedName>
    <definedName function="false" hidden="false" name="IQ_INT_RATE_SPREAD" vbProcedure="false">"c604"</definedName>
    <definedName function="false" hidden="false" name="IQ_INVENTORY" vbProcedure="false">"c622"</definedName>
    <definedName function="false" hidden="false" name="IQ_INVENTORY_TURNS" vbProcedure="false">"c623"</definedName>
    <definedName function="false" hidden="false" name="IQ_INVENTORY_UTI" vbProcedure="false">"c624"</definedName>
    <definedName function="false" hidden="false" name="IQ_INVEST_DEBT" vbProcedure="false">"c625"</definedName>
    <definedName function="false" hidden="false" name="IQ_INVEST_EQUITY_PREF" vbProcedure="false">"c626"</definedName>
    <definedName function="false" hidden="false" name="IQ_INVEST_FHLB" vbProcedure="false">"c627"</definedName>
    <definedName function="false" hidden="false" name="IQ_INVEST_LOANS_CF" vbProcedure="false">"c628"</definedName>
    <definedName function="false" hidden="false" name="IQ_INVEST_LOANS_CF_BNK" vbProcedure="false">"c629"</definedName>
    <definedName function="false" hidden="false" name="IQ_INVEST_LOANS_CF_BR" vbProcedure="false">"c630"</definedName>
    <definedName function="false" hidden="false" name="IQ_INVEST_LOANS_CF_FIN" vbProcedure="false">"c631"</definedName>
    <definedName function="false" hidden="false" name="IQ_INVEST_LOANS_CF_INS" vbProcedure="false">"c632"</definedName>
    <definedName function="false" hidden="false" name="IQ_INVEST_LOANS_CF_REIT" vbProcedure="false">"c633"</definedName>
    <definedName function="false" hidden="false" name="IQ_INVEST_LOANS_CF_UTI" vbProcedure="false">"c634"</definedName>
    <definedName function="false" hidden="false" name="IQ_INVEST_REAL_ESTATE" vbProcedure="false">"c635"</definedName>
    <definedName function="false" hidden="false" name="IQ_INVEST_SECURITY" vbProcedure="false">"c636"</definedName>
    <definedName function="false" hidden="false" name="IQ_INVEST_SECURITY_CF" vbProcedure="false">"c637"</definedName>
    <definedName function="false" hidden="false" name="IQ_INVEST_SECURITY_CF_BNK" vbProcedure="false">"c638"</definedName>
    <definedName function="false" hidden="false" name="IQ_INVEST_SECURITY_CF_BR" vbProcedure="false">"c639"</definedName>
    <definedName function="false" hidden="false" name="IQ_INVEST_SECURITY_CF_FIN" vbProcedure="false">"c640"</definedName>
    <definedName function="false" hidden="false" name="IQ_INVEST_SECURITY_CF_INS" vbProcedure="false">"c641"</definedName>
    <definedName function="false" hidden="false" name="IQ_INVEST_SECURITY_CF_REIT" vbProcedure="false">"c642"</definedName>
    <definedName function="false" hidden="false" name="IQ_INVEST_SECURITY_CF_UTI" vbProcedure="false">"c643"</definedName>
    <definedName function="false" hidden="false" name="IQ_INV_BANKING_FEE" vbProcedure="false">"c620"</definedName>
    <definedName function="false" hidden="false" name="IQ_INV_METHOD" vbProcedure="false">"c621"</definedName>
    <definedName function="false" hidden="false" name="IQ_IPRD" vbProcedure="false">"c644"</definedName>
    <definedName function="false" hidden="false" name="IQ_ISS_DEBT_NET" vbProcedure="false">"c751"</definedName>
    <definedName function="false" hidden="false" name="IQ_ISS_STOCK_NET" vbProcedure="false">"c1601"</definedName>
    <definedName function="false" hidden="false" name="IQ_LAND" vbProcedure="false">"c645"</definedName>
    <definedName function="false" hidden="false" name="IQ_LASTSALEPRICE" vbProcedure="false">"c646"</definedName>
    <definedName function="false" hidden="false" name="IQ_LATESTK" vbProcedure="false">1000</definedName>
    <definedName function="false" hidden="false" name="IQ_LATESTQ" vbProcedure="false">500</definedName>
    <definedName function="false" hidden="false" name="IQ_LEGAL_SETTLE" vbProcedure="false">"c647"</definedName>
    <definedName function="false" hidden="false" name="IQ_LEGAL_SETTLE_BNK" vbProcedure="false">"c648"</definedName>
    <definedName function="false" hidden="false" name="IQ_LEGAL_SETTLE_BR" vbProcedure="false">"c649"</definedName>
    <definedName function="false" hidden="false" name="IQ_LEGAL_SETTLE_FIN" vbProcedure="false">"c650"</definedName>
    <definedName function="false" hidden="false" name="IQ_LEGAL_SETTLE_INS" vbProcedure="false">"c651"</definedName>
    <definedName function="false" hidden="false" name="IQ_LEGAL_SETTLE_REIT" vbProcedure="false">"c652"</definedName>
    <definedName function="false" hidden="false" name="IQ_LEGAL_SETTLE_UTI" vbProcedure="false">"c653"</definedName>
    <definedName function="false" hidden="false" name="IQ_LEVERAGE_RATIO" vbProcedure="false">"c654"</definedName>
    <definedName function="false" hidden="false" name="IQ_LIFOR" vbProcedure="false">"c655"</definedName>
    <definedName function="false" hidden="false" name="IQ_LL" vbProcedure="false">"c656"</definedName>
    <definedName function="false" hidden="false" name="IQ_LOANS_CF" vbProcedure="false">"c659"</definedName>
    <definedName function="false" hidden="false" name="IQ_LOANS_CF_BNK" vbProcedure="false">"c660"</definedName>
    <definedName function="false" hidden="false" name="IQ_LOANS_CF_BR" vbProcedure="false">"c661"</definedName>
    <definedName function="false" hidden="false" name="IQ_LOANS_CF_FIN" vbProcedure="false">"c662"</definedName>
    <definedName function="false" hidden="false" name="IQ_LOANS_CF_INS" vbProcedure="false">"c663"</definedName>
    <definedName function="false" hidden="false" name="IQ_LOANS_CF_REIT" vbProcedure="false">"c664"</definedName>
    <definedName function="false" hidden="false" name="IQ_LOANS_CF_UTI" vbProcedure="false">"c665"</definedName>
    <definedName function="false" hidden="false" name="IQ_LOANS_FOR_SALE" vbProcedure="false">"c666"</definedName>
    <definedName function="false" hidden="false" name="IQ_LOANS_PAST_DUE" vbProcedure="false">"c667"</definedName>
    <definedName function="false" hidden="false" name="IQ_LOANS_RECEIV_CURRENT" vbProcedure="false">"c668"</definedName>
    <definedName function="false" hidden="false" name="IQ_LOANS_RECEIV_LT" vbProcedure="false">"c669"</definedName>
    <definedName function="false" hidden="false" name="IQ_LOANS_RECEIV_LT_UTI" vbProcedure="false">"c670"</definedName>
    <definedName function="false" hidden="false" name="IQ_LOAN_LEASE_RECEIV" vbProcedure="false">"c657"</definedName>
    <definedName function="false" hidden="false" name="IQ_LOAN_LOSS" vbProcedure="false">"c656"</definedName>
    <definedName function="false" hidden="false" name="IQ_LOAN_SERVICE_REV" vbProcedure="false">"c658"</definedName>
    <definedName function="false" hidden="false" name="IQ_LONG_TERM_DEBT" vbProcedure="false">"c674"</definedName>
    <definedName function="false" hidden="false" name="IQ_LONG_TERM_DEBT_OVER_TOTAL_CAP" vbProcedure="false">"c677"</definedName>
    <definedName function="false" hidden="false" name="IQ_LONG_TERM_GROWTH" vbProcedure="false">"c671"</definedName>
    <definedName function="false" hidden="false" name="IQ_LONG_TERM_INV" vbProcedure="false">"c697"</definedName>
    <definedName function="false" hidden="false" name="IQ_LOSS_LOSS_EXP" vbProcedure="false">"c672"</definedName>
    <definedName function="false" hidden="false" name="IQ_LOWPRICE" vbProcedure="false">"c673"</definedName>
    <definedName function="false" hidden="false" name="IQ_LTD_DUE_AFTER_FIVE" vbProcedure="false">"c704"</definedName>
    <definedName function="false" hidden="false" name="IQ_LTD_DUE_CY" vbProcedure="false">"c705"</definedName>
    <definedName function="false" hidden="false" name="IQ_LTD_DUE_CY1" vbProcedure="false">"c706"</definedName>
    <definedName function="false" hidden="false" name="IQ_LTD_DUE_CY2" vbProcedure="false">"c707"</definedName>
    <definedName function="false" hidden="false" name="IQ_LTD_DUE_CY3" vbProcedure="false">"c708"</definedName>
    <definedName function="false" hidden="false" name="IQ_LTD_DUE_CY4" vbProcedure="false">"c709"</definedName>
    <definedName function="false" hidden="false" name="IQ_LTD_DUE_NEXT_FIVE" vbProcedure="false">"c710"</definedName>
    <definedName function="false" hidden="false" name="IQ_LTM" vbProcedure="false">2000</definedName>
    <definedName function="false" hidden="false" name="IQ_LTM_REVENUE_OVER_EMPLOYEES" vbProcedure="false">"c1304"</definedName>
    <definedName function="false" hidden="false" name="IQ_LT_DEBT" vbProcedure="false">"c674"</definedName>
    <definedName function="false" hidden="false" name="IQ_LT_DEBT_BNK" vbProcedure="false">"c675"</definedName>
    <definedName function="false" hidden="false" name="IQ_LT_DEBT_BR" vbProcedure="false">"c676"</definedName>
    <definedName function="false" hidden="false" name="IQ_LT_DEBT_CAPITAL" vbProcedure="false">"c677"</definedName>
    <definedName function="false" hidden="false" name="IQ_LT_DEBT_EQUITY" vbProcedure="false">"c678"</definedName>
    <definedName function="false" hidden="false" name="IQ_LT_DEBT_FIN" vbProcedure="false">"c679"</definedName>
    <definedName function="false" hidden="false" name="IQ_LT_DEBT_INS" vbProcedure="false">"c680"</definedName>
    <definedName function="false" hidden="false" name="IQ_LT_DEBT_ISSUED" vbProcedure="false">"c681"</definedName>
    <definedName function="false" hidden="false" name="IQ_LT_DEBT_ISSUED_BNK" vbProcedure="false">"c682"</definedName>
    <definedName function="false" hidden="false" name="IQ_LT_DEBT_ISSUED_BR" vbProcedure="false">"c683"</definedName>
    <definedName function="false" hidden="false" name="IQ_LT_DEBT_ISSUED_FIN" vbProcedure="false">"c684"</definedName>
    <definedName function="false" hidden="false" name="IQ_LT_DEBT_ISSUED_INS" vbProcedure="false">"c685"</definedName>
    <definedName function="false" hidden="false" name="IQ_LT_DEBT_ISSUED_REIT" vbProcedure="false">"c686"</definedName>
    <definedName function="false" hidden="false" name="IQ_LT_DEBT_ISSUED_UTI" vbProcedure="false">"c687"</definedName>
    <definedName function="false" hidden="false" name="IQ_LT_DEBT_REIT" vbProcedure="false">"c688"</definedName>
    <definedName function="false" hidden="false" name="IQ_LT_DEBT_REPAID" vbProcedure="false">"c689"</definedName>
    <definedName function="false" hidden="false" name="IQ_LT_DEBT_REPAID_BNK" vbProcedure="false">"c690"</definedName>
    <definedName function="false" hidden="false" name="IQ_LT_DEBT_REPAID_BR" vbProcedure="false">"c691"</definedName>
    <definedName function="false" hidden="false" name="IQ_LT_DEBT_REPAID_FIN" vbProcedure="false">"c692"</definedName>
    <definedName function="false" hidden="false" name="IQ_LT_DEBT_REPAID_INS" vbProcedure="false">"c693"</definedName>
    <definedName function="false" hidden="false" name="IQ_LT_DEBT_REPAID_REIT" vbProcedure="false">"c694"</definedName>
    <definedName function="false" hidden="false" name="IQ_LT_DEBT_REPAID_UTI" vbProcedure="false">"c695"</definedName>
    <definedName function="false" hidden="false" name="IQ_LT_DEBT_UTI" vbProcedure="false">"c696"</definedName>
    <definedName function="false" hidden="false" name="IQ_LT_INVEST" vbProcedure="false">"c697"</definedName>
    <definedName function="false" hidden="false" name="IQ_LT_INVEST_BR" vbProcedure="false">"c698"</definedName>
    <definedName function="false" hidden="false" name="IQ_LT_INVEST_FIN" vbProcedure="false">"c699"</definedName>
    <definedName function="false" hidden="false" name="IQ_LT_INVEST_REIT" vbProcedure="false">"c700"</definedName>
    <definedName function="false" hidden="false" name="IQ_LT_INVEST_UTI" vbProcedure="false">"c701"</definedName>
    <definedName function="false" hidden="false" name="IQ_LT_NOTE_RECEIV" vbProcedure="false">"c1602"</definedName>
    <definedName function="false" hidden="false" name="IQ_MACHINERY" vbProcedure="false">"c711"</definedName>
    <definedName function="false" hidden="false" name="IQ_MARKETCAP" vbProcedure="false">"c712"</definedName>
    <definedName function="false" hidden="false" name="IQ_MERGER" vbProcedure="false">"c713"</definedName>
    <definedName function="false" hidden="false" name="IQ_MERGER_BNK" vbProcedure="false">"c714"</definedName>
    <definedName function="false" hidden="false" name="IQ_MERGER_BR" vbProcedure="false">"c715"</definedName>
    <definedName function="false" hidden="false" name="IQ_MERGER_FIN" vbProcedure="false">"c716"</definedName>
    <definedName function="false" hidden="false" name="IQ_MERGER_INS" vbProcedure="false">"c717"</definedName>
    <definedName function="false" hidden="false" name="IQ_MERGER_REIT" vbProcedure="false">"c718"</definedName>
    <definedName function="false" hidden="false" name="IQ_MERGER_RESTRUCTURE" vbProcedure="false">"c719"</definedName>
    <definedName function="false" hidden="false" name="IQ_MERGER_RESTRUCTURE_BNK" vbProcedure="false">"c720"</definedName>
    <definedName function="false" hidden="false" name="IQ_MERGER_RESTRUCTURE_BR" vbProcedure="false">"c721"</definedName>
    <definedName function="false" hidden="false" name="IQ_MERGER_RESTRUCTURE_FIN" vbProcedure="false">"c722"</definedName>
    <definedName function="false" hidden="false" name="IQ_MERGER_RESTRUCTURE_INS" vbProcedure="false">"c723"</definedName>
    <definedName function="false" hidden="false" name="IQ_MERGER_RESTRUCTURE_REIT" vbProcedure="false">"c724"</definedName>
    <definedName function="false" hidden="false" name="IQ_MERGER_RESTRUCTURE_UTI" vbProcedure="false">"c725"</definedName>
    <definedName function="false" hidden="false" name="IQ_MERGER_UTI" vbProcedure="false">"c726"</definedName>
    <definedName function="false" hidden="false" name="IQ_MINORITY_INTEREST" vbProcedure="false">"c727"</definedName>
    <definedName function="false" hidden="false" name="IQ_MINORITY_INTEREST_BNK" vbProcedure="false">"c728"</definedName>
    <definedName function="false" hidden="false" name="IQ_MINORITY_INTEREST_BR" vbProcedure="false">"c729"</definedName>
    <definedName function="false" hidden="false" name="IQ_MINORITY_INTEREST_CF" vbProcedure="false">"c730"</definedName>
    <definedName function="false" hidden="false" name="IQ_MINORITY_INTEREST_FIN" vbProcedure="false">"c731"</definedName>
    <definedName function="false" hidden="false" name="IQ_MINORITY_INTEREST_INS" vbProcedure="false">"c732"</definedName>
    <definedName function="false" hidden="false" name="IQ_MINORITY_INTEREST_IS" vbProcedure="false">"c733"</definedName>
    <definedName function="false" hidden="false" name="IQ_MINORITY_INTEREST_REIT" vbProcedure="false">"c734"</definedName>
    <definedName function="false" hidden="false" name="IQ_MINORITY_INTEREST_UTI" vbProcedure="false">"c735"</definedName>
    <definedName function="false" hidden="false" name="IQ_MISC_ADJUST_CF" vbProcedure="false">"c736"</definedName>
    <definedName function="false" hidden="false" name="IQ_MISC_EARN_ADJ" vbProcedure="false">"c1603"</definedName>
    <definedName function="false" hidden="false" name="IQ_MKTCAP_EBT_EXCL" vbProcedure="false">"c737"</definedName>
    <definedName function="false" hidden="false" name="IQ_MKTCAP_EBT_EXCL_AVG" vbProcedure="false">"c738"</definedName>
    <definedName function="false" hidden="false" name="IQ_MKTCAP_EBT_INCL_AVG" vbProcedure="false">"c739"</definedName>
    <definedName function="false" hidden="false" name="IQ_MKTCAP_TOTAL_REV" vbProcedure="false">"c740"</definedName>
    <definedName function="false" hidden="false" name="IQ_MKTCAP_TOTAL_REV_AVG" vbProcedure="false">"c741"</definedName>
    <definedName function="false" hidden="false" name="IQ_MKTCAP_TOTAL_REV_FWD" vbProcedure="false">"c742"</definedName>
    <definedName function="false" hidden="false" name="IQ_MM_ACCOUNT" vbProcedure="false">"c743"</definedName>
    <definedName function="false" hidden="false" name="IQ_MORT_BANKING_FEE" vbProcedure="false">"c745"</definedName>
    <definedName function="false" hidden="false" name="IQ_MORT_BANK_ACT" vbProcedure="false">"c744"</definedName>
    <definedName function="false" hidden="false" name="IQ_MORT_INT_INC" vbProcedure="false">"c746"</definedName>
    <definedName function="false" hidden="false" name="IQ_MORT_LOANS" vbProcedure="false">"c747"</definedName>
    <definedName function="false" hidden="false" name="IQ_MORT_SECURITY" vbProcedure="false">"c748"</definedName>
    <definedName function="false" hidden="false" name="IQ_NET_CHANGE" vbProcedure="false">"c749"</definedName>
    <definedName function="false" hidden="false" name="IQ_NET_DEBT" vbProcedure="false">"c1584"</definedName>
    <definedName function="false" hidden="false" name="IQ_NET_DEBT_EBITDA" vbProcedure="false">"c750"</definedName>
    <definedName function="false" hidden="false" name="IQ_NET_DEBT_ISSUED" vbProcedure="false">"c751"</definedName>
    <definedName function="false" hidden="false" name="IQ_NET_DEBT_ISSUED_BNK" vbProcedure="false">"c752"</definedName>
    <definedName function="false" hidden="false" name="IQ_NET_DEBT_ISSUED_BR" vbProcedure="false">"c753"</definedName>
    <definedName function="false" hidden="false" name="IQ_NET_DEBT_ISSUED_FIN" vbProcedure="false">"c754"</definedName>
    <definedName function="false" hidden="false" name="IQ_NET_DEBT_ISSUED_INS" vbProcedure="false">"c755"</definedName>
    <definedName function="false" hidden="false" name="IQ_NET_DEBT_ISSUED_REIT" vbProcedure="false">"c756"</definedName>
    <definedName function="false" hidden="false" name="IQ_NET_DEBT_ISSUED_UTI" vbProcedure="false">"c757"</definedName>
    <definedName function="false" hidden="false" name="IQ_NET_INC" vbProcedure="false">"c781"</definedName>
    <definedName function="false" hidden="false" name="IQ_NET_INC_BEFORE" vbProcedure="false">"c344"</definedName>
    <definedName function="false" hidden="false" name="IQ_NET_INC_CF" vbProcedure="false">"c793"</definedName>
    <definedName function="false" hidden="false" name="IQ_NET_INC_MARGIN" vbProcedure="false">"c794"</definedName>
    <definedName function="false" hidden="false" name="IQ_NET_INTEREST_EXP" vbProcedure="false">"c769"</definedName>
    <definedName function="false" hidden="false" name="IQ_NET_INTEREST_EXP_REIT" vbProcedure="false">"c770"</definedName>
    <definedName function="false" hidden="false" name="IQ_NET_INTEREST_EXP_UTI" vbProcedure="false">"c771"</definedName>
    <definedName function="false" hidden="false" name="IQ_NET_INTEREST_INC" vbProcedure="false">"c764"</definedName>
    <definedName function="false" hidden="false" name="IQ_NET_INTEREST_INC_AFTER_LL" vbProcedure="false">"c1604"</definedName>
    <definedName function="false" hidden="false" name="IQ_NET_INT_INC_10YR_ANN_GROWTH" vbProcedure="false">"c758"</definedName>
    <definedName function="false" hidden="false" name="IQ_NET_INT_INC_1YR_ANN_GROWTH" vbProcedure="false">"c759"</definedName>
    <definedName function="false" hidden="false" name="IQ_NET_INT_INC_2YR_ANN_GROWTH" vbProcedure="false">"c760"</definedName>
    <definedName function="false" hidden="false" name="IQ_NET_INT_INC_3YR_ANN_GROWTH" vbProcedure="false">"c761"</definedName>
    <definedName function="false" hidden="false" name="IQ_NET_INT_INC_5YR_ANN_GROWTH" vbProcedure="false">"c762"</definedName>
    <definedName function="false" hidden="false" name="IQ_NET_INT_INC_7YR_ANN_GROWTH" vbProcedure="false">"c763"</definedName>
    <definedName function="false" hidden="false" name="IQ_NET_INT_INC_BNK" vbProcedure="false">"c764"</definedName>
    <definedName function="false" hidden="false" name="IQ_NET_INT_INC_BR" vbProcedure="false">"c765"</definedName>
    <definedName function="false" hidden="false" name="IQ_NET_INT_INC_FIN" vbProcedure="false">"c766"</definedName>
    <definedName function="false" hidden="false" name="IQ_NET_INT_INC_TOTAL_REV" vbProcedure="false">"c767"</definedName>
    <definedName function="false" hidden="false" name="IQ_NET_INT_MARGIN" vbProcedure="false">"c768"</definedName>
    <definedName function="false" hidden="false" name="IQ_NET_LOANS" vbProcedure="false">"c772"</definedName>
    <definedName function="false" hidden="false" name="IQ_NET_LOANS_10YR_ANN_GROWTH" vbProcedure="false">"c773"</definedName>
    <definedName function="false" hidden="false" name="IQ_NET_LOANS_1YR_ANN_GROWTH" vbProcedure="false">"c774"</definedName>
    <definedName function="false" hidden="false" name="IQ_NET_LOANS_2YR_ANN_GROWTH" vbProcedure="false">"c775"</definedName>
    <definedName function="false" hidden="false" name="IQ_NET_LOANS_3YR_ANN_GROWTH" vbProcedure="false">"c776"</definedName>
    <definedName function="false" hidden="false" name="IQ_NET_LOANS_5YR_ANN_GROWTH" vbProcedure="false">"c777"</definedName>
    <definedName function="false" hidden="false" name="IQ_NET_LOANS_7YR_ANN_GROWTH" vbProcedure="false">"c778"</definedName>
    <definedName function="false" hidden="false" name="IQ_NET_LOANS_TOTAL_DEPOSITS" vbProcedure="false">"c779"</definedName>
    <definedName function="false" hidden="false" name="IQ_NET_RENTAL_EXP_FN" vbProcedure="false">"c780"</definedName>
    <definedName function="false" hidden="false" name="IQ_NI" vbProcedure="false">"c781"</definedName>
    <definedName function="false" hidden="false" name="IQ_NI_10YR_ANN_GROWTH" vbProcedure="false">"c782"</definedName>
    <definedName function="false" hidden="false" name="IQ_NI_1YR_ANN_GROWTH" vbProcedure="false">"c783"</definedName>
    <definedName function="false" hidden="false" name="IQ_NI_2YR_ANN_GROWTH" vbProcedure="false">"c784"</definedName>
    <definedName function="false" hidden="false" name="IQ_NI_3YR_ANN_GROWTH" vbProcedure="false">"c785"</definedName>
    <definedName function="false" hidden="false" name="IQ_NI_5YR_ANN_GROWTH" vbProcedure="false">"c786"</definedName>
    <definedName function="false" hidden="false" name="IQ_NI_7YR_ANN_GROWTH" vbProcedure="false">"c787"</definedName>
    <definedName function="false" hidden="false" name="IQ_NI_AFTER_CAPITALIZED" vbProcedure="false">"c788"</definedName>
    <definedName function="false" hidden="false" name="IQ_NI_AVAIL_EXCL" vbProcedure="false">"c789"</definedName>
    <definedName function="false" hidden="false" name="IQ_NI_AVAIL_EXCL_MARGIN" vbProcedure="false">"c790"</definedName>
    <definedName function="false" hidden="false" name="IQ_NI_AVAIL_INCL" vbProcedure="false">"c791"</definedName>
    <definedName function="false" hidden="false" name="IQ_NI_BEFORE_CAPITALIZED" vbProcedure="false">"c792"</definedName>
    <definedName function="false" hidden="false" name="IQ_NI_CF" vbProcedure="false">"c793"</definedName>
    <definedName function="false" hidden="false" name="IQ_NI_MARGIN" vbProcedure="false">"c794"</definedName>
    <definedName function="false" hidden="false" name="IQ_NI_SFAS" vbProcedure="false">"c795"</definedName>
    <definedName function="false" hidden="false" name="IQ_NON_ACCRUAL_LOANS" vbProcedure="false">"c796"</definedName>
    <definedName function="false" hidden="false" name="IQ_NON_CASH" vbProcedure="false">"c797"</definedName>
    <definedName function="false" hidden="false" name="IQ_NON_CASH_ITEMS" vbProcedure="false">"c797"</definedName>
    <definedName function="false" hidden="false" name="IQ_NON_INS_EXP" vbProcedure="false">"c798"</definedName>
    <definedName function="false" hidden="false" name="IQ_NON_INS_REV" vbProcedure="false">"c799"</definedName>
    <definedName function="false" hidden="false" name="IQ_NON_INTEREST_EXP" vbProcedure="false">"c801"</definedName>
    <definedName function="false" hidden="false" name="IQ_NON_INTEREST_INC" vbProcedure="false">"c802"</definedName>
    <definedName function="false" hidden="false" name="IQ_NON_INT_BEAR_CD" vbProcedure="false">"c800"</definedName>
    <definedName function="false" hidden="false" name="IQ_NON_INT_EXP" vbProcedure="false">"c801"</definedName>
    <definedName function="false" hidden="false" name="IQ_NON_INT_INC" vbProcedure="false">"c802"</definedName>
    <definedName function="false" hidden="false" name="IQ_NON_INT_INC_10YR_ANN_GROWTH" vbProcedure="false">"c803"</definedName>
    <definedName function="false" hidden="false" name="IQ_NON_INT_INC_1YR_ANN_GROWTH" vbProcedure="false">"c804"</definedName>
    <definedName function="false" hidden="false" name="IQ_NON_INT_INC_2YR_ANN_GROWTH" vbProcedure="false">"c805"</definedName>
    <definedName function="false" hidden="false" name="IQ_NON_INT_INC_3YR_ANN_GROWTH" vbProcedure="false">"c806"</definedName>
    <definedName function="false" hidden="false" name="IQ_NON_INT_INC_5YR_ANN_GROWTH" vbProcedure="false">"c807"</definedName>
    <definedName function="false" hidden="false" name="IQ_NON_INT_INC_7YR_ANN_GROWTH" vbProcedure="false">"c808"</definedName>
    <definedName function="false" hidden="false" name="IQ_NON_OPER_EXP" vbProcedure="false">"c809"</definedName>
    <definedName function="false" hidden="false" name="IQ_NON_OPER_INC" vbProcedure="false">"c810"</definedName>
    <definedName function="false" hidden="false" name="IQ_NON_PERFORMING_ASSETS" vbProcedure="false">"c826"</definedName>
    <definedName function="false" hidden="false" name="IQ_NON_PERFORMING_LOANS" vbProcedure="false">"c827"</definedName>
    <definedName function="false" hidden="false" name="IQ_NON_PERF_ASSETS_10YR_ANN_GROWTH" vbProcedure="false">"c811"</definedName>
    <definedName function="false" hidden="false" name="IQ_NON_PERF_ASSETS_1YR_ANN_GROWTH" vbProcedure="false">"c812"</definedName>
    <definedName function="false" hidden="false" name="IQ_NON_PERF_ASSETS_2YR_ANN_GROWTH" vbProcedure="false">"c813"</definedName>
    <definedName function="false" hidden="false" name="IQ_NON_PERF_ASSETS_3YR_ANN_GROWTH" vbProcedure="false">"c814"</definedName>
    <definedName function="false" hidden="false" name="IQ_NON_PERF_ASSETS_5YR_ANN_GROWTH" vbProcedure="false">"c815"</definedName>
    <definedName function="false" hidden="false" name="IQ_NON_PERF_ASSETS_7YR_ANN_GROWTH" vbProcedure="false">"c816"</definedName>
    <definedName function="false" hidden="false" name="IQ_NON_PERF_ASSETS_TOTAL_ASSETS" vbProcedure="false">"c817"</definedName>
    <definedName function="false" hidden="false" name="IQ_NON_PERF_LOANS_10YR_ANN_GROWTH" vbProcedure="false">"c818"</definedName>
    <definedName function="false" hidden="false" name="IQ_NON_PERF_LOANS_1YR_ANN_GROWTH" vbProcedure="false">"c819"</definedName>
    <definedName function="false" hidden="false" name="IQ_NON_PERF_LOANS_2YR_ANN_GROWTH" vbProcedure="false">"c820"</definedName>
    <definedName function="false" hidden="false" name="IQ_NON_PERF_LOANS_3YR_ANN_GROWTH" vbProcedure="false">"c821"</definedName>
    <definedName function="false" hidden="false" name="IQ_NON_PERF_LOANS_5YR_ANN_GROWTH" vbProcedure="false">"c822"</definedName>
    <definedName function="false" hidden="false" name="IQ_NON_PERF_LOANS_7YR_ANN_GROWTH" vbProcedure="false">"c823"</definedName>
    <definedName function="false" hidden="false" name="IQ_NON_PERF_LOANS_TOTAL_ASSETS" vbProcedure="false">"c824"</definedName>
    <definedName function="false" hidden="false" name="IQ_NON_PERF_LOANS_TOTAL_LOANS" vbProcedure="false">"c825"</definedName>
    <definedName function="false" hidden="false" name="IQ_NORMAL_INC_AFTER" vbProcedure="false">"c1605"</definedName>
    <definedName function="false" hidden="false" name="IQ_NORMAL_INC_AVAIL" vbProcedure="false">"c1606"</definedName>
    <definedName function="false" hidden="false" name="IQ_NORMAL_INC_BEFORE" vbProcedure="false">"c1607"</definedName>
    <definedName function="false" hidden="false" name="IQ_NOTES_PAY" vbProcedure="false">"c1176"</definedName>
    <definedName function="false" hidden="false" name="IQ_NOW_ACCOUNT" vbProcedure="false">"c828"</definedName>
    <definedName function="false" hidden="false" name="IQ_NPPE" vbProcedure="false">"c829"</definedName>
    <definedName function="false" hidden="false" name="IQ_NPPE_10YR_ANN_GROWTH" vbProcedure="false">"c830"</definedName>
    <definedName function="false" hidden="false" name="IQ_NPPE_1YR_ANN_GROWTH" vbProcedure="false">"c831"</definedName>
    <definedName function="false" hidden="false" name="IQ_NPPE_2YR_ANN_GROWTH" vbProcedure="false">"c832"</definedName>
    <definedName function="false" hidden="false" name="IQ_NPPE_3YR_ANN_GROWTH" vbProcedure="false">"c833"</definedName>
    <definedName function="false" hidden="false" name="IQ_NPPE_5YR_ANN_GROWTH" vbProcedure="false">"c834"</definedName>
    <definedName function="false" hidden="false" name="IQ_NPPE_7YR_ANN_GROWTH" vbProcedure="false">"c835"</definedName>
    <definedName function="false" hidden="false" name="IQ_NTM" vbProcedure="false">6000</definedName>
    <definedName function="false" hidden="false" name="IQ_NUKE" vbProcedure="false">"c836"</definedName>
    <definedName function="false" hidden="false" name="IQ_NUKE_CF" vbProcedure="false">"c837"</definedName>
    <definedName function="false" hidden="false" name="IQ_NUKE_CONTR" vbProcedure="false">"c838"</definedName>
    <definedName function="false" hidden="false" name="IQ_OCCUPY_EXP" vbProcedure="false">"c839"</definedName>
    <definedName function="false" hidden="false" name="IQ_OIL_IMPAIR" vbProcedure="false">"c840"</definedName>
    <definedName function="false" hidden="false" name="IQ_OL_COMM_AFTER_FIVE" vbProcedure="false">"c841"</definedName>
    <definedName function="false" hidden="false" name="IQ_OL_COMM_CY" vbProcedure="false">"c842"</definedName>
    <definedName function="false" hidden="false" name="IQ_OL_COMM_CY1" vbProcedure="false">"c843"</definedName>
    <definedName function="false" hidden="false" name="IQ_OL_COMM_CY2" vbProcedure="false">"c844"</definedName>
    <definedName function="false" hidden="false" name="IQ_OL_COMM_CY3" vbProcedure="false">"c845"</definedName>
    <definedName function="false" hidden="false" name="IQ_OL_COMM_CY4" vbProcedure="false">"c846"</definedName>
    <definedName function="false" hidden="false" name="IQ_OL_COMM_NEXT_FIVE" vbProcedure="false">"c847"</definedName>
    <definedName function="false" hidden="false" name="IQ_OPENPRICE" vbProcedure="false">"c848"</definedName>
    <definedName function="false" hidden="false" name="IQ_OPERATIONS_EXP" vbProcedure="false">"c855"</definedName>
    <definedName function="false" hidden="false" name="IQ_OPER_INC" vbProcedure="false">"c849"</definedName>
    <definedName function="false" hidden="false" name="IQ_OPER_INC_BR" vbProcedure="false">"c850"</definedName>
    <definedName function="false" hidden="false" name="IQ_OPER_INC_FIN" vbProcedure="false">"c851"</definedName>
    <definedName function="false" hidden="false" name="IQ_OPER_INC_INS" vbProcedure="false">"c852"</definedName>
    <definedName function="false" hidden="false" name="IQ_OPER_INC_MARGIN" vbProcedure="false">"c362"</definedName>
    <definedName function="false" hidden="false" name="IQ_OPER_INC_REIT" vbProcedure="false">"c853"</definedName>
    <definedName function="false" hidden="false" name="IQ_OPER_INC_UTI" vbProcedure="false">"c854"</definedName>
    <definedName function="false" hidden="false" name="IQ_OPTIONS_BEG_OS" vbProcedure="false">"c1572"</definedName>
    <definedName function="false" hidden="false" name="IQ_OPTIONS_CANCELLED" vbProcedure="false">"c856"</definedName>
    <definedName function="false" hidden="false" name="IQ_OPTIONS_END_OS" vbProcedure="false">"c1573"</definedName>
    <definedName function="false" hidden="false" name="IQ_OPTIONS_ISSUED" vbProcedure="false">"c857"</definedName>
    <definedName function="false" hidden="false" name="IQ_OTHER_ADJUST_GROSS_LOANS" vbProcedure="false">"c859"</definedName>
    <definedName function="false" hidden="false" name="IQ_OTHER_ASSETS" vbProcedure="false">"c860"</definedName>
    <definedName function="false" hidden="false" name="IQ_OTHER_ASSETS_BNK" vbProcedure="false">"c861"</definedName>
    <definedName function="false" hidden="false" name="IQ_OTHER_ASSETS_BR" vbProcedure="false">"c862"</definedName>
    <definedName function="false" hidden="false" name="IQ_OTHER_ASSETS_FIN" vbProcedure="false">"c863"</definedName>
    <definedName function="false" hidden="false" name="IQ_OTHER_ASSETS_INS" vbProcedure="false">"c864"</definedName>
    <definedName function="false" hidden="false" name="IQ_OTHER_ASSETS_REIT" vbProcedure="false">"c865"</definedName>
    <definedName function="false" hidden="false" name="IQ_OTHER_ASSETS_UTI" vbProcedure="false">"c866"</definedName>
    <definedName function="false" hidden="false" name="IQ_OTHER_BEARING_LIAB" vbProcedure="false">"c1608"</definedName>
    <definedName function="false" hidden="false" name="IQ_OTHER_BENEFITS_OBLIGATION" vbProcedure="false">"c867"</definedName>
    <definedName function="false" hidden="false" name="IQ_OTHER_CA" vbProcedure="false">"c868"</definedName>
    <definedName function="false" hidden="false" name="IQ_OTHER_CA_SUPPL" vbProcedure="false">"c869"</definedName>
    <definedName function="false" hidden="false" name="IQ_OTHER_CA_SUPPL_BNK" vbProcedure="false">"c870"</definedName>
    <definedName function="false" hidden="false" name="IQ_OTHER_CA_SUPPL_BR" vbProcedure="false">"c871"</definedName>
    <definedName function="false" hidden="false" name="IQ_OTHER_CA_SUPPL_FIN" vbProcedure="false">"c872"</definedName>
    <definedName function="false" hidden="false" name="IQ_OTHER_CA_SUPPL_INS" vbProcedure="false">"c873"</definedName>
    <definedName function="false" hidden="false" name="IQ_OTHER_CA_SUPPL_REIT" vbProcedure="false">"c874"</definedName>
    <definedName function="false" hidden="false" name="IQ_OTHER_CA_SUPPL_UTI" vbProcedure="false">"c875"</definedName>
    <definedName function="false" hidden="false" name="IQ_OTHER_CA_UTI" vbProcedure="false">"c876"</definedName>
    <definedName function="false" hidden="false" name="IQ_OTHER_CL" vbProcedure="false">"c877"</definedName>
    <definedName function="false" hidden="false" name="IQ_OTHER_CL_SUPPL" vbProcedure="false">"c878"</definedName>
    <definedName function="false" hidden="false" name="IQ_OTHER_CL_SUPPL_BNK" vbProcedure="false">"c879"</definedName>
    <definedName function="false" hidden="false" name="IQ_OTHER_CL_SUPPL_BR" vbProcedure="false">"c880"</definedName>
    <definedName function="false" hidden="false" name="IQ_OTHER_CL_SUPPL_FIN" vbProcedure="false">"c881"</definedName>
    <definedName function="false" hidden="false" name="IQ_OTHER_CL_SUPPL_REIT" vbProcedure="false">"c882"</definedName>
    <definedName function="false" hidden="false" name="IQ_OTHER_CL_SUPPL_UTI" vbProcedure="false">"c883"</definedName>
    <definedName function="false" hidden="false" name="IQ_OTHER_CL_UTI" vbProcedure="false">"c884"</definedName>
    <definedName function="false" hidden="false" name="IQ_OTHER_CURRENT_ASSETS" vbProcedure="false">"c868"</definedName>
    <definedName function="false" hidden="false" name="IQ_OTHER_CURRENT_LIAB" vbProcedure="false">"c877"</definedName>
    <definedName function="false" hidden="false" name="IQ_OTHER_DEP" vbProcedure="false">"c885"</definedName>
    <definedName function="false" hidden="false" name="IQ_OTHER_EARNING" vbProcedure="false">"c1609"</definedName>
    <definedName function="false" hidden="false" name="IQ_OTHER_EQUITY" vbProcedure="false">"c886"</definedName>
    <definedName function="false" hidden="false" name="IQ_OTHER_EQUITY_BNK" vbProcedure="false">"c887"</definedName>
    <definedName function="false" hidden="false" name="IQ_OTHER_EQUITY_BR" vbProcedure="false">"c888"</definedName>
    <definedName function="false" hidden="false" name="IQ_OTHER_EQUITY_FIN" vbProcedure="false">"c889"</definedName>
    <definedName function="false" hidden="false" name="IQ_OTHER_EQUITY_INS" vbProcedure="false">"c890"</definedName>
    <definedName function="false" hidden="false" name="IQ_OTHER_EQUITY_REIT" vbProcedure="false">"c891"</definedName>
    <definedName function="false" hidden="false" name="IQ_OTHER_EQUITY_UTI" vbProcedure="false">"c892"</definedName>
    <definedName function="false" hidden="false" name="IQ_OTHER_FINANCE_ACT" vbProcedure="false">"c893"</definedName>
    <definedName function="false" hidden="false" name="IQ_OTHER_FINANCE_ACT_BNK" vbProcedure="false">"c894"</definedName>
    <definedName function="false" hidden="false" name="IQ_OTHER_FINANCE_ACT_BR" vbProcedure="false">"c895"</definedName>
    <definedName function="false" hidden="false" name="IQ_OTHER_FINANCE_ACT_FIN" vbProcedure="false">"c896"</definedName>
    <definedName function="false" hidden="false" name="IQ_OTHER_FINANCE_ACT_INS" vbProcedure="false">"c897"</definedName>
    <definedName function="false" hidden="false" name="IQ_OTHER_FINANCE_ACT_REIT" vbProcedure="false">"c898"</definedName>
    <definedName function="false" hidden="false" name="IQ_OTHER_FINANCE_ACT_SUPPL" vbProcedure="false">"c899"</definedName>
    <definedName function="false" hidden="false" name="IQ_OTHER_FINANCE_ACT_SUPPL_BNK" vbProcedure="false">"c900"</definedName>
    <definedName function="false" hidden="false" name="IQ_OTHER_FINANCE_ACT_SUPPL_BR" vbProcedure="false">"c901"</definedName>
    <definedName function="false" hidden="false" name="IQ_OTHER_FINANCE_ACT_SUPPL_FIN" vbProcedure="false">"c902"</definedName>
    <definedName function="false" hidden="false" name="IQ_OTHER_FINANCE_ACT_SUPPL_INS" vbProcedure="false">"c903"</definedName>
    <definedName function="false" hidden="false" name="IQ_OTHER_FINANCE_ACT_SUPPL_REIT" vbProcedure="false">"c904"</definedName>
    <definedName function="false" hidden="false" name="IQ_OTHER_FINANCE_ACT_SUPPL_UTI" vbProcedure="false">"c905"</definedName>
    <definedName function="false" hidden="false" name="IQ_OTHER_FINANCE_ACT_UTI" vbProcedure="false">"c906"</definedName>
    <definedName function="false" hidden="false" name="IQ_OTHER_INTAN" vbProcedure="false">"c907"</definedName>
    <definedName function="false" hidden="false" name="IQ_OTHER_INTAN_BNK" vbProcedure="false">"c908"</definedName>
    <definedName function="false" hidden="false" name="IQ_OTHER_INTAN_BR" vbProcedure="false">"c909"</definedName>
    <definedName function="false" hidden="false" name="IQ_OTHER_INTAN_FIN" vbProcedure="false">"c910"</definedName>
    <definedName function="false" hidden="false" name="IQ_OTHER_INTAN_INS" vbProcedure="false">"c911"</definedName>
    <definedName function="false" hidden="false" name="IQ_OTHER_INTAN_REIT" vbProcedure="false">"c912"</definedName>
    <definedName function="false" hidden="false" name="IQ_OTHER_INTAN_UTI" vbProcedure="false">"c913"</definedName>
    <definedName function="false" hidden="false" name="IQ_OTHER_INV" vbProcedure="false">"c914"</definedName>
    <definedName function="false" hidden="false" name="IQ_OTHER_INVEST" vbProcedure="false">"c915"</definedName>
    <definedName function="false" hidden="false" name="IQ_OTHER_INVESTING" vbProcedure="false">"c916"</definedName>
    <definedName function="false" hidden="false" name="IQ_OTHER_INVEST_ACT" vbProcedure="false">"c916"</definedName>
    <definedName function="false" hidden="false" name="IQ_OTHER_INVEST_ACT_BNK" vbProcedure="false">"c917"</definedName>
    <definedName function="false" hidden="false" name="IQ_OTHER_INVEST_ACT_BR" vbProcedure="false">"c918"</definedName>
    <definedName function="false" hidden="false" name="IQ_OTHER_INVEST_ACT_FIN" vbProcedure="false">"c919"</definedName>
    <definedName function="false" hidden="false" name="IQ_OTHER_INVEST_ACT_INS" vbProcedure="false">"c920"</definedName>
    <definedName function="false" hidden="false" name="IQ_OTHER_INVEST_ACT_REIT" vbProcedure="false">"c921"</definedName>
    <definedName function="false" hidden="false" name="IQ_OTHER_INVEST_ACT_SUPPL" vbProcedure="false">"c922"</definedName>
    <definedName function="false" hidden="false" name="IQ_OTHER_INVEST_ACT_SUPPL_BNK" vbProcedure="false">"c923"</definedName>
    <definedName function="false" hidden="false" name="IQ_OTHER_INVEST_ACT_SUPPL_BR" vbProcedure="false">"c924"</definedName>
    <definedName function="false" hidden="false" name="IQ_OTHER_INVEST_ACT_SUPPL_FIN" vbProcedure="false">"c925"</definedName>
    <definedName function="false" hidden="false" name="IQ_OTHER_INVEST_ACT_SUPPL_INS" vbProcedure="false">"c926"</definedName>
    <definedName function="false" hidden="false" name="IQ_OTHER_INVEST_ACT_SUPPL_REIT" vbProcedure="false">"c927"</definedName>
    <definedName function="false" hidden="false" name="IQ_OTHER_INVEST_ACT_SUPPL_UTI" vbProcedure="false">"c928"</definedName>
    <definedName function="false" hidden="false" name="IQ_OTHER_INVEST_ACT_UTI" vbProcedure="false">"c929"</definedName>
    <definedName function="false" hidden="false" name="IQ_OTHER_LIAB" vbProcedure="false">"c930"</definedName>
    <definedName function="false" hidden="false" name="IQ_OTHER_LIAB_BNK" vbProcedure="false">"c931"</definedName>
    <definedName function="false" hidden="false" name="IQ_OTHER_LIAB_BR" vbProcedure="false">"c932"</definedName>
    <definedName function="false" hidden="false" name="IQ_OTHER_LIAB_FIN" vbProcedure="false">"c933"</definedName>
    <definedName function="false" hidden="false" name="IQ_OTHER_LIAB_INS" vbProcedure="false">"c934"</definedName>
    <definedName function="false" hidden="false" name="IQ_OTHER_LIAB_LT" vbProcedure="false">"c935"</definedName>
    <definedName function="false" hidden="false" name="IQ_OTHER_LIAB_LT_BNK" vbProcedure="false">"c936"</definedName>
    <definedName function="false" hidden="false" name="IQ_OTHER_LIAB_LT_BR" vbProcedure="false">"c937"</definedName>
    <definedName function="false" hidden="false" name="IQ_OTHER_LIAB_LT_FIN" vbProcedure="false">"c938"</definedName>
    <definedName function="false" hidden="false" name="IQ_OTHER_LIAB_LT_INS" vbProcedure="false">"c939"</definedName>
    <definedName function="false" hidden="false" name="IQ_OTHER_LIAB_LT_REIT" vbProcedure="false">"c940"</definedName>
    <definedName function="false" hidden="false" name="IQ_OTHER_LIAB_LT_UTI" vbProcedure="false">"c941"</definedName>
    <definedName function="false" hidden="false" name="IQ_OTHER_LIAB_REIT" vbProcedure="false">"c942"</definedName>
    <definedName function="false" hidden="false" name="IQ_OTHER_LIAB_UTI" vbProcedure="false">"c943"</definedName>
    <definedName function="false" hidden="false" name="IQ_OTHER_LIAB_WRITTEN" vbProcedure="false">"c944"</definedName>
    <definedName function="false" hidden="false" name="IQ_OTHER_LOANS" vbProcedure="false">"c945"</definedName>
    <definedName function="false" hidden="false" name="IQ_OTHER_LONG_TERM" vbProcedure="false">"c946"</definedName>
    <definedName function="false" hidden="false" name="IQ_OTHER_LT_ASSETS" vbProcedure="false">"c946"</definedName>
    <definedName function="false" hidden="false" name="IQ_OTHER_LT_ASSETS_BNK" vbProcedure="false">"c947"</definedName>
    <definedName function="false" hidden="false" name="IQ_OTHER_LT_ASSETS_BR" vbProcedure="false">"c948"</definedName>
    <definedName function="false" hidden="false" name="IQ_OTHER_LT_ASSETS_FIN" vbProcedure="false">"c949"</definedName>
    <definedName function="false" hidden="false" name="IQ_OTHER_LT_ASSETS_INS" vbProcedure="false">"c950"</definedName>
    <definedName function="false" hidden="false" name="IQ_OTHER_LT_ASSETS_REIT" vbProcedure="false">"c951"</definedName>
    <definedName function="false" hidden="false" name="IQ_OTHER_LT_ASSETS_UTI" vbProcedure="false">"c952"</definedName>
    <definedName function="false" hidden="false" name="IQ_OTHER_NET" vbProcedure="false">"c959"</definedName>
    <definedName function="false" hidden="false" name="IQ_OTHER_NON_INT_EXP" vbProcedure="false">"c953"</definedName>
    <definedName function="false" hidden="false" name="IQ_OTHER_NON_INT_EXP_TOTAL" vbProcedure="false">"c954"</definedName>
    <definedName function="false" hidden="false" name="IQ_OTHER_NON_INT_INC" vbProcedure="false">"c955"</definedName>
    <definedName function="false" hidden="false" name="IQ_OTHER_NON_OPER_EXP" vbProcedure="false">"c956"</definedName>
    <definedName function="false" hidden="false" name="IQ_OTHER_NON_OPER_EXP_BR" vbProcedure="false">"c957"</definedName>
    <definedName function="false" hidden="false" name="IQ_OTHER_NON_OPER_EXP_FIN" vbProcedure="false">"c958"</definedName>
    <definedName function="false" hidden="false" name="IQ_OTHER_NON_OPER_EXP_INS" vbProcedure="false">"c959"</definedName>
    <definedName function="false" hidden="false" name="IQ_OTHER_NON_OPER_EXP_REIT" vbProcedure="false">"c960"</definedName>
    <definedName function="false" hidden="false" name="IQ_OTHER_NON_OPER_EXP_SUPPL" vbProcedure="false">"c961"</definedName>
    <definedName function="false" hidden="false" name="IQ_OTHER_NON_OPER_EXP_SUPPL_BR" vbProcedure="false">"c962"</definedName>
    <definedName function="false" hidden="false" name="IQ_OTHER_NON_OPER_EXP_SUPPL_FIN" vbProcedure="false">"c963"</definedName>
    <definedName function="false" hidden="false" name="IQ_OTHER_NON_OPER_EXP_SUPPL_INS" vbProcedure="false">"c964"</definedName>
    <definedName function="false" hidden="false" name="IQ_OTHER_NON_OPER_EXP_SUPPL_REIT" vbProcedure="false">"c965"</definedName>
    <definedName function="false" hidden="false" name="IQ_OTHER_NON_OPER_EXP_SUPPL_UTI" vbProcedure="false">"c966"</definedName>
    <definedName function="false" hidden="false" name="IQ_OTHER_NON_OPER_EXP_UTI" vbProcedure="false">"c967"</definedName>
    <definedName function="false" hidden="false" name="IQ_OTHER_OPER" vbProcedure="false">"c982"</definedName>
    <definedName function="false" hidden="false" name="IQ_OTHER_OPER_ACT" vbProcedure="false">"c983"</definedName>
    <definedName function="false" hidden="false" name="IQ_OTHER_OPER_ACT_BNK" vbProcedure="false">"c984"</definedName>
    <definedName function="false" hidden="false" name="IQ_OTHER_OPER_ACT_BR" vbProcedure="false">"c985"</definedName>
    <definedName function="false" hidden="false" name="IQ_OTHER_OPER_ACT_FIN" vbProcedure="false">"c986"</definedName>
    <definedName function="false" hidden="false" name="IQ_OTHER_OPER_ACT_INS" vbProcedure="false">"c987"</definedName>
    <definedName function="false" hidden="false" name="IQ_OTHER_OPER_ACT_REIT" vbProcedure="false">"c988"</definedName>
    <definedName function="false" hidden="false" name="IQ_OTHER_OPER_ACT_UTI" vbProcedure="false">"c989"</definedName>
    <definedName function="false" hidden="false" name="IQ_OTHER_OPER_BR" vbProcedure="false">"c990"</definedName>
    <definedName function="false" hidden="false" name="IQ_OTHER_OPER_FIN" vbProcedure="false">"c991"</definedName>
    <definedName function="false" hidden="false" name="IQ_OTHER_OPER_INS" vbProcedure="false">"c992"</definedName>
    <definedName function="false" hidden="false" name="IQ_OTHER_OPER_REIT" vbProcedure="false">"c993"</definedName>
    <definedName function="false" hidden="false" name="IQ_OTHER_OPER_SUPPL_BR" vbProcedure="false">"c994"</definedName>
    <definedName function="false" hidden="false" name="IQ_OTHER_OPER_SUPPL_FIN" vbProcedure="false">"c995"</definedName>
    <definedName function="false" hidden="false" name="IQ_OTHER_OPER_SUPPL_INS" vbProcedure="false">"c996"</definedName>
    <definedName function="false" hidden="false" name="IQ_OTHER_OPER_SUPPL_REIT" vbProcedure="false">"c997"</definedName>
    <definedName function="false" hidden="false" name="IQ_OTHER_OPER_SUPPL_UTI" vbProcedure="false">"c998"</definedName>
    <definedName function="false" hidden="false" name="IQ_OTHER_OPER_TOT_BNK" vbProcedure="false">"c999"</definedName>
    <definedName function="false" hidden="false" name="IQ_OTHER_OPER_TOT_BR" vbProcedure="false">"c1000"</definedName>
    <definedName function="false" hidden="false" name="IQ_OTHER_OPER_TOT_FIN" vbProcedure="false">"c1001"</definedName>
    <definedName function="false" hidden="false" name="IQ_OTHER_OPER_TOT_INS" vbProcedure="false">"c1002"</definedName>
    <definedName function="false" hidden="false" name="IQ_OTHER_OPER_TOT_REIT" vbProcedure="false">"c1003"</definedName>
    <definedName function="false" hidden="false" name="IQ_OTHER_OPER_TOT_UTI" vbProcedure="false">"c1004"</definedName>
    <definedName function="false" hidden="false" name="IQ_OTHER_OPER_UTI" vbProcedure="false">"c1005"</definedName>
    <definedName function="false" hidden="false" name="IQ_OTHER_PC_WRITTEN" vbProcedure="false">"c1006"</definedName>
    <definedName function="false" hidden="false" name="IQ_OTHER_REAL_ESTATE" vbProcedure="false">"c1007"</definedName>
    <definedName function="false" hidden="false" name="IQ_OTHER_RECEIV" vbProcedure="false">"c1008"</definedName>
    <definedName function="false" hidden="false" name="IQ_OTHER_RECEIV_INS" vbProcedure="false">"c1009"</definedName>
    <definedName function="false" hidden="false" name="IQ_OTHER_REV" vbProcedure="false">"c1010"</definedName>
    <definedName function="false" hidden="false" name="IQ_OTHER_REVENUE" vbProcedure="false">"c1010"</definedName>
    <definedName function="false" hidden="false" name="IQ_OTHER_REV_BR" vbProcedure="false">"c1011"</definedName>
    <definedName function="false" hidden="false" name="IQ_OTHER_REV_FIN" vbProcedure="false">"c1012"</definedName>
    <definedName function="false" hidden="false" name="IQ_OTHER_REV_INS" vbProcedure="false">"c1013"</definedName>
    <definedName function="false" hidden="false" name="IQ_OTHER_REV_REIT" vbProcedure="false">"c1014"</definedName>
    <definedName function="false" hidden="false" name="IQ_OTHER_REV_SUPPL" vbProcedure="false">"c1015"</definedName>
    <definedName function="false" hidden="false" name="IQ_OTHER_REV_SUPPL_BR" vbProcedure="false">"c1016"</definedName>
    <definedName function="false" hidden="false" name="IQ_OTHER_REV_SUPPL_FIN" vbProcedure="false">"c1017"</definedName>
    <definedName function="false" hidden="false" name="IQ_OTHER_REV_SUPPL_INS" vbProcedure="false">"c1018"</definedName>
    <definedName function="false" hidden="false" name="IQ_OTHER_REV_SUPPL_REIT" vbProcedure="false">"c1019"</definedName>
    <definedName function="false" hidden="false" name="IQ_OTHER_REV_SUPPL_UTI" vbProcedure="false">"c1020"</definedName>
    <definedName function="false" hidden="false" name="IQ_OTHER_REV_UTI" vbProcedure="false">"c1021"</definedName>
    <definedName function="false" hidden="false" name="IQ_OTHER_UNUSUAL" vbProcedure="false">"c1488"</definedName>
    <definedName function="false" hidden="false" name="IQ_OTHER_UNUSUAL_BNK" vbProcedure="false">"c1560"</definedName>
    <definedName function="false" hidden="false" name="IQ_OTHER_UNUSUAL_BR" vbProcedure="false">"c1561"</definedName>
    <definedName function="false" hidden="false" name="IQ_OTHER_UNUSUAL_FIN" vbProcedure="false">"c1562"</definedName>
    <definedName function="false" hidden="false" name="IQ_OTHER_UNUSUAL_INS" vbProcedure="false">"c1563"</definedName>
    <definedName function="false" hidden="false" name="IQ_OTHER_UNUSUAL_REIT" vbProcedure="false">"c1564"</definedName>
    <definedName function="false" hidden="false" name="IQ_OTHER_UNUSUAL_SUPPL" vbProcedure="false">"c1494"</definedName>
    <definedName function="false" hidden="false" name="IQ_OTHER_UNUSUAL_SUPPL_BNK" vbProcedure="false">"c1495"</definedName>
    <definedName function="false" hidden="false" name="IQ_OTHER_UNUSUAL_SUPPL_BR" vbProcedure="false">"c1496"</definedName>
    <definedName function="false" hidden="false" name="IQ_OTHER_UNUSUAL_SUPPL_FIN" vbProcedure="false">"c1497"</definedName>
    <definedName function="false" hidden="false" name="IQ_OTHER_UNUSUAL_SUPPL_INS" vbProcedure="false">"c1498"</definedName>
    <definedName function="false" hidden="false" name="IQ_OTHER_UNUSUAL_SUPPL_REIT" vbProcedure="false">"c1499"</definedName>
    <definedName function="false" hidden="false" name="IQ_OTHER_UNUSUAL_SUPPL_UTI" vbProcedure="false">"c1500"</definedName>
    <definedName function="false" hidden="false" name="IQ_OTHER_UNUSUAL_UTI" vbProcedure="false">"c1565"</definedName>
    <definedName function="false" hidden="false" name="IQ_OUTSTANDING_BS_DATE" vbProcedure="false">"c1022"</definedName>
    <definedName function="false" hidden="false" name="IQ_OUTSTANDING_FILING_DATE" vbProcedure="false">"c1023"</definedName>
    <definedName function="false" hidden="false" name="IQ_PART_TIME" vbProcedure="false">"c1024"</definedName>
    <definedName function="false" hidden="false" name="IQ_PAY_ACCRUED" vbProcedure="false">"c8"</definedName>
    <definedName function="false" hidden="false" name="IQ_PBV" vbProcedure="false">"c1025"</definedName>
    <definedName function="false" hidden="false" name="IQ_PBV_AVG" vbProcedure="false">"c1026"</definedName>
    <definedName function="false" hidden="false" name="IQ_PC_WRITTEN" vbProcedure="false">"c1027"</definedName>
    <definedName function="false" hidden="false" name="IQ_PENSION" vbProcedure="false">"c1031"</definedName>
    <definedName function="false" hidden="false" name="IQ_PERIODDATE" vbProcedure="false">"c1034"</definedName>
    <definedName function="false" hidden="false" name="IQ_PERIODDATE_BS" vbProcedure="false">"c1032"</definedName>
    <definedName function="false" hidden="false" name="IQ_PERIODDATE_CF" vbProcedure="false">"c1033"</definedName>
    <definedName function="false" hidden="false" name="IQ_PERIODDATE_IS" vbProcedure="false">"c1034"</definedName>
    <definedName function="false" hidden="false" name="IQ_PERIODLENGTH_CF" vbProcedure="false">"c1502"</definedName>
    <definedName function="false" hidden="false" name="IQ_PERIODLENGTH_IS" vbProcedure="false">"c1503"</definedName>
    <definedName function="false" hidden="false" name="IQ_PERTYPE" vbProcedure="false">"c1611"</definedName>
    <definedName function="false" hidden="false" name="IQ_PE_EXCL" vbProcedure="false">"c1028"</definedName>
    <definedName function="false" hidden="false" name="IQ_PE_EXCL_AVG" vbProcedure="false">"c1029"</definedName>
    <definedName function="false" hidden="false" name="IQ_PE_EXCL_FWD" vbProcedure="false">"c1030"</definedName>
    <definedName function="false" hidden="false" name="IQ_PE_RATIO" vbProcedure="false">"c1610"</definedName>
    <definedName function="false" hidden="false" name="IQ_POLICY_BENEFITS" vbProcedure="false">"c1036"</definedName>
    <definedName function="false" hidden="false" name="IQ_POLICY_COST" vbProcedure="false">"c1037"</definedName>
    <definedName function="false" hidden="false" name="IQ_POLICY_LIAB" vbProcedure="false">"c1612"</definedName>
    <definedName function="false" hidden="false" name="IQ_POLICY_LOANS" vbProcedure="false">"c1038"</definedName>
    <definedName function="false" hidden="false" name="IQ_POST_RETIRE_EXP" vbProcedure="false">"c1039"</definedName>
    <definedName function="false" hidden="false" name="IQ_PREF_CONVERT" vbProcedure="false">"c1041"</definedName>
    <definedName function="false" hidden="false" name="IQ_PREF_DIVID" vbProcedure="false">"c1461"</definedName>
    <definedName function="false" hidden="false" name="IQ_PREF_DIV_CF" vbProcedure="false">"c1042"</definedName>
    <definedName function="false" hidden="false" name="IQ_PREF_DIV_OTHER" vbProcedure="false">"c1043"</definedName>
    <definedName function="false" hidden="false" name="IQ_PREF_EQUITY" vbProcedure="false">"c1044"</definedName>
    <definedName function="false" hidden="false" name="IQ_PREF_ISSUED" vbProcedure="false">"c1045"</definedName>
    <definedName function="false" hidden="false" name="IQ_PREF_ISSUED_BNK" vbProcedure="false">"c1046"</definedName>
    <definedName function="false" hidden="false" name="IQ_PREF_ISSUED_BR" vbProcedure="false">"c1047"</definedName>
    <definedName function="false" hidden="false" name="IQ_PREF_ISSUED_FIN" vbProcedure="false">"c1048"</definedName>
    <definedName function="false" hidden="false" name="IQ_PREF_ISSUED_INS" vbProcedure="false">"c1049"</definedName>
    <definedName function="false" hidden="false" name="IQ_PREF_ISSUED_REIT" vbProcedure="false">"c1050"</definedName>
    <definedName function="false" hidden="false" name="IQ_PREF_ISSUED_UTI" vbProcedure="false">"c1051"</definedName>
    <definedName function="false" hidden="false" name="IQ_PREF_NON_REDEEM" vbProcedure="false">"c1052"</definedName>
    <definedName function="false" hidden="false" name="IQ_PREF_OTHER" vbProcedure="false">"c1053"</definedName>
    <definedName function="false" hidden="false" name="IQ_PREF_OTHER_BNK" vbProcedure="false">"c1054"</definedName>
    <definedName function="false" hidden="false" name="IQ_PREF_OTHER_BR" vbProcedure="false">"c1055"</definedName>
    <definedName function="false" hidden="false" name="IQ_PREF_OTHER_FIN" vbProcedure="false">"c1056"</definedName>
    <definedName function="false" hidden="false" name="IQ_PREF_OTHER_INS" vbProcedure="false">"c1057"</definedName>
    <definedName function="false" hidden="false" name="IQ_PREF_OTHER_REIT" vbProcedure="false">"c1058"</definedName>
    <definedName function="false" hidden="false" name="IQ_PREF_REDEEM" vbProcedure="false">"c1059"</definedName>
    <definedName function="false" hidden="false" name="IQ_PREF_REP" vbProcedure="false">"c1060"</definedName>
    <definedName function="false" hidden="false" name="IQ_PREF_REP_BNK" vbProcedure="false">"c1061"</definedName>
    <definedName function="false" hidden="false" name="IQ_PREF_REP_BR" vbProcedure="false">"c1062"</definedName>
    <definedName function="false" hidden="false" name="IQ_PREF_REP_FIN" vbProcedure="false">"c1063"</definedName>
    <definedName function="false" hidden="false" name="IQ_PREF_REP_INS" vbProcedure="false">"c1064"</definedName>
    <definedName function="false" hidden="false" name="IQ_PREF_REP_REIT" vbProcedure="false">"c1065"</definedName>
    <definedName function="false" hidden="false" name="IQ_PREF_REP_UTI" vbProcedure="false">"c1066"</definedName>
    <definedName function="false" hidden="false" name="IQ_PREF_STOCK" vbProcedure="false">"c1052"</definedName>
    <definedName function="false" hidden="false" name="IQ_PREF_TOT" vbProcedure="false">"c1044"</definedName>
    <definedName function="false" hidden="false" name="IQ_PREMIUMS_ANNUITY_REV" vbProcedure="false">"c1067"</definedName>
    <definedName function="false" hidden="false" name="IQ_PREPAID_EXP" vbProcedure="false">"c1068"</definedName>
    <definedName function="false" hidden="false" name="IQ_PREPAID_EXPEN" vbProcedure="false">"c1068"</definedName>
    <definedName function="false" hidden="false" name="IQ_PRE_OPEN_COST" vbProcedure="false">"c1040"</definedName>
    <definedName function="false" hidden="false" name="IQ_PRICEDATE" vbProcedure="false">"c1069"</definedName>
    <definedName function="false" hidden="false" name="IQ_PRICE_OVER_BVPS" vbProcedure="false">"c1026"</definedName>
    <definedName function="false" hidden="false" name="IQ_PRICE_OVER_LTM_EPS" vbProcedure="false">"c1029"</definedName>
    <definedName function="false" hidden="false" name="IQ_PRICING_DATE" vbProcedure="false">"c1613"</definedName>
    <definedName function="false" hidden="false" name="IQ_PRIMARY_INDUSTRY" vbProcedure="false">"c1070"</definedName>
    <definedName function="false" hidden="false" name="IQ_PROFESSIONAL" vbProcedure="false">"c1071"</definedName>
    <definedName function="false" hidden="false" name="IQ_PROFESSIONAL_TITLE" vbProcedure="false">"c1072"</definedName>
    <definedName function="false" hidden="false" name="IQ_PROPERTY_EXP" vbProcedure="false">"c1073"</definedName>
    <definedName function="false" hidden="false" name="IQ_PROPERTY_GROSS" vbProcedure="false">"c518"</definedName>
    <definedName function="false" hidden="false" name="IQ_PROPERTY_MGMT_FEE" vbProcedure="false">"c1074"</definedName>
    <definedName function="false" hidden="false" name="IQ_PROPERTY_NET" vbProcedure="false">"c829"</definedName>
    <definedName function="false" hidden="false" name="IQ_PROVISION_10YR_ANN_GROWTH" vbProcedure="false">"c1077"</definedName>
    <definedName function="false" hidden="false" name="IQ_PROVISION_1YR_ANN_GROWTH" vbProcedure="false">"c1078"</definedName>
    <definedName function="false" hidden="false" name="IQ_PROVISION_2YR_ANN_GROWTH" vbProcedure="false">"c1079"</definedName>
    <definedName function="false" hidden="false" name="IQ_PROVISION_3YR_ANN_GROWTH" vbProcedure="false">"c1080"</definedName>
    <definedName function="false" hidden="false" name="IQ_PROVISION_5YR_ANN_GROWTH" vbProcedure="false">"c1081"</definedName>
    <definedName function="false" hidden="false" name="IQ_PROVISION_7YR_ANN_GROWTH" vbProcedure="false">"c1082"</definedName>
    <definedName function="false" hidden="false" name="IQ_PROVISION_CHARGE_OFFS" vbProcedure="false">"c1083"</definedName>
    <definedName function="false" hidden="false" name="IQ_PROV_BAD_DEBTS" vbProcedure="false">"c1075"</definedName>
    <definedName function="false" hidden="false" name="IQ_PROV_BAD_DEBTS_CF" vbProcedure="false">"c1076"</definedName>
    <definedName function="false" hidden="false" name="IQ_PRO_FORMA_BASIC_EPS" vbProcedure="false">"c1614"</definedName>
    <definedName function="false" hidden="false" name="IQ_PRO_FORMA_DILUT_EPS" vbProcedure="false">"c1615"</definedName>
    <definedName function="false" hidden="false" name="IQ_PRO_FORMA_NET_INC" vbProcedure="false">"c795"</definedName>
    <definedName function="false" hidden="false" name="IQ_PTBV" vbProcedure="false">"c1084"</definedName>
    <definedName function="false" hidden="false" name="IQ_PTBV_AVG" vbProcedure="false">"c1085"</definedName>
    <definedName function="false" hidden="false" name="IQ_QUICK_RATIO" vbProcedure="false">"c1086"</definedName>
    <definedName function="false" hidden="false" name="IQ_RATE_COMP_GROWTH_DOMESTIC" vbProcedure="false">"c1087"</definedName>
    <definedName function="false" hidden="false" name="IQ_RATE_COMP_GROWTH_FOREIGN" vbProcedure="false">"c1088"</definedName>
    <definedName function="false" hidden="false" name="IQ_RAW_INV" vbProcedure="false">"c1089"</definedName>
    <definedName function="false" hidden="false" name="IQ_RD_EXP" vbProcedure="false">"c1090"</definedName>
    <definedName function="false" hidden="false" name="IQ_RD_EXP_FN" vbProcedure="false">"c1091"</definedName>
    <definedName function="false" hidden="false" name="IQ_RE" vbProcedure="false">"c1092"</definedName>
    <definedName function="false" hidden="false" name="IQ_REAL_ESTATE" vbProcedure="false">"c1093"</definedName>
    <definedName function="false" hidden="false" name="IQ_REAL_ESTATE_ASSETS" vbProcedure="false">"c1094"</definedName>
    <definedName function="false" hidden="false" name="IQ_REDEEM_PREF_STOCK" vbProcedure="false">"c1059"</definedName>
    <definedName function="false" hidden="false" name="IQ_REG_ASSETS" vbProcedure="false">"c1095"</definedName>
    <definedName function="false" hidden="false" name="IQ_REINSURANCE" vbProcedure="false">"c1100"</definedName>
    <definedName function="false" hidden="false" name="IQ_REINSUR_PAY" vbProcedure="false">"c1096"</definedName>
    <definedName function="false" hidden="false" name="IQ_REINSUR_PAY_CF" vbProcedure="false">"c1097"</definedName>
    <definedName function="false" hidden="false" name="IQ_REINSUR_RECOVER" vbProcedure="false">"c1098"</definedName>
    <definedName function="false" hidden="false" name="IQ_REINSUR_RECOVER_CF" vbProcedure="false">"c1099"</definedName>
    <definedName function="false" hidden="false" name="IQ_RENTAL_REV" vbProcedure="false">"c1101"</definedName>
    <definedName function="false" hidden="false" name="IQ_RESEARCH_DEV" vbProcedure="false">"c1090"</definedName>
    <definedName function="false" hidden="false" name="IQ_RESIDENTIAL_LOANS" vbProcedure="false">"c1102"</definedName>
    <definedName function="false" hidden="false" name="IQ_RESTATEMENT_BS" vbProcedure="false">"c1643"</definedName>
    <definedName function="false" hidden="false" name="IQ_RESTATEMENT_CF" vbProcedure="false">"c1644"</definedName>
    <definedName function="false" hidden="false" name="IQ_RESTATEMENT_IS" vbProcedure="false">"c1642"</definedName>
    <definedName function="false" hidden="false" name="IQ_RESTRICTED_CASH" vbProcedure="false">"c1103"</definedName>
    <definedName function="false" hidden="false" name="IQ_RESTRUCTURE" vbProcedure="false">"c1104"</definedName>
    <definedName function="false" hidden="false" name="IQ_RESTRUCTURED_LOANS" vbProcedure="false">"c1112"</definedName>
    <definedName function="false" hidden="false" name="IQ_RESTRUCTURE_BNK" vbProcedure="false">"c1105"</definedName>
    <definedName function="false" hidden="false" name="IQ_RESTRUCTURE_BR" vbProcedure="false">"c1106"</definedName>
    <definedName function="false" hidden="false" name="IQ_RESTRUCTURE_CF" vbProcedure="false">"c1107"</definedName>
    <definedName function="false" hidden="false" name="IQ_RESTRUCTURE_FIN" vbProcedure="false">"c1108"</definedName>
    <definedName function="false" hidden="false" name="IQ_RESTRUCTURE_INS" vbProcedure="false">"c1109"</definedName>
    <definedName function="false" hidden="false" name="IQ_RESTRUCTURE_REIT" vbProcedure="false">"c1110"</definedName>
    <definedName function="false" hidden="false" name="IQ_RESTRUCTURE_UTI" vbProcedure="false">"c1111"</definedName>
    <definedName function="false" hidden="false" name="IQ_RETAINED_EARN" vbProcedure="false">"c1092"</definedName>
    <definedName function="false" hidden="false" name="IQ_RETURN_ASSETS" vbProcedure="false">"c1113"</definedName>
    <definedName function="false" hidden="false" name="IQ_RETURN_ASSETS_BANK" vbProcedure="false">"c1114"</definedName>
    <definedName function="false" hidden="false" name="IQ_RETURN_ASSETS_BROK" vbProcedure="false">"c1115"</definedName>
    <definedName function="false" hidden="false" name="IQ_RETURN_ASSETS_FS" vbProcedure="false">"c1116"</definedName>
    <definedName function="false" hidden="false" name="IQ_RETURN_CAPITAL" vbProcedure="false">"c1117"</definedName>
    <definedName function="false" hidden="false" name="IQ_RETURN_EQUITY" vbProcedure="false">"c1118"</definedName>
    <definedName function="false" hidden="false" name="IQ_RETURN_EQUITY_BANK" vbProcedure="false">"c1119"</definedName>
    <definedName function="false" hidden="false" name="IQ_RETURN_EQUITY_BROK" vbProcedure="false">"c1120"</definedName>
    <definedName function="false" hidden="false" name="IQ_RETURN_EQUITY_FS" vbProcedure="false">"c1121"</definedName>
    <definedName function="false" hidden="false" name="IQ_RETURN_INVESTMENT" vbProcedure="false">"c1117"</definedName>
    <definedName function="false" hidden="false" name="IQ_REV" vbProcedure="false">"c1122"</definedName>
    <definedName function="false" hidden="false" name="IQ_REVENUE" vbProcedure="false">"c1122"</definedName>
    <definedName function="false" hidden="false" name="IQ_REV_BEFORE_LL" vbProcedure="false">"c1123"</definedName>
    <definedName function="false" hidden="false" name="IQ_REV_UTI" vbProcedure="false">"c1125"</definedName>
    <definedName function="false" hidden="false" name="IQ_SALARY" vbProcedure="false">"c1130"</definedName>
    <definedName function="false" hidden="false" name="IQ_SALE_INTAN_CF" vbProcedure="false">"c1131"</definedName>
    <definedName function="false" hidden="false" name="IQ_SALE_INTAN_CF_BNK" vbProcedure="false">"c1132"</definedName>
    <definedName function="false" hidden="false" name="IQ_SALE_INTAN_CF_BR" vbProcedure="false">"c1133"</definedName>
    <definedName function="false" hidden="false" name="IQ_SALE_INTAN_CF_FIN" vbProcedure="false">"c1134"</definedName>
    <definedName function="false" hidden="false" name="IQ_SALE_INTAN_CF_INS" vbProcedure="false">"c1135"</definedName>
    <definedName function="false" hidden="false" name="IQ_SALE_INTAN_CF_REIT" vbProcedure="false">"c1627"</definedName>
    <definedName function="false" hidden="false" name="IQ_SALE_INTAN_CF_UTI" vbProcedure="false">"c1136"</definedName>
    <definedName function="false" hidden="false" name="IQ_SALE_PPE_CF" vbProcedure="false">"c1137"</definedName>
    <definedName function="false" hidden="false" name="IQ_SALE_PPE_CF_BNK" vbProcedure="false">"c1138"</definedName>
    <definedName function="false" hidden="false" name="IQ_SALE_PPE_CF_BR" vbProcedure="false">"c1139"</definedName>
    <definedName function="false" hidden="false" name="IQ_SALE_PPE_CF_FIN" vbProcedure="false">"c1140"</definedName>
    <definedName function="false" hidden="false" name="IQ_SALE_PPE_CF_INS" vbProcedure="false">"c1141"</definedName>
    <definedName function="false" hidden="false" name="IQ_SALE_PPE_CF_UTI" vbProcedure="false">"c1142"</definedName>
    <definedName function="false" hidden="false" name="IQ_SALE_REAL_ESTATE_CF" vbProcedure="false">"c1143"</definedName>
    <definedName function="false" hidden="false" name="IQ_SALE_REAL_ESTATE_CF_BNK" vbProcedure="false">"c1144"</definedName>
    <definedName function="false" hidden="false" name="IQ_SALE_REAL_ESTATE_CF_BR" vbProcedure="false">"c1145"</definedName>
    <definedName function="false" hidden="false" name="IQ_SALE_REAL_ESTATE_CF_FIN" vbProcedure="false">"c1146"</definedName>
    <definedName function="false" hidden="false" name="IQ_SALE_REAL_ESTATE_CF_INS" vbProcedure="false">"c1147"</definedName>
    <definedName function="false" hidden="false" name="IQ_SALE_REAL_ESTATE_CF_UTI" vbProcedure="false">"c1148"</definedName>
    <definedName function="false" hidden="false" name="IQ_SALE_RE_ASSETS" vbProcedure="false">"c1629"</definedName>
    <definedName function="false" hidden="false" name="IQ_SAME_STORE" vbProcedure="false">"c1149"</definedName>
    <definedName function="false" hidden="false" name="IQ_SAVING_DEP" vbProcedure="false">"c1150"</definedName>
    <definedName function="false" hidden="false" name="IQ_SECURITY_BORROW" vbProcedure="false">"c1152"</definedName>
    <definedName function="false" hidden="false" name="IQ_SECURITY_OWN" vbProcedure="false">"c1153"</definedName>
    <definedName function="false" hidden="false" name="IQ_SECURITY_RESELL" vbProcedure="false">"c1154"</definedName>
    <definedName function="false" hidden="false" name="IQ_SECUR_RECEIV" vbProcedure="false">"c1151"</definedName>
    <definedName function="false" hidden="false" name="IQ_SEPARATE_ACCT_ASSETS" vbProcedure="false">"c1155"</definedName>
    <definedName function="false" hidden="false" name="IQ_SEPARATE_ACCT_LIAB" vbProcedure="false">"c1156"</definedName>
    <definedName function="false" hidden="false" name="IQ_SERV_CHARGE_DEPOSITS" vbProcedure="false">"c1157"</definedName>
    <definedName function="false" hidden="false" name="IQ_SGA" vbProcedure="false">"c1158"</definedName>
    <definedName function="false" hidden="false" name="IQ_SGA_BNK" vbProcedure="false">"c1159"</definedName>
    <definedName function="false" hidden="false" name="IQ_SGA_INS" vbProcedure="false">"c1160"</definedName>
    <definedName function="false" hidden="false" name="IQ_SGA_REIT" vbProcedure="false">"c1161"</definedName>
    <definedName function="false" hidden="false" name="IQ_SGA_SUPPL" vbProcedure="false">"c1162"</definedName>
    <definedName function="false" hidden="false" name="IQ_SGA_UTI" vbProcedure="false">"c1163"</definedName>
    <definedName function="false" hidden="false" name="IQ_SHAREOUTSTANDING" vbProcedure="false">"c83"</definedName>
    <definedName function="false" hidden="false" name="IQ_SHARESOUTSTANDING" vbProcedure="false">"c1164"</definedName>
    <definedName function="false" hidden="false" name="IQ_SHORT_INTEREST" vbProcedure="false">"c1165"</definedName>
    <definedName function="false" hidden="false" name="IQ_SHORT_INTEREST_OVER_FLOAT" vbProcedure="false">"c1577"</definedName>
    <definedName function="false" hidden="false" name="IQ_SHORT_INTEREST_PERCENT" vbProcedure="false">"c1576"</definedName>
    <definedName function="false" hidden="false" name="IQ_SHORT_TERM_INVEST" vbProcedure="false">"c1197"</definedName>
    <definedName function="false" hidden="false" name="IQ_SMALL_INT_BEAR_CD" vbProcedure="false">"c1166"</definedName>
    <definedName function="false" hidden="false" name="IQ_SOFTWARE" vbProcedure="false">"c1167"</definedName>
    <definedName function="false" hidden="false" name="IQ_SOURCE" vbProcedure="false">"c1168"</definedName>
    <definedName function="false" hidden="false" name="IQ_SPECIAL_DIV_CF" vbProcedure="false">"c1169"</definedName>
    <definedName function="false" hidden="false" name="IQ_SPECIAL_DIV_CF_BNK" vbProcedure="false">"c1170"</definedName>
    <definedName function="false" hidden="false" name="IQ_SPECIAL_DIV_CF_BR" vbProcedure="false">"c1171"</definedName>
    <definedName function="false" hidden="false" name="IQ_SPECIAL_DIV_CF_FIN" vbProcedure="false">"c1172"</definedName>
    <definedName function="false" hidden="false" name="IQ_SPECIAL_DIV_CF_INS" vbProcedure="false">"c1173"</definedName>
    <definedName function="false" hidden="false" name="IQ_SPECIAL_DIV_CF_REIT" vbProcedure="false">"c1174"</definedName>
    <definedName function="false" hidden="false" name="IQ_SPECIAL_DIV_CF_UTI" vbProcedure="false">"c1175"</definedName>
    <definedName function="false" hidden="false" name="IQ_STATE" vbProcedure="false">"c1200"</definedName>
    <definedName function="false" hidden="false" name="IQ_STATUTORY_SURPLUS" vbProcedure="false">"c1201"</definedName>
    <definedName function="false" hidden="false" name="IQ_STOCK_BASED" vbProcedure="false">"c1202"</definedName>
    <definedName function="false" hidden="false" name="IQ_STOCK_BASED_CF" vbProcedure="false">"c1203"</definedName>
    <definedName function="false" hidden="false" name="IQ_STRIKE_PRICE_ISSUED" vbProcedure="false">"c1645"</definedName>
    <definedName function="false" hidden="false" name="IQ_STRIKE_PRICE_OS" vbProcedure="false">"c1646"</definedName>
    <definedName function="false" hidden="false" name="IQ_ST_DEBT" vbProcedure="false">"c1176"</definedName>
    <definedName function="false" hidden="false" name="IQ_ST_DEBT_BNK" vbProcedure="false">"c1177"</definedName>
    <definedName function="false" hidden="false" name="IQ_ST_DEBT_BR" vbProcedure="false">"c1178"</definedName>
    <definedName function="false" hidden="false" name="IQ_ST_DEBT_FIN" vbProcedure="false">"c1179"</definedName>
    <definedName function="false" hidden="false" name="IQ_ST_DEBT_INS" vbProcedure="false">"c1180"</definedName>
    <definedName function="false" hidden="false" name="IQ_ST_DEBT_ISSUED" vbProcedure="false">"c1181"</definedName>
    <definedName function="false" hidden="false" name="IQ_ST_DEBT_ISSUED_BNK" vbProcedure="false">"c1182"</definedName>
    <definedName function="false" hidden="false" name="IQ_ST_DEBT_ISSUED_BR" vbProcedure="false">"c1183"</definedName>
    <definedName function="false" hidden="false" name="IQ_ST_DEBT_ISSUED_FIN" vbProcedure="false">"c1184"</definedName>
    <definedName function="false" hidden="false" name="IQ_ST_DEBT_ISSUED_INS" vbProcedure="false">"c1185"</definedName>
    <definedName function="false" hidden="false" name="IQ_ST_DEBT_ISSUED_REIT" vbProcedure="false">"c1186"</definedName>
    <definedName function="false" hidden="false" name="IQ_ST_DEBT_ISSUED_UTI" vbProcedure="false">"c1187"</definedName>
    <definedName function="false" hidden="false" name="IQ_ST_DEBT_REIT" vbProcedure="false">"c1188"</definedName>
    <definedName function="false" hidden="false" name="IQ_ST_DEBT_REPAID" vbProcedure="false">"c1189"</definedName>
    <definedName function="false" hidden="false" name="IQ_ST_DEBT_REPAID_BNK" vbProcedure="false">"c1190"</definedName>
    <definedName function="false" hidden="false" name="IQ_ST_DEBT_REPAID_BR" vbProcedure="false">"c1191"</definedName>
    <definedName function="false" hidden="false" name="IQ_ST_DEBT_REPAID_FIN" vbProcedure="false">"c1192"</definedName>
    <definedName function="false" hidden="false" name="IQ_ST_DEBT_REPAID_INS" vbProcedure="false">"c1193"</definedName>
    <definedName function="false" hidden="false" name="IQ_ST_DEBT_REPAID_REIT" vbProcedure="false">"c1194"</definedName>
    <definedName function="false" hidden="false" name="IQ_ST_DEBT_REPAID_UTI" vbProcedure="false">"c1195"</definedName>
    <definedName function="false" hidden="false" name="IQ_ST_DEBT_UTI" vbProcedure="false">"c1196"</definedName>
    <definedName function="false" hidden="false" name="IQ_ST_INVEST" vbProcedure="false">"c1197"</definedName>
    <definedName function="false" hidden="false" name="IQ_ST_INVEST_UTI" vbProcedure="false">"c1198"</definedName>
    <definedName function="false" hidden="false" name="IQ_ST_NOTE_RECEIV" vbProcedure="false">"c1199"</definedName>
    <definedName function="false" hidden="false" name="IQ_SUB_LEASE_AFTER_FIVE" vbProcedure="false">"c1207"</definedName>
    <definedName function="false" hidden="false" name="IQ_SUB_LEASE_INC_CY" vbProcedure="false">"c1208"</definedName>
    <definedName function="false" hidden="false" name="IQ_SUB_LEASE_INC_CY1" vbProcedure="false">"c1209"</definedName>
    <definedName function="false" hidden="false" name="IQ_SUB_LEASE_INC_CY2" vbProcedure="false">"c1210"</definedName>
    <definedName function="false" hidden="false" name="IQ_SUB_LEASE_INC_CY3" vbProcedure="false">"c1211"</definedName>
    <definedName function="false" hidden="false" name="IQ_SUB_LEASE_INC_CY4" vbProcedure="false">"c1212"</definedName>
    <definedName function="false" hidden="false" name="IQ_SUB_LEASE_NEXT_FIVE" vbProcedure="false">"c1213"</definedName>
    <definedName function="false" hidden="false" name="IQ_SVA" vbProcedure="false">"c1214"</definedName>
    <definedName function="false" hidden="false" name="IQ_TAX_BENEFIT_OPTIONS" vbProcedure="false">"c1215"</definedName>
    <definedName function="false" hidden="false" name="IQ_TAX_EQUIV_NET_INT_INC" vbProcedure="false">"c1216"</definedName>
    <definedName function="false" hidden="false" name="IQ_TBV_SHARE" vbProcedure="false">"c1217"</definedName>
    <definedName function="false" hidden="false" name="IQ_TEMPLATE" vbProcedure="false">"c1521"</definedName>
    <definedName function="false" hidden="false" name="IQ_TENANT" vbProcedure="false">"c1218"</definedName>
    <definedName function="false" hidden="false" name="IQ_TEV" vbProcedure="false">"c1219"</definedName>
    <definedName function="false" hidden="false" name="IQ_TEV_EBIT" vbProcedure="false">"c1220"</definedName>
    <definedName function="false" hidden="false" name="IQ_TEV_EBITDA" vbProcedure="false">"c1222"</definedName>
    <definedName function="false" hidden="false" name="IQ_TEV_EBITDA_AVG" vbProcedure="false">"c1223"</definedName>
    <definedName function="false" hidden="false" name="IQ_TEV_EBITDA_FWD" vbProcedure="false">"c1224"</definedName>
    <definedName function="false" hidden="false" name="IQ_TEV_EBIT_AVG" vbProcedure="false">"c1221"</definedName>
    <definedName function="false" hidden="false" name="IQ_TEV_EMPLOYEE_AVG" vbProcedure="false">"c1225"</definedName>
    <definedName function="false" hidden="false" name="IQ_TEV_TOTAL_REV" vbProcedure="false">"c1226"</definedName>
    <definedName function="false" hidden="false" name="IQ_TEV_TOTAL_REV_AVG" vbProcedure="false">"c1227"</definedName>
    <definedName function="false" hidden="false" name="IQ_TEV_TOTAL_REV_FWD" vbProcedure="false">"c1228"</definedName>
    <definedName function="false" hidden="false" name="IQ_TIER_ONE_RATIO" vbProcedure="false">"c1229"</definedName>
    <definedName function="false" hidden="false" name="IQ_TIME_DEP" vbProcedure="false">"c1230"</definedName>
    <definedName function="false" hidden="false" name="IQ_TODAY" vbProcedure="false">0</definedName>
    <definedName function="false" hidden="false" name="IQ_TOTAL_AR_BR" vbProcedure="false">"c1231"</definedName>
    <definedName function="false" hidden="false" name="IQ_TOTAL_AR_REIT" vbProcedure="false">"c1232"</definedName>
    <definedName function="false" hidden="false" name="IQ_TOTAL_AR_UTI" vbProcedure="false">"c1233"</definedName>
    <definedName function="false" hidden="false" name="IQ_TOTAL_ASSETS" vbProcedure="false">"c1234"</definedName>
    <definedName function="false" hidden="false" name="IQ_TOTAL_ASSETS_10YR_ANN_GROWTH" vbProcedure="false">"c1235"</definedName>
    <definedName function="false" hidden="false" name="IQ_TOTAL_ASSETS_1YR_ANN_GROWTH" vbProcedure="false">"c1236"</definedName>
    <definedName function="false" hidden="false" name="IQ_TOTAL_ASSETS_2YR_ANN_GROWTH" vbProcedure="false">"c1237"</definedName>
    <definedName function="false" hidden="false" name="IQ_TOTAL_ASSETS_3YR_ANN_GROWTH" vbProcedure="false">"c1238"</definedName>
    <definedName function="false" hidden="false" name="IQ_TOTAL_ASSETS_5YR_ANN_GROWTH" vbProcedure="false">"c1239"</definedName>
    <definedName function="false" hidden="false" name="IQ_TOTAL_ASSETS_7YR_ANN_GROWTH" vbProcedure="false">"c1240"</definedName>
    <definedName function="false" hidden="false" name="IQ_TOTAL_AVG_CE_TOTAL_AVG_ASSETS" vbProcedure="false">"c1241"</definedName>
    <definedName function="false" hidden="false" name="IQ_TOTAL_AVG_EQUITY_TOTAL_AVG_ASSETS" vbProcedure="false">"c1242"</definedName>
    <definedName function="false" hidden="false" name="IQ_TOTAL_CA" vbProcedure="false">"c1243"</definedName>
    <definedName function="false" hidden="false" name="IQ_TOTAL_CAP" vbProcedure="false">"c1507"</definedName>
    <definedName function="false" hidden="false" name="IQ_TOTAL_CAPITAL_RATIO" vbProcedure="false">"c1244"</definedName>
    <definedName function="false" hidden="false" name="IQ_TOTAL_CASH_DIVID" vbProcedure="false">"c1266"</definedName>
    <definedName function="false" hidden="false" name="IQ_TOTAL_CASH_FINAN" vbProcedure="false">"c119"</definedName>
    <definedName function="false" hidden="false" name="IQ_TOTAL_CASH_INVEST" vbProcedure="false">"c121"</definedName>
    <definedName function="false" hidden="false" name="IQ_TOTAL_CASH_OPER" vbProcedure="false">"c122"</definedName>
    <definedName function="false" hidden="false" name="IQ_TOTAL_CL" vbProcedure="false">"c1245"</definedName>
    <definedName function="false" hidden="false" name="IQ_TOTAL_COMMON" vbProcedure="false">"c1022"</definedName>
    <definedName function="false" hidden="false" name="IQ_TOTAL_COMMON_EQUITY" vbProcedure="false">"c1246"</definedName>
    <definedName function="false" hidden="false" name="IQ_TOTAL_CURRENT_ASSETS" vbProcedure="false">"c1243"</definedName>
    <definedName function="false" hidden="false" name="IQ_TOTAL_CURRENT_LIAB" vbProcedure="false">"c1245"</definedName>
    <definedName function="false" hidden="false" name="IQ_TOTAL_DEBT" vbProcedure="false">"c1247"</definedName>
    <definedName function="false" hidden="false" name="IQ_TOTAL_DEBT_CAPITAL" vbProcedure="false">"c1248"</definedName>
    <definedName function="false" hidden="false" name="IQ_TOTAL_DEBT_EBITDA" vbProcedure="false">"c1249"</definedName>
    <definedName function="false" hidden="false" name="IQ_TOTAL_DEBT_EQUITY" vbProcedure="false">"c1250"</definedName>
    <definedName function="false" hidden="false" name="IQ_TOTAL_DEBT_ISSUED" vbProcedure="false">"c1251"</definedName>
    <definedName function="false" hidden="false" name="IQ_TOTAL_DEBT_ISSUED_BNK" vbProcedure="false">"c1252"</definedName>
    <definedName function="false" hidden="false" name="IQ_TOTAL_DEBT_ISSUED_BR" vbProcedure="false">"c1253"</definedName>
    <definedName function="false" hidden="false" name="IQ_TOTAL_DEBT_ISSUED_FIN" vbProcedure="false">"c1254"</definedName>
    <definedName function="false" hidden="false" name="IQ_TOTAL_DEBT_ISSUED_REIT" vbProcedure="false">"c1255"</definedName>
    <definedName function="false" hidden="false" name="IQ_TOTAL_DEBT_ISSUED_UTI" vbProcedure="false">"c1256"</definedName>
    <definedName function="false" hidden="false" name="IQ_TOTAL_DEBT_ISSUES_INS" vbProcedure="false">"c1257"</definedName>
    <definedName function="false" hidden="false" name="IQ_TOTAL_DEBT_OVER_EBITDA" vbProcedure="false">"c1249"</definedName>
    <definedName function="false" hidden="false" name="IQ_TOTAL_DEBT_OVER_TOTAL_BV" vbProcedure="false">"c1250"</definedName>
    <definedName function="false" hidden="false" name="IQ_TOTAL_DEBT_OVER_TOTAL_CAP" vbProcedure="false">"c1248"</definedName>
    <definedName function="false" hidden="false" name="IQ_TOTAL_DEBT_REPAID" vbProcedure="false">"c1258"</definedName>
    <definedName function="false" hidden="false" name="IQ_TOTAL_DEBT_REPAID_BNK" vbProcedure="false">"c1259"</definedName>
    <definedName function="false" hidden="false" name="IQ_TOTAL_DEBT_REPAID_BR" vbProcedure="false">"c1260"</definedName>
    <definedName function="false" hidden="false" name="IQ_TOTAL_DEBT_REPAID_FIN" vbProcedure="false">"c1261"</definedName>
    <definedName function="false" hidden="false" name="IQ_TOTAL_DEBT_REPAID_INS" vbProcedure="false">"c1262"</definedName>
    <definedName function="false" hidden="false" name="IQ_TOTAL_DEBT_REPAID_REIT" vbProcedure="false">"c1263"</definedName>
    <definedName function="false" hidden="false" name="IQ_TOTAL_DEBT_REPAID_UTI" vbProcedure="false">"c1264"</definedName>
    <definedName function="false" hidden="false" name="IQ_TOTAL_DEPOSITS" vbProcedure="false">"c1265"</definedName>
    <definedName function="false" hidden="false" name="IQ_TOTAL_DIV_PAID_CF" vbProcedure="false">"c1266"</definedName>
    <definedName function="false" hidden="false" name="IQ_TOTAL_EMPLOYEE" vbProcedure="false">"c1522"</definedName>
    <definedName function="false" hidden="false" name="IQ_TOTAL_EQUITY" vbProcedure="false">"c1267"</definedName>
    <definedName function="false" hidden="false" name="IQ_TOTAL_EQUITY_10YR_ANN_GROWTH" vbProcedure="false">"c1268"</definedName>
    <definedName function="false" hidden="false" name="IQ_TOTAL_EQUITY_1YR_ANN_GROWTH" vbProcedure="false">"c1269"</definedName>
    <definedName function="false" hidden="false" name="IQ_TOTAL_EQUITY_2YR_ANN_GROWTH" vbProcedure="false">"c1270"</definedName>
    <definedName function="false" hidden="false" name="IQ_TOTAL_EQUITY_3YR_ANN_GROWTH" vbProcedure="false">"c1271"</definedName>
    <definedName function="false" hidden="false" name="IQ_TOTAL_EQUITY_5YR_ANN_GROWTH" vbProcedure="false">"c1272"</definedName>
    <definedName function="false" hidden="false" name="IQ_TOTAL_EQUITY_7YR_ANN_GROWTH" vbProcedure="false">"c1273"</definedName>
    <definedName function="false" hidden="false" name="IQ_TOTAL_EQUITY_ALLOWANCE_TOTAL_LOANS" vbProcedure="false">"c1274"</definedName>
    <definedName function="false" hidden="false" name="IQ_TOTAL_INTEREST_EXP" vbProcedure="false">"c591"</definedName>
    <definedName function="false" hidden="false" name="IQ_TOTAL_INVENTORY" vbProcedure="false">"c622"</definedName>
    <definedName function="false" hidden="false" name="IQ_TOTAL_INVEST" vbProcedure="false">"c1275"</definedName>
    <definedName function="false" hidden="false" name="IQ_TOTAL_LIAB" vbProcedure="false">"c1276"</definedName>
    <definedName function="false" hidden="false" name="IQ_TOTAL_LIAB_BNK" vbProcedure="false">"c1277"</definedName>
    <definedName function="false" hidden="false" name="IQ_TOTAL_LIAB_BR" vbProcedure="false">"c1278"</definedName>
    <definedName function="false" hidden="false" name="IQ_TOTAL_LIAB_EQUITY" vbProcedure="false">"c1279"</definedName>
    <definedName function="false" hidden="false" name="IQ_TOTAL_LIAB_FIN" vbProcedure="false">"c1280"</definedName>
    <definedName function="false" hidden="false" name="IQ_TOTAL_LIAB_INS" vbProcedure="false">"c1281"</definedName>
    <definedName function="false" hidden="false" name="IQ_TOTAL_LIAB_REIT" vbProcedure="false">"c1282"</definedName>
    <definedName function="false" hidden="false" name="IQ_TOTAL_LIAB_SHAREHOLD" vbProcedure="false">"c1279"</definedName>
    <definedName function="false" hidden="false" name="IQ_TOTAL_LIAB_TOTAL_ASSETS" vbProcedure="false">"c1283"</definedName>
    <definedName function="false" hidden="false" name="IQ_TOTAL_LONG_DEBT" vbProcedure="false">"c1617"</definedName>
    <definedName function="false" hidden="false" name="IQ_TOTAL_OPER_EXPEN" vbProcedure="false">"c1445"</definedName>
    <definedName function="false" hidden="false" name="IQ_TOTAL_OPER_EXP_BR" vbProcedure="false">"c1284"</definedName>
    <definedName function="false" hidden="false" name="IQ_TOTAL_OPER_EXP_FIN" vbProcedure="false">"c1285"</definedName>
    <definedName function="false" hidden="false" name="IQ_TOTAL_OPER_EXP_INS" vbProcedure="false">"c1286"</definedName>
    <definedName function="false" hidden="false" name="IQ_TOTAL_OPER_EXP_REIT" vbProcedure="false">"c1287"</definedName>
    <definedName function="false" hidden="false" name="IQ_TOTAL_OPER_EXP_UTI" vbProcedure="false">"c1288"</definedName>
    <definedName function="false" hidden="false" name="IQ_TOTAL_OTHER_OPER" vbProcedure="false">"c1289"</definedName>
    <definedName function="false" hidden="false" name="IQ_TOTAL_PENSION_ASSETS" vbProcedure="false">"c1290"</definedName>
    <definedName function="false" hidden="false" name="IQ_TOTAL_PENSION_EXP" vbProcedure="false">"c1291"</definedName>
    <definedName function="false" hidden="false" name="IQ_TOTAL_PENSION_OBLIGATION" vbProcedure="false">"c1292"</definedName>
    <definedName function="false" hidden="false" name="IQ_TOTAL_RECEIV" vbProcedure="false">"c1293"</definedName>
    <definedName function="false" hidden="false" name="IQ_TOTAL_REV" vbProcedure="false">"c1294"</definedName>
    <definedName function="false" hidden="false" name="IQ_TOTAL_REVENUE" vbProcedure="false">"c1294"</definedName>
    <definedName function="false" hidden="false" name="IQ_TOTAL_REV_10YR_ANN_GROWTH" vbProcedure="false">"c1295"</definedName>
    <definedName function="false" hidden="false" name="IQ_TOTAL_REV_1YR_ANN_GROWTH" vbProcedure="false">"c1296"</definedName>
    <definedName function="false" hidden="false" name="IQ_TOTAL_REV_2YR_ANN_GROWTH" vbProcedure="false">"c1297"</definedName>
    <definedName function="false" hidden="false" name="IQ_TOTAL_REV_3YR_ANN_GROWTH" vbProcedure="false">"c1298"</definedName>
    <definedName function="false" hidden="false" name="IQ_TOTAL_REV_5YR_ANN_GROWTH" vbProcedure="false">"c1299"</definedName>
    <definedName function="false" hidden="false" name="IQ_TOTAL_REV_7YR_ANN_GROWTH" vbProcedure="false">"c1300"</definedName>
    <definedName function="false" hidden="false" name="IQ_TOTAL_REV_AS_REPORTED" vbProcedure="false">"c1301"</definedName>
    <definedName function="false" hidden="false" name="IQ_TOTAL_REV_BNK" vbProcedure="false">"c1302"</definedName>
    <definedName function="false" hidden="false" name="IQ_TOTAL_REV_BR" vbProcedure="false">"c1303"</definedName>
    <definedName function="false" hidden="false" name="IQ_TOTAL_REV_EMPLOYEE" vbProcedure="false">"c1304"</definedName>
    <definedName function="false" hidden="false" name="IQ_TOTAL_REV_FIN" vbProcedure="false">"c1305"</definedName>
    <definedName function="false" hidden="false" name="IQ_TOTAL_REV_INS" vbProcedure="false">"c1306"</definedName>
    <definedName function="false" hidden="false" name="IQ_TOTAL_REV_REIT" vbProcedure="false">"c1307"</definedName>
    <definedName function="false" hidden="false" name="IQ_TOTAL_REV_UTI" vbProcedure="false">"c1308"</definedName>
    <definedName function="false" hidden="false" name="IQ_TOTAL_SPECIAL" vbProcedure="false">"c1618"</definedName>
    <definedName function="false" hidden="false" name="IQ_TOTAL_ST_BORROW" vbProcedure="false">"c1177"</definedName>
    <definedName function="false" hidden="false" name="IQ_TOTAL_UNUSUAL" vbProcedure="false">"c1508"</definedName>
    <definedName function="false" hidden="false" name="IQ_TOT_ADJ_INC" vbProcedure="false">"c1616"</definedName>
    <definedName function="false" hidden="false" name="IQ_TRADE_AR" vbProcedure="false">"c40"</definedName>
    <definedName function="false" hidden="false" name="IQ_TRADE_PRINCIPAL" vbProcedure="false">"c1309"</definedName>
    <definedName function="false" hidden="false" name="IQ_TRADING_ASSETS" vbProcedure="false">"c1310"</definedName>
    <definedName function="false" hidden="false" name="IQ_TREASURY" vbProcedure="false">"c1311"</definedName>
    <definedName function="false" hidden="false" name="IQ_TREASURY_OTHER_EQUITY" vbProcedure="false">"c1312"</definedName>
    <definedName function="false" hidden="false" name="IQ_TREASURY_OTHER_EQUITY_BNK" vbProcedure="false">"c1313"</definedName>
    <definedName function="false" hidden="false" name="IQ_TREASURY_OTHER_EQUITY_BR" vbProcedure="false">"c1314"</definedName>
    <definedName function="false" hidden="false" name="IQ_TREASURY_OTHER_EQUITY_FIN" vbProcedure="false">"c1315"</definedName>
    <definedName function="false" hidden="false" name="IQ_TREASURY_OTHER_EQUITY_INS" vbProcedure="false">"c1316"</definedName>
    <definedName function="false" hidden="false" name="IQ_TREASURY_OTHER_EQUITY_REIT" vbProcedure="false">"c1317"</definedName>
    <definedName function="false" hidden="false" name="IQ_TREASURY_OTHER_EQUITY_UTI" vbProcedure="false">"c1318"</definedName>
    <definedName function="false" hidden="false" name="IQ_TREASURY_STOCK" vbProcedure="false">"c1311"</definedName>
    <definedName function="false" hidden="false" name="IQ_TRUST_INC" vbProcedure="false">"c1319"</definedName>
    <definedName function="false" hidden="false" name="IQ_TRUST_PREF" vbProcedure="false">"c1320"</definedName>
    <definedName function="false" hidden="false" name="IQ_UNEARN_PREMIUM" vbProcedure="false">"c1321"</definedName>
    <definedName function="false" hidden="false" name="IQ_UNEARN_REV_CURRENT" vbProcedure="false">"c1322"</definedName>
    <definedName function="false" hidden="false" name="IQ_UNEARN_REV_CURRENT_BNK" vbProcedure="false">"c1323"</definedName>
    <definedName function="false" hidden="false" name="IQ_UNEARN_REV_CURRENT_BR" vbProcedure="false">"c1324"</definedName>
    <definedName function="false" hidden="false" name="IQ_UNEARN_REV_CURRENT_FIN" vbProcedure="false">"c1325"</definedName>
    <definedName function="false" hidden="false" name="IQ_UNEARN_REV_CURRENT_INS" vbProcedure="false">"c1326"</definedName>
    <definedName function="false" hidden="false" name="IQ_UNEARN_REV_CURRENT_REIT" vbProcedure="false">"c1327"</definedName>
    <definedName function="false" hidden="false" name="IQ_UNEARN_REV_CURRENT_UTI" vbProcedure="false">"c1328"</definedName>
    <definedName function="false" hidden="false" name="IQ_UNEARN_REV_LT" vbProcedure="false">"c1329"</definedName>
    <definedName function="false" hidden="false" name="IQ_UNPAID_CLAIMS" vbProcedure="false">"c1330"</definedName>
    <definedName function="false" hidden="false" name="IQ_UNREALIZED_GAIN" vbProcedure="false">"c1619"</definedName>
    <definedName function="false" hidden="false" name="IQ_US_GAAP" vbProcedure="false">"c1331"</definedName>
    <definedName function="false" hidden="false" name="IQ_UTIL_PPE_NET" vbProcedure="false">"c1620"</definedName>
    <definedName function="false" hidden="false" name="IQ_UV_PENSION_LIAB" vbProcedure="false">"c1332"</definedName>
    <definedName function="false" hidden="false" name="IQ_VALUE_TRADED_LAST_3MTH" vbProcedure="false">"c1530"</definedName>
    <definedName function="false" hidden="false" name="IQ_VALUE_TRADED_LAST_6MTH" vbProcedure="false">"c1531"</definedName>
    <definedName function="false" hidden="false" name="IQ_VALUE_TRADED_LAST_MTH" vbProcedure="false">"c1529"</definedName>
    <definedName function="false" hidden="false" name="IQ_VALUE_TRADED_LAST_WK" vbProcedure="false">"c1528"</definedName>
    <definedName function="false" hidden="false" name="IQ_VALUE_TRADED_LAST_YR" vbProcedure="false">"c1532"</definedName>
    <definedName function="false" hidden="false" name="IQ_VOLUME" vbProcedure="false">"c1333"</definedName>
    <definedName function="false" hidden="false" name="IQ_VOL_LAST_3MTH" vbProcedure="false">"c1525"</definedName>
    <definedName function="false" hidden="false" name="IQ_VOL_LAST_6MTH" vbProcedure="false">"c1526"</definedName>
    <definedName function="false" hidden="false" name="IQ_VOL_LAST_MTH" vbProcedure="false">"c1524"</definedName>
    <definedName function="false" hidden="false" name="IQ_VOL_LAST_WK" vbProcedure="false">"c1523"</definedName>
    <definedName function="false" hidden="false" name="IQ_VOL_LAST_YR" vbProcedure="false">"c1527"</definedName>
    <definedName function="false" hidden="false" name="IQ_WEIGHTED_AVG_PRICE" vbProcedure="false">"c1334"</definedName>
    <definedName function="false" hidden="false" name="IQ_WIP_INV" vbProcedure="false">"c1335"</definedName>
    <definedName function="false" hidden="false" name="IQ_WORKMEN_WRITTEN" vbProcedure="false">"c1336"</definedName>
    <definedName function="false" hidden="false" name="IQ_YEARHIGH" vbProcedure="false">"c1337"</definedName>
    <definedName function="false" hidden="false" name="IQ_YEARLOW" vbProcedure="false">"c1338"</definedName>
    <definedName function="false" hidden="false" name="IQ_YTD" vbProcedure="false">3000</definedName>
    <definedName function="false" hidden="false" name="IQ_Z_SCORE" vbProcedure="false">"c1339"</definedName>
    <definedName function="false" hidden="false" name="iu" vbProcedure="false">{"orixcsc",#N/A,FALSE,"ORIX CSC";"orixcsc2",#N/A,FALSE,"ORIX CSC"}</definedName>
    <definedName function="false" hidden="false" name="j" vbProcedure="false">{"résultats",#N/A,FALSE,"résultats SFS";"indicateurs",#N/A,FALSE,"résultats SFS";"commentaires",#N/A,FALSE,"commentaires SFS";"graphiques",#N/A,FALSE,"graphiques SFS"}</definedName>
    <definedName function="false" hidden="false" name="jfjfj" vbProcedure="false">{#N/A,#N/A,TRUE,"Cover sheet";#N/A,#N/A,TRUE,"DCF analysis";#N/A,#N/A,TRUE,"WACC calculation"}</definedName>
    <definedName function="false" hidden="false" name="jkl" vbProcedure="false">{#N/A,#N/A,FALSE,"EL-M-01";#N/A,#N/A,FALSE,"EL-M-02";#N/A,#N/A,FALSE,"EL-M-03";#N/A,#N/A,FALSE,"EL-S-01";#N/A,#N/A,FALSE,"EL-S-02";#N/A,#N/A,FALSE,"EL-A-01";#N/A,#N/A,FALSE,"EL-A-02"}</definedName>
    <definedName function="false" hidden="false" name="jqksdsqkd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ka" vbProcedure="false">{"IS",#N/A,FALSE,"IS";"RPTIS",#N/A,FALSE,"RPTIS";"STATS",#N/A,FALSE,"STATS";"CELL",#N/A,FALSE,"CELL";"BS",#N/A,FALSE,"BS"}</definedName>
    <definedName function="false" hidden="false" name="kd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e" vbProcedure="false">{"orixcsc",#N/A,FALSE,"ORIX CSC";"orixcsc2",#N/A,FALSE,"ORIX CSC"}</definedName>
    <definedName function="false" hidden="false" name="kf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g" vbProcedure="false">{"print 1",#N/A,FALSE,"PrimeCo PCS";"print 2",#N/A,FALSE,"PrimeCo PCS";"valuation",#N/A,FALSE,"PrimeCo PCS"}</definedName>
    <definedName function="false" hidden="false" name="kgkgk" vbProcedure="false">{#N/A,#N/A,TRUE,"Cover sheet";#N/A,#N/A,TRUE,"DCF analysis";#N/A,#N/A,TRUE,"WACC calculation"}</definedName>
    <definedName function="false" hidden="false" name="kh" vbProcedure="false">{"test2",#N/A,TRUE,"Prices"}</definedName>
    <definedName function="false" hidden="false" name="ki" vbProcedure="false">{"orixcsc",#N/A,FALSE,"ORIX CSC";"orixcsc2",#N/A,FALSE,"ORIX CSC"}</definedName>
    <definedName function="false" hidden="false" name="kj" vbProcedure="false">{"IS",#N/A,FALSE,"IS";"RPTIS",#N/A,FALSE,"RPTIS";"STATS",#N/A,FALSE,"STATS";"BS",#N/A,FALSE,"BS"}</definedName>
    <definedName function="false" hidden="false" name="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kkkkk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kkkkk" vbProcedure="false">{#N/A,#N/A,FALSE,"ORIX CSC"}</definedName>
    <definedName function="false" hidden="false" name="kkkkkkk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kkkkkk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kkkkkkkkk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kkkkkkkkkk" vbProcedure="false">{#N/A,#N/A,FALSE,"Contribution Analysis"}</definedName>
    <definedName function="false" hidden="false" name="kkkkkkkkkkkk" vbProcedure="false">{"IS",#N/A,FALSE,"IS";"RPTIS",#N/A,FALSE,"RPTIS";"STATS",#N/A,FALSE,"STATS";"CELL",#N/A,FALSE,"CELL";"BS",#N/A,FALSE,"BS"}</definedName>
    <definedName function="false" hidden="false" name="kkkkkkkkkkkkk" vbProcedure="false">{#N/A,#N/A,FALSE,"ORIX CSC"}</definedName>
    <definedName function="false" hidden="false" name="kkkkkkkkkkkkkk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kkkkkkkkkkkkkk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kkkkkkkkkkkkkkkkk" vbProcedure="false">{"IS",#N/A,FALSE,"IS";"RPTIS",#N/A,FALSE,"RPTIS";"STATS",#N/A,FALSE,"STATS";"CELL",#N/A,FALSE,"CELL";"BS",#N/A,FALSE,"BS"}</definedName>
    <definedName function="false" hidden="false" name="kma" vbProcedure="false">{#N/A,#N/A,TRUE,"Cover sheet";#N/A,#N/A,TRUE,"DCF analysis";#N/A,#N/A,TRUE,"WACC calculation"}</definedName>
    <definedName function="false" hidden="false" name="kmh" vbProcedure="false">{#N/A,#N/A,TRUE,"Cover sheet";#N/A,#N/A,TRUE,"DCF analysis";#N/A,#N/A,TRUE,"WACC calculation"}</definedName>
    <definedName function="false" hidden="false" name="ko" vbProcedure="false">{#N/A,#N/A,FALSE,"ORIX CSC"}</definedName>
    <definedName function="false" hidden="false" name="kol" vbProcedure="false">{"away stand alones",#N/A,FALSE,"Target"}</definedName>
    <definedName function="false" hidden="false" name="kp" vbProcedure="false">{"subs",#N/A,FALSE,"database ";"proportional",#N/A,FALSE,"database "}</definedName>
    <definedName function="false" hidden="false" name="kq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kr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k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kt" vbProcedure="false">{"IS",#N/A,FALSE,"IS";"RPTIS",#N/A,FALSE,"RPTIS";"STATS",#N/A,FALSE,"STATS";"CELL",#N/A,FALSE,"CELL";"BS",#N/A,FALSE,"BS"}</definedName>
    <definedName function="false" hidden="false" name="ku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ky" vbProcedure="false">{#N/A,#N/A,FALSE,"Contribution Analysis"}</definedName>
    <definedName function="false" hidden="false" name="la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lala" vbProcedure="false">{#N/A,#N/A,TRUE,"Cover sheet";#N/A,#N/A,TRUE,"DCF analysis";#N/A,#N/A,TRUE,"WACC calculation"}</definedName>
    <definedName function="false" hidden="false" name="lb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le" vbProcedure="false">{"IS",#N/A,FALSE,"IS";"RPTIS",#N/A,FALSE,"RPTIS";"STATS",#N/A,FALSE,"STATS";"CELL",#N/A,FALSE,"CELL";"BS",#N/A,FALSE,"BS"}</definedName>
    <definedName function="false" hidden="false" name="li" vbProcedure="false">{"IS",#N/A,FALSE,"IS";"RPTIS",#N/A,FALSE,"RPTIS";"STATS",#N/A,FALSE,"STATS";"CELL",#N/A,FALSE,"CELL";"BS",#N/A,FALSE,"BS"}</definedName>
    <definedName function="false" hidden="false" name="limcount" vbProcedure="false">1</definedName>
    <definedName function="false" hidden="false" name="ln" vbProcedure="false">{#N/A,#N/A,FALSE,"Contribution Analysis"}</definedName>
    <definedName function="false" hidden="false" name="lo" vbProcedure="false">{"IS",#N/A,FALSE,"IS";"RPTIS",#N/A,FALSE,"RPTIS";"STATS",#N/A,FALSE,"STATS";"CELL",#N/A,FALSE,"CELL";"BS",#N/A,FALSE,"BS"}</definedName>
    <definedName function="false" hidden="false" name="lq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lr" vbProcedure="false">{"IS",#N/A,FALSE,"IS";"RPTIS",#N/A,FALSE,"RPTIS";"STATS",#N/A,FALSE,"STATS";"CELL",#N/A,FALSE,"CELL";"BS",#N/A,FALSE,"BS"}</definedName>
    <definedName function="false" hidden="false" name="ls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lu" vbProcedure="false">{"orixcsc",#N/A,FALSE,"ORIX CSC";"orixcsc2",#N/A,FALSE,"ORIX CSC"}</definedName>
    <definedName function="false" hidden="false" name="lumpjiùo" vbProcedure="false">{"IS",#N/A,FALSE,"IS";"RPTIS",#N/A,FALSE,"RPTIS";"STATS",#N/A,FALSE,"STATS";"BS",#N/A,FALSE,"BS"}</definedName>
    <definedName function="false" hidden="false" name="lv" vbProcedure="false">{"IS",#N/A,FALSE,"IS";"RPTIS",#N/A,FALSE,"RPTIS";"STATS",#N/A,FALSE,"STATS";"BS",#N/A,FALSE,"BS"}</definedName>
    <definedName function="false" hidden="false" name="ly" vbProcedure="false">{#N/A,#N/A,FALSE,"Contribution Analysis"}</definedName>
    <definedName function="false" hidden="false" name="lz" vbProcedure="false">{"IS",#N/A,FALSE,"IS";"RPTIS",#N/A,FALSE,"RPTIS";"STATS",#N/A,FALSE,"STATS";"CELL",#N/A,FALSE,"CELL";"BS",#N/A,FALSE,"BS"}</definedName>
    <definedName function="false" hidden="false" name="ma" vbProcedure="false">{#N/A,#N/A,FALSE,"ORIX CSC"}</definedName>
    <definedName function="false" hidden="false" name="mb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c" vbProcedure="false">{"IS",#N/A,FALSE,"IS";"RPTIS",#N/A,FALSE,"RPTIS";"STATS",#N/A,FALSE,"STATS";"BS",#N/A,FALSE,"BS"}</definedName>
    <definedName function="false" hidden="false" name="md" vbProcedure="false">{"IS",#N/A,FALSE,"IS";"RPTIS",#N/A,FALSE,"RPTIS";"STATS",#N/A,FALSE,"STATS";"CELL",#N/A,FALSE,"CELL";"BS",#N/A,FALSE,"BS"}</definedName>
    <definedName function="false" hidden="false" name="mdlm" vbProcedure="false">{#N/A,#N/A,TRUE,"financial";#N/A,#N/A,TRUE,"plants"}</definedName>
    <definedName function="false" hidden="false" name="mf" vbProcedure="false">{"print 1",#N/A,FALSE,"PrimeCo PCS";"print 2",#N/A,FALSE,"PrimeCo PCS";"valuation",#N/A,FALSE,"PrimeCo PCS"}</definedName>
    <definedName function="false" hidden="false" name="mh" vbProcedure="false">{"IS",#N/A,FALSE,"IS";"RPTIS",#N/A,FALSE,"RPTIS";"STATS",#N/A,FALSE,"STATS";"BS",#N/A,FALSE,"BS"}</definedName>
    <definedName function="false" hidden="false" name="mi" vbProcedure="false">{"subs",#N/A,FALSE,"database ";"proportional",#N/A,FALSE,"database "}</definedName>
    <definedName function="false" hidden="false" name="mj" vbProcedure="false">{"test2",#N/A,TRUE,"Prices"}</definedName>
    <definedName function="false" hidden="false" name="ml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n" vbProcedure="false">{"print 1",#N/A,FALSE,"PrimeCo PCS";"print 2",#N/A,FALSE,"PrimeCo PCS";"valuation",#N/A,FALSE,"PrimeCo PCS"}</definedName>
    <definedName function="false" hidden="false" name="mo" vbProcedure="false">{"test2",#N/A,TRUE,"Prices"}</definedName>
    <definedName function="false" hidden="false" name="mp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mq" vbProcedure="false">{"IS",#N/A,FALSE,"IS";"RPTIS",#N/A,FALSE,"RPTIS";"STATS",#N/A,FALSE,"STATS";"CELL",#N/A,FALSE,"CELL";"BS",#N/A,FALSE,"BS"}</definedName>
    <definedName function="false" hidden="false" name="mr" vbProcedure="false">{"IS",#N/A,FALSE,"IS";"RPTIS",#N/A,FALSE,"RPTIS";"STATS",#N/A,FALSE,"STATS";"CELL",#N/A,FALSE,"CELL";"BS",#N/A,FALSE,"BS"}</definedName>
    <definedName function="false" hidden="false" name="ms" vbProcedure="false">{"IS",#N/A,FALSE,"IS";"RPTIS",#N/A,FALSE,"RPTIS";"STATS",#N/A,FALSE,"STATS";"CELL",#N/A,FALSE,"CELL";"BS",#N/A,FALSE,"BS"}</definedName>
    <definedName function="false" hidden="false" name="mt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mu" vbProcedure="false">{"IS",#N/A,FALSE,"IS";"RPTIS",#N/A,FALSE,"RPTIS";"STATS",#N/A,FALSE,"STATS";"BS",#N/A,FALSE,"BS"}</definedName>
    <definedName function="false" hidden="false" name="mv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w" vbProcedure="false">{"test2",#N/A,TRUE,"Prices"}</definedName>
    <definedName function="false" hidden="false" name="mx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my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mz" vbProcedure="false">{"IS",#N/A,FALSE,"IS";"RPTIS",#N/A,FALSE,"RPTIS";"STATS",#N/A,FALSE,"STATS";"CELL",#N/A,FALSE,"CELL";"BS",#N/A,FALSE,"BS"}</definedName>
    <definedName function="false" hidden="false" name="newbel" vbProcedure="false">{"IS",#N/A,FALSE,"IS";"RPTIS",#N/A,FALSE,"RPTIS";"STATS",#N/A,FALSE,"STATS";"CELL",#N/A,FALSE,"CELL";"BS",#N/A,FALSE,"BS"}</definedName>
    <definedName function="false" hidden="false" name="newbel1" vbProcedure="false">{"IS",#N/A,FALSE,"IS";"RPTIS",#N/A,FALSE,"RPTIS";"STATS",#N/A,FALSE,"STATS";"CELL",#N/A,FALSE,"CELL";"BS",#N/A,FALSE,"BS"}</definedName>
    <definedName function="false" hidden="false" name="newDC" vbProcedure="false">{#N/A,#N/A,TRUE,"Cover sheet";#N/A,#N/A,TRUE,"DCF analysis";#N/A,#N/A,TRUE,"WACC calculation"}</definedName>
    <definedName function="false" hidden="false" name="new_FTK" vbProcedure="false">{#N/A,#N/A,FALSE,"Outlook for Month ";#N/A,#N/A,FALSE,"Risk for Month ";#N/A,#N/A,FALSE,"Upside for Month"}</definedName>
    <definedName function="false" hidden="false" name="noidea" vbProcedure="false">{#N/A,#N/A,FALSE,"Calc";#N/A,#N/A,FALSE,"Sensitivity";#N/A,#N/A,FALSE,"LT Earn.Dil.";#N/A,#N/A,FALSE,"Dil. AVP"}</definedName>
    <definedName function="false" hidden="false" name="NOIDEA2" vbProcedure="false">{#N/A,#N/A,FALSE,"Calc";#N/A,#N/A,FALSE,"Sensitivity";#N/A,#N/A,FALSE,"LT Earn.Dil.";#N/A,#N/A,FALSE,"Dil. AVP"}</definedName>
    <definedName function="false" hidden="false" name="ok" vbProcedure="false">{#N/A,#N/A,FALSE,"Calc";#N/A,#N/A,FALSE,"Sensitivity";#N/A,#N/A,FALSE,"LT Earn.Dil.";#N/A,#N/A,FALSE,"Dil. AVP"}</definedName>
    <definedName function="false" hidden="false" name="oku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OP" vbProcedure="false">{#N/A,#N/A,FALSE,"Operations";#N/A,#N/A,FALSE,"Financials"}</definedName>
    <definedName function="false" hidden="false" name="po" vbProcedure="false">{#N/A,#N/A,FALSE,"Calc";#N/A,#N/A,FALSE,"Sensitivity";#N/A,#N/A,FALSE,"LT Earn.Dil.";#N/A,#N/A,FALSE,"Dil. AVP"}</definedName>
    <definedName function="false" hidden="false" name="poi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Pre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print4" vbProcedure="false">{#N/A,#N/A,FALSE,"Operations";#N/A,#N/A,FALSE,"Financials"}</definedName>
    <definedName function="false" hidden="false" name="prout" vbProcedure="false">{"comp1",#N/A,FALSE,"COMPS";"footnotes",#N/A,FALSE,"COMPS"}</definedName>
    <definedName function="false" hidden="false" name="qaecdaze" vbProcedure="false">{"First Page",#N/A,FALSE,"Surfactants LBO";"Second Page",#N/A,FALSE,"Surfactants LBO"}</definedName>
    <definedName function="false" hidden="false" name="qc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qf" vbProcedure="false">{#N/A,#N/A,TRUE,"Cover sheet";#N/A,#N/A,TRUE,"INPUTS";#N/A,#N/A,TRUE,"OUTPUTS";#N/A,#N/A,TRUE,"VALUATION"}</definedName>
    <definedName function="false" hidden="false" name="qfsd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qgg" vbProcedure="false">{#N/A,#N/A,FALSE,"Cover";"outputs total",#N/A,FALSE,"Outputs"}</definedName>
    <definedName function="false" hidden="false" name="qh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ql" vbProcedure="false">{"test2",#N/A,TRUE,"Prices"}</definedName>
    <definedName function="false" hidden="false" name="qm" vbProcedure="false">{"IS",#N/A,FALSE,"IS";"RPTIS",#N/A,FALSE,"RPTIS";"STATS",#N/A,FALSE,"STATS";"BS",#N/A,FALSE,"BS"}</definedName>
    <definedName function="false" hidden="false" name="qs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qscfaq" vbProcedure="false">{"First Page",#N/A,FALSE,"Surfactants LBO";"Second Page",#N/A,FALSE,"Surfactants LBO"}</definedName>
    <definedName function="false" hidden="false" name="qsd" vbProcedure="false">{#N/A,#N/A,TRUE,"Cover sheet";#N/A,#N/A,TRUE,"DCF analysis";#N/A,#N/A,TRUE,"WACC calculation"}</definedName>
    <definedName function="false" hidden="false" name="qsdf" vbProcedure="false">{#N/A,#N/A,FALSE,"Contribution Analysis"}</definedName>
    <definedName function="false" hidden="false" name="qsdjlgzerg" vbProcedure="false">{#N/A,#N/A,TRUE,"Cover sheet";#N/A,#N/A,TRUE,"DCF analysis";#N/A,#N/A,TRUE,"WACC calculation"}</definedName>
    <definedName function="false" hidden="false" name="qsfd" vbProcedure="false">{#N/A,#N/A,TRUE,"Cover sheet";#N/A,#N/A,TRUE,"INPUTS";#N/A,#N/A,TRUE,"OUTPUTS";#N/A,#N/A,TRUE,"VALUATION"}</definedName>
    <definedName function="false" hidden="false" name="REZTEZRT" vbProcedure="false">[8]AW!$A$11:$A$24</definedName>
    <definedName function="false" hidden="false" name="rgthsrjsyj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rty" vbProcedure="false">{#N/A,#N/A,TRUE,"Pro Forma";#N/A,#N/A,TRUE,"PF_Bal";#N/A,#N/A,TRUE,"PF_INC";#N/A,#N/A,TRUE,"CBE";#N/A,#N/A,TRUE,"SWK"}</definedName>
    <definedName function="false" hidden="false" name="sadd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dd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SAPBEXrevision" vbProcedure="false">1</definedName>
    <definedName function="false" hidden="false" name="SAPBEXrevision_1" vbProcedure="false">1</definedName>
    <definedName function="false" hidden="false" name="SAPBEXsysID" vbProcedure="false">"BP1"</definedName>
    <definedName function="false" hidden="false" name="SAPBEXsysID_1" vbProcedure="false">"BP1"</definedName>
    <definedName function="false" hidden="false" name="SAPBEXwbID" vbProcedure="false">"4GPG7WY8FO47YTFU26F0UOWSY"</definedName>
    <definedName function="false" hidden="false" name="sbgsdgfgbb" vbProcedure="false">[8]AW!$E$18</definedName>
    <definedName function="false" hidden="false" name="sdf" vbProcedure="false">{#N/A,#N/A,FALSE,"Calc";#N/A,#N/A,FALSE,"Sensitivity";#N/A,#N/A,FALSE,"LT Earn.Dil.";#N/A,#N/A,FALSE,"Dil. AVP"}</definedName>
    <definedName function="false" hidden="false" name="sdfgdsf" vbProcedure="false">[8]AW!$E$11:$E$24</definedName>
    <definedName function="false" hidden="false" name="SDFGFG" vbProcedure="false">[8]AW!$E$18</definedName>
    <definedName function="false" hidden="false" name="sdvsfdvfdsb" vbProcedure="false">[8]AW!$A$11:$A$24</definedName>
    <definedName function="false" hidden="false" name="se" vbProcedure="false">{"consolidated",#N/A,FALSE,"Sheet1";"cms",#N/A,FALSE,"Sheet1";"fse",#N/A,FALSE,"Sheet1"}</definedName>
    <definedName function="false" hidden="false" name="sencount" vbProcedure="false">1</definedName>
    <definedName function="false" hidden="false" name="sfbgsfbgsfbg" vbProcedure="false">[8]AW!$C$30:$H$35</definedName>
    <definedName function="false" hidden="false" name="sfsdfsf" vbProcedure="false">{"First Page",#N/A,FALSE,"Surfactants LBO";"Second Page",#N/A,FALSE,"Surfactants LBO"}</definedName>
    <definedName function="false" hidden="false" name="sfze" vbProcedure="false">{#N/A,#N/A,FALSE,"Contribution Analysis"}</definedName>
    <definedName function="false" hidden="false" name="solver_lin" vbProcedure="false">0</definedName>
    <definedName function="false" hidden="false" name="solver_num" vbProcedure="false">0</definedName>
    <definedName function="false" hidden="false" name="solver_tmp" vbProcedure="false">#NULL!</definedName>
    <definedName function="false" hidden="false" name="solver_typ" vbProcedure="false">1</definedName>
    <definedName function="false" hidden="false" name="solver_val" vbProcedure="false">0</definedName>
    <definedName function="false" hidden="false" name="ssdsds" vbProcedure="false">{#N/A,#N/A,TRUE,"Cover sheet";#N/A,#N/A,TRUE,"DCF analysis";#N/A,#N/A,TRUE,"WACC calculation"}</definedName>
    <definedName function="false" hidden="false" name="SSSSS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stef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tatat" vbProcedure="false">{"IS",#N/A,FALSE,"IS";"RPTIS",#N/A,FALSE,"RPTIS";"STATS",#N/A,FALSE,"STATS";"CELL",#N/A,FALSE,"CELL";"BS",#N/A,FALSE,"BS"}</definedName>
    <definedName function="false" hidden="false" name="test" vbProcedure="false">{#N/A,#N/A,FALSE,"F_Plan";#N/A,#N/A,FALSE,"Parameter"}</definedName>
    <definedName function="false" hidden="false" name="test1" vbProcedure="false">{#N/A,#N/A,FALSE,"Umsatz";#N/A,#N/A,FALSE,"Base V.02";#N/A,#N/A,FALSE,"Charts"}</definedName>
    <definedName function="false" hidden="false" name="test2" vbProcedure="false">{#N/A,#N/A,FALSE,"F_Plan";#N/A,#N/A,FALSE,"Parameter"}</definedName>
    <definedName function="false" hidden="false" name="test4" vbProcedure="false">{#N/A,#N/A,FALSE,"F_Plan";#N/A,#N/A,FALSE,"Parameter"}</definedName>
    <definedName function="false" hidden="false" name="tests" vbProcedure="false">{#N/A,#N/A,FALSE,"F_Plan";#N/A,#N/A,FALSE,"Parameter"}</definedName>
    <definedName function="false" hidden="false" name="TextRefCopyRangeCount" vbProcedure="false">1</definedName>
    <definedName function="false" hidden="false" name="toto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ty" vbProcedure="false">{"orixcsc",#N/A,FALSE,"ORIX CSC";"orixcsc2",#N/A,FALSE,"ORIX CSC"}</definedName>
    <definedName function="false" hidden="false" name="ufykfk" vbProcedure="false">{"print 1",#N/A,FALSE,"PrimeCo PCS";"print 2",#N/A,FALSE,"PrimeCo PCS";"valuation",#N/A,FALSE,"PrimeCo PCS"}</definedName>
    <definedName function="false" hidden="false" name="uyuyuyuyuyu" vbProcedure="false">{#N/A,#N/A,TRUE,"Cover sheet";#N/A,#N/A,TRUE,"DCF analysis";#N/A,#N/A,TRUE,"WACC calculation"}</definedName>
    <definedName function="false" hidden="false" name="vince" vbProcedure="false">{#N/A,#N/A,TRUE,"Cover sheet";#N/A,#N/A,TRUE,"DCF analysis";#N/A,#N/A,TRUE,"WACC calculation"}</definedName>
    <definedName function="false" hidden="false" name="vvv" vbProcedure="false">{#N/A,#N/A,TRUE,"Cover sheet";#N/A,#N/A,TRUE,"DCF analysis";#N/A,#N/A,TRUE,"WACC calculation"}</definedName>
    <definedName function="false" hidden="false" name="wefsdfasdf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1." vbProcedure="false">{#N/A,#N/A,FALSE,"Calc";#N/A,#N/A,FALSE,"Sensitivity";#N/A,#N/A,FALSE,"LT Earn.Dil.";#N/A,#N/A,FALSE,"Dil. AVP"}</definedName>
    <definedName function="false" hidden="false" name="WRN.2." vbProcedure="false">{#N/A,#N/A,FALSE,"Calc";#N/A,#N/A,FALSE,"Sensitivity";#N/A,#N/A,FALSE,"LT Earn.Dil.";#N/A,#N/A,FALSE,"Dil. AVP"}</definedName>
    <definedName function="false" hidden="false" name="wrn.50._.50." vbProcedure="false">{"assumption 50 50",#N/A,TRUE,"Merger";"has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all._.comps." vbProcedure="false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function="false" hidden="false" name="wrn.All._.Financials." vbProcedure="false">{#N/A,#N/A,TRUE,"Assumptions";#N/A,#N/A,TRUE,"Op Projection";#N/A,#N/A,TRUE,"Capital";#N/A,#N/A,TRUE,"Income";#N/A,#N/A,TRUE,"Balance";#N/A,#N/A,TRUE,"Sources&amp;Uses"}</definedName>
    <definedName function="false" hidden="false" name="wrn.All._.Pages." vbProcedure="false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function="false" hidden="false" name="wrn.AR._.Meeting._.Schedules.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wrn.Asia.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wrn.assumptions." vbProcedure="false">{"casespecific",#N/A,FALSE,"Assumptions"}</definedName>
    <definedName function="false" hidden="false" name="wrn.away." vbProcedure="false">{"away stand alones",#N/A,FALSE,"Target"}</definedName>
    <definedName function="false" hidden="false" name="wrn.baseDEV.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wrn.BEL." vbProcedure="false">{"IS",#N/A,FALSE,"IS";"RPTIS",#N/A,FALSE,"RPTIS";"STATS",#N/A,FALSE,"STATS";"CELL",#N/A,FALSE,"CELL";"BS",#N/A,FALSE,"BS"}</definedName>
    <definedName function="false" hidden="false" name="wrn.Both." vbProcedure="false">{#N/A,#N/A,FALSE,"1998";#N/A,#N/A,FALSE,"1997"}</definedName>
    <definedName function="false" hidden="false" name="wrn.BPlan." vbProcedure="false">{#N/A,#N/A,FALSE,"F_Plan";#N/A,#N/A,FALSE,"Parameter"}</definedName>
    <definedName function="false" hidden="false" name="wrn.brian." vbProcedure="false">{#N/A,#N/A,FALSE,"output";#N/A,#N/A,FALSE,"contrib";#N/A,#N/A,FALSE,"profile";#N/A,#N/A,FALSE,"comps"}</definedName>
    <definedName function="false" hidden="false" name="wrn.cash." vbProcedure="false">{"assumption cash",#N/A,TRUE,"Merger";"has gets cash",#N/A,TRUE,"Merger";"accretion dilution",#N/A,TRUE,"Merger";"comparison credit stats",#N/A,TRUE,"Merger";"pf credit stats",#N/A,TRUE,"Merger";"pf sheets",#N/A,TRUE,"Merger"}</definedName>
    <definedName function="false" hidden="false" name="wrn.Complete." vbProcedure="false">{#N/A,#N/A,TRUE,"DCF Summary";#N/A,#N/A,TRUE,"Casema";#N/A,#N/A,TRUE,"UK";#N/A,#N/A,TRUE,"RCF";#N/A,#N/A,TRUE,"Intercable CZ";#N/A,#N/A,TRUE,"Interkabel P";#N/A,#N/A,TRUE,"LBO-Total";#N/A,#N/A,TRUE,"LBO-Casema"}</definedName>
    <definedName function="false" hidden="false" name="wrn.comps." vbProcedure="false">{"comps",#N/A,FALSE,"comps";"notes",#N/A,FALSE,"comps"}</definedName>
    <definedName function="false" hidden="false" name="wrn.contribution." vbProcedure="false">{#N/A,#N/A,FALSE,"Contribution Analysis"}</definedName>
    <definedName function="false" hidden="false" name="wrn.cooper." vbProcedure="false">{#N/A,#N/A,TRUE,"Pro Forma";#N/A,#N/A,TRUE,"PF_Bal";#N/A,#N/A,TRUE,"PF_INC";#N/A,#N/A,TRUE,"CBE";#N/A,#N/A,TRUE,"SWK"}</definedName>
    <definedName function="false" hidden="false" name="wrn.Cover.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wrn.csc." vbProcedure="false">{"orixcsc",#N/A,FALSE,"ORIX CSC";"orixcsc2",#N/A,FALSE,"ORIX CSC"}</definedName>
    <definedName function="false" hidden="false" name="wrn.csc2." vbProcedure="false">{#N/A,#N/A,FALSE,"ORIX CSC"}</definedName>
    <definedName function="false" hidden="false" name="wrn.database." vbProcedure="false">{"subs",#N/A,FALSE,"database ";"proportional",#N/A,FALSE,"database "}</definedName>
    <definedName function="false" hidden="false" name="wrn.DCF._.Only.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wrn.dil_anal." vbProcedure="false">{"hiden",#N/A,FALSE,"14";"hidden",#N/A,FALSE,"16";"hidden",#N/A,FALSE,"18";"hidden",#N/A,FALSE,"20"}</definedName>
    <definedName function="false" hidden="false" name="wrn.document." vbProcedure="false">{"consolidated",#N/A,FALSE,"Sheet1";"cms",#N/A,FALSE,"Sheet1";"fse",#N/A,FALSE,"Sheet1"}</definedName>
    <definedName function="false" hidden="false" name="wrn.documentaero." vbProcedure="false">{"comps2",#N/A,FALSE,"AERO";"footnotes",#N/A,FALSE,"AERO"}</definedName>
    <definedName function="false" hidden="false" name="wrn.documenthand." vbProcedure="false">{"comps",#N/A,FALSE,"HANDPACK";"footnotes",#N/A,FALSE,"HANDPACK"}</definedName>
    <definedName function="false" hidden="false" name="wrn.equity._.comps." vbProcedure="false">{"equity comps",#N/A,FALSE,"CS Comps";"equity comps",#N/A,FALSE,"PS Comps";"equity comps",#N/A,FALSE,"GIC_Comps";"equity comps",#N/A,FALSE,"GIC2_Comps"}</definedName>
    <definedName function="false" hidden="false" name="wrn.Europe.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wrn.Flash._.Report." vbProcedure="false">{#N/A,#N/A,FALSE,"1999 Fiscal Current Week";#N/A,#N/A,FALSE,"1999 Flash Report Variance "}</definedName>
    <definedName function="false" hidden="false" name="wrn.fleck." vbProcedure="false">{"first",#N/A,FALSE,"FLEXPAC2";"second",#N/A,FALSE,"FLEXPAC2"}</definedName>
    <definedName function="false" hidden="false" name="wrn.fleckcompac." vbProcedure="false">{"one",#N/A,FALSE,"FLEXPAC2";"two",#N/A,FALSE,"FLEXPAC2";"three",#N/A,FALSE,"FLEXPAC2"}</definedName>
    <definedName function="false" hidden="false" name="wrn.fred." vbProcedure="false">{"cover",#N/A,TRUE,"BaseCase";"pnl",#N/A,TRUE,"BaseCase";"pnldet",#N/A,TRUE,"BaseCase";"bil",#N/A,TRUE,"BaseCase";"tabfi",#N/A,TRUE,"BaseCase";"ratios",#N/A,TRUE,"BaseCase";"variab",#N/A,TRUE,"BaseCase";"inv",#N/A,TRUE,"BaseCase"}</definedName>
    <definedName function="false" hidden="false" name="wrn.Full." vbProcedure="false">{#N/A,#N/A,FALSE,"Cover";"outputs total",#N/A,FALSE,"Outputs"}</definedName>
    <definedName function="false" hidden="false" name="wrn.Full._.model." vbProcedure="false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function="false" hidden="false" name="wrn.FullPrintout.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wrn.imp." vbProcedure="false">{"vue1",#N/A,FALSE,"synthese";"vue2",#N/A,FALSE,"synthese"}</definedName>
    <definedName function="false" hidden="false" name="wrn.Inputsheet_ProjectInput." vbProcedure="false">{"ProjectInput",#N/A,FALSE,"INPUT-AREA"}</definedName>
    <definedName function="false" hidden="false" name="wrn.international.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wrn.lh97." vbProcedure="false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function="false" hidden="false" name="wrn.Mark._.P.._.Report." vbProcedure="false">{#N/A,#N/A,FALSE,"1999 Fiscal Current Week";#N/A,#N/A,FALSE,"1999 Fiscal Variance"}</definedName>
    <definedName function="false" hidden="false" name="wrn.memo." vbProcedure="false">{#N/A,#N/A,TRUE,"financial";#N/A,#N/A,TRUE,"plants"}</definedName>
    <definedName function="false" hidden="false" name="wrn.merger.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wrn.Monthly." vbProcedure="false">{#N/A,#N/A,FALSE,"EL-M-01";#N/A,#N/A,FALSE,"EL-M-02";#N/A,#N/A,FALSE,"EL-M-03";#N/A,#N/A,FALSE,"EL-S-01";#N/A,#N/A,FALSE,"EL-S-02";#N/A,#N/A,FALSE,"EL-A-01";#N/A,#N/A,FALSE,"EL-A-02"}</definedName>
    <definedName function="false" hidden="false" name="wrn.new." vbProcedure="false">{"new1",#N/A,FALSE,"FLEXPAC2";"new2",#N/A,FALSE,"FLEXPAC2"}</definedName>
    <definedName function="false" hidden="false" name="wrn.newDEV." vbProcedure="false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function="false" hidden="false" name="wrn.newEUR." vbProcedure="false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function="false" hidden="false" name="wrn.Outlook._.Report." vbProcedure="false">{#N/A,#N/A,FALSE,"Outlook for Month ";#N/A,#N/A,FALSE,"Risk for Month ";#N/A,#N/A,FALSE,"Upside for Month"}</definedName>
    <definedName function="false" hidden="false" name="wrn.Output.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wrn.PrimeCo." vbProcedure="false">{"print 1",#N/A,FALSE,"PrimeCo PCS";"print 2",#N/A,FALSE,"PrimeCo PCS";"valuation",#N/A,FALSE,"PrimeCo PCS"}</definedName>
    <definedName function="false" hidden="false" name="wrn.Print." vbProcedure="false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function="false" hidden="false" name="wrn.Print.out." vbProcedure="false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function="false" hidden="false" name="wrn.Print._.All._.A4." vbProcedure="false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function="false" hidden="false" name="wrn.Print._.All._.Letter." vbProcedure="false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function="false" hidden="false" name="wrn.Print._.Model." vbProcedure="false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function="false" hidden="false" name="wrn.Print._.Results._.A4." vbProcedure="false">{"Valuation",#N/A,TRUE,"Valuation Summary";"Financial Statements",#N/A,TRUE,"Results";"Results",#N/A,TRUE,"Results";"Ratios",#N/A,TRUE,"Results";"P2 Summary",#N/A,TRUE,"Results"}</definedName>
    <definedName function="false" hidden="false" name="wrn.Print._.Results._.Letter." vbProcedure="false">{"Valuation - Letter",#N/A,TRUE,"Valuation Summary";"Financial Statements - Letter",#N/A,TRUE,"Results";"Results - Letter",#N/A,TRUE,"Results";"Ratios - Letter",#N/A,TRUE,"Results";"P2 Summary - Letter",#N/A,TRUE,"Results"}</definedName>
    <definedName function="false" hidden="false" name="wrn.Print._.the._.lot." vbProcedure="false">{"First Page",#N/A,FALSE,"Surfactants LBO";"Second Page",#N/A,FALSE,"Surfactants LBO"}</definedName>
    <definedName function="false" hidden="false" name="wrn.Print._.whole._.Report." vbProcedure="false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function="false" hidden="false" name="wrn.Printing._.the._.transactions._.sheets." vbProcedure="false">{#N/A,#N/A,FALSE,"Eastern";#N/A,#N/A,FALSE,"Western"}</definedName>
    <definedName function="false" hidden="false" name="wrn.Print_Buyer." vbProcedure="false">{#N/A,"DR",FALSE,"increm pf";#N/A,"MAMSI",FALSE,"increm pf";#N/A,"MAXI",FALSE,"increm pf";#N/A,"PCAM",FALSE,"increm pf";#N/A,"PHSV",FALSE,"increm pf";#N/A,"SIE",FALSE,"increm pf"}</definedName>
    <definedName function="false" hidden="false" name="wrn.Print_Target." vbProcedure="false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function="false" hidden="false" name="wrn.ProMonte." vbProcedure="false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function="false" hidden="false" name="wrn.rapport._.1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apport._.305." vbProcedure="false">{#N/A,#N/A,TRUE,"Forecast &amp; Analysis";#N/A,#N/A,TRUE,"Market Values";#N/A,#N/A,TRUE,"Ratios";#N/A,#N/A,TRUE,"Regressions";#N/A,#N/A,TRUE,"Market Values";#N/A,#N/A,TRUE,"Parameters &amp; Results"}</definedName>
    <definedName function="false" hidden="false" name="wrn.Report1." vbProcedure="false">{#N/A,#N/A,FALSE,"Operations";#N/A,#N/A,FALSE,"Financials"}</definedName>
    <definedName function="false" hidden="false" name="wrn.RPT.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wrn.sens." vbProcedure="false">{#N/A,#N/A,FALSE,"Sensitivities";#N/A,#N/A,FALSE,"Sensitivities2"}</definedName>
    <definedName function="false" hidden="false" name="wrn.sensitivity._.analyses." vbProcedure="false">{"general",#N/A,FALSE,"Assumptions"}</definedName>
    <definedName function="false" hidden="false" name="wrn.stand_alone." vbProcedure="false">{#N/A,#N/A,FALSE,"CBE";#N/A,#N/A,FALSE,"SWK"}</definedName>
    <definedName function="false" hidden="false" name="wrn.Summary." vbProcedure="false">{#N/A,#N/A,FALSE,"Summary3";#N/A,#N/A,FALSE,"Summary1";#N/A,#N/A,FALSE,"Summary2";#N/A,#N/A,FALSE,"Sensitivities1";#N/A,#N/A,FALSE,"Sensitivities2"}</definedName>
    <definedName function="false" hidden="false" name="wrn.Summary._.with._.short._.outputs." vbProcedure="fals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function="false" hidden="false" name="wrn.Søren." vbProcedure="false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function="false" hidden="false" name="wrn.test." vbProcedure="false">{"test2",#N/A,TRUE,"Prices"}</definedName>
    <definedName function="false" hidden="false" name="wrn.Thomas_Case." vbProcedure="false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function="false" hidden="false" name="wrn.totalcomp." vbProcedure="false">{"comp1",#N/A,FALSE,"COMPS";"footnotes",#N/A,FALSE,"COMPS"}</definedName>
    <definedName function="false" hidden="false" name="wrn.trans._.sum." vbProcedure="false">{"trans assumptions",#N/A,FALSE,"Merger";"trans accretion",#N/A,FALSE,"Merger"}</definedName>
    <definedName function="false" hidden="false" name="wrn.Udskriv._.alt." vbProcedure="false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function="false" hidden="false" name="wrn.Umsatz." vbProcedure="false">{#N/A,#N/A,FALSE,"Umsatz";#N/A,#N/A,FALSE,"Base V.02";#N/A,#N/A,FALSE,"Charts"}</definedName>
    <definedName function="false" hidden="false" name="wrn.up." vbProcedure="false">{"up stand alones",#N/A,FALSE,"Acquiror"}</definedName>
    <definedName function="false" hidden="false" name="wrn.upfront." vbProcedure="false">{#N/A,#N/A,FALSE,"SUMMARY";#N/A,#N/A,FALSE,"COACH";#N/A,#N/A,FALSE,"ACTIONPK";#N/A,#N/A,FALSE,"LASTCALL";#N/A,#N/A,FALSE,"SUZANNE";#N/A,#N/A,FALSE,"NEXPO"}</definedName>
    <definedName function="false" hidden="false" name="wrn.USW." vbProcedure="false">{"IS",#N/A,FALSE,"IS";"RPTIS",#N/A,FALSE,"RPTIS";"STATS",#N/A,FALSE,"STATS";"BS",#N/A,FALSE,"BS"}</definedName>
    <definedName function="false" hidden="false" name="wrn.édition." vbProcedure="false">{"résultats",#N/A,FALSE,"résultats SFS";"indicateurs",#N/A,FALSE,"résultats SFS";"commentaires",#N/A,FALSE,"commentaires SFS";"graphiques",#N/A,FALSE,"graphiques SFS"}</definedName>
    <definedName function="false" hidden="false" name="wrn1.flash._.Report." vbProcedure="false">{#N/A,#N/A,FALSE,"1999 Fiscal Current Week";#N/A,#N/A,FALSE,"1999 Flash Report Variance "}</definedName>
    <definedName function="false" hidden="false" name="wrn2.Bplan." vbProcedure="false">{#N/A,#N/A,FALSE,"F_Plan";#N/A,#N/A,FALSE,"Parameter"}</definedName>
    <definedName function="false" hidden="false" name="WRN2.Document" vbProcedure="false">{"consolidated",#N/A,FALSE,"Sheet1";"cms",#N/A,FALSE,"Sheet1";"fse",#N/A,FALSE,"Sheet1"}</definedName>
    <definedName function="false" hidden="false" name="xcdq" vbProcedure="false">{#N/A,#N/A,FALSE,"Outlook for Month ";#N/A,#N/A,FALSE,"Risk for Month ";#N/A,#N/A,FALSE,"Upside for Month"}</definedName>
    <definedName function="false" hidden="false" name="XRefColumnsCount" vbProcedure="false">2</definedName>
    <definedName function="false" hidden="false" name="XRefCopyRangeCount" vbProcedure="false">2</definedName>
    <definedName function="false" hidden="false" name="XRefPasteRangeCount" vbProcedure="false">5</definedName>
    <definedName function="false" hidden="false" name="XVCWXV" vbProcedure="false">[8]AW!$D$12</definedName>
    <definedName function="false" hidden="false" name="xwxxwx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xx" vbProcedure="false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function="false" hidden="false" name="xxxxx" vbProcedure="false">{#N/A,#N/A,FALSE,"CBE";#N/A,#N/A,FALSE,"SWK"}</definedName>
    <definedName function="false" hidden="false" name="XYZ" vbProcedure="false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function="false" hidden="false" name="yfj" vbProcedure="false">{#N/A,#N/A,TRUE,"Cover sheet";#N/A,#N/A,TRUE,"INPUTS";#N/A,#N/A,TRUE,"OUTPUTS";#N/A,#N/A,TRUE,"VALUATION"}</definedName>
    <definedName function="false" hidden="false" name="yjdkutk" vbProcedure="fals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function="false" hidden="false" name="yre" vbProcedure="false">{#N/A,#N/A,FALSE,"ORIX CSC"}</definedName>
    <definedName function="false" hidden="false" name="yuyuuyuyuyuyu" vbProcedure="false">{#N/A,#N/A,TRUE,"Cover sheet";#N/A,#N/A,TRUE,"DCF analysis";#N/A,#N/A,TRUE,"WACC calculation"}</definedName>
    <definedName function="false" hidden="false" name="zb" vbProcedure="false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function="false" hidden="false" name="zc" vbProcedure="false">{#N/A,#N/A,FALSE,"ORIX CSC"}</definedName>
    <definedName function="false" hidden="false" name="zd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edaqzd" vbProcedure="false">{#N/A,#N/A,FALSE,"Operations";#N/A,#N/A,FALSE,"Financials"}</definedName>
    <definedName function="false" hidden="false" name="zefz" vbProcedure="false">{"First Page",#N/A,FALSE,"Surfactants LBO";"Second Page",#N/A,FALSE,"Surfactants LBO"}</definedName>
    <definedName function="false" hidden="false" name="zf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g" vbProcedure="false">{#N/A,#N/A,FALSE,"Contribution Analysis"}</definedName>
    <definedName function="false" hidden="false" name="zh" vbProcedure="false">{"IS",#N/A,FALSE,"IS";"RPTIS",#N/A,FALSE,"RPTIS";"STATS",#N/A,FALSE,"STATS";"CELL",#N/A,FALSE,"CELL";"BS",#N/A,FALSE,"BS"}</definedName>
    <definedName function="false" hidden="false" name="zi" vbProcedure="false">{#N/A,#N/A,FALSE,"ORIX CSC"}</definedName>
    <definedName function="false" hidden="false" name="zj" vbProcedure="false">{"sweden",#N/A,FALSE,"Sweden";"germany",#N/A,FALSE,"Germany";"portugal",#N/A,FALSE,"Portugal";"belgium",#N/A,FALSE,"Belgium";"japan",#N/A,FALSE,"Japan ";"italy",#N/A,FALSE,"Italy";"spain",#N/A,FALSE,"Spain";"korea",#N/A,FALSE,"Korea"}</definedName>
    <definedName function="false" hidden="false" name="zk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l" vbProcedure="false">{"IS",#N/A,FALSE,"IS";"RPTIS",#N/A,FALSE,"RPTIS";"STATS",#N/A,FALSE,"STATS";"CELL",#N/A,FALSE,"CELL";"BS",#N/A,FALSE,"BS"}</definedName>
    <definedName function="false" hidden="false" name="zm" vbProcedure="false">{#N/A,#N/A,FALSE,"Contribution Analysis"}</definedName>
    <definedName function="false" hidden="false" name="zn" vbProcedure="false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function="false" hidden="false" name="zo" vbProcedure="false">{"orixcsc",#N/A,FALSE,"ORIX CSC";"orixcsc2",#N/A,FALSE,"ORIX CSC"}</definedName>
    <definedName function="false" hidden="false" name="zp" vbProcedure="false">{"IS",#N/A,FALSE,"IS";"RPTIS",#N/A,FALSE,"RPTIS";"STATS",#N/A,FALSE,"STATS";"CELL",#N/A,FALSE,"CELL";"BS",#N/A,FALSE,"BS"}</definedName>
    <definedName function="false" hidden="false" name="zq" vbProcedure="false">{"IS",#N/A,FALSE,"IS";"RPTIS",#N/A,FALSE,"RPTIS";"STATS",#N/A,FALSE,"STATS";"CELL",#N/A,FALSE,"CELL";"BS",#N/A,FALSE,"BS"}</definedName>
    <definedName function="false" hidden="false" name="zr" vbProcedure="false">{"IS",#N/A,FALSE,"IS";"RPTIS",#N/A,FALSE,"RPTIS";"STATS",#N/A,FALSE,"STATS";"BS",#N/A,FALSE,"BS"}</definedName>
    <definedName function="false" hidden="false" name="zs" vbProcedure="false">{"subs",#N/A,FALSE,"database ";"proportional",#N/A,FALSE,"database "}</definedName>
    <definedName function="false" hidden="false" name="zt" vbProcedure="false">{"test2",#N/A,TRUE,"Prices"}</definedName>
    <definedName function="false" hidden="false" name="zu" vbProcedure="false">{"IS",#N/A,FALSE,"IS";"RPTIS",#N/A,FALSE,"RPTIS";"STATS",#N/A,FALSE,"STATS";"CELL",#N/A,FALSE,"CELL";"BS",#N/A,FALSE,"BS"}</definedName>
    <definedName function="false" hidden="false" name="zv" vbProcedure="false">{"subs",#N/A,FALSE,"database ";"proportional",#N/A,FALSE,"database "}</definedName>
    <definedName function="false" hidden="false" name="zw" vbProcedure="false">{"coverall",#N/A,FALSE,"Definitions";"cover1",#N/A,FALSE,"Definitions";"cover2",#N/A,FALSE,"Definitions";"cover3",#N/A,FALSE,"Definitions";"cover4",#N/A,FALSE,"Definitions";"cover5",#N/A,FALSE,"Definitions";"blank",#N/A,FALSE,"Definitions"}</definedName>
    <definedName function="false" hidden="false" name="zx" vbProcedure="false">{"orixcsc",#N/A,FALSE,"ORIX CSC";"orixcsc2",#N/A,FALSE,"ORIX CSC"}</definedName>
    <definedName function="false" hidden="false" name="zy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zzzrd" vbProcedure="false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function="false" hidden="false" name="zzzzzzz" vbProcedure="false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function="false" hidden="false" name="_110__123Graph_LBL_ACHART_2" vbProcedure="false">'[2]synthgraph DCF'!$G$7</definedName>
    <definedName function="false" hidden="false" name="_12__123Graph_BCHART_2" vbProcedure="false">'[2]synthgraph DCF'!$I$7</definedName>
    <definedName function="false" hidden="false" name="_130__123Graph_LBL_DCHART_2" vbProcedure="false">'[2]synthgraph DCF'!$H$7</definedName>
    <definedName function="false" hidden="false" name="_131__123Graph_XCHART_2" vbProcedure="false">'[2]synthgraph DCF'!$C$7</definedName>
    <definedName function="false" hidden="false" name="_18__123Graph_DCHART_2" vbProcedure="false">'[2]synthgraph DCF'!$L$7</definedName>
    <definedName function="false" hidden="false" name="_21__123Graph_LBL_ACHART_2" vbProcedure="false">'[2]synthgraph DCF'!$G$7</definedName>
    <definedName function="false" hidden="false" name="_25__123Graph_LBL_DCHART_2" vbProcedure="false">'[2]synthgraph DCF'!$H$7</definedName>
    <definedName function="false" hidden="false" name="_26__123Graph_XCHART_2" vbProcedure="false">'[2]synthgraph DCF'!$C$7</definedName>
    <definedName function="false" hidden="false" name="_31__123Graph_ACHART_2" vbProcedure="false">'[2]synthgraph DCF'!$G$7</definedName>
    <definedName function="false" hidden="false" name="_33__123Graph_ACHART_2" vbProcedure="false">'[2]synthgraph DCF'!$G$7</definedName>
    <definedName function="false" hidden="false" name="_35__123Graph_BCHART_2" vbProcedure="false">'[2]synthgraph DCF'!$I$7</definedName>
    <definedName function="false" hidden="false" name="_41__123Graph_DCHART_2" vbProcedure="false">'[2]synthgraph DCF'!$L$7</definedName>
    <definedName function="false" hidden="false" name="_44__123Graph_LBL_ACHART_2" vbProcedure="false">'[2]synthgraph DCF'!$G$7</definedName>
    <definedName function="false" hidden="false" name="_48__123Graph_LBL_DCHART_2" vbProcedure="false">'[2]synthgraph DCF'!$H$7</definedName>
    <definedName function="false" hidden="false" name="_49__123Graph_XCHART_2" vbProcedure="false">'[2]synthgraph DCF'!$C$7</definedName>
    <definedName function="false" hidden="false" name="_53__123Graph_BCHART_2" vbProcedure="false">'[2]synthgraph DCF'!$I$7</definedName>
    <definedName function="false" hidden="false" name="_8__123Graph_ACHART_2" vbProcedure="false">'[2]synthgraph DCF'!$G$7</definedName>
    <definedName function="false" hidden="false" name="_91__123Graph_DCHART_2" vbProcedure="false">'[2]synthgraph DCF'!$L$7</definedName>
    <definedName function="false" hidden="false" name="_bb1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1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b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bdm.040230B8660F4BC9892D5A3F1707A1C8.edm" vbProcedure="false">[3]Projections!$A$1:$IV$1048576</definedName>
    <definedName function="false" hidden="false" name="_bdm.37EED641822D4F2BAA2DDE4C8C2DFF5F.edm" vbProcedure="false">#N/A</definedName>
    <definedName function="false" hidden="false" name="_bdm.443898C1DDAE4E0995C2ED5F5203FEF4.edm" vbProcedure="false">[4]SOTP!$A$1:$IV$1048576</definedName>
    <definedName function="false" hidden="false" name="_bdm.677B41292497421CBA635D54779C6A45.edm" vbProcedure="false">#N/A</definedName>
    <definedName function="false" hidden="false" name="_bdm.7E482D0A6A9A490DB4BA7E9C662E504C.edm" vbProcedure="false">[3]Banques!$A$1:$IV$1048576</definedName>
    <definedName function="false" hidden="false" name="_bdm.B5EBC1BF630646CF98990A90EE5C73A7.edm" vbProcedure="false">'[4]Charts (2)'!$A$1:$IV$1048576</definedName>
    <definedName function="false" hidden="false" name="_bdm.B5F4FA410314435888E15E0CFF304D25.edm" vbProcedure="false">[4]Charts!$A$1:$IV$1048576</definedName>
    <definedName function="false" hidden="false" name="_bdm.C05B16D046A7485D8A261ACBD07A322C.edm" vbProcedure="false">'[3]Key historical financials'!$A$1:$IV$1048576</definedName>
    <definedName function="false" hidden="false" name="_bdm.CC87ADE021184A7094FC32CE14CFBA8E.edm" vbProcedure="false">[3]OUTPUT!$A$1:$IV$1048576</definedName>
    <definedName function="false" hidden="false" name="_bdm.D53AE69ED9E841EFBC1CE6DD976C8FC6.edm" vbProcedure="false">[5]Charts!$A$1:$IV$1048576</definedName>
    <definedName function="false" hidden="false" name="_bdm.E59BFABDE1194659AC464A4646E3BBFB.edm" vbProcedure="false">'[4]Colour pannel'!$A$1:$IV$1048576</definedName>
    <definedName function="false" hidden="false" name="_Co50" vbProcedure="false">{#N/A,"DR",FALSE,"increm pf";#N/A,"MAMSI",FALSE,"increm pf";#N/A,"MAXI",FALSE,"increm pf";#N/A,"PCAM",FALSE,"increm pf";#N/A,"PHSV",FALSE,"increm pf";#N/A,"SIE",FALSE,"increm pf"}</definedName>
    <definedName function="false" hidden="false" name="_das2" vbProcedure="false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function="false" hidden="false" name="_DCF1" vbProcedure="false">{#N/A,#N/A,FALSE,"DCF Summary";#N/A,#N/A,FALSE,"Casema";#N/A,#N/A,FALSE,"Casema NoTel";#N/A,#N/A,FALSE,"UK";#N/A,#N/A,FALSE,"RCF";#N/A,#N/A,FALSE,"Intercable CZ";#N/A,#N/A,FALSE,"Interkabel P"}</definedName>
    <definedName function="false" hidden="false" name="_GSRATES_1" vbProcedure="false">"CT300001Latest          "</definedName>
    <definedName function="false" hidden="false" name="_GSRATES_COUNT" vbProcedure="false">1</definedName>
    <definedName function="false" hidden="false" name="_ok1" vbProcedure="false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function="false" hidden="false" name="_Order1" vbProcedure="false">255</definedName>
    <definedName function="false" hidden="false" name="_Order2" vbProcedure="false">255</definedName>
    <definedName function="false" hidden="false" name="_xf2" vbProcedure="false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function="false" hidden="false" name="__123Graph_AGRAPH1" vbProcedure="false">[1]A!$C$248:$C$250</definedName>
    <definedName function="false" hidden="false" name="__123Graph_AGRAPH2" vbProcedure="false">[1]A!$K$242</definedName>
    <definedName function="false" hidden="false" name="__123Graph_AGRAPH3" vbProcedure="false">[1]A!$C$248:$C$250</definedName>
    <definedName function="false" hidden="false" name="__123Graph_AGRAPH4" vbProcedure="false">[1]A!$C$249:$G$249</definedName>
    <definedName function="false" hidden="false" name="__123Graph_AGRAPH5" vbProcedure="false">[1]A!$R$202:$R$212</definedName>
    <definedName function="false" hidden="false" name="__123Graph_AGRAPH6" vbProcedure="false">[1]A!$R$203:$R$212</definedName>
    <definedName function="false" hidden="false" name="__123Graph_BGRAPH1" vbProcedure="false">[1]A!$D$248:$D$250</definedName>
    <definedName function="false" hidden="false" name="__123Graph_BGRAPH3" vbProcedure="false">[1]A!$D$248:$D$250</definedName>
    <definedName function="false" hidden="false" name="__123Graph_BGRAPH4" vbProcedure="false">[1]A!$C$250:$G$250</definedName>
    <definedName function="false" hidden="false" name="__123Graph_BGRAPH5" vbProcedure="false">[1]A!$S$202:$S$212</definedName>
    <definedName function="false" hidden="false" name="__123Graph_BGRAPH6" vbProcedure="false">[1]A!$S$203:$S$212</definedName>
    <definedName function="false" hidden="false" name="__123Graph_CGRAPH1" vbProcedure="false">[1]A!$E$248:$E$250</definedName>
    <definedName function="false" hidden="false" name="__123Graph_CGRAPH3" vbProcedure="false">[1]A!$E$248:$E$250</definedName>
    <definedName function="false" hidden="false" name="__123Graph_DGRAPH1" vbProcedure="false">[1]A!$F$248:$F$250</definedName>
    <definedName function="false" hidden="false" name="__123Graph_DGRAPH3" vbProcedure="false">[1]A!$F$248:$F$250</definedName>
    <definedName function="false" hidden="false" name="__123Graph_EGRAPH1" vbProcedure="false">[1]A!$G$248:$G$250</definedName>
    <definedName function="false" hidden="false" name="__123Graph_EGRAPH3" vbProcedure="false">[1]A!$G$248:$G$250</definedName>
    <definedName function="false" hidden="false" name="__123Graph_LBL_AGRAPH6" vbProcedure="false">[1]A!$R$203:$R$213</definedName>
    <definedName function="false" hidden="false" name="__123Graph_LBL_BGRAPH6" vbProcedure="false">[1]A!$S$203:$S$213</definedName>
    <definedName function="false" hidden="false" name="__123Graph_XGRAPH1" vbProcedure="false">[1]A!$B$248:$B$250</definedName>
    <definedName function="false" hidden="false" name="__123Graph_XGRAPH3" vbProcedure="false">[1]A!$B$248:$B$250</definedName>
    <definedName function="false" hidden="false" name="__123Graph_XGRAPH4" vbProcedure="false">[1]A!$C$248:$G$248</definedName>
    <definedName function="false" hidden="false" name="__123Graph_XGRAPH5" vbProcedure="false">[1]A!$Q$202:$Q$212</definedName>
    <definedName function="false" hidden="false" name="__123Graph_XGRAPH6" vbProcedure="false">[1]A!$Q$203:$Q$212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G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H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  <comment ref="I14" authorId="0">
      <text>
        <r>
          <rPr>
            <sz val="10"/>
            <rFont val="Arial"/>
            <family val="2"/>
            <charset val="1"/>
          </rPr>
          <t xml:space="preserve">Aymar FAIZOUN:
</t>
        </r>
        <r>
          <rPr>
            <sz val="9"/>
            <color rgb="FF000000"/>
            <rFont val="Tahoma"/>
            <family val="2"/>
            <charset val="1"/>
          </rPr>
          <t xml:space="preserve">IAS 16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32" authorId="0">
      <text>
        <r>
          <rPr>
            <sz val="10"/>
            <rFont val="Arial"/>
            <family val="2"/>
            <charset val="1"/>
          </rPr>
          <t xml:space="preserve">Arnaud HOUMBIYE:
</t>
        </r>
        <r>
          <rPr>
            <sz val="9"/>
            <color rgb="FF000000"/>
            <rFont val="Tahoma"/>
            <family val="2"/>
            <charset val="1"/>
          </rPr>
          <t xml:space="preserve">601230+603130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38" authorId="0">
      <text>
        <r>
          <rPr>
            <sz val="10"/>
            <rFont val="Arial"/>
            <family val="2"/>
            <charset val="1"/>
          </rPr>
          <t xml:space="preserve">Gildas AGUESSY:
</t>
        </r>
        <r>
          <rPr>
            <sz val="9"/>
            <color rgb="FF000000"/>
            <rFont val="Tahoma"/>
            <family val="2"/>
            <charset val="1"/>
          </rPr>
          <t xml:space="preserve">ERICSSON-BC005053/VOUCHER</t>
        </r>
      </text>
    </comment>
    <comment ref="O38" authorId="0">
      <text>
        <r>
          <rPr>
            <sz val="10"/>
            <rFont val="Arial"/>
            <family val="2"/>
            <charset val="1"/>
          </rPr>
          <t xml:space="preserve">Crédit d'impot suite au contôle fiscal 2013 - 2015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26" authorId="0">
      <text>
        <r>
          <rPr>
            <sz val="10"/>
            <rFont val="Arial"/>
            <family val="2"/>
            <charset val="1"/>
          </rPr>
          <t xml:space="preserve">Gildas AGUESSY:
</t>
        </r>
        <r>
          <rPr>
            <sz val="9"/>
            <color rgb="FF000000"/>
            <rFont val="Tahoma"/>
            <family val="2"/>
            <charset val="1"/>
          </rPr>
          <t xml:space="preserve">ERICSSON-BC005053/VOUCHER</t>
        </r>
      </text>
    </comment>
    <comment ref="I9" authorId="0">
      <text>
        <r>
          <rPr>
            <sz val="10"/>
            <rFont val="Arial"/>
            <family val="2"/>
            <charset val="1"/>
          </rPr>
          <t xml:space="preserve">Dont 1664 MF d'indemnisation reçus d'Etisalat</t>
        </r>
      </text>
    </comment>
  </commentList>
</comments>
</file>

<file path=xl/sharedStrings.xml><?xml version="1.0" encoding="utf-8"?>
<sst xmlns="http://schemas.openxmlformats.org/spreadsheetml/2006/main" count="737" uniqueCount="215">
  <si>
    <t xml:space="preserve">P&amp;L consolidé</t>
  </si>
  <si>
    <t xml:space="preserve">u</t>
  </si>
  <si>
    <t xml:space="preserve">JANVIER</t>
  </si>
  <si>
    <t xml:space="preserve">FEVRIER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</si>
  <si>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</si>
  <si>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</si>
  <si>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</si>
  <si>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</si>
  <si>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</si>
  <si>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</si>
  <si>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</si>
  <si>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</si>
  <si>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</si>
  <si>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</si>
  <si>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AVR</t>
  </si>
  <si>
    <t xml:space="preserve">AOUT</t>
  </si>
  <si>
    <t xml:space="preserve">SEPT</t>
  </si>
  <si>
    <t xml:space="preserve">OCT</t>
  </si>
  <si>
    <t xml:space="preserve">NOV</t>
  </si>
  <si>
    <t xml:space="preserve">DEC</t>
  </si>
  <si>
    <t xml:space="preserve">JANV</t>
  </si>
  <si>
    <t xml:space="preserve">FEV</t>
  </si>
  <si>
    <t xml:space="preserve">JUIL</t>
  </si>
  <si>
    <t xml:space="preserve">(En Millions ML)</t>
  </si>
  <si>
    <t xml:space="preserve">2018
Réel</t>
  </si>
  <si>
    <t xml:space="preserve">2019
Réel</t>
  </si>
  <si>
    <t xml:space="preserve">2020
Réel</t>
  </si>
  <si>
    <t xml:space="preserve">2022
Réel</t>
  </si>
  <si>
    <t xml:space="preserve">2024
Réel</t>
  </si>
  <si>
    <t xml:space="preserve">Chiffre d'affaires</t>
  </si>
  <si>
    <t xml:space="preserve">Fixe &amp; Internet</t>
  </si>
  <si>
    <t xml:space="preserve">Intercompagnie Fixe &amp; Internet</t>
  </si>
  <si>
    <t xml:space="preserve">Mobile</t>
  </si>
  <si>
    <t xml:space="preserve">Intercompagnie Mobile</t>
  </si>
  <si>
    <t xml:space="preserve">Intercompagnie</t>
  </si>
  <si>
    <t xml:space="preserve">dont Intercompagnie hors trafic</t>
  </si>
  <si>
    <t xml:space="preserve">Coût des ventes</t>
  </si>
  <si>
    <t xml:space="preserve">Marge Brute</t>
  </si>
  <si>
    <t xml:space="preserve">% CA</t>
  </si>
  <si>
    <t xml:space="preserve">Coûts opérationnels</t>
  </si>
  <si>
    <t xml:space="preserve">EBITDA</t>
  </si>
  <si>
    <t xml:space="preserve">Amortissements et déprec. Courant</t>
  </si>
  <si>
    <t xml:space="preserve">Dotations (Amo. et Pv NC)</t>
  </si>
  <si>
    <t xml:space="preserve">Autres non courant</t>
  </si>
  <si>
    <t xml:space="preserve"> +/- value de cession d'immob.</t>
  </si>
  <si>
    <t xml:space="preserve">EBIT</t>
  </si>
  <si>
    <t xml:space="preserve">Résultat financier</t>
  </si>
  <si>
    <t xml:space="preserve">dont intérêt sur SHL</t>
  </si>
  <si>
    <t xml:space="preserve">RESULTAT avant IS</t>
  </si>
  <si>
    <t xml:space="preserve">IS</t>
  </si>
  <si>
    <t xml:space="preserve">ID</t>
  </si>
  <si>
    <t xml:space="preserve">RESULTAT NET</t>
  </si>
  <si>
    <t xml:space="preserve">AMORT SIM</t>
  </si>
  <si>
    <t xml:space="preserve">AMORT PERSONNEL</t>
  </si>
  <si>
    <t xml:space="preserve">AMORT CHARGES IMMOB</t>
  </si>
  <si>
    <t xml:space="preserve">AMORT LOYERS/ IAS16</t>
  </si>
  <si>
    <t xml:space="preserve">AD3</t>
  </si>
  <si>
    <t xml:space="preserve">Check</t>
  </si>
  <si>
    <t xml:space="preserve">intercompagnie intern fixe vers telmob</t>
  </si>
  <si>
    <t xml:space="preserve">interco Telmob après supression inter entrant</t>
  </si>
  <si>
    <t xml:space="preserve">Interco CA Transit Telmob vers International</t>
  </si>
  <si>
    <t xml:space="preserve">interco Onatel après supression  CA Transit Telmob vers International</t>
  </si>
  <si>
    <t xml:space="preserve">Opex Consolidés </t>
  </si>
  <si>
    <t xml:space="preserve">2018/001</t>
  </si>
  <si>
    <t xml:space="preserve">2018/002</t>
  </si>
  <si>
    <t xml:space="preserve">2018/003</t>
  </si>
  <si>
    <t xml:space="preserve">2018/004</t>
  </si>
  <si>
    <t xml:space="preserve">2018/005</t>
  </si>
  <si>
    <t xml:space="preserve">2018/006</t>
  </si>
  <si>
    <t xml:space="preserve">2018/007</t>
  </si>
  <si>
    <t xml:space="preserve">2018/008</t>
  </si>
  <si>
    <t xml:space="preserve">2018/009</t>
  </si>
  <si>
    <t xml:space="preserve">2018/011</t>
  </si>
  <si>
    <t xml:space="preserve">2018/012</t>
  </si>
  <si>
    <t xml:space="preserve">SEPT.</t>
  </si>
  <si>
    <t xml:space="preserve">NOV.</t>
  </si>
  <si>
    <t xml:space="preserve">FÉVR</t>
  </si>
  <si>
    <t xml:space="preserve">DÉC</t>
  </si>
  <si>
    <t xml:space="preserve">Total Opex</t>
  </si>
  <si>
    <t xml:space="preserve">Personnel</t>
  </si>
  <si>
    <t xml:space="preserve">Communication</t>
  </si>
  <si>
    <t xml:space="preserve">Exploitation &amp; maintenance</t>
  </si>
  <si>
    <t xml:space="preserve">Achat d'énergie - Bâtiment - Gardiennage</t>
  </si>
  <si>
    <t xml:space="preserve">Lignes et réseaux (entretien &amp; achats)</t>
  </si>
  <si>
    <t xml:space="preserve">Fees du contrat GMNS</t>
  </si>
  <si>
    <t xml:space="preserve">Fees du contrat IHS (spécifique à CDI)</t>
  </si>
  <si>
    <t xml:space="preserve">Matériel de transport (Entretien et locat°)</t>
  </si>
  <si>
    <t xml:space="preserve">Maintenance informatique</t>
  </si>
  <si>
    <t xml:space="preserve">Frais généraux</t>
  </si>
  <si>
    <t xml:space="preserve">Frais d'achats d'études, honoraires</t>
  </si>
  <si>
    <t xml:space="preserve">Management Fees</t>
  </si>
  <si>
    <t xml:space="preserve">Transport, déplacement, mission </t>
  </si>
  <si>
    <t xml:space="preserve">Frais postaux, bancaires et assurances</t>
  </si>
  <si>
    <t xml:space="preserve">Achats de mat. et fournitures consom.</t>
  </si>
  <si>
    <t xml:space="preserve">Impôts, taxes et redevances</t>
  </si>
  <si>
    <t xml:space="preserve">Redevances régulateur</t>
  </si>
  <si>
    <t xml:space="preserve">Droits sur le trafic International Entrant</t>
  </si>
  <si>
    <t xml:space="preserve">Autres impôts et taxes</t>
  </si>
  <si>
    <t xml:space="preserve">Provision clients, R&amp;C &amp; NC</t>
  </si>
  <si>
    <t xml:space="preserve">Prov. Créances clients</t>
  </si>
  <si>
    <t xml:space="preserve">Prov. R&amp;C</t>
  </si>
  <si>
    <t xml:space="preserve">PIDR</t>
  </si>
  <si>
    <t xml:space="preserve">Autres provisions</t>
  </si>
  <si>
    <t xml:space="preserve">Ecart de change sur exploitation</t>
  </si>
  <si>
    <t xml:space="preserve">Annualtion PIDR IFRS Fin Avril 2015</t>
  </si>
  <si>
    <t xml:space="preserve">PIDR MERCER 2017</t>
  </si>
  <si>
    <t xml:space="preserve">PIDR Cptes Sociaux</t>
  </si>
  <si>
    <t xml:space="preserve">AT CDI 2017.12</t>
  </si>
  <si>
    <t xml:space="preserve">Flux BFC</t>
  </si>
  <si>
    <t xml:space="preserve">Annulation PIDR Cptes Sociaux</t>
  </si>
  <si>
    <t xml:space="preserve">TOTAL PIDR</t>
  </si>
  <si>
    <t xml:space="preserve">Solde d'ouverture</t>
  </si>
  <si>
    <t xml:space="preserve">F00</t>
  </si>
  <si>
    <t xml:space="preserve">Charges financières</t>
  </si>
  <si>
    <t xml:space="preserve">Coût des services rendus</t>
  </si>
  <si>
    <t xml:space="preserve">F25</t>
  </si>
  <si>
    <t xml:space="preserve">Pertes et gains actuariels comptabilisés en autres éléments du résultat global
Charges et produits comptabilisés en capitaux propres</t>
  </si>
  <si>
    <t xml:space="preserve">Prestations versées aux bénéficiaires (cash)</t>
  </si>
  <si>
    <t xml:space="preserve">F45</t>
  </si>
  <si>
    <t xml:space="preserve">Impact EBITA</t>
  </si>
  <si>
    <t xml:space="preserve">Annulation ID</t>
  </si>
  <si>
    <t xml:space="preserve">Effets de la désactualisation des passifs actuariels (a)</t>
  </si>
  <si>
    <t xml:space="preserve">F98</t>
  </si>
  <si>
    <t xml:space="preserve">ID MERCER 2017</t>
  </si>
  <si>
    <t xml:space="preserve">Charge de la période</t>
  </si>
  <si>
    <t xml:space="preserve">TOTAL ID</t>
  </si>
  <si>
    <t xml:space="preserve">Pertes et gains actuariels comptabilisés en autres éléments du résultat global</t>
  </si>
  <si>
    <t xml:space="preserve">F87</t>
  </si>
  <si>
    <t xml:space="preserve">Charges et produits comptabilisés directement en capitaux propres </t>
  </si>
  <si>
    <t xml:space="preserve">Solde de clôture</t>
  </si>
  <si>
    <t xml:space="preserve">Marge brute Mobile</t>
  </si>
  <si>
    <t xml:space="preserve">2021
Réel</t>
  </si>
  <si>
    <t xml:space="preserve">Total Revenu</t>
  </si>
  <si>
    <t xml:space="preserve">Trafic (mn)</t>
  </si>
  <si>
    <t xml:space="preserve">Coût unitaire</t>
  </si>
  <si>
    <t xml:space="preserve">International</t>
  </si>
  <si>
    <t xml:space="preserve">Opérateur national MTN</t>
  </si>
  <si>
    <t xml:space="preserve">Opérateur national ORANGE</t>
  </si>
  <si>
    <t xml:space="preserve">Opérateur national AUTRES MOBILES</t>
  </si>
  <si>
    <t xml:space="preserve">Trafic Local (mn)</t>
  </si>
  <si>
    <t xml:space="preserve">Trafic Interurbain (mn)</t>
  </si>
  <si>
    <t xml:space="preserve">Interconnexion Fixe</t>
  </si>
  <si>
    <t xml:space="preserve">Nbre SMS</t>
  </si>
  <si>
    <t xml:space="preserve">Interconnexion SMS</t>
  </si>
  <si>
    <t xml:space="preserve">Roaming out</t>
  </si>
  <si>
    <t xml:space="preserve">Coûts des terminaux et cartes</t>
  </si>
  <si>
    <t xml:space="preserve">Dont coût des cartes SIM</t>
  </si>
  <si>
    <t xml:space="preserve">SIM</t>
  </si>
  <si>
    <t xml:space="preserve">Dont coût des cartes de recharge vendues</t>
  </si>
  <si>
    <t xml:space="preserve">Dont coût des terminaux</t>
  </si>
  <si>
    <t xml:space="preserve">Dont provisions sur stocks</t>
  </si>
  <si>
    <t xml:space="preserve">Reversement SVA</t>
  </si>
  <si>
    <t xml:space="preserve">Blackberry</t>
  </si>
  <si>
    <t xml:space="preserve">Commissions</t>
  </si>
  <si>
    <t xml:space="preserve">Dont commissions up-front</t>
  </si>
  <si>
    <t xml:space="preserve">Dont avoirs de performance</t>
  </si>
  <si>
    <t xml:space="preserve">Coûts des ventes</t>
  </si>
  <si>
    <t xml:space="preserve">En % du CA</t>
  </si>
  <si>
    <t xml:space="preserve">CA Mobile</t>
  </si>
  <si>
    <t xml:space="preserve">CA Global</t>
  </si>
  <si>
    <t xml:space="preserve">dont CA Etat</t>
  </si>
  <si>
    <t xml:space="preserve">CA services Mobile</t>
  </si>
  <si>
    <t xml:space="preserve">CA récurrent</t>
  </si>
  <si>
    <t xml:space="preserve">CA sortant</t>
  </si>
  <si>
    <r>
      <rPr>
        <b val="true"/>
        <sz val="10"/>
        <rFont val="Arial"/>
        <family val="2"/>
        <charset val="1"/>
      </rPr>
      <t xml:space="preserve">Prépayé </t>
    </r>
    <r>
      <rPr>
        <b val="true"/>
        <sz val="9"/>
        <rFont val="Arial"/>
        <family val="2"/>
        <charset val="1"/>
      </rPr>
      <t xml:space="preserve">(yc commissions)</t>
    </r>
  </si>
  <si>
    <t xml:space="preserve">dont CA Internet 3G</t>
  </si>
  <si>
    <t xml:space="preserve">Postpayé </t>
  </si>
  <si>
    <t xml:space="preserve">Redevance d'abonnement</t>
  </si>
  <si>
    <t xml:space="preserve">Trafic sortant</t>
  </si>
  <si>
    <t xml:space="preserve">CA entrant</t>
  </si>
  <si>
    <t xml:space="preserve">Colocalisation</t>
  </si>
  <si>
    <t xml:space="preserve">Opérateur national 1</t>
  </si>
  <si>
    <t xml:space="preserve">Opérateur national 2</t>
  </si>
  <si>
    <t xml:space="preserve">Opérateur national 3</t>
  </si>
  <si>
    <t xml:space="preserve">Roaming in</t>
  </si>
  <si>
    <t xml:space="preserve">CA équipement</t>
  </si>
  <si>
    <t xml:space="preserve">Ventes de Terminaux</t>
  </si>
  <si>
    <t xml:space="preserve">Ventes de Kits</t>
  </si>
  <si>
    <t xml:space="preserve">Autres</t>
  </si>
  <si>
    <t xml:space="preserve">CA Flooz</t>
  </si>
  <si>
    <t xml:space="preserve">2018/010</t>
  </si>
  <si>
    <t xml:space="preserve">OCT.</t>
  </si>
  <si>
    <t xml:space="preserve">Coût des cartes SIM Social (Fév-Déc 15)</t>
  </si>
  <si>
    <t xml:space="preserve">FRAIS DE COLLOQ, SEMIN, CONFCE</t>
  </si>
  <si>
    <t xml:space="preserve">Numéro compte</t>
  </si>
  <si>
    <t xml:space="preserve">Description</t>
  </si>
  <si>
    <t xml:space="preserve">Montant base</t>
  </si>
  <si>
    <t xml:space="preserve">Origine journal</t>
  </si>
  <si>
    <t xml:space="preserve">Référence transaction</t>
  </si>
  <si>
    <t xml:space="preserve">627700000</t>
  </si>
  <si>
    <t xml:space="preserve">RKD</t>
  </si>
  <si>
    <t xml:space="preserve">RADISSON BLU ABJ-SEMINAIRE STRATEGIQUE MOOV CI 18</t>
  </si>
  <si>
    <t xml:space="preserve">5473559</t>
  </si>
  <si>
    <t xml:space="preserve">VILLA BLANCA-SEMINAIRE FORMAT° &amp; BILAN DEPART LOG</t>
  </si>
  <si>
    <t xml:space="preserve">5473548</t>
  </si>
  <si>
    <t xml:space="preserve">Totaux</t>
  </si>
  <si>
    <t xml:space="preserve">AUTRES PRODUITS</t>
  </si>
  <si>
    <t xml:space="preserve">758400000</t>
  </si>
  <si>
    <t xml:space="preserve">CAM</t>
  </si>
  <si>
    <t xml:space="preserve">AUTRE PRODUIT DAT</t>
  </si>
  <si>
    <t xml:space="preserve">3600</t>
  </si>
  <si>
    <t xml:space="preserve">AUTRES PRODUITS/REVERSMT/PC 0023180 FRAIS MISSION</t>
  </si>
  <si>
    <t xml:space="preserve">0023268</t>
  </si>
  <si>
    <t xml:space="preserve">KOM</t>
  </si>
  <si>
    <t xml:space="preserve">REMBOURSEMENT DOTATION TELEPHONIQUE CEDRIC BOUEDY</t>
  </si>
  <si>
    <t xml:space="preserve">0023251</t>
  </si>
  <si>
    <t xml:space="preserve">MBA</t>
  </si>
  <si>
    <t xml:space="preserve">ERICSSON-BC005053/VOUCHER</t>
  </si>
  <si>
    <t xml:space="preserve">0004512</t>
  </si>
  <si>
    <t xml:space="preserve">NID</t>
  </si>
  <si>
    <t xml:space="preserve">ANNULATION VIREMENT-PAIEMENT DIVIDENDES MT</t>
  </si>
  <si>
    <t xml:space="preserve">MOOV/DF/DT/SF-TD 25 01 18</t>
  </si>
  <si>
    <t xml:space="preserve">&gt;&gt;Etat récapitulatif 1</t>
  </si>
  <si>
    <t xml:space="preserve">&gt;'adb</t>
  </si>
  <si>
    <t xml:space="preserve">&gt;'[LASATA SETUP FILE]
Date=2018-02-06 10:57:31
FileType=Agora XLB Data Fill
Version=0
Buffer=
@systemProduct:Str=SS6
@systemTable:Str=LA
@filterFrom_DbC:Str=MCI
@filterFrom_/LA/Ldg:Str=A
@filterFrom_/LA/AccCde:Str='Source'!$A$11{P}1
@filterTo_/LA/AccCde:Str='Source'!$A$11{P}2
@filterFrom_/LA/Prd:Str='Source'!$A$12{P}3
@filterTo_/LA/Prd:Str='Source'!$A$13{P}4
@outputField_/LA/Prd:Str=
@outputField_/LA/AccCde:Str=
@outputField_/LA/CA/Nme:Str=
@outputField_/LA/BseAmt{ExtractType}1:Str=
@outputField_/LA/JnlSrc:Str=
@outputField_/LA/Desc:Str=
@outputField_/LA/TrnRef:Str=
@formatType:Lng=-4154
@formatNumber:Int=1
@formatPattern:Int=1
@formatFont:Int=1
@formatWidth:Int=1
@formatAlignment:Int=1
@formatBorder:Int=1
@filenmSetupfile:Str=
@filenmWorkbookSetupFile:Str=Etat récapitulatif 1
@settngShowMessages:Str=Y
@settngDirection:Str=D
@settngApplyFormula:Str=Y
@settngLock:Str=N
@settngOutputHeaders:Int=0
@settngOutputCaptions:Int=1
@settngOutputTotals:Int=1
@settngOutputFiltering:Int=0
@settngPivotTable:Int=0
@settngTopPercent:Str=
@settngReportStyle:Lng=1
</t>
  </si>
</sst>
</file>

<file path=xl/styles.xml><?xml version="1.0" encoding="utf-8"?>
<styleSheet xmlns="http://schemas.openxmlformats.org/spreadsheetml/2006/main">
  <numFmts count="138">
    <numFmt numFmtId="164" formatCode="General"/>
    <numFmt numFmtId="165" formatCode="#,##0,;;;&quot;$K&quot;"/>
    <numFmt numFmtId="166" formatCode="#,##0.00"/>
    <numFmt numFmtId="167" formatCode="_-\$* #,##0_-;&quot;-$&quot;* #,##0_-;_-\$* \-_-;_-@_-"/>
    <numFmt numFmtId="168" formatCode="_-* #,##0_-;\-* #,##0_-;_-* \-_-;_-@_-"/>
    <numFmt numFmtId="169" formatCode="_-* #,##0.00_-;\-* #,##0.00_-;_-* \-??_-;_-@_-"/>
    <numFmt numFmtId="170" formatCode="_-\$* #,##0.00_-;&quot;-$&quot;* #,##0.00_-;_-\$* \-??_-;_-@_-"/>
    <numFmt numFmtId="171" formatCode="#,##0.0_);\(#,##0.0\);0_._0_)"/>
    <numFmt numFmtId="172" formatCode="0.0_)\%;\(0.0&quot;)%&quot;;0.0_)\%;@_)_%"/>
    <numFmt numFmtId="173" formatCode="0.0%"/>
    <numFmt numFmtId="174" formatCode="#,##0.0_)_%;\(#,##0.0\)_%;0.0_)_%;@_)_%"/>
    <numFmt numFmtId="175" formatCode=";;;"/>
    <numFmt numFmtId="176" formatCode="#,##0.0_);\(#,##0.0\);#,##0.0_);@_)"/>
    <numFmt numFmtId="177" formatCode="dd\-mmm\-yy_)"/>
    <numFmt numFmtId="178" formatCode="#,##0.0_);\(#,##0.0\)"/>
    <numFmt numFmtId="179" formatCode="\$_(#,##0.00_);&quot;$(&quot;#,##0.00\);\$_(0.00_);@_)"/>
    <numFmt numFmtId="180" formatCode="\$_(#,##0.00_);&quot;$(&quot;#,##0.00\)"/>
    <numFmt numFmtId="181" formatCode="\$#,##0.000_);[RED]&quot;($&quot;#,##0.000\)"/>
    <numFmt numFmtId="182" formatCode="\£_(#,##0.00_);&quot;£(&quot;#,##0.00\)"/>
    <numFmt numFmtId="183" formatCode="\£_(#,##0.00_);&quot;£(&quot;#,##0.00\);\£_(0.00_);@_)"/>
    <numFmt numFmtId="184" formatCode="#,##0.00_);\(#,##0.00\);0.00_);@_)"/>
    <numFmt numFmtId="185" formatCode="0.0_)"/>
    <numFmt numFmtId="186" formatCode="#,##0.00;\-#,##0.00"/>
    <numFmt numFmtId="187" formatCode="\€_(#,##0.00_);&quot;€(&quot;#,##0.00\);\€_(0.00_);@_)"/>
    <numFmt numFmtId="188" formatCode="0.00_)"/>
    <numFmt numFmtId="189" formatCode="#,##0_)\x;\(#,##0&quot;)x&quot;;0_)\x;@_)_x"/>
    <numFmt numFmtId="190" formatCode="#,##0.0_)\x;\(#,##0.0&quot;)x&quot;;0.0_)\x;@_)_x"/>
    <numFmt numFmtId="191" formatCode="#,##0.0_)\x;\(#,##0.0&quot;)x&quot;"/>
    <numFmt numFmtId="192" formatCode="\$#,##0.0000_);[RED]&quot;($&quot;#,##0.0000\)"/>
    <numFmt numFmtId="193" formatCode="#,##0_)_x;\(#,##0\)_x;0_)_x;@_)_x"/>
    <numFmt numFmtId="194" formatCode="#,##0.0_)_x;\(#,##0.0\)_x;0.0_)_x;@_)_x"/>
    <numFmt numFmtId="195" formatCode="0.0"/>
    <numFmt numFmtId="196" formatCode="#,##0.0_)_x;\(#,##0.0\)_x"/>
    <numFmt numFmtId="197" formatCode="\$#,##0.0_);[RED]&quot;($&quot;#,##0.0\)"/>
    <numFmt numFmtId="198" formatCode="0.0_)\%;\(0.0&quot;)%&quot;"/>
    <numFmt numFmtId="199" formatCode="#,##0.000_);\(#,##0.000\)"/>
    <numFmt numFmtId="200" formatCode="#,##0.0_)_%;\(#,##0.0\)_%"/>
    <numFmt numFmtId="201" formatCode="\!#,##0_);&quot;(!&quot;#,##0\)"/>
    <numFmt numFmtId="202" formatCode="_(* #,##0_);_(* \(#,##0\);_(* \-_);_(@_)"/>
    <numFmt numFmtId="203" formatCode="#,##0,_$;\-#,##0,_$"/>
    <numFmt numFmtId="204" formatCode="#,##0;\-#,##0;\-"/>
    <numFmt numFmtId="205" formatCode="0.0&quot;  &quot;"/>
    <numFmt numFmtId="206" formatCode="0.000&quot;  &quot;"/>
    <numFmt numFmtId="207" formatCode="0.0000&quot;  &quot;"/>
    <numFmt numFmtId="208" formatCode="0.00000&quot;  &quot;"/>
    <numFmt numFmtId="209" formatCode="0.00&quot;  &quot;"/>
    <numFmt numFmtId="210" formatCode="#,##0\ ;[RED]\(#,##0\)"/>
    <numFmt numFmtId="211" formatCode="_ * #,##0.00_)\L_ ;_ * \(#,##0.00&quot;)L&quot;_ ;_ * \-??_)\L_ ;_ @_ "/>
    <numFmt numFmtId="212" formatCode="#,##0.00&quot; F&quot;;[RED]\-#,##0.00&quot; F&quot;"/>
    <numFmt numFmtId="213" formatCode="#,##0;[RED]\-#,##0"/>
    <numFmt numFmtId="214" formatCode="#,##0"/>
    <numFmt numFmtId="215" formatCode="_(* #,##0.00_);_(* \(#,##0.00\);_(* \-??_);_(@_)"/>
    <numFmt numFmtId="216" formatCode="_-* #,##0.0\ _F_-;\-* #,##0.0\ _F_-;_-* \-?\ _F_-;_-@_-"/>
    <numFmt numFmtId="217" formatCode="_(\$* #,##0_);_(\$* \(#,##0\);_(\$* \-_);_(@_)"/>
    <numFmt numFmtId="218" formatCode="\$#,##0.00_);[RED]&quot;($&quot;#,##0.00\)"/>
    <numFmt numFmtId="219" formatCode="\$#,##0\ ;&quot;($&quot;#,##0\)"/>
    <numFmt numFmtId="220" formatCode="0"/>
    <numFmt numFmtId="221" formatCode="dd/mm/yyyy"/>
    <numFmt numFmtId="222" formatCode="#,##0;\(#,##0\)"/>
    <numFmt numFmtId="223" formatCode="#,##0.00000"/>
    <numFmt numFmtId="224" formatCode="#,##0.0;\(#,##0.0\)"/>
    <numFmt numFmtId="225" formatCode="mmm\-d\-yyyy"/>
    <numFmt numFmtId="226" formatCode="#,##0.00;[RED]\-#,##0.00"/>
    <numFmt numFmtId="227" formatCode="_(* #,##0_);_(* \(#,##0\);_(* \-??_);_(@_)"/>
    <numFmt numFmtId="228" formatCode="_(* #,###.00_);_(* \(#,###.00\);_(* \-??_);_(@_)"/>
    <numFmt numFmtId="229" formatCode="_-* #,##0\ _z_l_-;\-* #,##0\ _z_l_-;_-* &quot;- &quot;_z_l_-;_-@_-"/>
    <numFmt numFmtId="230" formatCode="_-* #,##0.00\ _z_l_-;\-* #,##0.00\ _z_l_-;_-* \-??\ _z_l_-;_-@_-"/>
    <numFmt numFmtId="231" formatCode="_-* #,##0.00\ [$€-1]_-;\-* #,##0.00\ [$€-1]_-;_-* \-??\ [$€-1]_-"/>
    <numFmt numFmtId="232" formatCode="_-* #,##0.00&quot; €&quot;_-;\-* #,##0.00&quot; €&quot;_-;_-* \-??&quot; €&quot;_-;_-@_-"/>
    <numFmt numFmtId="233" formatCode="_-* #,##0.00\ [$€]_-;\-* #,##0.00\ [$€]_-;_-* \-??\ [$€]_-;_-@_-"/>
    <numFmt numFmtId="234" formatCode="_-[$€]* #,##0.00_-;\-[$€]* #,##0.00_-;_-[$€]* \-??_-;_-@_-"/>
    <numFmt numFmtId="235" formatCode="\$#,##0_);[RED]&quot;($&quot;#,##0\)"/>
    <numFmt numFmtId="236" formatCode="#,##0,,,\ ;;;&quot;Gb/s&quot;"/>
    <numFmt numFmtId="237" formatCode="\+#,##0.0%_);\(#,##0.0%\);\-_);@_)"/>
    <numFmt numFmtId="238" formatCode="0;;;"/>
    <numFmt numFmtId="239" formatCode="#,##0.0\x_);\(#,##0.0&quot;x)&quot;;\-_);@_)"/>
    <numFmt numFmtId="240" formatCode="#,##0.0_);\(#,##0.0\);\-_);@_)"/>
    <numFmt numFmtId="241" formatCode="#,##0.0%_);\(#,##0.0%\);\-_);@_)"/>
    <numFmt numFmtId="242" formatCode="yyyy_)"/>
    <numFmt numFmtId="243" formatCode="0.00%"/>
    <numFmt numFmtId="244" formatCode="0%"/>
    <numFmt numFmtId="245" formatCode="#,##0.0_);[RED]\(#,##0.0\)"/>
    <numFmt numFmtId="246" formatCode="#,##0.000%_);[RED]\(#,##0.000%\)"/>
    <numFmt numFmtId="247" formatCode="mm/dd/yy;;;"/>
    <numFmt numFmtId="248" formatCode="#,##0;\-#,##0"/>
    <numFmt numFmtId="249" formatCode="#,##0,;;;&quot;Kb/s&quot;"/>
    <numFmt numFmtId="250" formatCode="#,##0,,;;;&quot;Mb/s&quot;"/>
    <numFmt numFmtId="251" formatCode="_-* #,##0.00\ _F_-;\-* #,##0.00\ _F_-;_-* \-??\ _F_-;_-@_-"/>
    <numFmt numFmtId="252" formatCode="_-* #,##0.00\ _€_-;\-* #,##0.00\ _€_-;_-* \-??\ _€_-;_-@_-"/>
    <numFmt numFmtId="253" formatCode="_-* #,##0.00\ _D_H_-;\-* #,##0.00\ _D_H_-;_-* \-??\ _D_H_-;_-@_-"/>
    <numFmt numFmtId="254" formatCode="#,##0\ [$$-C0C]"/>
    <numFmt numFmtId="255" formatCode="mm/yy"/>
    <numFmt numFmtId="256" formatCode="_-&quot;£ &quot;* #,##0_-;&quot;-£ &quot;* #,##0_-;_-&quot;£ &quot;* \-_-;_-@_-"/>
    <numFmt numFmtId="257" formatCode="_-&quot;£ &quot;* #,##0.00_-;&quot;-£ &quot;* #,##0.00_-;_-&quot;£ &quot;* \-??_-;_-@_-"/>
    <numFmt numFmtId="258" formatCode="#,##0.0\x_);\(#,##0.0&quot;x)&quot;;#,##0.0\x_);@_)"/>
    <numFmt numFmtId="259" formatCode="#,##0.0_);[RED]\(#,##0.0\);&quot;N/A &quot;"/>
    <numFmt numFmtId="260" formatCode="###0.0_x;\(###0.0\)_x"/>
    <numFmt numFmtId="261" formatCode="_ * #,##0_)_L_ ;_ * \(#,##0\)_L_ ;_ * \-_)_L_ ;_ @_ "/>
    <numFmt numFmtId="262" formatCode="&quot;($ &quot;000\)"/>
    <numFmt numFmtId="263" formatCode="\$#,##0_);&quot;($&quot;#,##0\)"/>
    <numFmt numFmtId="264" formatCode="#,##0.0%_);\(#,##0.0%\)"/>
    <numFmt numFmtId="265" formatCode="_-* #,##0.000000_-;\-* #,##0.000000_-;_-* \-??_-;_-@_-"/>
    <numFmt numFmtId="266" formatCode="0.0%&quot;NetPPE/sales&quot;"/>
    <numFmt numFmtId="267" formatCode="0.0%&quot;NWI/Sls&quot;"/>
    <numFmt numFmtId="268" formatCode="0.000000"/>
    <numFmt numFmtId="269" formatCode="0.000000000"/>
    <numFmt numFmtId="270" formatCode="_(\$* #,##0.00_);_(\$* \(#,##0.00\);_(\$* \-??_);_(@_)"/>
    <numFmt numFmtId="271" formatCode="#,##0.0\%_);\(#,##0.0&quot;%)&quot;;#,##0.0\%_);@_)"/>
    <numFmt numFmtId="272" formatCode="0.0%&quot;Sales&quot;"/>
    <numFmt numFmtId="273" formatCode="\$#,##0;&quot;-$&quot;#,##0"/>
    <numFmt numFmtId="274" formatCode="d\ mmm\ yy"/>
    <numFmt numFmtId="275" formatCode="#,##0.0"/>
    <numFmt numFmtId="276" formatCode="\_);&quot;&quot;;\_);&quot;&quot;_)"/>
    <numFmt numFmtId="277" formatCode="0.00"/>
    <numFmt numFmtId="278" formatCode="@"/>
    <numFmt numFmtId="279" formatCode="0.0000000000000"/>
    <numFmt numFmtId="280" formatCode="_-* #,##0.000_-;\-* #,##0.000_-;_-* \-??_-;_-@_-"/>
    <numFmt numFmtId="281" formatCode="&quot;TFCF: &quot;#,##0_);[RED]&quot;No! (&quot;#,##0\)"/>
    <numFmt numFmtId="282" formatCode="_(* #,##0,_);[RED]_(* \(#,##0,\);_(* 0_);_(@_)"/>
    <numFmt numFmtId="283" formatCode="mm/dd/yy"/>
    <numFmt numFmtId="284" formatCode="General_)"/>
    <numFmt numFmtId="285" formatCode="_ * #,##0_ ;_ * \-#,##0_ ;_ * \-_ ;_ @_ "/>
    <numFmt numFmtId="286" formatCode="_ * #,##0.00_ ;_ * \-#,##0.00_ ;_ * \-??_ ;_ @_ "/>
    <numFmt numFmtId="287" formatCode="_ \\* #,##0_ ;_ \\* \-#,##0_ ;_ \\* \-_ ;_ @_ "/>
    <numFmt numFmtId="288" formatCode="_ \\* #,##0.00_ ;_ \\* \-#,##0.00_ ;_ \\* \-??_ ;_ @_ "/>
    <numFmt numFmtId="289" formatCode="0.000"/>
    <numFmt numFmtId="290" formatCode="0.00000"/>
    <numFmt numFmtId="291" formatCode="#,##0,,"/>
    <numFmt numFmtId="292" formatCode="#,##0.00,,"/>
    <numFmt numFmtId="293" formatCode="#,##0.0,,"/>
    <numFmt numFmtId="294" formatCode="#,##0.0000,,"/>
    <numFmt numFmtId="295" formatCode="_-* #,##0\ _F_-;\-* #,##0\ _F_-;_-* \-??\ _F_-;_-@_-"/>
    <numFmt numFmtId="296" formatCode="_-* #,##0\ _€_-;\-* #,##0\ _€_-;_-* \-??\ _€_-;_-@_-"/>
    <numFmt numFmtId="297" formatCode="General"/>
    <numFmt numFmtId="298" formatCode="#,##0.000,,"/>
    <numFmt numFmtId="299" formatCode="0.00E+00"/>
    <numFmt numFmtId="300" formatCode="#,##0_ ;\-#,##0\ "/>
    <numFmt numFmtId="301" formatCode="##,##0.00"/>
  </numFmts>
  <fonts count="16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  <charset val="1"/>
    </font>
    <font>
      <sz val="8"/>
      <name val="Times New Roman"/>
      <family val="1"/>
      <charset val="1"/>
    </font>
    <font>
      <sz val="12"/>
      <name val="Arial"/>
      <family val="2"/>
      <charset val="1"/>
    </font>
    <font>
      <sz val="12"/>
      <name val="Times New Roman"/>
      <family val="1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Arial"/>
      <family val="2"/>
      <charset val="1"/>
    </font>
    <font>
      <sz val="12"/>
      <name val="DTMLetterRegular"/>
      <family val="0"/>
      <charset val="1"/>
    </font>
    <font>
      <sz val="12"/>
      <name val="????"/>
      <family val="0"/>
      <charset val="136"/>
    </font>
    <font>
      <sz val="8"/>
      <name val="Arial"/>
      <family val="2"/>
      <charset val="1"/>
    </font>
    <font>
      <sz val="10"/>
      <name val="Arial"/>
      <family val="0"/>
      <charset val="1"/>
    </font>
    <font>
      <b val="true"/>
      <sz val="22"/>
      <color rgb="FF000080"/>
      <name val="Arial"/>
      <family val="2"/>
      <charset val="1"/>
    </font>
    <font>
      <sz val="10"/>
      <name val="Courier New"/>
      <family val="3"/>
      <charset val="1"/>
    </font>
    <font>
      <b val="true"/>
      <sz val="14"/>
      <color rgb="FF000080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b val="true"/>
      <u val="single"/>
      <sz val="10"/>
      <color rgb="FF000080"/>
      <name val="Arial"/>
      <family val="2"/>
      <charset val="1"/>
    </font>
    <font>
      <sz val="10"/>
      <name val="Arial"/>
      <family val="0"/>
      <charset val="204"/>
    </font>
    <font>
      <sz val="8"/>
      <name val="Tahoma"/>
      <family val="2"/>
      <charset val="1"/>
    </font>
    <font>
      <sz val="11"/>
      <color rgb="FFFF0000"/>
      <name val="Calibri"/>
      <family val="2"/>
      <charset val="1"/>
    </font>
    <font>
      <sz val="10"/>
      <color rgb="FFFF0000"/>
      <name val="Arial"/>
      <family val="2"/>
      <charset val="1"/>
    </font>
    <font>
      <sz val="11"/>
      <name val="Arial"/>
      <family val="2"/>
      <charset val="1"/>
    </font>
    <font>
      <sz val="10"/>
      <name val="TimesNewRomanPS"/>
      <family val="0"/>
      <charset val="1"/>
    </font>
    <font>
      <b val="true"/>
      <sz val="10"/>
      <color rgb="FFFFFFFF"/>
      <name val="Arial"/>
      <family val="2"/>
      <charset val="1"/>
    </font>
    <font>
      <sz val="8"/>
      <name val="Verdana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color rgb="FFFF9900"/>
      <name val="Arial"/>
      <family val="2"/>
      <charset val="1"/>
    </font>
    <font>
      <b val="true"/>
      <sz val="11"/>
      <color rgb="FFFF9900"/>
      <name val="Calibri"/>
      <family val="2"/>
      <charset val="1"/>
    </font>
    <font>
      <sz val="10"/>
      <color rgb="FFFF9900"/>
      <name val="Arial"/>
      <family val="2"/>
      <charset val="1"/>
    </font>
    <font>
      <sz val="11"/>
      <color rgb="FFFF9900"/>
      <name val="Calibri"/>
      <family val="2"/>
      <charset val="1"/>
    </font>
    <font>
      <sz val="12"/>
      <name val="宋体"/>
      <family val="0"/>
      <charset val="134"/>
    </font>
    <font>
      <sz val="8"/>
      <color rgb="FF0000FF"/>
      <name val="Arial"/>
      <family val="0"/>
      <charset val="1"/>
    </font>
    <font>
      <sz val="10"/>
      <name val="MS Serif"/>
      <family val="1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sz val="8"/>
      <name val="Arial"/>
      <family val="2"/>
      <charset val="1"/>
    </font>
    <font>
      <sz val="8"/>
      <color rgb="FF000000"/>
      <name val="Arial"/>
      <family val="2"/>
      <charset val="1"/>
    </font>
    <font>
      <sz val="10"/>
      <name val="Geneva"/>
      <family val="2"/>
      <charset val="1"/>
    </font>
    <font>
      <sz val="10"/>
      <name val="Geneva"/>
      <family val="0"/>
      <charset val="1"/>
    </font>
    <font>
      <b val="true"/>
      <u val="single"/>
      <sz val="8"/>
      <name val="Arial"/>
      <family val="2"/>
      <charset val="1"/>
    </font>
    <font>
      <sz val="10"/>
      <name val="Univers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8"/>
      <color rgb="FF9999FF"/>
      <name val="Arial"/>
      <family val="2"/>
      <charset val="1"/>
    </font>
    <font>
      <b val="true"/>
      <sz val="12"/>
      <color rgb="FF9999FF"/>
      <name val="Arial"/>
      <family val="2"/>
      <charset val="1"/>
    </font>
    <font>
      <sz val="10"/>
      <color rgb="FF800000"/>
      <name val="MS Serif"/>
      <family val="1"/>
      <charset val="1"/>
    </font>
    <font>
      <sz val="11"/>
      <color rgb="FF333399"/>
      <name val="Calibri"/>
      <family val="2"/>
      <charset val="1"/>
    </font>
    <font>
      <sz val="10"/>
      <color rgb="FF333399"/>
      <name val="Arial"/>
      <family val="2"/>
      <charset val="1"/>
    </font>
    <font>
      <sz val="18"/>
      <name val="Times New Roman"/>
      <family val="1"/>
      <charset val="1"/>
    </font>
    <font>
      <i val="true"/>
      <sz val="12"/>
      <name val="Times New Roman"/>
      <family val="1"/>
      <charset val="1"/>
    </font>
    <font>
      <i val="true"/>
      <sz val="12"/>
      <name val="Arial"/>
      <family val="2"/>
      <charset val="1"/>
    </font>
    <font>
      <u val="single"/>
      <sz val="8"/>
      <color rgb="FF800080"/>
      <name val="Arial"/>
      <family val="2"/>
      <charset val="1"/>
    </font>
    <font>
      <b val="true"/>
      <sz val="8"/>
      <name val="Arial"/>
      <family val="0"/>
      <charset val="1"/>
    </font>
    <font>
      <b val="true"/>
      <i val="true"/>
      <u val="single"/>
      <sz val="10"/>
      <name val="Arial"/>
      <family val="2"/>
      <charset val="1"/>
    </font>
    <font>
      <b val="true"/>
      <sz val="8"/>
      <color rgb="FF000000"/>
      <name val="Tahoma"/>
      <family val="2"/>
      <charset val="1"/>
    </font>
    <font>
      <b val="true"/>
      <sz val="12"/>
      <name val="Arial"/>
      <family val="2"/>
      <charset val="1"/>
    </font>
    <font>
      <b val="true"/>
      <u val="single"/>
      <sz val="8"/>
      <color rgb="FF000000"/>
      <name val="Tahoma"/>
      <family val="2"/>
      <charset val="1"/>
    </font>
    <font>
      <b val="true"/>
      <sz val="8"/>
      <color rgb="FFFFFFFF"/>
      <name val="Tahoma"/>
      <family val="2"/>
      <charset val="1"/>
    </font>
    <font>
      <b val="true"/>
      <sz val="15"/>
      <color rgb="FF1F497D"/>
      <name val="Calibri"/>
      <family val="2"/>
      <charset val="1"/>
    </font>
    <font>
      <b val="true"/>
      <sz val="13"/>
      <color rgb="FF1F497D"/>
      <name val="Calibri"/>
      <family val="2"/>
      <charset val="1"/>
    </font>
    <font>
      <b val="true"/>
      <sz val="11"/>
      <color rgb="FF1F497D"/>
      <name val="Calibri"/>
      <family val="2"/>
      <charset val="1"/>
    </font>
    <font>
      <b val="true"/>
      <sz val="10"/>
      <name val="Geneva"/>
      <family val="0"/>
      <charset val="1"/>
    </font>
    <font>
      <b val="true"/>
      <sz val="10"/>
      <name val="Geneva"/>
      <family val="2"/>
      <charset val="1"/>
    </font>
    <font>
      <b val="true"/>
      <u val="single"/>
      <sz val="18"/>
      <name val="Geneva"/>
      <family val="0"/>
      <charset val="1"/>
    </font>
    <font>
      <b val="true"/>
      <u val="single"/>
      <sz val="18"/>
      <name val="Geneva"/>
      <family val="2"/>
      <charset val="1"/>
    </font>
    <font>
      <b val="true"/>
      <sz val="12"/>
      <color rgb="FFFFFFFF"/>
      <name val="Praxis Com"/>
      <family val="2"/>
      <charset val="1"/>
    </font>
    <font>
      <b val="true"/>
      <sz val="10"/>
      <name val="Univers"/>
      <family val="2"/>
      <charset val="1"/>
    </font>
    <font>
      <b val="true"/>
      <i val="true"/>
      <sz val="20"/>
      <color rgb="FF000000"/>
      <name val="Praxis Com"/>
      <family val="2"/>
      <charset val="1"/>
    </font>
    <font>
      <b val="true"/>
      <sz val="10"/>
      <name val="Arial"/>
      <family val="2"/>
      <charset val="1"/>
    </font>
    <font>
      <b val="true"/>
      <sz val="8"/>
      <name val="MS Sans Serif"/>
      <family val="2"/>
      <charset val="1"/>
    </font>
    <font>
      <b val="true"/>
      <sz val="9"/>
      <name val="Arial"/>
      <family val="0"/>
      <charset val="1"/>
    </font>
    <font>
      <u val="single"/>
      <sz val="8"/>
      <color rgb="FF0000FF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808080"/>
      <name val="Arial"/>
      <family val="2"/>
      <charset val="1"/>
    </font>
    <font>
      <sz val="8"/>
      <color rgb="FF0000FF"/>
      <name val="Praxis Com"/>
      <family val="2"/>
      <charset val="1"/>
    </font>
    <font>
      <sz val="10"/>
      <color rgb="FF0000FF"/>
      <name val="Arial"/>
      <family val="2"/>
      <charset val="1"/>
    </font>
    <font>
      <sz val="9"/>
      <color rgb="FF008000"/>
      <name val="Arial"/>
      <family val="0"/>
      <charset val="1"/>
    </font>
    <font>
      <sz val="8"/>
      <color rgb="FF0000FF"/>
      <name val="Tahoma"/>
      <family val="2"/>
      <charset val="1"/>
    </font>
    <font>
      <sz val="11"/>
      <color rgb="FF800080"/>
      <name val="Calibri"/>
      <family val="2"/>
      <charset val="1"/>
    </font>
    <font>
      <sz val="10"/>
      <color rgb="FF80008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sz val="14"/>
      <color rgb="FF0000FF"/>
      <name val="Book Antiqua"/>
      <family val="1"/>
      <charset val="1"/>
    </font>
    <font>
      <sz val="10"/>
      <name val="MS Sans Serif"/>
      <family val="2"/>
      <charset val="1"/>
    </font>
    <font>
      <i val="true"/>
      <sz val="7"/>
      <color rgb="FF666699"/>
      <name val="Arial"/>
      <family val="2"/>
      <charset val="1"/>
    </font>
    <font>
      <sz val="11"/>
      <color rgb="FF808000"/>
      <name val="Calibri"/>
      <family val="2"/>
      <charset val="1"/>
    </font>
    <font>
      <sz val="10"/>
      <color rgb="FF993300"/>
      <name val="Arial"/>
      <family val="2"/>
      <charset val="1"/>
    </font>
    <font>
      <sz val="11"/>
      <color rgb="FF993300"/>
      <name val="Calibri"/>
      <family val="2"/>
      <charset val="1"/>
    </font>
    <font>
      <sz val="7"/>
      <name val="Small Fonts"/>
      <family val="2"/>
      <charset val="1"/>
    </font>
    <font>
      <b val="true"/>
      <sz val="8"/>
      <color rgb="FF808080"/>
      <name val="Verdana"/>
      <family val="2"/>
      <charset val="1"/>
    </font>
    <font>
      <sz val="10"/>
      <color rgb="FF000000"/>
      <name val="MS Sans Serif"/>
      <family val="2"/>
      <charset val="1"/>
    </font>
    <font>
      <sz val="10"/>
      <name val="Arial CE"/>
      <family val="0"/>
      <charset val="1"/>
    </font>
    <font>
      <sz val="8"/>
      <color rgb="FF666699"/>
      <name val="Arial"/>
      <family val="2"/>
      <charset val="1"/>
    </font>
    <font>
      <sz val="24"/>
      <name val="MS Sans Serif"/>
      <family val="2"/>
      <charset val="1"/>
    </font>
    <font>
      <b val="true"/>
      <sz val="26"/>
      <name val="Times New Roman"/>
      <family val="1"/>
      <charset val="1"/>
    </font>
    <font>
      <b val="true"/>
      <sz val="18"/>
      <name val="Times New Roman"/>
      <family val="1"/>
      <charset val="1"/>
    </font>
    <font>
      <b val="true"/>
      <u val="single"/>
      <sz val="10"/>
      <name val="Arial"/>
      <family val="2"/>
      <charset val="1"/>
    </font>
    <font>
      <sz val="10"/>
      <name val="Times New Roman"/>
      <family val="0"/>
      <charset val="1"/>
    </font>
    <font>
      <sz val="16"/>
      <color rgb="FFFFFFFF"/>
      <name val="Tahoma"/>
      <family val="2"/>
      <charset val="1"/>
    </font>
    <font>
      <sz val="9"/>
      <color rgb="FF000000"/>
      <name val="Arial"/>
      <family val="0"/>
      <charset val="1"/>
    </font>
    <font>
      <b val="true"/>
      <sz val="10"/>
      <name val="MS Sans Serif"/>
      <family val="2"/>
      <charset val="1"/>
    </font>
    <font>
      <i val="true"/>
      <sz val="10"/>
      <color rgb="FFFF0000"/>
      <name val="Futura Bk BT"/>
      <family val="2"/>
      <charset val="1"/>
    </font>
    <font>
      <sz val="10"/>
      <name val="Futura Bk BT"/>
      <family val="0"/>
      <charset val="1"/>
    </font>
    <font>
      <sz val="8"/>
      <color rgb="FFFF0000"/>
      <name val="Arial"/>
      <family val="2"/>
      <charset val="1"/>
    </font>
    <font>
      <sz val="9"/>
      <color rgb="FF800080"/>
      <name val="Arial"/>
      <family val="0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b val="true"/>
      <sz val="16"/>
      <color rgb="FF808080"/>
      <name val="Arial"/>
      <family val="2"/>
      <charset val="1"/>
    </font>
    <font>
      <sz val="11"/>
      <color rgb="FF008000"/>
      <name val="Calibri"/>
      <family val="2"/>
      <charset val="1"/>
    </font>
    <font>
      <sz val="10"/>
      <color rgb="FF008000"/>
      <name val="Arial"/>
      <family val="2"/>
      <charset val="1"/>
    </font>
    <font>
      <sz val="8"/>
      <name val="Arial"/>
      <family val="0"/>
      <charset val="177"/>
    </font>
    <font>
      <b val="true"/>
      <sz val="11"/>
      <color rgb="FF333333"/>
      <name val="Calibri"/>
      <family val="2"/>
      <charset val="1"/>
    </font>
    <font>
      <b val="true"/>
      <sz val="10"/>
      <color rgb="FF333333"/>
      <name val="Arial"/>
      <family val="2"/>
      <charset val="1"/>
    </font>
    <font>
      <sz val="8"/>
      <name val="MS Sans Serif"/>
      <family val="2"/>
      <charset val="1"/>
    </font>
    <font>
      <sz val="10"/>
      <name val="ACaslon Regular"/>
      <family val="0"/>
      <charset val="1"/>
    </font>
    <font>
      <sz val="11"/>
      <name val="Times New Roman"/>
      <family val="1"/>
      <charset val="1"/>
    </font>
    <font>
      <b val="true"/>
      <sz val="8"/>
      <color rgb="FF0000FF"/>
      <name val="Wingdings"/>
      <family val="0"/>
      <charset val="2"/>
    </font>
    <font>
      <b val="true"/>
      <sz val="9"/>
      <name val="Arial"/>
      <family val="2"/>
      <charset val="1"/>
    </font>
    <font>
      <sz val="7"/>
      <name val="Times New Roman"/>
      <family val="1"/>
      <charset val="1"/>
    </font>
    <font>
      <b val="true"/>
      <sz val="8"/>
      <color rgb="FF333333"/>
      <name val="Verdana"/>
      <family val="2"/>
      <charset val="1"/>
    </font>
    <font>
      <i val="true"/>
      <sz val="11"/>
      <color rgb="FF808080"/>
      <name val="Calibri"/>
      <family val="2"/>
      <charset val="1"/>
    </font>
    <font>
      <i val="true"/>
      <sz val="10"/>
      <color rgb="FF808080"/>
      <name val="Arial"/>
      <family val="2"/>
      <charset val="1"/>
    </font>
    <font>
      <sz val="7"/>
      <name val="Arial"/>
      <family val="2"/>
      <charset val="1"/>
    </font>
    <font>
      <b val="true"/>
      <sz val="18"/>
      <color rgb="FF1F497D"/>
      <name val="Cambria"/>
      <family val="2"/>
      <charset val="1"/>
    </font>
    <font>
      <b val="true"/>
      <sz val="10"/>
      <name val="Bookman Old Style"/>
      <family val="1"/>
      <charset val="1"/>
    </font>
    <font>
      <b val="true"/>
      <sz val="18"/>
      <color rgb="FF003366"/>
      <name val="Cambria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5"/>
      <color rgb="FF003366"/>
      <name val="Arial"/>
      <family val="2"/>
      <charset val="1"/>
    </font>
    <font>
      <b val="true"/>
      <sz val="15"/>
      <color rgb="FF003366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3"/>
      <color rgb="FF003366"/>
      <name val="Arial"/>
      <family val="2"/>
      <charset val="1"/>
    </font>
    <font>
      <b val="true"/>
      <sz val="13"/>
      <color rgb="FF003366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b val="true"/>
      <sz val="11"/>
      <color rgb="FF003366"/>
      <name val="Arial"/>
      <family val="2"/>
      <charset val="1"/>
    </font>
    <font>
      <b val="true"/>
      <sz val="11"/>
      <color rgb="FF003366"/>
      <name val="Calibri"/>
      <family val="2"/>
      <charset val="1"/>
    </font>
    <font>
      <sz val="8"/>
      <color rgb="FFFFFFFF"/>
      <name val="Tahoma"/>
      <family val="2"/>
      <charset val="1"/>
    </font>
    <font>
      <b val="true"/>
      <sz val="8"/>
      <color rgb="FFC0C0C0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0"/>
      <color rgb="FFFF0000"/>
      <name val="Arial"/>
      <family val="2"/>
      <charset val="1"/>
    </font>
    <font>
      <sz val="12"/>
      <name val="¹ÙÅÁÃ¼"/>
      <family val="1"/>
      <charset val="1"/>
    </font>
    <font>
      <sz val="16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20"/>
      <color rgb="FFFF0000"/>
      <name val="Arial"/>
      <family val="2"/>
      <charset val="1"/>
    </font>
    <font>
      <b val="true"/>
      <sz val="10"/>
      <color rgb="FF003366"/>
      <name val="Arial"/>
      <family val="2"/>
      <charset val="1"/>
    </font>
    <font>
      <sz val="10"/>
      <color rgb="FF000000"/>
      <name val="Cambria"/>
      <family val="1"/>
      <charset val="1"/>
    </font>
    <font>
      <b val="true"/>
      <sz val="10"/>
      <color rgb="FFFFFFFF"/>
      <name val="Cambria"/>
      <family val="1"/>
      <charset val="1"/>
    </font>
    <font>
      <sz val="10"/>
      <color rgb="FFFFFFFF"/>
      <name val="Cambria"/>
      <family val="1"/>
      <charset val="1"/>
    </font>
    <font>
      <sz val="10"/>
      <color rgb="FF1F497D"/>
      <name val="Cambria"/>
      <family val="1"/>
      <charset val="1"/>
    </font>
    <font>
      <b val="true"/>
      <sz val="10"/>
      <color rgb="FF000000"/>
      <name val="Cambria"/>
      <family val="1"/>
      <charset val="1"/>
    </font>
    <font>
      <sz val="9"/>
      <color rgb="FF000000"/>
      <name val="Tahoma"/>
      <family val="2"/>
      <charset val="1"/>
    </font>
    <font>
      <b val="true"/>
      <sz val="10"/>
      <color rgb="FF0000FF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i val="true"/>
      <sz val="10"/>
      <color rgb="FFFFFFFF"/>
      <name val="Arial"/>
      <family val="2"/>
      <charset val="1"/>
    </font>
    <font>
      <b val="true"/>
      <sz val="10"/>
      <color rgb="FF993366"/>
      <name val="Arial"/>
      <family val="2"/>
      <charset val="1"/>
    </font>
    <font>
      <sz val="9"/>
      <color rgb="FFFF0000"/>
      <name val="Arial"/>
      <family val="2"/>
      <charset val="1"/>
    </font>
    <font>
      <sz val="9"/>
      <color rgb="FF000000"/>
      <name val="Book Antiqua"/>
      <family val="1"/>
      <charset val="1"/>
    </font>
    <font>
      <sz val="10"/>
      <color rgb="FF3366FF"/>
      <name val="Arial"/>
      <family val="2"/>
      <charset val="1"/>
    </font>
  </fonts>
  <fills count="36">
    <fill>
      <patternFill patternType="none"/>
    </fill>
    <fill>
      <patternFill patternType="gray125"/>
    </fill>
    <fill>
      <patternFill patternType="solid">
        <fgColor rgb="FFDCE6F2"/>
        <bgColor rgb="FFDBEEF4"/>
      </patternFill>
    </fill>
    <fill>
      <patternFill patternType="solid">
        <fgColor rgb="FF99CCFF"/>
        <bgColor rgb="FFB9CDE5"/>
      </patternFill>
    </fill>
    <fill>
      <patternFill patternType="solid">
        <fgColor rgb="FFCCCCFF"/>
        <bgColor rgb="FFB9CDE5"/>
      </patternFill>
    </fill>
    <fill>
      <patternFill patternType="solid">
        <fgColor rgb="FFF2DCDB"/>
        <bgColor rgb="FFE6E0EC"/>
      </patternFill>
    </fill>
    <fill>
      <patternFill patternType="solid">
        <fgColor rgb="FFFF8080"/>
        <bgColor rgb="FFFF99CC"/>
      </patternFill>
    </fill>
    <fill>
      <patternFill patternType="solid">
        <fgColor rgb="FFFF99CC"/>
        <bgColor rgb="FFE6B9B8"/>
      </patternFill>
    </fill>
    <fill>
      <patternFill patternType="solid">
        <fgColor rgb="FFEBF1DE"/>
        <bgColor rgb="FFFDEADA"/>
      </patternFill>
    </fill>
    <fill>
      <patternFill patternType="solid">
        <fgColor rgb="FFFFFFCC"/>
        <bgColor rgb="FFEBF1DE"/>
      </patternFill>
    </fill>
    <fill>
      <patternFill patternType="solid">
        <fgColor rgb="FFCCFFCC"/>
        <bgColor rgb="FFCCFFFF"/>
      </patternFill>
    </fill>
    <fill>
      <patternFill patternType="solid">
        <fgColor rgb="FFE6E0EC"/>
        <bgColor rgb="FFE0E0E0"/>
      </patternFill>
    </fill>
    <fill>
      <patternFill patternType="solid">
        <fgColor rgb="FFFFCC99"/>
        <bgColor rgb="FFFCD5B5"/>
      </patternFill>
    </fill>
    <fill>
      <patternFill patternType="solid">
        <fgColor rgb="FFCC99FF"/>
        <bgColor rgb="FF9999FF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EBF1DE"/>
      </patternFill>
    </fill>
    <fill>
      <patternFill patternType="solid">
        <fgColor rgb="FFB9CDE5"/>
        <bgColor rgb="FFB7DEE8"/>
      </patternFill>
    </fill>
    <fill>
      <patternFill patternType="solid">
        <fgColor rgb="FFE6B9B8"/>
        <bgColor rgb="FFCCC3DA"/>
      </patternFill>
    </fill>
    <fill>
      <patternFill patternType="solid">
        <fgColor rgb="FFD7E4BD"/>
        <bgColor rgb="FFE0E0E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CCC3DA"/>
        <bgColor rgb="FFC0C0C0"/>
      </patternFill>
    </fill>
    <fill>
      <patternFill patternType="solid">
        <fgColor rgb="FFB7DEE8"/>
        <bgColor rgb="FFB9CDE5"/>
      </patternFill>
    </fill>
    <fill>
      <patternFill patternType="solid">
        <fgColor rgb="FFFCD5B5"/>
        <bgColor rgb="FFFFCC99"/>
      </patternFill>
    </fill>
    <fill>
      <patternFill patternType="solid">
        <fgColor rgb="FFFFCC00"/>
        <bgColor rgb="FFFFFE00"/>
      </patternFill>
    </fill>
    <fill>
      <patternFill patternType="solid">
        <fgColor rgb="FF0166D8"/>
        <bgColor rgb="FF1F497D"/>
      </patternFill>
    </fill>
    <fill>
      <patternFill patternType="solid">
        <fgColor rgb="FFFF6600"/>
        <bgColor rgb="FFFF9900"/>
      </patternFill>
    </fill>
    <fill>
      <patternFill patternType="solid">
        <fgColor rgb="FF800080"/>
        <bgColor rgb="FF993366"/>
      </patternFill>
    </fill>
    <fill>
      <patternFill patternType="solid">
        <fgColor rgb="FF33CCCC"/>
        <bgColor rgb="FF00FFFF"/>
      </patternFill>
    </fill>
    <fill>
      <patternFill patternType="solid">
        <fgColor rgb="FFFF9900"/>
        <bgColor rgb="FFFFCC00"/>
      </patternFill>
    </fill>
    <fill>
      <patternFill patternType="solid">
        <fgColor rgb="FFC0504D"/>
        <bgColor rgb="FF993366"/>
      </patternFill>
    </fill>
    <fill>
      <patternFill patternType="solid">
        <fgColor rgb="FFC0C0C0"/>
        <bgColor rgb="FFCCC3DA"/>
      </patternFill>
    </fill>
    <fill>
      <patternFill patternType="darkGray">
        <fgColor rgb="FF96CF10"/>
        <bgColor rgb="FFB2B2B2"/>
      </patternFill>
    </fill>
    <fill>
      <patternFill patternType="solid">
        <fgColor rgb="FFFFFF00"/>
        <bgColor rgb="FFFFFE00"/>
      </patternFill>
    </fill>
    <fill>
      <patternFill patternType="solid">
        <fgColor rgb="FFFFFFFF"/>
        <bgColor rgb="FFFFFFCC"/>
      </patternFill>
    </fill>
  </fills>
  <borders count="41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/>
      <top/>
      <bottom style="medium">
        <color rgb="FF00206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0099"/>
      </left>
      <right/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 style="thin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 style="thin">
        <color rgb="FF000099"/>
      </left>
      <right/>
      <top style="thin">
        <color rgb="FF000099"/>
      </top>
      <bottom/>
      <diagonal/>
    </border>
    <border diagonalUp="false" diagonalDown="false">
      <left style="thin">
        <color rgb="FF000099"/>
      </left>
      <right style="thin">
        <color rgb="FF000099"/>
      </right>
      <top/>
      <bottom/>
      <diagonal/>
    </border>
    <border diagonalUp="false" diagonalDown="false">
      <left style="thin">
        <color rgb="FF000099"/>
      </left>
      <right/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/>
      <diagonal/>
    </border>
    <border diagonalUp="false" diagonalDown="false">
      <left style="thin">
        <color rgb="FF002060"/>
      </left>
      <right/>
      <top/>
      <bottom/>
      <diagonal/>
    </border>
    <border diagonalUp="false" diagonalDown="false"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 diagonalUp="false" diagonalDown="false">
      <left style="thin">
        <color rgb="FF002060"/>
      </left>
      <right/>
      <top/>
      <bottom style="thin">
        <color rgb="FF002060"/>
      </bottom>
      <diagonal/>
    </border>
    <border diagonalUp="false" diagonalDown="false"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 diagonalUp="false" diagonalDown="false">
      <left style="thin">
        <color rgb="FF002060"/>
      </left>
      <right/>
      <top style="thin">
        <color rgb="FF002060"/>
      </top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/>
      <diagonal/>
    </border>
    <border diagonalUp="false" diagonalDown="false"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 style="thin">
        <color rgb="FF000099"/>
      </left>
      <right/>
      <top/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0099"/>
      </top>
      <bottom/>
      <diagonal/>
    </border>
    <border diagonalUp="false" diagonalDown="false">
      <left style="mediumDashed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/>
      <bottom/>
      <diagonal/>
    </border>
    <border diagonalUp="false" diagonalDown="false">
      <left style="mediumDashed">
        <color rgb="FF000099"/>
      </left>
      <right style="thin">
        <color rgb="FF000099"/>
      </right>
      <top/>
      <bottom/>
      <diagonal/>
    </border>
    <border diagonalUp="false" diagonalDown="false">
      <left/>
      <right style="thin">
        <color rgb="FF000099"/>
      </right>
      <top style="thin">
        <color rgb="FF000099"/>
      </top>
      <bottom style="thin">
        <color rgb="FF000099"/>
      </bottom>
      <diagonal/>
    </border>
    <border diagonalUp="false" diagonalDown="false">
      <left/>
      <right style="thin">
        <color rgb="FF000099"/>
      </right>
      <top style="thin">
        <color rgb="FF000099"/>
      </top>
      <bottom/>
      <diagonal/>
    </border>
    <border diagonalUp="false" diagonalDown="false">
      <left/>
      <right/>
      <top style="thin">
        <color rgb="FF000099"/>
      </top>
      <bottom/>
      <diagonal/>
    </border>
    <border diagonalUp="false" diagonalDown="false">
      <left style="mediumDashed">
        <color rgb="FF000099"/>
      </left>
      <right style="thin">
        <color rgb="FF000099"/>
      </right>
      <top style="thin">
        <color rgb="FF000099"/>
      </top>
      <bottom/>
      <diagonal/>
    </border>
    <border diagonalUp="false" diagonalDown="false">
      <left/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/>
      <bottom style="thin">
        <color rgb="FF000099"/>
      </bottom>
      <diagonal/>
    </border>
    <border diagonalUp="false" diagonalDown="false">
      <left style="mediumDashed">
        <color rgb="FF000099"/>
      </left>
      <right style="thin">
        <color rgb="FF000099"/>
      </right>
      <top/>
      <bottom style="thin">
        <color rgb="FF000099"/>
      </bottom>
      <diagonal/>
    </border>
    <border diagonalUp="false" diagonalDown="false">
      <left/>
      <right/>
      <top style="thin">
        <color rgb="FF000099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 style="mediumDashed">
        <color rgb="FFFF0000"/>
      </top>
      <bottom style="thin">
        <color rgb="FF000099"/>
      </bottom>
      <diagonal/>
    </border>
    <border diagonalUp="false" diagonalDown="false">
      <left style="mediumDashed">
        <color rgb="FFFF0000"/>
      </left>
      <right style="thin">
        <color rgb="FF000099"/>
      </right>
      <top/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0099"/>
      </right>
      <top style="thin">
        <color rgb="FF002060"/>
      </top>
      <bottom style="thin">
        <color rgb="FF002060"/>
      </bottom>
      <diagonal/>
    </border>
    <border diagonalUp="false" diagonalDown="false">
      <left style="mediumDashed">
        <color rgb="FFFF0000"/>
      </left>
      <right style="thin">
        <color rgb="FF002060"/>
      </right>
      <top/>
      <bottom/>
      <diagonal/>
    </border>
    <border diagonalUp="false" diagonalDown="false">
      <left style="mediumDashed">
        <color rgb="FFFF0000"/>
      </left>
      <right style="thin">
        <color rgb="FF002060"/>
      </right>
      <top/>
      <bottom style="thin">
        <color rgb="FF00206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251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9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4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2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5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10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8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1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4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2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6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7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9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6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8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9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0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21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19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13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2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9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15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3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9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9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5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8" fillId="24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1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7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1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1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5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21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1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7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28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1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15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29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1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6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0" fillId="3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8" fontId="0" fillId="0" borderId="0" applyFont="true" applyBorder="false" applyAlignment="true" applyProtection="false">
      <alignment horizontal="general" vertical="bottom" textRotation="0" wrapText="false" indent="0" shrinkToFit="false"/>
    </xf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6" fontId="0" fillId="0" borderId="0" applyFont="true" applyBorder="false" applyAlignment="true" applyProtection="false">
      <alignment horizontal="general" vertical="bottom" textRotation="0" wrapText="false" indent="0" shrinkToFit="false"/>
    </xf>
    <xf numFmtId="177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79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2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0" fontId="0" fillId="0" borderId="0" applyFont="true" applyBorder="false" applyAlignment="true" applyProtection="false">
      <alignment horizontal="general" vertical="bottom" textRotation="0" wrapText="false" indent="0" shrinkToFit="false"/>
    </xf>
    <xf numFmtId="181" fontId="0" fillId="0" borderId="0" applyFont="true" applyBorder="false" applyAlignment="true" applyProtection="false">
      <alignment horizontal="general" vertical="bottom" textRotation="0" wrapText="false" indent="0" shrinkToFit="false"/>
    </xf>
    <xf numFmtId="183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84" fontId="0" fillId="0" borderId="0" applyFont="true" applyBorder="false" applyAlignment="true" applyProtection="false">
      <alignment horizontal="general" vertical="bottom" textRotation="0" wrapText="false" indent="0" shrinkToFit="false"/>
    </xf>
    <xf numFmtId="185" fontId="0" fillId="0" borderId="0" applyFont="true" applyBorder="false" applyAlignment="true" applyProtection="false">
      <alignment horizontal="general" vertical="bottom" textRotation="0" wrapText="false" indent="0" shrinkToFit="false"/>
    </xf>
    <xf numFmtId="178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8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0" fillId="0" borderId="0" applyFont="true" applyBorder="false" applyAlignment="true" applyProtection="false">
      <alignment horizontal="general" vertical="bottom" textRotation="0" wrapText="false" indent="0" shrinkToFit="false"/>
    </xf>
    <xf numFmtId="188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1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20" borderId="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89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1" fontId="0" fillId="0" borderId="0" applyFont="true" applyBorder="false" applyAlignment="true" applyProtection="false">
      <alignment horizontal="general" vertical="bottom" textRotation="0" wrapText="false" indent="0" shrinkToFit="false"/>
    </xf>
    <xf numFmtId="192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3" fontId="0" fillId="0" borderId="0" applyFont="true" applyBorder="false" applyAlignment="true" applyProtection="false">
      <alignment horizontal="right" vertical="bottom" textRotation="0" wrapText="false" indent="0" shrinkToFit="false"/>
    </xf>
    <xf numFmtId="195" fontId="0" fillId="0" borderId="0" applyFont="true" applyBorder="false" applyAlignment="true" applyProtection="false">
      <alignment horizontal="right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6" fontId="0" fillId="0" borderId="0" applyFont="true" applyBorder="false" applyAlignment="true" applyProtection="false">
      <alignment horizontal="general" vertical="bottom" textRotation="0" wrapText="false" indent="0" shrinkToFit="false"/>
    </xf>
    <xf numFmtId="197" fontId="0" fillId="0" borderId="0" applyFont="true" applyBorder="false" applyAlignment="true" applyProtection="false">
      <alignment horizontal="general" vertical="bottom" textRotation="0" wrapText="false" indent="0" shrinkToFit="false"/>
    </xf>
    <xf numFmtId="194" fontId="0" fillId="0" borderId="0" applyFont="true" applyBorder="false" applyAlignment="true" applyProtection="false">
      <alignment horizontal="general" vertical="bottom" textRotation="0" wrapText="false" indent="0" shrinkToFit="false"/>
    </xf>
    <xf numFmtId="190" fontId="0" fillId="0" borderId="0" applyFont="true" applyBorder="false" applyAlignment="true" applyProtection="false">
      <alignment horizontal="right" vertical="bottom" textRotation="0" wrapText="false" indent="0" shrinkToFit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199" fontId="0" fillId="0" borderId="0" applyFont="true" applyBorder="false" applyAlignment="true" applyProtection="false">
      <alignment horizontal="general" vertical="bottom" textRotation="0" wrapText="false" indent="0" shrinkToFit="false"/>
    </xf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200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201" fontId="0" fillId="0" borderId="0" applyFont="true" applyBorder="false" applyAlignment="true" applyProtection="false">
      <alignment horizontal="general" vertical="bottom" textRotation="0" wrapText="false" indent="0" shrinkToFit="false"/>
    </xf>
    <xf numFmtId="17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top" textRotation="0" wrapText="false" indent="0" shrinkToFit="false"/>
    </xf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2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  <xf numFmtId="164" fontId="19" fillId="0" borderId="1" applyFont="true" applyBorder="true" applyAlignment="true" applyProtection="false">
      <alignment horizontal="general" vertical="bottom" textRotation="0" wrapText="false" indent="0" shrinkToFit="false"/>
    </xf>
  </cellStyleXfs>
  <cellXfs count="3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3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91" fontId="7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9" fillId="0" borderId="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2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291" fontId="7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4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44" fontId="147" fillId="0" borderId="1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24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244" fontId="0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51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47" fillId="0" borderId="1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72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3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4" fontId="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3" fontId="72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4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4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91" fontId="1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1" fontId="14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5" fontId="0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1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91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6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4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1" fontId="72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3" fillId="3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3" fillId="3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3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297" fontId="28" fillId="31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2" fontId="72" fillId="3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6" xfId="1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291" fontId="72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51" fontId="28" fillId="31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72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2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34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291" fontId="0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291" fontId="7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22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1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8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1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91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3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21" fontId="15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2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52" fontId="15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1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2" fontId="0" fillId="3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92" fontId="72" fillId="34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3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52" fontId="150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52" fontId="154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14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92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1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8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8" fillId="3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3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3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32" borderId="6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72" fillId="3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3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1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14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2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292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3" fontId="0" fillId="0" borderId="2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15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6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5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7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7" fillId="0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291" fontId="147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147" fillId="3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7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4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4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157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15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2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3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28" fillId="3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4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3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7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29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251" fontId="0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91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299" fontId="14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299" fontId="14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299" fontId="14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14" fontId="28" fillId="31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300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00" fontId="0" fillId="0" borderId="25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291" fontId="0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7" fillId="3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7" fillId="32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7" fillId="32" borderId="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58" fillId="31" borderId="23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32" borderId="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8" xfId="0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291" fontId="0" fillId="0" borderId="29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9" fillId="32" borderId="1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59" fillId="32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291" fontId="159" fillId="32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28" fillId="31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2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291" fontId="7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72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0" fillId="0" borderId="24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291" fontId="4" fillId="0" borderId="1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291" fontId="4" fillId="0" borderId="25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291" fontId="161" fillId="35" borderId="2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2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2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162" fillId="0" borderId="1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162" fillId="0" borderId="25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31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291" fontId="72" fillId="3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44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292" fontId="72" fillId="32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44" fontId="0" fillId="0" borderId="3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291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91" fontId="28" fillId="3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291" fontId="72" fillId="32" borderId="17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97" fontId="4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30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01" fontId="14" fillId="34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301" fontId="14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301" fontId="14" fillId="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490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_x0002_-_x0002_Ä_x0001_‡_x0003_0_x0002_P_x0003_ _x0002_X_x0003_·_x0002_®_x0003_@_x0002_p_x0003_ª_x0002_¨_x0010_!_x0002__x0003_&quot;_x0001_ÄÇ_x0002__x000e__x0003_ _x0002_é_x0002_Ä_x0001_‡_x0003_Ë_x0002_H_x0003_ _x0002_X" xfId="20"/>
    <cellStyle name=" Writer Import]&#13;&#10;Display Dialog=No&#13;&#10;&#13;&#10;[Horizontal Arrange]&#13;&#10;Dimensions Interlocking=Yes&#13;&#10;Sum Hierarchy=Yes&#13;&#10;Generate" xfId="21"/>
    <cellStyle name=" Writer Import]&#13;&#10;Display Dialog=No&#13;&#10;&#13;&#10;[Horizontal Arrange]&#13;&#10;Dimensions Interlocking=Yes&#13;&#10;Sum Hierarchy=Yes&#13;&#10;Generate 2" xfId="22"/>
    <cellStyle name=" Writer Import]&#13;&#10;Display Dialog=No&#13;&#10;&#13;&#10;[Horizontal Arrange]&#13;&#10;Dimensions Interlocking=Yes&#13;&#10;Sum Hierarchy=Yes&#13;&#10;Generate 2 2" xfId="23"/>
    <cellStyle name=" Writer Import]&#13;&#10;Display Dialog=No&#13;&#10;&#13;&#10;[Horizontal Arrange]&#13;&#10;Dimensions Interlocking=Yes&#13;&#10;Sum Hierarchy=Yes&#13;&#10;Generate 3" xfId="24"/>
    <cellStyle name=" Writer Import]&#13;&#10;Display Dialog=No&#13;&#10;&#13;&#10;[Horizontal Arrange]&#13;&#10;Dimensions Interlocking=Yes&#13;&#10;Sum Hierarchy=Yes&#13;&#10;Generate 3 2" xfId="25"/>
    <cellStyle name=" Writer Import]&#13;&#10;Display Dialog=No&#13;&#10;&#13;&#10;[Horizontal Arrange]&#13;&#10;Dimensions Interlocking=Yes&#13;&#10;Sum Hierarchy=Yes&#13;&#10;Generate 4" xfId="26"/>
    <cellStyle name=" Writer Import]&#13;&#10;Display Dialog=No&#13;&#10;&#13;&#10;[Horizontal Arrange]&#13;&#10;Dimensions Interlocking=Yes&#13;&#10;Sum Hierarchy=Yes&#13;&#10;Generate_Kombissiri" xfId="27"/>
    <cellStyle name="$K" xfId="28"/>
    <cellStyle name="%" xfId="29"/>
    <cellStyle name="% 10" xfId="30"/>
    <cellStyle name="% 2" xfId="31"/>
    <cellStyle name="% 3" xfId="32"/>
    <cellStyle name="% 4" xfId="33"/>
    <cellStyle name="%_ACTU1 2010" xfId="34"/>
    <cellStyle name="%_Budget 09_CF conso Onatel" xfId="35"/>
    <cellStyle name="%_Budget Onatel -Actu 3-2008" xfId="36"/>
    <cellStyle name="%_Budget Onatel -Actu 3-2008_BUDGET ONATEL 2010 v5" xfId="37"/>
    <cellStyle name="%_Budget Onatel -Actu 3-2008_Budget Telmob 2011" xfId="38"/>
    <cellStyle name="%_Budget Onatel -Actu 3-2008_CAPEX BUDGET2010" xfId="39"/>
    <cellStyle name="%_Budget Onatel -Actu 3-2008_Capex- Mobile" xfId="40"/>
    <cellStyle name="%_BUDGET ONATEL 2010 v5" xfId="41"/>
    <cellStyle name="%_Budget Telmob 2011" xfId="42"/>
    <cellStyle name="%_CAPEX BUDGET2010" xfId="43"/>
    <cellStyle name="%_Capex Fixe" xfId="44"/>
    <cellStyle name="%_Capex- Mobile" xfId="45"/>
    <cellStyle name="%_Classeur1 (2)" xfId="46"/>
    <cellStyle name="%_commentaires fixe  internet Déc 08" xfId="47"/>
    <cellStyle name="%_commentaires fixe  internet Déc 08 2" xfId="48"/>
    <cellStyle name="%_commentaires fixe  internet Déc 08_Classeur1" xfId="49"/>
    <cellStyle name="%_commentaires fixe  internet Déc 08_Commentaire activité Fixe  mobile ONATEL Nov 2009" xfId="50"/>
    <cellStyle name="%_commentaires fixe  internet Déc 08_COMMENTAIRES" xfId="51"/>
    <cellStyle name="%_commentaires fixe  internet Déc 08_Commentaires Janvier 2010" xfId="52"/>
    <cellStyle name="%_commentaires fixe  internet Déc 08_FAITS MARQUANTS DE SEPTEMBRE 2009" xfId="53"/>
    <cellStyle name="%_commentaires fixe  internet Déc 08_Flash du mois de Décembre 2009 V3 (2)" xfId="54"/>
    <cellStyle name="%_commentaires fixe  internet Déc 08_Flash du mois de Novembre V2" xfId="55"/>
    <cellStyle name="%_commentaires fixe  internet Déc 08_Flash du mois de septembre 2009 (2) (version 1)" xfId="56"/>
    <cellStyle name="%_commentaires fixe  internet Déc 08_FLASH ONATEL DU MOIS DE FEVRIER 2010 V2" xfId="57"/>
    <cellStyle name="%_commentaires fixe  internet Déc 08_Reporting Onatel septembre  2009 V1 (4)" xfId="58"/>
    <cellStyle name="%_commentaires_fixe__internet_nov_08(2)" xfId="59"/>
    <cellStyle name="%_commentaires_fixe__internet_nov_08(2) 2" xfId="60"/>
    <cellStyle name="%_commentaires_fixe__internet_nov_08(2)_Classeur1" xfId="61"/>
    <cellStyle name="%_commentaires_fixe__internet_nov_08(2)_Commentaire activité Fixe  mobile ONATEL Nov 2009" xfId="62"/>
    <cellStyle name="%_commentaires_fixe__internet_nov_08(2)_COMMENTAIRES" xfId="63"/>
    <cellStyle name="%_commentaires_fixe__internet_nov_08(2)_Commentaires Janvier 2010" xfId="64"/>
    <cellStyle name="%_commentaires_fixe__internet_nov_08(2)_FAITS MARQUANTS DE SEPTEMBRE 2009" xfId="65"/>
    <cellStyle name="%_commentaires_fixe__internet_nov_08(2)_Flash du mois de Décembre 2009 V3 (2)" xfId="66"/>
    <cellStyle name="%_commentaires_fixe__internet_nov_08(2)_Flash du mois de Novembre V2" xfId="67"/>
    <cellStyle name="%_commentaires_fixe__internet_nov_08(2)_Flash du mois de septembre 2009 (2) (version 1)" xfId="68"/>
    <cellStyle name="%_commentaires_fixe__internet_nov_08(2)_FLASH ONATEL DU MOIS DE FEVRIER 2010 V2" xfId="69"/>
    <cellStyle name="%_commentaires_fixe__internet_nov_08(2)_Reporting Onatel septembre  2009 V1 (4)" xfId="70"/>
    <cellStyle name="%_Feuil1" xfId="71"/>
    <cellStyle name="%_Flash du mois de septembre 2009 (2) (version 1)" xfId="72"/>
    <cellStyle name="%_Flash du mois de septembre 2009 (2) (version 1) 2" xfId="73"/>
    <cellStyle name="%_Flash du mois de septembre 2009 (2) (version 1)_Classeur1" xfId="74"/>
    <cellStyle name="%_Flash du mois de septembre 2009 (2) (version 1)_Commentaire activité Fixe  mobile ONATEL Nov 2009" xfId="75"/>
    <cellStyle name="%_Flash du mois de septembre 2009 (2) (version 1)_COMMENTAIRES" xfId="76"/>
    <cellStyle name="%_Flash du mois de septembre 2009 (2) (version 1)_Commentaires Janvier 2010" xfId="77"/>
    <cellStyle name="%_Flash du mois de septembre 2009 (2) (version 1)_Flash du mois de Décembre 2009 V3 (2)" xfId="78"/>
    <cellStyle name="%_Flash du mois de septembre 2009 (2) (version 1)_Flash du mois de Novembre V2" xfId="79"/>
    <cellStyle name="%_Flash du mois de septembre 2009 (2) (version 1)_FLASH ONATEL DU MOIS DE FEVRIER 2010 V2" xfId="80"/>
    <cellStyle name="%_Flash du mois de septembre 2009 (2) (version 1)_Reporting Onatel septembre  2009 V1 (4)" xfId="81"/>
    <cellStyle name="%_Flash_du_mois_de_Décembre_2008_v2(2)" xfId="82"/>
    <cellStyle name="%_Flash_du_mois_de_Décembre_2008_v2(2)_Flash du mois de septembre 2009 (2) (version 1)" xfId="83"/>
    <cellStyle name="%_Flash_du_mois_de_Décembre_2008_v2(2)_Flash du mois de septembre 2009 (2) (version 1) 2" xfId="84"/>
    <cellStyle name="%_Flash_du_mois_de_Décembre_2008_v2(2)_Flash du mois de septembre 2009 (2) (version 1)_Classeur1" xfId="85"/>
    <cellStyle name="%_Flash_du_mois_de_Décembre_2008_v2(2)_Flash du mois de septembre 2009 (2) (version 1)_Commentaire activité Fixe  mobile ONATEL Nov 2009" xfId="86"/>
    <cellStyle name="%_Flash_du_mois_de_Décembre_2008_v2(2)_Flash du mois de septembre 2009 (2) (version 1)_COMMENTAIRES" xfId="87"/>
    <cellStyle name="%_Flash_du_mois_de_Décembre_2008_v2(2)_Flash du mois de septembre 2009 (2) (version 1)_Commentaires Janvier 2010" xfId="88"/>
    <cellStyle name="%_Flash_du_mois_de_Décembre_2008_v2(2)_Flash du mois de septembre 2009 (2) (version 1)_Flash du mois de Décembre 2009 V3 (2)" xfId="89"/>
    <cellStyle name="%_Flash_du_mois_de_Décembre_2008_v2(2)_Flash du mois de septembre 2009 (2) (version 1)_Flash du mois de Novembre V2" xfId="90"/>
    <cellStyle name="%_Flash_du_mois_de_Décembre_2008_v2(2)_Flash du mois de septembre 2009 (2) (version 1)_FLASH ONATEL DU MOIS DE FEVRIER 2010 V2" xfId="91"/>
    <cellStyle name="%_Flash_du_mois_de_Décembre_2008_v2(2)_Flash du mois de septembre 2009 (2) (version 1)_Reporting Onatel septembre  2009 V1 (4)" xfId="92"/>
    <cellStyle name="%_Flash_du_mois_de_Décembre_2008_v2(2)_Flux Financiers Conso" xfId="93"/>
    <cellStyle name="%_Flash_du_mois_de_Décembre_2008_v2(2)_Flux Financiers Conso 2" xfId="94"/>
    <cellStyle name="%_Flash_du_mois_de_Décembre_2008_v2(2)_Flux Financiers Conso_Classeur1" xfId="95"/>
    <cellStyle name="%_Flash_du_mois_de_Décembre_2008_v2(2)_Flux Financiers Conso_Commentaire activité Fixe  mobile ONATEL Nov 2009" xfId="96"/>
    <cellStyle name="%_Flash_du_mois_de_Décembre_2008_v2(2)_Flux Financiers Conso_COMMENTAIRES" xfId="97"/>
    <cellStyle name="%_Flash_du_mois_de_Décembre_2008_v2(2)_Flux Financiers Conso_Commentaires Janvier 2010" xfId="98"/>
    <cellStyle name="%_Flash_du_mois_de_Décembre_2008_v2(2)_Flux Financiers Conso_FAITS MARQUANTS DE SEPTEMBRE 2009" xfId="99"/>
    <cellStyle name="%_Flash_du_mois_de_Décembre_2008_v2(2)_Flux Financiers Conso_Flash du mois de Décembre 2009 V3 (2)" xfId="100"/>
    <cellStyle name="%_Flash_du_mois_de_Décembre_2008_v2(2)_Flux Financiers Conso_Flash du mois de Novembre V2" xfId="101"/>
    <cellStyle name="%_Flash_du_mois_de_Décembre_2008_v2(2)_Flux Financiers Conso_Flash du mois de septembre 2009 (2) (version 1)" xfId="102"/>
    <cellStyle name="%_Flash_du_mois_de_Décembre_2008_v2(2)_Flux Financiers Conso_FLASH ONATEL DU MOIS DE FEVRIER 2010 V2" xfId="103"/>
    <cellStyle name="%_Flash_du_mois_de_Décembre_2008_v2(2)_Flux Financiers Conso_Reporting Onatel septembre  2009 V1 (4)" xfId="104"/>
    <cellStyle name="%_Flash_du_mois_de_Décembre_2008_v2(2)_Reporting Onatel septembre  2009 préparé" xfId="105"/>
    <cellStyle name="%_Flux Financiers Conso" xfId="106"/>
    <cellStyle name="%_Flux Financiers Conso 2" xfId="107"/>
    <cellStyle name="%_Flux Financiers Conso_Classeur1" xfId="108"/>
    <cellStyle name="%_Flux Financiers Conso_Commentaire activité Fixe  mobile ONATEL Nov 2009" xfId="109"/>
    <cellStyle name="%_Flux Financiers Conso_COMMENTAIRES" xfId="110"/>
    <cellStyle name="%_Flux Financiers Conso_Commentaires Janvier 2010" xfId="111"/>
    <cellStyle name="%_Flux Financiers Conso_FAITS MARQUANTS DE SEPTEMBRE 2009" xfId="112"/>
    <cellStyle name="%_Flux Financiers Conso_Flash du mois de Décembre 2009 V3 (2)" xfId="113"/>
    <cellStyle name="%_Flux Financiers Conso_Flash du mois de Novembre V2" xfId="114"/>
    <cellStyle name="%_Flux Financiers Conso_Flash du mois de septembre 2009 (2) (version 1)" xfId="115"/>
    <cellStyle name="%_Flux Financiers Conso_FLASH ONATEL DU MOIS DE FEVRIER 2010 V2" xfId="116"/>
    <cellStyle name="%_Flux Financiers Conso_Reporting Onatel septembre  2009 V1 (4)" xfId="117"/>
    <cellStyle name="%_P-L Fixe" xfId="118"/>
    <cellStyle name="%_Phase préparatoire du TBG de Décembre 2008" xfId="119"/>
    <cellStyle name="%_Phase préparatoire du TBG de Décembre 2008_Flash du mois de septembre 2009 (2) (version 1)" xfId="120"/>
    <cellStyle name="%_Phase préparatoire du TBG de Décembre 2008_Flash du mois de septembre 2009 (2) (version 1) 2" xfId="121"/>
    <cellStyle name="%_Phase préparatoire du TBG de Décembre 2008_Flash du mois de septembre 2009 (2) (version 1)_Classeur1" xfId="122"/>
    <cellStyle name="%_Phase préparatoire du TBG de Décembre 2008_Flash du mois de septembre 2009 (2) (version 1)_Commentaire activité Fixe  mobile ONATEL Nov 2009" xfId="123"/>
    <cellStyle name="%_Phase préparatoire du TBG de Décembre 2008_Flash du mois de septembre 2009 (2) (version 1)_COMMENTAIRES" xfId="124"/>
    <cellStyle name="%_Phase préparatoire du TBG de Décembre 2008_Flash du mois de septembre 2009 (2) (version 1)_Commentaires Janvier 2010" xfId="125"/>
    <cellStyle name="%_Phase préparatoire du TBG de Décembre 2008_Flash du mois de septembre 2009 (2) (version 1)_Flash du mois de Décembre 2009 V3 (2)" xfId="126"/>
    <cellStyle name="%_Phase préparatoire du TBG de Décembre 2008_Flash du mois de septembre 2009 (2) (version 1)_Flash du mois de Novembre V2" xfId="127"/>
    <cellStyle name="%_Phase préparatoire du TBG de Décembre 2008_Flash du mois de septembre 2009 (2) (version 1)_FLASH ONATEL DU MOIS DE FEVRIER 2010 V2" xfId="128"/>
    <cellStyle name="%_Phase préparatoire du TBG de Décembre 2008_Flash du mois de septembre 2009 (2) (version 1)_Reporting Onatel septembre  2009 V1 (4)" xfId="129"/>
    <cellStyle name="%_Phase préparatoire du TBG de Décembre 2008_Flux Financiers Conso" xfId="130"/>
    <cellStyle name="%_Phase préparatoire du TBG de Décembre 2008_Flux Financiers Conso 2" xfId="131"/>
    <cellStyle name="%_Phase préparatoire du TBG de Décembre 2008_Flux Financiers Conso_Classeur1" xfId="132"/>
    <cellStyle name="%_Phase préparatoire du TBG de Décembre 2008_Flux Financiers Conso_Commentaire activité Fixe  mobile ONATEL Nov 2009" xfId="133"/>
    <cellStyle name="%_Phase préparatoire du TBG de Décembre 2008_Flux Financiers Conso_COMMENTAIRES" xfId="134"/>
    <cellStyle name="%_Phase préparatoire du TBG de Décembre 2008_Flux Financiers Conso_Commentaires Janvier 2010" xfId="135"/>
    <cellStyle name="%_Phase préparatoire du TBG de Décembre 2008_Flux Financiers Conso_FAITS MARQUANTS DE SEPTEMBRE 2009" xfId="136"/>
    <cellStyle name="%_Phase préparatoire du TBG de Décembre 2008_Flux Financiers Conso_Flash du mois de Décembre 2009 V3 (2)" xfId="137"/>
    <cellStyle name="%_Phase préparatoire du TBG de Décembre 2008_Flux Financiers Conso_Flash du mois de Novembre V2" xfId="138"/>
    <cellStyle name="%_Phase préparatoire du TBG de Décembre 2008_Flux Financiers Conso_Flash du mois de septembre 2009 (2) (version 1)" xfId="139"/>
    <cellStyle name="%_Phase préparatoire du TBG de Décembre 2008_Flux Financiers Conso_FLASH ONATEL DU MOIS DE FEVRIER 2010 V2" xfId="140"/>
    <cellStyle name="%_Phase préparatoire du TBG de Décembre 2008_Flux Financiers Conso_Reporting Onatel septembre  2009 V1 (4)" xfId="141"/>
    <cellStyle name="%_Phase préparatoire du TBG de Décembre 2008_Reporting Onatel septembre  2009 préparé" xfId="142"/>
    <cellStyle name="%_Prez Budget 2009-V1" xfId="143"/>
    <cellStyle name="%_Prez Budget 2009-V1_BUDGET ONATEL 2010 v5" xfId="144"/>
    <cellStyle name="%_Prez Budget 2009-V1_CAPEX BUDGET2010" xfId="145"/>
    <cellStyle name="%_Projet de budget 2009- Onatel- V5bis" xfId="146"/>
    <cellStyle name="%_Projet de budget 2009- Onatel- V5bis_BUDGET ONATEL 2010 v5" xfId="147"/>
    <cellStyle name="%_Projet de budget 2009- Onatel- V5bis_CAPEX BUDGET2010" xfId="148"/>
    <cellStyle name="%_repartition_mensuelle_objectifs_2010 _par_DR" xfId="149"/>
    <cellStyle name="%_repartition_objectifs_2011" xfId="150"/>
    <cellStyle name="%_REPORTING  ONATEL SEPTEMBRE 2008 V3" xfId="151"/>
    <cellStyle name="%_REPORTING  ONATEL SEPTEMBRE 2008 V3_BUDGET ONATEL 2010 v5" xfId="152"/>
    <cellStyle name="%_REPORTING  ONATEL SEPTEMBRE 2008 V3_Budget Telmob 2011" xfId="153"/>
    <cellStyle name="%_REPORTING  ONATEL SEPTEMBRE 2008 V3_CAPEX BUDGET2010" xfId="154"/>
    <cellStyle name="%_REPORTING  ONATEL SEPTEMBRE 2008 V3_Capex- Mobile" xfId="155"/>
    <cellStyle name="%_Reporting Onatel septembre  2009 préparé" xfId="156"/>
    <cellStyle name="%_Sotelma- P&amp;L MAD " xfId="157"/>
    <cellStyle name="%_Tableau de suivi d'interco-DF_DO Onatel" xfId="158"/>
    <cellStyle name="%_TBG filiales Février 10" xfId="159"/>
    <cellStyle name="%_TRAFIC FIXE &amp; MOBILE" xfId="160"/>
    <cellStyle name="%_TRAFIC FIXE &amp; MOBILE_Flash du mois de septembre 2009 (2) (version 1)" xfId="161"/>
    <cellStyle name="%_TRAFIC FIXE &amp; MOBILE_Flash du mois de septembre 2009 (2) (version 1) 2" xfId="162"/>
    <cellStyle name="%_TRAFIC FIXE &amp; MOBILE_Flash du mois de septembre 2009 (2) (version 1)_Classeur1" xfId="163"/>
    <cellStyle name="%_TRAFIC FIXE &amp; MOBILE_Flash du mois de septembre 2009 (2) (version 1)_Commentaire activité Fixe  mobile ONATEL Nov 2009" xfId="164"/>
    <cellStyle name="%_TRAFIC FIXE &amp; MOBILE_Flash du mois de septembre 2009 (2) (version 1)_COMMENTAIRES" xfId="165"/>
    <cellStyle name="%_TRAFIC FIXE &amp; MOBILE_Flash du mois de septembre 2009 (2) (version 1)_Commentaires Janvier 2010" xfId="166"/>
    <cellStyle name="%_TRAFIC FIXE &amp; MOBILE_Flash du mois de septembre 2009 (2) (version 1)_Flash du mois de Décembre 2009 V3 (2)" xfId="167"/>
    <cellStyle name="%_TRAFIC FIXE &amp; MOBILE_Flash du mois de septembre 2009 (2) (version 1)_Flash du mois de Novembre V2" xfId="168"/>
    <cellStyle name="%_TRAFIC FIXE &amp; MOBILE_Flash du mois de septembre 2009 (2) (version 1)_FLASH ONATEL DU MOIS DE FEVRIER 2010 V2" xfId="169"/>
    <cellStyle name="%_TRAFIC FIXE &amp; MOBILE_Flash du mois de septembre 2009 (2) (version 1)_Reporting Onatel septembre  2009 V1 (4)" xfId="170"/>
    <cellStyle name="%_TRAFIC FIXE &amp; MOBILE_Reporting Onatel septembre  2009 préparé" xfId="171"/>
    <cellStyle name="%_Trafic_Comptable_2009_Août" xfId="172"/>
    <cellStyle name="%_Trafic_Comptable_2009_Août 2" xfId="173"/>
    <cellStyle name="%_Trafic_Comptable_2009_Août 2_Tableau de suivi d'interco-DF_DO Onatel" xfId="174"/>
    <cellStyle name="%_Trafic_Comptable_2009_juillet" xfId="175"/>
    <cellStyle name="%_Trafic_Comptable_2009_juillet 2" xfId="176"/>
    <cellStyle name="%_Trafic_Comptable_2009_juillet 2_Tableau de suivi d'interco-DF_DO Onatel" xfId="177"/>
    <cellStyle name="%_Trafic_Comptable_2009_NOV" xfId="178"/>
    <cellStyle name="%_Trafic_Comptable_2009_NOV 2" xfId="179"/>
    <cellStyle name="%_Trafic_Comptable_2009_NOV 2_Tableau de suivi d'interco-DF_DO Onatel" xfId="180"/>
    <cellStyle name="%_Trafic_Comptable_2009_oct" xfId="181"/>
    <cellStyle name="%_Trafic_Comptable_2009_oct 2" xfId="182"/>
    <cellStyle name="%_Trafic_Comptable_2009_oct 2_Tableau de suivi d'interco-DF_DO Onatel" xfId="183"/>
    <cellStyle name="%_Trafic_Comptable_2009_Sept" xfId="184"/>
    <cellStyle name="%_Trafic_Comptable_2009_Sept 2" xfId="185"/>
    <cellStyle name="%_Trafic_Comptable_2009_Sept 2_Tableau de suivi d'interco-DF_DO Onatel" xfId="186"/>
    <cellStyle name="%_Trafic_Comptable_2010_Janvier" xfId="187"/>
    <cellStyle name="%_Trafic_Comptable_2010_Janvier 2" xfId="188"/>
    <cellStyle name="%_Trafic_Comptable_2010_Janvier 2_Tableau de suivi d'interco-DF_DO Onatel" xfId="189"/>
    <cellStyle name="%_yan mogo ba" xfId="190"/>
    <cellStyle name="%_yan mogo ba_Flash du mois de septembre 2009 (2) (version 1)" xfId="191"/>
    <cellStyle name="%_yan mogo ba_Flash du mois de septembre 2009 (2) (version 1) 2" xfId="192"/>
    <cellStyle name="%_yan mogo ba_Flash du mois de septembre 2009 (2) (version 1)_Classeur1" xfId="193"/>
    <cellStyle name="%_yan mogo ba_Flash du mois de septembre 2009 (2) (version 1)_Commentaire activité Fixe  mobile ONATEL Nov 2009" xfId="194"/>
    <cellStyle name="%_yan mogo ba_Flash du mois de septembre 2009 (2) (version 1)_COMMENTAIRES" xfId="195"/>
    <cellStyle name="%_yan mogo ba_Flash du mois de septembre 2009 (2) (version 1)_Commentaires Janvier 2010" xfId="196"/>
    <cellStyle name="%_yan mogo ba_Flash du mois de septembre 2009 (2) (version 1)_Flash du mois de Décembre 2009 V3 (2)" xfId="197"/>
    <cellStyle name="%_yan mogo ba_Flash du mois de septembre 2009 (2) (version 1)_Flash du mois de Novembre V2" xfId="198"/>
    <cellStyle name="%_yan mogo ba_Flash du mois de septembre 2009 (2) (version 1)_FLASH ONATEL DU MOIS DE FEVRIER 2010 V2" xfId="199"/>
    <cellStyle name="%_yan mogo ba_Flash du mois de septembre 2009 (2) (version 1)_Reporting Onatel septembre  2009 V1 (4)" xfId="200"/>
    <cellStyle name="%_yan mogo ba_Reporting Onatel septembre  2009 préparé" xfId="201"/>
    <cellStyle name="0,0&#13;&#10;NA&#13;&#10;" xfId="202"/>
    <cellStyle name="20 % - Accent1 10" xfId="203"/>
    <cellStyle name="20 % - Accent1 10 2" xfId="204"/>
    <cellStyle name="20 % - Accent1 10 3" xfId="205"/>
    <cellStyle name="20 % - Accent1 11" xfId="206"/>
    <cellStyle name="20 % - Accent1 12" xfId="207"/>
    <cellStyle name="20 % - Accent1 13" xfId="208"/>
    <cellStyle name="20 % - Accent1 2" xfId="209"/>
    <cellStyle name="20 % - Accent1 2 2" xfId="210"/>
    <cellStyle name="20 % - Accent1 2 2 2" xfId="211"/>
    <cellStyle name="20 % - Accent1 2 2 3" xfId="212"/>
    <cellStyle name="20 % - Accent1 2 3" xfId="213"/>
    <cellStyle name="20 % - Accent1 2 4" xfId="214"/>
    <cellStyle name="20 % - Accent1 2 5" xfId="215"/>
    <cellStyle name="20 % - Accent1 2_CA Fixe" xfId="216"/>
    <cellStyle name="20 % - Accent1 3" xfId="217"/>
    <cellStyle name="20 % - Accent1 3 2" xfId="218"/>
    <cellStyle name="20 % - Accent1 3 2 2" xfId="219"/>
    <cellStyle name="20 % - Accent1 3 3" xfId="220"/>
    <cellStyle name="20 % - Accent1 3 4" xfId="221"/>
    <cellStyle name="20 % - Accent1 3 5" xfId="222"/>
    <cellStyle name="20 % - Accent1 3_CA Fixe" xfId="223"/>
    <cellStyle name="20 % - Accent1 4" xfId="224"/>
    <cellStyle name="20 % - Accent1 4 2" xfId="225"/>
    <cellStyle name="20 % - Accent1 4 2 2" xfId="226"/>
    <cellStyle name="20 % - Accent1 4 3" xfId="227"/>
    <cellStyle name="20 % - Accent1 4 4" xfId="228"/>
    <cellStyle name="20 % - Accent1 4 5" xfId="229"/>
    <cellStyle name="20 % - Accent1 4_CA Fixe" xfId="230"/>
    <cellStyle name="20 % - Accent1 5" xfId="231"/>
    <cellStyle name="20 % - Accent1 5 2" xfId="232"/>
    <cellStyle name="20 % - Accent1 6" xfId="233"/>
    <cellStyle name="20 % - Accent1 7" xfId="234"/>
    <cellStyle name="20 % - Accent1 7 2" xfId="235"/>
    <cellStyle name="20 % - Accent1 7 3" xfId="236"/>
    <cellStyle name="20 % - Accent1 8" xfId="237"/>
    <cellStyle name="20 % - Accent1 8 2" xfId="238"/>
    <cellStyle name="20 % - Accent1 8 3" xfId="239"/>
    <cellStyle name="20 % - Accent1 9" xfId="240"/>
    <cellStyle name="20 % - Accent1 9 2" xfId="241"/>
    <cellStyle name="20 % - Accent1 9 3" xfId="242"/>
    <cellStyle name="20 % - Accent2 10" xfId="243"/>
    <cellStyle name="20 % - Accent2 10 2" xfId="244"/>
    <cellStyle name="20 % - Accent2 10 3" xfId="245"/>
    <cellStyle name="20 % - Accent2 11" xfId="246"/>
    <cellStyle name="20 % - Accent2 12" xfId="247"/>
    <cellStyle name="20 % - Accent2 13" xfId="248"/>
    <cellStyle name="20 % - Accent2 2" xfId="249"/>
    <cellStyle name="20 % - Accent2 2 2" xfId="250"/>
    <cellStyle name="20 % - Accent2 2 2 2" xfId="251"/>
    <cellStyle name="20 % - Accent2 2 2 3" xfId="252"/>
    <cellStyle name="20 % - Accent2 2 3" xfId="253"/>
    <cellStyle name="20 % - Accent2 2 4" xfId="254"/>
    <cellStyle name="20 % - Accent2 2 5" xfId="255"/>
    <cellStyle name="20 % - Accent2 2_CA Fixe" xfId="256"/>
    <cellStyle name="20 % - Accent2 3" xfId="257"/>
    <cellStyle name="20 % - Accent2 3 2" xfId="258"/>
    <cellStyle name="20 % - Accent2 3 2 2" xfId="259"/>
    <cellStyle name="20 % - Accent2 3 3" xfId="260"/>
    <cellStyle name="20 % - Accent2 3 4" xfId="261"/>
    <cellStyle name="20 % - Accent2 3 5" xfId="262"/>
    <cellStyle name="20 % - Accent2 3_CA Fixe" xfId="263"/>
    <cellStyle name="20 % - Accent2 4" xfId="264"/>
    <cellStyle name="20 % - Accent2 4 2" xfId="265"/>
    <cellStyle name="20 % - Accent2 4 2 2" xfId="266"/>
    <cellStyle name="20 % - Accent2 4 3" xfId="267"/>
    <cellStyle name="20 % - Accent2 4 4" xfId="268"/>
    <cellStyle name="20 % - Accent2 4 5" xfId="269"/>
    <cellStyle name="20 % - Accent2 4_CA Fixe" xfId="270"/>
    <cellStyle name="20 % - Accent2 5" xfId="271"/>
    <cellStyle name="20 % - Accent2 5 2" xfId="272"/>
    <cellStyle name="20 % - Accent2 6" xfId="273"/>
    <cellStyle name="20 % - Accent2 7" xfId="274"/>
    <cellStyle name="20 % - Accent2 7 2" xfId="275"/>
    <cellStyle name="20 % - Accent2 7 3" xfId="276"/>
    <cellStyle name="20 % - Accent2 8" xfId="277"/>
    <cellStyle name="20 % - Accent2 8 2" xfId="278"/>
    <cellStyle name="20 % - Accent2 8 3" xfId="279"/>
    <cellStyle name="20 % - Accent2 9" xfId="280"/>
    <cellStyle name="20 % - Accent2 9 2" xfId="281"/>
    <cellStyle name="20 % - Accent2 9 3" xfId="282"/>
    <cellStyle name="20 % - Accent3 10" xfId="283"/>
    <cellStyle name="20 % - Accent3 10 2" xfId="284"/>
    <cellStyle name="20 % - Accent3 10 3" xfId="285"/>
    <cellStyle name="20 % - Accent3 11" xfId="286"/>
    <cellStyle name="20 % - Accent3 12" xfId="287"/>
    <cellStyle name="20 % - Accent3 13" xfId="288"/>
    <cellStyle name="20 % - Accent3 2" xfId="289"/>
    <cellStyle name="20 % - Accent3 2 2" xfId="290"/>
    <cellStyle name="20 % - Accent3 2 2 2" xfId="291"/>
    <cellStyle name="20 % - Accent3 2 2 3" xfId="292"/>
    <cellStyle name="20 % - Accent3 2 3" xfId="293"/>
    <cellStyle name="20 % - Accent3 2 4" xfId="294"/>
    <cellStyle name="20 % - Accent3 2 5" xfId="295"/>
    <cellStyle name="20 % - Accent3 2_CA Fixe" xfId="296"/>
    <cellStyle name="20 % - Accent3 3" xfId="297"/>
    <cellStyle name="20 % - Accent3 3 2" xfId="298"/>
    <cellStyle name="20 % - Accent3 3 2 2" xfId="299"/>
    <cellStyle name="20 % - Accent3 3 3" xfId="300"/>
    <cellStyle name="20 % - Accent3 3 4" xfId="301"/>
    <cellStyle name="20 % - Accent3 3 5" xfId="302"/>
    <cellStyle name="20 % - Accent3 3_CA Fixe" xfId="303"/>
    <cellStyle name="20 % - Accent3 4" xfId="304"/>
    <cellStyle name="20 % - Accent3 4 2" xfId="305"/>
    <cellStyle name="20 % - Accent3 4 2 2" xfId="306"/>
    <cellStyle name="20 % - Accent3 4 3" xfId="307"/>
    <cellStyle name="20 % - Accent3 4 4" xfId="308"/>
    <cellStyle name="20 % - Accent3 4 5" xfId="309"/>
    <cellStyle name="20 % - Accent3 4_CA Fixe" xfId="310"/>
    <cellStyle name="20 % - Accent3 5" xfId="311"/>
    <cellStyle name="20 % - Accent3 5 2" xfId="312"/>
    <cellStyle name="20 % - Accent3 6" xfId="313"/>
    <cellStyle name="20 % - Accent3 7" xfId="314"/>
    <cellStyle name="20 % - Accent3 7 2" xfId="315"/>
    <cellStyle name="20 % - Accent3 7 3" xfId="316"/>
    <cellStyle name="20 % - Accent3 8" xfId="317"/>
    <cellStyle name="20 % - Accent3 8 2" xfId="318"/>
    <cellStyle name="20 % - Accent3 8 3" xfId="319"/>
    <cellStyle name="20 % - Accent3 9" xfId="320"/>
    <cellStyle name="20 % - Accent3 9 2" xfId="321"/>
    <cellStyle name="20 % - Accent3 9 3" xfId="322"/>
    <cellStyle name="20 % - Accent4 10" xfId="323"/>
    <cellStyle name="20 % - Accent4 10 2" xfId="324"/>
    <cellStyle name="20 % - Accent4 10 3" xfId="325"/>
    <cellStyle name="20 % - Accent4 11" xfId="326"/>
    <cellStyle name="20 % - Accent4 12" xfId="327"/>
    <cellStyle name="20 % - Accent4 13" xfId="328"/>
    <cellStyle name="20 % - Accent4 2" xfId="329"/>
    <cellStyle name="20 % - Accent4 2 2" xfId="330"/>
    <cellStyle name="20 % - Accent4 2 2 2" xfId="331"/>
    <cellStyle name="20 % - Accent4 2 2 3" xfId="332"/>
    <cellStyle name="20 % - Accent4 2 3" xfId="333"/>
    <cellStyle name="20 % - Accent4 2 4" xfId="334"/>
    <cellStyle name="20 % - Accent4 2 5" xfId="335"/>
    <cellStyle name="20 % - Accent4 2_CA Fixe" xfId="336"/>
    <cellStyle name="20 % - Accent4 3" xfId="337"/>
    <cellStyle name="20 % - Accent4 3 2" xfId="338"/>
    <cellStyle name="20 % - Accent4 3 2 2" xfId="339"/>
    <cellStyle name="20 % - Accent4 3 3" xfId="340"/>
    <cellStyle name="20 % - Accent4 3 4" xfId="341"/>
    <cellStyle name="20 % - Accent4 3 5" xfId="342"/>
    <cellStyle name="20 % - Accent4 3_CA Fixe" xfId="343"/>
    <cellStyle name="20 % - Accent4 4" xfId="344"/>
    <cellStyle name="20 % - Accent4 4 2" xfId="345"/>
    <cellStyle name="20 % - Accent4 4 2 2" xfId="346"/>
    <cellStyle name="20 % - Accent4 4 3" xfId="347"/>
    <cellStyle name="20 % - Accent4 4 4" xfId="348"/>
    <cellStyle name="20 % - Accent4 4 5" xfId="349"/>
    <cellStyle name="20 % - Accent4 4_CA Fixe" xfId="350"/>
    <cellStyle name="20 % - Accent4 5" xfId="351"/>
    <cellStyle name="20 % - Accent4 5 2" xfId="352"/>
    <cellStyle name="20 % - Accent4 6" xfId="353"/>
    <cellStyle name="20 % - Accent4 7" xfId="354"/>
    <cellStyle name="20 % - Accent4 7 2" xfId="355"/>
    <cellStyle name="20 % - Accent4 7 3" xfId="356"/>
    <cellStyle name="20 % - Accent4 8" xfId="357"/>
    <cellStyle name="20 % - Accent4 8 2" xfId="358"/>
    <cellStyle name="20 % - Accent4 8 3" xfId="359"/>
    <cellStyle name="20 % - Accent4 9" xfId="360"/>
    <cellStyle name="20 % - Accent4 9 2" xfId="361"/>
    <cellStyle name="20 % - Accent4 9 3" xfId="362"/>
    <cellStyle name="20 % - Accent5 10" xfId="363"/>
    <cellStyle name="20 % - Accent5 10 2" xfId="364"/>
    <cellStyle name="20 % - Accent5 10 3" xfId="365"/>
    <cellStyle name="20 % - Accent5 11" xfId="366"/>
    <cellStyle name="20 % - Accent5 12" xfId="367"/>
    <cellStyle name="20 % - Accent5 13" xfId="368"/>
    <cellStyle name="20 % - Accent5 2" xfId="369"/>
    <cellStyle name="20 % - Accent5 2 2" xfId="370"/>
    <cellStyle name="20 % - Accent5 2 2 2" xfId="371"/>
    <cellStyle name="20 % - Accent5 2 3" xfId="372"/>
    <cellStyle name="20 % - Accent5 2 4" xfId="373"/>
    <cellStyle name="20 % - Accent5 2 5" xfId="374"/>
    <cellStyle name="20 % - Accent5 2_CA Fixe" xfId="375"/>
    <cellStyle name="20 % - Accent5 3" xfId="376"/>
    <cellStyle name="20 % - Accent5 3 2" xfId="377"/>
    <cellStyle name="20 % - Accent5 3 2 2" xfId="378"/>
    <cellStyle name="20 % - Accent5 3 3" xfId="379"/>
    <cellStyle name="20 % - Accent5 3 4" xfId="380"/>
    <cellStyle name="20 % - Accent5 3 5" xfId="381"/>
    <cellStyle name="20 % - Accent5 3_CA Fixe" xfId="382"/>
    <cellStyle name="20 % - Accent5 4" xfId="383"/>
    <cellStyle name="20 % - Accent5 4 2" xfId="384"/>
    <cellStyle name="20 % - Accent5 4 2 2" xfId="385"/>
    <cellStyle name="20 % - Accent5 4 3" xfId="386"/>
    <cellStyle name="20 % - Accent5 4 4" xfId="387"/>
    <cellStyle name="20 % - Accent5 4_CA Fixe" xfId="388"/>
    <cellStyle name="20 % - Accent5 5" xfId="389"/>
    <cellStyle name="20 % - Accent5 6" xfId="390"/>
    <cellStyle name="20 % - Accent5 7" xfId="391"/>
    <cellStyle name="20 % - Accent5 7 2" xfId="392"/>
    <cellStyle name="20 % - Accent5 7 3" xfId="393"/>
    <cellStyle name="20 % - Accent5 8" xfId="394"/>
    <cellStyle name="20 % - Accent5 8 2" xfId="395"/>
    <cellStyle name="20 % - Accent5 8 3" xfId="396"/>
    <cellStyle name="20 % - Accent5 9" xfId="397"/>
    <cellStyle name="20 % - Accent5 9 2" xfId="398"/>
    <cellStyle name="20 % - Accent5 9 3" xfId="399"/>
    <cellStyle name="20 % - Accent6 10" xfId="400"/>
    <cellStyle name="20 % - Accent6 10 2" xfId="401"/>
    <cellStyle name="20 % - Accent6 10 3" xfId="402"/>
    <cellStyle name="20 % - Accent6 11" xfId="403"/>
    <cellStyle name="20 % - Accent6 12" xfId="404"/>
    <cellStyle name="20 % - Accent6 13" xfId="405"/>
    <cellStyle name="20 % - Accent6 2" xfId="406"/>
    <cellStyle name="20 % - Accent6 2 2" xfId="407"/>
    <cellStyle name="20 % - Accent6 2 2 2" xfId="408"/>
    <cellStyle name="20 % - Accent6 2 2 3" xfId="409"/>
    <cellStyle name="20 % - Accent6 2 3" xfId="410"/>
    <cellStyle name="20 % - Accent6 2 4" xfId="411"/>
    <cellStyle name="20 % - Accent6 2 5" xfId="412"/>
    <cellStyle name="20 % - Accent6 2_CA Fixe" xfId="413"/>
    <cellStyle name="20 % - Accent6 3" xfId="414"/>
    <cellStyle name="20 % - Accent6 3 2" xfId="415"/>
    <cellStyle name="20 % - Accent6 3 2 2" xfId="416"/>
    <cellStyle name="20 % - Accent6 3 3" xfId="417"/>
    <cellStyle name="20 % - Accent6 3 4" xfId="418"/>
    <cellStyle name="20 % - Accent6 3 5" xfId="419"/>
    <cellStyle name="20 % - Accent6 3_CA Fixe" xfId="420"/>
    <cellStyle name="20 % - Accent6 4" xfId="421"/>
    <cellStyle name="20 % - Accent6 4 2" xfId="422"/>
    <cellStyle name="20 % - Accent6 4 2 2" xfId="423"/>
    <cellStyle name="20 % - Accent6 4 3" xfId="424"/>
    <cellStyle name="20 % - Accent6 4 4" xfId="425"/>
    <cellStyle name="20 % - Accent6 4 5" xfId="426"/>
    <cellStyle name="20 % - Accent6 4_CA Fixe" xfId="427"/>
    <cellStyle name="20 % - Accent6 5" xfId="428"/>
    <cellStyle name="20 % - Accent6 5 2" xfId="429"/>
    <cellStyle name="20 % - Accent6 6" xfId="430"/>
    <cellStyle name="20 % - Accent6 7" xfId="431"/>
    <cellStyle name="20 % - Accent6 7 2" xfId="432"/>
    <cellStyle name="20 % - Accent6 7 3" xfId="433"/>
    <cellStyle name="20 % - Accent6 8" xfId="434"/>
    <cellStyle name="20 % - Accent6 8 2" xfId="435"/>
    <cellStyle name="20 % - Accent6 8 3" xfId="436"/>
    <cellStyle name="20 % - Accent6 9" xfId="437"/>
    <cellStyle name="20 % - Accent6 9 2" xfId="438"/>
    <cellStyle name="20 % - Accent6 9 3" xfId="439"/>
    <cellStyle name="40 % - Accent1 10" xfId="440"/>
    <cellStyle name="40 % - Accent1 10 2" xfId="441"/>
    <cellStyle name="40 % - Accent1 10 3" xfId="442"/>
    <cellStyle name="40 % - Accent1 11" xfId="443"/>
    <cellStyle name="40 % - Accent1 12" xfId="444"/>
    <cellStyle name="40 % - Accent1 13" xfId="445"/>
    <cellStyle name="40 % - Accent1 2" xfId="446"/>
    <cellStyle name="40 % - Accent1 2 2" xfId="447"/>
    <cellStyle name="40 % - Accent1 2 2 2" xfId="448"/>
    <cellStyle name="40 % - Accent1 2 2 3" xfId="449"/>
    <cellStyle name="40 % - Accent1 2 3" xfId="450"/>
    <cellStyle name="40 % - Accent1 2 4" xfId="451"/>
    <cellStyle name="40 % - Accent1 2 5" xfId="452"/>
    <cellStyle name="40 % - Accent1 2_CA Fixe" xfId="453"/>
    <cellStyle name="40 % - Accent1 3" xfId="454"/>
    <cellStyle name="40 % - Accent1 3 2" xfId="455"/>
    <cellStyle name="40 % - Accent1 3 2 2" xfId="456"/>
    <cellStyle name="40 % - Accent1 3 3" xfId="457"/>
    <cellStyle name="40 % - Accent1 3 4" xfId="458"/>
    <cellStyle name="40 % - Accent1 3 5" xfId="459"/>
    <cellStyle name="40 % - Accent1 3_CA Fixe" xfId="460"/>
    <cellStyle name="40 % - Accent1 4" xfId="461"/>
    <cellStyle name="40 % - Accent1 4 2" xfId="462"/>
    <cellStyle name="40 % - Accent1 4 2 2" xfId="463"/>
    <cellStyle name="40 % - Accent1 4 3" xfId="464"/>
    <cellStyle name="40 % - Accent1 4 4" xfId="465"/>
    <cellStyle name="40 % - Accent1 4 5" xfId="466"/>
    <cellStyle name="40 % - Accent1 4_CA Fixe" xfId="467"/>
    <cellStyle name="40 % - Accent1 5" xfId="468"/>
    <cellStyle name="40 % - Accent1 5 2" xfId="469"/>
    <cellStyle name="40 % - Accent1 6" xfId="470"/>
    <cellStyle name="40 % - Accent1 7" xfId="471"/>
    <cellStyle name="40 % - Accent1 7 2" xfId="472"/>
    <cellStyle name="40 % - Accent1 7 3" xfId="473"/>
    <cellStyle name="40 % - Accent1 8" xfId="474"/>
    <cellStyle name="40 % - Accent1 8 2" xfId="475"/>
    <cellStyle name="40 % - Accent1 8 3" xfId="476"/>
    <cellStyle name="40 % - Accent1 9" xfId="477"/>
    <cellStyle name="40 % - Accent1 9 2" xfId="478"/>
    <cellStyle name="40 % - Accent1 9 3" xfId="479"/>
    <cellStyle name="40 % - Accent2 10" xfId="480"/>
    <cellStyle name="40 % - Accent2 10 2" xfId="481"/>
    <cellStyle name="40 % - Accent2 10 3" xfId="482"/>
    <cellStyle name="40 % - Accent2 11" xfId="483"/>
    <cellStyle name="40 % - Accent2 12" xfId="484"/>
    <cellStyle name="40 % - Accent2 13" xfId="485"/>
    <cellStyle name="40 % - Accent2 2" xfId="486"/>
    <cellStyle name="40 % - Accent2 2 2" xfId="487"/>
    <cellStyle name="40 % - Accent2 2 2 2" xfId="488"/>
    <cellStyle name="40 % - Accent2 2 3" xfId="489"/>
    <cellStyle name="40 % - Accent2 2 4" xfId="490"/>
    <cellStyle name="40 % - Accent2 2 5" xfId="491"/>
    <cellStyle name="40 % - Accent2 2_CA Fixe" xfId="492"/>
    <cellStyle name="40 % - Accent2 3" xfId="493"/>
    <cellStyle name="40 % - Accent2 3 2" xfId="494"/>
    <cellStyle name="40 % - Accent2 3 2 2" xfId="495"/>
    <cellStyle name="40 % - Accent2 3 3" xfId="496"/>
    <cellStyle name="40 % - Accent2 3 4" xfId="497"/>
    <cellStyle name="40 % - Accent2 3 5" xfId="498"/>
    <cellStyle name="40 % - Accent2 3_CA Fixe" xfId="499"/>
    <cellStyle name="40 % - Accent2 4" xfId="500"/>
    <cellStyle name="40 % - Accent2 4 2" xfId="501"/>
    <cellStyle name="40 % - Accent2 4 2 2" xfId="502"/>
    <cellStyle name="40 % - Accent2 4 3" xfId="503"/>
    <cellStyle name="40 % - Accent2 4 4" xfId="504"/>
    <cellStyle name="40 % - Accent2 4_CA Fixe" xfId="505"/>
    <cellStyle name="40 % - Accent2 5" xfId="506"/>
    <cellStyle name="40 % - Accent2 6" xfId="507"/>
    <cellStyle name="40 % - Accent2 7" xfId="508"/>
    <cellStyle name="40 % - Accent2 7 2" xfId="509"/>
    <cellStyle name="40 % - Accent2 7 3" xfId="510"/>
    <cellStyle name="40 % - Accent2 8" xfId="511"/>
    <cellStyle name="40 % - Accent2 8 2" xfId="512"/>
    <cellStyle name="40 % - Accent2 8 3" xfId="513"/>
    <cellStyle name="40 % - Accent2 9" xfId="514"/>
    <cellStyle name="40 % - Accent2 9 2" xfId="515"/>
    <cellStyle name="40 % - Accent2 9 3" xfId="516"/>
    <cellStyle name="40 % - Accent3 10" xfId="517"/>
    <cellStyle name="40 % - Accent3 10 2" xfId="518"/>
    <cellStyle name="40 % - Accent3 10 3" xfId="519"/>
    <cellStyle name="40 % - Accent3 11" xfId="520"/>
    <cellStyle name="40 % - Accent3 12" xfId="521"/>
    <cellStyle name="40 % - Accent3 13" xfId="522"/>
    <cellStyle name="40 % - Accent3 2" xfId="523"/>
    <cellStyle name="40 % - Accent3 2 2" xfId="524"/>
    <cellStyle name="40 % - Accent3 2 2 2" xfId="525"/>
    <cellStyle name="40 % - Accent3 2 2 3" xfId="526"/>
    <cellStyle name="40 % - Accent3 2 3" xfId="527"/>
    <cellStyle name="40 % - Accent3 2 4" xfId="528"/>
    <cellStyle name="40 % - Accent3 2 5" xfId="529"/>
    <cellStyle name="40 % - Accent3 2_CA Fixe" xfId="530"/>
    <cellStyle name="40 % - Accent3 3" xfId="531"/>
    <cellStyle name="40 % - Accent3 3 2" xfId="532"/>
    <cellStyle name="40 % - Accent3 3 2 2" xfId="533"/>
    <cellStyle name="40 % - Accent3 3 3" xfId="534"/>
    <cellStyle name="40 % - Accent3 3 4" xfId="535"/>
    <cellStyle name="40 % - Accent3 3 5" xfId="536"/>
    <cellStyle name="40 % - Accent3 3_CA Fixe" xfId="537"/>
    <cellStyle name="40 % - Accent3 4" xfId="538"/>
    <cellStyle name="40 % - Accent3 4 2" xfId="539"/>
    <cellStyle name="40 % - Accent3 4 2 2" xfId="540"/>
    <cellStyle name="40 % - Accent3 4 3" xfId="541"/>
    <cellStyle name="40 % - Accent3 4 4" xfId="542"/>
    <cellStyle name="40 % - Accent3 4 5" xfId="543"/>
    <cellStyle name="40 % - Accent3 4_CA Fixe" xfId="544"/>
    <cellStyle name="40 % - Accent3 5" xfId="545"/>
    <cellStyle name="40 % - Accent3 5 2" xfId="546"/>
    <cellStyle name="40 % - Accent3 6" xfId="547"/>
    <cellStyle name="40 % - Accent3 7" xfId="548"/>
    <cellStyle name="40 % - Accent3 7 2" xfId="549"/>
    <cellStyle name="40 % - Accent3 7 3" xfId="550"/>
    <cellStyle name="40 % - Accent3 8" xfId="551"/>
    <cellStyle name="40 % - Accent3 8 2" xfId="552"/>
    <cellStyle name="40 % - Accent3 8 3" xfId="553"/>
    <cellStyle name="40 % - Accent3 9" xfId="554"/>
    <cellStyle name="40 % - Accent3 9 2" xfId="555"/>
    <cellStyle name="40 % - Accent3 9 3" xfId="556"/>
    <cellStyle name="40 % - Accent4 10" xfId="557"/>
    <cellStyle name="40 % - Accent4 10 2" xfId="558"/>
    <cellStyle name="40 % - Accent4 10 3" xfId="559"/>
    <cellStyle name="40 % - Accent4 11" xfId="560"/>
    <cellStyle name="40 % - Accent4 12" xfId="561"/>
    <cellStyle name="40 % - Accent4 13" xfId="562"/>
    <cellStyle name="40 % - Accent4 2" xfId="563"/>
    <cellStyle name="40 % - Accent4 2 2" xfId="564"/>
    <cellStyle name="40 % - Accent4 2 2 2" xfId="565"/>
    <cellStyle name="40 % - Accent4 2 2 3" xfId="566"/>
    <cellStyle name="40 % - Accent4 2 3" xfId="567"/>
    <cellStyle name="40 % - Accent4 2 4" xfId="568"/>
    <cellStyle name="40 % - Accent4 2 5" xfId="569"/>
    <cellStyle name="40 % - Accent4 2_CA Fixe" xfId="570"/>
    <cellStyle name="40 % - Accent4 3" xfId="571"/>
    <cellStyle name="40 % - Accent4 3 2" xfId="572"/>
    <cellStyle name="40 % - Accent4 3 2 2" xfId="573"/>
    <cellStyle name="40 % - Accent4 3 3" xfId="574"/>
    <cellStyle name="40 % - Accent4 3 4" xfId="575"/>
    <cellStyle name="40 % - Accent4 3 5" xfId="576"/>
    <cellStyle name="40 % - Accent4 3_CA Fixe" xfId="577"/>
    <cellStyle name="40 % - Accent4 4" xfId="578"/>
    <cellStyle name="40 % - Accent4 4 2" xfId="579"/>
    <cellStyle name="40 % - Accent4 4 2 2" xfId="580"/>
    <cellStyle name="40 % - Accent4 4 3" xfId="581"/>
    <cellStyle name="40 % - Accent4 4 4" xfId="582"/>
    <cellStyle name="40 % - Accent4 4 5" xfId="583"/>
    <cellStyle name="40 % - Accent4 4_CA Fixe" xfId="584"/>
    <cellStyle name="40 % - Accent4 5" xfId="585"/>
    <cellStyle name="40 % - Accent4 5 2" xfId="586"/>
    <cellStyle name="40 % - Accent4 6" xfId="587"/>
    <cellStyle name="40 % - Accent4 7" xfId="588"/>
    <cellStyle name="40 % - Accent4 7 2" xfId="589"/>
    <cellStyle name="40 % - Accent4 7 3" xfId="590"/>
    <cellStyle name="40 % - Accent4 8" xfId="591"/>
    <cellStyle name="40 % - Accent4 8 2" xfId="592"/>
    <cellStyle name="40 % - Accent4 8 3" xfId="593"/>
    <cellStyle name="40 % - Accent4 9" xfId="594"/>
    <cellStyle name="40 % - Accent4 9 2" xfId="595"/>
    <cellStyle name="40 % - Accent4 9 3" xfId="596"/>
    <cellStyle name="40 % - Accent5 10" xfId="597"/>
    <cellStyle name="40 % - Accent5 10 2" xfId="598"/>
    <cellStyle name="40 % - Accent5 10 3" xfId="599"/>
    <cellStyle name="40 % - Accent5 11" xfId="600"/>
    <cellStyle name="40 % - Accent5 12" xfId="601"/>
    <cellStyle name="40 % - Accent5 13" xfId="602"/>
    <cellStyle name="40 % - Accent5 2" xfId="603"/>
    <cellStyle name="40 % - Accent5 2 2" xfId="604"/>
    <cellStyle name="40 % - Accent5 2 2 2" xfId="605"/>
    <cellStyle name="40 % - Accent5 2 2 3" xfId="606"/>
    <cellStyle name="40 % - Accent5 2 3" xfId="607"/>
    <cellStyle name="40 % - Accent5 2 4" xfId="608"/>
    <cellStyle name="40 % - Accent5 2 5" xfId="609"/>
    <cellStyle name="40 % - Accent5 2_CA Fixe" xfId="610"/>
    <cellStyle name="40 % - Accent5 3" xfId="611"/>
    <cellStyle name="40 % - Accent5 3 2" xfId="612"/>
    <cellStyle name="40 % - Accent5 3 2 2" xfId="613"/>
    <cellStyle name="40 % - Accent5 3 3" xfId="614"/>
    <cellStyle name="40 % - Accent5 3 4" xfId="615"/>
    <cellStyle name="40 % - Accent5 3 5" xfId="616"/>
    <cellStyle name="40 % - Accent5 3_CA Fixe" xfId="617"/>
    <cellStyle name="40 % - Accent5 4" xfId="618"/>
    <cellStyle name="40 % - Accent5 4 2" xfId="619"/>
    <cellStyle name="40 % - Accent5 4 2 2" xfId="620"/>
    <cellStyle name="40 % - Accent5 4 3" xfId="621"/>
    <cellStyle name="40 % - Accent5 4 4" xfId="622"/>
    <cellStyle name="40 % - Accent5 4 5" xfId="623"/>
    <cellStyle name="40 % - Accent5 4_CA Fixe" xfId="624"/>
    <cellStyle name="40 % - Accent5 5" xfId="625"/>
    <cellStyle name="40 % - Accent5 5 2" xfId="626"/>
    <cellStyle name="40 % - Accent5 6" xfId="627"/>
    <cellStyle name="40 % - Accent5 7" xfId="628"/>
    <cellStyle name="40 % - Accent5 7 2" xfId="629"/>
    <cellStyle name="40 % - Accent5 7 3" xfId="630"/>
    <cellStyle name="40 % - Accent5 8" xfId="631"/>
    <cellStyle name="40 % - Accent5 8 2" xfId="632"/>
    <cellStyle name="40 % - Accent5 8 3" xfId="633"/>
    <cellStyle name="40 % - Accent5 9" xfId="634"/>
    <cellStyle name="40 % - Accent5 9 2" xfId="635"/>
    <cellStyle name="40 % - Accent5 9 3" xfId="636"/>
    <cellStyle name="40 % - Accent6 10" xfId="637"/>
    <cellStyle name="40 % - Accent6 10 2" xfId="638"/>
    <cellStyle name="40 % - Accent6 10 3" xfId="639"/>
    <cellStyle name="40 % - Accent6 11" xfId="640"/>
    <cellStyle name="40 % - Accent6 12" xfId="641"/>
    <cellStyle name="40 % - Accent6 13" xfId="642"/>
    <cellStyle name="40 % - Accent6 2" xfId="643"/>
    <cellStyle name="40 % - Accent6 2 2" xfId="644"/>
    <cellStyle name="40 % - Accent6 2 2 2" xfId="645"/>
    <cellStyle name="40 % - Accent6 2 2 3" xfId="646"/>
    <cellStyle name="40 % - Accent6 2 3" xfId="647"/>
    <cellStyle name="40 % - Accent6 2 4" xfId="648"/>
    <cellStyle name="40 % - Accent6 2 5" xfId="649"/>
    <cellStyle name="40 % - Accent6 2_CA Fixe" xfId="650"/>
    <cellStyle name="40 % - Accent6 3" xfId="651"/>
    <cellStyle name="40 % - Accent6 3 2" xfId="652"/>
    <cellStyle name="40 % - Accent6 3 2 2" xfId="653"/>
    <cellStyle name="40 % - Accent6 3 3" xfId="654"/>
    <cellStyle name="40 % - Accent6 3 4" xfId="655"/>
    <cellStyle name="40 % - Accent6 3 5" xfId="656"/>
    <cellStyle name="40 % - Accent6 3_CA Fixe" xfId="657"/>
    <cellStyle name="40 % - Accent6 4" xfId="658"/>
    <cellStyle name="40 % - Accent6 4 2" xfId="659"/>
    <cellStyle name="40 % - Accent6 4 2 2" xfId="660"/>
    <cellStyle name="40 % - Accent6 4 3" xfId="661"/>
    <cellStyle name="40 % - Accent6 4 4" xfId="662"/>
    <cellStyle name="40 % - Accent6 4 5" xfId="663"/>
    <cellStyle name="40 % - Accent6 4_CA Fixe" xfId="664"/>
    <cellStyle name="40 % - Accent6 5" xfId="665"/>
    <cellStyle name="40 % - Accent6 5 2" xfId="666"/>
    <cellStyle name="40 % - Accent6 6" xfId="667"/>
    <cellStyle name="40 % - Accent6 7" xfId="668"/>
    <cellStyle name="40 % - Accent6 7 2" xfId="669"/>
    <cellStyle name="40 % - Accent6 7 3" xfId="670"/>
    <cellStyle name="40 % - Accent6 8" xfId="671"/>
    <cellStyle name="40 % - Accent6 8 2" xfId="672"/>
    <cellStyle name="40 % - Accent6 8 3" xfId="673"/>
    <cellStyle name="40 % - Accent6 9" xfId="674"/>
    <cellStyle name="40 % - Accent6 9 2" xfId="675"/>
    <cellStyle name="40 % - Accent6 9 3" xfId="676"/>
    <cellStyle name="60 % - Accent1 2" xfId="677"/>
    <cellStyle name="60 % - Accent1 2 2" xfId="678"/>
    <cellStyle name="60 % - Accent1 2 2 2" xfId="679"/>
    <cellStyle name="60 % - Accent1 3" xfId="680"/>
    <cellStyle name="60 % - Accent1 3 2" xfId="681"/>
    <cellStyle name="60 % - Accent1 4" xfId="682"/>
    <cellStyle name="60 % - Accent1 4 2" xfId="683"/>
    <cellStyle name="60 % - Accent1 5" xfId="684"/>
    <cellStyle name="60 % - Accent1 6" xfId="685"/>
    <cellStyle name="60 % - Accent2 2" xfId="686"/>
    <cellStyle name="60 % - Accent2 2 2" xfId="687"/>
    <cellStyle name="60 % - Accent2 2 2 2" xfId="688"/>
    <cellStyle name="60 % - Accent2 3" xfId="689"/>
    <cellStyle name="60 % - Accent2 3 2" xfId="690"/>
    <cellStyle name="60 % - Accent2 4" xfId="691"/>
    <cellStyle name="60 % - Accent2 4 2" xfId="692"/>
    <cellStyle name="60 % - Accent2 5" xfId="693"/>
    <cellStyle name="60 % - Accent2 6" xfId="694"/>
    <cellStyle name="60 % - Accent3 2" xfId="695"/>
    <cellStyle name="60 % - Accent3 2 2" xfId="696"/>
    <cellStyle name="60 % - Accent3 2 2 2" xfId="697"/>
    <cellStyle name="60 % - Accent3 3" xfId="698"/>
    <cellStyle name="60 % - Accent3 3 2" xfId="699"/>
    <cellStyle name="60 % - Accent3 4" xfId="700"/>
    <cellStyle name="60 % - Accent3 4 2" xfId="701"/>
    <cellStyle name="60 % - Accent3 5" xfId="702"/>
    <cellStyle name="60 % - Accent3 6" xfId="703"/>
    <cellStyle name="60 % - Accent4 2" xfId="704"/>
    <cellStyle name="60 % - Accent4 2 2" xfId="705"/>
    <cellStyle name="60 % - Accent4 2 2 2" xfId="706"/>
    <cellStyle name="60 % - Accent4 3" xfId="707"/>
    <cellStyle name="60 % - Accent4 3 2" xfId="708"/>
    <cellStyle name="60 % - Accent4 4" xfId="709"/>
    <cellStyle name="60 % - Accent4 4 2" xfId="710"/>
    <cellStyle name="60 % - Accent4 5" xfId="711"/>
    <cellStyle name="60 % - Accent4 6" xfId="712"/>
    <cellStyle name="60 % - Accent5 2" xfId="713"/>
    <cellStyle name="60 % - Accent5 2 2" xfId="714"/>
    <cellStyle name="60 % - Accent5 2 2 2" xfId="715"/>
    <cellStyle name="60 % - Accent5 3" xfId="716"/>
    <cellStyle name="60 % - Accent5 3 2" xfId="717"/>
    <cellStyle name="60 % - Accent5 4" xfId="718"/>
    <cellStyle name="60 % - Accent5 4 2" xfId="719"/>
    <cellStyle name="60 % - Accent5 5" xfId="720"/>
    <cellStyle name="60 % - Accent5 6" xfId="721"/>
    <cellStyle name="60 % - Accent6 2" xfId="722"/>
    <cellStyle name="60 % - Accent6 2 2" xfId="723"/>
    <cellStyle name="60 % - Accent6 2 2 2" xfId="724"/>
    <cellStyle name="60 % - Accent6 3" xfId="725"/>
    <cellStyle name="60 % - Accent6 3 2" xfId="726"/>
    <cellStyle name="60 % - Accent6 4" xfId="727"/>
    <cellStyle name="60 % - Accent6 4 2" xfId="728"/>
    <cellStyle name="60 % - Accent6 5" xfId="729"/>
    <cellStyle name="60 % - Accent6 6" xfId="730"/>
    <cellStyle name="=C:\WINNT35\SYSTEM32\COMMAND.COM" xfId="731"/>
    <cellStyle name="??" xfId="732"/>
    <cellStyle name="?? [0]_BINV" xfId="733"/>
    <cellStyle name="???[0]_BINV" xfId="734"/>
    <cellStyle name="???_BINV" xfId="735"/>
    <cellStyle name="??[0]_laroux" xfId="736"/>
    <cellStyle name="??_BINV" xfId="737"/>
    <cellStyle name="\" xfId="738"/>
    <cellStyle name="\_Budget 09_CF conso Onatel" xfId="739"/>
    <cellStyle name="\_Capex Fixe" xfId="740"/>
    <cellStyle name="\_Tableau de Bord de Gestion ONATEL 2011" xfId="741"/>
    <cellStyle name="_%(SignOnly)" xfId="742"/>
    <cellStyle name="_%(SignOnly)_BLS2q_salesforce" xfId="743"/>
    <cellStyle name="_%(SignSpaceOnly)" xfId="744"/>
    <cellStyle name="_%(SignSpaceOnly)_BLS2q_salesforce" xfId="745"/>
    <cellStyle name="_actu3 2007 GT" xfId="746"/>
    <cellStyle name="_BFR 1009v1" xfId="747"/>
    <cellStyle name="_CAPEX Août 07 (3)" xfId="748"/>
    <cellStyle name="_CAPEX Août 07 (3)_Classeur1 (2)" xfId="749"/>
    <cellStyle name="_CAPEX Pole Réseaux  fevrier 2007" xfId="750"/>
    <cellStyle name="_CAPEX Pole Réseaux  Mars 2007" xfId="751"/>
    <cellStyle name="_CAPEX RFE 2007-2008-Actu12008 (2)" xfId="752"/>
    <cellStyle name="_CIP Commercial DRM 30-10-05" xfId="753"/>
    <cellStyle name="_Classeur2" xfId="754"/>
    <cellStyle name="_Classeur2 2" xfId="755"/>
    <cellStyle name="_Classeur2 3" xfId="756"/>
    <cellStyle name="_Classeur4" xfId="757"/>
    <cellStyle name="_Comma" xfId="758"/>
    <cellStyle name="_Comma_BLS2q_salesforce" xfId="759"/>
    <cellStyle name="_Comma_Contribution of assets into USAi_02" xfId="760"/>
    <cellStyle name="_Comma_credit - newco_6_18" xfId="761"/>
    <cellStyle name="_Comma_CSC Cable makers 060502" xfId="762"/>
    <cellStyle name="_Comma_Final Pages 8-20" xfId="763"/>
    <cellStyle name="_Comma_Final Pages 8-20_BLS2q_salesforce" xfId="764"/>
    <cellStyle name="_Comma_further analysis on comparables" xfId="765"/>
    <cellStyle name="_Comma_further analysis on comparables_BLS2q_salesforce" xfId="766"/>
    <cellStyle name="_Comma_NBC-5 yearDCF-Final from Vivendi modified" xfId="767"/>
    <cellStyle name="_Comma_Training Model Shell" xfId="768"/>
    <cellStyle name="_Comma_Update 08-27-01-3" xfId="769"/>
    <cellStyle name="_conso v3 bis" xfId="770"/>
    <cellStyle name="_CONSOLIDATION DES PRODUITS COMMERCIAUX-31-10-05" xfId="771"/>
    <cellStyle name="_Currency" xfId="772"/>
    <cellStyle name="_Currency_BLS2q_salesforce" xfId="773"/>
    <cellStyle name="_Currency_Contribution of assets into USAi_02" xfId="774"/>
    <cellStyle name="_Currency_credit - newco_6_18" xfId="775"/>
    <cellStyle name="_Currency_credit - newco_6_18_BLS2q_salesforce" xfId="776"/>
    <cellStyle name="_Currency_CSC Cable makers 060502" xfId="777"/>
    <cellStyle name="_Currency_Final Pages 8-20" xfId="778"/>
    <cellStyle name="_Currency_Final Pages 8-20_BLS2q_salesforce" xfId="779"/>
    <cellStyle name="_Currency_further analysis on comparables" xfId="780"/>
    <cellStyle name="_Currency_further analysis on comparables_BLS2q_salesforce" xfId="781"/>
    <cellStyle name="_Currency_NBC-5 yearDCF-Final from Vivendi modified" xfId="782"/>
    <cellStyle name="_Currency_Pirelli Valo" xfId="783"/>
    <cellStyle name="_Currency_Preliminary Model 30 06 00" xfId="784"/>
    <cellStyle name="_Currency_Training Model Shell" xfId="785"/>
    <cellStyle name="_Currency_Training Model Shell_BLS2q_salesforce" xfId="786"/>
    <cellStyle name="_Currency_Update 08-27-01-3" xfId="787"/>
    <cellStyle name="_Currency_Update 08-27-01-3_BLS2q_salesforce" xfId="788"/>
    <cellStyle name="_Currency_Warrants Valuation Model" xfId="789"/>
    <cellStyle name="_CurrencySpace" xfId="790"/>
    <cellStyle name="_CurrencySpace_BLS2q_salesforce" xfId="791"/>
    <cellStyle name="_CurrencySpace_Contribution of assets into USAi_02" xfId="792"/>
    <cellStyle name="_CurrencySpace_credit - newco_6_18" xfId="793"/>
    <cellStyle name="_CurrencySpace_CSC Cable makers 060502" xfId="794"/>
    <cellStyle name="_CurrencySpace_Final Pages 8-20" xfId="795"/>
    <cellStyle name="_CurrencySpace_Final Pages 8-20_BLS2q_salesforce" xfId="796"/>
    <cellStyle name="_CurrencySpace_further analysis on comparables" xfId="797"/>
    <cellStyle name="_CurrencySpace_further analysis on comparables_BLS2q_salesforce" xfId="798"/>
    <cellStyle name="_CurrencySpace_NBC-5 yearDCF-Final from Vivendi modified" xfId="799"/>
    <cellStyle name="_CurrencySpace_Training Model Shell" xfId="800"/>
    <cellStyle name="_CurrencySpace_Update 08-27-01-3" xfId="801"/>
    <cellStyle name="_Données du 11 octobre" xfId="802"/>
    <cellStyle name="_DV CAPEX 2008" xfId="803"/>
    <cellStyle name="_EtatADSL-10-01-2007- estimation PdM" xfId="804"/>
    <cellStyle name="_EtatADSL-10-01-2007- estimation PdM_BUDGET ONATEL 2010 v5" xfId="805"/>
    <cellStyle name="_EtatADSL-10-01-2007- estimation PdM_CAPEX BUDGET2010" xfId="806"/>
    <cellStyle name="_Euro" xfId="807"/>
    <cellStyle name="_Euro_BLS2q_salesforce" xfId="808"/>
    <cellStyle name="_Frais d'actes  Contentieux 2009" xfId="809"/>
    <cellStyle name="_frs 112009v1" xfId="810"/>
    <cellStyle name="_Heading" xfId="811"/>
    <cellStyle name="_Heading_01 VU Liquidity 171202" xfId="812"/>
    <cellStyle name="_Heading_210302 VU Liquidity new figures" xfId="813"/>
    <cellStyle name="_Heading_210302 VU Liquidity new figures 2" xfId="814"/>
    <cellStyle name="_Heading_210302 VU Liquidity new figures_BUDGET ONATEL 2010 v5" xfId="815"/>
    <cellStyle name="_Heading_210302 VU Liquidity new figures_CAPEX BUDGET2010" xfId="816"/>
    <cellStyle name="_Heading_210302 VU Liquidity new figures_Classeur1" xfId="817"/>
    <cellStyle name="_Heading_210302 VU Liquidity new figures_Classeur1 (2)" xfId="818"/>
    <cellStyle name="_Heading_210302 VU Liquidity new figures_Commentaire activité Fixe  mobile ONATEL Nov 2009" xfId="819"/>
    <cellStyle name="_Heading_210302 VU Liquidity new figures_COMMENTAIRES" xfId="820"/>
    <cellStyle name="_Heading_210302 VU Liquidity new figures_commentaires fixe  internet Déc 08" xfId="821"/>
    <cellStyle name="_Heading_210302 VU Liquidity new figures_Commentaires Janvier 2010" xfId="822"/>
    <cellStyle name="_Heading_210302 VU Liquidity new figures_commentaires_fixe__internet_nov_08(2)" xfId="823"/>
    <cellStyle name="_Heading_210302 VU Liquidity new figures_Copie de Flash du mois d' avril 2009 corrigé par NAIMI" xfId="824"/>
    <cellStyle name="_Heading_210302 VU Liquidity new figures_Copie de Flash du mois de Décembre 2008 v2 (3)" xfId="825"/>
    <cellStyle name="_Heading_210302 VU Liquidity new figures_FAITS MARQUANTS DE SEPTEMBRE 2009" xfId="826"/>
    <cellStyle name="_Heading_210302 VU Liquidity new figures_Feuil1" xfId="827"/>
    <cellStyle name="_Heading_210302 VU Liquidity new figures_Flash du mois d' avril 2009" xfId="828"/>
    <cellStyle name="_Heading_210302 VU Liquidity new figures_Flash du mois de Décembre 2009 V3 (2)" xfId="829"/>
    <cellStyle name="_Heading_210302 VU Liquidity new figures_Flash du mois de mai 2009" xfId="830"/>
    <cellStyle name="_Heading_210302 VU Liquidity new figures_Flash du mois de Novembre V2" xfId="831"/>
    <cellStyle name="_Heading_210302 VU Liquidity new figures_Flash du mois de septembre 2009 (2) (version 1)" xfId="832"/>
    <cellStyle name="_Heading_210302 VU Liquidity new figures_FLASH ONATEL DU MOIS DE FEVRIER 2010 V2" xfId="833"/>
    <cellStyle name="_Heading_210302 VU Liquidity new figures_Flash_du_mois_de_Décembre_2008_v2(2)" xfId="834"/>
    <cellStyle name="_Heading_210302 VU Liquidity new figures_Flux Financiers Conso" xfId="835"/>
    <cellStyle name="_Heading_210302 VU Liquidity new figures_P-L Fixe" xfId="836"/>
    <cellStyle name="_Heading_210302 VU Liquidity new figures_Reporting Consolidé ONATEL 04.2009" xfId="837"/>
    <cellStyle name="_Heading_210302 VU Liquidity new figures_Reporting Onatel Avril 2009 V0" xfId="838"/>
    <cellStyle name="_Heading_210302 VU Liquidity new figures_Reporting Onatel Avril 2009 V0 2" xfId="839"/>
    <cellStyle name="_Heading_210302 VU Liquidity new figures_Reporting Onatel Avril 2009 V0_Classeur1" xfId="840"/>
    <cellStyle name="_Heading_210302 VU Liquidity new figures_Reporting Onatel Avril 2009 V0_Commentaire activité Fixe  mobile ONATEL Nov 2009" xfId="841"/>
    <cellStyle name="_Heading_210302 VU Liquidity new figures_Reporting Onatel Avril 2009 V0_COMMENTAIRES" xfId="842"/>
    <cellStyle name="_Heading_210302 VU Liquidity new figures_Reporting Onatel Avril 2009 V0_Commentaires Janvier 2010" xfId="843"/>
    <cellStyle name="_Heading_210302 VU Liquidity new figures_Reporting Onatel Avril 2009 V0_FAITS MARQUANTS DE SEPTEMBRE 2009" xfId="844"/>
    <cellStyle name="_Heading_210302 VU Liquidity new figures_Reporting Onatel Avril 2009 V0_Flash du mois de Décembre 2009 V3 (2)" xfId="845"/>
    <cellStyle name="_Heading_210302 VU Liquidity new figures_Reporting Onatel Avril 2009 V0_Flash du mois de Novembre V2" xfId="846"/>
    <cellStyle name="_Heading_210302 VU Liquidity new figures_Reporting Onatel Avril 2009 V0_Flash du mois de septembre 2009 (2) (version 1)" xfId="847"/>
    <cellStyle name="_Heading_210302 VU Liquidity new figures_Reporting Onatel Avril 2009 V0_Flash du mois de septembre 2009 (2) (version 1) 2" xfId="848"/>
    <cellStyle name="_Heading_210302 VU Liquidity new figures_Reporting Onatel Avril 2009 V0_Flash du mois de septembre 2009 (2) (version 1)_Classeur1" xfId="849"/>
    <cellStyle name="_Heading_210302 VU Liquidity new figures_Reporting Onatel Avril 2009 V0_Flash du mois de septembre 2009 (2) (version 1)_Commentaire activité Fixe  mobile ONATEL Nov 2009" xfId="850"/>
    <cellStyle name="_Heading_210302 VU Liquidity new figures_Reporting Onatel Avril 2009 V0_Flash du mois de septembre 2009 (2) (version 1)_COMMENTAIRES" xfId="851"/>
    <cellStyle name="_Heading_210302 VU Liquidity new figures_Reporting Onatel Avril 2009 V0_Flash du mois de septembre 2009 (2) (version 1)_Commentaires Janvier 2010" xfId="852"/>
    <cellStyle name="_Heading_210302 VU Liquidity new figures_Reporting Onatel Avril 2009 V0_Flash du mois de septembre 2009 (2) (version 1)_Flash du mois de Décembre 2009 V3 (2)" xfId="853"/>
    <cellStyle name="_Heading_210302 VU Liquidity new figures_Reporting Onatel Avril 2009 V0_Flash du mois de septembre 2009 (2) (version 1)_Flash du mois de Novembre V2" xfId="854"/>
    <cellStyle name="_Heading_210302 VU Liquidity new figures_Reporting Onatel Avril 2009 V0_Flash du mois de septembre 2009 (2) (version 1)_FLASH ONATEL DU MOIS DE FEVRIER 2010 V2" xfId="855"/>
    <cellStyle name="_Heading_210302 VU Liquidity new figures_Reporting Onatel Avril 2009 V0_Flash du mois de septembre 2009 (2) (version 1)_Reporting Onatel septembre  2009 V1 (4)" xfId="856"/>
    <cellStyle name="_Heading_210302 VU Liquidity new figures_Reporting Onatel Avril 2009 V0_FLASH ONATEL DU MOIS DE FEVRIER 2010 V2" xfId="857"/>
    <cellStyle name="_Heading_210302 VU Liquidity new figures_Reporting Onatel Avril 2009 V0_Reporting Consolidé ONATEL 04.2009" xfId="858"/>
    <cellStyle name="_Heading_210302 VU Liquidity new figures_Reporting Onatel Avril 2009 V0_Reporting Onatel septembre  2009 préparé" xfId="859"/>
    <cellStyle name="_Heading_210302 VU Liquidity new figures_Reporting Onatel Avril 2009 V0_Reporting Onatel septembre  2009 V1 (4)" xfId="860"/>
    <cellStyle name="_Heading_210302 VU Liquidity new figures_Reporting Onatel Mai 2009 V 0" xfId="861"/>
    <cellStyle name="_Heading_210302 VU Liquidity new figures_Reporting Onatel Mai 2009 V 0 2" xfId="862"/>
    <cellStyle name="_Heading_210302 VU Liquidity new figures_Reporting Onatel Mai 2009 V 0 A ENVOYE" xfId="863"/>
    <cellStyle name="_Heading_210302 VU Liquidity new figures_Reporting Onatel Mai 2009 V 0 A ENVOYE 2" xfId="864"/>
    <cellStyle name="_Heading_210302 VU Liquidity new figures_Reporting Onatel Mai 2009 V 0 A ENVOYE_Classeur1" xfId="865"/>
    <cellStyle name="_Heading_210302 VU Liquidity new figures_Reporting Onatel Mai 2009 V 0 A ENVOYE_Commentaire activité Fixe  mobile ONATEL Nov 2009" xfId="866"/>
    <cellStyle name="_Heading_210302 VU Liquidity new figures_Reporting Onatel Mai 2009 V 0 A ENVOYE_COMMENTAIRES" xfId="867"/>
    <cellStyle name="_Heading_210302 VU Liquidity new figures_Reporting Onatel Mai 2009 V 0 A ENVOYE_Commentaires Janvier 2010" xfId="868"/>
    <cellStyle name="_Heading_210302 VU Liquidity new figures_Reporting Onatel Mai 2009 V 0 A ENVOYE_FAITS MARQUANTS DE SEPTEMBRE 2009" xfId="869"/>
    <cellStyle name="_Heading_210302 VU Liquidity new figures_Reporting Onatel Mai 2009 V 0 A ENVOYE_Flash du mois de Décembre 2009 V3 (2)" xfId="870"/>
    <cellStyle name="_Heading_210302 VU Liquidity new figures_Reporting Onatel Mai 2009 V 0 A ENVOYE_Flash du mois de Novembre V2" xfId="871"/>
    <cellStyle name="_Heading_210302 VU Liquidity new figures_Reporting Onatel Mai 2009 V 0 A ENVOYE_Flash du mois de septembre 2009 (2) (version 1)" xfId="872"/>
    <cellStyle name="_Heading_210302 VU Liquidity new figures_Reporting Onatel Mai 2009 V 0 A ENVOYE_Flash du mois de septembre 2009 (2) (version 1) 2" xfId="873"/>
    <cellStyle name="_Heading_210302 VU Liquidity new figures_Reporting Onatel Mai 2009 V 0 A ENVOYE_Flash du mois de septembre 2009 (2) (version 1)_Classeur1" xfId="874"/>
    <cellStyle name="_Heading_210302 VU Liquidity new figures_Reporting Onatel Mai 2009 V 0 A ENVOYE_Flash du mois de septembre 2009 (2) (version 1)_Commentaire activité Fixe  mobile ONATEL Nov 2009" xfId="875"/>
    <cellStyle name="_Heading_210302 VU Liquidity new figures_Reporting Onatel Mai 2009 V 0 A ENVOYE_Flash du mois de septembre 2009 (2) (version 1)_COMMENTAIRES" xfId="876"/>
    <cellStyle name="_Heading_210302 VU Liquidity new figures_Reporting Onatel Mai 2009 V 0 A ENVOYE_Flash du mois de septembre 2009 (2) (version 1)_Commentaires Janvier 2010" xfId="877"/>
    <cellStyle name="_Heading_210302 VU Liquidity new figures_Reporting Onatel Mai 2009 V 0 A ENVOYE_Flash du mois de septembre 2009 (2) (version 1)_Flash du mois de Décembre 2009 V3 (2)" xfId="878"/>
    <cellStyle name="_Heading_210302 VU Liquidity new figures_Reporting Onatel Mai 2009 V 0 A ENVOYE_Flash du mois de septembre 2009 (2) (version 1)_Flash du mois de Novembre V2" xfId="879"/>
    <cellStyle name="_Heading_210302 VU Liquidity new figures_Reporting Onatel Mai 2009 V 0 A ENVOYE_Flash du mois de septembre 2009 (2) (version 1)_FLASH ONATEL DU MOIS DE FEVRIER 2010 V2" xfId="880"/>
    <cellStyle name="_Heading_210302 VU Liquidity new figures_Reporting Onatel Mai 2009 V 0 A ENVOYE_Flash du mois de septembre 2009 (2) (version 1)_Reporting Onatel septembre  2009 V1 (4)" xfId="881"/>
    <cellStyle name="_Heading_210302 VU Liquidity new figures_Reporting Onatel Mai 2009 V 0 A ENVOYE_FLASH ONATEL DU MOIS DE FEVRIER 2010 V2" xfId="882"/>
    <cellStyle name="_Heading_210302 VU Liquidity new figures_Reporting Onatel Mai 2009 V 0 A ENVOYE_Reporting Onatel septembre  2009 préparé" xfId="883"/>
    <cellStyle name="_Heading_210302 VU Liquidity new figures_Reporting Onatel Mai 2009 V 0 A ENVOYE_Reporting Onatel septembre  2009 V1 (4)" xfId="884"/>
    <cellStyle name="_Heading_210302 VU Liquidity new figures_Reporting Onatel Mai 2009 V 0_Classeur1" xfId="885"/>
    <cellStyle name="_Heading_210302 VU Liquidity new figures_Reporting Onatel Mai 2009 V 0_Commentaire activité Fixe  mobile ONATEL Nov 2009" xfId="886"/>
    <cellStyle name="_Heading_210302 VU Liquidity new figures_Reporting Onatel Mai 2009 V 0_COMMENTAIRES" xfId="887"/>
    <cellStyle name="_Heading_210302 VU Liquidity new figures_Reporting Onatel Mai 2009 V 0_Commentaires Janvier 2010" xfId="888"/>
    <cellStyle name="_Heading_210302 VU Liquidity new figures_Reporting Onatel Mai 2009 V 0_FAITS MARQUANTS DE SEPTEMBRE 2009" xfId="889"/>
    <cellStyle name="_Heading_210302 VU Liquidity new figures_Reporting Onatel Mai 2009 V 0_Flash du mois de Décembre 2009 V3 (2)" xfId="890"/>
    <cellStyle name="_Heading_210302 VU Liquidity new figures_Reporting Onatel Mai 2009 V 0_Flash du mois de Novembre V2" xfId="891"/>
    <cellStyle name="_Heading_210302 VU Liquidity new figures_Reporting Onatel Mai 2009 V 0_Flash du mois de septembre 2009 (2) (version 1)" xfId="892"/>
    <cellStyle name="_Heading_210302 VU Liquidity new figures_Reporting Onatel Mai 2009 V 0_Flash du mois de septembre 2009 (2) (version 1) 2" xfId="893"/>
    <cellStyle name="_Heading_210302 VU Liquidity new figures_Reporting Onatel Mai 2009 V 0_Flash du mois de septembre 2009 (2) (version 1)_Classeur1" xfId="894"/>
    <cellStyle name="_Heading_210302 VU Liquidity new figures_Reporting Onatel Mai 2009 V 0_Flash du mois de septembre 2009 (2) (version 1)_Commentaire activité Fixe  mobile ONATEL Nov 2009" xfId="895"/>
    <cellStyle name="_Heading_210302 VU Liquidity new figures_Reporting Onatel Mai 2009 V 0_Flash du mois de septembre 2009 (2) (version 1)_COMMENTAIRES" xfId="896"/>
    <cellStyle name="_Heading_210302 VU Liquidity new figures_Reporting Onatel Mai 2009 V 0_Flash du mois de septembre 2009 (2) (version 1)_Commentaires Janvier 2010" xfId="897"/>
    <cellStyle name="_Heading_210302 VU Liquidity new figures_Reporting Onatel Mai 2009 V 0_Flash du mois de septembre 2009 (2) (version 1)_Flash du mois de Décembre 2009 V3 (2)" xfId="898"/>
    <cellStyle name="_Heading_210302 VU Liquidity new figures_Reporting Onatel Mai 2009 V 0_Flash du mois de septembre 2009 (2) (version 1)_Flash du mois de Novembre V2" xfId="899"/>
    <cellStyle name="_Heading_210302 VU Liquidity new figures_Reporting Onatel Mai 2009 V 0_Flash du mois de septembre 2009 (2) (version 1)_FLASH ONATEL DU MOIS DE FEVRIER 2010 V2" xfId="900"/>
    <cellStyle name="_Heading_210302 VU Liquidity new figures_Reporting Onatel Mai 2009 V 0_Flash du mois de septembre 2009 (2) (version 1)_Reporting Onatel septembre  2009 V1 (4)" xfId="901"/>
    <cellStyle name="_Heading_210302 VU Liquidity new figures_Reporting Onatel Mai 2009 V 0_FLASH ONATEL DU MOIS DE FEVRIER 2010 V2" xfId="902"/>
    <cellStyle name="_Heading_210302 VU Liquidity new figures_Reporting Onatel Mai 2009 V 0_Reporting Onatel septembre  2009 préparé" xfId="903"/>
    <cellStyle name="_Heading_210302 VU Liquidity new figures_Reporting Onatel Mai 2009 V 0_Reporting Onatel septembre  2009 V1 (4)" xfId="904"/>
    <cellStyle name="_Heading_210302 VU Liquidity new figures_Reporting Onatel septembre  2009 préparé" xfId="905"/>
    <cellStyle name="_Heading_210302 VU Liquidity new figures_Reporting Onatel septembre  2009 V1 (4)" xfId="906"/>
    <cellStyle name="_Heading_210302 VU Liquidity new figures_Sotelma réctifié5" xfId="907"/>
    <cellStyle name="_Heading_prestemp" xfId="908"/>
    <cellStyle name="_Heading_prestemp 2" xfId="909"/>
    <cellStyle name="_Heading_prestemp_BUDGET ONATEL 2010 v5" xfId="910"/>
    <cellStyle name="_Heading_prestemp_Classeur1" xfId="911"/>
    <cellStyle name="_Heading_prestemp_Classeur1 (2)" xfId="912"/>
    <cellStyle name="_Heading_prestemp_Commentaire activité Fixe  mobile ONATEL Nov 2009" xfId="913"/>
    <cellStyle name="_Heading_prestemp_COMMENTAIRES" xfId="914"/>
    <cellStyle name="_Heading_prestemp_commentaires fixe  internet Déc 08" xfId="915"/>
    <cellStyle name="_Heading_prestemp_Commentaires Janvier 2010" xfId="916"/>
    <cellStyle name="_Heading_prestemp_commentaires_fixe__internet_nov_08(2)" xfId="917"/>
    <cellStyle name="_Heading_prestemp_Copie de Flash du mois d' avril 2009 corrigé par NAIMI" xfId="918"/>
    <cellStyle name="_Heading_prestemp_Copie de Flash du mois de Décembre 2008 v2 (3)" xfId="919"/>
    <cellStyle name="_Heading_prestemp_FAITS MARQUANTS DE SEPTEMBRE 2009" xfId="920"/>
    <cellStyle name="_Heading_prestemp_Feuil1" xfId="921"/>
    <cellStyle name="_Heading_prestemp_Flash du mois d' avril 2009" xfId="922"/>
    <cellStyle name="_Heading_prestemp_Flash du mois de Décembre 2009 V3 (2)" xfId="923"/>
    <cellStyle name="_Heading_prestemp_Flash du mois de mai 2009" xfId="924"/>
    <cellStyle name="_Heading_prestemp_Flash du mois de Novembre V2" xfId="925"/>
    <cellStyle name="_Heading_prestemp_Flash du mois de septembre 2009 (2) (version 1)" xfId="926"/>
    <cellStyle name="_Heading_prestemp_FLASH ONATEL DU MOIS DE FEVRIER 2010 V2" xfId="927"/>
    <cellStyle name="_Heading_prestemp_Flash_du_mois_de_Décembre_2008_v2(2)" xfId="928"/>
    <cellStyle name="_Heading_prestemp_Flux Financiers Conso" xfId="929"/>
    <cellStyle name="_Heading_prestemp_Reporting Consolidé ONATEL 04.2009" xfId="930"/>
    <cellStyle name="_Heading_prestemp_Reporting Onatel Avril 2009 V0" xfId="931"/>
    <cellStyle name="_Heading_prestemp_Reporting Onatel Avril 2009 V0 2" xfId="932"/>
    <cellStyle name="_Heading_prestemp_Reporting Onatel Avril 2009 V0_Classeur1" xfId="933"/>
    <cellStyle name="_Heading_prestemp_Reporting Onatel Avril 2009 V0_Commentaire activité Fixe  mobile ONATEL Nov 2009" xfId="934"/>
    <cellStyle name="_Heading_prestemp_Reporting Onatel Avril 2009 V0_COMMENTAIRES" xfId="935"/>
    <cellStyle name="_Heading_prestemp_Reporting Onatel Avril 2009 V0_Commentaires Janvier 2010" xfId="936"/>
    <cellStyle name="_Heading_prestemp_Reporting Onatel Avril 2009 V0_FAITS MARQUANTS DE SEPTEMBRE 2009" xfId="937"/>
    <cellStyle name="_Heading_prestemp_Reporting Onatel Avril 2009 V0_Flash du mois de Décembre 2009 V3 (2)" xfId="938"/>
    <cellStyle name="_Heading_prestemp_Reporting Onatel Avril 2009 V0_Flash du mois de Novembre V2" xfId="939"/>
    <cellStyle name="_Heading_prestemp_Reporting Onatel Avril 2009 V0_Flash du mois de septembre 2009 (2) (version 1)" xfId="940"/>
    <cellStyle name="_Heading_prestemp_Reporting Onatel Avril 2009 V0_Flash du mois de septembre 2009 (2) (version 1) 2" xfId="941"/>
    <cellStyle name="_Heading_prestemp_Reporting Onatel Avril 2009 V0_Flash du mois de septembre 2009 (2) (version 1)_Classeur1" xfId="942"/>
    <cellStyle name="_Heading_prestemp_Reporting Onatel Avril 2009 V0_Flash du mois de septembre 2009 (2) (version 1)_Commentaire activité Fixe  mobile ONATEL Nov 2009" xfId="943"/>
    <cellStyle name="_Heading_prestemp_Reporting Onatel Avril 2009 V0_Flash du mois de septembre 2009 (2) (version 1)_COMMENTAIRES" xfId="944"/>
    <cellStyle name="_Heading_prestemp_Reporting Onatel Avril 2009 V0_Flash du mois de septembre 2009 (2) (version 1)_Commentaires Janvier 2010" xfId="945"/>
    <cellStyle name="_Heading_prestemp_Reporting Onatel Avril 2009 V0_Flash du mois de septembre 2009 (2) (version 1)_Flash du mois de Décembre 2009 V3 (2)" xfId="946"/>
    <cellStyle name="_Heading_prestemp_Reporting Onatel Avril 2009 V0_Flash du mois de septembre 2009 (2) (version 1)_Flash du mois de Novembre V2" xfId="947"/>
    <cellStyle name="_Heading_prestemp_Reporting Onatel Avril 2009 V0_Flash du mois de septembre 2009 (2) (version 1)_FLASH ONATEL DU MOIS DE FEVRIER 2010 V2" xfId="948"/>
    <cellStyle name="_Heading_prestemp_Reporting Onatel Avril 2009 V0_Flash du mois de septembre 2009 (2) (version 1)_Reporting Onatel septembre  2009 V1 (4)" xfId="949"/>
    <cellStyle name="_Heading_prestemp_Reporting Onatel Avril 2009 V0_FLASH ONATEL DU MOIS DE FEVRIER 2010 V2" xfId="950"/>
    <cellStyle name="_Heading_prestemp_Reporting Onatel Avril 2009 V0_Reporting Consolidé ONATEL 04.2009" xfId="951"/>
    <cellStyle name="_Heading_prestemp_Reporting Onatel Avril 2009 V0_Reporting Onatel septembre  2009 préparé" xfId="952"/>
    <cellStyle name="_Heading_prestemp_Reporting Onatel Avril 2009 V0_Reporting Onatel septembre  2009 V1 (4)" xfId="953"/>
    <cellStyle name="_Heading_prestemp_Reporting Onatel Mai 2009 V 0" xfId="954"/>
    <cellStyle name="_Heading_prestemp_Reporting Onatel Mai 2009 V 0 2" xfId="955"/>
    <cellStyle name="_Heading_prestemp_Reporting Onatel Mai 2009 V 0 A ENVOYE" xfId="956"/>
    <cellStyle name="_Heading_prestemp_Reporting Onatel Mai 2009 V 0 A ENVOYE 2" xfId="957"/>
    <cellStyle name="_Heading_prestemp_Reporting Onatel Mai 2009 V 0 A ENVOYE_Classeur1" xfId="958"/>
    <cellStyle name="_Heading_prestemp_Reporting Onatel Mai 2009 V 0 A ENVOYE_Commentaire activité Fixe  mobile ONATEL Nov 2009" xfId="959"/>
    <cellStyle name="_Heading_prestemp_Reporting Onatel Mai 2009 V 0 A ENVOYE_COMMENTAIRES" xfId="960"/>
    <cellStyle name="_Heading_prestemp_Reporting Onatel Mai 2009 V 0 A ENVOYE_Commentaires Janvier 2010" xfId="961"/>
    <cellStyle name="_Heading_prestemp_Reporting Onatel Mai 2009 V 0 A ENVOYE_FAITS MARQUANTS DE SEPTEMBRE 2009" xfId="962"/>
    <cellStyle name="_Heading_prestemp_Reporting Onatel Mai 2009 V 0 A ENVOYE_Flash du mois de Décembre 2009 V3 (2)" xfId="963"/>
    <cellStyle name="_Heading_prestemp_Reporting Onatel Mai 2009 V 0 A ENVOYE_Flash du mois de Novembre V2" xfId="964"/>
    <cellStyle name="_Heading_prestemp_Reporting Onatel Mai 2009 V 0 A ENVOYE_Flash du mois de septembre 2009 (2) (version 1)" xfId="965"/>
    <cellStyle name="_Heading_prestemp_Reporting Onatel Mai 2009 V 0 A ENVOYE_Flash du mois de septembre 2009 (2) (version 1) 2" xfId="966"/>
    <cellStyle name="_Heading_prestemp_Reporting Onatel Mai 2009 V 0 A ENVOYE_Flash du mois de septembre 2009 (2) (version 1)_Classeur1" xfId="967"/>
    <cellStyle name="_Heading_prestemp_Reporting Onatel Mai 2009 V 0 A ENVOYE_Flash du mois de septembre 2009 (2) (version 1)_Commentaire activité Fixe  mobile ONATEL Nov 2009" xfId="968"/>
    <cellStyle name="_Heading_prestemp_Reporting Onatel Mai 2009 V 0 A ENVOYE_Flash du mois de septembre 2009 (2) (version 1)_COMMENTAIRES" xfId="969"/>
    <cellStyle name="_Heading_prestemp_Reporting Onatel Mai 2009 V 0 A ENVOYE_Flash du mois de septembre 2009 (2) (version 1)_Commentaires Janvier 2010" xfId="970"/>
    <cellStyle name="_Heading_prestemp_Reporting Onatel Mai 2009 V 0 A ENVOYE_Flash du mois de septembre 2009 (2) (version 1)_Flash du mois de Décembre 2009 V3 (2)" xfId="971"/>
    <cellStyle name="_Heading_prestemp_Reporting Onatel Mai 2009 V 0 A ENVOYE_Flash du mois de septembre 2009 (2) (version 1)_Flash du mois de Novembre V2" xfId="972"/>
    <cellStyle name="_Heading_prestemp_Reporting Onatel Mai 2009 V 0 A ENVOYE_Flash du mois de septembre 2009 (2) (version 1)_FLASH ONATEL DU MOIS DE FEVRIER 2010 V2" xfId="973"/>
    <cellStyle name="_Heading_prestemp_Reporting Onatel Mai 2009 V 0 A ENVOYE_Flash du mois de septembre 2009 (2) (version 1)_Reporting Onatel septembre  2009 V1 (4)" xfId="974"/>
    <cellStyle name="_Heading_prestemp_Reporting Onatel Mai 2009 V 0 A ENVOYE_FLASH ONATEL DU MOIS DE FEVRIER 2010 V2" xfId="975"/>
    <cellStyle name="_Heading_prestemp_Reporting Onatel Mai 2009 V 0 A ENVOYE_Reporting Onatel septembre  2009 préparé" xfId="976"/>
    <cellStyle name="_Heading_prestemp_Reporting Onatel Mai 2009 V 0 A ENVOYE_Reporting Onatel septembre  2009 V1 (4)" xfId="977"/>
    <cellStyle name="_Heading_prestemp_Reporting Onatel Mai 2009 V 0_Classeur1" xfId="978"/>
    <cellStyle name="_Heading_prestemp_Reporting Onatel Mai 2009 V 0_COMMENTAIRES" xfId="979"/>
    <cellStyle name="_Heading_prestemp_Reporting Onatel Mai 2009 V 0_Commentaires Janvier 2010" xfId="980"/>
    <cellStyle name="_Heading_prestemp_Reporting Onatel Mai 2009 V 0_FAITS MARQUANTS DE SEPTEMBRE 2009" xfId="981"/>
    <cellStyle name="_Heading_prestemp_Reporting Onatel Mai 2009 V 0_Flash du mois de Décembre 2009 V3 (2)" xfId="982"/>
    <cellStyle name="_Heading_prestemp_Reporting Onatel Mai 2009 V 0_Flash du mois de septembre 2009 (2) (version 1)" xfId="983"/>
    <cellStyle name="_Heading_prestemp_Reporting Onatel Mai 2009 V 0_Flash du mois de septembre 2009 (2) (version 1) 2" xfId="984"/>
    <cellStyle name="_Heading_prestemp_Reporting Onatel Mai 2009 V 0_Flash du mois de septembre 2009 (2) (version 1)_Classeur1" xfId="985"/>
    <cellStyle name="_Heading_prestemp_Reporting Onatel Mai 2009 V 0_Flash du mois de septembre 2009 (2) (version 1)_Commentaires Janvier 2010" xfId="986"/>
    <cellStyle name="_Heading_prestemp_Reporting Onatel Mai 2009 V 0_Flash du mois de septembre 2009 (2) (version 1)_Flash du mois de Décembre 2009 V3 (2)" xfId="987"/>
    <cellStyle name="_Heading_prestemp_Reporting Onatel Mai 2009 V 0_Flash du mois de septembre 2009 (2) (version 1)_FLASH ONATEL DU MOIS DE FEVRIER 2010 V2" xfId="988"/>
    <cellStyle name="_Heading_prestemp_Reporting Onatel Mai 2009 V 0_Flash du mois de septembre 2009 (2) (version 1)_Reporting Onatel septembre  2009 V1 (4)" xfId="989"/>
    <cellStyle name="_Heading_prestemp_Reporting Onatel Mai 2009 V 0_FLASH ONATEL DU MOIS DE FEVRIER 2010 V2" xfId="990"/>
    <cellStyle name="_Heading_prestemp_Reporting Onatel Mai 2009 V 0_Reporting Onatel septembre  2009 préparé" xfId="991"/>
    <cellStyle name="_Heading_prestemp_Reporting Onatel Mai 2009 V 0_Reporting Onatel septembre  2009 V1 (4)" xfId="992"/>
    <cellStyle name="_Heading_prestemp_Reporting Onatel septembre  2009 préparé" xfId="993"/>
    <cellStyle name="_Heading_prestemp_Reporting Onatel septembre  2009 V1 (4)" xfId="994"/>
    <cellStyle name="_Heading_prestemp_Sotelma réctifié5" xfId="995"/>
    <cellStyle name="_Headline" xfId="996"/>
    <cellStyle name="_Highlight" xfId="997"/>
    <cellStyle name="_Immo BLO _global" xfId="998"/>
    <cellStyle name="_Indicateurs BFR Régions 03 2008 vesrion finale (2) (2)" xfId="999"/>
    <cellStyle name="_Indicateurs BFR Régions 06 2008 (3)" xfId="1000"/>
    <cellStyle name="_Indicateurs BFR Régions 06 2008 (5)" xfId="1001"/>
    <cellStyle name="_Indicateurs BFR Régions 08 2008" xfId="1002"/>
    <cellStyle name="_Indicateurs BFR Régions 08 2008 (2)" xfId="1003"/>
    <cellStyle name="_Indicateurs BFR Régions 092008" xfId="1004"/>
    <cellStyle name="_Indicateurs BFR Régions 102008" xfId="1005"/>
    <cellStyle name="_Indicateurs BFR Régions 122008" xfId="1006"/>
    <cellStyle name="_indicateurs BFR régions TBG 06 08" xfId="1007"/>
    <cellStyle name="_indicateurs BFR régions TBG 06 08_Classeur1 (2)" xfId="1008"/>
    <cellStyle name="_indicateurs fournisseurs" xfId="1009"/>
    <cellStyle name="_Justifs Actu1" xfId="1010"/>
    <cellStyle name="_MT-trim-mail2007-int" xfId="1011"/>
    <cellStyle name="_MT-trim-mail2007-int_Classeur1 (2)" xfId="1012"/>
    <cellStyle name="_MT-trim-mail2007-int_Feuil1" xfId="1013"/>
    <cellStyle name="_MT-trim-mail2007-int_Sotelma réctifié5" xfId="1014"/>
    <cellStyle name="_MT-trim-mail2007-int_TBG nov 09 - v5" xfId="1015"/>
    <cellStyle name="_MT-trim-mail2007-int_TBG Oct 2009 - v1" xfId="1016"/>
    <cellStyle name="_MT-trim-mail2007-int_xSAP 8-12v1" xfId="1017"/>
    <cellStyle name="_Multiple" xfId="1018"/>
    <cellStyle name="_Multiple_02 Pfd Valuation" xfId="1019"/>
    <cellStyle name="_Multiple_Contribution of assets into USAi_02" xfId="1020"/>
    <cellStyle name="_Multiple_credit - newco_6_18" xfId="1021"/>
    <cellStyle name="_Multiple_credit - newco_6_18_BLS2q_salesforce" xfId="1022"/>
    <cellStyle name="_Multiple_CSC Cable makers 060502" xfId="1023"/>
    <cellStyle name="_Multiple_Final Pages 8-20" xfId="1024"/>
    <cellStyle name="_Multiple_further analysis on comparables" xfId="1025"/>
    <cellStyle name="_Multiple_NBC-5 yearDCF-Final from Vivendi modified" xfId="1026"/>
    <cellStyle name="_Multiple_Training Model Shell" xfId="1027"/>
    <cellStyle name="_Multiple_Training Model Shell_BLS2q_salesforce" xfId="1028"/>
    <cellStyle name="_Multiple_Update 08-27-01-3" xfId="1029"/>
    <cellStyle name="_Multiple_Update 08-27-01-3_BLS2q_salesforce" xfId="1030"/>
    <cellStyle name="_Multiple_USA Ownership" xfId="1031"/>
    <cellStyle name="_MultipleSpace" xfId="1032"/>
    <cellStyle name="_MultipleSpace_02 Pfd Valuation" xfId="1033"/>
    <cellStyle name="_MultipleSpace_BLS2q_salesforce" xfId="1034"/>
    <cellStyle name="_MultipleSpace_Contribution of assets into USAi_02" xfId="1035"/>
    <cellStyle name="_MultipleSpace_credit - newco_6_18" xfId="1036"/>
    <cellStyle name="_MultipleSpace_credit - newco_6_18_BLS2q_salesforce" xfId="1037"/>
    <cellStyle name="_MultipleSpace_CSC Cable makers 060502" xfId="1038"/>
    <cellStyle name="_MultipleSpace_EBITDA Multiple_3" xfId="1039"/>
    <cellStyle name="_MultipleSpace_Final Pages 8-20" xfId="1040"/>
    <cellStyle name="_MultipleSpace_Final Pages 8-20_BLS2q_salesforce" xfId="1041"/>
    <cellStyle name="_MultipleSpace_further analysis on comparables" xfId="1042"/>
    <cellStyle name="_MultipleSpace_further analysis on comparables_BLS2q_salesforce" xfId="1043"/>
    <cellStyle name="_MultipleSpace_NBC-5 yearDCF-Final from Vivendi modified" xfId="1044"/>
    <cellStyle name="_MultipleSpace_Training Model Shell" xfId="1045"/>
    <cellStyle name="_MultipleSpace_Training Model Shell_BLS2q_salesforce" xfId="1046"/>
    <cellStyle name="_MultipleSpace_Update 08-27-01-3" xfId="1047"/>
    <cellStyle name="_MultipleSpace_Update 08-27-01-3_BLS2q_salesforce" xfId="1048"/>
    <cellStyle name="_MultipleSpace_USA Ownership" xfId="1049"/>
    <cellStyle name="_MultipleSpace_VU Valuation-top down approach 02" xfId="1050"/>
    <cellStyle name="_OUJDA fixe detail 29-05-2005" xfId="1051"/>
    <cellStyle name="_P&amp;L consolidé q1 2007 V1 bis" xfId="1052"/>
    <cellStyle name="_Percent" xfId="1053"/>
    <cellStyle name="_Percent_02 Pfd Valuation" xfId="1054"/>
    <cellStyle name="_Percent_BLS2q_salesforce" xfId="1055"/>
    <cellStyle name="_Percent_USA Ownership" xfId="1056"/>
    <cellStyle name="_PercentSpace" xfId="1057"/>
    <cellStyle name="_PercentSpace_02 Pfd Valuation" xfId="1058"/>
    <cellStyle name="_PercentSpace_BLS2q_salesforce" xfId="1059"/>
    <cellStyle name="_PercentSpace_USA Ownership" xfId="1060"/>
    <cellStyle name="_Rapport_Mez_GSR7TRX" xfId="1061"/>
    <cellStyle name="_Rapport_Mez_GSR7TRX (2)" xfId="1062"/>
    <cellStyle name="_RECAP_NEGO_BSS 2008_17 03 08 " xfId="1063"/>
    <cellStyle name="_RECAP_NEGO_BSS 2008_17 03 08 _Classeur1 (2)" xfId="1064"/>
    <cellStyle name="_RECAPFLUXMES2004" xfId="1065"/>
    <cellStyle name="_Retenu  Projets exceptionnels" xfId="1066"/>
    <cellStyle name="_Retenu  Projets exceptionnels_Classeur1 (2)" xfId="1067"/>
    <cellStyle name="_réel avril07" xfId="1068"/>
    <cellStyle name="_Réel CAPEX" xfId="1069"/>
    <cellStyle name="_Réel CAPEX_Classeur1 (2)" xfId="1070"/>
    <cellStyle name="_SI" xfId="1071"/>
    <cellStyle name="_SI_Classeur1 (2)" xfId="1072"/>
    <cellStyle name="_Situation des projets FTK_BSS_Envrt_02-10-07" xfId="1073"/>
    <cellStyle name="_Situation des projets FTK_BSS_Envrt_02-10-07_DRC" xfId="1074"/>
    <cellStyle name="_Situation des projets FTK_BSS_Envrt_02-10-07_Feuil1" xfId="1075"/>
    <cellStyle name="_Situation des projets FTK_BSS_Envrt_02-10-07_PPO_3G_2009 Propos DR &amp; Scénarios Mktg 12-12" xfId="1076"/>
    <cellStyle name="_Situation des projets FTK_BSS_Envrt_02-10-07_PPO_3G_2009 Propos DR &amp; Scénarios Mktg 12-12_Feuil1" xfId="1077"/>
    <cellStyle name="_Situation des projets FTK_BSS_Envrt_02-10-07_PPO_3G_2009 Propos DR &amp; Scénarios Mktg 12-12_Sotelma- P&amp;L MAD " xfId="1078"/>
    <cellStyle name="_Situation des projets FTK_BSS_Envrt_02-10-07_PPO_3G_2009 Propos DR &amp; Scénarios Mktg 12-12_TBG nov 09 - v5" xfId="1079"/>
    <cellStyle name="_Situation des projets FTK_BSS_Envrt_02-10-07_PPO_3G_2009 Propos DR &amp; Scénarios Mktg 12-12_TBG Oct 2009 - v1" xfId="1080"/>
    <cellStyle name="_Situation des projets FTK_BSS_Envrt_02-10-07_Sotelma- P&amp;L MAD " xfId="1081"/>
    <cellStyle name="_Situation des projets FTK_BSS_Envrt_02-10-07_Tableau de bord 3G" xfId="1082"/>
    <cellStyle name="_Situation des projets FTK_BSS_Envrt_02-10-07_Tableau de bord 3G_Feuil1" xfId="1083"/>
    <cellStyle name="_Situation des projets FTK_BSS_Envrt_02-10-07_Tableau de bord 3G_Sotelma- P&amp;L MAD " xfId="1084"/>
    <cellStyle name="_Situation des projets FTK_BSS_Envrt_02-10-07_Tableau de bord 3G_TBG nov 09 - v5" xfId="1085"/>
    <cellStyle name="_Situation des projets FTK_BSS_Envrt_02-10-07_Tableau de bord 3G_TBG Oct 2009 - v1" xfId="1086"/>
    <cellStyle name="_Situation des projets FTK_BSS_Envrt_02-10-07_Tableau de bord-PPO_3G_2009 (3)" xfId="1087"/>
    <cellStyle name="_Situation des projets FTK_BSS_Envrt_02-10-07_TBG nov 09 - v5" xfId="1088"/>
    <cellStyle name="_Situation des projets FTK_BSS_Envrt_02-10-07_TBG Oct 2009 - v1" xfId="1089"/>
    <cellStyle name="_Situation des projets FTK_BSS_Envrt_18-10-05" xfId="1090"/>
    <cellStyle name="_Situation des projets FTK_BSS_Envrt_18-10-05_DRC" xfId="1091"/>
    <cellStyle name="_Situation des projets FTK_BSS_Envrt_18-10-05_Feuil1" xfId="1092"/>
    <cellStyle name="_Situation des projets FTK_BSS_Envrt_18-10-05_PPO_3G_2009 Propos DR &amp; Scénarios Mktg 12-12" xfId="1093"/>
    <cellStyle name="_Situation des projets FTK_BSS_Envrt_18-10-05_PPO_3G_2009 Propos DR &amp; Scénarios Mktg 12-12_Feuil1" xfId="1094"/>
    <cellStyle name="_Situation des projets FTK_BSS_Envrt_18-10-05_PPO_3G_2009 Propos DR &amp; Scénarios Mktg 12-12_Sotelma- P&amp;L MAD " xfId="1095"/>
    <cellStyle name="_Situation des projets FTK_BSS_Envrt_18-10-05_PPO_3G_2009 Propos DR &amp; Scénarios Mktg 12-12_TBG nov 09 - v5" xfId="1096"/>
    <cellStyle name="_Situation des projets FTK_BSS_Envrt_18-10-05_PPO_3G_2009 Propos DR &amp; Scénarios Mktg 12-12_TBG Oct 2009 - v1" xfId="1097"/>
    <cellStyle name="_Situation des projets FTK_BSS_Envrt_18-10-05_Sotelma- P&amp;L MAD " xfId="1098"/>
    <cellStyle name="_Situation des projets FTK_BSS_Envrt_18-10-05_Tableau de bord 3G" xfId="1099"/>
    <cellStyle name="_Situation des projets FTK_BSS_Envrt_18-10-05_Tableau de bord 3G_Feuil1" xfId="1100"/>
    <cellStyle name="_Situation des projets FTK_BSS_Envrt_18-10-05_Tableau de bord 3G_Sotelma- P&amp;L MAD " xfId="1101"/>
    <cellStyle name="_Situation des projets FTK_BSS_Envrt_18-10-05_Tableau de bord 3G_TBG nov 09 - v5" xfId="1102"/>
    <cellStyle name="_Situation des projets FTK_BSS_Envrt_18-10-05_Tableau de bord 3G_TBG Oct 2009 - v1" xfId="1103"/>
    <cellStyle name="_Situation des projets FTK_BSS_Envrt_18-10-05_Tableau de bord-PPO_3G_2009 (3)" xfId="1104"/>
    <cellStyle name="_Situation des projets FTK_BSS_Envrt_18-10-05_TBG nov 09 - v5" xfId="1105"/>
    <cellStyle name="_Situation des projets FTK_BSS_Envrt_18-10-05_TBG Oct 2009 - v1" xfId="1106"/>
    <cellStyle name="_SubHeading" xfId="1107"/>
    <cellStyle name="_SubHeading_01 VU Liquidity 171202" xfId="1108"/>
    <cellStyle name="_SubHeading_210302 VU Liquidity new figures" xfId="1109"/>
    <cellStyle name="_SubHeading_210302 VU Liquidity new figures 2" xfId="1110"/>
    <cellStyle name="_SubHeading_210302 VU Liquidity new figures_BUDGET ONATEL 2010 v5" xfId="1111"/>
    <cellStyle name="_SubHeading_210302 VU Liquidity new figures_Classeur1" xfId="1112"/>
    <cellStyle name="_SubHeading_210302 VU Liquidity new figures_Classeur1 (2)" xfId="1113"/>
    <cellStyle name="_SubHeading_210302 VU Liquidity new figures_commentaires fixe  internet Déc 08" xfId="1114"/>
    <cellStyle name="_SubHeading_210302 VU Liquidity new figures_Commentaires Janvier 2010" xfId="1115"/>
    <cellStyle name="_SubHeading_210302 VU Liquidity new figures_Copie de Flash du mois d' avril 2009 corrigé par NAIMI" xfId="1116"/>
    <cellStyle name="_SubHeading_210302 VU Liquidity new figures_Copie de Flash du mois de Décembre 2008 v2 (3)" xfId="1117"/>
    <cellStyle name="_SubHeading_210302 VU Liquidity new figures_FAITS MARQUANTS DE SEPTEMBRE 2009" xfId="1118"/>
    <cellStyle name="_SubHeading_210302 VU Liquidity new figures_Feuil1" xfId="1119"/>
    <cellStyle name="_SubHeading_210302 VU Liquidity new figures_Flash du mois d' avril 2009" xfId="1120"/>
    <cellStyle name="_SubHeading_210302 VU Liquidity new figures_Flash du mois de Décembre 2009 V3 (2)" xfId="1121"/>
    <cellStyle name="_SubHeading_210302 VU Liquidity new figures_Flash du mois de mai 2009" xfId="1122"/>
    <cellStyle name="_SubHeading_210302 VU Liquidity new figures_Flash du mois de septembre 2009 (2) (version 1)" xfId="1123"/>
    <cellStyle name="_SubHeading_210302 VU Liquidity new figures_FLASH ONATEL DU MOIS DE FEVRIER 2010 V2" xfId="1124"/>
    <cellStyle name="_SubHeading_210302 VU Liquidity new figures_Flash_du_mois_de_Décembre_2008_v2(2)" xfId="1125"/>
    <cellStyle name="_SubHeading_210302 VU Liquidity new figures_Flux Financiers Conso" xfId="1126"/>
    <cellStyle name="_SubHeading_210302 VU Liquidity new figures_Reporting Consolidé ONATEL 04.2009" xfId="1127"/>
    <cellStyle name="_SubHeading_210302 VU Liquidity new figures_Reporting Onatel Avril 2009 V0" xfId="1128"/>
    <cellStyle name="_SubHeading_210302 VU Liquidity new figures_Reporting Onatel Avril 2009 V0 2" xfId="1129"/>
    <cellStyle name="_SubHeading_210302 VU Liquidity new figures_Reporting Onatel Avril 2009 V0_Classeur1" xfId="1130"/>
    <cellStyle name="_SubHeading_210302 VU Liquidity new figures_Reporting Onatel Avril 2009 V0_Commentaires Janvier 2010" xfId="1131"/>
    <cellStyle name="_SubHeading_210302 VU Liquidity new figures_Reporting Onatel Avril 2009 V0_FAITS MARQUANTS DE SEPTEMBRE 2009" xfId="1132"/>
    <cellStyle name="_SubHeading_210302 VU Liquidity new figures_Reporting Onatel Avril 2009 V0_Flash du mois de Décembre 2009 V3 (2)" xfId="1133"/>
    <cellStyle name="_SubHeading_210302 VU Liquidity new figures_Reporting Onatel Avril 2009 V0_Flash du mois de septembre 2009 (2) (version 1)" xfId="1134"/>
    <cellStyle name="_SubHeading_210302 VU Liquidity new figures_Reporting Onatel Avril 2009 V0_Flash du mois de septembre 2009 (2) (version 1) 2" xfId="1135"/>
    <cellStyle name="_SubHeading_210302 VU Liquidity new figures_Reporting Onatel Avril 2009 V0_Flash du mois de septembre 2009 (2) (version 1)_Classeur1" xfId="1136"/>
    <cellStyle name="_SubHeading_210302 VU Liquidity new figures_Reporting Onatel Avril 2009 V0_Flash du mois de septembre 2009 (2) (version 1)_Commentaires Janvier 2010" xfId="1137"/>
    <cellStyle name="_SubHeading_210302 VU Liquidity new figures_Reporting Onatel Avril 2009 V0_Flash du mois de septembre 2009 (2) (version 1)_Flash du mois de Décembre 2009 V3 (2)" xfId="1138"/>
    <cellStyle name="_SubHeading_210302 VU Liquidity new figures_Reporting Onatel Avril 2009 V0_Flash du mois de septembre 2009 (2) (version 1)_FLASH ONATEL DU MOIS DE FEVRIER 2010 V2" xfId="1139"/>
    <cellStyle name="_SubHeading_210302 VU Liquidity new figures_Reporting Onatel Avril 2009 V0_Flash du mois de septembre 2009 (2) (version 1)_Reporting Onatel septembre  2009 V1 (4)" xfId="1140"/>
    <cellStyle name="_SubHeading_210302 VU Liquidity new figures_Reporting Onatel Avril 2009 V0_FLASH ONATEL DU MOIS DE FEVRIER 2010 V2" xfId="1141"/>
    <cellStyle name="_SubHeading_210302 VU Liquidity new figures_Reporting Onatel Avril 2009 V0_Reporting Consolidé ONATEL 04.2009" xfId="1142"/>
    <cellStyle name="_SubHeading_210302 VU Liquidity new figures_Reporting Onatel Avril 2009 V0_Reporting Onatel septembre  2009 préparé" xfId="1143"/>
    <cellStyle name="_SubHeading_210302 VU Liquidity new figures_Reporting Onatel Avril 2009 V0_Reporting Onatel septembre  2009 V1 (4)" xfId="1144"/>
    <cellStyle name="_SubHeading_210302 VU Liquidity new figures_Reporting Onatel Mai 2009 V 0" xfId="1145"/>
    <cellStyle name="_SubHeading_210302 VU Liquidity new figures_Reporting Onatel Mai 2009 V 0 2" xfId="1146"/>
    <cellStyle name="_SubHeading_210302 VU Liquidity new figures_Reporting Onatel Mai 2009 V 0 A ENVOYE" xfId="1147"/>
    <cellStyle name="_SubHeading_210302 VU Liquidity new figures_Reporting Onatel Mai 2009 V 0 A ENVOYE 2" xfId="1148"/>
    <cellStyle name="_SubHeading_210302 VU Liquidity new figures_Reporting Onatel Mai 2009 V 0 A ENVOYE_Classeur1" xfId="1149"/>
    <cellStyle name="_SubHeading_210302 VU Liquidity new figures_Reporting Onatel Mai 2009 V 0 A ENVOYE_Commentaires Janvier 2010" xfId="1150"/>
    <cellStyle name="_SubHeading_210302 VU Liquidity new figures_Reporting Onatel Mai 2009 V 0 A ENVOYE_FAITS MARQUANTS DE SEPTEMBRE 2009" xfId="1151"/>
    <cellStyle name="_SubHeading_210302 VU Liquidity new figures_Reporting Onatel Mai 2009 V 0 A ENVOYE_Flash du mois de Décembre 2009 V3 (2)" xfId="1152"/>
    <cellStyle name="_SubHeading_210302 VU Liquidity new figures_Reporting Onatel Mai 2009 V 0 A ENVOYE_Flash du mois de septembre 2009 (2) (version 1)" xfId="1153"/>
    <cellStyle name="_SubHeading_210302 VU Liquidity new figures_Reporting Onatel Mai 2009 V 0 A ENVOYE_Flash du mois de septembre 2009 (2) (version 1) 2" xfId="1154"/>
    <cellStyle name="_SubHeading_210302 VU Liquidity new figures_Reporting Onatel Mai 2009 V 0 A ENVOYE_Flash du mois de septembre 2009 (2) (version 1)_Classeur1" xfId="1155"/>
    <cellStyle name="_SubHeading_210302 VU Liquidity new figures_Reporting Onatel Mai 2009 V 0 A ENVOYE_Flash du mois de septembre 2009 (2) (version 1)_Commentaires Janvier 2010" xfId="1156"/>
    <cellStyle name="_SubHeading_210302 VU Liquidity new figures_Reporting Onatel Mai 2009 V 0 A ENVOYE_Flash du mois de septembre 2009 (2) (version 1)_Flash du mois de Décembre 2009 V3 (2)" xfId="1157"/>
    <cellStyle name="_SubHeading_210302 VU Liquidity new figures_Reporting Onatel Mai 2009 V 0 A ENVOYE_Flash du mois de septembre 2009 (2) (version 1)_FLASH ONATEL DU MOIS DE FEVRIER 2010 V2" xfId="1158"/>
    <cellStyle name="_SubHeading_210302 VU Liquidity new figures_Reporting Onatel Mai 2009 V 0 A ENVOYE_Flash du mois de septembre 2009 (2) (version 1)_Reporting Onatel septembre  2009 V1 (4)" xfId="1159"/>
    <cellStyle name="_SubHeading_210302 VU Liquidity new figures_Reporting Onatel Mai 2009 V 0 A ENVOYE_FLASH ONATEL DU MOIS DE FEVRIER 2010 V2" xfId="1160"/>
    <cellStyle name="_SubHeading_210302 VU Liquidity new figures_Reporting Onatel Mai 2009 V 0 A ENVOYE_Reporting Onatel septembre  2009 préparé" xfId="1161"/>
    <cellStyle name="_SubHeading_210302 VU Liquidity new figures_Reporting Onatel Mai 2009 V 0 A ENVOYE_Reporting Onatel septembre  2009 V1 (4)" xfId="1162"/>
    <cellStyle name="_SubHeading_210302 VU Liquidity new figures_Reporting Onatel Mai 2009 V 0_Classeur1" xfId="1163"/>
    <cellStyle name="_SubHeading_210302 VU Liquidity new figures_Reporting Onatel Mai 2009 V 0_Commentaires Janvier 2010" xfId="1164"/>
    <cellStyle name="_SubHeading_210302 VU Liquidity new figures_Reporting Onatel Mai 2009 V 0_FAITS MARQUANTS DE SEPTEMBRE 2009" xfId="1165"/>
    <cellStyle name="_SubHeading_210302 VU Liquidity new figures_Reporting Onatel Mai 2009 V 0_Flash du mois de Décembre 2009 V3 (2)" xfId="1166"/>
    <cellStyle name="_SubHeading_210302 VU Liquidity new figures_Reporting Onatel Mai 2009 V 0_Flash du mois de septembre 2009 (2) (version 1)" xfId="1167"/>
    <cellStyle name="_SubHeading_210302 VU Liquidity new figures_Reporting Onatel Mai 2009 V 0_Flash du mois de septembre 2009 (2) (version 1) 2" xfId="1168"/>
    <cellStyle name="_SubHeading_210302 VU Liquidity new figures_Reporting Onatel Mai 2009 V 0_Flash du mois de septembre 2009 (2) (version 1)_Classeur1" xfId="1169"/>
    <cellStyle name="_SubHeading_210302 VU Liquidity new figures_Reporting Onatel Mai 2009 V 0_Flash du mois de septembre 2009 (2) (version 1)_Commentaires Janvier 2010" xfId="1170"/>
    <cellStyle name="_SubHeading_210302 VU Liquidity new figures_Reporting Onatel Mai 2009 V 0_Flash du mois de septembre 2009 (2) (version 1)_Flash du mois de Décembre 2009 V3 (2)" xfId="1171"/>
    <cellStyle name="_SubHeading_210302 VU Liquidity new figures_Reporting Onatel Mai 2009 V 0_Flash du mois de septembre 2009 (2) (version 1)_FLASH ONATEL DU MOIS DE FEVRIER 2010 V2" xfId="1172"/>
    <cellStyle name="_SubHeading_210302 VU Liquidity new figures_Reporting Onatel Mai 2009 V 0_Flash du mois de septembre 2009 (2) (version 1)_Reporting Onatel septembre  2009 V1 (4)" xfId="1173"/>
    <cellStyle name="_SubHeading_210302 VU Liquidity new figures_Reporting Onatel Mai 2009 V 0_FLASH ONATEL DU MOIS DE FEVRIER 2010 V2" xfId="1174"/>
    <cellStyle name="_SubHeading_210302 VU Liquidity new figures_Reporting Onatel Mai 2009 V 0_Reporting Onatel septembre  2009 préparé" xfId="1175"/>
    <cellStyle name="_SubHeading_210302 VU Liquidity new figures_Reporting Onatel Mai 2009 V 0_Reporting Onatel septembre  2009 V1 (4)" xfId="1176"/>
    <cellStyle name="_SubHeading_210302 VU Liquidity new figures_Reporting Onatel septembre  2009 préparé" xfId="1177"/>
    <cellStyle name="_SubHeading_210302 VU Liquidity new figures_Reporting Onatel septembre  2009 V1 (4)" xfId="1178"/>
    <cellStyle name="_SubHeading_210302 VU Liquidity new figures_Sotelma réctifié5" xfId="1179"/>
    <cellStyle name="_SubHeading_Contribution of assets into USAi_02" xfId="1180"/>
    <cellStyle name="_SubHeading_NBC-5 yearDCF-Final from Vivendi modified" xfId="1181"/>
    <cellStyle name="_SubHeading_prestemp" xfId="1182"/>
    <cellStyle name="_SubHeading_prestemp 2" xfId="1183"/>
    <cellStyle name="_SubHeading_prestemp_BUDGET ONATEL 2010 v5" xfId="1184"/>
    <cellStyle name="_SubHeading_prestemp_Classeur1" xfId="1185"/>
    <cellStyle name="_SubHeading_prestemp_Classeur1 (2)" xfId="1186"/>
    <cellStyle name="_SubHeading_prestemp_commentaires fixe  internet Déc 08" xfId="1187"/>
    <cellStyle name="_SubHeading_prestemp_Commentaires Janvier 2010" xfId="1188"/>
    <cellStyle name="_SubHeading_prestemp_Copie de Flash du mois d' avril 2009 corrigé par NAIMI" xfId="1189"/>
    <cellStyle name="_SubHeading_prestemp_Copie de Flash du mois de Décembre 2008 v2 (3)" xfId="1190"/>
    <cellStyle name="_SubHeading_prestemp_FAITS MARQUANTS DE SEPTEMBRE 2009" xfId="1191"/>
    <cellStyle name="_SubHeading_prestemp_Feuil1" xfId="1192"/>
    <cellStyle name="_SubHeading_prestemp_Flash du mois d' avril 2009" xfId="1193"/>
    <cellStyle name="_SubHeading_prestemp_Flash du mois de Décembre 2009 V3 (2)" xfId="1194"/>
    <cellStyle name="_SubHeading_prestemp_Flash du mois de mai 2009" xfId="1195"/>
    <cellStyle name="_SubHeading_prestemp_Flash du mois de septembre 2009 (2) (version 1)" xfId="1196"/>
    <cellStyle name="_SubHeading_prestemp_FLASH ONATEL DU MOIS DE FEVRIER 2010 V2" xfId="1197"/>
    <cellStyle name="_SubHeading_prestemp_Flash_du_mois_de_Décembre_2008_v2(2)" xfId="1198"/>
    <cellStyle name="_SubHeading_prestemp_Flux Financiers Conso" xfId="1199"/>
    <cellStyle name="_SubHeading_prestemp_Reporting Consolidé ONATEL 04.2009" xfId="1200"/>
    <cellStyle name="_SubHeading_prestemp_Reporting Onatel Avril 2009 V0" xfId="1201"/>
    <cellStyle name="_SubHeading_prestemp_Reporting Onatel Avril 2009 V0 2" xfId="1202"/>
    <cellStyle name="_SubHeading_prestemp_Reporting Onatel Avril 2009 V0_Classeur1" xfId="1203"/>
    <cellStyle name="_SubHeading_prestemp_Reporting Onatel Avril 2009 V0_Commentaires Janvier 2010" xfId="1204"/>
    <cellStyle name="_SubHeading_prestemp_Reporting Onatel Avril 2009 V0_FAITS MARQUANTS DE SEPTEMBRE 2009" xfId="1205"/>
    <cellStyle name="_SubHeading_prestemp_Reporting Onatel Avril 2009 V0_Flash du mois de Décembre 2009 V3 (2)" xfId="1206"/>
    <cellStyle name="_SubHeading_prestemp_Reporting Onatel Avril 2009 V0_Flash du mois de septembre 2009 (2) (version 1)" xfId="1207"/>
    <cellStyle name="_SubHeading_prestemp_Reporting Onatel Avril 2009 V0_Flash du mois de septembre 2009 (2) (version 1) 2" xfId="1208"/>
    <cellStyle name="_SubHeading_prestemp_Reporting Onatel Avril 2009 V0_Flash du mois de septembre 2009 (2) (version 1)_Classeur1" xfId="1209"/>
    <cellStyle name="_SubHeading_prestemp_Reporting Onatel Avril 2009 V0_Flash du mois de septembre 2009 (2) (version 1)_Commentaires Janvier 2010" xfId="1210"/>
    <cellStyle name="_SubHeading_prestemp_Reporting Onatel Avril 2009 V0_Flash du mois de septembre 2009 (2) (version 1)_Flash du mois de Décembre 2009 V3 (2)" xfId="1211"/>
    <cellStyle name="_SubHeading_prestemp_Reporting Onatel Avril 2009 V0_Flash du mois de septembre 2009 (2) (version 1)_FLASH ONATEL DU MOIS DE FEVRIER 2010 V2" xfId="1212"/>
    <cellStyle name="_SubHeading_prestemp_Reporting Onatel Avril 2009 V0_Flash du mois de septembre 2009 (2) (version 1)_Reporting Onatel septembre  2009 V1 (4)" xfId="1213"/>
    <cellStyle name="_SubHeading_prestemp_Reporting Onatel Avril 2009 V0_FLASH ONATEL DU MOIS DE FEVRIER 2010 V2" xfId="1214"/>
    <cellStyle name="_SubHeading_prestemp_Reporting Onatel Avril 2009 V0_Reporting Consolidé ONATEL 04.2009" xfId="1215"/>
    <cellStyle name="_SubHeading_prestemp_Reporting Onatel Avril 2009 V0_Reporting Onatel septembre  2009 préparé" xfId="1216"/>
    <cellStyle name="_SubHeading_prestemp_Reporting Onatel Avril 2009 V0_Reporting Onatel septembre  2009 V1 (4)" xfId="1217"/>
    <cellStyle name="_SubHeading_prestemp_Reporting Onatel Mai 2009 V 0" xfId="1218"/>
    <cellStyle name="_SubHeading_prestemp_Reporting Onatel Mai 2009 V 0 2" xfId="1219"/>
    <cellStyle name="_SubHeading_prestemp_Reporting Onatel Mai 2009 V 0 A ENVOYE" xfId="1220"/>
    <cellStyle name="_SubHeading_prestemp_Reporting Onatel Mai 2009 V 0 A ENVOYE 2" xfId="1221"/>
    <cellStyle name="_SubHeading_prestemp_Reporting Onatel Mai 2009 V 0 A ENVOYE_Classeur1" xfId="1222"/>
    <cellStyle name="_SubHeading_prestemp_Reporting Onatel Mai 2009 V 0 A ENVOYE_Commentaires Janvier 2010" xfId="1223"/>
    <cellStyle name="_SubHeading_prestemp_Reporting Onatel Mai 2009 V 0 A ENVOYE_FAITS MARQUANTS DE SEPTEMBRE 2009" xfId="1224"/>
    <cellStyle name="_SubHeading_prestemp_Reporting Onatel Mai 2009 V 0 A ENVOYE_Flash du mois de Décembre 2009 V3 (2)" xfId="1225"/>
    <cellStyle name="_SubHeading_prestemp_Reporting Onatel Mai 2009 V 0 A ENVOYE_Flash du mois de septembre 2009 (2) (version 1)" xfId="1226"/>
    <cellStyle name="_SubHeading_prestemp_Reporting Onatel Mai 2009 V 0 A ENVOYE_Flash du mois de septembre 2009 (2) (version 1) 2" xfId="1227"/>
    <cellStyle name="_SubHeading_prestemp_Reporting Onatel Mai 2009 V 0 A ENVOYE_Flash du mois de septembre 2009 (2) (version 1)_Classeur1" xfId="1228"/>
    <cellStyle name="_SubHeading_prestemp_Reporting Onatel Mai 2009 V 0 A ENVOYE_Flash du mois de septembre 2009 (2) (version 1)_Commentaires Janvier 2010" xfId="1229"/>
    <cellStyle name="_SubHeading_prestemp_Reporting Onatel Mai 2009 V 0 A ENVOYE_Flash du mois de septembre 2009 (2) (version 1)_Flash du mois de Décembre 2009 V3 (2)" xfId="1230"/>
    <cellStyle name="_SubHeading_prestemp_Reporting Onatel Mai 2009 V 0 A ENVOYE_Flash du mois de septembre 2009 (2) (version 1)_FLASH ONATEL DU MOIS DE FEVRIER 2010 V2" xfId="1231"/>
    <cellStyle name="_SubHeading_prestemp_Reporting Onatel Mai 2009 V 0 A ENVOYE_Flash du mois de septembre 2009 (2) (version 1)_Reporting Onatel septembre  2009 V1 (4)" xfId="1232"/>
    <cellStyle name="_SubHeading_prestemp_Reporting Onatel Mai 2009 V 0 A ENVOYE_FLASH ONATEL DU MOIS DE FEVRIER 2010 V2" xfId="1233"/>
    <cellStyle name="_SubHeading_prestemp_Reporting Onatel Mai 2009 V 0 A ENVOYE_Reporting Onatel septembre  2009 préparé" xfId="1234"/>
    <cellStyle name="_SubHeading_prestemp_Reporting Onatel Mai 2009 V 0 A ENVOYE_Reporting Onatel septembre  2009 V1 (4)" xfId="1235"/>
    <cellStyle name="_SubHeading_prestemp_Reporting Onatel Mai 2009 V 0_Classeur1" xfId="1236"/>
    <cellStyle name="_SubHeading_prestemp_Reporting Onatel Mai 2009 V 0_Commentaires Janvier 2010" xfId="1237"/>
    <cellStyle name="_SubHeading_prestemp_Reporting Onatel Mai 2009 V 0_FAITS MARQUANTS DE SEPTEMBRE 2009" xfId="1238"/>
    <cellStyle name="_SubHeading_prestemp_Reporting Onatel Mai 2009 V 0_Flash du mois de Décembre 2009 V3 (2)" xfId="1239"/>
    <cellStyle name="_SubHeading_prestemp_Reporting Onatel Mai 2009 V 0_Flash du mois de septembre 2009 (2) (version 1)" xfId="1240"/>
    <cellStyle name="_SubHeading_prestemp_Reporting Onatel Mai 2009 V 0_Flash du mois de septembre 2009 (2) (version 1) 2" xfId="1241"/>
    <cellStyle name="_SubHeading_prestemp_Reporting Onatel Mai 2009 V 0_Flash du mois de septembre 2009 (2) (version 1)_Classeur1" xfId="1242"/>
    <cellStyle name="_SubHeading_prestemp_Reporting Onatel Mai 2009 V 0_Flash du mois de septembre 2009 (2) (version 1)_Commentaires Janvier 2010" xfId="1243"/>
    <cellStyle name="_SubHeading_prestemp_Reporting Onatel Mai 2009 V 0_Flash du mois de septembre 2009 (2) (version 1)_Flash du mois de Décembre 2009 V3 (2)" xfId="1244"/>
    <cellStyle name="_SubHeading_prestemp_Reporting Onatel Mai 2009 V 0_Flash du mois de septembre 2009 (2) (version 1)_FLASH ONATEL DU MOIS DE FEVRIER 2010 V2" xfId="1245"/>
    <cellStyle name="_SubHeading_prestemp_Reporting Onatel Mai 2009 V 0_Flash du mois de septembre 2009 (2) (version 1)_Reporting Onatel septembre  2009 V1 (4)" xfId="1246"/>
    <cellStyle name="_SubHeading_prestemp_Reporting Onatel Mai 2009 V 0_FLASH ONATEL DU MOIS DE FEVRIER 2010 V2" xfId="1247"/>
    <cellStyle name="_SubHeading_prestemp_Reporting Onatel Mai 2009 V 0_Reporting Onatel septembre  2009 préparé" xfId="1248"/>
    <cellStyle name="_SubHeading_prestemp_Reporting Onatel Mai 2009 V 0_Reporting Onatel septembre  2009 V1 (4)" xfId="1249"/>
    <cellStyle name="_SubHeading_prestemp_Reporting Onatel septembre  2009 préparé" xfId="1250"/>
    <cellStyle name="_SubHeading_prestemp_Reporting Onatel septembre  2009 V1 (4)" xfId="1251"/>
    <cellStyle name="_SubHeading_prestemp_Sotelma réctifié5" xfId="1252"/>
    <cellStyle name="_SubHeading_prestemp_USAi Warrants Valuation 1" xfId="1253"/>
    <cellStyle name="_Ta" xfId="1254"/>
    <cellStyle name="_tab indicat" xfId="1255"/>
    <cellStyle name="_tab indicat_Classeur1 (2)" xfId="1256"/>
    <cellStyle name="_Tabl" xfId="1257"/>
    <cellStyle name="_Table" xfId="1258"/>
    <cellStyle name="_Table_" xfId="1259"/>
    <cellStyle name="_Table_02 " xfId="1260"/>
    <cellStyle name="_Table_02 Pfd Valuation" xfId="1261"/>
    <cellStyle name="_Table_02 Pfd Valuation_Budget Telmob 2011" xfId="1262"/>
    <cellStyle name="_Table_02 Pfd Valuation_Capex- Mobile" xfId="1263"/>
    <cellStyle name="_Table_02 Pfd Valuation_commentaires fixe  internet Déc 08" xfId="1264"/>
    <cellStyle name="_Table_02 Pfd Valuation_commentaires fixe  internet Déc 08_Budget Telmob 2011" xfId="1265"/>
    <cellStyle name="_Table_02 Pfd Valuation_commentaires fixe  internet Déc 08_Capex- Mobile" xfId="1266"/>
    <cellStyle name="_Table_02 Pfd Valuation_commentaires fixe  internet Déc 08_Commentaires TBG mars" xfId="1267"/>
    <cellStyle name="_Table_02 Pfd Valuation_commentaires fixe  internet Déc 08_Commentaires TBG mars_Budget Telmob 2011" xfId="1268"/>
    <cellStyle name="_Table_02 Pfd Valuation_commentaires fixe  internet Déc 08_Commentaires TBG mars_Capex- Mobile" xfId="1269"/>
    <cellStyle name="_Table_02 Pfd Valuation_commentaires fixe  internet Déc 08_Commentaires TBG mars_Copie de Flash du mois d' avril 2009 corrigé par NAIMI" xfId="1270"/>
    <cellStyle name="_Table_02 Pfd Valuation_commentaires fixe  internet Déc 08_Commentaires TBG mars_Copie de Flash du mois d' avril 2009 corrigé par NAIMI_Budget Telmob 2011" xfId="1271"/>
    <cellStyle name="_Table_02 Pfd Valuation_commentaires fixe  internet Déc 08_Commentaires TBG mars_Copie de Flash du mois d' avril 2009 corrigé par NAIMI_Capex- Mobile" xfId="1272"/>
    <cellStyle name="_Table_02 Pfd Valuation_commentaires fixe  internet Déc 08_Commentaires TBG mars_Copie de Flash du mois d' avril 2009 corrigé par NAIMI_Flash du mois de mai 2009" xfId="1273"/>
    <cellStyle name="_Table_02 Pfd Valuation_commentaires fixe  internet Déc 08_Commentaires TBG mars_Copie de Flash du mois d' avril 2009 corrigé par NAIMI_Flash du mois de mai 2009_Budget Telmob 2011" xfId="1274"/>
    <cellStyle name="_Table_02 Pfd Valuation_commentaires fixe  internet Déc 08_Commentaires TBG mars_Copie de Flash du mois d' avril 2009 corrigé par NAIMI_Flash du mois de mai 2009_Capex- Mobile" xfId="1275"/>
    <cellStyle name="_Table_02 Pfd Valuation_commentaires fixe  internet Déc 08_Commentaires TBG mars_Copie de Flash du mois d' avril 2009 corrigé par NAIMI_Flash du mois de septembre 2009 (2) (version 1)" xfId="1276"/>
    <cellStyle name="_Table_02 Pfd Valuation_commentaires fixe  internet Déc 08_Commentaires TBG mars_Copie de Flash du mois d' avril 2009 corrigé par NAIMI_Flash du mois de septembre 2009 (2) (version 1)_Budget Telmob 2011" xfId="1277"/>
    <cellStyle name="_Table_02 Pfd Valuation_commentaires fixe  internet Déc 08_Commentaires TBG mars_Copie de Flash du mois d' avril 2009 corrigé par NAIMI_Flash du mois de septembre 2009 (2) (version 1)_Capex- Mobile" xfId="1278"/>
    <cellStyle name="_Table_02 Pfd Valuation_commentaires fixe  internet Déc 08_Commentaires TBG mars_Copie de Flash du mois d' avril 2009 corrigé par NAIMI_Reporting Onatel Mai 2009 V 0" xfId="1279"/>
    <cellStyle name="_Table_02 Pfd Valuation_commentaires fixe  internet Déc 08_Commentaires TBG mars_Copie de Flash du mois d' avril 2009 corrigé par NAIMI_Reporting Onatel Mai 2009 V 0_Budget Telmob 2011" xfId="1280"/>
    <cellStyle name="_Table_02 Pfd Valuation_commentaires fixe  internet Déc 08_Commentaires TBG mars_Copie de Flash du mois d' avril 2009 corrigé par NAIMI_Reporting Onatel Mai 2009 V 0_Capex- Mobile" xfId="1281"/>
    <cellStyle name="_Table_02 Pfd Valuation_commentaires fixe  internet Déc 08_Commentaires TBG mars_Copie de Flash du mois d' avril 2009 corrigé par NAIMI_Reporting Onatel Mai 2009 V 0_Flash du mois de septembre 2009 (2) (version 1)" xfId="1282"/>
    <cellStyle name="_Table_02 Pfd Valuation_commentaires fixe  internet Déc 08_Commentaires TBG mars_Copie de Flash du mois d' avril 2009 corrigé par NAIMI_Reporting Onatel Mai 2009 V 0_Flash du mois de septembre 2009 (2) (version 1)_Budget Telmob 2011" xfId="1283"/>
    <cellStyle name="_Table_02 Pfd Valuation_commentaires fixe  internet Déc 08_Commentaires TBG mars_Copie de Flash du mois d' avril 2009 corrigé par NAIMI_Reporting Onatel Mai 2009 V 0_Flash du mois de septembre 2009 (2) (version 1)_Capex- Mobile" xfId="1284"/>
    <cellStyle name="_Table_02 Pfd Valuation_commentaires fixe  internet Déc 08_Commentaires TBG mars_Copie de Flash du mois d' avril 2009 corrigé par NAIMI_Reporting Onatel Mai 2009 V 0_Reporting Onatel septembre  2009 préparé" xfId="1285"/>
    <cellStyle name="_Table_02 Pfd Valuation_commentaires fixe  internet Déc 08_Commentaires TBG mars_Copie de Flash du mois d' avril 2009 corrigé par NAIMI_Reporting Onatel Mai 2009 V 0_Reporting Onatel septembre  2009 préparé_Budget Telmob 2011" xfId="1286"/>
    <cellStyle name="_Table_02 Pfd Valuation_commentaires fixe  internet Déc 08_Commentaires TBG mars_Copie de Flash du mois d' avril 2009 corrigé par NAIMI_Reporting Onatel Mai 2009 V 0_Reporting Onatel septembre  2009 préparé_Capex- Mobile" xfId="1287"/>
    <cellStyle name="_Table_02 Pfd Valuation_commentaires fixe  internet Déc 08_Commentaires TBG mars_Copie de Flash du mois d' avril 2009 corrigé par NAIMI_Reporting Onatel septembre  2009 préparé" xfId="1288"/>
    <cellStyle name="_Table_02 Pfd Valuation_commentaires fixe  internet Déc 08_Commentaires TBG mars_Copie de Flash du mois d' avril 2009 corrigé par NAIMI_Reporting Onatel septembre  2009 préparé_Budget Telmob 2011" xfId="1289"/>
    <cellStyle name="_Table_02 Pfd Valuation_commentaires fixe  internet Déc 08_Commentaires TBG mars_Copie de Flash du mois d' avril 2009 corrigé par NAIMI_Reporting Onatel septembre  2009 préparé_Capex- Mobile" xfId="1290"/>
    <cellStyle name="_Table_02 Pfd Valuation_commentaires fixe  internet Déc 08_Commentaires TBG mars_Flash du mois d' avril 2009" xfId="1291"/>
    <cellStyle name="_Table_02 Pfd Valuation_commentaires fixe  internet Déc 08_Commentaires TBG mars_Flash du mois d' avril 2009_Budget Telmob 2011" xfId="1292"/>
    <cellStyle name="_Table_02 Pfd Valuation_commentaires fixe  internet Déc 08_Commentaires TBG mars_Flash du mois d' avril 2009_Capex- Mobile" xfId="1293"/>
    <cellStyle name="_Table_02 Pfd Valuation_commentaires fixe  internet Déc 08_Commentaires TBG mars_Flash du mois d' avril 2009_Flash du mois de mai 2009" xfId="1294"/>
    <cellStyle name="_Table_02 Pfd Valuation_commentaires fixe  internet Déc 08_Commentaires TBG mars_Flash du mois d' avril 2009_Flash du mois de mai 2009_Budget Telmob 2011" xfId="1295"/>
    <cellStyle name="_Table_02 Pfd Valuation_commentaires fixe  internet Déc 08_Commentaires TBG mars_Flash du mois d' avril 2009_Flash du mois de mai 2009_Capex- Mobile" xfId="1296"/>
    <cellStyle name="_Table_02 Pfd Valuation_commentaires fixe  internet Déc 08_Commentaires TBG mars_Flash du mois d' avril 2009_Flash du mois de septembre 2009 (2) (version 1)" xfId="1297"/>
    <cellStyle name="_Table_02 Pfd Valuation_commentaires fixe  internet Déc 08_Commentaires TBG mars_Flash du mois d' avril 2009_Flash du mois de septembre 2009 (2) (version 1)_Budget Telmob 2011" xfId="1298"/>
    <cellStyle name="_Table_02 Pfd Valuation_commentaires fixe  internet Déc 08_Commentaires TBG mars_Flash du mois d' avril 2009_Flash du mois de septembre 2009 (2) (version 1)_Capex- Mobile" xfId="1299"/>
    <cellStyle name="_Table_02 Pfd Valuation_commentaires fixe  internet Déc 08_Commentaires TBG mars_Flash du mois d' avril 2009_Reporting Onatel Mai 2009 V 0" xfId="1300"/>
    <cellStyle name="_Table_02 Pfd Valuation_commentaires fixe  internet Déc 08_Commentaires TBG mars_Flash du mois d' avril 2009_Reporting Onatel Mai 2009 V 0_Budget Telmob 2011" xfId="1301"/>
    <cellStyle name="_Table_02 Pfd Valuation_commentaires fixe  internet Déc 08_Commentaires TBG mars_Flash du mois d' avril 2009_Reporting Onatel Mai 2009 V 0_Capex- Mobile" xfId="1302"/>
    <cellStyle name="_Table_02 Pfd Valuation_commentaires fixe  internet Déc 08_Commentaires TBG mars_Flash du mois d' avril 2009_Reporting Onatel septembre  2009 préparé" xfId="1303"/>
    <cellStyle name="_Table_02 Pfd Valuation_commentaires fixe  internet Déc 08_Commentaires TBG mars_Flash du mois d' avril 2009_Reporting Onatel septembre  2009 préparé_Budget Telmob 2011" xfId="1304"/>
    <cellStyle name="_Table_02 Pfd Valuation_commentaires fixe  internet Déc 08_Commentaires TBG mars_Flash du mois d' avril 2009_Reporting Onatel septembre  2009 préparé_Capex- Mobile" xfId="1305"/>
    <cellStyle name="_Table_02 Pfd Valuation_commentaires fixe  internet Déc 08_Commentaires TBG mars_Flash du mois de mai 2009" xfId="1306"/>
    <cellStyle name="_Table_02 Pfd Valuation_commentaires fixe  internet Déc 08_Commentaires TBG mars_Flash du mois de mai 2009_Budget Telmob 2011" xfId="1307"/>
    <cellStyle name="_Table_02 Pfd Valuation_commentaires fixe  internet Déc 08_Commentaires TBG mars_Flash du mois de mai 2009_Capex- Mobile" xfId="1308"/>
    <cellStyle name="_Table_02 Pfd Valuation_commentaires fixe  internet Déc 08_Commentaires TBG mars_Flash du mois de septembre 2009 (2) (version 1)" xfId="1309"/>
    <cellStyle name="_Table_02 Pfd Valuation_commentaires fixe  internet Déc 08_Commentaires TBG mars_Flash du mois de septembre 2009 (2) (version 1)_Budget Telmob 2011" xfId="1310"/>
    <cellStyle name="_Table_02 Pfd Valuation_commentaires fixe  internet Déc 08_Commentaires TBG mars_Flash du mois de septembre 2009 (2) (version 1)_Capex- Mobile" xfId="1311"/>
    <cellStyle name="_Table_02 Pfd Valuation_commentaires fixe  internet Déc 08_Commentaires TBG mars_Reporting Onatel Mai 2009 V 0" xfId="1312"/>
    <cellStyle name="_Table_02 Pfd Valuation_commentaires fixe  internet Déc 08_Commentaires TBG mars_Reporting Onatel Mai 2009 V 0_Budget Telmob 2011" xfId="1313"/>
    <cellStyle name="_Table_02 Pfd Valuation_commentaires fixe  internet Déc 08_Commentaires TBG mars_Reporting Onatel Mai 2009 V 0_Capex- Mobile" xfId="1314"/>
    <cellStyle name="_Table_02 Pfd Valuation_commentaires fixe  internet Déc 08_Commentaires TBG mars_Reporting Onatel septembre  2009 préparé" xfId="1315"/>
    <cellStyle name="_Table_02 Pfd Valuation_commentaires fixe  internet Déc 08_Commentaires TBG mars_Reporting Onatel septembre  2009 préparé_Budget Telmob 2011" xfId="1316"/>
    <cellStyle name="_Table_02 Pfd Valuation_commentaires fixe  internet Déc 08_Commentaires TBG mars_Reporting Onatel septembre  2009 préparé_Capex- Mobile" xfId="1317"/>
    <cellStyle name="_Table_02 Pfd Valuation_commentaires fixe  internet Déc 08_Copie de Flash du mois d' avril 2009 corrigé par NAIMI" xfId="1318"/>
    <cellStyle name="_Table_02 Pfd Valuation_commentaires fixe  internet Déc 08_Copie de Flash du mois d' avril 2009 corrigé par NAIMI_Budget Telmob 2011" xfId="1319"/>
    <cellStyle name="_Table_02 Pfd Valuation_commentaires fixe  internet Déc 08_Copie de Flash du mois d' avril 2009 corrigé par NAIMI_Capex- Mobile" xfId="1320"/>
    <cellStyle name="_Table_02 Pfd Valuation_commentaires fixe  internet Déc 08_Copie de Flash du mois d' avril 2009 corrigé par NAIMI_Flash du mois de mai 2009" xfId="1321"/>
    <cellStyle name="_Table_02 Pfd Valuation_commentaires fixe  internet Déc 08_Copie de Flash du mois d' avril 2009 corrigé par NAIMI_Flash du mois de mai 2009_Budget Telmob 2011" xfId="1322"/>
    <cellStyle name="_Table_02 Pfd Valuation_commentaires fixe  internet Déc 08_Copie de Flash du mois d' avril 2009 corrigé par NAIMI_Flash du mois de mai 2009_Capex- Mobile" xfId="1323"/>
    <cellStyle name="_Table_02 Pfd Valuation_commentaires fixe  internet Déc 08_Copie de Flash du mois d' avril 2009 corrigé par NAIMI_Flash du mois de septembre 2009 (2) (version 1)" xfId="1324"/>
    <cellStyle name="_Table_02 Pfd Valuation_commentaires fixe  internet Déc 08_Copie de Flash du mois d' avril 2009 corrigé par NAIMI_Flash du mois de septembre 2009 (2) (version 1)_Budget Telmob 2011" xfId="1325"/>
    <cellStyle name="_Table_02 Pfd Valuation_commentaires fixe  internet Déc 08_Copie de Flash du mois d' avril 2009 corrigé par NAIMI_Flash du mois de septembre 2009 (2) (version 1)_Capex- Mobile" xfId="1326"/>
    <cellStyle name="_Table_02 Pfd Valuation_commentaires fixe  internet Déc 08_Copie de Flash du mois d' avril 2009 corrigé par NAIMI_Reporting Onatel Mai 2009 V 0" xfId="1327"/>
    <cellStyle name="_Table_02 Pfd Valuation_commentaires fixe  internet Déc 08_Copie de Flash du mois d' avril 2009 corrigé par NAIMI_Reporting Onatel Mai 2009 V 0_Budget Telmob 2011" xfId="1328"/>
    <cellStyle name="_Table_02 Pfd Valuation_commentaires fixe  internet Déc 08_Copie de Flash du mois d' avril 2009 corrigé par NAIMI_Reporting Onatel Mai 2009 V 0_Capex- Mobile" xfId="1329"/>
    <cellStyle name="_Table_02 Pfd Valuation_commentaires fixe  internet Déc 08_Copie de Flash du mois d' avril 2009 corrigé par NAIMI_Reporting Onatel Mai 2009 V 0_Flash du mois de septembre 2009 (2) (version 1)" xfId="1330"/>
    <cellStyle name="_Table_02 Pfd Valuation_commentaires fixe  internet Déc 08_Copie de Flash du mois d' avril 2009 corrigé par NAIMI_Reporting Onatel Mai 2009 V 0_Flash du mois de septembre 2009 (2) (version 1)_Budget Telmob 2011" xfId="1331"/>
    <cellStyle name="_Table_02 Pfd Valuation_commentaires fixe  internet Déc 08_Copie de Flash du mois d' avril 2009 corrigé par NAIMI_Reporting Onatel Mai 2009 V 0_Flash du mois de septembre 2009 (2) (version 1)_Capex- Mobile" xfId="1332"/>
    <cellStyle name="_Table_02 Pfd Valuation_commentaires fixe  internet Déc 08_Copie de Flash du mois d' avril 2009 corrigé par NAIMI_Reporting Onatel Mai 2009 V 0_Reporting Onatel septembre  2009 préparé" xfId="1333"/>
    <cellStyle name="_Table_02 Pfd Valuation_commentaires fixe  internet Déc 08_Copie de Flash du mois d' avril 2009 corrigé par NAIMI_Reporting Onatel Mai 2009 V 0_Reporting Onatel septembre  2009 préparé_Budget Telmob 2011" xfId="1334"/>
    <cellStyle name="_Table_02 Pfd Valuation_commentaires fixe  internet Déc 08_Copie de Flash du mois d' avril 2009 corrigé par NAIMI_Reporting Onatel Mai 2009 V 0_Reporting Onatel septembre  2009 préparé_Capex- Mobile" xfId="1335"/>
    <cellStyle name="_Table_02 Pfd Valuation_commentaires fixe  internet Déc 08_Copie de Flash du mois d' avril 2009 corrigé par NAIMI_Reporting Onatel septembre  2009 préparé" xfId="1336"/>
    <cellStyle name="_Table_02 Pfd Valuation_commentaires fixe  internet Déc 08_Copie de Flash du mois d' avril 2009 corrigé par NAIMI_Reporting Onatel septembre  2009 préparé_Budget Telmob 2011" xfId="1337"/>
    <cellStyle name="_Table_02 Pfd Valuation_commentaires fixe  internet Déc 08_Copie de Flash du mois d' avril 2009 corrigé par NAIMI_Reporting Onatel septembre  2009 préparé_Capex- Mobile" xfId="1338"/>
    <cellStyle name="_Table_02 Pfd Valuation_commentaires fixe  internet Déc 08_Flash du mois d' avril 2009" xfId="1339"/>
    <cellStyle name="_Table_02 Pfd Valuation_commentaires fixe  internet Déc 08_Flash du mois d' avril 2009_Budget Telmob 2011" xfId="1340"/>
    <cellStyle name="_Table_02 Pfd Valuation_commentaires fixe  internet Déc 08_Flash du mois d' avril 2009_Capex- Mobile" xfId="1341"/>
    <cellStyle name="_Table_02 Pfd Valuation_commentaires fixe  internet Déc 08_Flash du mois d' avril 2009_Flash du mois de mai 2009" xfId="1342"/>
    <cellStyle name="_Table_02 Pfd Valuation_commentaires fixe  internet Déc 08_Flash du mois d' avril 2009_Flash du mois de mai 2009_Budget Telmob 2011" xfId="1343"/>
    <cellStyle name="_Table_02 Pfd Valuation_commentaires fixe  internet Déc 08_Flash du mois d' avril 2009_Flash du mois de mai 2009_Capex- Mobile" xfId="1344"/>
    <cellStyle name="_Table_02 Pfd Valuation_commentaires fixe  internet Déc 08_Flash du mois d' avril 2009_Flash du mois de septembre 2009 (2) (version 1)" xfId="1345"/>
    <cellStyle name="_Table_02 Pfd Valuation_commentaires fixe  internet Déc 08_Flash du mois d' avril 2009_Flash du mois de septembre 2009 (2) (version 1)_Budget Telmob 2011" xfId="1346"/>
    <cellStyle name="_Table_02 Pfd Valuation_commentaires fixe  internet Déc 08_Flash du mois d' avril 2009_Flash du mois de septembre 2009 (2) (version 1)_Capex- Mobile" xfId="1347"/>
    <cellStyle name="_Table_02 Pfd Valuation_commentaires fixe  internet Déc 08_Flash du mois d' avril 2009_Reporting Onatel Mai 2009 V 0" xfId="1348"/>
    <cellStyle name="_Table_02 Pfd Valuation_commentaires fixe  internet Déc 08_Flash du mois d' avril 2009_Reporting Onatel Mai 2009 V 0_Budget Telmob 2011" xfId="1349"/>
    <cellStyle name="_Table_02 Pfd Valuation_commentaires fixe  internet Déc 08_Flash du mois d' avril 2009_Reporting Onatel Mai 2009 V 0_Capex- Mobile" xfId="1350"/>
    <cellStyle name="_Table_02 Pfd Valuation_commentaires fixe  internet Déc 08_Flash du mois d' avril 2009_Reporting Onatel septembre  2009 préparé" xfId="1351"/>
    <cellStyle name="_Table_02 Pfd Valuation_commentaires fixe  internet Déc 08_Flash du mois d' avril 2009_Reporting Onatel septembre  2009 préparé_Budget Telmob 2011" xfId="1352"/>
    <cellStyle name="_Table_02 Pfd Valuation_commentaires fixe  internet Déc 08_Flash du mois d' avril 2009_Reporting Onatel septembre  2009 préparé_Capex- Mobile" xfId="1353"/>
    <cellStyle name="_Table_02 Pfd Valuation_commentaires fixe  internet Déc 08_Flash du mois de mai 2009" xfId="1354"/>
    <cellStyle name="_Table_02 Pfd Valuation_commentaires fixe  internet Déc 08_Flash du mois de mai 2009_Budget Telmob 2011" xfId="1355"/>
    <cellStyle name="_Table_02 Pfd Valuation_commentaires fixe  internet Déc 08_Flash du mois de mai 2009_Capex- Mobile" xfId="1356"/>
    <cellStyle name="_Table_02 Pfd Valuation_commentaires fixe  internet Déc 08_Flash du mois de septembre 2009 (2) (version 1)" xfId="1357"/>
    <cellStyle name="_Table_02 Pfd Valuation_commentaires fixe  internet Déc 08_Flash du mois de septembre 2009 (2) (version 1)_Budget Telmob 2011" xfId="1358"/>
    <cellStyle name="_Table_02 Pfd Valuation_commentaires fixe  internet Déc 08_Flash du mois de septembre 2009 (2) (version 1)_Capex- Mobile" xfId="1359"/>
    <cellStyle name="_Table_02 Pfd Valuation_commentaires fixe  internet Déc 08_Reporting Onatel Avril 2009 V0" xfId="1360"/>
    <cellStyle name="_Table_02 Pfd Valuation_commentaires fixe  internet Déc 08_Reporting Onatel Avril 2009 V0_Budget Telmob 2011" xfId="1361"/>
    <cellStyle name="_Table_02 Pfd Valuation_commentaires fixe  internet Déc 08_Reporting Onatel Avril 2009 V0_Capex- Mobile" xfId="1362"/>
    <cellStyle name="_Table_02 Pfd Valuation_commentaires fixe  internet Déc 08_Reporting Onatel Avril 2009 V0_Copie de Flash du mois d' avril 2009 corrigé par NAIMI" xfId="1363"/>
    <cellStyle name="_Table_02 Pfd Valuation_commentaires fixe  internet Déc 08_Reporting Onatel Avril 2009 V0_Copie de Flash du mois d' avril 2009 corrigé par NAIMI_Budget Telmob 2011" xfId="1364"/>
    <cellStyle name="_Table_02 Pfd Valuation_commentaires fixe  internet Déc 08_Reporting Onatel Avril 2009 V0_Copie de Flash du mois d' avril 2009 corrigé par NAIMI_Capex- Mobile" xfId="1365"/>
    <cellStyle name="_Table_02 Pfd Valuation_commentaires fixe  internet Déc 08_Reporting Onatel Avril 2009 V0_Copie de Flash du mois d' avril 2009 corrigé par NAIMI_Flash du mois de mai 2009" xfId="1366"/>
    <cellStyle name="_Table_02 Pfd Valuation_commentaires fixe  internet Déc 08_Reporting Onatel Avril 2009 V0_Copie de Flash du mois d' avril 2009 corrigé par NAIMI_Flash du mois de mai 2009_Budget Telmob 2011" xfId="1367"/>
    <cellStyle name="_Table_02 Pfd Valuation_commentaires fixe  internet Déc 08_Reporting Onatel Avril 2009 V0_Copie de Flash du mois d' avril 2009 corrigé par NAIMI_Flash du mois de mai 2009_Capex- Mobile" xfId="1368"/>
    <cellStyle name="_Table_02 Pfd Valuation_commentaires fixe  internet Déc 08_Reporting Onatel Avril 2009 V0_Copie de Flash du mois d' avril 2009 corrigé par NAIMI_Flash du mois de septembre 2009 (2) (version 1)" xfId="1369"/>
    <cellStyle name="_Table_02 Pfd Valuation_commentaires fixe  internet Déc 08_Reporting Onatel Avril 2009 V0_Copie de Flash du mois d' avril 2009 corrigé par NAIMI_Flash du mois de septembre 2009 (2) (version 1)_Budget Telmob 2011" xfId="1370"/>
    <cellStyle name="_Table_02 Pfd Valuation_commentaires fixe  internet Déc 08_Reporting Onatel Avril 2009 V0_Copie de Flash du mois d' avril 2009 corrigé par NAIMI_Flash du mois de septembre 2009 (2) (version 1)_Capex- Mobile" xfId="1371"/>
    <cellStyle name="_Table_02 Pfd Valuation_commentaires fixe  internet Déc 08_Reporting Onatel Avril 2009 V0_Copie de Flash du mois d' avril 2009 corrigé par NAIMI_Reporting Onatel Mai 2009 V 0" xfId="1372"/>
    <cellStyle name="_Table_02 Pfd Valuation_commentaires fixe  internet Déc 08_Reporting Onatel Avril 2009 V0_Copie de Flash du mois d' avril 2009 corrigé par NAIMI_Reporting Onatel Mai 2009 V 0_Budget Telmob 2011" xfId="1373"/>
    <cellStyle name="_Table_02 Pfd Valuation_commentaires fixe  internet Déc 08_Reporting Onatel Avril 2009 V0_Copie de Flash du mois d' avril 2009 corrigé par NAIMI_Reporting Onatel Mai 2009 V 0_Capex- Mobile" xfId="1374"/>
    <cellStyle name="_Table_02 Pfd Valuation_commentaires fixe  internet Déc 08_Reporting Onatel Avril 2009 V0_Copie de Flash du mois d' avril 2009 corrigé par NAIMI_Reporting Onatel Mai 2009 V 0_Flash du mois de septembre 2009 (2) (version 1)" xfId="1375"/>
    <cellStyle name="_Table_02 Pfd Valuation_commentaires fixe  internet Déc 08_Reporting Onatel Avril 2009 V0_Copie de Flash du mois d' avril 2009 corrigé par NAIMI_Reporting Onatel Mai 2009 V 0_Flash du mois de septembre 2009 (2) (version 1)_Budget Telmob 2011" xfId="1376"/>
    <cellStyle name="_Table_02 Pfd Valuation_commentaires fixe  internet Déc 08_Reporting Onatel Avril 2009 V0_Copie de Flash du mois d' avril 2009 corrigé par NAIMI_Reporting Onatel Mai 2009 V 0_Flash du mois de septembre 2009 (2) (version 1)_Capex- Mobile" xfId="1377"/>
    <cellStyle name="_Table_02 Pfd Valuation_commentaires fixe  internet Déc 08_Reporting Onatel Avril 2009 V0_Copie de Flash du mois d' avril 2009 corrigé par NAIMI_Reporting Onatel Mai 2009 V 0_Reporting Onatel septembre  2009 préparé" xfId="1378"/>
    <cellStyle name="_Table_02 Pfd Valuation_commentaires fixe  internet Déc 08_Reporting Onatel Avril 2009 V0_Copie de Flash du mois d' avril 2009 corrigé par NAIMI_Reporting Onatel Mai 2009 V 0_Reporting Onatel septembre  2009 préparé_Budget Telmob 2011" xfId="1379"/>
    <cellStyle name="_Table_02 Pfd Valuation_commentaires fixe  internet Déc 08_Reporting Onatel Avril 2009 V0_Copie de Flash du mois d' avril 2009 corrigé par NAIMI_Reporting Onatel Mai 2009 V 0_Reporting Onatel septembre  2009 préparé_Capex- Mobile" xfId="1380"/>
    <cellStyle name="_Table_02 Pfd Valuation_commentaires fixe  internet Déc 08_Reporting Onatel Avril 2009 V0_Copie de Flash du mois d' avril 2009 corrigé par NAIMI_Reporting Onatel septembre  2009 préparé" xfId="1381"/>
    <cellStyle name="_Table_02 Pfd Valuation_commentaires fixe  internet Déc 08_Reporting Onatel Avril 2009 V0_Copie de Flash du mois d' avril 2009 corrigé par NAIMI_Reporting Onatel septembre  2009 préparé_Budget Telmob 2011" xfId="1382"/>
    <cellStyle name="_Table_02 Pfd Valuation_commentaires fixe  internet Déc 08_Reporting Onatel Avril 2009 V0_Copie de Flash du mois d' avril 2009 corrigé par NAIMI_Reporting Onatel septembre  2009 préparé_Capex- Mobile" xfId="1383"/>
    <cellStyle name="_Table_02 Pfd Valuation_commentaires fixe  internet Déc 08_Reporting Onatel Avril 2009 V0_Flash du mois de mai 2009" xfId="1384"/>
    <cellStyle name="_Table_02 Pfd Valuation_commentaires fixe  internet Déc 08_Reporting Onatel Avril 2009 V0_Flash du mois de mai 2009_Budget Telmob 2011" xfId="1385"/>
    <cellStyle name="_Table_02 Pfd Valuation_commentaires fixe  internet Déc 08_Reporting Onatel Avril 2009 V0_Flash du mois de mai 2009_Capex- Mobile" xfId="1386"/>
    <cellStyle name="_Table_02 Pfd Valuation_commentaires fixe  internet Déc 08_Reporting Onatel Avril 2009 V0_Flash du mois de septembre 2009 (2) (version 1)" xfId="1387"/>
    <cellStyle name="_Table_02 Pfd Valuation_commentaires fixe  internet Déc 08_Reporting Onatel Avril 2009 V0_Flash du mois de septembre 2009 (2) (version 1)_Budget Telmob 2011" xfId="1388"/>
    <cellStyle name="_Table_02 Pfd Valuation_commentaires fixe  internet Déc 08_Reporting Onatel Avril 2009 V0_Flash du mois de septembre 2009 (2) (version 1)_Capex- Mobile" xfId="1389"/>
    <cellStyle name="_Table_02 Pfd Valuation_commentaires fixe  internet Déc 08_Reporting Onatel Avril 2009 V0_Reporting Onatel Mai 2009 V 0" xfId="1390"/>
    <cellStyle name="_Table_02 Pfd Valuation_commentaires fixe  internet Déc 08_Reporting Onatel Avril 2009 V0_Reporting Onatel Mai 2009 V 0_Budget Telmob 2011" xfId="1391"/>
    <cellStyle name="_Table_02 Pfd Valuation_commentaires fixe  internet Déc 08_Reporting Onatel Avril 2009 V0_Reporting Onatel Mai 2009 V 0_Capex- Mobile" xfId="1392"/>
    <cellStyle name="_Table_02 Pfd Valuation_commentaires fixe  internet Déc 08_Reporting Onatel Avril 2009 V0_Reporting Onatel septembre  2009 préparé" xfId="1393"/>
    <cellStyle name="_Table_02 Pfd Valuation_commentaires fixe  internet Déc 08_Reporting Onatel Avril 2009 V0_Reporting Onatel septembre  2009 préparé_Budget Telmob 2011" xfId="1394"/>
    <cellStyle name="_Table_02 Pfd Valuation_commentaires fixe  internet Déc 08_Reporting Onatel Avril 2009 V0_Reporting Onatel septembre  2009 préparé_Capex- Mobile" xfId="1395"/>
    <cellStyle name="_Table_02 Pfd Valuation_commentaires fixe  internet Déc 08_Reporting Onatel Mai 2009 V 0" xfId="1396"/>
    <cellStyle name="_Table_02 Pfd Valuation_commentaires fixe  internet Déc 08_Reporting Onatel Mai 2009 V 0 A ENVOYE" xfId="1397"/>
    <cellStyle name="_Table_02 Pfd Valuation_commentaires fixe  internet Déc 08_Reporting Onatel Mai 2009 V 0 A ENVOYE_Budget Telmob 2011" xfId="1398"/>
    <cellStyle name="_Table_02 Pfd Valuation_commentaires fixe  internet Déc 08_Reporting Onatel Mai 2009 V 0 A ENVOYE_Capex- Mobile" xfId="1399"/>
    <cellStyle name="_Table_02 Pfd Valuation_commentaires fixe  internet Déc 08_Reporting Onatel Mai 2009 V 0 A ENVOYE_Flash du mois de septembre 2009 (2) (version 1)" xfId="1400"/>
    <cellStyle name="_Table_02 Pfd Valuation_commentaires fixe  internet Déc 08_Reporting Onatel Mai 2009 V 0 A ENVOYE_Flash du mois de septembre 2009 (2) (version 1)_Budget Telmob 2011" xfId="1401"/>
    <cellStyle name="_Table_02 Pfd Valuation_commentaires fixe  internet Déc 08_Reporting Onatel Mai 2009 V 0 A ENVOYE_Flash du mois de septembre 2009 (2) (version 1)_Capex- Mobile" xfId="1402"/>
    <cellStyle name="_Table_02 Pfd Valuation_commentaires fixe  internet Déc 08_Reporting Onatel Mai 2009 V 0 A ENVOYE_Reporting Onatel septembre  2009 préparé" xfId="1403"/>
    <cellStyle name="_Table_02 Pfd Valuation_commentaires fixe  internet Déc 08_Reporting Onatel Mai 2009 V 0 A ENVOYE_Reporting Onatel septembre  2009 préparé_Budget Telmob 2011" xfId="1404"/>
    <cellStyle name="_Table_02 Pfd Valuation_commentaires fixe  internet Déc 08_Reporting Onatel Mai 2009 V 0 A ENVOYE_Reporting Onatel septembre  2009 préparé_Capex- Mobile" xfId="1405"/>
    <cellStyle name="_Table_02 Pfd Valuation_commentaires fixe  internet Déc 08_Reporting Onatel Mai 2009 V 0_Budget Telmob 2011" xfId="1406"/>
    <cellStyle name="_Table_02 Pfd Valuation_commentaires fixe  internet Déc 08_Reporting Onatel Mai 2009 V 0_Capex- Mobile" xfId="1407"/>
    <cellStyle name="_Table_02 Pfd Valuation_commentaires fixe  internet Déc 08_Reporting Onatel septembre  2009 préparé" xfId="1408"/>
    <cellStyle name="_Table_02 Pfd Valuation_commentaires fixe  internet Déc 08_Reporting Onatel septembre  2009 préparé_Budget Telmob 2011" xfId="1409"/>
    <cellStyle name="_Table_02 Pfd Valuation_commentaires fixe  internet Déc 08_Reporting Onatel septembre  2009 préparé_Capex- Mobile" xfId="1410"/>
    <cellStyle name="_Table_02 Pfd Valuation_commentaires fixe  internet Déc 08_TBG Onatel Février  2009  Vtbg V3" xfId="1411"/>
    <cellStyle name="_Table_02 Pfd Valuation_commentaires fixe  internet Déc 08_TBG Onatel Février  2009  Vtbg V3_Budget Telmob 2011" xfId="1412"/>
    <cellStyle name="_Table_02 Pfd Valuation_commentaires fixe  internet Déc 08_TBG Onatel Février  2009  Vtbg V3_Capex- Mobile" xfId="1413"/>
    <cellStyle name="_Table_02 Pfd Valuation_commentaires fixe  internet Déc 08_TBG Onatel Février  2009  Vtbg V3_Commentaires TBG mars" xfId="1414"/>
    <cellStyle name="_Table_02 Pfd Valuation_commentaires fixe  internet Déc 08_TBG Onatel Février  2009  Vtbg V3_Commentaires TBG mars_Budget Telmob 2011" xfId="1415"/>
    <cellStyle name="_Table_02 Pfd Valuation_commentaires fixe  internet Déc 08_TBG Onatel Février  2009  Vtbg V3_Commentaires TBG mars_Capex- Mobile" xfId="1416"/>
    <cellStyle name="_Table_02 Pfd Valuation_commentaires fixe  internet Déc 08_TBG Onatel Février  2009  Vtbg V3_Commentaires TBG mars_Copie de Flash du mois d' avril 2009 corrigé par NAIMI" xfId="1417"/>
    <cellStyle name="_Table_02 Pfd Valuation_commentaires fixe  internet Déc 08_TBG Onatel Février  2009  Vtbg V3_Commentaires TBG mars_Copie de Flash du mois d' avril 2009 corrigé par NAIMI_Budget Telmob 2011" xfId="1418"/>
    <cellStyle name="_Table_02 Pfd Valuation_commentaires fixe  internet Déc 08_TBG Onatel Février  2009  Vtbg V3_Commentaires TBG mars_Copie de Flash du mois d' avril 2009 corrigé par NAIMI_Capex- Mobile" xfId="1419"/>
    <cellStyle name="_Table_02 Pfd Valuation_commentaires fixe  internet Déc 08_TBG Onatel Février  2009  Vtbg V3_Commentaires TBG mars_Copie de Flash du mois d' avril 2009 corrigé par NAIMI_Flash du mois de mai 2009" xfId="1420"/>
    <cellStyle name="_Table_02 Pfd Valuation_commentaires fixe  internet Déc 08_TBG Onatel Février  2009  Vtbg V3_Commentaires TBG mars_Copie de Flash du mois d' avril 2009 corrigé par NAIMI_Flash du mois de mai 2009_Budget Telmob 2011" xfId="1421"/>
    <cellStyle name="_Table_02 Pfd Valuation_commentaires fixe  internet Déc 08_TBG Onatel Février  2009  Vtbg V3_Commentaires TBG mars_Copie de Flash du mois d' avril 2009 corrigé par NAIMI_Flash du mois de mai 2009_Capex- Mobile" xfId="1422"/>
    <cellStyle name="_Table_02 Pfd Valuation_commentaires fixe  internet Déc 08_TBG Onatel Février  2009  Vtbg V3_Commentaires TBG mars_Copie de Flash du mois d' avril 2009 corrigé par NAIMI_Flash du mois de septembre 2009 (2) (version 1)" xfId="1423"/>
    <cellStyle name="_Table_02 Pfd Valuation_commentaires fixe  internet Déc 08_TBG Onatel Février  2009  Vtbg V3_Commentaires TBG mars_Copie de Flash du mois d' avril 2009 corrigé par NAIMI_Flash du mois de septembre 2009 (2) (version 1)_Budget Telmob 2011" xfId="1424"/>
    <cellStyle name="_Table_02 Pfd Valuation_commentaires fixe  internet Déc 08_TBG Onatel Février  2009  Vtbg V3_Commentaires TBG mars_Copie de Flash du mois d' avril 2009 corrigé par NAIMI_Flash du mois de septembre 2009 (2) (version 1)_Capex- Mobile" xfId="1425"/>
    <cellStyle name="_Table_02 Pfd Valuation_commentaires fixe  internet Déc 08_TBG Onatel Février  2009  Vtbg V3_Commentaires TBG mars_Copie de Flash du mois d' avril 2009 corrigé par NAIMI_Reporting Onatel Mai 2009 V 0" xfId="1426"/>
    <cellStyle name="_Table_02 Pfd Valuation_commentaires fixe  internet Déc 08_TBG Onatel Février  2009  Vtbg V3_Commentaires TBG mars_Copie de Flash du mois d' avril 2009 corrigé par NAIMI_Reporting Onatel Mai 2009 V 0_Budget Telmob 2011" xfId="1427"/>
    <cellStyle name="_Table_02 Pfd Valuation_commentaires fixe  internet Déc 08_TBG Onatel Février  2009  Vtbg V3_Commentaires TBG mars_Copie de Flash du mois d' avril 2009 corrigé par NAIMI_Reporting Onatel Mai 2009 V 0_Capex- Mobile" xfId="1428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1429"/>
    <cellStyle name="_Table_02 Pfd Valuation_commentaires fixe  internet Déc 08_TBG Onatel Février  2009  Vtbg V3_Commentaires TBG mars_Copie de Flash du mois d' avril 2009 corrigé par NAIMI_Reporting Onatel Mai 2009 V 0_Reporting Onatel septembre  2009 préparé" xfId="1430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1431"/>
    <cellStyle name="_Table_02 Pfd Valuation_commentaires fixe  internet Déc 08_TBG Onatel Février  2009  Vtbg V3_Commentaires TBG mars_Copie de Flash du mois d' avril 2009 corrigé par NAIMI_Reporting Onatel septembre  2009 préparé" xfId="1432"/>
    <cellStyle name="_Table_02 Pfd Valuation_commentaires fixe  internet Déc 08_TBG Onatel Février  2009  Vtbg V3_Commentaires TBG mars_Copie de Flash du mois d' avril 2009 corrigé par NAIMI_Reporting Onatel septembre  2009 préparé_Budget Telmob 2011" xfId="1433"/>
    <cellStyle name="_Table_02 Pfd Valuation_commentaires fixe  internet Déc 08_TBG Onatel Février  2009  Vtbg V3_Commentaires TBG mars_Copie de Flash du mois d' avril 2009 corrigé par NAIMI_Reporting Onatel septembre  2009 préparé_Capex- Mobile" xfId="1434"/>
    <cellStyle name="_Table_02 Pfd Valuation_commentaires fixe  internet Déc 08_TBG Onatel Février  2009  Vtbg V3_Commentaires TBG mars_Flash du mois d' avril 2009" xfId="1435"/>
    <cellStyle name="_Table_02 Pfd Valuation_commentaires fixe  internet Déc 08_TBG Onatel Février  2009  Vtbg V3_Commentaires TBG mars_Flash du mois d' avril 2009_Budget Telmob 2011" xfId="1436"/>
    <cellStyle name="_Table_02 Pfd Valuation_commentaires fixe  internet Déc 08_TBG Onatel Février  2009  Vtbg V3_Commentaires TBG mars_Flash du mois d' avril 2009_Capex- Mobile" xfId="1437"/>
    <cellStyle name="_Table_02 Pfd Valuation_commentaires fixe  internet Déc 08_TBG Onatel Février  2009  Vtbg V3_Commentaires TBG mars_Flash du mois d' avril 2009_Flash du mois de mai 2009" xfId="1438"/>
    <cellStyle name="_Table_02 Pfd Valuation_commentaires fixe  internet Déc 08_TBG Onatel Février  2009  Vtbg V3_Commentaires TBG mars_Flash du mois d' avril 2009_Flash du mois de mai 2009_Budget Telmob 2011" xfId="1439"/>
    <cellStyle name="_Table_02 Pfd Valuation_commentaires fixe  internet Déc 08_TBG Onatel Février  2009  Vtbg V3_Commentaires TBG mars_Flash du mois d' avril 2009_Flash du mois de mai 2009_Capex- Mobile" xfId="1440"/>
    <cellStyle name="_Table_02 Pfd Valuation_commentaires fixe  internet Déc 08_TBG Onatel Février  2009  Vtbg V3_Commentaires TBG mars_Flash du mois d' avril 2009_Flash du mois de septembre 2009 (2) (version 1)" xfId="1441"/>
    <cellStyle name="_Table_02 Pfd Valuation_commentaires fixe  internet Déc 08_TBG Onatel Février  2009  Vtbg V3_Commentaires TBG mars_Flash du mois d' avril 2009_Flash du mois de septembre 2009 (2) (version 1)_Budget Telmob 2011" xfId="1442"/>
    <cellStyle name="_Table_02 Pfd Valuation_commentaires fixe  internet Déc 08_TBG Onatel Février  2009  Vtbg V3_Commentaires TBG mars_Flash du mois d' avril 2009_Flash du mois de septembre 2009 (2) (version 1)_Capex- Mobile" xfId="1443"/>
    <cellStyle name="_Table_02 Pfd Valuation_commentaires fixe  internet Déc 08_TBG Onatel Février  2009  Vtbg V3_Commentaires TBG mars_Flash du mois d' avril 2009_Reporting Onatel Mai 2009 V 0" xfId="1444"/>
    <cellStyle name="_Table_02 Pfd Valuation_commentaires fixe  internet Déc 08_TBG Onatel Février  2009  Vtbg V3_Commentaires TBG mars_Flash du mois d' avril 2009_Reporting Onatel Mai 2009 V 0_Budget Telmob 2011" xfId="1445"/>
    <cellStyle name="_Table_02 Pfd Valuation_commentaires fixe  internet Déc 08_TBG Onatel Février  2009  Vtbg V3_Commentaires TBG mars_Flash du mois d' avril 2009_Reporting Onatel Mai 2009 V 0_Capex- Mobile" xfId="1446"/>
    <cellStyle name="_Table_02 Pfd Valuation_commentaires fixe  internet Déc 08_TBG Onatel Février  2009  Vtbg V3_Commentaires TBG mars_Flash du mois d' avril 2009_Reporting Onatel septembre  2009 préparé" xfId="1447"/>
    <cellStyle name="_Table_02 Pfd Valuation_commentaires fixe  internet Déc 08_TBG Onatel Février  2009  Vtbg V3_Commentaires TBG mars_Flash du mois d' avril 2009_Reporting Onatel septembre  2009 préparé_Budget Telmob 2011" xfId="1448"/>
    <cellStyle name="_Table_02 Pfd Valuation_commentaires fixe  internet Déc 08_TBG Onatel Février  2009  Vtbg V3_Commentaires TBG mars_Flash du mois d' avril 2009_Reporting Onatel septembre  2009 préparé_Capex- Mobile" xfId="1449"/>
    <cellStyle name="_Table_02 Pfd Valuation_commentaires fixe  internet Déc 08_TBG Onatel Février  2009  Vtbg V3_Commentaires TBG mars_Flash du mois de mai 2009" xfId="1450"/>
    <cellStyle name="_Table_02 Pfd Valuation_commentaires fixe  internet Déc 08_TBG Onatel Février  2009  Vtbg V3_Commentaires TBG mars_Flash du mois de mai 2009_Budget Telmob 2011" xfId="1451"/>
    <cellStyle name="_Table_02 Pfd Valuation_commentaires fixe  internet Déc 08_TBG Onatel Février  2009  Vtbg V3_Commentaires TBG mars_Flash du mois de mai 2009_Capex- Mobile" xfId="1452"/>
    <cellStyle name="_Table_02 Pfd Valuation_commentaires fixe  internet Déc 08_TBG Onatel Février  2009  Vtbg V3_Commentaires TBG mars_Flash du mois de septembre 2009 (2) (version 1)" xfId="1453"/>
    <cellStyle name="_Table_02 Pfd Valuation_commentaires fixe  internet Déc 08_TBG Onatel Février  2009  Vtbg V3_Commentaires TBG mars_Flash du mois de septembre 2009 (2) (version 1)_Budget Telmob 2011" xfId="1454"/>
    <cellStyle name="_Table_02 Pfd Valuation_commentaires fixe  internet Déc 08_TBG Onatel Février  2009  Vtbg V3_Commentaires TBG mars_Flash du mois de septembre 2009 (2) (version 1)_Capex- Mobile" xfId="1455"/>
    <cellStyle name="_Table_02 Pfd Valuation_commentaires fixe  internet Déc 08_TBG Onatel Février  2009  Vtbg V3_Commentaires TBG mars_Reporting Onatel Mai 2009 V 0" xfId="1456"/>
    <cellStyle name="_Table_02 Pfd Valuation_commentaires fixe  internet Déc 08_TBG Onatel Février  2009  Vtbg V3_Commentaires TBG mars_Reporting Onatel Mai 2009 V 0_Budget Telmob 2011" xfId="1457"/>
    <cellStyle name="_Table_02 Pfd Valuation_commentaires fixe  internet Déc 08_TBG Onatel Février  2009  Vtbg V3_Commentaires TBG mars_Reporting Onatel Mai 2009 V 0_Capex- Mobile" xfId="1458"/>
    <cellStyle name="_Table_02 Pfd Valuation_commentaires fixe  internet Déc 08_TBG Onatel Février  2009  Vtbg V3_Commentaires TBG mars_Reporting Onatel septembre  2009 préparé" xfId="1459"/>
    <cellStyle name="_Table_02 Pfd Valuation_commentaires fixe  internet Déc 08_TBG Onatel Février  2009  Vtbg V3_Commentaires TBG mars_Reporting Onatel septembre  2009 préparé_Budget Telmob 2011" xfId="1460"/>
    <cellStyle name="_Table_02 Pfd Valuation_commentaires fixe  internet Déc 08_TBG Onatel Février  2009  Vtbg V3_Commentaires TBG mars_Reporting Onatel septembre  2009 préparé_Capex- Mobile" xfId="1461"/>
    <cellStyle name="_Table_02 Pfd Valuation_commentaires fixe  internet Déc 08_TBG Onatel Février  2009  Vtbg V3_Copie de Flash du mois d' avril 2009 corrigé par NAIMI" xfId="1462"/>
    <cellStyle name="_Table_02 Pfd Valuation_commentaires fixe  internet Déc 08_TBG Onatel Février  2009  Vtbg V3_Copie de Flash du mois d' avril 2009 corrigé par NAIMI_Budget Telmob 2011" xfId="1463"/>
    <cellStyle name="_Table_02 Pfd Valuation_commentaires fixe  internet Déc 08_TBG Onatel Février  2009  Vtbg V3_Copie de Flash du mois d' avril 2009 corrigé par NAIMI_Capex- Mobile" xfId="1464"/>
    <cellStyle name="_Table_02 Pfd Valuation_commentaires fixe  internet Déc 08_TBG Onatel Février  2009  Vtbg V3_Copie de Flash du mois d' avril 2009 corrigé par NAIMI_Flash du mois de mai 2009" xfId="1465"/>
    <cellStyle name="_Table_02 Pfd Valuation_commentaires fixe  internet Déc 08_TBG Onatel Février  2009  Vtbg V3_Copie de Flash du mois d' avril 2009 corrigé par NAIMI_Flash du mois de mai 2009_Budget Telmob 2011" xfId="1466"/>
    <cellStyle name="_Table_02 Pfd Valuation_commentaires fixe  internet Déc 08_TBG Onatel Février  2009  Vtbg V3_Copie de Flash du mois d' avril 2009 corrigé par NAIMI_Flash du mois de mai 2009_Capex- Mobile" xfId="1467"/>
    <cellStyle name="_Table_02 Pfd Valuation_commentaires fixe  internet Déc 08_TBG Onatel Février  2009  Vtbg V3_Copie de Flash du mois d' avril 2009 corrigé par NAIMI_Flash du mois de septembre 2009 (2) (version 1)" xfId="1468"/>
    <cellStyle name="_Table_02 Pfd Valuation_commentaires fixe  internet Déc 08_TBG Onatel Février  2009  Vtbg V3_Copie de Flash du mois d' avril 2009 corrigé par NAIMI_Flash du mois de septembre 2009 (2) (version 1)_Budget Telmob 2011" xfId="1469"/>
    <cellStyle name="_Table_02 Pfd Valuation_commentaires fixe  internet Déc 08_TBG Onatel Février  2009  Vtbg V3_Copie de Flash du mois d' avril 2009 corrigé par NAIMI_Flash du mois de septembre 2009 (2) (version 1)_Capex- Mobile" xfId="1470"/>
    <cellStyle name="_Table_02 Pfd Valuation_commentaires fixe  internet Déc 08_TBG Onatel Février  2009  Vtbg V3_Copie de Flash du mois d' avril 2009 corrigé par NAIMI_Reporting Onatel Mai 2009 V 0" xfId="1471"/>
    <cellStyle name="_Table_02 Pfd Valuation_commentaires fixe  internet Déc 08_TBG Onatel Février  2009  Vtbg V3_Copie de Flash du mois d' avril 2009 corrigé par NAIMI_Reporting Onatel Mai 2009 V 0_Budget Telmob 2011" xfId="1472"/>
    <cellStyle name="_Table_02 Pfd Valuation_commentaires fixe  internet Déc 08_TBG Onatel Février  2009  Vtbg V3_Copie de Flash du mois d' avril 2009 corrigé par NAIMI_Reporting Onatel Mai 2009 V 0_Capex- Mobile" xfId="1473"/>
    <cellStyle name="_Table_02 Pfd Valuation_commentaires fixe  internet Déc 08_TBG Onatel Février  2009  Vtbg V3_Copie de Flash du mois d' avril 2009 corrigé par NAIMI_Reporting Onatel Mai 2009 V 0_Flash du mois de septembre 2009 (2) (version 1)" xfId="1474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1475"/>
    <cellStyle name="_Table_02 Pfd Valuation_commentaires fixe  internet Déc 08_TBG Onatel Février  2009  Vtbg V3_Copie de Flash du mois d' avril 2009 corrigé par NAIMI_Reporting Onatel Mai 2009 V 0_Flash du mois de septembre 2009 (2) (version 1)_Capex- Mobile" xfId="1476"/>
    <cellStyle name="_Table_02 Pfd Valuation_commentaires fixe  internet Déc 08_TBG Onatel Février  2009  Vtbg V3_Copie de Flash du mois d' avril 2009 corrigé par NAIMI_Reporting Onatel Mai 2009 V 0_Reporting Onatel septembre  2009 préparé" xfId="1477"/>
    <cellStyle name="_Table_02 Pfd Valuation_commentaires fixe  internet Déc 08_TBG Onatel Février  2009  Vtbg V3_Copie de Flash du mois d' avril 2009 corrigé par NAIMI_Reporting Onatel Mai 2009 V 0_Reporting Onatel septembre  2009 préparé_Budget Telmob 2011" xfId="1478"/>
    <cellStyle name="_Table_02 Pfd Valuation_commentaires fixe  internet Déc 08_TBG Onatel Février  2009  Vtbg V3_Copie de Flash du mois d' avril 2009 corrigé par NAIMI_Reporting Onatel Mai 2009 V 0_Reporting Onatel septembre  2009 préparé_Capex- Mobile" xfId="1479"/>
    <cellStyle name="_Table_02 Pfd Valuation_commentaires fixe  internet Déc 08_TBG Onatel Février  2009  Vtbg V3_Copie de Flash du mois d' avril 2009 corrigé par NAIMI_Reporting Onatel septembre  2009 préparé" xfId="1480"/>
    <cellStyle name="_Table_02 Pfd Valuation_commentaires fixe  internet Déc 08_TBG Onatel Février  2009  Vtbg V3_Copie de Flash du mois d' avril 2009 corrigé par NAIMI_Reporting Onatel septembre  2009 préparé_Budget Telmob 2011" xfId="1481"/>
    <cellStyle name="_Table_02 Pfd Valuation_commentaires fixe  internet Déc 08_TBG Onatel Février  2009  Vtbg V3_Copie de Flash du mois d' avril 2009 corrigé par NAIMI_Reporting Onatel septembre  2009 préparé_Capex- Mobile" xfId="1482"/>
    <cellStyle name="_Table_02 Pfd Valuation_commentaires fixe  internet Déc 08_TBG Onatel Février  2009  Vtbg V3_Flash du mois d' avril 2009" xfId="1483"/>
    <cellStyle name="_Table_02 Pfd Valuation_commentaires fixe  internet Déc 08_TBG Onatel Février  2009  Vtbg V3_Flash du mois d' avril 2009_Budget Telmob 2011" xfId="1484"/>
    <cellStyle name="_Table_02 Pfd Valuation_commentaires fixe  internet Déc 08_TBG Onatel Février  2009  Vtbg V3_Flash du mois d' avril 2009_Capex- Mobile" xfId="1485"/>
    <cellStyle name="_Table_02 Pfd Valuation_commentaires fixe  internet Déc 08_TBG Onatel Février  2009  Vtbg V3_Flash du mois d' avril 2009_Flash du mois de mai 2009" xfId="1486"/>
    <cellStyle name="_Table_02 Pfd Valuation_commentaires fixe  internet Déc 08_TBG Onatel Février  2009  Vtbg V3_Flash du mois d' avril 2009_Flash du mois de mai 2009_Budget Telmob 2011" xfId="1487"/>
    <cellStyle name="_Table_02 Pfd Valuation_commentaires fixe  internet Déc 08_TBG Onatel Février  2009  Vtbg V3_Flash du mois d' avril 2009_Flash du mois de mai 2009_Capex- Mobile" xfId="1488"/>
    <cellStyle name="_Table_02 Pfd Valuation_commentaires fixe  internet Déc 08_TBG Onatel Février  2009  Vtbg V3_Flash du mois d' avril 2009_Flash du mois de septembre 2009 (2) (version 1)" xfId="1489"/>
    <cellStyle name="_Table_02 Pfd Valuation_commentaires fixe  internet Déc 08_TBG Onatel Février  2009  Vtbg V3_Flash du mois d' avril 2009_Flash du mois de septembre 2009 (2) (version 1)_Budget Telmob 2011" xfId="1490"/>
    <cellStyle name="_Table_02 Pfd Valuation_commentaires fixe  internet Déc 08_TBG Onatel Février  2009  Vtbg V3_Flash du mois d' avril 2009_Flash du mois de septembre 2009 (2) (version 1)_Capex- Mobile" xfId="1491"/>
    <cellStyle name="_Table_02 Pfd Valuation_commentaires fixe  internet Déc 08_TBG Onatel Février  2009  Vtbg V3_Flash du mois d' avril 2009_Reporting Onatel Mai 2009 V 0" xfId="1492"/>
    <cellStyle name="_Table_02 Pfd Valuation_commentaires fixe  internet Déc 08_TBG Onatel Février  2009  Vtbg V3_Flash du mois d' avril 2009_Reporting Onatel Mai 2009 V 0_Budget Telmob 2011" xfId="1493"/>
    <cellStyle name="_Table_02 Pfd Valuation_commentaires fixe  internet Déc 08_TBG Onatel Février  2009  Vtbg V3_Flash du mois d' avril 2009_Reporting Onatel Mai 2009 V 0_Capex- Mobile" xfId="1494"/>
    <cellStyle name="_Table_02 Pfd Valuation_commentaires fixe  internet Déc 08_TBG Onatel Février  2009  Vtbg V3_Flash du mois d' avril 2009_Reporting Onatel septembre  2009 préparé" xfId="1495"/>
    <cellStyle name="_Table_02 Pfd Valuation_commentaires fixe  internet Déc 08_TBG Onatel Février  2009  Vtbg V3_Flash du mois d' avril 2009_Reporting Onatel septembre  2009 préparé_Budget Telmob 2011" xfId="1496"/>
    <cellStyle name="_Table_02 Pfd Valuation_commentaires fixe  internet Déc 08_TBG Onatel Février  2009  Vtbg V3_Flash du mois d' avril 2009_Reporting Onatel septembre  2009 préparé_Capex- Mobile" xfId="1497"/>
    <cellStyle name="_Table_02 Pfd Valuation_commentaires fixe  internet Déc 08_TBG Onatel Février  2009  Vtbg V3_Flash du mois de mai 2009" xfId="1498"/>
    <cellStyle name="_Table_02 Pfd Valuation_commentaires fixe  internet Déc 08_TBG Onatel Février  2009  Vtbg V3_Flash du mois de mai 2009_Budget Telmob 2011" xfId="1499"/>
    <cellStyle name="_Table_02 Pfd Valuation_commentaires fixe  internet Déc 08_TBG Onatel Février  2009  Vtbg V3_Flash du mois de mai 2009_Capex- Mobile" xfId="1500"/>
    <cellStyle name="_Table_02 Pfd Valuation_commentaires fixe  internet Déc 08_TBG Onatel Février  2009  Vtbg V3_Flash du mois de septembre 2009 (2) (version 1)" xfId="1501"/>
    <cellStyle name="_Table_02 Pfd Valuation_commentaires fixe  internet Déc 08_TBG Onatel Février  2009  Vtbg V3_Flash du mois de septembre 2009 (2) (version 1)_Budget Telmob 2011" xfId="1502"/>
    <cellStyle name="_Table_02 Pfd Valuation_commentaires fixe  internet Déc 08_TBG Onatel Février  2009  Vtbg V3_Flash du mois de septembre 2009 (2) (version 1)_Capex- Mobile" xfId="1503"/>
    <cellStyle name="_Table_02 Pfd Valuation_commentaires fixe  internet Déc 08_TBG Onatel Février  2009  Vtbg V3_Reporting Onatel Mai 2009 V 0" xfId="1504"/>
    <cellStyle name="_Table_02 Pfd Valuation_commentaires fixe  internet Déc 08_TBG Onatel Février  2009  Vtbg V3_Reporting Onatel Mai 2009 V 0_Budget Telmob 2011" xfId="1505"/>
    <cellStyle name="_Table_02 Pfd Valuation_commentaires fixe  internet Déc 08_TBG Onatel Février  2009  Vtbg V3_Reporting Onatel Mai 2009 V 0_Capex- Mobile" xfId="1506"/>
    <cellStyle name="_Table_02 Pfd Valuation_commentaires fixe  internet Déc 08_TBG Onatel Février  2009  Vtbg V3_Reporting Onatel septembre  2009 préparé" xfId="1507"/>
    <cellStyle name="_Table_02 Pfd Valuation_commentaires fixe  internet Déc 08_TBG Onatel Février  2009  Vtbg V3_Reporting Onatel septembre  2009 préparé_Budget Telmob 2011" xfId="1508"/>
    <cellStyle name="_Table_02 Pfd Valuation_commentaires fixe  internet Déc 08_TBG Onatel Février  2009  Vtbg V3_Reporting Onatel septembre  2009 préparé_Capex- Mobile" xfId="1509"/>
    <cellStyle name="_Table_02 Pfd Valuation_Commentaires TBG mars" xfId="1510"/>
    <cellStyle name="_Table_02 Pfd Valuation_Commentaires TBG mars_Budget Telmob 2011" xfId="1511"/>
    <cellStyle name="_Table_02 Pfd Valuation_Commentaires TBG mars_Capex- Mobile" xfId="1512"/>
    <cellStyle name="_Table_02 Pfd Valuation_Commentaires TBG mars_Copie de Flash du mois d' avril 2009 corrigé par NAIMI" xfId="1513"/>
    <cellStyle name="_Table_02 Pfd Valuation_Commentaires TBG mars_Copie de Flash du mois d' avril 2009 corrigé par NAIMI_Budget Telmob 2011" xfId="1514"/>
    <cellStyle name="_Table_02 Pfd Valuation_Commentaires TBG mars_Copie de Flash du mois d' avril 2009 corrigé par NAIMI_Capex- Mobile" xfId="1515"/>
    <cellStyle name="_Table_02 Pfd Valuation_Commentaires TBG mars_Copie de Flash du mois d' avril 2009 corrigé par NAIMI_Flash du mois de mai 2009" xfId="1516"/>
    <cellStyle name="_Table_02 Pfd Valuation_Commentaires TBG mars_Copie de Flash du mois d' avril 2009 corrigé par NAIMI_Flash du mois de mai 2009_Budget Telmob 2011" xfId="1517"/>
    <cellStyle name="_Table_02 Pfd Valuation_Commentaires TBG mars_Copie de Flash du mois d' avril 2009 corrigé par NAIMI_Flash du mois de mai 2009_Capex- Mobile" xfId="1518"/>
    <cellStyle name="_Table_02 Pfd Valuation_Commentaires TBG mars_Copie de Flash du mois d' avril 2009 corrigé par NAIMI_Flash du mois de septembre 2009 (2) (version 1)" xfId="1519"/>
    <cellStyle name="_Table_02 Pfd Valuation_Commentaires TBG mars_Copie de Flash du mois d' avril 2009 corrigé par NAIMI_Flash du mois de septembre 2009 (2) (version 1)_Budget Telmob 2011" xfId="1520"/>
    <cellStyle name="_Table_02 Pfd Valuation_Commentaires TBG mars_Copie de Flash du mois d' avril 2009 corrigé par NAIMI_Flash du mois de septembre 2009 (2) (version 1)_Capex- Mobile" xfId="1521"/>
    <cellStyle name="_Table_02 Pfd Valuation_Commentaires TBG mars_Copie de Flash du mois d' avril 2009 corrigé par NAIMI_Reporting Onatel Mai 2009 V 0" xfId="1522"/>
    <cellStyle name="_Table_02 Pfd Valuation_Commentaires TBG mars_Copie de Flash du mois d' avril 2009 corrigé par NAIMI_Reporting Onatel Mai 2009 V 0_Budget Telmob 2011" xfId="1523"/>
    <cellStyle name="_Table_02 Pfd Valuation_Commentaires TBG mars_Copie de Flash du mois d' avril 2009 corrigé par NAIMI_Reporting Onatel Mai 2009 V 0_Capex- Mobile" xfId="1524"/>
    <cellStyle name="_Table_02 Pfd Valuation_Commentaires TBG mars_Copie de Flash du mois d' avril 2009 corrigé par NAIMI_Reporting Onatel Mai 2009 V 0_Flash du mois de septembre 2009 (2) (version 1)" xfId="1525"/>
    <cellStyle name="_Table_02 Pfd Valuation_Commentaires TBG mars_Copie de Flash du mois d' avril 2009 corrigé par NAIMI_Reporting Onatel Mai 2009 V 0_Flash du mois de septembre 2009 (2) (version 1)_Budget Telmob 2011" xfId="1526"/>
    <cellStyle name="_Table_02 Pfd Valuation_Commentaires TBG mars_Copie de Flash du mois d' avril 2009 corrigé par NAIMI_Reporting Onatel Mai 2009 V 0_Flash du mois de septembre 2009 (2) (version 1)_Capex- Mobile" xfId="1527"/>
    <cellStyle name="_Table_02 Pfd Valuation_Commentaires TBG mars_Copie de Flash du mois d' avril 2009 corrigé par NAIMI_Reporting Onatel Mai 2009 V 0_Reporting Onatel septembre  2009 préparé" xfId="1528"/>
    <cellStyle name="_Table_02 Pfd Valuation_Commentaires TBG mars_Copie de Flash du mois d' avril 2009 corrigé par NAIMI_Reporting Onatel Mai 2009 V 0_Reporting Onatel septembre  2009 préparé_Budget Telmob 2011" xfId="1529"/>
    <cellStyle name="_Table_02 Pfd Valuation_Commentaires TBG mars_Copie de Flash du mois d' avril 2009 corrigé par NAIMI_Reporting Onatel Mai 2009 V 0_Reporting Onatel septembre  2009 préparé_Capex- Mobile" xfId="1530"/>
    <cellStyle name="_Table_02 Pfd Valuation_Commentaires TBG mars_Copie de Flash du mois d' avril 2009 corrigé par NAIMI_Reporting Onatel septembre  2009 préparé" xfId="1531"/>
    <cellStyle name="_Table_02 Pfd Valuation_Commentaires TBG mars_Copie de Flash du mois d' avril 2009 corrigé par NAIMI_Reporting Onatel septembre  2009 préparé_Budget Telmob 2011" xfId="1532"/>
    <cellStyle name="_Table_02 Pfd Valuation_Commentaires TBG mars_Copie de Flash du mois d' avril 2009 corrigé par NAIMI_Reporting Onatel septembre  2009 préparé_Capex- Mobile" xfId="1533"/>
    <cellStyle name="_Table_02 Pfd Valuation_Commentaires TBG mars_Flash du mois d' avril 2009" xfId="1534"/>
    <cellStyle name="_Table_02 Pfd Valuation_Commentaires TBG mars_Flash du mois d' avril 2009_Budget Telmob 2011" xfId="1535"/>
    <cellStyle name="_Table_02 Pfd Valuation_Commentaires TBG mars_Flash du mois d' avril 2009_Capex- Mobile" xfId="1536"/>
    <cellStyle name="_Table_02 Pfd Valuation_Commentaires TBG mars_Flash du mois d' avril 2009_Flash du mois de mai 2009" xfId="1537"/>
    <cellStyle name="_Table_02 Pfd Valuation_Commentaires TBG mars_Flash du mois d' avril 2009_Flash du mois de mai 2009_Budget Telmob 2011" xfId="1538"/>
    <cellStyle name="_Table_02 Pfd Valuation_Commentaires TBG mars_Flash du mois d' avril 2009_Flash du mois de mai 2009_Capex- Mobile" xfId="1539"/>
    <cellStyle name="_Table_02 Pfd Valuation_Commentaires TBG mars_Flash du mois d' avril 2009_Flash du mois de septembre 2009 (2) (version 1)" xfId="1540"/>
    <cellStyle name="_Table_02 Pfd Valuation_Commentaires TBG mars_Flash du mois d' avril 2009_Flash du mois de septembre 2009 (2) (version 1)_Budget Telmob 2011" xfId="1541"/>
    <cellStyle name="_Table_02 Pfd Valuation_Commentaires TBG mars_Flash du mois d' avril 2009_Flash du mois de septembre 2009 (2) (version 1)_Capex- Mobile" xfId="1542"/>
    <cellStyle name="_Table_02 Pfd Valuation_Commentaires TBG mars_Flash du mois d' avril 2009_Reporting Onatel Mai 2009 V 0" xfId="1543"/>
    <cellStyle name="_Table_02 Pfd Valuation_Commentaires TBG mars_Flash du mois d' avril 2009_Reporting Onatel Mai 2009 V 0_Budget Telmob 2011" xfId="1544"/>
    <cellStyle name="_Table_02 Pfd Valuation_Commentaires TBG mars_Flash du mois d' avril 2009_Reporting Onatel Mai 2009 V 0_Capex- Mobile" xfId="1545"/>
    <cellStyle name="_Table_02 Pfd Valuation_Commentaires TBG mars_Flash du mois d' avril 2009_Reporting Onatel septembre  2009 préparé" xfId="1546"/>
    <cellStyle name="_Table_02 Pfd Valuation_Commentaires TBG mars_Flash du mois d' avril 2009_Reporting Onatel septembre  2009 préparé_Budget Telmob 2011" xfId="1547"/>
    <cellStyle name="_Table_02 Pfd Valuation_Commentaires TBG mars_Flash du mois d' avril 2009_Reporting Onatel septembre  2009 préparé_Capex- Mobile" xfId="1548"/>
    <cellStyle name="_Table_02 Pfd Valuation_Commentaires TBG mars_Flash du mois de mai 2009" xfId="1549"/>
    <cellStyle name="_Table_02 Pfd Valuation_Commentaires TBG mars_Flash du mois de mai 2009_Budget Telmob 2011" xfId="1550"/>
    <cellStyle name="_Table_02 Pfd Valuation_Commentaires TBG mars_Flash du mois de mai 2009_Capex- Mobile" xfId="1551"/>
    <cellStyle name="_Table_02 Pfd Valuation_Commentaires TBG mars_Flash du mois de septembre 2009 (2) (version 1)" xfId="1552"/>
    <cellStyle name="_Table_02 Pfd Valuation_Commentaires TBG mars_Flash du mois de septembre 2009 (2) (version 1)_Budget Telmob 2011" xfId="1553"/>
    <cellStyle name="_Table_02 Pfd Valuation_Commentaires TBG mars_Flash du mois de septembre 2009 (2) (version 1)_Capex- Mobile" xfId="1554"/>
    <cellStyle name="_Table_02 Pfd Valuation_Commentaires TBG mars_Reporting Onatel Mai 2009 V 0" xfId="1555"/>
    <cellStyle name="_Table_02 Pfd Valuation_Commentaires TBG mars_Reporting Onatel Mai 2009 V 0_Budget Telmob 2011" xfId="0"/>
    <cellStyle name="_Table_02 Pfd Valuation_Commentaires TBG mars_Reporting Onatel Mai 2009 V 0_Capex- Mobile" xfId="0"/>
    <cellStyle name="_Table_02 Pfd Valuation_Commentaires TBG mars_Reporting Onatel septembre  2009 préparé" xfId="0"/>
    <cellStyle name="_Table_02 Pfd Valuation_Commentaires TBG mars_Reporting Onatel septembre  2009 préparé_Budget Telmob 2011" xfId="0"/>
    <cellStyle name="_Table_02 Pfd Valuation_Commentaires TBG mars_Reporting Onatel septembre  2009 préparé_Capex- Mobile" xfId="0"/>
    <cellStyle name="_Table_02 Pfd Valuation_Copie de Flash du mois d' avril 2009 corrigé par NAIMI" xfId="0"/>
    <cellStyle name="_Table_02 Pfd Valuation_Copie de Flash du mois d' avril 2009 corrigé par NAIMI_Budget Telmob 2011" xfId="0"/>
    <cellStyle name="_Table_02 Pfd Valuation_Copie de Flash du mois d' avril 2009 corrigé par NAIMI_Capex- Mobile" xfId="0"/>
    <cellStyle name="_Table_02 Pfd Valuation_Copie de Flash du mois d' avril 2009 corrigé par NAIMI_Flash du mois de mai 2009" xfId="0"/>
    <cellStyle name="_Table_02 Pfd Valuation_Copie de Flash du mois d' avril 2009 corrigé par NAIMI_Flash du mois de mai 2009_Budget Telmob 2011" xfId="0"/>
    <cellStyle name="_Table_02 Pfd Valuation_Copie de Flash du mois d' avril 2009 corrigé par NAIMI_Flash du mois de mai 2009_Capex- Mobile" xfId="0"/>
    <cellStyle name="_Table_02 Pfd Valuation_Copie de Flash du mois d' avril 2009 corrigé par NAIMI_Flash du mois de septembre 2009 (2) (version 1)" xfId="0"/>
    <cellStyle name="_Table_02 Pfd Valuation_Copie de Flash du mois d' avril 2009 corrigé par NAIMI_Flash du mois de septembre 2009 (2) (version 1)_Budget Telmob 2011" xfId="0"/>
    <cellStyle name="_Table_02 Pfd Valuation_Copie de Flash du mois d' avril 2009 corrigé par NAIMI_Flash du mois de septembre 2009 (2) (version 1)_Capex- Mobile" xfId="0"/>
    <cellStyle name="_Table_02 Pfd Valuation_Copie de Flash du mois d' avril 2009 corrigé par NAIMI_Reporting Onatel Mai 2009 V 0" xfId="0"/>
    <cellStyle name="_Table_02 Pfd Valuation_Copie de Flash du mois d' avril 2009 corrigé par NAIMI_Reporting Onatel Mai 2009 V 0_Budget Telmob 2011" xfId="0"/>
    <cellStyle name="_Table_02 Pfd Valuation_Copie de Flash du mois d' avril 2009 corrigé par NAIMI_Reporting Onatel Mai 2009 V 0_Capex- Mobile" xfId="0"/>
    <cellStyle name="_Table_02 Pfd Valuation_Copie de Flash du mois d' avril 2009 corrigé par NAIMI_Reporting Onatel Mai 2009 V 0_Flash du mois de septembre 2009 (2) (version 1)" xfId="0"/>
    <cellStyle name="_Table_02 Pfd Valuation_Copie de Flash du mois d' avril 2009 corrigé par NAIMI_Reporting Onatel Mai 2009 V 0_Flash du mois de septembre 2009 (2) (version 1)_Budget Telmob 2011" xfId="0"/>
    <cellStyle name="_Table_02 Pfd Valuation_Copie de Flash du mois d' avril 2009 corrigé par NAIMI_Reporting Onatel Mai 2009 V 0_Flash du mois de septembre 2009 (2) (version 1)_Capex- Mobile" xfId="0"/>
    <cellStyle name="_Table_02 Pfd Valuation_Copie de Flash du mois d' avril 2009 corrigé par NAIMI_Reporting Onatel Mai 2009 V 0_Reporting Onatel septembre  2009 préparé" xfId="0"/>
    <cellStyle name="_Table_02 Pfd Valuation_Copie de Flash du mois d' avril 2009 corrigé par NAIMI_Reporting Onatel Mai 2009 V 0_Reporting Onatel septembre  2009 préparé_Budget Telmob 2011" xfId="0"/>
    <cellStyle name="_Table_02 Pfd Valuation_Copie de Flash du mois d' avril 2009 corrigé par NAIMI_Reporting Onatel Mai 2009 V 0_Reporting Onatel septembre  2009 préparé_Capex- Mobile" xfId="0"/>
    <cellStyle name="_Table_02 Pfd Valuation_Copie de Flash du mois d' avril 2009 corrigé par NAIMI_Reporting Onatel septembre  2009 préparé" xfId="0"/>
    <cellStyle name="_Table_02 Pfd Valuation_Copie de Flash du mois d' avril 2009 corrigé par NAIMI_Reporting Onatel septembre  2009 préparé_Budget Telmob 2011" xfId="0"/>
    <cellStyle name="_Table_02 Pfd Valuation_Copie de Flash du mois d' avril 2009 corrigé par NAIMI_Reporting Onatel septembre  2009 préparé_Capex- Mobile" xfId="0"/>
    <cellStyle name="_Table_02 Pfd Valuation_Flash du mois d' avril 2009" xfId="0"/>
    <cellStyle name="_Table_02 Pfd Valuation_Flash du mois d' avril 2009_Budget Telmob 2011" xfId="0"/>
    <cellStyle name="_Table_02 Pfd Valuation_Flash du mois d' avril 2009_Capex- Mobile" xfId="0"/>
    <cellStyle name="_Table_02 Pfd Valuation_Flash du mois d' avril 2009_Flash du mois de mai 2009" xfId="0"/>
    <cellStyle name="_Table_02 Pfd Valuation_Flash du mois d' avril 2009_Flash du mois de mai 2009_Budget Telmob 2011" xfId="0"/>
    <cellStyle name="_Table_02 Pfd Valuation_Flash du mois d' avril 2009_Flash du mois de mai 2009_Capex- Mobile" xfId="0"/>
    <cellStyle name="_Table_02 Pfd Valuation_Flash du mois d' avril 2009_Flash du mois de septembre 2009 (2) (version 1)" xfId="0"/>
    <cellStyle name="_Table_02 Pfd Valuation_Flash du mois d' avril 2009_Flash du mois de septembre 2009 (2) (version 1)_Budget Telmob 2011" xfId="0"/>
    <cellStyle name="_Table_02 Pfd Valuation_Flash du mois d' avril 2009_Flash du mois de septembre 2009 (2) (version 1)_Capex- Mobile" xfId="0"/>
    <cellStyle name="_Table_02 Pfd Valuation_Flash du mois d' avril 2009_Reporting Onatel Mai 2009 V 0" xfId="0"/>
    <cellStyle name="_Table_02 Pfd Valuation_Flash du mois d' avril 2009_Reporting Onatel Mai 2009 V 0_Budget Telmob 2011" xfId="0"/>
    <cellStyle name="_Table_02 Pfd Valuation_Flash du mois d' avril 2009_Reporting Onatel Mai 2009 V 0_Capex- Mobile" xfId="0"/>
    <cellStyle name="_Table_02 Pfd Valuation_Flash du mois d' avril 2009_Reporting Onatel septembre  2009 préparé" xfId="0"/>
    <cellStyle name="_Table_02 Pfd Valuation_Flash du mois d' avril 2009_Reporting Onatel septembre  2009 préparé_Budget Telmob 2011" xfId="0"/>
    <cellStyle name="_Table_02 Pfd Valuation_Flash du mois d' avril 2009_Reporting Onatel septembre  2009 préparé_Capex- Mobile" xfId="0"/>
    <cellStyle name="_Table_02 Pfd Valuation_Flash du mois de mai 2009" xfId="0"/>
    <cellStyle name="_Table_02 Pfd Valuation_Flash du mois de mai 2009_Budget Telmob 2011" xfId="0"/>
    <cellStyle name="_Table_02 Pfd Valuation_Flash du mois de mai 2009_Capex- Mobile" xfId="0"/>
    <cellStyle name="_Table_02 Pfd Valuation_Flash du mois de septembre 2009 (2) (version 1)" xfId="0"/>
    <cellStyle name="_Table_02 Pfd Valuation_Flash du mois de septembre 2009 (2) (version 1)_Budget Telmob 2011" xfId="0"/>
    <cellStyle name="_Table_02 Pfd Valuation_Flash du mois de septembre 2009 (2) (version 1)_Capex- Mobile" xfId="0"/>
    <cellStyle name="_Table_02 Pfd Valuation_P &amp; L Conso" xfId="0"/>
    <cellStyle name="_Table_02 Pfd Valuation_P &amp; L Conso_Budget Telmob 2011" xfId="0"/>
    <cellStyle name="_Table_02 Pfd Valuation_P &amp; L Conso_Capex- Mobile" xfId="0"/>
    <cellStyle name="_Table_02 Pfd Valuation_P &amp; L Conso_COMMENTAIRES JUILLET 2009" xfId="0"/>
    <cellStyle name="_Table_02 Pfd Valuation_P &amp; L Conso_COMMENTAIRES JUILLET 2009_Budget Telmob 2011" xfId="0"/>
    <cellStyle name="_Table_02 Pfd Valuation_P &amp; L Conso_COMMENTAIRES JUILLET 2009_Capex- Mobile" xfId="0"/>
    <cellStyle name="_Table_02 Pfd Valuation_P&amp;L S1 2008" xfId="0"/>
    <cellStyle name="_Table_02 Pfd Valuation_P&amp;L S1 2008_Budget Telmob 2011" xfId="0"/>
    <cellStyle name="_Table_02 Pfd Valuation_P&amp;L S1 2008_Capex- Mobile" xfId="0"/>
    <cellStyle name="_Table_02 Pfd Valuation_Reporting Onatel Avril 2009 V0" xfId="0"/>
    <cellStyle name="_Table_02 Pfd Valuation_Reporting Onatel Avril 2009 V0_Budget Telmob 2011" xfId="0"/>
    <cellStyle name="_Table_02 Pfd Valuation_Reporting Onatel Avril 2009 V0_Capex- Mobile" xfId="0"/>
    <cellStyle name="_Table_02 Pfd Valuation_Reporting Onatel Avril 2009 V0_Copie de Flash du mois d' avril 2009 corrigé par NAIMI" xfId="0"/>
    <cellStyle name="_Table_02 Pfd Valuation_Reporting Onatel Avril 2009 V0_Copie de Flash du mois d' avril 2009 corrigé par NAIMI_Budget Telmob 2011" xfId="0"/>
    <cellStyle name="_Table_02 Pfd Valuation_Reporting Onatel Avril 2009 V0_Copie de Flash du mois d' avril 2009 corrigé par NAIMI_Capex- Mobile" xfId="0"/>
    <cellStyle name="_Table_02 Pfd Valuation_Reporting Onatel Avril 2009 V0_Copie de Flash du mois d' avril 2009 corrigé par NAIMI_Flash du mois de mai 2009" xfId="0"/>
    <cellStyle name="_Table_02 Pfd Valuation_Reporting Onatel Avril 2009 V0_Copie de Flash du mois d' avril 2009 corrigé par NAIMI_Flash du mois de mai 2009_Budget Telmob 2011" xfId="0"/>
    <cellStyle name="_Table_02 Pfd Valuation_Reporting Onatel Avril 2009 V0_Copie de Flash du mois d' avril 2009 corrigé par NAIMI_Flash du mois de mai 2009_Capex- Mobile" xfId="0"/>
    <cellStyle name="_Table_02 Pfd Valuation_Reporting Onatel Avril 2009 V0_Copie de Flash du mois d' avril 2009 corrigé par NAIMI_Flash du mois de septembre 2009 (2) (version 1)" xfId="0"/>
    <cellStyle name="_Table_02 Pfd Valuation_Reporting Onatel Avril 2009 V0_Copie de Flash du mois d' avril 2009 corrigé par NAIMI_Flash du mois de septembre 2009 (2) (version 1)_Budget Telmob 2011" xfId="0"/>
    <cellStyle name="_Table_02 Pfd Valuation_Reporting Onatel Avril 2009 V0_Copie de Flash du mois d' avril 2009 corrigé par NAIMI_Flash du mois de septembre 2009 (2) (version 1)_Capex- Mobile" xfId="0"/>
    <cellStyle name="_Table_02 Pfd Valuation_Reporting Onatel Avril 2009 V0_Copie de Flash du mois d' avril 2009 corrigé par NAIMI_Reporting Onatel Mai 2009 V 0" xfId="0"/>
    <cellStyle name="_Table_02 Pfd Valuation_Reporting Onatel Avril 2009 V0_Copie de Flash du mois d' avril 2009 corrigé par NAIMI_Reporting Onatel Mai 2009 V 0_Budget Telmob 2011" xfId="0"/>
    <cellStyle name="_Table_02 Pfd Valuation_Reporting Onatel Avril 2009 V0_Copie de Flash du mois d' avril 2009 corrigé par NAIMI_Reporting Onatel Mai 2009 V 0_Capex- Mobile" xfId="0"/>
    <cellStyle name="_Table_02 Pfd Valuation_Reporting Onatel Avril 2009 V0_Copie de Flash du mois d' avril 2009 corrigé par NAIMI_Reporting Onatel Mai 2009 V 0_Flash du mois de septembre 2009 (2) (version 1)" xfId="0"/>
    <cellStyle name="_Table_02 Pfd Valuation_Reporting Onatel Avril 2009 V0_Copie de Flash du mois d' avril 2009 corrigé par NAIMI_Reporting Onatel Mai 2009 V 0_Flash du mois de septembre 2009 (2) (version 1)_Budget Telmob 2011" xfId="0"/>
    <cellStyle name="_Table_02 Pfd Valuation_Reporting Onatel Avril 2009 V0_Copie de Flash du mois d' avril 2009 corrigé par NAIMI_Reporting Onatel Mai 2009 V 0_Flash du mois de septembre 2009 (2) (version 1)_Capex- Mobile" xfId="0"/>
    <cellStyle name="_Table_02 Pfd Valuation_Reporting Onatel Avril 2009 V0_Copie de Flash du mois d' avril 2009 corrigé par NAIMI_Reporting Onatel Mai 2009 V 0_Reporting Onatel septembre  2009 préparé" xfId="0"/>
    <cellStyle name="_Table_02 Pfd Valuation_Reporting Onatel Avril 2009 V0_Copie de Flash du mois d' avril 2009 corrigé par NAIMI_Reporting Onatel Mai 2009 V 0_Reporting Onatel septembre  2009 préparé_Budget Telmob 2011" xfId="0"/>
    <cellStyle name="_Table_02 Pfd Valuation_Reporting Onatel Avril 2009 V0_Copie de Flash du mois d' avril 2009 corrigé par NAIMI_Reporting Onatel Mai 2009 V 0_Reporting Onatel septembre  2009 préparé_Capex- Mobile" xfId="0"/>
    <cellStyle name="_Table_02 Pfd Valuation_Reporting Onatel Avril 2009 V0_Copie de Flash du mois d' avril 2009 corrigé par NAIMI_Reporting Onatel septembre  2009 préparé" xfId="0"/>
    <cellStyle name="_Table_02 Pfd Valuation_Reporting Onatel Avril 2009 V0_Copie de Flash du mois d' avril 2009 corrigé par NAIMI_Reporting Onatel septembre  2009 préparé_Budget Telmob 2011" xfId="0"/>
    <cellStyle name="_Table_02 Pfd Valuation_Reporting Onatel Avril 2009 V0_Copie de Flash du mois d' avril 2009 corrigé par NAIMI_Reporting Onatel septembre  2009 préparé_Capex- Mobile" xfId="0"/>
    <cellStyle name="_Table_02 Pfd Valuation_Reporting Onatel Avril 2009 V0_Flash du mois de mai 2009" xfId="0"/>
    <cellStyle name="_Table_02 Pfd Valuation_Reporting Onatel Avril 2009 V0_Flash du mois de mai 2009_Budget Telmob 2011" xfId="0"/>
    <cellStyle name="_Table_02 Pfd Valuation_Reporting Onatel Avril 2009 V0_Flash du mois de mai 2009_Capex- Mobile" xfId="0"/>
    <cellStyle name="_Table_02 Pfd Valuation_Reporting Onatel Avril 2009 V0_Flash du mois de septembre 2009 (2) (version 1)" xfId="0"/>
    <cellStyle name="_Table_02 Pfd Valuation_Reporting Onatel Avril 2009 V0_Flash du mois de septembre 2009 (2) (version 1)_Budget Telmob 2011" xfId="0"/>
    <cellStyle name="_Table_02 Pfd Valuation_Reporting Onatel Avril 2009 V0_Flash du mois de septembre 2009 (2) (version 1)_Capex- Mobile" xfId="0"/>
    <cellStyle name="_Table_02 Pfd Valuation_Reporting Onatel Avril 2009 V0_Reporting Onatel Mai 2009 V 0" xfId="0"/>
    <cellStyle name="_Table_02 Pfd Valuation_Reporting Onatel Avril 2009 V0_Reporting Onatel Mai 2009 V 0_Budget Telmob 2011" xfId="0"/>
    <cellStyle name="_Table_02 Pfd Valuation_Reporting Onatel Avril 2009 V0_Reporting Onatel Mai 2009 V 0_Capex- Mobile" xfId="0"/>
    <cellStyle name="_Table_02 Pfd Valuation_Reporting Onatel Avril 2009 V0_Reporting Onatel septembre  2009 préparé" xfId="0"/>
    <cellStyle name="_Table_02 Pfd Valuation_Reporting Onatel Avril 2009 V0_Reporting Onatel septembre  2009 préparé_Budget Telmob 2011" xfId="0"/>
    <cellStyle name="_Table_02 Pfd Valuation_Reporting Onatel Avril 2009 V0_Reporting Onatel septembre  2009 préparé_Capex- Mobile" xfId="0"/>
    <cellStyle name="_Table_02 Pfd Valuation_Reporting Onatel Mai 2009 V 0" xfId="0"/>
    <cellStyle name="_Table_02 Pfd Valuation_Reporting Onatel Mai 2009 V 0 A ENVOYE" xfId="0"/>
    <cellStyle name="_Table_02 Pfd Valuation_Reporting Onatel Mai 2009 V 0 A ENVOYE_Budget Telmob 2011" xfId="0"/>
    <cellStyle name="_Table_02 Pfd Valuation_Reporting Onatel Mai 2009 V 0 A ENVOYE_Capex- Mobile" xfId="0"/>
    <cellStyle name="_Table_02 Pfd Valuation_Reporting Onatel Mai 2009 V 0 A ENVOYE_Flash du mois de septembre 2009 (2) (version 1)" xfId="0"/>
    <cellStyle name="_Table_02 Pfd Valuation_Reporting Onatel Mai 2009 V 0 A ENVOYE_Flash du mois de septembre 2009 (2) (version 1)_Budget Telmob 2011" xfId="0"/>
    <cellStyle name="_Table_02 Pfd Valuation_Reporting Onatel Mai 2009 V 0 A ENVOYE_Flash du mois de septembre 2009 (2) (version 1)_Capex- Mobile" xfId="0"/>
    <cellStyle name="_Table_02 Pfd Valuation_Reporting Onatel Mai 2009 V 0 A ENVOYE_Reporting Onatel septembre  2009 préparé" xfId="0"/>
    <cellStyle name="_Table_02 Pfd Valuation_Reporting Onatel Mai 2009 V 0 A ENVOYE_Reporting Onatel septembre  2009 préparé_Budget Telmob 2011" xfId="0"/>
    <cellStyle name="_Table_02 Pfd Valuation_Reporting Onatel Mai 2009 V 0 A ENVOYE_Reporting Onatel septembre  2009 préparé_Capex- Mobile" xfId="0"/>
    <cellStyle name="_Table_02 Pfd Valuation_Reporting Onatel Mai 2009 V 0_Budget Telmob 2011" xfId="0"/>
    <cellStyle name="_Table_02 Pfd Valuation_Reporting Onatel Mai 2009 V 0_Capex- Mobile" xfId="0"/>
    <cellStyle name="_Table_02 Pfd Valuation_Reporting Onatel septembre  2009 préparé" xfId="0"/>
    <cellStyle name="_Table_02 Pfd Valuation_Reporting Onatel septembre  2009 préparé_Budget Telmob 2011" xfId="0"/>
    <cellStyle name="_Table_02 Pfd Valuation_Reporting Onatel septembre  2009 préparé_Capex- Mobile" xfId="0"/>
    <cellStyle name="_Table_02 Pfd Valuation_Rev Fixe-Internet" xfId="0"/>
    <cellStyle name="_Table_02 Pfd Valuation_Rev Fixe-Internet_Budget Telmob 2011" xfId="0"/>
    <cellStyle name="_Table_02 Pfd Valuation_Rev Fixe-Internet_Capex- Mobile" xfId="0"/>
    <cellStyle name="_Table_02 Pfd Valuation_Rev Fixe-Internet_COMMENTAIRES JUILLET 2009" xfId="0"/>
    <cellStyle name="_Table_02 Pfd Valuation_Rev Fixe-Internet_COMMENTAIRES JUILLET 2009_Budget Telmob 2011" xfId="0"/>
    <cellStyle name="_Table_02 Pfd Valuation_Rev Fixe-Internet_COMMENTAIRES JUILLET 2009_Capex- Mobile" xfId="0"/>
    <cellStyle name="_Table_02 Pfd Valuation_TBG Onatel Février  2009  Vtbg V3" xfId="0"/>
    <cellStyle name="_Table_02 Pfd Valuation_TBG Onatel Février  2009  Vtbg V3_Budget Telmob 2011" xfId="0"/>
    <cellStyle name="_Table_02 Pfd Valuation_TBG Onatel Février  2009  Vtbg V3_Capex- Mobile" xfId="0"/>
    <cellStyle name="_Table_02 Pfd Valuation_TBG Onatel Février  2009  Vtbg V3_Commentaires TBG mars" xfId="0"/>
    <cellStyle name="_Table_02 Pfd Valuation_TBG Onatel Février  2009  Vtbg V3_Commentaires TBG mars_Budget Telmob 2011" xfId="0"/>
    <cellStyle name="_Table_02 Pfd Valuation_TBG Onatel Février  2009  Vtbg V3_Commentaires TBG mars_Capex- Mobile" xfId="0"/>
    <cellStyle name="_Table_02 Pfd Valuation_TBG Onatel Février  2009  Vtbg V3_Commentaires TBG mars_Copie de Flash du mois d' avril 2009 corrigé par NAIMI" xfId="0"/>
    <cellStyle name="_Table_02 Pfd Valuation_TBG Onatel Février  2009  Vtbg V3_Commentaires TBG mars_Copie de Flash du mois d' avril 2009 corrigé par NAIMI_Budget Telmob 2011" xfId="0"/>
    <cellStyle name="_Table_02 Pfd Valuation_TBG Onatel Février  2009  Vtbg V3_Commentaires TBG mars_Copie de Flash du mois d' avril 2009 corrigé par NAIMI_Capex- Mobile" xfId="0"/>
    <cellStyle name="_Table_02 Pfd Valuation_TBG Onatel Février  2009  Vtbg V3_Commentaires TBG mars_Copie de Flash du mois d' avril 2009 corrigé par NAIMI_Flash du mois de mai 2009" xfId="0"/>
    <cellStyle name="_Table_02 Pfd Valuation_TBG Onatel Février  2009  Vtbg V3_Commentaires TBG mars_Copie de Flash du mois d' avril 2009 corrigé par NAIMI_Flash du mois de mai 2009_Budget Telmob 2011" xfId="0"/>
    <cellStyle name="_Table_02 Pfd Valuation_TBG Onatel Février  2009  Vtbg V3_Commentaires TBG mars_Copie de Flash du mois d' avril 2009 corrigé par NAIMI_Flash du mois de mai 2009_Capex- Mobile" xfId="0"/>
    <cellStyle name="_Table_02 Pfd Valuation_TBG Onatel Février  2009  Vtbg V3_Commentaires TBG mars_Copie de Flash du mois d' avril 2009 corrigé par NAIMI_Flash du mois de septembre 2009 (2) (version 1)" xfId="0"/>
    <cellStyle name="_Table_02 Pfd Valuation_TBG Onatel Février  2009  Vtbg V3_Commentaires TBG mars_Copie de Flash du mois d' avril 2009 corrigé par NAIMI_Flash du mois de septembre 2009 (2) (version 1)_Budget Telmob 2011" xfId="0"/>
    <cellStyle name="_Table_02 Pfd Valuation_TBG Onatel Février  2009  Vtbg V3_Commentaires TBG mars_Copie de Flash du mois d' avril 2009 corrigé par NAIMI_Flash du mois de septembre 2009 (2) (version 1)_Capex- Mobile" xfId="0"/>
    <cellStyle name="_Table_02 Pfd Valuation_TBG Onatel Février  2009  Vtbg V3_Commentaires TBG mars_Copie de Flash du mois d' avril 2009 corrigé par NAIMI_Reporting Onatel Mai 2009 V 0" xfId="0"/>
    <cellStyle name="_Table_02 Pfd Valuation_TBG Onatel Février  2009  Vtbg V3_Commentaires TBG mars_Copie de Flash du mois d' avril 2009 corrigé par NAIMI_Reporting Onatel Mai 2009 V 0_Budget Telmob 2011" xfId="0"/>
    <cellStyle name="_Table_02 Pfd Valuation_TBG Onatel Février  2009  Vtbg V3_Commentaires TBG mars_Copie de Flash du mois d' avril 2009 corrigé par NAIMI_Reporting Onatel Mai 2009 V 0_Capex- Mobile" xfId="0"/>
    <cellStyle name="_Table_02 Pfd Valuation_TBG Onatel Février  2009  Vtbg V3_Commentaires TBG mars_Copie de Flash du mois d' avril 2009 corrigé par NAIMI_Reporting Onatel Mai 2009 V 0_Flash du mois de septembre 2009 (2) (version 1)" xfId="0"/>
    <cellStyle name="_Table_02 Pfd Valuation_TBG Onatel Février  2009  Vtbg V3_Commentaires TBG mars_Copie de Flash du mois d' avril 2009 corrigé par NAIMI_Reporting Onatel Mai 2009 V 0_Flash du mois de septembre 2009 (2) (version 1)_Budget Telmob 2011" xfId="0"/>
    <cellStyle name="_Table_02 Pfd Valuation_TBG Onatel Février  2009  Vtbg V3_Commentaires TBG mars_Copie de Flash du mois d' avril 2009 corrigé par NAIMI_Reporting Onatel Mai 2009 V 0_Flash du mois de septembre 2009 (2) (version 1)_Capex- Mobile" xfId="0"/>
    <cellStyle name="_Table_02 Pfd Valuation_TBG Onatel Février  2009  Vtbg V3_Commentaires TBG mars_Copie de Flash du mois d' avril 2009 corrigé par NAIMI_Reporting Onatel Mai 2009 V 0_Reporting Onatel septembre  2009 préparé" xfId="0"/>
    <cellStyle name="_Table_02 Pfd Valuation_TBG Onatel Février  2009  Vtbg V3_Commentaires TBG mars_Copie de Flash du mois d' avril 2009 corrigé par NAIMI_Reporting Onatel Mai 2009 V 0_Reporting Onatel septembre  2009 préparé_Budget Telmob 2011" xfId="0"/>
    <cellStyle name="_Table_02 Pfd Valuation_TBG Onatel Février  2009  Vtbg V3_Commentaires TBG mars_Copie de Flash du mois d' avril 2009 corrigé par NAIMI_Reporting Onatel Mai 2009 V 0_Reporting Onatel septembre  2009 préparé_Capex- Mobile" xfId="0"/>
    <cellStyle name="_Table_02 Pfd Valuation_TBG Onatel Février  2009  Vtbg V3_Commentaires TBG mars_Copie de Flash du mois d' avril 2009 corrigé par NAIMI_Reporting Onatel septembre  2009 préparé" xfId="0"/>
    <cellStyle name="_Table_02 Pfd Valuation_TBG Onatel Février  2009  Vtbg V3_Commentaires TBG mars_Copie de Flash du mois d' avril 2009 corrigé par NAIMI_Reporting Onatel septembre  2009 préparé_Budget Telmob 2011" xfId="0"/>
    <cellStyle name="_Table_02 Pfd Valuation_TBG Onatel Février  2009  Vtbg V3_Commentaires TBG mars_Copie de Flash du mois d' avril 2009 corrigé par NAIMI_Reporting Onatel septembre  2009 préparé_Capex- Mobile" xfId="0"/>
    <cellStyle name="_Table_02 Pfd Valuation_TBG Onatel Février  2009  Vtbg V3_Commentaires TBG mars_Flash du mois d' avril 2009" xfId="0"/>
    <cellStyle name="_Table_02 Pfd Valuation_TBG Onatel Février  2009  Vtbg V3_Commentaires TBG mars_Flash du mois d' avril 2009_Budget Telmob 2011" xfId="0"/>
    <cellStyle name="_Table_02 Pfd Valuation_TBG Onatel Février  2009  Vtbg V3_Commentaires TBG mars_Flash du mois d' avril 2009_Capex- Mobile" xfId="0"/>
    <cellStyle name="_Table_02 Pfd Valuation_TBG Onatel Février  2009  Vtbg V3_Commentaires TBG mars_Flash du mois d' avril 2009_Flash du mois de mai 2009" xfId="0"/>
    <cellStyle name="_Table_02 Pfd Valuation_TBG Onatel Février  2009  Vtbg V3_Commentaires TBG mars_Flash du mois d' avril 2009_Flash du mois de mai 2009_Budget Telmob 2011" xfId="0"/>
    <cellStyle name="_Table_02 Pfd Valuation_TBG Onatel Février  2009  Vtbg V3_Commentaires TBG mars_Flash du mois d' avril 2009_Flash du mois de mai 2009_Capex- Mobile" xfId="0"/>
    <cellStyle name="_Table_02 Pfd Valuation_TBG Onatel Février  2009  Vtbg V3_Commentaires TBG mars_Flash du mois d' avril 2009_Flash du mois de septembre 2009 (2) (version 1)" xfId="0"/>
    <cellStyle name="_Table_02 Pfd Valuation_TBG Onatel Février  2009  Vtbg V3_Commentaires TBG mars_Flash du mois d' avril 2009_Flash du mois de septembre 2009 (2) (version 1)_Budget Telmob 2011" xfId="0"/>
    <cellStyle name="_Table_02 Pfd Valuation_TBG Onatel Février  2009  Vtbg V3_Commentaires TBG mars_Flash du mois d' avril 2009_Reporting Onatel Mai 2009 V 0" xfId="0"/>
    <cellStyle name="_Table_02 Pfd Valuation_TBG Onatel Février  2009  Vtbg V3_Commentaires TBG mars_Flash du mois d' avril 2009_Reporting Onatel Mai 2009 V 0_Budget Telmob 2011" xfId="0"/>
    <cellStyle name="_Table_02 Pfd Valuation_TBG Onatel Février  2009  Vtbg V3_Commentaires TBG mars_Flash du mois d' avril 2009_Reporting Onatel septembre  2009 préparé" xfId="0"/>
    <cellStyle name="_Table_02 Pfd Valuation_TBG Onatel Février  2009  Vtbg V3_Commentaires TBG mars_Flash du mois d' avril 2009_Reporting Onatel septembre  2009 préparé_Budget Telmob 2011" xfId="0"/>
    <cellStyle name="_Table_02 Pfd Valuation_TBG Onatel Février  2009  Vtbg V3_Commentaires TBG mars_Flash du mois de mai 2009" xfId="0"/>
    <cellStyle name="_Table_02 Pfd Valuation_TBG Onatel Février  2009  Vtbg V3_Commentaires TBG mars_Flash du mois de mai 2009_Budget Telmob 2011" xfId="0"/>
    <cellStyle name="_Table_02 Pfd Valuation_TBG Onatel Février  2009  Vtbg V3_Commentaires TBG mars_Flash du mois de septembre 2009 (2) (version 1)" xfId="0"/>
    <cellStyle name="_Table_02 Pfd Valuation_TBG Onatel Février  2009  Vtbg V3_Commentaires TBG mars_Flash du mois de septembre 2009 (2) (version 1)_Budget Telmob 2011" xfId="0"/>
    <cellStyle name="_Table_02 Pfd Valuation_TBG Onatel Février  2009  Vtbg V3_Commentaires TBG mars_Reporting Onatel Mai 2009 V 0" xfId="0"/>
    <cellStyle name="_Table_02 Pfd Valuation_TBG Onatel Février  2009  Vtbg V3_Commentaires TBG mars_Reporting Onatel Mai 2009 V 0_Budget Telmob 2011" xfId="0"/>
    <cellStyle name="_Table_02 Pfd Valuation_TBG Onatel Février  2009  Vtbg V3_Commentaires TBG mars_Reporting Onatel septembre  2009 préparé" xfId="0"/>
    <cellStyle name="_Table_02 Pfd Valuation_TBG Onatel Février  2009  Vtbg V3_Commentaires TBG mars_Reporting Onatel septembre  2009 préparé_Budget Telmob 2011" xfId="0"/>
    <cellStyle name="_Table_02 Pfd Valuation_TBG Onatel Février  2009  Vtbg V3_Copie de Flash du mois d' avril 2009 corrigé par NAIMI" xfId="0"/>
    <cellStyle name="_Table_02 Pfd Valuation_TBG Onatel Février  2009  Vtbg V3_Copie de Flash du mois d' avril 2009 corrigé par NAIMI_Budget Telmob 2011" xfId="0"/>
    <cellStyle name="_Table_02 Pfd Valuation_TBG Onatel Février  2009  Vtbg V3_Copie de Flash du mois d' avril 2009 corrigé par NAIMI_Flash du mois de mai 2009" xfId="0"/>
    <cellStyle name="_Table_02 Pfd Valuation_TBG Onatel Février  2009  Vtbg V3_Copie de Flash du mois d' avril 2009 corrigé par NAIMI_Flash du mois de mai 2009_Budget Telmob 2011" xfId="0"/>
    <cellStyle name="_Table_02 Pfd Valuation_TBG Onatel Février  2009  Vtbg V3_Copie de Flash du mois d' avril 2009 corrigé par NAIMI_Flash du mois de septembre 2009 (2) (version 1)" xfId="0"/>
    <cellStyle name="_Table_02 Pfd Valuation_TBG Onatel Février  2009  Vtbg V3_Copie de Flash du mois d' avril 2009 corrigé par NAIMI_Flash du mois de septembre 2009 (2) (version 1)_Budget Telmob 2011" xfId="0"/>
    <cellStyle name="_Table_02 Pfd Valuation_TBG Onatel Février  2009  Vtbg V3_Copie de Flash du mois d' avril 2009 corrigé par NAIMI_Reporting Onatel Mai 2009 V 0" xfId="0"/>
    <cellStyle name="_Table_02 Pfd Valuation_TBG Onatel Février  2009  Vtbg V3_Copie de Flash du mois d' avril 2009 corrigé par NAIMI_Reporting Onatel Mai 2009 V 0_Budget Telmob 2011" xfId="0"/>
    <cellStyle name="_Table_02 Pfd Valuation_TBG Onatel Février  2009  Vtbg V3_Copie de Flash du mois d' avril 2009 corrigé par NAIMI_Reporting Onatel Mai 2009 V 0_Flash du mois de septembre 2009 (2) (version 1)" xfId="0"/>
    <cellStyle name="_Table_02 Pfd Valuation_TBG Onatel Février  2009  Vtbg V3_Copie de Flash du mois d' avril 2009 corrigé par NAIMI_Reporting Onatel Mai 2009 V 0_Flash du mois de septembre 2009 (2) (version 1)_Budget Telmob 2011" xfId="0"/>
    <cellStyle name="_Table_02 Pfd Valuation_TBG Onatel Février  2009  Vtbg V3_Copie de Flash du mois d' avril 2009 corrigé par NAIMI_Reporting Onatel Mai 2009 V 0_Reporting Onatel septembre  2009 préparé" xfId="0"/>
    <cellStyle name="_Table_02 Pfd Valuation_TBG Onatel Février  2009  Vtbg V3_Copie de Flash du mois d' avril 2009 corrigé par NAIMI_Reporting Onatel Mai 2009 V 0_Reporting Onatel septembre  2009 préparé_Budget Telmob 2011" xfId="0"/>
    <cellStyle name="_Table_02 Pfd Valuation_TBG Onatel Février  2009  Vtbg V3_Copie de Flash du mois d' avril 2009 corrigé par NAIMI_Reporting Onatel septembre  2009 préparé" xfId="0"/>
    <cellStyle name="_Table_02 Pfd Valuation_TBG Onatel Février  2009  Vtbg V3_Copie de Flash du mois d' avril 2009 corrigé par NAIMI_Reporting Onatel septembre  2009 préparé_Budget Telmob 2011" xfId="0"/>
    <cellStyle name="_Table_02 Pfd Valuation_TBG Onatel Février  2009  Vtbg V3_Flash du mois d' avril 2009" xfId="0"/>
    <cellStyle name="_Table_02 Pfd Valuation_TBG Onatel Février  2009  Vtbg V3_Flash du mois d' avril 2009_Budget Telmob 2011" xfId="0"/>
    <cellStyle name="_Table_02 Pfd Valuation_TBG Onatel Février  2009  Vtbg V3_Flash du mois d' avril 2009_Flash du mois de mai 2009" xfId="0"/>
    <cellStyle name="_Table_02 Pfd Valuation_TBG Onatel Février  2009  Vtbg V3_Flash du mois d' avril 2009_Flash du mois de mai 2009_Budget Telmob 2011" xfId="0"/>
    <cellStyle name="_Table_02 Pfd Valuation_TBG Onatel Février  2009  Vtbg V3_Flash du mois d' avril 2009_Flash du mois de septembre 2009 (2) (version 1)" xfId="0"/>
    <cellStyle name="_Table_02 Pfd Valuation_TBG Onatel Février  2009  Vtbg V3_Flash du mois d' avril 2009_Flash du mois de septembre 2009 (2) (version 1)_Budget Telmob 2011" xfId="0"/>
    <cellStyle name="_Table_02 Pfd Valuation_TBG Onatel Février  2009  Vtbg V3_Flash du mois d' avril 2009_Reporting Onatel Mai 2009 V 0" xfId="0"/>
    <cellStyle name="_Table_02 Pfd Valuation_TBG Onatel Février  2009  Vtbg V3_Flash du mois d' avril 2009_Reporting Onatel Mai 2009 V 0_Budget Telmob 2011" xfId="0"/>
    <cellStyle name="_Table_02 Pfd Valuation_TBG Onatel Février  2009  Vtbg V3_Flash du mois d' avril 2009_Reporting Onatel septembre  2009 préparé" xfId="0"/>
    <cellStyle name="_Table_02 Pfd Valuation_TBG Onatel Février  2009  Vtbg V3_Flash du mois d' avril 2009_Reporting Onatel septembre  2009 préparé_Budget Telmob 2011" xfId="0"/>
    <cellStyle name="_Table_02 Pfd Valuation_TBG Onatel Février  2009  Vtbg V3_Flash du mois de mai 2009" xfId="0"/>
    <cellStyle name="_Table_02 Pfd Valuation_TBG Onatel Février  2009  Vtbg V3_Flash du mois de mai 2009_Budget Telmob 2011" xfId="0"/>
    <cellStyle name="_Table_02 Pfd Valuation_TBG Onatel Février  2009  Vtbg V3_Flash du mois de septembre 2009 (2) (version 1)" xfId="0"/>
    <cellStyle name="_Table_02 Pfd Valuation_TBG Onatel Février  2009  Vtbg V3_Flash du mois de septembre 2009 (2) (version 1)_Budget Telmob 2011" xfId="0"/>
    <cellStyle name="_Table_02 Pfd Valuation_TBG Onatel Février  2009  Vtbg V3_Reporting Onatel Mai 2009 V 0" xfId="0"/>
    <cellStyle name="_Table_02 Pfd Valuation_TBG Onatel Février  2009  Vtbg V3_Reporting Onatel Mai 2009 V 0_Budget Telmob 2011" xfId="0"/>
    <cellStyle name="_Table_02 Pfd Valuation_TBG Onatel Février  2009  Vtbg V3_Reporting Onatel septembre  2009 préparé" xfId="0"/>
    <cellStyle name="_Table_02 Pfd Valuation_TBG Onatel Février  2009  Vtbg V3_Reporting Onatel septembre  2009 préparé_Budget Telmob 2011" xfId="0"/>
    <cellStyle name="_Table_Budget Telmob 2011" xfId="0"/>
    <cellStyle name="_Table_Capex- Mobile" xfId="0"/>
    <cellStyle name="_Table_commentaires fixe  internet Déc 08" xfId="0"/>
    <cellStyle name="_Table_commentaires fixe  internet Déc 08_Budget Telmob 2011" xfId="0"/>
    <cellStyle name="_Table_commentaires fixe  internet Déc 08_Commentaires TBG mars" xfId="0"/>
    <cellStyle name="_Table_commentaires fixe  internet Déc 08_Commentaires TBG mars_Budget Telmob 2011" xfId="0"/>
    <cellStyle name="_Table_commentaires fixe  internet Déc 08_Commentaires TBG mars_Copie de Flash du mois d' avril 2009 corrigé par NAIMI" xfId="0"/>
    <cellStyle name="_Table_commentaires fixe  internet Déc 08_Commentaires TBG mars_Copie de Flash du mois d' avril 2009 corrigé par NAIMI_Budget Telmob 2011" xfId="0"/>
    <cellStyle name="_Table_commentaires fixe  internet Déc 08_Commentaires TBG mars_Copie de Flash du mois d' avril 2009 corrigé par NAIMI_Flash du mois de mai 2009" xfId="0"/>
    <cellStyle name="_Table_commentaires fixe  internet Déc 08_Commentaires TBG mars_Copie de Flash du mois d' avril 2009 corrigé par NAIMI_Flash du mois de mai 2009_Budget Telmob 2011" xfId="0"/>
    <cellStyle name="_Table_commentaires fixe  internet Déc 08_Commentaires TBG mars_Copie de Flash du mois d' avril 2009 corrigé par NAIMI_Flash du mois de septembre 2009 (2) (version 1)" xfId="0"/>
    <cellStyle name="_Table_commentaires fixe  internet Déc 08_Commentaires TBG mars_Copie de Flash du mois d' avril 2009 corrigé par NAIMI_Flash du mois de septembre 2009 (2) (version 1)_Budget Telmob 2011" xfId="0"/>
    <cellStyle name="_Table_commentaires fixe  internet Déc 08_Commentaires TBG mars_Copie de Flash du mois d' avril 2009 corrigé par NAIMI_Reporting Onatel Mai 2009 V 0" xfId="0"/>
    <cellStyle name="_Table_commentaires fixe  internet Déc 08_Commentaires TBG mars_Copie de Flash du mois d' avril 2009 corrigé par NAIMI_Reporting Onatel Mai 2009 V 0_Budget Telmob 2011" xfId="0"/>
    <cellStyle name="_Table_commentaires fixe  internet Déc 08_Commentaires TBG mars_Copie de Flash du mois d' avril 2009 corrigé par NAIMI_Reporting Onatel Mai 2009 V 0_Flash du mois de septembre 2009 (2) (version 1)" xfId="0"/>
    <cellStyle name="_Table_commentaires fixe  internet Déc 08_Commentaires TBG mars_Copie de Flash du mois d' avril 2009 corrigé par NAIMI_Reporting Onatel Mai 2009 V 0_Flash du mois de septembre 2009 (2) (version 1)_Budget Telmob 2011" xfId="0"/>
    <cellStyle name="_Table_commentaires fixe  internet Déc 08_Commentaires TBG mars_Copie de Flash du mois d' avril 2009 corrigé par NAIMI_Reporting Onatel Mai 2009 V 0_Reporting Onatel septembre  2009 préparé" xfId="0"/>
    <cellStyle name="_Table_commentaires fixe  internet Déc 08_Commentaires TBG mars_Copie de Flash du mois d' avril 2009 corrigé par NAIMI_Reporting Onatel Mai 2009 V 0_Reporting Onatel septembre  2009 préparé_Budget Telmob 2011" xfId="0"/>
    <cellStyle name="_Table_commentaires fixe  internet Déc 08_Commentaires TBG mars_Copie de Flash du mois d' avril 2009 corrigé par NAIMI_Reporting Onatel septembre  2009 préparé" xfId="0"/>
    <cellStyle name="_Table_commentaires fixe  internet Déc 08_Commentaires TBG mars_Copie de Flash du mois d' avril 2009 corrigé par NAIMI_Reporting Onatel septembre  2009 préparé_Budget Telmob 2011" xfId="0"/>
    <cellStyle name="_Table_commentaires fixe  internet Déc 08_Commentaires TBG mars_Flash du mois d' avril 2009" xfId="0"/>
    <cellStyle name="_Table_commentaires fixe  internet Déc 08_Commentaires TBG mars_Flash du mois d' avril 2009_Budget Telmob 2011" xfId="0"/>
    <cellStyle name="_Table_commentaires fixe  internet Déc 08_Commentaires TBG mars_Flash du mois d' avril 2009_Flash du mois de mai 2009" xfId="0"/>
    <cellStyle name="_Table_commentaires fixe  internet Déc 08_Commentaires TBG mars_Flash du mois d' avril 2009_Flash du mois de mai 2009_Budget Telmob 2011" xfId="0"/>
    <cellStyle name="_Table_commentaires fixe  internet Déc 08_Commentaires TBG mars_Flash du mois d' avril 2009_Flash du mois de septembre 2009 (2) (version 1)" xfId="0"/>
    <cellStyle name="_Table_commentaires fixe  internet Déc 08_Commentaires TBG mars_Flash du mois d' avril 2009_Flash du mois de septembre 2009 (2) (version 1)_Budget Telmob 2011" xfId="0"/>
    <cellStyle name="_Table_commentaires fixe  internet Déc 08_Commentaires TBG mars_Flash du mois d' avril 2009_Reporting Onatel Mai 2009 V 0" xfId="0"/>
    <cellStyle name="_Table_commentaires fixe  internet Déc 08_Commentaires TBG mars_Flash du mois d' avril 2009_Reporting Onatel Mai 2009 V 0_Budget Telmob 2011" xfId="0"/>
    <cellStyle name="_Table_commentaires fixe  internet Déc 08_Commentaires TBG mars_Flash du mois d' avril 2009_Reporting Onatel septembre  2009 préparé" xfId="0"/>
    <cellStyle name="_Table_commentaires fixe  internet Déc 08_Commentaires TBG mars_Flash du mois d' avril 2009_Reporting Onatel septembre  2009 préparé_Budget Telmob 2011" xfId="0"/>
    <cellStyle name="_Table_commentaires fixe  internet Déc 08_Commentaires TBG mars_Flash du mois de mai 2009" xfId="0"/>
    <cellStyle name="_Table_commentaires fixe  internet Déc 08_Commentaires TBG mars_Flash du mois de mai 2009_Budget Telmob 2011" xfId="0"/>
    <cellStyle name="_Table_commentaires fixe  internet Déc 08_Commentaires TBG mars_Flash du mois de septembre 2009 (2) (version 1)" xfId="0"/>
    <cellStyle name="_Table_commentaires fixe  internet Déc 08_Commentaires TBG mars_Flash du mois de septembre 2009 (2) (version 1)_Budget Telmob 2011" xfId="0"/>
    <cellStyle name="_Table_commentaires fixe  internet Déc 08_Commentaires TBG mars_Reporting Onatel Mai 2009 V 0" xfId="0"/>
    <cellStyle name="_Table_commentaires fixe  internet Déc 08_Commentaires TBG mars_Reporting Onatel Mai 2009 V 0_Budget Telmob 2011" xfId="0"/>
    <cellStyle name="_Table_commentaires fixe  internet Déc 08_Commentaires TBG mars_Reporting Onatel septembre  2009 préparé" xfId="0"/>
    <cellStyle name="_Table_commentaires fixe  internet Déc 08_Commentaires TBG mars_Reporting Onatel septembre  2009 préparé_Budget Telmob 2011" xfId="0"/>
    <cellStyle name="_Table_commentaires fixe  internet Déc 08_Copie de Flash du mois d' avril 2009 corrigé par NAIMI" xfId="0"/>
    <cellStyle name="_Table_commentaires fixe  internet Déc 08_Copie de Flash du mois d' avril 2009 corrigé par NAIMI_Budget Telmob 2011" xfId="0"/>
    <cellStyle name="_Table_commentaires fixe  internet Déc 08_Copie de Flash du mois d' avril 2009 corrigé par NAIMI_Flash du mois de mai 2009" xfId="0"/>
    <cellStyle name="_Table_commentaires fixe  internet Déc 08_Copie de Flash du mois d' avril 2009 corrigé par NAIMI_Flash du mois de mai 2009_Budget Telmob 2011" xfId="0"/>
    <cellStyle name="_Table_commentaires fixe  internet Déc 08_Copie de Flash du mois d' avril 2009 corrigé par NAIMI_Flash du mois de septembre 2009 (2) (version 1)" xfId="0"/>
    <cellStyle name="_Table_commentaires fixe  internet Déc 08_Copie de Flash du mois d' avril 2009 corrigé par NAIMI_Flash du mois de septembre 2009 (2) (version 1)_Budget Telmob 2011" xfId="0"/>
    <cellStyle name="_Table_commentaires fixe  internet Déc 08_Copie de Flash du mois d' avril 2009 corrigé par NAIMI_Reporting Onatel Mai 2009 V 0" xfId="0"/>
    <cellStyle name="_Table_commentaires fixe  internet Déc 08_Copie de Flash du mois d' avril 2009 corrigé par NAIMI_Reporting Onatel Mai 2009 V 0_Budget Telmob 2011" xfId="0"/>
    <cellStyle name="_Table_commentaires fixe  internet Déc 08_Copie de Flash du mois d' avril 2009 corrigé par NAIMI_Reporting Onatel Mai 2009 V 0_Flash du mois de septembre 2009 (2) (version 1)" xfId="0"/>
    <cellStyle name="_Table_commentaires fixe  internet Déc 08_Copie de Flash du mois d' avril 2009 corrigé par NAIMI_Reporting Onatel Mai 2009 V 0_Flash du mois de septembre 2009 (2) (version 1)_Budget Telmob 2011" xfId="0"/>
    <cellStyle name="_Table_commentaires fixe  internet Déc 08_Copie de Flash du mois d' avril 2009 corrigé par NAIMI_Reporting Onatel Mai 2009 V 0_Reporting Onatel septembre  2009 préparé" xfId="0"/>
    <cellStyle name="_Table_commentaires fixe  internet Déc 08_Copie de Flash du mois d' avril 2009 corrigé par NAIMI_Reporting Onatel Mai 2009 V 0_Reporting Onatel septembre  2009 préparé_Budget Telmob 2011" xfId="0"/>
    <cellStyle name="_Table_commentaires fixe  internet Déc 08_Copie de Flash du mois d' avril 2009 corrigé par NAIMI_Reporting Onatel septembre  2009 préparé" xfId="0"/>
    <cellStyle name="_Table_commentaires fixe  internet Déc 08_Copie de Flash du mois d' avril 2009 corrigé par NAIMI_Reporting Onatel septembre  2009 préparé_Budget Telmob 2011" xfId="0"/>
    <cellStyle name="_Table_commentaires fixe  internet Déc 08_Flash du mois d' avril 2009" xfId="0"/>
    <cellStyle name="_Table_commentaires fixe  internet Déc 08_Flash du mois d' avril 2009_Budget Telmob 2011" xfId="0"/>
    <cellStyle name="_Table_commentaires fixe  internet Déc 08_Flash du mois d' avril 2009_Flash du mois de mai 2009" xfId="0"/>
    <cellStyle name="_Table_commentaires fixe  internet Déc 08_Flash du mois d' avril 2009_Flash du mois de mai 2009_Budget Telmob 2011" xfId="0"/>
    <cellStyle name="_Table_commentaires fixe  internet Déc 08_Flash du mois d' avril 2009_Flash du mois de septembre 2009 (2) (version 1)" xfId="0"/>
    <cellStyle name="_Table_commentaires fixe  internet Déc 08_Flash du mois d' avril 2009_Flash du mois de septembre 2009 (2) (version 1)_Budget Telmob 2011" xfId="0"/>
    <cellStyle name="_Table_commentaires fixe  internet Déc 08_Flash du mois d' avril 2009_Reporting Onatel Mai 2009 V 0" xfId="0"/>
    <cellStyle name="_Table_commentaires fixe  internet Déc 08_Flash du mois d' avril 2009_Reporting Onatel Mai 2009 V 0_Budget Telmob 2011" xfId="0"/>
    <cellStyle name="_Table_commentaires fixe  internet Déc 08_Flash du mois d' avril 2009_Reporting Onatel septembre  2009 préparé" xfId="0"/>
    <cellStyle name="_Table_commentaires fixe  internet Déc 08_Flash du mois d' avril 2009_Reporting Onatel septembre  2009 préparé_Budget Telmob 2011" xfId="0"/>
    <cellStyle name="_Table_commentaires fixe  internet Déc 08_Flash du mois de mai 2009" xfId="0"/>
    <cellStyle name="_Table_commentaires fixe  internet Déc 08_Flash du mois de mai 2009_Budget Telmob 2011" xfId="0"/>
    <cellStyle name="_Table_commentaires fixe  internet Déc 08_Flash du mois de septembre 2009 (2) (version 1)" xfId="0"/>
    <cellStyle name="_Table_commentaires fixe  internet Déc 08_Flash du mois de septembre 2009 (2) (version 1)_Budget Telmob 2011" xfId="0"/>
    <cellStyle name="_Table_commentaires fixe  internet Déc 08_Reporting Onatel Avril 2009 V0" xfId="0"/>
    <cellStyle name="_Table_commentaires fixe  internet Déc 08_Reporting Onatel Avril 2009 V0_Budget Telmob 2011" xfId="0"/>
    <cellStyle name="_Table_commentaires fixe  internet Déc 08_Reporting Onatel Avril 2009 V0_Copie de Flash du mois d' avril 2009 corrigé par NAIMI" xfId="0"/>
    <cellStyle name="_Table_commentaires fixe  internet Déc 08_Reporting Onatel Avril 2009 V0_Copie de Flash du mois d' avril 2009 corrigé par NAIMI_Budget Telmob 2011" xfId="0"/>
    <cellStyle name="_Table_commentaires fixe  internet Déc 08_Reporting Onatel Avril 2009 V0_Copie de Flash du mois d' avril 2009 corrigé par NAIMI_Flash du mois de mai 2009" xfId="0"/>
    <cellStyle name="_Table_commentaires fixe  internet Déc 08_Reporting Onatel Avril 2009 V0_Copie de Flash du mois d' avril 2009 corrigé par NAIMI_Flash du mois de mai 2009_Budget Telmob 2011" xfId="0"/>
    <cellStyle name="_Table_commentaires fixe  internet Déc 08_Reporting Onatel Avril 2009 V0_Copie de Flash du mois d' avril 2009 corrigé par NAIMI_Flash du mois de septembre 2009 (2) (version 1)" xfId="0"/>
    <cellStyle name="_Table_commentaires fixe  internet Déc 08_Reporting Onatel Avril 2009 V0_Copie de Flash du mois d' avril 2009 corrigé par NAIMI_Flash du mois de septembre 2009 (2) (version 1)_Budget Telmob 2011" xfId="0"/>
    <cellStyle name="_Table_commentaires fixe  internet Déc 08_Reporting Onatel Avril 2009 V0_Copie de Flash du mois d' avril 2009 corrigé par NAIMI_Reporting Onatel Mai 2009 V 0" xfId="0"/>
    <cellStyle name="_Table_commentaires fixe  internet Déc 08_Reporting Onatel Avril 2009 V0_Copie de Flash du mois d' avril 2009 corrigé par NAIMI_Reporting Onatel Mai 2009 V 0_Budget Telmob 2011" xfId="0"/>
    <cellStyle name="_Table_commentaires fixe  internet Déc 08_Reporting Onatel Avril 2009 V0_Copie de Flash du mois d' avril 2009 corrigé par NAIMI_Reporting Onatel Mai 2009 V 0_Flash du mois de septembre 2009 (2) (version 1)" xfId="0"/>
    <cellStyle name="_Table_commentaires fixe  internet Déc 08_Reporting Onatel Avril 2009 V0_Copie de Flash du mois d' avril 2009 corrigé par NAIMI_Reporting Onatel Mai 2009 V 0_Flash du mois de septembre 2009 (2) (version 1)_Budget Telmob 2011" xfId="0"/>
    <cellStyle name="_Table_commentaires fixe  internet Déc 08_Reporting Onatel Avril 2009 V0_Copie de Flash du mois d' avril 2009 corrigé par NAIMI_Reporting Onatel Mai 2009 V 0_Reporting Onatel septembre  2009 préparé" xfId="0"/>
    <cellStyle name="_Table_commentaires fixe  internet Déc 08_Reporting Onatel Avril 2009 V0_Copie de Flash du mois d' avril 2009 corrigé par NAIMI_Reporting Onatel Mai 2009 V 0_Reporting Onatel septembre  2009 préparé_Budget Telmob 2011" xfId="0"/>
    <cellStyle name="_Table_commentaires fixe  internet Déc 08_Reporting Onatel Avril 2009 V0_Copie de Flash du mois d' avril 2009 corrigé par NAIMI_Reporting Onatel septembre  2009 préparé" xfId="0"/>
    <cellStyle name="_Table_commentaires fixe  internet Déc 08_Reporting Onatel Avril 2009 V0_Copie de Flash du mois d' avril 2009 corrigé par NAIMI_Reporting Onatel septembre  2009 préparé_Budget Telmob 2011" xfId="0"/>
    <cellStyle name="_Table_commentaires fixe  internet Déc 08_Reporting Onatel Avril 2009 V0_Flash du mois de mai 2009" xfId="0"/>
    <cellStyle name="_Table_commentaires fixe  internet Déc 08_Reporting Onatel Avril 2009 V0_Flash du mois de mai 2009_Budget Telmob 2011" xfId="0"/>
    <cellStyle name="_Table_commentaires fixe  internet Déc 08_Reporting Onatel Avril 2009 V0_Flash du mois de septembre 2009 (2) (version 1)" xfId="0"/>
    <cellStyle name="_Table_commentaires fixe  internet Déc 08_Reporting Onatel Avril 2009 V0_Flash du mois de septembre 2009 (2) (version 1)_Budget Telmob 2011" xfId="0"/>
    <cellStyle name="_Table_commentaires fixe  internet Déc 08_Reporting Onatel Avril 2009 V0_Reporting Onatel Mai 2009 V 0" xfId="0"/>
    <cellStyle name="_Table_commentaires fixe  internet Déc 08_Reporting Onatel Avril 2009 V0_Reporting Onatel Mai 2009 V 0_Budget Telmob 2011" xfId="0"/>
    <cellStyle name="_Table_commentaires fixe  internet Déc 08_Reporting Onatel Avril 2009 V0_Reporting Onatel septembre  2009 préparé" xfId="0"/>
    <cellStyle name="_Table_commentaires fixe  internet Déc 08_Reporting Onatel Avril 2009 V0_Reporting Onatel septembre  2009 préparé_Budget Telmob 2011" xfId="0"/>
    <cellStyle name="_Table_commentaires fixe  internet Déc 08_Reporting Onatel Mai 2009 V 0" xfId="0"/>
    <cellStyle name="_Table_commentaires fixe  internet Déc 08_Reporting Onatel Mai 2009 V 0 A ENVOYE" xfId="0"/>
    <cellStyle name="_Table_commentaires fixe  internet Déc 08_Reporting Onatel Mai 2009 V 0 A ENVOYE_Budget Telmob 2011" xfId="0"/>
    <cellStyle name="_Table_commentaires fixe  internet Déc 08_Reporting Onatel Mai 2009 V 0 A ENVOYE_Flash du mois de septembre 2009 (2) (version 1)" xfId="0"/>
    <cellStyle name="_Table_commentaires fixe  internet Déc 08_Reporting Onatel Mai 2009 V 0 A ENVOYE_Flash du mois de septembre 2009 (2) (version 1)_Budget Telmob 2011" xfId="0"/>
    <cellStyle name="_Table_commentaires fixe  internet Déc 08_Reporting Onatel Mai 2009 V 0 A ENVOYE_Reporting Onatel septembre  2009 préparé" xfId="0"/>
    <cellStyle name="_Table_commentaires fixe  internet Déc 08_Reporting Onatel Mai 2009 V 0 A ENVOYE_Reporting Onatel septembre  2009 préparé_Budget Telmob 2011" xfId="0"/>
    <cellStyle name="_Table_commentaires fixe  internet Déc 08_Reporting Onatel Mai 2009 V 0_Budget Telmob 2011" xfId="0"/>
    <cellStyle name="_Table_commentaires fixe  internet Déc 08_Reporting Onatel septembre  2009 préparé" xfId="0"/>
    <cellStyle name="_Table_commentaires fixe  internet Déc 08_Reporting Onatel septembre  2009 préparé_Budget Telmob 2011" xfId="0"/>
    <cellStyle name="_Table_commentaires fixe  internet Déc 08_TBG Onatel Février  2009  Vtbg V3" xfId="0"/>
    <cellStyle name="_Table_commentaires fixe  internet Déc 08_TBG Onatel Février  2009  Vtbg V3_Budget Telmob 2011" xfId="0"/>
    <cellStyle name="_Table_commentaires fixe  internet Déc 08_TBG Onatel Février  2009  Vtbg V3_Commentaires TBG mars" xfId="0"/>
    <cellStyle name="_Table_commentaires fixe  internet Déc 08_TBG Onatel Février  2009  Vtbg V3_Commentaires TBG mars_Budget Telmob 2011" xfId="0"/>
    <cellStyle name="_Table_commentaires fixe  internet Déc 08_TBG Onatel Février  2009  Vtbg V3_Commentaires TBG mars_Copie de Flash du mois d' avril 2009 corrigé par NAIMI" xfId="0"/>
    <cellStyle name="_Table_commentaires fixe  internet Déc 08_TBG Onatel Février  2009  Vtbg V3_Commentaires TBG mars_Copie de Flash du mois d' avril 2009 corrigé par NAIMI_Budget Telmob 2011" xfId="0"/>
    <cellStyle name="_Table_commentaires fixe  internet Déc 08_TBG Onatel Février  2009  Vtbg V3_Commentaires TBG mars_Copie de Flash du mois d' avril 2009 corrigé par NAIMI_Flash du mois de mai 2009" xfId="0"/>
    <cellStyle name="_Table_commentaires fixe  internet Déc 08_TBG Onatel Février  2009  Vtbg V3_Commentaires TBG mars_Copie de Flash du mois d' avril 2009 corrigé par NAIMI_Flash du mois de mai 2009_Budget Telmob 2011" xfId="0"/>
    <cellStyle name="_Table_commentaires fixe  internet Déc 08_TBG Onatel Février  2009  Vtbg V3_Commentaires TBG mars_Copie de Flash du mois d' avril 2009 corrigé par NAIMI_Flash du mois de septembre 2009 (2) (version 1)" xfId="0"/>
    <cellStyle name="_Table_commentaires fixe  internet Déc 08_TBG Onatel Février  2009  Vtbg V3_Commentaires TBG mars_Copie de Flash du mois d' avril 2009 corrigé par NAIMI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" xfId="0"/>
    <cellStyle name="_Table_commentaires fixe  internet Déc 08_TBG Onatel Février  2009  Vtbg V3_Commentaires TBG mars_Copie de Flash du mois d' avril 2009 corrigé par NAIMI_Reporting Onatel Mai 2009 V 0_Budget Telmob 2011" xfId="0"/>
    <cellStyle name="_Table_commentaires fixe  internet Déc 08_TBG Onatel Février  2009  Vtbg V3_Commentaires TBG mars_Copie de Flash du mois d' avril 2009 corrigé par NAIMI_Reporting Onatel Mai 2009 V 0_Flash du mois de septembre 2009 (2) (version 1)" xfId="0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0"/>
    <cellStyle name="_Table_commentaires fixe  internet Déc 08_TBG Onatel Février  2009  Vtbg V3_Commentaires TBG mars_Copie de Flash du mois d' avril 2009 corrigé par NAIMI_Reporting Onatel Mai 2009 V 0_Reporting Onatel septembre  2009 préparé" xfId="0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0"/>
    <cellStyle name="_Table_commentaires fixe  internet Déc 08_TBG Onatel Février  2009  Vtbg V3_Commentaires TBG mars_Copie de Flash du mois d' avril 2009 corrigé par NAIMI_Reporting Onatel septembre  2009 préparé" xfId="0"/>
    <cellStyle name="_Table_commentaires fixe  internet Déc 08_TBG Onatel Février  2009  Vtbg V3_Commentaires TBG mars_Copie de Flash du mois d' avril 2009 corrigé par NAIMI_Reporting Onatel septembre  2009 préparé_Budget Telmob 2011" xfId="0"/>
    <cellStyle name="_Table_commentaires fixe  internet Déc 08_TBG Onatel Février  2009  Vtbg V3_Commentaires TBG mars_Flash du mois d' avril 2009" xfId="0"/>
    <cellStyle name="_Table_commentaires fixe  internet Déc 08_TBG Onatel Février  2009  Vtbg V3_Commentaires TBG mars_Flash du mois d' avril 2009_Budget Telmob 2011" xfId="0"/>
    <cellStyle name="_Table_commentaires fixe  internet Déc 08_TBG Onatel Février  2009  Vtbg V3_Commentaires TBG mars_Flash du mois d' avril 2009_Flash du mois de mai 2009" xfId="0"/>
    <cellStyle name="_Table_commentaires fixe  internet Déc 08_TBG Onatel Février  2009  Vtbg V3_Commentaires TBG mars_Flash du mois d' avril 2009_Flash du mois de mai 2009_Budget Telmob 2011" xfId="0"/>
    <cellStyle name="_Table_commentaires fixe  internet Déc 08_TBG Onatel Février  2009  Vtbg V3_Commentaires TBG mars_Flash du mois d' avril 2009_Flash du mois de septembre 2009 (2) (version 1)" xfId="0"/>
    <cellStyle name="_Table_commentaires fixe  internet Déc 08_TBG Onatel Février  2009  Vtbg V3_Commentaires TBG mars_Flash du mois d' avril 2009_Flash du mois de septembre 2009 (2) (version 1)_Budget Telmob 2011" xfId="0"/>
    <cellStyle name="_Table_commentaires fixe  internet Déc 08_TBG Onatel Février  2009  Vtbg V3_Commentaires TBG mars_Flash du mois d' avril 2009_Reporting Onatel Mai 2009 V 0" xfId="0"/>
    <cellStyle name="_Table_commentaires fixe  internet Déc 08_TBG Onatel Février  2009  Vtbg V3_Commentaires TBG mars_Flash du mois d' avril 2009_Reporting Onatel Mai 2009 V 0_Budget Telmob 2011" xfId="0"/>
    <cellStyle name="_Table_commentaires fixe  internet Déc 08_TBG Onatel Février  2009  Vtbg V3_Commentaires TBG mars_Flash du mois d' avril 2009_Reporting Onatel septembre  2009 préparé" xfId="0"/>
    <cellStyle name="_Table_commentaires fixe  internet Déc 08_TBG Onatel Février  2009  Vtbg V3_Commentaires TBG mars_Flash du mois d' avril 2009_Reporting Onatel septembre  2009 préparé_Budget Telmob 2011" xfId="0"/>
    <cellStyle name="_Table_commentaires fixe  internet Déc 08_TBG Onatel Février  2009  Vtbg V3_Commentaires TBG mars_Flash du mois de mai 2009" xfId="0"/>
    <cellStyle name="_Table_commentaires fixe  internet Déc 08_TBG Onatel Février  2009  Vtbg V3_Commentaires TBG mars_Flash du mois de mai 2009_Budget Telmob 2011" xfId="0"/>
    <cellStyle name="_Table_commentaires fixe  internet Déc 08_TBG Onatel Février  2009  Vtbg V3_Commentaires TBG mars_Flash du mois de septembre 2009 (2) (version 1)" xfId="0"/>
    <cellStyle name="_Table_commentaires fixe  internet Déc 08_TBG Onatel Février  2009  Vtbg V3_Commentaires TBG mars_Flash du mois de septembre 2009 (2) (version 1)_Budget Telmob 2011" xfId="0"/>
    <cellStyle name="_Table_commentaires fixe  internet Déc 08_TBG Onatel Février  2009  Vtbg V3_Commentaires TBG mars_Reporting Onatel Mai 2009 V 0" xfId="0"/>
    <cellStyle name="_Table_commentaires fixe  internet Déc 08_TBG Onatel Février  2009  Vtbg V3_Commentaires TBG mars_Reporting Onatel Mai 2009 V 0_Budget Telmob 2011" xfId="0"/>
    <cellStyle name="_Table_commentaires fixe  internet Déc 08_TBG Onatel Février  2009  Vtbg V3_Commentaires TBG mars_Reporting Onatel septembre  2009 préparé" xfId="0"/>
    <cellStyle name="_Table_commentaires fixe  internet Déc 08_TBG Onatel Février  2009  Vtbg V3_Commentaires TBG mars_Reporting Onatel septembre  2009 préparé_Budget Telmob 2011" xfId="0"/>
    <cellStyle name="_Table_commentaires fixe  internet Déc 08_TBG Onatel Février  2009  Vtbg V3_Copie de Flash du mois d' avril 2009 corrigé par NAIMI" xfId="0"/>
    <cellStyle name="_Table_commentaires fixe  internet Déc 08_TBG Onatel Février  2009  Vtbg V3_Copie de Flash du mois d' avril 2009 corrigé par NAIMI_Budget Telmob 2011" xfId="0"/>
    <cellStyle name="_Table_commentaires fixe  internet Déc 08_TBG Onatel Février  2009  Vtbg V3_Copie de Flash du mois d' avril 2009 corrigé par NAIMI_Flash du mois de mai 2009" xfId="0"/>
    <cellStyle name="_Table_commentaires fixe  internet Déc 08_TBG Onatel Février  2009  Vtbg V3_Copie de Flash du mois d' avril 2009 corrigé par NAIMI_Flash du mois de mai 2009_Budget Telmob 2011" xfId="0"/>
    <cellStyle name="_Table_commentaires fixe  internet Déc 08_TBG Onatel Février  2009  Vtbg V3_Copie de Flash du mois d' avril 2009 corrigé par NAIMI_Flash du mois de septembre 2009 (2) (version 1)" xfId="0"/>
    <cellStyle name="_Table_commentaires fixe  internet Déc 08_TBG Onatel Février  2009  Vtbg V3_Copie de Flash du mois d' avril 2009 corrigé par NAIMI_Flash du mois de septembre 2009 (2) (version 1)_Budget Telmob 2011" xfId="0"/>
    <cellStyle name="_Table_commentaires fixe  internet Déc 08_TBG Onatel Février  2009  Vtbg V3_Copie de Flash du mois d' avril 2009 corrigé par NAIMI_Reporting Onatel Mai 2009 V 0" xfId="0"/>
    <cellStyle name="_Table_commentaires fixe  internet Déc 08_TBG Onatel Février  2009  Vtbg V3_Copie de Flash du mois d' avril 2009 corrigé par NAIMI_Reporting Onatel Mai 2009 V 0_Budget Telmob 2011" xfId="0"/>
    <cellStyle name="_Table_commentaires fixe  internet Déc 08_TBG Onatel Février  2009  Vtbg V3_Copie de Flash du mois d' avril 2009 corrigé par NAIMI_Reporting Onatel Mai 2009 V 0_Flash du mois de septembre 2009 (2) (version 1)" xfId="0"/>
    <cellStyle name="_Table_commentaires fixe  internet Déc 08_TBG Onatel Février  2009  Vtbg V3_Copie de Flash du mois d' avril 2009 corrigé par NAIMI_Reporting Onatel Mai 2009 V 0_Flash du mois de septembre 2009 (2) (version 1)_Budget Telmob 2011" xfId="0"/>
    <cellStyle name="_Table_commentaires fixe  internet Déc 08_TBG Onatel Février  2009  Vtbg V3_Copie de Flash du mois d' avril 2009 corrigé par NAIMI_Reporting Onatel Mai 2009 V 0_Reporting Onatel septembre  2009 préparé" xfId="0"/>
    <cellStyle name="_Table_commentaires fixe  internet Déc 08_TBG Onatel Février  2009  Vtbg V3_Copie de Flash du mois d' avril 2009 corrigé par NAIMI_Reporting Onatel Mai 2009 V 0_Reporting Onatel septembre  2009 préparé_Budget Telmob 2011" xfId="0"/>
    <cellStyle name="_Table_commentaires fixe  internet Déc 08_TBG Onatel Février  2009  Vtbg V3_Copie de Flash du mois d' avril 2009 corrigé par NAIMI_Reporting Onatel septembre  2009 préparé" xfId="0"/>
    <cellStyle name="_Table_commentaires fixe  internet Déc 08_TBG Onatel Février  2009  Vtbg V3_Copie de Flash du mois d' avril 2009 corrigé par NAIMI_Reporting Onatel septembre  2009 préparé_Budget Telmob 2011" xfId="0"/>
    <cellStyle name="_Table_commentaires fixe  internet Déc 08_TBG Onatel Février  2009  Vtbg V3_Flash du mois d' avril 2009" xfId="0"/>
    <cellStyle name="_Table_commentaires fixe  internet Déc 08_TBG Onatel Février  2009  Vtbg V3_Flash du mois d' avril 2009_Budget Telmob 2011" xfId="0"/>
    <cellStyle name="_Table_commentaires fixe  internet Déc 08_TBG Onatel Février  2009  Vtbg V3_Flash du mois d' avril 2009_Flash du mois de mai 2009" xfId="0"/>
    <cellStyle name="_Table_commentaires fixe  internet Déc 08_TBG Onatel Février  2009  Vtbg V3_Flash du mois d' avril 2009_Flash du mois de mai 2009_Budget Telmob 2011" xfId="0"/>
    <cellStyle name="_Table_commentaires fixe  internet Déc 08_TBG Onatel Février  2009  Vtbg V3_Flash du mois d' avril 2009_Flash du mois de septembre 2009 (2) (version 1)" xfId="0"/>
    <cellStyle name="_Table_commentaires fixe  internet Déc 08_TBG Onatel Février  2009  Vtbg V3_Flash du mois d' avril 2009_Flash du mois de septembre 2009 (2) (version 1)_Budget Telmob 2011" xfId="0"/>
    <cellStyle name="_Table_commentaires fixe  internet Déc 08_TBG Onatel Février  2009  Vtbg V3_Flash du mois d' avril 2009_Reporting Onatel Mai 2009 V 0" xfId="0"/>
    <cellStyle name="_Table_commentaires fixe  internet Déc 08_TBG Onatel Février  2009  Vtbg V3_Flash du mois d' avril 2009_Reporting Onatel Mai 2009 V 0_Budget Telmob 2011" xfId="0"/>
    <cellStyle name="_Table_commentaires fixe  internet Déc 08_TBG Onatel Février  2009  Vtbg V3_Flash du mois d' avril 2009_Reporting Onatel septembre  2009 préparé" xfId="0"/>
    <cellStyle name="_Table_commentaires fixe  internet Déc 08_TBG Onatel Février  2009  Vtbg V3_Flash du mois d' avril 2009_Reporting Onatel septembre  2009 préparé_Budget Telmob 2011" xfId="0"/>
    <cellStyle name="_Table_commentaires fixe  internet Déc 08_TBG Onatel Février  2009  Vtbg V3_Flash du mois de mai 2009" xfId="0"/>
    <cellStyle name="_Table_commentaires fixe  internet Déc 08_TBG Onatel Février  2009  Vtbg V3_Flash du mois de mai 2009_Budget Telmob 2011" xfId="0"/>
    <cellStyle name="_Table_commentaires fixe  internet Déc 08_TBG Onatel Février  2009  Vtbg V3_Flash du mois de septembre 2009 (2) (version 1)" xfId="0"/>
    <cellStyle name="_Table_commentaires fixe  internet Déc 08_TBG Onatel Février  2009  Vtbg V3_Flash du mois de septembre 2009 (2) (version 1)_Budget Telmob 2011" xfId="0"/>
    <cellStyle name="_Table_commentaires fixe  internet Déc 08_TBG Onatel Février  2009  Vtbg V3_Reporting Onatel Mai 2009 V 0" xfId="0"/>
    <cellStyle name="_Table_commentaires fixe  internet Déc 08_TBG Onatel Février  2009  Vtbg V3_Reporting Onatel Mai 2009 V 0_Budget Telmob 2011" xfId="0"/>
    <cellStyle name="_Table_commentaires fixe  internet Déc 08_TBG Onatel Février  2009  Vtbg V3_Reporting Onatel septembre  2009 préparé" xfId="0"/>
    <cellStyle name="_Table_commentaires fixe  internet Déc 08_TBG Onatel Février  2009  Vtbg V3_Reporting Onatel septembre  2009 préparé_Budget Telmob 2011" xfId="0"/>
    <cellStyle name="_Table_Commentaires TBG mars" xfId="0"/>
    <cellStyle name="_Table_Commentaires TBG mars_Budget Telmob 2011" xfId="0"/>
    <cellStyle name="_Table_Commentaires TBG mars_Copie de Flash du mois d' avril 2009 corrigé par NAIMI" xfId="0"/>
    <cellStyle name="_Table_Commentaires TBG mars_Copie de Flash du mois d' avril 2009 corrigé par NAIMI_Budget Telmob 2011" xfId="0"/>
    <cellStyle name="_Table_Commentaires TBG mars_Copie de Flash du mois d' avril 2009 corrigé par NAIMI_Flash du mois de mai 2009" xfId="0"/>
    <cellStyle name="_Table_Commentaires TBG mars_Copie de Flash du mois d' avril 2009 corrigé par NAIMI_Flash du mois de mai 2009_Budget Telmob 2011" xfId="0"/>
    <cellStyle name="_Table_Commentaires TBG mars_Copie de Flash du mois d' avril 2009 corrigé par NAIMI_Flash du mois de septembre 2009 (2) (version 1)" xfId="0"/>
    <cellStyle name="_Table_Commentaires TBG mars_Copie de Flash du mois d' avril 2009 corrigé par NAIMI_Flash du mois de septembre 2009 (2) (version 1)_Budget Telmob 2011" xfId="0"/>
    <cellStyle name="_Table_Commentaires TBG mars_Copie de Flash du mois d' avril 2009 corrigé par NAIMI_Reporting Onatel Mai 2009 V 0" xfId="0"/>
    <cellStyle name="_Table_Commentaires TBG mars_Copie de Flash du mois d' avril 2009 corrigé par NAIMI_Reporting Onatel Mai 2009 V 0_Budget Telmob 2011" xfId="0"/>
    <cellStyle name="_Table_Commentaires TBG mars_Copie de Flash du mois d' avril 2009 corrigé par NAIMI_Reporting Onatel Mai 2009 V 0_Flash du mois de septembre 2009 (2) (version 1)" xfId="0"/>
    <cellStyle name="_Table_Commentaires TBG mars_Copie de Flash du mois d' avril 2009 corrigé par NAIMI_Reporting Onatel Mai 2009 V 0_Flash du mois de septembre 2009 (2) (version 1)_Budget Telmob 2011" xfId="0"/>
    <cellStyle name="_Table_Commentaires TBG mars_Copie de Flash du mois d' avril 2009 corrigé par NAIMI_Reporting Onatel Mai 2009 V 0_Reporting Onatel septembre  2009 préparé" xfId="0"/>
    <cellStyle name="_Table_Commentaires TBG mars_Copie de Flash du mois d' avril 2009 corrigé par NAIMI_Reporting Onatel Mai 2009 V 0_Reporting Onatel septembre  2009 préparé_Budget Telmob 2011" xfId="0"/>
    <cellStyle name="_Table_Commentaires TBG mars_Copie de Flash du mois d' avril 2009 corrigé par NAIMI_Reporting Onatel septembre  2009 préparé" xfId="0"/>
    <cellStyle name="_Table_Commentaires TBG mars_Copie de Flash du mois d' avril 2009 corrigé par NAIMI_Reporting Onatel septembre  2009 préparé_Budget Telmob 2011" xfId="0"/>
    <cellStyle name="_Table_Commentaires TBG mars_Flash du mois d' avril 2009" xfId="0"/>
    <cellStyle name="_Table_Commentaires TBG mars_Flash du mois d' avril 2009_Budget Telmob 2011" xfId="0"/>
    <cellStyle name="_Table_Commentaires TBG mars_Flash du mois d' avril 2009_Flash du mois de mai 2009" xfId="0"/>
    <cellStyle name="_Table_Commentaires TBG mars_Flash du mois d' avril 2009_Flash du mois de mai 2009_Budget Telmob 2011" xfId="0"/>
    <cellStyle name="_Table_Commentaires TBG mars_Flash du mois d' avril 2009_Flash du mois de septembre 2009 (2) (version 1)" xfId="0"/>
    <cellStyle name="_Table_Commentaires TBG mars_Flash du mois d' avril 2009_Flash du mois de septembre 2009 (2) (version 1)_Budget Telmob 2011" xfId="0"/>
    <cellStyle name="_Table_Commentaires TBG mars_Flash du mois d' avril 2009_Reporting Onatel Mai 2009 V 0" xfId="0"/>
    <cellStyle name="_Table_Commentaires TBG mars_Flash du mois d' avril 2009_Reporting Onatel Mai 2009 V 0_Budget Telmob 2011" xfId="0"/>
    <cellStyle name="_Table_Commentaires TBG mars_Flash du mois d' avril 2009_Reporting Onatel septembre  2009 préparé" xfId="0"/>
    <cellStyle name="_Table_Commentaires TBG mars_Flash du mois d' avril 2009_Reporting Onatel septembre  2009 préparé_Budget Telmob 2011" xfId="0"/>
    <cellStyle name="_Table_Commentaires TBG mars_Flash du mois de mai 2009" xfId="0"/>
    <cellStyle name="_Table_Commentaires TBG mars_Flash du mois de mai 2009_Budget Telmob 2011" xfId="0"/>
    <cellStyle name="_Table_Commentaires TBG mars_Flash du mois de septembre 2009 (2) (version 1)" xfId="0"/>
    <cellStyle name="_Table_Commentaires TBG mars_Flash du mois de septembre 2009 (2) (version 1)_Budget Telmob 2011" xfId="0"/>
    <cellStyle name="_Table_Commentaires TBG mars_Reporting Onatel Mai 2009 V 0" xfId="0"/>
    <cellStyle name="_Table_Commentaires TBG mars_Reporting Onatel Mai 2009 V 0_Budget Telmob 2011" xfId="0"/>
    <cellStyle name="_Table_Commentaires TBG mars_Reporting Onatel septembre  2009 préparé" xfId="0"/>
    <cellStyle name="_Table_Commentaires TBG mars_Reporting Onatel septembre  2009 préparé_Budget Telmob 2011" xfId="0"/>
    <cellStyle name="_Table_Contribution of assets into USAi_02" xfId="0"/>
    <cellStyle name="_Table_Copie de Flash du mois d' avril 2009 corrigé par NAIMI" xfId="0"/>
    <cellStyle name="_Table_Copie de Flash du mois d' avril 2009 corrigé par NAIMI_Budget Telmob 2011" xfId="0"/>
    <cellStyle name="_Table_Copie de Flash du mois d' avril 2009 corrigé par NAIMI_Flash du mois de mai 2009" xfId="0"/>
    <cellStyle name="_Table_Copie de Flash du mois d' avril 2009 corrigé par NAIMI_Flash du mois de mai 2009_Budget Telmob 2011" xfId="0"/>
    <cellStyle name="_Table_Copie de Flash du mois d' avril 2009 corrigé par NAIMI_Flash du mois de septembre 2009 (2) (version 1)" xfId="0"/>
    <cellStyle name="_Table_Copie de Flash du mois d' avril 2009 corrigé par NAIMI_Flash du mois de septembre 2009 (2) (version 1)_Budget Telmob 2011" xfId="0"/>
    <cellStyle name="_Table_Copie de Flash du mois d' avril 2009 corrigé par NAIMI_Reporting Onatel Mai 2009 V 0" xfId="0"/>
    <cellStyle name="_Table_Copie de Flash du mois d' avril 2009 corrigé par NAIMI_Reporting Onatel Mai 2009 V 0_Budget Telmob 2011" xfId="0"/>
    <cellStyle name="_Table_Copie de Flash du mois d' avril 2009 corrigé par NAIMI_Reporting Onatel Mai 2009 V 0_Flash du mois de septembre 2009 (2) (version 1)" xfId="0"/>
    <cellStyle name="_Table_Copie de Flash du mois d' avril 2009 corrigé par NAIMI_Reporting Onatel Mai 2009 V 0_Flash du mois de septembre 2009 (2) (version 1)_Budget Telmob 2011" xfId="0"/>
    <cellStyle name="_Table_Copie de Flash du mois d' avril 2009 corrigé par NAIMI_Reporting Onatel Mai 2009 V 0_Reporting Onatel septembre  2009 préparé" xfId="0"/>
    <cellStyle name="_Table_Copie de Flash du mois d' avril 2009 corrigé par NAIMI_Reporting Onatel Mai 2009 V 0_Reporting Onatel septembre  2009 préparé_Budget Telmob 2011" xfId="0"/>
    <cellStyle name="_Table_Copie de Flash du mois d' avril 2009 corrigé par NAIMI_Reporting Onatel septembre  2009 préparé" xfId="0"/>
    <cellStyle name="_Table_Copie de Flash du mois d' avril 2009 corrigé par NAIMI_Reporting Onatel septembre  2009 préparé_Budget Telmob 2011" xfId="0"/>
    <cellStyle name="_Table_Flash du mois d' avril 2009" xfId="0"/>
    <cellStyle name="_Table_Flash du mois d' avril 2009_Budget Telmob 2011" xfId="0"/>
    <cellStyle name="_Table_Flash du mois d' avril 2009_Flash du mois de mai 2009" xfId="0"/>
    <cellStyle name="_Table_Flash du mois d' avril 2009_Flash du mois de mai 2009_Budget Telmob 2011" xfId="0"/>
    <cellStyle name="_Table_Flash du mois d' avril 2009_Flash du mois de septembre 2009 (2) (version 1)" xfId="0"/>
    <cellStyle name="_Table_Flash du mois d' avril 2009_Flash du mois de septembre 2009 (2) (version 1)_Budget Telmob 2011" xfId="0"/>
    <cellStyle name="_Table_Flash du mois d' avril 2009_Reporting Onatel Mai 2009 V 0" xfId="0"/>
    <cellStyle name="_Table_Flash du mois d' avril 2009_Reporting Onatel Mai 2009 V 0_Budget Telmob 2011" xfId="0"/>
    <cellStyle name="_Table_Flash du mois d' avril 2009_Reporting Onatel septembre  2009 préparé" xfId="0"/>
    <cellStyle name="_Table_Flash du mois d' avril 2009_Reporting Onatel septembre  2009 préparé_Budget Telmob 2011" xfId="0"/>
    <cellStyle name="_Table_Flash du mois de mai 2009" xfId="0"/>
    <cellStyle name="_Table_Flash du mois de mai 2009_Budget Telmob 2011" xfId="0"/>
    <cellStyle name="_Table_Flash du mois de septembre 2009 (2) (version 1)" xfId="0"/>
    <cellStyle name="_Table_Flash du mois de septembre 2009 (2) (version 1)_Budget Telmob 2011" xfId="0"/>
    <cellStyle name="_Table_NBC-5 yearDCF-Final from Vivendi modified" xfId="0"/>
    <cellStyle name="_Table_P &amp; L Conso" xfId="0"/>
    <cellStyle name="_Table_P &amp; L Conso_Budget Telmob 2011" xfId="0"/>
    <cellStyle name="_Table_P &amp; L Conso_COMMENTAIRES JUILLET 2009" xfId="0"/>
    <cellStyle name="_Table_P &amp; L Conso_COMMENTAIRES JUILLET 2009_Budget Telmob 2011" xfId="0"/>
    <cellStyle name="_Table_P&amp;L S1 2008" xfId="0"/>
    <cellStyle name="_Table_P&amp;L S1 2008_Budget Telmob 2011" xfId="0"/>
    <cellStyle name="_Table_Reporting Onatel Avril 2009 V0" xfId="0"/>
    <cellStyle name="_Table_Reporting Onatel Avril 2009 V0_Budget Telmob 2011" xfId="0"/>
    <cellStyle name="_Table_Reporting Onatel Avril 2009 V0_Copie de Flash du mois d' avril 2009 corrigé par NAIMI" xfId="0"/>
    <cellStyle name="_Table_Reporting Onatel Avril 2009 V0_Copie de Flash du mois d' avril 2009 corrigé par NAIMI_Budget Telmob 2011" xfId="0"/>
    <cellStyle name="_Table_Reporting Onatel Avril 2009 V0_Copie de Flash du mois d' avril 2009 corrigé par NAIMI_Flash du mois de mai 2009" xfId="0"/>
    <cellStyle name="_Table_Reporting Onatel Avril 2009 V0_Copie de Flash du mois d' avril 2009 corrigé par NAIMI_Flash du mois de mai 2009_Budget Telmob 2011" xfId="0"/>
    <cellStyle name="_Table_Reporting Onatel Avril 2009 V0_Copie de Flash du mois d' avril 2009 corrigé par NAIMI_Flash du mois de septembre 2009 (2) (version 1)" xfId="0"/>
    <cellStyle name="_Table_Reporting Onatel Avril 2009 V0_Copie de Flash du mois d' avril 2009 corrigé par NAIMI_Flash du mois de septembre 2009 (2) (version 1)_Budget Telmob 2011" xfId="0"/>
    <cellStyle name="_Table_Reporting Onatel Avril 2009 V0_Copie de Flash du mois d' avril 2009 corrigé par NAIMI_Reporting Onatel Mai 2009 V 0" xfId="0"/>
    <cellStyle name="_Table_Reporting Onatel Avril 2009 V0_Copie de Flash du mois d' avril 2009 corrigé par NAIMI_Reporting Onatel Mai 2009 V 0_Budget Telmob 2011" xfId="0"/>
    <cellStyle name="_Table_Reporting Onatel Avril 2009 V0_Copie de Flash du mois d' avril 2009 corrigé par NAIMI_Reporting Onatel Mai 2009 V 0_Flash du mois de septembre 2009 (2) (version 1)" xfId="0"/>
    <cellStyle name="_Table_Reporting Onatel Avril 2009 V0_Copie de Flash du mois d' avril 2009 corrigé par NAIMI_Reporting Onatel Mai 2009 V 0_Flash du mois de septembre 2009 (2) (version 1)_Budget Telmob 2011" xfId="0"/>
    <cellStyle name="_Table_Reporting Onatel Avril 2009 V0_Copie de Flash du mois d' avril 2009 corrigé par NAIMI_Reporting Onatel Mai 2009 V 0_Reporting Onatel septembre  2009 préparé" xfId="0"/>
    <cellStyle name="_Table_Reporting Onatel Avril 2009 V0_Copie de Flash du mois d' avril 2009 corrigé par NAIMI_Reporting Onatel Mai 2009 V 0_Reporting Onatel septembre  2009 préparé_Budget Telmob 2011" xfId="0"/>
    <cellStyle name="_Table_Reporting Onatel Avril 2009 V0_Copie de Flash du mois d' avril 2009 corrigé par NAIMI_Reporting Onatel septembre  2009 préparé" xfId="0"/>
    <cellStyle name="_Table_Reporting Onatel Avril 2009 V0_Copie de Flash du mois d' avril 2009 corrigé par NAIMI_Reporting Onatel septembre  2009 préparé_Budget Telmob 2011" xfId="0"/>
    <cellStyle name="_Table_Reporting Onatel Avril 2009 V0_Flash du mois de mai 2009" xfId="0"/>
    <cellStyle name="_Table_Reporting Onatel Avril 2009 V0_Flash du mois de mai 2009_Budget Telmob 2011" xfId="0"/>
    <cellStyle name="_Table_Reporting Onatel Avril 2009 V0_Flash du mois de septembre 2009 (2) (version 1)" xfId="0"/>
    <cellStyle name="_Table_Reporting Onatel Avril 2009 V0_Flash du mois de septembre 2009 (2) (version 1)_Budget Telmob 2011" xfId="0"/>
    <cellStyle name="_Table_Reporting Onatel Avril 2009 V0_Reporting Onatel Mai 2009 V 0" xfId="0"/>
    <cellStyle name="_Table_Reporting Onatel Avril 2009 V0_Reporting Onatel Mai 2009 V 0_Budget Telmob 2011" xfId="0"/>
    <cellStyle name="_Table_Reporting Onatel Avril 2009 V0_Reporting Onatel septembre  2009 préparé" xfId="0"/>
    <cellStyle name="_Table_Reporting Onatel Avril 2009 V0_Reporting Onatel septembre  2009 préparé_Budget Telmob 2011" xfId="0"/>
    <cellStyle name="_Table_Reporting Onatel Mai 2009 V 0" xfId="0"/>
    <cellStyle name="_Table_Reporting Onatel Mai 2009 V 0 A ENVOYE" xfId="0"/>
    <cellStyle name="_Table_Reporting Onatel Mai 2009 V 0 A ENVOYE_Budget Telmob 2011" xfId="0"/>
    <cellStyle name="_Table_Reporting Onatel Mai 2009 V 0 A ENVOYE_Flash du mois de septembre 2009 (2) (version 1)" xfId="0"/>
    <cellStyle name="_Table_Reporting Onatel Mai 2009 V 0 A ENVOYE_Flash du mois de septembre 2009 (2) (version 1)_Budget Telmob 2011" xfId="0"/>
    <cellStyle name="_Table_Reporting Onatel Mai 2009 V 0 A ENVOYE_Reporting Onatel septembre  2009 préparé" xfId="0"/>
    <cellStyle name="_Table_Reporting Onatel Mai 2009 V 0 A ENVOYE_Reporting Onatel septembre  2009 préparé_Budget Telmob 2011" xfId="0"/>
    <cellStyle name="_Table_Reporting Onatel Mai 2009 V 0_Budget Telmob 2011" xfId="0"/>
    <cellStyle name="_Table_Reporting Onatel septembre  2009 préparé" xfId="0"/>
    <cellStyle name="_Table_Reporting Onatel septembre  2009 préparé_Budget Telmob 2011" xfId="0"/>
    <cellStyle name="_Table_Rev Fixe-Internet" xfId="0"/>
    <cellStyle name="_Table_Rev Fixe-Internet_Budget Telmob 2011" xfId="0"/>
    <cellStyle name="_Table_Rev Fixe-Internet_COMMENTAIRES JUILLET 2009" xfId="0"/>
    <cellStyle name="_Table_Rev Fixe-Internet_COMMENTAIRES JUILLET 2009_Budget Telmob 2011" xfId="0"/>
    <cellStyle name="_Table_TBG Onatel Février  2009  Vtbg V3" xfId="0"/>
    <cellStyle name="_Table_TBG Onatel Février  2009  Vtbg V3_Budget Telmob 2011" xfId="0"/>
    <cellStyle name="_Table_TBG Onatel Février  2009  Vtbg V3_Commentaires TBG mars" xfId="0"/>
    <cellStyle name="_Table_TBG Onatel Février  2009  Vtbg V3_Commentaires TBG mars_Budget Telmob 2011" xfId="0"/>
    <cellStyle name="_Table_TBG Onatel Février  2009  Vtbg V3_Commentaires TBG mars_Copie de Flash du mois d' avril 2009 corrigé par NAIMI" xfId="0"/>
    <cellStyle name="_Table_TBG Onatel Février  2009  Vtbg V3_Commentaires TBG mars_Copie de Flash du mois d' avril 2009 corrigé par NAIMI_Budget Telmob 2011" xfId="0"/>
    <cellStyle name="_Table_TBG Onatel Février  2009  Vtbg V3_Commentaires TBG mars_Copie de Flash du mois d' avril 2009 corrigé par NAIMI_Flash du mois de mai 2009" xfId="0"/>
    <cellStyle name="_Table_TBG Onatel Février  2009  Vtbg V3_Commentaires TBG mars_Copie de Flash du mois d' avril 2009 corrigé par NAIMI_Flash du mois de mai 2009_Budget Telmob 2011" xfId="0"/>
    <cellStyle name="_Table_TBG Onatel Février  2009  Vtbg V3_Commentaires TBG mars_Copie de Flash du mois d' avril 2009 corrigé par NAIMI_Flash du mois de septembre 2009 (2) (version 1)" xfId="0"/>
    <cellStyle name="_Table_TBG Onatel Février  2009  Vtbg V3_Commentaires TBG mars_Copie de Flash du mois d' avril 2009 corrigé par NAIMI_Flash du mois de septembre 2009 (2) (version 1)_Budget Telmob 2011" xfId="0"/>
    <cellStyle name="_Table_TBG Onatel Février  2009  Vtbg V3_Commentaires TBG mars_Copie de Flash du mois d' avril 2009 corrigé par NAIMI_Reporting Onatel Mai 2009 V 0" xfId="0"/>
    <cellStyle name="_Table_TBG Onatel Février  2009  Vtbg V3_Commentaires TBG mars_Copie de Flash du mois d' avril 2009 corrigé par NAIMI_Reporting Onatel Mai 2009 V 0_Budget Telmob 2011" xfId="0"/>
    <cellStyle name="_Table_TBG Onatel Février  2009  Vtbg V3_Commentaires TBG mars_Copie de Flash du mois d' avril 2009 corrigé par NAIMI_Reporting Onatel Mai 2009 V 0_Flash du mois de septembre 2009 (2) (version 1)" xfId="0"/>
    <cellStyle name="_Table_TBG Onatel Février  2009  Vtbg V3_Commentaires TBG mars_Copie de Flash du mois d' avril 2009 corrigé par NAIMI_Reporting Onatel Mai 2009 V 0_Flash du mois de septembre 2009 (2) (version 1)_Budget Telmob 2011" xfId="0"/>
    <cellStyle name="_Table_TBG Onatel Février  2009  Vtbg V3_Commentaires TBG mars_Copie de Flash du mois d' avril 2009 corrigé par NAIMI_Reporting Onatel Mai 2009 V 0_Reporting Onatel septembre  2009 préparé" xfId="0"/>
    <cellStyle name="_Table_TBG Onatel Février  2009  Vtbg V3_Commentaires TBG mars_Copie de Flash du mois d' avril 2009 corrigé par NAIMI_Reporting Onatel Mai 2009 V 0_Reporting Onatel septembre  2009 préparé_Budget Telmob 2011" xfId="0"/>
    <cellStyle name="_Table_TBG Onatel Février  2009  Vtbg V3_Commentaires TBG mars_Copie de Flash du mois d' avril 2009 corrigé par NAIMI_Reporting Onatel septembre  2009 préparé" xfId="0"/>
    <cellStyle name="_Table_TBG Onatel Février  2009  Vtbg V3_Commentaires TBG mars_Copie de Flash du mois d' avril 2009 corrigé par NAIMI_Reporting Onatel septembre  2009 préparé_Budget Telmob 2011" xfId="0"/>
    <cellStyle name="_Table_TBG Onatel Février  2009  Vtbg V3_Commentaires TBG mars_Flash du mois d' avril 2009" xfId="0"/>
    <cellStyle name="_Table_TBG Onatel Février  2009  Vtbg V3_Commentaires TBG mars_Flash du mois d' avril 2009_Budget Telmob 2011" xfId="0"/>
    <cellStyle name="_Table_TBG Onatel Février  2009  Vtbg V3_Commentaires TBG mars_Flash du mois d' avril 2009_Flash du mois de mai 2009" xfId="0"/>
    <cellStyle name="_Table_TBG Onatel Février  2009  Vtbg V3_Commentaires TBG mars_Flash du mois d' avril 2009_Flash du mois de mai 2009_Budget Telmob 2011" xfId="0"/>
    <cellStyle name="_Table_TBG Onatel Février  2009  Vtbg V3_Commentaires TBG mars_Flash du mois d' avril 2009_Flash du mois de septembre 2009 (2) (version 1)" xfId="0"/>
    <cellStyle name="_Table_TBG Onatel Février  2009  Vtbg V3_Commentaires TBG mars_Flash du mois d' avril 2009_Flash du mois de septembre 2009 (2) (version 1)_Budget Telmob 2011" xfId="0"/>
    <cellStyle name="_Table_TBG Onatel Février  2009  Vtbg V3_Commentaires TBG mars_Flash du mois d' avril 2009_Reporting Onatel Mai 2009 V 0" xfId="0"/>
    <cellStyle name="_Table_TBG Onatel Février  2009  Vtbg V3_Commentaires TBG mars_Flash du mois d' avril 2009_Reporting Onatel Mai 2009 V 0_Budget Telmob 2011" xfId="0"/>
    <cellStyle name="_Table_TBG Onatel Février  2009  Vtbg V3_Commentaires TBG mars_Flash du mois d' avril 2009_Reporting Onatel septembre  2009 préparé" xfId="0"/>
    <cellStyle name="_Table_TBG Onatel Février  2009  Vtbg V3_Commentaires TBG mars_Flash du mois d' avril 2009_Reporting Onatel septembre  2009 préparé_Budget Telmob 2011" xfId="0"/>
    <cellStyle name="_Table_TBG Onatel Février  2009  Vtbg V3_Commentaires TBG mars_Flash du mois de mai 2009" xfId="0"/>
    <cellStyle name="_Table_TBG Onatel Février  2009  Vtbg V3_Commentaires TBG mars_Flash du mois de mai 2009_Budget Telmob 2011" xfId="0"/>
    <cellStyle name="_Table_TBG Onatel Février  2009  Vtbg V3_Commentaires TBG mars_Flash du mois de septembre 2009 (2) (version 1)" xfId="0"/>
    <cellStyle name="_Table_TBG Onatel Février  2009  Vtbg V3_Commentaires TBG mars_Flash du mois de septembre 2009 (2) (version 1)_Budget Telmob 2011" xfId="0"/>
    <cellStyle name="_Table_TBG Onatel Février  2009  Vtbg V3_Commentaires TBG mars_Reporting Onatel Mai 2009 V 0" xfId="0"/>
    <cellStyle name="_Table_TBG Onatel Février  2009  Vtbg V3_Commentaires TBG mars_Reporting Onatel Mai 2009 V 0_Budget Telmob 2011" xfId="0"/>
    <cellStyle name="_Table_TBG Onatel Février  2009  Vtbg V3_Commentaires TBG mars_Reporting Onatel septembre  2009 préparé" xfId="0"/>
    <cellStyle name="_Table_TBG Onatel Février  2009  Vtbg V3_Commentaires TBG mars_Reporting Onatel septembre  2009 préparé_Budget Telmob 2011" xfId="0"/>
    <cellStyle name="_Table_TBG Onatel Février  2009  Vtbg V3_Copie de Flash du mois d' avril 2009 corrigé par NAIMI" xfId="0"/>
    <cellStyle name="_Table_TBG Onatel Février  2009  Vtbg V3_Copie de Flash du mois d' avril 2009 corrigé par NAIMI_Budget Telmob 2011" xfId="0"/>
    <cellStyle name="_Table_TBG Onatel Février  2009  Vtbg V3_Copie de Flash du mois d' avril 2009 corrigé par NAIMI_Flash du mois de mai 2009" xfId="0"/>
    <cellStyle name="_Table_TBG Onatel Février  2009  Vtbg V3_Copie de Flash du mois d' avril 2009 corrigé par NAIMI_Flash du mois de mai 2009_Budget Telmob 2011" xfId="0"/>
    <cellStyle name="_Table_TBG Onatel Février  2009  Vtbg V3_Copie de Flash du mois d' avril 2009 corrigé par NAIMI_Flash du mois de septembre 2009 (2) (version 1)" xfId="0"/>
    <cellStyle name="_Table_TBG Onatel Février  2009  Vtbg V3_Copie de Flash du mois d' avril 2009 corrigé par NAIMI_Flash du mois de septembre 2009 (2) (version 1)_Budget Telmob 2011" xfId="0"/>
    <cellStyle name="_Table_TBG Onatel Février  2009  Vtbg V3_Copie de Flash du mois d' avril 2009 corrigé par NAIMI_Reporting Onatel Mai 2009 V 0" xfId="0"/>
    <cellStyle name="_Table_TBG Onatel Février  2009  Vtbg V3_Copie de Flash du mois d' avril 2009 corrigé par NAIMI_Reporting Onatel Mai 2009 V 0_Budget Telmob 2011" xfId="0"/>
    <cellStyle name="_Table_TBG Onatel Février  2009  Vtbg V3_Copie de Flash du mois d' avril 2009 corrigé par NAIMI_Reporting Onatel Mai 2009 V 0_Flash du mois de septembre 2009 (2) (version 1)" xfId="0"/>
    <cellStyle name="_Table_TBG Onatel Février  2009  Vtbg V3_Copie de Flash du mois d' avril 2009 corrigé par NAIMI_Reporting Onatel Mai 2009 V 0_Flash du mois de septembre 2009 (2) (version 1)_Budget Telmob 2011" xfId="0"/>
    <cellStyle name="_Table_TBG Onatel Février  2009  Vtbg V3_Copie de Flash du mois d' avril 2009 corrigé par NAIMI_Reporting Onatel Mai 2009 V 0_Reporting Onatel septembre  2009 préparé" xfId="0"/>
    <cellStyle name="_Table_TBG Onatel Février  2009  Vtbg V3_Copie de Flash du mois d' avril 2009 corrigé par NAIMI_Reporting Onatel Mai 2009 V 0_Reporting Onatel septembre  2009 préparé_Budget Telmob 2011" xfId="0"/>
    <cellStyle name="_Table_TBG Onatel Février  2009  Vtbg V3_Copie de Flash du mois d' avril 2009 corrigé par NAIMI_Reporting Onatel septembre  2009 préparé" xfId="0"/>
    <cellStyle name="_Table_TBG Onatel Février  2009  Vtbg V3_Copie de Flash du mois d' avril 2009 corrigé par NAIMI_Reporting Onatel septembre  2009 préparé_Budget Telmob 2011" xfId="0"/>
    <cellStyle name="_Table_TBG Onatel Février  2009  Vtbg V3_Flash du mois d' avril 2009" xfId="0"/>
    <cellStyle name="_Table_TBG Onatel Février  2009  Vtbg V3_Flash du mois d' avril 2009_Budget Telmob 2011" xfId="0"/>
    <cellStyle name="_Table_TBG Onatel Février  2009  Vtbg V3_Flash du mois d' avril 2009_Flash du mois de mai 2009" xfId="0"/>
    <cellStyle name="_Table_TBG Onatel Février  2009  Vtbg V3_Flash du mois d' avril 2009_Flash du mois de mai 2009_Budget Telmob 2011" xfId="0"/>
    <cellStyle name="_Table_TBG Onatel Février  2009  Vtbg V3_Flash du mois d' avril 2009_Flash du mois de septembre 2009 (2) (version 1)" xfId="0"/>
    <cellStyle name="_Table_TBG Onatel Février  2009  Vtbg V3_Flash du mois d' avril 2009_Flash du mois de septembre 2009 (2) (version 1)_Budget Telmob 2011" xfId="0"/>
    <cellStyle name="_Table_TBG Onatel Février  2009  Vtbg V3_Flash du mois d' avril 2009_Reporting Onatel Mai 2009 V 0" xfId="0"/>
    <cellStyle name="_Table_TBG Onatel Février  2009  Vtbg V3_Flash du mois d' avril 2009_Reporting Onatel Mai 2009 V 0_Budget Telmob 2011" xfId="0"/>
    <cellStyle name="_Table_TBG Onatel Février  2009  Vtbg V3_Flash du mois d' avril 2009_Reporting Onatel septembre  2009 préparé" xfId="0"/>
    <cellStyle name="_Table_TBG Onatel Février  2009  Vtbg V3_Flash du mois d' avril 2009_Reporting Onatel septembre  2009 préparé_Budget Telmob 2011" xfId="0"/>
    <cellStyle name="_Table_TBG Onatel Février  2009  Vtbg V3_Flash du mois de mai 2009" xfId="0"/>
    <cellStyle name="_Table_TBG Onatel Février  2009  Vtbg V3_Flash du mois de mai 2009_Budget Telmob 2011" xfId="0"/>
    <cellStyle name="_Table_TBG Onatel Février  2009  Vtbg V3_Flash du mois de septembre 2009 (2) (version 1)" xfId="0"/>
    <cellStyle name="_Table_TBG Onatel Février  2009  Vtbg V3_Flash du mois de septembre 2009 (2) (version 1)_Budget Telmob 2011" xfId="0"/>
    <cellStyle name="_Table_TBG Onatel Février  2009  Vtbg V3_Reporting Onatel Mai 2009 V 0" xfId="0"/>
    <cellStyle name="_Table_TBG Onatel Février  2009  Vtbg V3_Reporting Onatel Mai 2009 V 0_Budget Telmob 2011" xfId="0"/>
    <cellStyle name="_Table_TBG Onatel Février  2009  Vtbg V3_Reporting Onatel septembre  2009 préparé" xfId="0"/>
    <cellStyle name="_Table_TBG Onatel Février  2009  Vtbg V3_Reporting Onatel septembre  2009 préparé_Budget Telmob 2011" xfId="0"/>
    <cellStyle name="_Table_USA Ownership" xfId="0"/>
    <cellStyle name="_Table_USA Ownership_Budget Telmob 2011" xfId="0"/>
    <cellStyle name="_Table_USA Ownership_commentaires fixe  internet Déc 08" xfId="0"/>
    <cellStyle name="_Table_USA Ownership_commentaires fixe  internet Déc 08_Budget Telmob 2011" xfId="0"/>
    <cellStyle name="_Table_USA Ownership_commentaires fixe  internet Déc 08_Commentaires TBG mars" xfId="0"/>
    <cellStyle name="_Table_USA Ownership_commentaires fixe  internet Déc 08_Commentaires TBG mars_Budget Telmob 2011" xfId="0"/>
    <cellStyle name="_Table_USA Ownership_commentaires fixe  internet Déc 08_Commentaires TBG mars_Copie de Flash du mois d' avril 2009 corrigé par NAIMI" xfId="0"/>
    <cellStyle name="_Table_USA Ownership_commentaires fixe  internet Déc 08_Commentaires TBG mars_Copie de Flash du mois d' avril 2009 corrigé par NAIMI_Budget Telmob 2011" xfId="0"/>
    <cellStyle name="_Table_USA Ownership_commentaires fixe  internet Déc 08_Commentaires TBG mars_Copie de Flash du mois d' avril 2009 corrigé par NAIMI_Flash du mois de mai 2009" xfId="0"/>
    <cellStyle name="_Table_USA Ownership_commentaires fixe  internet Déc 08_Commentaires TBG mars_Copie de Flash du mois d' avril 2009 corrigé par NAIMI_Flash du mois de mai 2009_Budget Telmob 2011" xfId="0"/>
    <cellStyle name="_Table_USA Ownership_commentaires fixe  internet Déc 08_Commentaires TBG mars_Copie de Flash du mois d' avril 2009 corrigé par NAIMI_Flash du mois de septembre 2009 (2) (version 1)" xfId="0"/>
    <cellStyle name="_Table_USA Ownership_commentaires fixe  internet Déc 08_Commentaires TBG mars_Copie de Flash du mois d' avril 2009 corrigé par NAIMI_Flash du mois de septembre 2009 (2) (version 1)_Budget Telmob 2011" xfId="0"/>
    <cellStyle name="_Table_USA Ownership_commentaires fixe  internet Déc 08_Commentaires TBG mars_Copie de Flash du mois d' avril 2009 corrigé par NAIMI_Reporting Onatel Mai 2009 V 0" xfId="0"/>
    <cellStyle name="_Table_USA Ownership_commentaires fixe  internet Déc 08_Commentaires TBG mars_Copie de Flash du mois d' avril 2009 corrigé par NAIMI_Reporting Onatel Mai 2009 V 0_Budget Telmob 2011" xfId="0"/>
    <cellStyle name="_Table_USA Ownership_commentaires fixe  internet Déc 08_Commentaires TBG mars_Copie de Flash du mois d' avril 2009 corrigé par NAIMI_Reporting Onatel Mai 2009 V 0_Flash du mois de septembre 2009 (2) (version 1)" xfId="0"/>
    <cellStyle name="_Table_USA Ownership_commentaires fixe  internet Déc 08_Commentaires TBG mars_Copie de Flash du mois d' avril 2009 corrigé par NAIMI_Reporting Onatel Mai 2009 V 0_Flash du mois de septembre 2009 (2) (version 1)_Budget Telmob 2011" xfId="0"/>
    <cellStyle name="_Table_USA Ownership_commentaires fixe  internet Déc 08_Commentaires TBG mars_Copie de Flash du mois d' avril 2009 corrigé par NAIMI_Reporting Onatel Mai 2009 V 0_Reporting Onatel septembre  2009 préparé" xfId="0"/>
    <cellStyle name="_Table_USA Ownership_commentaires fixe  internet Déc 08_Commentaires TBG mars_Copie de Flash du mois d' avril 2009 corrigé par NAIMI_Reporting Onatel Mai 2009 V 0_Reporting Onatel septembre  2009 préparé_Budget Telmob 2011" xfId="0"/>
    <cellStyle name="_Table_USA Ownership_commentaires fixe  internet Déc 08_Commentaires TBG mars_Copie de Flash du mois d' avril 2009 corrigé par NAIMI_Reporting Onatel septembre  2009 préparé" xfId="0"/>
    <cellStyle name="_Table_USA Ownership_commentaires fixe  internet Déc 08_Commentaires TBG mars_Copie de Flash du mois d' avril 2009 corrigé par NAIMI_Reporting Onatel septembre  2009 préparé_Budget Telmob 2011" xfId="0"/>
    <cellStyle name="_Table_USA Ownership_commentaires fixe  internet Déc 08_Commentaires TBG mars_Flash du mois d' avril 2009" xfId="0"/>
    <cellStyle name="_Table_USA Ownership_commentaires fixe  internet Déc 08_Commentaires TBG mars_Flash du mois d' avril 2009_Budget Telmob 2011" xfId="0"/>
    <cellStyle name="_Table_USA Ownership_commentaires fixe  internet Déc 08_Commentaires TBG mars_Flash du mois d' avril 2009_Flash du mois de mai 2009" xfId="0"/>
    <cellStyle name="_Table_USA Ownership_commentaires fixe  internet Déc 08_Commentaires TBG mars_Flash du mois d' avril 2009_Flash du mois de mai 2009_Budget Telmob 2011" xfId="0"/>
    <cellStyle name="_Table_USA Ownership_commentaires fixe  internet Déc 08_Commentaires TBG mars_Flash du mois d' avril 2009_Flash du mois de septembre 2009 (2) (version 1)" xfId="0"/>
    <cellStyle name="_Table_USA Ownership_commentaires fixe  internet Déc 08_Commentaires TBG mars_Flash du mois d' avril 2009_Flash du mois de septembre 2009 (2) (version 1)_Budget Telmob 2011" xfId="0"/>
    <cellStyle name="_Table_USA Ownership_commentaires fixe  internet Déc 08_Commentaires TBG mars_Flash du mois d' avril 2009_Reporting Onatel Mai 2009 V 0" xfId="0"/>
    <cellStyle name="_Table_USA Ownership_commentaires fixe  internet Déc 08_Commentaires TBG mars_Flash du mois d' avril 2009_Reporting Onatel Mai 2009 V 0_Budget Telmob 2011" xfId="0"/>
    <cellStyle name="_Table_USA Ownership_commentaires fixe  internet Déc 08_Commentaires TBG mars_Flash du mois d' avril 2009_Reporting Onatel septembre  2009 préparé" xfId="0"/>
    <cellStyle name="_Table_USA Ownership_commentaires fixe  internet Déc 08_Commentaires TBG mars_Flash du mois d' avril 2009_Reporting Onatel septembre  2009 préparé_Budget Telmob 2011" xfId="0"/>
    <cellStyle name="_Table_USA Ownership_commentaires fixe  internet Déc 08_Commentaires TBG mars_Flash du mois de mai 2009" xfId="0"/>
    <cellStyle name="_Table_USA Ownership_commentaires fixe  internet Déc 08_Commentaires TBG mars_Flash du mois de mai 2009_Budget Telmob 2011" xfId="0"/>
    <cellStyle name="_Table_USA Ownership_commentaires fixe  internet Déc 08_Commentaires TBG mars_Flash du mois de septembre 2009 (2) (version 1)" xfId="0"/>
    <cellStyle name="_Table_USA Ownership_commentaires fixe  internet Déc 08_Commentaires TBG mars_Flash du mois de septembre 2009 (2) (version 1)_Budget Telmob 2011" xfId="0"/>
    <cellStyle name="_Table_USA Ownership_commentaires fixe  internet Déc 08_Commentaires TBG mars_Reporting Onatel Mai 2009 V 0" xfId="0"/>
    <cellStyle name="_Table_USA Ownership_commentaires fixe  internet Déc 08_Commentaires TBG mars_Reporting Onatel Mai 2009 V 0_Budget Telmob 2011" xfId="0"/>
    <cellStyle name="_Table_USA Ownership_commentaires fixe  internet Déc 08_Commentaires TBG mars_Reporting Onatel septembre  2009 préparé" xfId="0"/>
    <cellStyle name="_Table_USA Ownership_commentaires fixe  internet Déc 08_Commentaires TBG mars_Reporting Onatel septembre  2009 préparé_Budget Telmob 2011" xfId="0"/>
    <cellStyle name="_Table_USA Ownership_commentaires fixe  internet Déc 08_Copie de Flash du mois d' avril 2009 corrigé par NAIMI" xfId="0"/>
    <cellStyle name="_Table_USA Ownership_commentaires fixe  internet Déc 08_Copie de Flash du mois d' avril 2009 corrigé par NAIMI_Budget Telmob 2011" xfId="0"/>
    <cellStyle name="_Table_USA Ownership_commentaires fixe  internet Déc 08_Copie de Flash du mois d' avril 2009 corrigé par NAIMI_Flash du mois de mai 2009" xfId="0"/>
    <cellStyle name="_Table_USA Ownership_commentaires fixe  internet Déc 08_Copie de Flash du mois d' avril 2009 corrigé par NAIMI_Flash du mois de mai 2009_Budget Telmob 2011" xfId="0"/>
    <cellStyle name="_Table_USA Ownership_commentaires fixe  internet Déc 08_Copie de Flash du mois d' avril 2009 corrigé par NAIMI_Flash du mois de septembre 2009 (2) (version 1)" xfId="0"/>
    <cellStyle name="_Table_USA Ownership_commentaires fixe  internet Déc 08_Copie de Flash du mois d' avril 2009 corrigé par NAIMI_Flash du mois de septembre 2009 (2) (version 1)_Budget Telmob 2011" xfId="0"/>
    <cellStyle name="_Table_USA Ownership_commentaires fixe  internet Déc 08_Copie de Flash du mois d' avril 2009 corrigé par NAIMI_Reporting Onatel Mai 2009 V 0" xfId="0"/>
    <cellStyle name="_Table_USA Ownership_commentaires fixe  internet Déc 08_Copie de Flash du mois d' avril 2009 corrigé par NAIMI_Reporting Onatel Mai 2009 V 0_Budget Telmob 2011" xfId="0"/>
    <cellStyle name="_Table_USA Ownership_commentaires fixe  internet Déc 08_Copie de Flash du mois d' avril 2009 corrigé par NAIMI_Reporting Onatel Mai 2009 V 0_Flash du mois de septembre 2009 (2) (version 1)" xfId="0"/>
    <cellStyle name="_Table_USA Ownership_commentaires fixe  internet Déc 08_Copie de Flash du mois d' avril 2009 corrigé par NAIMI_Reporting Onatel Mai 2009 V 0_Flash du mois de septembre 2009 (2) (version 1)_Budget Telmob 2011" xfId="0"/>
    <cellStyle name="_Table_USA Ownership_commentaires fixe  internet Déc 08_Copie de Flash du mois d' avril 2009 corrigé par NAIMI_Reporting Onatel Mai 2009 V 0_Reporting Onatel septembre  2009 préparé" xfId="0"/>
    <cellStyle name="_Table_USA Ownership_commentaires fixe  internet Déc 08_Copie de Flash du mois d' avril 2009 corrigé par NAIMI_Reporting Onatel Mai 2009 V 0_Reporting Onatel septembre  2009 préparé_Budget Telmob 2011" xfId="0"/>
    <cellStyle name="_Table_USA Ownership_commentaires fixe  internet Déc 08_Copie de Flash du mois d' avril 2009 corrigé par NAIMI_Reporting Onatel septembre  2009 préparé" xfId="0"/>
    <cellStyle name="_Table_USA Ownership_commentaires fixe  internet Déc 08_Copie de Flash du mois d' avril 2009 corrigé par NAIMI_Reporting Onatel septembre  2009 préparé_Budget Telmob 2011" xfId="0"/>
    <cellStyle name="_Table_USA Ownership_commentaires fixe  internet Déc 08_Flash du mois d' avril 2009" xfId="0"/>
    <cellStyle name="_Table_USA Ownership_commentaires fixe  internet Déc 08_Flash du mois d' avril 2009_Budget Telmob 2011" xfId="0"/>
    <cellStyle name="_Table_USA Ownership_commentaires fixe  internet Déc 08_Flash du mois d' avril 2009_Flash du mois de mai 2009" xfId="0"/>
    <cellStyle name="_Table_USA Ownership_commentaires fixe  internet Déc 08_Flash du mois d' avril 2009_Flash du mois de mai 2009_Budget Telmob 2011" xfId="0"/>
    <cellStyle name="_Table_USA Ownership_commentaires fixe  internet Déc 08_Flash du mois d' avril 2009_Flash du mois de septembre 2009 (2) (version 1)" xfId="0"/>
    <cellStyle name="_Table_USA Ownership_commentaires fixe  internet Déc 08_Flash du mois d' avril 2009_Flash du mois de septembre 2009 (2) (version 1)_Budget Telmob 2011" xfId="0"/>
    <cellStyle name="_Table_USA Ownership_commentaires fixe  internet Déc 08_Flash du mois d' avril 2009_Reporting Onatel Mai 2009 V 0" xfId="0"/>
    <cellStyle name="_Table_USA Ownership_commentaires fixe  internet Déc 08_Flash du mois d' avril 2009_Reporting Onatel Mai 2009 V 0_Budget Telmob 2011" xfId="0"/>
    <cellStyle name="_Table_USA Ownership_commentaires fixe  internet Déc 08_Flash du mois d' avril 2009_Reporting Onatel septembre  2009 préparé" xfId="0"/>
    <cellStyle name="_Table_USA Ownership_commentaires fixe  internet Déc 08_Flash du mois d' avril 2009_Reporting Onatel septembre  2009 préparé_Budget Telmob 2011" xfId="0"/>
    <cellStyle name="_Table_USA Ownership_commentaires fixe  internet Déc 08_Flash du mois de mai 2009" xfId="0"/>
    <cellStyle name="_Table_USA Ownership_commentaires fixe  internet Déc 08_Flash du mois de mai 2009_Budget Telmob 2011" xfId="0"/>
    <cellStyle name="_Table_USA Ownership_commentaires fixe  internet Déc 08_Flash du mois de septembre 2009 (2) (version 1)" xfId="0"/>
    <cellStyle name="_Table_USA Ownership_commentaires fixe  internet Déc 08_Flash du mois de septembre 2009 (2) (version 1)_Budget Telmob 2011" xfId="0"/>
    <cellStyle name="_Table_USA Ownership_commentaires fixe  internet Déc 08_Reporting Onatel Avril 2009 V0" xfId="0"/>
    <cellStyle name="_Table_USA Ownership_commentaires fixe  internet Déc 08_Reporting Onatel Avril 2009 V0_Budget Telmob 2011" xfId="0"/>
    <cellStyle name="_Table_USA Ownership_commentaires fixe  internet Déc 08_Reporting Onatel Avril 2009 V0_Copie de Flash du mois d' avril 2009 corrigé par NAIMI" xfId="0"/>
    <cellStyle name="_Table_USA Ownership_commentaires fixe  internet Déc 08_Reporting Onatel Avril 2009 V0_Copie de Flash du mois d' avril 2009 corrigé par NAIMI_Budget Telmob 2011" xfId="0"/>
    <cellStyle name="_Table_USA Ownership_commentaires fixe  internet Déc 08_Reporting Onatel Avril 2009 V0_Copie de Flash du mois d' avril 2009 corrigé par NAIMI_Flash du mois de mai 2009" xfId="0"/>
    <cellStyle name="_Table_USA Ownership_commentaires fixe  internet Déc 08_Reporting Onatel Avril 2009 V0_Copie de Flash du mois d' avril 2009 corrigé par NAIMI_Flash du mois de mai 2009_Budget Telmob 2011" xfId="0"/>
    <cellStyle name="_Table_USA Ownership_commentaires fixe  internet Déc 08_Reporting Onatel Avril 2009 V0_Copie de Flash du mois d' avril 2009 corrigé par NAIMI_Flash du mois de septembre 2009 (2) (version 1)" xfId="0"/>
    <cellStyle name="_Table_USA Ownership_commentaires fixe  internet Déc 08_Reporting Onatel Avril 2009 V0_Copie de Flash du mois d' avril 2009 corrigé par NAIMI_Flash du mois de septembre 2009 (2) (version 1)_Budget Telmob 2011" xfId="0"/>
    <cellStyle name="_Table_USA Ownership_commentaires fixe  internet Déc 08_Reporting Onatel Avril 2009 V0_Copie de Flash du mois d' avril 2009 corrigé par NAIMI_Reporting Onatel Mai 2009 V 0" xfId="0"/>
    <cellStyle name="_Table_USA Ownership_commentaires fixe  internet Déc 08_Reporting Onatel Avril 2009 V0_Copie de Flash du mois d' avril 2009 corrigé par NAIMI_Reporting Onatel Mai 2009 V 0_Budget Telmob 2011" xfId="0"/>
    <cellStyle name="_Table_USA Ownership_commentaires fixe  internet Déc 08_Reporting Onatel Avril 2009 V0_Copie de Flash du mois d' avril 2009 corrigé par NAIMI_Reporting Onatel Mai 2009 V 0_Flash du mois de septembre 2009 (2) (version 1)" xfId="0"/>
    <cellStyle name="_Table_USA Ownership_commentaires fixe  internet Déc 08_Reporting Onatel Avril 2009 V0_Copie de Flash du mois d' avril 2009 corrigé par NAIMI_Reporting Onatel Mai 2009 V 0_Flash du mois de septembre 2009 (2) (version 1)_Budget Telmob 2011" xfId="0"/>
    <cellStyle name="_Table_USA Ownership_commentaires fixe  internet Déc 08_Reporting Onatel Avril 2009 V0_Copie de Flash du mois d' avril 2009 corrigé par NAIMI_Reporting Onatel Mai 2009 V 0_Reporting Onatel septembre  2009 préparé" xfId="0"/>
    <cellStyle name="_Table_USA Ownership_commentaires fixe  internet Déc 08_Reporting Onatel Avril 2009 V0_Copie de Flash du mois d' avril 2009 corrigé par NAIMI_Reporting Onatel Mai 2009 V 0_Reporting Onatel septembre  2009 préparé_Budget Telmob 2011" xfId="0"/>
    <cellStyle name="_Table_USA Ownership_commentaires fixe  internet Déc 08_Reporting Onatel Avril 2009 V0_Copie de Flash du mois d' avril 2009 corrigé par NAIMI_Reporting Onatel septembre  2009 préparé" xfId="0"/>
    <cellStyle name="_Table_USA Ownership_commentaires fixe  internet Déc 08_Reporting Onatel Avril 2009 V0_Copie de Flash du mois d' avril 2009 corrigé par NAIMI_Reporting Onatel septembre  2009 préparé_Budget Telmob 2011" xfId="0"/>
    <cellStyle name="_Table_USA Ownership_commentaires fixe  internet Déc 08_Reporting Onatel Avril 2009 V0_Flash du mois de mai 2009" xfId="0"/>
    <cellStyle name="_Table_USA Ownership_commentaires fixe  internet Déc 08_Reporting Onatel Avril 2009 V0_Flash du mois de mai 2009_Budget Telmob 2011" xfId="0"/>
    <cellStyle name="_Table_USA Ownership_commentaires fixe  internet Déc 08_Reporting Onatel Avril 2009 V0_Flash du mois de septembre 2009 (2) (version 1)" xfId="0"/>
    <cellStyle name="_Table_USA Ownership_commentaires fixe  internet Déc 08_Reporting Onatel Avril 2009 V0_Flash du mois de septembre 2009 (2) (version 1)_Budget Telmob 2011" xfId="0"/>
    <cellStyle name="_Table_USA Ownership_commentaires fixe  internet Déc 08_Reporting Onatel Avril 2009 V0_Reporting Onatel Mai 2009 V 0" xfId="0"/>
    <cellStyle name="_Table_USA Ownership_commentaires fixe  internet Déc 08_Reporting Onatel Avril 2009 V0_Reporting Onatel Mai 2009 V 0_Budget Telmob 2011" xfId="0"/>
    <cellStyle name="_Table_USA Ownership_commentaires fixe  internet Déc 08_Reporting Onatel Avril 2009 V0_Reporting Onatel septembre  2009 préparé" xfId="0"/>
    <cellStyle name="_Table_USA Ownership_commentaires fixe  internet Déc 08_Reporting Onatel Avril 2009 V0_Reporting Onatel septembre  2009 préparé_Budget Telmob 2011" xfId="0"/>
    <cellStyle name="_Table_USA Ownership_commentaires fixe  internet Déc 08_Reporting Onatel Mai 2009 V 0" xfId="0"/>
    <cellStyle name="_Table_USA Ownership_commentaires fixe  internet Déc 08_Reporting Onatel Mai 2009 V 0 A ENVOYE" xfId="0"/>
    <cellStyle name="_Table_USA Ownership_commentaires fixe  internet Déc 08_Reporting Onatel Mai 2009 V 0 A ENVOYE_Budget Telmob 2011" xfId="0"/>
    <cellStyle name="_Table_USA Ownership_commentaires fixe  internet Déc 08_Reporting Onatel Mai 2009 V 0 A ENVOYE_Flash du mois de septembre 2009 (2) (version 1)" xfId="0"/>
    <cellStyle name="_Table_USA Ownership_commentaires fixe  internet Déc 08_Reporting Onatel Mai 2009 V 0 A ENVOYE_Flash du mois de septembre 2009 (2) (version 1)_Budget Telmob 2011" xfId="0"/>
    <cellStyle name="_Table_USA Ownership_commentaires fixe  internet Déc 08_Reporting Onatel Mai 2009 V 0 A ENVOYE_Reporting Onatel septembre  2009 préparé" xfId="0"/>
    <cellStyle name="_Table_USA Ownership_commentaires fixe  internet Déc 08_Reporting Onatel Mai 2009 V 0 A ENVOYE_Reporting Onatel septembre  2009 préparé_Budget Telmob 2011" xfId="0"/>
    <cellStyle name="_Table_USA Ownership_commentaires fixe  internet Déc 08_Reporting Onatel Mai 2009 V 0_Budget Telmob 2011" xfId="0"/>
    <cellStyle name="_Table_USA Ownership_commentaires fixe  internet Déc 08_Reporting Onatel septembre  2009 préparé" xfId="0"/>
    <cellStyle name="_Table_USA Ownership_commentaires fixe  internet Déc 08_Reporting Onatel septembre  2009 préparé_Budget Telmob 2011" xfId="0"/>
    <cellStyle name="_Table_USA Ownership_commentaires fixe  internet Déc 08_TBG Onatel Février  2009  Vtbg V3" xfId="0"/>
    <cellStyle name="_Table_USA Ownership_commentaires fixe  internet Déc 08_TBG Onatel Février  2009  Vtbg V3_Budget Telmob 2011" xfId="0"/>
    <cellStyle name="_Table_USA Ownership_commentaires fixe  internet Déc 08_TBG Onatel Février  2009  Vtbg V3_Commentaires TBG mars" xfId="0"/>
    <cellStyle name="_Table_USA Ownership_commentaires fixe  internet Déc 08_TBG Onatel Février  2009  Vtbg V3_Commentaires TBG mars_Budget Telmob 2011" xfId="0"/>
    <cellStyle name="_Table_USA Ownership_commentaires fixe  internet Déc 08_TBG Onatel Février  2009  Vtbg V3_Commentaires TBG mars_Copie de Flash du mois d' avril 2009 corrigé par NAIMI" xfId="0"/>
    <cellStyle name="_Table_USA Ownership_commentaires fixe  internet Déc 08_TBG Onatel Février  2009  Vtbg V3_Commentaires TBG mars_Copie de Flash du mois d' avril 2009 corrigé par NAIMI_Budget Telmob 2011" xfId="0"/>
    <cellStyle name="_Table_USA Ownership_commentaires fixe  internet Déc 08_TBG Onatel Février  2009  Vtbg V3_Commentaires TBG mars_Copie de Flash du mois d' avril 2009 corrigé par NAIMI_Flash du mois de mai 2009" xfId="0"/>
    <cellStyle name="_Table_USA Ownership_commentaires fixe  internet Déc 08_TBG Onatel Février  2009  Vtbg V3_Commentaires TBG mars_Copie de Flash du mois d' avril 2009 corrigé par NAIMI_Flash du mois de mai 2009_Budget Telmob 2011" xfId="0"/>
    <cellStyle name="_Table_USA Ownership_commentaires fixe  internet Déc 08_TBG Onatel Février  2009  Vtbg V3_Commentaires TBG mars_Copie de Flash du mois d' avril 2009 corrigé par NAIMI_Flash du mois de septembre 2009 (2) (version 1)" xfId="0"/>
    <cellStyle name="_Table_USA Ownership_commentaires fixe  internet Déc 08_TBG Onatel Février  2009  Vtbg V3_Commentaires TBG mars_Copie de Flash du mois d' avril 2009 corrigé par NAIMI_Flash du mois de septembre 2009 (2) (version 1)_Budget Telmob 2011" xfId="0"/>
    <cellStyle name="_Table_USA Ownership_commentaires fixe  internet Déc 08_TBG Onatel Février  2009  Vtbg V3_Commentaires TBG mars_Copie de Flash du mois d' avril 2009 corrigé par NAIMI_Reporting Onatel Mai 2009 V 0" xfId="0"/>
    <cellStyle name="_Table_USA Ownership_commentaires fixe  internet Déc 08_TBG Onatel Février  2009  Vtbg V3_Commentaires TBG mars_Copie de Flash du mois d' avril 2009 corrigé par NAIMI_Reporting Onatel Mai 2009 V 0_Budget Telmob 2011" xfId="0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0"/>
    <cellStyle name="_Table_USA Ownership_commentaires fixe  internet Déc 08_TBG Onatel Février  2009  Vtbg V3_Commentaires TBG mars_Copie de Flash du mois d' avril 2009 corrigé par NAIMI_Reporting Onatel Mai 2009 V 0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" xfId="0"/>
    <cellStyle name="_Table_USA Ownership_commentaires fixe  internet Déc 08_TBG Onatel Février  2009  Vtbg V3_Commentaires TBG mars_Copie de Flash du mois d' avril 2009 corrigé par NAIMI_Reporting Onatel septembre  2009 préparé_Budget Telmob 2011" xfId="0"/>
    <cellStyle name="_Table_USA Ownership_commentaires fixe  internet Déc 08_TBG Onatel Février  2009  Vtbg V3_Commentaires TBG mars_Flash du mois d' avril 2009" xfId="0"/>
    <cellStyle name="_Table_USA Ownership_commentaires fixe  internet Déc 08_TBG Onatel Février  2009  Vtbg V3_Commentaires TBG mars_Flash du mois d' avril 2009_Budget Telmob 2011" xfId="0"/>
    <cellStyle name="_Table_USA Ownership_commentaires fixe  internet Déc 08_TBG Onatel Février  2009  Vtbg V3_Commentaires TBG mars_Flash du mois d' avril 2009_Flash du mois de mai 2009" xfId="0"/>
    <cellStyle name="_Table_USA Ownership_commentaires fixe  internet Déc 08_TBG Onatel Février  2009  Vtbg V3_Commentaires TBG mars_Flash du mois d' avril 2009_Flash du mois de mai 2009_Budget Telmob 2011" xfId="0"/>
    <cellStyle name="_Table_USA Ownership_commentaires fixe  internet Déc 08_TBG Onatel Février  2009  Vtbg V3_Commentaires TBG mars_Flash du mois d' avril 2009_Flash du mois de septembre 2009 (2) (version 1)" xfId="0"/>
    <cellStyle name="_Table_USA Ownership_commentaires fixe  internet Déc 08_TBG Onatel Février  2009  Vtbg V3_Commentaires TBG mars_Flash du mois d' avril 2009_Flash du mois de septembre 2009 (2) (version 1)_Budget Telmob 2011" xfId="0"/>
    <cellStyle name="_Table_USA Ownership_commentaires fixe  internet Déc 08_TBG Onatel Février  2009  Vtbg V3_Commentaires TBG mars_Flash du mois d' avril 2009_Reporting Onatel Mai 2009 V 0" xfId="0"/>
    <cellStyle name="_Table_USA Ownership_commentaires fixe  internet Déc 08_TBG Onatel Février  2009  Vtbg V3_Commentaires TBG mars_Flash du mois d' avril 2009_Reporting Onatel Mai 2009 V 0_Budget Telmob 2011" xfId="0"/>
    <cellStyle name="_Table_USA Ownership_commentaires fixe  internet Déc 08_TBG Onatel Février  2009  Vtbg V3_Commentaires TBG mars_Flash du mois d' avril 2009_Reporting Onatel septembre  2009 préparé" xfId="0"/>
    <cellStyle name="_Table_USA Ownership_commentaires fixe  internet Déc 08_TBG Onatel Février  2009  Vtbg V3_Commentaires TBG mars_Flash du mois d' avril 2009_Reporting Onatel septembre  2009 préparé_Budget Telmob 2011" xfId="0"/>
    <cellStyle name="_Table_USA Ownership_commentaires fixe  internet Déc 08_TBG Onatel Février  2009  Vtbg V3_Commentaires TBG mars_Flash du mois de mai 2009" xfId="0"/>
    <cellStyle name="_Table_USA Ownership_commentaires fixe  internet Déc 08_TBG Onatel Février  2009  Vtbg V3_Commentaires TBG mars_Flash du mois de mai 2009_Budget Telmob 2011" xfId="0"/>
    <cellStyle name="_Table_USA Ownership_commentaires fixe  internet Déc 08_TBG Onatel Février  2009  Vtbg V3_Commentaires TBG mars_Flash du mois de septembre 2009 (2) (version 1)" xfId="0"/>
    <cellStyle name="_Table_USA Ownership_commentaires fixe  internet Déc 08_TBG Onatel Février  2009  Vtbg V3_Commentaires TBG mars_Flash du mois de septembre 2009 (2) (version 1)_Budget Telmob 2011" xfId="0"/>
    <cellStyle name="_Table_USA Ownership_commentaires fixe  internet Déc 08_TBG Onatel Février  2009  Vtbg V3_Commentaires TBG mars_Reporting Onatel Mai 2009 V 0" xfId="0"/>
    <cellStyle name="_Table_USA Ownership_commentaires fixe  internet Déc 08_TBG Onatel Février  2009  Vtbg V3_Commentaires TBG mars_Reporting Onatel Mai 2009 V 0_Budget Telmob 2011" xfId="0"/>
    <cellStyle name="_Table_USA Ownership_commentaires fixe  internet Déc 08_TBG Onatel Février  2009  Vtbg V3_Commentaires TBG mars_Reporting Onatel septembre  2009 préparé" xfId="0"/>
    <cellStyle name="_Table_USA Ownership_commentaires fixe  internet Déc 08_TBG Onatel Février  2009  Vtbg V3_Commentaires TBG mars_Reporting Onatel septembre  2009 préparé_Budget Telmob 2011" xfId="0"/>
    <cellStyle name="_Table_USA Ownership_commentaires fixe  internet Déc 08_TBG Onatel Février  2009  Vtbg V3_Copie de Flash du mois d' avril 2009 corrigé par NAIMI" xfId="0"/>
    <cellStyle name="_Table_USA Ownership_commentaires fixe  internet Déc 08_TBG Onatel Février  2009  Vtbg V3_Copie de Flash du mois d' avril 2009 corrigé par NAIMI_Budget Telmob 2011" xfId="0"/>
    <cellStyle name="_Table_USA Ownership_commentaires fixe  internet Déc 08_TBG Onatel Février  2009  Vtbg V3_Copie de Flash du mois d' avril 2009 corrigé par NAIMI_Flash du mois de mai 2009" xfId="0"/>
    <cellStyle name="_Table_USA Ownership_commentaires fixe  internet Déc 08_TBG Onatel Février  2009  Vtbg V3_Copie de Flash du mois d' avril 2009 corrigé par NAIMI_Flash du mois de mai 2009_Budget Telmob 2011" xfId="0"/>
    <cellStyle name="_Table_USA Ownership_commentaires fixe  internet Déc 08_TBG Onatel Février  2009  Vtbg V3_Copie de Flash du mois d' avril 2009 corrigé par NAIMI_Flash du mois de septembre 2009 (2) (version 1)" xfId="0"/>
    <cellStyle name="_Table_USA Ownership_commentaires fixe  internet Déc 08_TBG Onatel Février  2009  Vtbg V3_Copie de Flash du mois d' avril 2009 corrigé par NAIMI_Flash du mois de septembre 2009 (2) (version 1)_Budget Telmob 2011" xfId="0"/>
    <cellStyle name="_Table_USA Ownership_commentaires fixe  internet Déc 08_TBG Onatel Février  2009  Vtbg V3_Copie de Flash du mois d' avril 2009 corrigé par NAIMI_Reporting Onatel Mai 2009 V 0" xfId="0"/>
    <cellStyle name="_Table_USA Ownership_commentaires fixe  internet Déc 08_TBG Onatel Février  2009  Vtbg V3_Copie de Flash du mois d' avril 2009 corrigé par NAIMI_Reporting Onatel Mai 2009 V 0_Budget Telmob 2011" xfId="0"/>
    <cellStyle name="_Table_USA Ownership_commentaires fixe  internet Déc 08_TBG Onatel Février  2009  Vtbg V3_Copie de Flash du mois d' avril 2009 corrigé par NAIMI_Reporting Onatel Mai 2009 V 0_Flash du mois de septembre 2009 (2) (version 1)" xfId="0"/>
    <cellStyle name="_Table_USA Ownership_commentaires fixe  internet Déc 08_TBG Onatel Février  2009  Vtbg V3_Copie de Flash du mois d' avril 2009 corrigé par NAIMI_Reporting Onatel Mai 2009 V 0_Flash du mois de septembre 2009 (2) (version 1)_Budget Telmob 2011" xfId="0"/>
    <cellStyle name="_Table_USA Ownership_commentaires fixe  internet Déc 08_TBG Onatel Février  2009  Vtbg V3_Copie de Flash du mois d' avril 2009 corrigé par NAIMI_Reporting Onatel Mai 2009 V 0_Reporting Onatel septembre  2009 préparé" xfId="0"/>
    <cellStyle name="_Table_USA Ownership_commentaires fixe  internet Déc 08_TBG Onatel Février  2009  Vtbg V3_Copie de Flash du mois d' avril 2009 corrigé par NAIMI_Reporting Onatel Mai 2009 V 0_Reporting Onatel septembre  2009 préparé_Budget Telmob 2011" xfId="0"/>
    <cellStyle name="_Table_USA Ownership_commentaires fixe  internet Déc 08_TBG Onatel Février  2009  Vtbg V3_Copie de Flash du mois d' avril 2009 corrigé par NAIMI_Reporting Onatel septembre  2009 préparé" xfId="0"/>
    <cellStyle name="_Table_USA Ownership_commentaires fixe  internet Déc 08_TBG Onatel Février  2009  Vtbg V3_Copie de Flash du mois d' avril 2009 corrigé par NAIMI_Reporting Onatel septembre  2009 préparé_Budget Telmob 2011" xfId="0"/>
    <cellStyle name="_Table_USA Ownership_commentaires fixe  internet Déc 08_TBG Onatel Février  2009  Vtbg V3_Flash du mois d' avril 2009" xfId="0"/>
    <cellStyle name="_Table_USA Ownership_commentaires fixe  internet Déc 08_TBG Onatel Février  2009  Vtbg V3_Flash du mois d' avril 2009_Budget Telmob 2011" xfId="0"/>
    <cellStyle name="_Table_USA Ownership_commentaires fixe  internet Déc 08_TBG Onatel Février  2009  Vtbg V3_Flash du mois d' avril 2009_Flash du mois de mai 2009" xfId="0"/>
    <cellStyle name="_Table_USA Ownership_commentaires fixe  internet Déc 08_TBG Onatel Février  2009  Vtbg V3_Flash du mois d' avril 2009_Flash du mois de mai 2009_Budget Telmob 2011" xfId="0"/>
    <cellStyle name="_Table_USA Ownership_commentaires fixe  internet Déc 08_TBG Onatel Février  2009  Vtbg V3_Flash du mois d' avril 2009_Flash du mois de septembre 2009 (2) (version 1)" xfId="0"/>
    <cellStyle name="_Table_USA Ownership_commentaires fixe  internet Déc 08_TBG Onatel Février  2009  Vtbg V3_Flash du mois d' avril 2009_Flash du mois de septembre 2009 (2) (version 1)_Budget Telmob 2011" xfId="0"/>
    <cellStyle name="_Table_USA Ownership_commentaires fixe  internet Déc 08_TBG Onatel Février  2009  Vtbg V3_Flash du mois d' avril 2009_Reporting Onatel Mai 2009 V 0" xfId="0"/>
    <cellStyle name="_Table_USA Ownership_commentaires fixe  internet Déc 08_TBG Onatel Février  2009  Vtbg V3_Flash du mois d' avril 2009_Reporting Onatel Mai 2009 V 0_Budget Telmob 2011" xfId="0"/>
    <cellStyle name="_Table_USA Ownership_commentaires fixe  internet Déc 08_TBG Onatel Février  2009  Vtbg V3_Flash du mois d' avril 2009_Reporting Onatel septembre  2009 préparé" xfId="0"/>
    <cellStyle name="_Table_USA Ownership_commentaires fixe  internet Déc 08_TBG Onatel Février  2009  Vtbg V3_Flash du mois d' avril 2009_Reporting Onatel septembre  2009 préparé_Budget Telmob 2011" xfId="0"/>
    <cellStyle name="_Table_USA Ownership_commentaires fixe  internet Déc 08_TBG Onatel Février  2009  Vtbg V3_Flash du mois de mai 2009" xfId="0"/>
    <cellStyle name="_Table_USA Ownership_commentaires fixe  internet Déc 08_TBG Onatel Février  2009  Vtbg V3_Flash du mois de mai 2009_Budget Telmob 2011" xfId="0"/>
    <cellStyle name="_Table_USA Ownership_commentaires fixe  internet Déc 08_TBG Onatel Février  2009  Vtbg V3_Flash du mois de septembre 2009 (2) (version 1)" xfId="0"/>
    <cellStyle name="_Table_USA Ownership_commentaires fixe  internet Déc 08_TBG Onatel Février  2009  Vtbg V3_Flash du mois de septembre 2009 (2) (version 1)_Budget Telmob 2011" xfId="0"/>
    <cellStyle name="_Table_USA Ownership_commentaires fixe  internet Déc 08_TBG Onatel Février  2009  Vtbg V3_Reporting Onatel Mai 2009 V 0" xfId="0"/>
    <cellStyle name="_Table_USA Ownership_commentaires fixe  internet Déc 08_TBG Onatel Février  2009  Vtbg V3_Reporting Onatel Mai 2009 V 0_Budget Telmob 2011" xfId="0"/>
    <cellStyle name="_Table_USA Ownership_commentaires fixe  internet Déc 08_TBG Onatel Février  2009  Vtbg V3_Reporting Onatel septembre  2009 préparé" xfId="0"/>
    <cellStyle name="_Table_USA Ownership_commentaires fixe  internet Déc 08_TBG Onatel Février  2009  Vtbg V3_Reporting Onatel septembre  2009 préparé_Budget Telmob 2011" xfId="0"/>
    <cellStyle name="_Table_USA Ownership_Commentaires TBG mars" xfId="0"/>
    <cellStyle name="_Table_USA Ownership_Commentaires TBG mars_Budget Telmob 2011" xfId="0"/>
    <cellStyle name="_Table_USA Ownership_Commentaires TBG mars_Copie de Flash du mois d' avril 2009 corrigé par NAIMI" xfId="0"/>
    <cellStyle name="_Table_USA Ownership_Commentaires TBG mars_Copie de Flash du mois d' avril 2009 corrigé par NAIMI_Budget Telmob 2011" xfId="0"/>
    <cellStyle name="_Table_USA Ownership_Commentaires TBG mars_Copie de Flash du mois d' avril 2009 corrigé par NAIMI_Flash du mois de mai 2009" xfId="0"/>
    <cellStyle name="_Table_USA Ownership_Commentaires TBG mars_Copie de Flash du mois d' avril 2009 corrigé par NAIMI_Flash du mois de mai 2009_Budget Telmob 2011" xfId="0"/>
    <cellStyle name="_Table_USA Ownership_Commentaires TBG mars_Copie de Flash du mois d' avril 2009 corrigé par NAIMI_Flash du mois de septembre 2009 (2) (version 1)" xfId="0"/>
    <cellStyle name="_Table_USA Ownership_Commentaires TBG mars_Copie de Flash du mois d' avril 2009 corrigé par NAIMI_Flash du mois de septembre 2009 (2) (version 1)_Budget Telmob 2011" xfId="0"/>
    <cellStyle name="_Table_USA Ownership_Commentaires TBG mars_Copie de Flash du mois d' avril 2009 corrigé par NAIMI_Reporting Onatel Mai 2009 V 0" xfId="0"/>
    <cellStyle name="_Table_USA Ownership_Commentaires TBG mars_Copie de Flash du mois d' avril 2009 corrigé par NAIMI_Reporting Onatel Mai 2009 V 0_Budget Telmob 2011" xfId="0"/>
    <cellStyle name="_Table_USA Ownership_Commentaires TBG mars_Copie de Flash du mois d' avril 2009 corrigé par NAIMI_Reporting Onatel Mai 2009 V 0_Flash du mois de septembre 2009 (2) (version 1)" xfId="0"/>
    <cellStyle name="_Table_USA Ownership_Commentaires TBG mars_Copie de Flash du mois d' avril 2009 corrigé par NAIMI_Reporting Onatel Mai 2009 V 0_Flash du mois de septembre 2009 (2) (version 1)_Budget Telmob 2011" xfId="0"/>
    <cellStyle name="_Table_USA Ownership_Commentaires TBG mars_Copie de Flash du mois d' avril 2009 corrigé par NAIMI_Reporting Onatel Mai 2009 V 0_Reporting Onatel septembre  2009 préparé" xfId="0"/>
    <cellStyle name="_Table_USA Ownership_Commentaires TBG mars_Copie de Flash du mois d' avril 2009 corrigé par NAIMI_Reporting Onatel Mai 2009 V 0_Reporting Onatel septembre  2009 préparé_Budget Telmob 2011" xfId="0"/>
    <cellStyle name="_Table_USA Ownership_Commentaires TBG mars_Copie de Flash du mois d' avril 2009 corrigé par NAIMI_Reporting Onatel septembre  2009 préparé" xfId="0"/>
    <cellStyle name="_Table_USA Ownership_Commentaires TBG mars_Copie de Flash du mois d' avril 2009 corrigé par NAIMI_Reporting Onatel septembre  2009 préparé_Budget Telmob 2011" xfId="0"/>
    <cellStyle name="_Table_USA Ownership_Commentaires TBG mars_Flash du mois d' avril 2009" xfId="0"/>
    <cellStyle name="_Table_USA Ownership_Commentaires TBG mars_Flash du mois d' avril 2009_Budget Telmob 2011" xfId="0"/>
    <cellStyle name="_Table_USA Ownership_Commentaires TBG mars_Flash du mois d' avril 2009_Flash du mois de mai 2009" xfId="0"/>
    <cellStyle name="_Table_USA Ownership_Commentaires TBG mars_Flash du mois d' avril 2009_Flash du mois de mai 2009_Budget Telmob 2011" xfId="0"/>
    <cellStyle name="_Table_USA Ownership_Commentaires TBG mars_Flash du mois d' avril 2009_Flash du mois de septembre 2009 (2) (version 1)" xfId="0"/>
    <cellStyle name="_Table_USA Ownership_Commentaires TBG mars_Flash du mois d' avril 2009_Flash du mois de septembre 2009 (2) (version 1)_Budget Telmob 2011" xfId="0"/>
    <cellStyle name="_Table_USA Ownership_Commentaires TBG mars_Flash du mois d' avril 2009_Reporting Onatel Mai 2009 V 0" xfId="0"/>
    <cellStyle name="_Table_USA Ownership_Commentaires TBG mars_Flash du mois d' avril 2009_Reporting Onatel Mai 2009 V 0_Budget Telmob 2011" xfId="0"/>
    <cellStyle name="_Table_USA Ownership_Commentaires TBG mars_Flash du mois d' avril 2009_Reporting Onatel septembre  2009 préparé" xfId="0"/>
    <cellStyle name="_Table_USA Ownership_Commentaires TBG mars_Flash du mois d' avril 2009_Reporting Onatel septembre  2009 préparé_Budget Telmob 2011" xfId="0"/>
    <cellStyle name="_Table_USA Ownership_Commentaires TBG mars_Flash du mois de mai 2009" xfId="0"/>
    <cellStyle name="_Table_USA Ownership_Commentaires TBG mars_Flash du mois de mai 2009_Budget Telmob 2011" xfId="0"/>
    <cellStyle name="_Table_USA Ownership_Commentaires TBG mars_Flash du mois de septembre 2009 (2) (version 1)" xfId="0"/>
    <cellStyle name="_Table_USA Ownership_Commentaires TBG mars_Flash du mois de septembre 2009 (2) (version 1)_Budget Telmob 2011" xfId="0"/>
    <cellStyle name="_Table_USA Ownership_Commentaires TBG mars_Reporting Onatel Mai 2009 V 0" xfId="0"/>
    <cellStyle name="_Table_USA Ownership_Commentaires TBG mars_Reporting Onatel Mai 2009 V 0_Budget Telmob 2011" xfId="0"/>
    <cellStyle name="_Table_USA Ownership_Commentaires TBG mars_Reporting Onatel septembre  2009 préparé" xfId="0"/>
    <cellStyle name="_Table_USA Ownership_Commentaires TBG mars_Reporting Onatel septembre  2009 préparé_Budget Telmob 2011" xfId="0"/>
    <cellStyle name="_Table_USA Ownership_Copie de Flash du mois d' avril 2009 corrigé par NAIMI" xfId="0"/>
    <cellStyle name="_Table_USA Ownership_Copie de Flash du mois d' avril 2009 corrigé par NAIMI_Budget Telmob 2011" xfId="0"/>
    <cellStyle name="_Table_USA Ownership_Copie de Flash du mois d' avril 2009 corrigé par NAIMI_Flash du mois de mai 2009" xfId="0"/>
    <cellStyle name="_Table_USA Ownership_Copie de Flash du mois d' avril 2009 corrigé par NAIMI_Flash du mois de mai 2009_Budget Telmob 2011" xfId="0"/>
    <cellStyle name="_Table_USA Ownership_Copie de Flash du mois d' avril 2009 corrigé par NAIMI_Flash du mois de septembre 2009 (2) (version 1)" xfId="0"/>
    <cellStyle name="_Table_USA Ownership_Copie de Flash du mois d' avril 2009 corrigé par NAIMI_Flash du mois de septembre 2009 (2) (version 1)_Budget Telmob 2011" xfId="0"/>
    <cellStyle name="_Table_USA Ownership_Copie de Flash du mois d' avril 2009 corrigé par NAIMI_Reporting Onatel Mai 2009 V 0" xfId="0"/>
    <cellStyle name="_Table_USA Ownership_Copie de Flash du mois d' avril 2009 corrigé par NAIMI_Reporting Onatel Mai 2009 V 0_Budget Telmob 2011" xfId="0"/>
    <cellStyle name="_Table_USA Ownership_Copie de Flash du mois d' avril 2009 corrigé par NAIMI_Reporting Onatel Mai 2009 V 0_Flash du mois de septembre 2009 (2) (version 1)" xfId="0"/>
    <cellStyle name="_Table_USA Ownership_Copie de Flash du mois d' avril 2009 corrigé par NAIMI_Reporting Onatel Mai 2009 V 0_Flash du mois de septembre 2009 (2) (version 1)_Budget Telmob 2011" xfId="0"/>
    <cellStyle name="_Table_USA Ownership_Copie de Flash du mois d' avril 2009 corrigé par NAIMI_Reporting Onatel Mai 2009 V 0_Reporting Onatel septembre  2009 préparé" xfId="0"/>
    <cellStyle name="_Table_USA Ownership_Copie de Flash du mois d' avril 2009 corrigé par NAIMI_Reporting Onatel Mai 2009 V 0_Reporting Onatel septembre  2009 préparé_Budget Telmob 2011" xfId="0"/>
    <cellStyle name="_Table_USA Ownership_Copie de Flash du mois d' avril 2009 corrigé par NAIMI_Reporting Onatel septembre  2009 préparé" xfId="0"/>
    <cellStyle name="_Table_USA Ownership_Copie de Flash du mois d' avril 2009 corrigé par NAIMI_Reporting Onatel septembre  2009 préparé_Budget Telmob 2011" xfId="0"/>
    <cellStyle name="_Table_USA Ownership_Flash du mois d' avril 2009" xfId="0"/>
    <cellStyle name="_Table_USA Ownership_Flash du mois d' avril 2009_Budget Telmob 2011" xfId="0"/>
    <cellStyle name="_Table_USA Ownership_Flash du mois d' avril 2009_Flash du mois de mai 2009" xfId="0"/>
    <cellStyle name="_Table_USA Ownership_Flash du mois d' avril 2009_Flash du mois de mai 2009_Budget Telmob 2011" xfId="0"/>
    <cellStyle name="_Table_USA Ownership_Flash du mois d' avril 2009_Flash du mois de septembre 2009 (2) (version 1)" xfId="0"/>
    <cellStyle name="_Table_USA Ownership_Flash du mois d' avril 2009_Flash du mois de septembre 2009 (2) (version 1)_Budget Telmob 2011" xfId="0"/>
    <cellStyle name="_Table_USA Ownership_Flash du mois d' avril 2009_Reporting Onatel Mai 2009 V 0" xfId="0"/>
    <cellStyle name="_Table_USA Ownership_Flash du mois d' avril 2009_Reporting Onatel Mai 2009 V 0_Budget Telmob 2011" xfId="0"/>
    <cellStyle name="_Table_USA Ownership_Flash du mois d' avril 2009_Reporting Onatel septembre  2009 préparé" xfId="0"/>
    <cellStyle name="_Table_USA Ownership_Flash du mois d' avril 2009_Reporting Onatel septembre  2009 préparé_Budget Telmob 2011" xfId="0"/>
    <cellStyle name="_Table_USA Ownership_Flash du mois de mai 2009" xfId="0"/>
    <cellStyle name="_Table_USA Ownership_Flash du mois de mai 2009_Budget Telmob 2011" xfId="0"/>
    <cellStyle name="_Table_USA Ownership_Flash du mois de septembre 2009 (2) (version 1)" xfId="0"/>
    <cellStyle name="_Table_USA Ownership_Flash du mois de septembre 2009 (2) (version 1)_Budget Telmob 2011" xfId="0"/>
    <cellStyle name="_Table_USA Ownership_P &amp; L Conso" xfId="0"/>
    <cellStyle name="_Table_USA Ownership_P &amp; L Conso_Budget Telmob 2011" xfId="0"/>
    <cellStyle name="_Table_USA Ownership_P &amp; L Conso_COMMENTAIRES JUILLET 2009" xfId="0"/>
    <cellStyle name="_Table_USA Ownership_P &amp; L Conso_COMMENTAIRES JUILLET 2009_Budget Telmob 2011" xfId="0"/>
    <cellStyle name="_Table_USA Ownership_P&amp;L S1 2008" xfId="0"/>
    <cellStyle name="_Table_USA Ownership_P&amp;L S1 2008_Budget Telmob 2011" xfId="0"/>
    <cellStyle name="_Table_USA Ownership_Reporting Onatel Avril 2009 V0" xfId="0"/>
    <cellStyle name="_Table_USA Ownership_Reporting Onatel Avril 2009 V0_Budget Telmob 2011" xfId="0"/>
    <cellStyle name="_Table_USA Ownership_Reporting Onatel Avril 2009 V0_Copie de Flash du mois d' avril 2009 corrigé par NAIMI" xfId="0"/>
    <cellStyle name="_Table_USA Ownership_Reporting Onatel Avril 2009 V0_Copie de Flash du mois d' avril 2009 corrigé par NAIMI_Budget Telmob 2011" xfId="0"/>
    <cellStyle name="_Table_USA Ownership_Reporting Onatel Avril 2009 V0_Copie de Flash du mois d' avril 2009 corrigé par NAIMI_Flash du mois de mai 2009" xfId="0"/>
    <cellStyle name="_Table_USA Ownership_Reporting Onatel Avril 2009 V0_Copie de Flash du mois d' avril 2009 corrigé par NAIMI_Flash du mois de mai 2009_Budget Telmob 2011" xfId="0"/>
    <cellStyle name="_Table_USA Ownership_Reporting Onatel Avril 2009 V0_Copie de Flash du mois d' avril 2009 corrigé par NAIMI_Flash du mois de septembre 2009 (2) (version 1)" xfId="0"/>
    <cellStyle name="_Table_USA Ownership_Reporting Onatel Avril 2009 V0_Copie de Flash du mois d' avril 2009 corrigé par NAIMI_Flash du mois de septembre 2009 (2) (version 1)_Budget Telmob 2011" xfId="0"/>
    <cellStyle name="_Table_USA Ownership_Reporting Onatel Avril 2009 V0_Copie de Flash du mois d' avril 2009 corrigé par NAIMI_Reporting Onatel Mai 2009 V 0" xfId="0"/>
    <cellStyle name="_Table_USA Ownership_Reporting Onatel Avril 2009 V0_Copie de Flash du mois d' avril 2009 corrigé par NAIMI_Reporting Onatel Mai 2009 V 0_Budget Telmob 2011" xfId="0"/>
    <cellStyle name="_Table_USA Ownership_Reporting Onatel Avril 2009 V0_Copie de Flash du mois d' avril 2009 corrigé par NAIMI_Reporting Onatel Mai 2009 V 0_Flash du mois de septembre 2009 (2) (version 1)" xfId="0"/>
    <cellStyle name="_Table_USA Ownership_Reporting Onatel Avril 2009 V0_Copie de Flash du mois d' avril 2009 corrigé par NAIMI_Reporting Onatel Mai 2009 V 0_Flash du mois de septembre 2009 (2) (version 1)_Budget Telmob 2011" xfId="0"/>
    <cellStyle name="_Table_USA Ownership_Reporting Onatel Avril 2009 V0_Copie de Flash du mois d' avril 2009 corrigé par NAIMI_Reporting Onatel Mai 2009 V 0_Reporting Onatel septembre  2009 préparé" xfId="0"/>
    <cellStyle name="_Table_USA Ownership_Reporting Onatel Avril 2009 V0_Copie de Flash du mois d' avril 2009 corrigé par NAIMI_Reporting Onatel Mai 2009 V 0_Reporting Onatel septembre  2009 préparé_Budget Telmob 2011" xfId="0"/>
    <cellStyle name="_Table_USA Ownership_Reporting Onatel Avril 2009 V0_Copie de Flash du mois d' avril 2009 corrigé par NAIMI_Reporting Onatel septembre  2009 préparé" xfId="0"/>
    <cellStyle name="_Table_USA Ownership_Reporting Onatel Avril 2009 V0_Copie de Flash du mois d' avril 2009 corrigé par NAIMI_Reporting Onatel septembre  2009 préparé_Budget Telmob 2011" xfId="0"/>
    <cellStyle name="_Table_USA Ownership_Reporting Onatel Avril 2009 V0_Flash du mois de mai 2009" xfId="0"/>
    <cellStyle name="_Table_USA Ownership_Reporting Onatel Avril 2009 V0_Flash du mois de mai 2009_Budget Telmob 2011" xfId="0"/>
    <cellStyle name="_Table_USA Ownership_Reporting Onatel Avril 2009 V0_Flash du mois de septembre 2009 (2) (version 1)" xfId="0"/>
    <cellStyle name="_Table_USA Ownership_Reporting Onatel Avril 2009 V0_Flash du mois de septembre 2009 (2) (version 1)_Budget Telmob 2011" xfId="0"/>
    <cellStyle name="_Table_USA Ownership_Reporting Onatel Avril 2009 V0_Reporting Onatel Mai 2009 V 0" xfId="0"/>
    <cellStyle name="_Table_USA Ownership_Reporting Onatel Avril 2009 V0_Reporting Onatel Mai 2009 V 0_Budget Telmob 2011" xfId="0"/>
    <cellStyle name="_Table_USA Ownership_Reporting Onatel Avril 2009 V0_Reporting Onatel septembre  2009 préparé" xfId="0"/>
    <cellStyle name="_Table_USA Ownership_Reporting Onatel Avril 2009 V0_Reporting Onatel septembre  2009 préparé_Budget Telmob 2011" xfId="0"/>
    <cellStyle name="_Table_USA Ownership_Reporting Onatel Mai 2009 V 0" xfId="0"/>
    <cellStyle name="_Table_USA Ownership_Reporting Onatel Mai 2009 V 0 A ENVOYE" xfId="0"/>
    <cellStyle name="_Table_USA Ownership_Reporting Onatel Mai 2009 V 0 A ENVOYE_Budget Telmob 2011" xfId="0"/>
    <cellStyle name="_Table_USA Ownership_Reporting Onatel Mai 2009 V 0 A ENVOYE_Flash du mois de septembre 2009 (2) (version 1)" xfId="0"/>
    <cellStyle name="_Table_USA Ownership_Reporting Onatel Mai 2009 V 0 A ENVOYE_Flash du mois de septembre 2009 (2) (version 1)_Budget Telmob 2011" xfId="0"/>
    <cellStyle name="_Table_USA Ownership_Reporting Onatel Mai 2009 V 0 A ENVOYE_Reporting Onatel septembre  2009 préparé" xfId="0"/>
    <cellStyle name="_Table_USA Ownership_Reporting Onatel Mai 2009 V 0 A ENVOYE_Reporting Onatel septembre  2009 préparé_Budget Telmob 2011" xfId="0"/>
    <cellStyle name="_Table_USA Ownership_Reporting Onatel Mai 2009 V 0_Budget Telmob 2011" xfId="0"/>
    <cellStyle name="_Table_USA Ownership_Reporting Onatel septembre  2009 préparé" xfId="0"/>
    <cellStyle name="_Table_USA Ownership_Reporting Onatel septembre  2009 préparé_Budget Telmob 2011" xfId="0"/>
    <cellStyle name="_Table_USA Ownership_Rev Fixe-Internet" xfId="0"/>
    <cellStyle name="_Table_USA Ownership_Rev Fixe-Internet_Budget Telmob 2011" xfId="0"/>
    <cellStyle name="_Table_USA Ownership_Rev Fixe-Internet_COMMENTAIRES JUILLET 2009" xfId="0"/>
    <cellStyle name="_Table_USA Ownership_Rev Fixe-Internet_COMMENTAIRES JUILLET 2009_Budget Telmob 2011" xfId="0"/>
    <cellStyle name="_Table_USA Ownership_TBG Onatel Février  2009  Vtbg V3" xfId="0"/>
    <cellStyle name="_Table_USA Ownership_TBG Onatel Février  2009  Vtbg V3_Budget Telmob 2011" xfId="0"/>
    <cellStyle name="_Table_USA Ownership_TBG Onatel Février  2009  Vtbg V3_Commentaires TBG mars" xfId="0"/>
    <cellStyle name="_Table_USA Ownership_TBG Onatel Février  2009  Vtbg V3_Commentaires TBG mars_Budget Telmob 2011" xfId="0"/>
    <cellStyle name="_Table_USA Ownership_TBG Onatel Février  2009  Vtbg V3_Commentaires TBG mars_Copie de Flash du mois d' avril 2009 corrigé par NAIMI" xfId="0"/>
    <cellStyle name="_Table_USA Ownership_TBG Onatel Février  2009  Vtbg V3_Commentaires TBG mars_Copie de Flash du mois d' avril 2009 corrigé par NAIMI_Budget Telmob 2011" xfId="0"/>
    <cellStyle name="_Table_USA Ownership_TBG Onatel Février  2009  Vtbg V3_Commentaires TBG mars_Copie de Flash du mois d' avril 2009 corrigé par NAIMI_Flash du mois de mai 2009" xfId="0"/>
    <cellStyle name="_Table_USA Ownership_TBG Onatel Février  2009  Vtbg V3_Commentaires TBG mars_Copie de Flash du mois d' avril 2009 corrigé par NAIMI_Flash du mois de mai 2009_Budget Telmob 2011" xfId="0"/>
    <cellStyle name="_Table_USA Ownership_TBG Onatel Février  2009  Vtbg V3_Commentaires TBG mars_Copie de Flash du mois d' avril 2009 corrigé par NAIMI_Flash du mois de septembre 2009 (2) (version 1)" xfId="0"/>
    <cellStyle name="_Table_USA Ownership_TBG Onatel Février  2009  Vtbg V3_Commentaires TBG mars_Copie de Flash du mois d' avril 2009 corrigé par NAIMI_Flash du mois de septembre 2009 (2) (version 1)_Budget Telmob 2011" xfId="0"/>
    <cellStyle name="_Table_USA Ownership_TBG Onatel Février  2009  Vtbg V3_Commentaires TBG mars_Copie de Flash du mois d' avril 2009 corrigé par NAIMI_Reporting Onatel Mai 2009 V 0" xfId="0"/>
    <cellStyle name="_Table_USA Ownership_TBG Onatel Février  2009  Vtbg V3_Commentaires TBG mars_Copie de Flash du mois d' avril 2009 corrigé par NAIMI_Reporting Onatel Mai 2009 V 0_Budget Telmob 2011" xfId="0"/>
    <cellStyle name="_Table_USA Ownership_TBG Onatel Février  2009  Vtbg V3_Commentaires TBG mars_Copie de Flash du mois d' avril 2009 corrigé par NAIMI_Reporting Onatel Mai 2009 V 0_Flash du mois de septembre 2009 (2) (version 1)" xfId="0"/>
    <cellStyle name="_Table_USA Ownership_TBG Onatel Février  2009  Vtbg V3_Commentaires TBG mars_Copie de Flash du mois d' avril 2009 corrigé par NAIMI_Reporting Onatel Mai 2009 V 0_Flash du mois de septembre 2009 (2) (version 1)_Budget Telmob 2011" xfId="0"/>
    <cellStyle name="_Table_USA Ownership_TBG Onatel Février  2009  Vtbg V3_Commentaires TBG mars_Copie de Flash du mois d' avril 2009 corrigé par NAIMI_Reporting Onatel Mai 2009 V 0_Reporting Onatel septembre  2009 préparé" xfId="0"/>
    <cellStyle name="_Table_USA Ownership_TBG Onatel Février  2009  Vtbg V3_Commentaires TBG mars_Copie de Flash du mois d' avril 2009 corrigé par NAIMI_Reporting Onatel Mai 2009 V 0_Reporting Onatel septembre  2009 préparé_Budget Telmob 2011" xfId="0"/>
    <cellStyle name="_Table_USA Ownership_TBG Onatel Février  2009  Vtbg V3_Commentaires TBG mars_Copie de Flash du mois d' avril 2009 corrigé par NAIMI_Reporting Onatel septembre  2009 préparé" xfId="0"/>
    <cellStyle name="_Table_USA Ownership_TBG Onatel Février  2009  Vtbg V3_Commentaires TBG mars_Copie de Flash du mois d' avril 2009 corrigé par NAIMI_Reporting Onatel septembre  2009 préparé_Budget Telmob 2011" xfId="0"/>
    <cellStyle name="_Table_USA Ownership_TBG Onatel Février  2009  Vtbg V3_Commentaires TBG mars_Flash du mois d' avril 2009" xfId="0"/>
    <cellStyle name="_Table_USA Ownership_TBG Onatel Février  2009  Vtbg V3_Commentaires TBG mars_Flash du mois d' avril 2009_Budget Telmob 2011" xfId="0"/>
    <cellStyle name="_Table_USA Ownership_TBG Onatel Février  2009  Vtbg V3_Commentaires TBG mars_Flash du mois d' avril 2009_Flash du mois de mai 2009" xfId="0"/>
    <cellStyle name="_Table_USA Ownership_TBG Onatel Février  2009  Vtbg V3_Commentaires TBG mars_Flash du mois d' avril 2009_Flash du mois de mai 2009_Budget Telmob 2011" xfId="0"/>
    <cellStyle name="_Table_USA Ownership_TBG Onatel Février  2009  Vtbg V3_Commentaires TBG mars_Flash du mois d' avril 2009_Reporting Onatel Mai 2009 V 0" xfId="0"/>
    <cellStyle name="_Table_USA Ownership_TBG Onatel Février  2009  Vtbg V3_Commentaires TBG mars_Flash du mois d' avril 2009_Reporting Onatel Mai 2009 V 0_Budget Telmob 2011" xfId="0"/>
    <cellStyle name="_Table_USA Ownership_TBG Onatel Février  2009  Vtbg V3_Commentaires TBG mars_Flash du mois d' avril 2009_Reporting Onatel septembre  2009 préparé" xfId="0"/>
    <cellStyle name="_Table_USA Ownership_TBG Onatel Février  2009  Vtbg V3_Commentaires TBG mars_Flash du mois de mai 2009" xfId="0"/>
    <cellStyle name="_Table_USA Ownership_TBG Onatel Février  2009  Vtbg V3_Commentaires TBG mars_Flash du mois de mai 2009_Budget Telmob 2011" xfId="0"/>
    <cellStyle name="_Table_USA Ownership_TBG Onatel Février  2009  Vtbg V3_Commentaires TBG mars_Flash du mois de septembre 2009 (2) (version 1)" xfId="0"/>
    <cellStyle name="_Table_USA Ownership_TBG Onatel Février  2009  Vtbg V3_Commentaires TBG mars_Flash du mois de septembre 2009 (2) (version 1)_Budget Telmob 2011" xfId="0"/>
    <cellStyle name="_Table_USA Ownership_TBG Onatel Février  2009  Vtbg V3_Commentaires TBG mars_Reporting Onatel Mai 2009 V 0" xfId="0"/>
    <cellStyle name="_Table_USA Ownership_TBG Onatel Février  2009  Vtbg V3_Commentaires TBG mars_Reporting Onatel Mai 2009 V 0_Budget Telmob 2011" xfId="0"/>
    <cellStyle name="_Table_USA Ownership_TBG Onatel Février  2009  Vtbg V3_Commentaires TBG mars_Reporting Onatel septembre  2009 préparé" xfId="0"/>
    <cellStyle name="_Table_USA Ownership_TBG Onatel Février  2009  Vtbg V3_Copie de Flash du mois d' avril 2009 corrigé par NAIMI" xfId="0"/>
    <cellStyle name="_Table_USA Ownership_TBG Onatel Février  2009  Vtbg V3_Copie de Flash du mois d' avril 2009 corrigé par NAIMI_Budget Telmob 2011" xfId="0"/>
    <cellStyle name="_Table_USA Ownership_TBG Onatel Février  2009  Vtbg V3_Copie de Flash du mois d' avril 2009 corrigé par NAIMI_Flash du mois de mai 2009" xfId="0"/>
    <cellStyle name="_Table_USA Ownership_TBG Onatel Février  2009  Vtbg V3_Copie de Flash du mois d' avril 2009 corrigé par NAIMI_Flash du mois de mai 2009_Budget Telmob 2011" xfId="0"/>
    <cellStyle name="_Table_USA Ownership_TBG Onatel Février  2009  Vtbg V3_Copie de Flash du mois d' avril 2009 corrigé par NAIMI_Reporting Onatel Mai 2009 V 0" xfId="0"/>
    <cellStyle name="_Table_USA Ownership_TBG Onatel Février  2009  Vtbg V3_Copie de Flash du mois d' avril 2009 corrigé par NAIMI_Reporting Onatel Mai 2009 V 0_Budget Telmob 2011" xfId="0"/>
    <cellStyle name="_Table_USA Ownership_TBG Onatel Février  2009  Vtbg V3_Copie de Flash du mois d' avril 2009 corrigé par NAIMI_Reporting Onatel Mai 2009 V 0_Reporting Onatel septembre  2009 préparé" xfId="0"/>
    <cellStyle name="_Table_USA Ownership_TBG Onatel Février  2009  Vtbg V3_Copie de Flash du mois d' avril 2009 corrigé par NAIMI_Reporting Onatel septembre  2009 préparé" xfId="0"/>
    <cellStyle name="_Table_USA Ownership_TBG Onatel Février  2009  Vtbg V3_Flash du mois d' avril 2009" xfId="0"/>
    <cellStyle name="_Table_USA Ownership_TBG Onatel Février  2009  Vtbg V3_Flash du mois d' avril 2009_Budget Telmob 2011" xfId="0"/>
    <cellStyle name="_Table_USA Ownership_TBG Onatel Février  2009  Vtbg V3_Flash du mois d' avril 2009_Flash du mois de mai 2009" xfId="0"/>
    <cellStyle name="_Table_USA Ownership_TBG Onatel Février  2009  Vtbg V3_Flash du mois d' avril 2009_Flash du mois de mai 2009_Budget Telmob 2011" xfId="0"/>
    <cellStyle name="_Table_USA Ownership_TBG Onatel Février  2009  Vtbg V3_Flash du mois d' avril 2009_Reporting Onatel Mai 2009 V 0" xfId="0"/>
    <cellStyle name="_Table_USA Ownership_TBG Onatel Février  2009  Vtbg V3_Flash du mois d' avril 2009_Reporting Onatel Mai 2009 V 0_Budget Telmob 2011" xfId="0"/>
    <cellStyle name="_Table_USA Ownership_TBG Onatel Février  2009  Vtbg V3_Flash du mois d' avril 2009_Reporting Onatel septembre  2009 préparé" xfId="0"/>
    <cellStyle name="_Table_USA Ownership_TBG Onatel Février  2009  Vtbg V3_Flash du mois de mai 2009" xfId="0"/>
    <cellStyle name="_Table_USA Ownership_TBG Onatel Février  2009  Vtbg V3_Flash du mois de mai 2009_Budget Telmob 2011" xfId="0"/>
    <cellStyle name="_Table_USA Ownership_TBG Onatel Février  2009  Vtbg V3_Flash du mois de septembre 2009 (2) (version 1)" xfId="0"/>
    <cellStyle name="_Table_USA Ownership_TBG Onatel Février  2009  Vtbg V3_Flash du mois de septembre 2009 (2) (version 1)_Budget Telmob 2011" xfId="0"/>
    <cellStyle name="_Table_USA Ownership_TBG Onatel Février  2009  Vtbg V3_Reporting Onatel Mai 2009 V 0" xfId="0"/>
    <cellStyle name="_Table_USA Ownership_TBG Onatel Février  2009  Vtbg V3_Reporting Onatel Mai 2009 V 0_Budget Telmob 2011" xfId="0"/>
    <cellStyle name="_Table_USA Ownership_TBG Onatel Février  2009  Vtbg V3_Reporting Onatel septembre  2009 préparé" xfId="0"/>
    <cellStyle name="_Tableau de passage CAPEX actu3- capex08_Réseau" xfId="0"/>
    <cellStyle name="_Tableaux de passages (2)" xfId="0"/>
    <cellStyle name="_Tableaux de passages (2)_Classeur1 (2)" xfId="0"/>
    <cellStyle name="_TableHead" xfId="0"/>
    <cellStyle name="_TableHead_Budget 2011 v1 (4)" xfId="0"/>
    <cellStyle name="_TableHead_Budget Telmob 2011" xfId="0"/>
    <cellStyle name="_TableHead_commentaires fixe  internet Déc 08" xfId="0"/>
    <cellStyle name="_TableHead_commentaires fixe  internet Déc 08_Budget 2011 v1 (4)" xfId="0"/>
    <cellStyle name="_TableHead_commentaires fixe  internet Déc 08_Budget Telmob 2011" xfId="0"/>
    <cellStyle name="_TableHead_commentaires fixe  internet Déc 08_Commentaires TBG mars" xfId="0"/>
    <cellStyle name="_TableHead_commentaires fixe  internet Déc 08_Commentaires TBG mars_Budget 2011 v1 (4)" xfId="0"/>
    <cellStyle name="_TableHead_commentaires fixe  internet Déc 08_Commentaires TBG mars_Budget Telmob 2011" xfId="0"/>
    <cellStyle name="_TableHead_commentaires fixe  internet Déc 08_Commentaires TBG mars_Copie de Flash du mois d' avril 2009 corrigé par NAIMI" xfId="0"/>
    <cellStyle name="_TableHead_commentaires fixe  internet Déc 08_Commentaires TBG mars_Copie de Flash du mois d' avril 2009 corrigé par NAIMI_Budget 2011 v1 (4)" xfId="0"/>
    <cellStyle name="_TableHead_commentaires fixe  internet Déc 08_Commentaires TBG mars_Copie de Flash du mois d' avril 2009 corrigé par NAIMI_Budget Telmob 2011" xfId="0"/>
    <cellStyle name="_TableHead_commentaires fixe  internet Déc 08_Commentaires TBG mars_Copie de Flash du mois d' avril 2009 corrigé par NAIMI_Flash du mois de mai 2009" xfId="0"/>
    <cellStyle name="_TableHead_commentaires fixe  internet Déc 08_Commentaires TBG mars_Copie de Flash du mois d' avril 2009 corrigé par NAIMI_Flash du mois de mai 2009_Budget 2011 v1 (4)" xfId="0"/>
    <cellStyle name="_TableHead_commentaires fixe  internet Déc 08_Commentaires TBG mars_Copie de Flash du mois d' avril 2009 corrigé par NAIMI_Flash du mois de mai 2009_Budget Telmob 2011" xfId="0"/>
    <cellStyle name="_TableHead_commentaires fixe  internet Déc 08_Commentaires TBG mars_Copie de Flash du mois d' avril 2009 corrigé par NAIMI_Reporting Onatel Mai 2009 V 0" xfId="0"/>
    <cellStyle name="_TableHead_commentaires fixe  internet Déc 08_Commentaires TBG mars_Copie de Flash du mois d' avril 2009 corrigé par NAIMI_Reporting Onatel Mai 2009 V 0_Budget 2011 v1 (4)" xfId="0"/>
    <cellStyle name="_TableHead_commentaires fixe  internet Déc 08_Commentaires TBG mars_Copie de Flash du mois d' avril 2009 corrigé par NAIMI_Reporting Onatel Mai 2009 V 0_Budget Telmob 2011" xfId="0"/>
    <cellStyle name="_TableHead_commentaires fixe  internet Déc 08_Commentaires TBG mars_Copie de Flash du mois d' avril 2009 corrigé par NAIMI_Reporting Onatel Mai 2009 V 0_Reporting Onatel septembre  2009 préparé" xfId="0"/>
    <cellStyle name="_TableHead_commentaires fixe  internet Déc 08_Commentaires TBG mars_Copie de Flash du mois d' avril 2009 corrigé par NAIMI_Reporting Onatel Mai 2009 V 0_Reporting Onatel septembre  2009 préparé_Budget 2011 v1 (4)" xfId="0"/>
    <cellStyle name="_TableHead_commentaires fixe  internet Déc 08_Commentaires TBG mars_Copie de Flash du mois d' avril 2009 corrigé par NAIMI_Reporting Onatel septembre  2009 préparé" xfId="0"/>
    <cellStyle name="_TableHead_commentaires fixe  internet Déc 08_Commentaires TBG mars_Copie de Flash du mois d' avril 2009 corrigé par NAIMI_Reporting Onatel septembre  2009 préparé_Budget 2011 v1 (4)" xfId="0"/>
    <cellStyle name="_TableHead_commentaires fixe  internet Déc 08_Commentaires TBG mars_Flash du mois d' avril 2009" xfId="0"/>
    <cellStyle name="_TableHead_commentaires fixe  internet Déc 08_Commentaires TBG mars_Flash du mois d' avril 2009_Budget 2011 v1 (4)" xfId="0"/>
    <cellStyle name="_TableHead_commentaires fixe  internet Déc 08_Commentaires TBG mars_Flash du mois d' avril 2009_Budget Telmob 2011" xfId="0"/>
    <cellStyle name="_TableHead_commentaires fixe  internet Déc 08_Commentaires TBG mars_Flash du mois d' avril 2009_Flash du mois de mai 2009" xfId="0"/>
    <cellStyle name="_TableHead_commentaires fixe  internet Déc 08_Commentaires TBG mars_Flash du mois d' avril 2009_Flash du mois de mai 2009_Budget 2011 v1 (4)" xfId="0"/>
    <cellStyle name="_TableHead_commentaires fixe  internet Déc 08_Commentaires TBG mars_Flash du mois d' avril 2009_Flash du mois de mai 2009_Budget Telmob 2011" xfId="0"/>
    <cellStyle name="_TableHead_commentaires fixe  internet Déc 08_Commentaires TBG mars_Flash du mois d' avril 2009_Reporting Onatel Mai 2009 V 0" xfId="0"/>
    <cellStyle name="_TableHead_commentaires fixe  internet Déc 08_Commentaires TBG mars_Flash du mois d' avril 2009_Reporting Onatel Mai 2009 V 0_Budget 2011 v1 (4)" xfId="0"/>
    <cellStyle name="_TableHead_commentaires fixe  internet Déc 08_Commentaires TBG mars_Flash du mois d' avril 2009_Reporting Onatel Mai 2009 V 0_Budget Telmob 2011" xfId="0"/>
    <cellStyle name="_TableHead_commentaires fixe  internet Déc 08_Commentaires TBG mars_Flash du mois d' avril 2009_Reporting Onatel septembre  2009 préparé" xfId="0"/>
    <cellStyle name="_TableHead_commentaires fixe  internet Déc 08_Commentaires TBG mars_Flash du mois d' avril 2009_Reporting Onatel septembre  2009 préparé_Budget 2011 v1 (4)" xfId="0"/>
    <cellStyle name="_TableHead_commentaires fixe  internet Déc 08_Commentaires TBG mars_Flash du mois de mai 2009" xfId="0"/>
    <cellStyle name="_TableHead_commentaires fixe  internet Déc 08_Commentaires TBG mars_Flash du mois de mai 2009_Budget 2011 v1 (4)" xfId="0"/>
    <cellStyle name="_TableHead_commentaires fixe  internet Déc 08_Commentaires TBG mars_Flash du mois de mai 2009_Budget Telmob 2011" xfId="0"/>
    <cellStyle name="_TableHead_commentaires fixe  internet Déc 08_Commentaires TBG mars_Reporting Onatel Mai 2009 V 0" xfId="0"/>
    <cellStyle name="_TableHead_commentaires fixe  internet Déc 08_Commentaires TBG mars_Reporting Onatel Mai 2009 V 0_Budget 2011 v1 (4)" xfId="0"/>
    <cellStyle name="_TableHead_commentaires fixe  internet Déc 08_Commentaires TBG mars_Reporting Onatel Mai 2009 V 0_Budget Telmob 2011" xfId="0"/>
    <cellStyle name="_TableHead_commentaires fixe  internet Déc 08_Commentaires TBG mars_Reporting Onatel septembre  2009 préparé" xfId="0"/>
    <cellStyle name="_TableHead_commentaires fixe  internet Déc 08_Commentaires TBG mars_Reporting Onatel septembre  2009 préparé_Budget 2011 v1 (4)" xfId="0"/>
    <cellStyle name="_TableHead_commentaires fixe  internet Déc 08_Copie de Flash du mois d' avril 2009 corrigé par NAIMI" xfId="0"/>
    <cellStyle name="_TableHead_commentaires fixe  internet Déc 08_Copie de Flash du mois d' avril 2009 corrigé par NAIMI_Budget 2011 v1 (4)" xfId="0"/>
    <cellStyle name="_TableHead_commentaires fixe  internet Déc 08_Copie de Flash du mois d' avril 2009 corrigé par NAIMI_Budget Telmob 2011" xfId="0"/>
    <cellStyle name="_TableHead_commentaires fixe  internet Déc 08_Copie de Flash du mois d' avril 2009 corrigé par NAIMI_Flash du mois de mai 2009" xfId="0"/>
    <cellStyle name="_TableHead_commentaires fixe  internet Déc 08_Copie de Flash du mois d' avril 2009 corrigé par NAIMI_Flash du mois de mai 2009_Budget 2011 v1 (4)" xfId="0"/>
    <cellStyle name="_TableHead_commentaires fixe  internet Déc 08_Copie de Flash du mois d' avril 2009 corrigé par NAIMI_Flash du mois de mai 2009_Budget Telmob 2011" xfId="0"/>
    <cellStyle name="_TableHead_commentaires fixe  internet Déc 08_Copie de Flash du mois d' avril 2009 corrigé par NAIMI_Reporting Onatel Mai 2009 V 0" xfId="0"/>
    <cellStyle name="_TableHead_commentaires fixe  internet Déc 08_Copie de Flash du mois d' avril 2009 corrigé par NAIMI_Reporting Onatel Mai 2009 V 0_Budget 2011 v1 (4)" xfId="0"/>
    <cellStyle name="_TableHead_commentaires fixe  internet Déc 08_Copie de Flash du mois d' avril 2009 corrigé par NAIMI_Reporting Onatel Mai 2009 V 0_Budget Telmob 2011" xfId="0"/>
    <cellStyle name="_TableHead_commentaires fixe  internet Déc 08_Copie de Flash du mois d' avril 2009 corrigé par NAIMI_Reporting Onatel Mai 2009 V 0_Reporting Onatel septembre  2009 préparé" xfId="0"/>
    <cellStyle name="_TableHead_commentaires fixe  internet Déc 08_Copie de Flash du mois d' avril 2009 corrigé par NAIMI_Reporting Onatel Mai 2009 V 0_Reporting Onatel septembre  2009 préparé_Budget 2011 v1 (4)" xfId="0"/>
    <cellStyle name="_TableHead_commentaires fixe  internet Déc 08_Copie de Flash du mois d' avril 2009 corrigé par NAIMI_Reporting Onatel septembre  2009 préparé" xfId="0"/>
    <cellStyle name="_TableHead_commentaires fixe  internet Déc 08_Copie de Flash du mois d' avril 2009 corrigé par NAIMI_Reporting Onatel septembre  2009 préparé_Budget 2011 v1 (4)" xfId="0"/>
    <cellStyle name="_TableHead_commentaires fixe  internet Déc 08_Flash du mois d' avril 2009" xfId="0"/>
    <cellStyle name="_TableHead_commentaires fixe  internet Déc 08_Flash du mois d' avril 2009_Budget 2011 v1 (4)" xfId="0"/>
    <cellStyle name="_TableHead_commentaires fixe  internet Déc 08_Flash du mois d' avril 2009_Budget Telmob 2011" xfId="0"/>
    <cellStyle name="_TableHead_commentaires fixe  internet Déc 08_Flash du mois d' avril 2009_Flash du mois de mai 2009" xfId="0"/>
    <cellStyle name="_TableHead_commentaires fixe  internet Déc 08_Flash du mois d' avril 2009_Flash du mois de mai 2009_Budget 2011 v1 (4)" xfId="0"/>
    <cellStyle name="_TableHead_commentaires fixe  internet Déc 08_Flash du mois d' avril 2009_Flash du mois de mai 2009_Budget Telmob 2011" xfId="0"/>
    <cellStyle name="_TableHead_commentaires fixe  internet Déc 08_Flash du mois d' avril 2009_Reporting Onatel Mai 2009 V 0" xfId="0"/>
    <cellStyle name="_TableHead_commentaires fixe  internet Déc 08_Flash du mois d' avril 2009_Reporting Onatel Mai 2009 V 0_Budget 2011 v1 (4)" xfId="0"/>
    <cellStyle name="_TableHead_commentaires fixe  internet Déc 08_Flash du mois d' avril 2009_Reporting Onatel Mai 2009 V 0_Budget Telmob 2011" xfId="0"/>
    <cellStyle name="_TableHead_commentaires fixe  internet Déc 08_Flash du mois d' avril 2009_Reporting Onatel septembre  2009 préparé" xfId="0"/>
    <cellStyle name="_TableHead_commentaires fixe  internet Déc 08_Flash du mois d' avril 2009_Reporting Onatel septembre  2009 préparé_Budget 2011 v1 (4)" xfId="0"/>
    <cellStyle name="_TableHead_commentaires fixe  internet Déc 08_Flash du mois de mai 2009" xfId="0"/>
    <cellStyle name="_TableHead_commentaires fixe  internet Déc 08_Flash du mois de mai 2009_Budget 2011 v1 (4)" xfId="0"/>
    <cellStyle name="_TableHead_commentaires fixe  internet Déc 08_Flash du mois de mai 2009_Budget Telmob 2011" xfId="0"/>
    <cellStyle name="_TableHead_commentaires fixe  internet Déc 08_Reporting Onatel Avril 2009 V0" xfId="0"/>
    <cellStyle name="_TableHead_commentaires fixe  internet Déc 08_Reporting Onatel Avril 2009 V0_Budget 2011 v1 (4)" xfId="0"/>
    <cellStyle name="_TableHead_commentaires fixe  internet Déc 08_Reporting Onatel Avril 2009 V0_Budget Telmob 2011" xfId="0"/>
    <cellStyle name="_TableHead_commentaires fixe  internet Déc 08_Reporting Onatel Avril 2009 V0_Copie de Flash du mois d' avril 2009 corrigé par NAIMI" xfId="0"/>
    <cellStyle name="_TableHead_commentaires fixe  internet Déc 08_Reporting Onatel Avril 2009 V0_Copie de Flash du mois d' avril 2009 corrigé par NAIMI_Budget 2011 v1 (4)" xfId="0"/>
    <cellStyle name="_TableHead_commentaires fixe  internet Déc 08_Reporting Onatel Avril 2009 V0_Copie de Flash du mois d' avril 2009 corrigé par NAIMI_Budget Telmob 2011" xfId="0"/>
    <cellStyle name="_TableHead_commentaires fixe  internet Déc 08_Reporting Onatel Avril 2009 V0_Copie de Flash du mois d' avril 2009 corrigé par NAIMI_Flash du mois de mai 2009" xfId="0"/>
    <cellStyle name="_TableHead_commentaires fixe  internet Déc 08_Reporting Onatel Avril 2009 V0_Copie de Flash du mois d' avril 2009 corrigé par NAIMI_Flash du mois de mai 2009_Budget 2011 v1 (4)" xfId="0"/>
    <cellStyle name="_TableHead_commentaires fixe  internet Déc 08_Reporting Onatel Avril 2009 V0_Copie de Flash du mois d' avril 2009 corrigé par NAIMI_Flash du mois de mai 2009_Budget Telmob 2011" xfId="0"/>
    <cellStyle name="_TableHead_commentaires fixe  internet Déc 08_Reporting Onatel Avril 2009 V0_Copie de Flash du mois d' avril 2009 corrigé par NAIMI_Reporting Onatel Mai 2009 V 0" xfId="0"/>
    <cellStyle name="_TableHead_commentaires fixe  internet Déc 08_Reporting Onatel Avril 2009 V0_Copie de Flash du mois d' avril 2009 corrigé par NAIMI_Reporting Onatel Mai 2009 V 0_Budget 2011 v1 (4)" xfId="0"/>
    <cellStyle name="_TableHead_commentaires fixe  internet Déc 08_Reporting Onatel Avril 2009 V0_Copie de Flash du mois d' avril 2009 corrigé par NAIMI_Reporting Onatel Mai 2009 V 0_Budget Telmob 2011" xfId="0"/>
    <cellStyle name="_TableHead_commentaires fixe  internet Déc 08_Reporting Onatel Avril 2009 V0_Copie de Flash du mois d' avril 2009 corrigé par NAIMI_Reporting Onatel Mai 2009 V 0_Reporting Onatel septembre  2009 préparé" xfId="0"/>
    <cellStyle name="_TableHead_commentaires fixe  internet Déc 08_Reporting Onatel Avril 2009 V0_Copie de Flash du mois d' avril 2009 corrigé par NAIMI_Reporting Onatel Mai 2009 V 0_Reporting Onatel septembre  2009 préparé_Budget 2011 v1 (4)" xfId="0"/>
    <cellStyle name="_TableHead_commentaires fixe  internet Déc 08_Reporting Onatel Avril 2009 V0_Copie de Flash du mois d' avril 2009 corrigé par NAIMI_Reporting Onatel septembre  2009 préparé" xfId="0"/>
    <cellStyle name="_TableHead_commentaires fixe  internet Déc 08_Reporting Onatel Avril 2009 V0_Copie de Flash du mois d' avril 2009 corrigé par NAIMI_Reporting Onatel septembre  2009 préparé_Budget 2011 v1 (4)" xfId="0"/>
    <cellStyle name="_TableHead_commentaires fixe  internet Déc 08_Reporting Onatel Avril 2009 V0_Flash du mois de mai 2009" xfId="0"/>
    <cellStyle name="_TableHead_commentaires fixe  internet Déc 08_Reporting Onatel Avril 2009 V0_Flash du mois de mai 2009_Budget 2011 v1 (4)" xfId="0"/>
    <cellStyle name="_TableHead_commentaires fixe  internet Déc 08_Reporting Onatel Avril 2009 V0_Flash du mois de mai 2009_Budget Telmob 2011" xfId="0"/>
    <cellStyle name="_TableHead_commentaires fixe  internet Déc 08_Reporting Onatel Avril 2009 V0_Reporting Onatel Mai 2009 V 0" xfId="0"/>
    <cellStyle name="_TableHead_commentaires fixe  internet Déc 08_Reporting Onatel Avril 2009 V0_Reporting Onatel Mai 2009 V 0_Budget 2011 v1 (4)" xfId="0"/>
    <cellStyle name="_TableHead_commentaires fixe  internet Déc 08_Reporting Onatel Avril 2009 V0_Reporting Onatel Mai 2009 V 0_Budget Telmob 2011" xfId="0"/>
    <cellStyle name="_TableHead_commentaires fixe  internet Déc 08_Reporting Onatel Avril 2009 V0_Reporting Onatel septembre  2009 préparé" xfId="0"/>
    <cellStyle name="_TableHead_commentaires fixe  internet Déc 08_Reporting Onatel Avril 2009 V0_Reporting Onatel septembre  2009 préparé_Budget 2011 v1 (4)" xfId="0"/>
    <cellStyle name="_TableHead_commentaires fixe  internet Déc 08_Reporting Onatel Mai 2009 V 0" xfId="0"/>
    <cellStyle name="_TableHead_commentaires fixe  internet Déc 08_Reporting Onatel Mai 2009 V 0 A ENVOYE" xfId="0"/>
    <cellStyle name="_TableHead_commentaires fixe  internet Déc 08_Reporting Onatel Mai 2009 V 0 A ENVOYE_Budget 2011 v1 (4)" xfId="0"/>
    <cellStyle name="_TableHead_commentaires fixe  internet Déc 08_Reporting Onatel Mai 2009 V 0 A ENVOYE_Budget Telmob 2011" xfId="0"/>
    <cellStyle name="_TableHead_commentaires fixe  internet Déc 08_Reporting Onatel Mai 2009 V 0 A ENVOYE_Reporting Onatel septembre  2009 préparé" xfId="0"/>
    <cellStyle name="_TableHead_commentaires fixe  internet Déc 08_Reporting Onatel Mai 2009 V 0 A ENVOYE_Reporting Onatel septembre  2009 préparé_Budget 2011 v1 (4)" xfId="0"/>
    <cellStyle name="_TableHead_commentaires fixe  internet Déc 08_Reporting Onatel Mai 2009 V 0_Budget 2011 v1 (4)" xfId="0"/>
    <cellStyle name="_TableHead_commentaires fixe  internet Déc 08_Reporting Onatel Mai 2009 V 0_Budget Telmob 2011" xfId="0"/>
    <cellStyle name="_TableHead_commentaires fixe  internet Déc 08_Reporting Onatel septembre  2009 préparé" xfId="0"/>
    <cellStyle name="_TableHead_commentaires fixe  internet Déc 08_Reporting Onatel septembre  2009 préparé_Budget 2011 v1 (4)" xfId="0"/>
    <cellStyle name="_TableHead_commentaires fixe  internet Déc 08_TBG Onatel Février  2009  Vtbg V3" xfId="0"/>
    <cellStyle name="_TableHead_commentaires fixe  internet Déc 08_TBG Onatel Février  2009  Vtbg V3_Budget 2011 v1 (4)" xfId="0"/>
    <cellStyle name="_TableHead_commentaires fixe  internet Déc 08_TBG Onatel Février  2009  Vtbg V3_Budget Telmob 2011" xfId="0"/>
    <cellStyle name="_TableHead_commentaires fixe  internet Déc 08_TBG Onatel Février  2009  Vtbg V3_Commentaires TBG mars" xfId="0"/>
    <cellStyle name="_TableHead_commentaires fixe  internet Déc 08_TBG Onatel Février  2009  Vtbg V3_Commentaires TBG mars_Budget 2011 v1 (4)" xfId="0"/>
    <cellStyle name="_TableHead_commentaires fixe  internet Déc 08_TBG Onatel Février  2009  Vtbg V3_Commentaires TBG mars_Budget Telmob 2011" xfId="0"/>
    <cellStyle name="_TableHead_commentaires fixe  internet Déc 08_TBG Onatel Février  2009  Vtbg V3_Commentaires TBG mars_Copie de Flash du mois d' avril 2009 corrigé par NAIMI" xfId="0"/>
    <cellStyle name="_TableHead_commentaires fixe  internet Déc 08_TBG Onatel Février  2009  Vtbg V3_Commentaires TBG mars_Copie de Flash du mois d' avril 2009 corrigé par NAIMI_Budget 2011 v1 (4)" xfId="0"/>
    <cellStyle name="_TableHead_commentaires fixe  internet Déc 08_TBG Onatel Février  2009  Vtbg V3_Commentaires TBG mars_Copie de Flash du mois d' avril 2009 corrigé par NAIMI_Budget Telmob 2011" xfId="0"/>
    <cellStyle name="_TableHead_commentaires fixe  internet Déc 08_TBG Onatel Février  2009  Vtbg V3_Commentaires TBG mars_Copie de Flash du mois d' avril 2009 corrigé par NAIMI_Flash du mois de mai 2009" xfId="0"/>
    <cellStyle name="_TableHead_commentaires fixe  internet Déc 08_TBG Onatel Février  2009  Vtbg V3_Commentaires TBG mars_Copie de Flash du mois d' avril 2009 corrigé par NAIMI_Flash du mois de mai 2009_Budget 2011 v1 (4)" xfId="0"/>
    <cellStyle name="_TableHead_commentaires fixe  internet Déc 08_TBG Onatel Février  2009  Vtbg V3_Commentaires TBG mars_Copie de Flash du mois d' avril 2009 corrigé par NAIMI_Flash du mois de mai 2009_Budget Telmob 2011" xfId="0"/>
    <cellStyle name="_TableHead_commentaires fixe  internet Déc 08_TBG Onatel Février  2009  Vtbg V3_Commentaires TBG mars_Copie de Flash du mois d' avril 2009 corrigé par NAIMI_Reporting Onatel Mai 2009 V 0" xfId="0"/>
    <cellStyle name="_TableHead_commentaires fixe  internet Déc 08_TBG Onatel Février  2009  Vtbg V3_Commentaires TBG mars_Copie de Flash du mois d' avril 2009 corrigé par NAIMI_Reporting Onatel Mai 2009 V 0_Budget 2011 v1 (4)" xfId="0"/>
    <cellStyle name="_TableHead_commentaires fixe  internet Déc 08_TBG Onatel Février  2009  Vtbg V3_Commentaires TBG mars_Copie de Flash du mois d' avril 2009 corrigé par NAIMI_Reporting Onatel Mai 2009 V 0_Budget Telmob 2011" xfId="0"/>
    <cellStyle name="_TableHead_commentaires fixe  internet Déc 08_TBG Onatel Février  2009  Vtbg V3_Commentaires TBG mars_Copie de Flash du mois d' avril 2009 corrigé par NAIMI_Reporting Onatel Mai 2009 V 0_Reporting Onatel septembre  2009 préparé" xfId="0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_commentaires fixe  internet Déc 08_TBG Onatel Février  2009  Vtbg V3_Commentaires TBG mars_Copie de Flash du mois d' avril 2009 corrigé par NAIMI_Reporting Onatel septembre  2009 préparé" xfId="0"/>
    <cellStyle name="_TableHead_commentaires fixe  internet Déc 08_TBG Onatel Février  2009  Vtbg V3_Commentaires TBG mars_Copie de Flash du mois d' avril 2009 corrigé par NAIMI_Reporting Onatel septembre  2009 préparé_Budget 2011 v1 (4)" xfId="0"/>
    <cellStyle name="_TableHead_commentaires fixe  internet Déc 08_TBG Onatel Février  2009  Vtbg V3_Commentaires TBG mars_Flash du mois d' avril 2009" xfId="0"/>
    <cellStyle name="_TableHead_commentaires fixe  internet Déc 08_TBG Onatel Février  2009  Vtbg V3_Commentaires TBG mars_Flash du mois d' avril 2009_Budget 2011 v1 (4)" xfId="0"/>
    <cellStyle name="_TableHead_commentaires fixe  internet Déc 08_TBG Onatel Février  2009  Vtbg V3_Commentaires TBG mars_Flash du mois d' avril 2009_Budget Telmob 2011" xfId="0"/>
    <cellStyle name="_TableHead_commentaires fixe  internet Déc 08_TBG Onatel Février  2009  Vtbg V3_Commentaires TBG mars_Flash du mois d' avril 2009_Flash du mois de mai 2009" xfId="0"/>
    <cellStyle name="_TableHead_commentaires fixe  internet Déc 08_TBG Onatel Février  2009  Vtbg V3_Commentaires TBG mars_Flash du mois d' avril 2009_Flash du mois de mai 2009_Budget 2011 v1 (4)" xfId="0"/>
    <cellStyle name="_TableHead_commentaires fixe  internet Déc 08_TBG Onatel Février  2009  Vtbg V3_Commentaires TBG mars_Flash du mois d' avril 2009_Flash du mois de mai 2009_Budget Telmob 2011" xfId="0"/>
    <cellStyle name="_TableHead_commentaires fixe  internet Déc 08_TBG Onatel Février  2009  Vtbg V3_Commentaires TBG mars_Flash du mois d' avril 2009_Reporting Onatel Mai 2009 V 0" xfId="0"/>
    <cellStyle name="_TableHead_commentaires fixe  internet Déc 08_TBG Onatel Février  2009  Vtbg V3_Commentaires TBG mars_Flash du mois d' avril 2009_Reporting Onatel Mai 2009 V 0_Budget 2011 v1 (4)" xfId="0"/>
    <cellStyle name="_TableHead_commentaires fixe  internet Déc 08_TBG Onatel Février  2009  Vtbg V3_Commentaires TBG mars_Flash du mois d' avril 2009_Reporting Onatel Mai 2009 V 0_Budget Telmob 2011" xfId="0"/>
    <cellStyle name="_TableHead_commentaires fixe  internet Déc 08_TBG Onatel Février  2009  Vtbg V3_Commentaires TBG mars_Flash du mois d' avril 2009_Reporting Onatel septembre  2009 préparé" xfId="0"/>
    <cellStyle name="_TableHead_commentaires fixe  internet Déc 08_TBG Onatel Février  2009  Vtbg V3_Commentaires TBG mars_Flash du mois d' avril 2009_Reporting Onatel septembre  2009 préparé_Budget 2011 v1 (4)" xfId="0"/>
    <cellStyle name="_TableHead_commentaires fixe  internet Déc 08_TBG Onatel Février  2009  Vtbg V3_Commentaires TBG mars_Flash du mois de mai 2009" xfId="0"/>
    <cellStyle name="_TableHead_commentaires fixe  internet Déc 08_TBG Onatel Février  2009  Vtbg V3_Commentaires TBG mars_Flash du mois de mai 2009_Budget 2011 v1 (4)" xfId="0"/>
    <cellStyle name="_TableHead_commentaires fixe  internet Déc 08_TBG Onatel Février  2009  Vtbg V3_Commentaires TBG mars_Flash du mois de mai 2009_Budget Telmob 2011" xfId="0"/>
    <cellStyle name="_TableHead_commentaires fixe  internet Déc 08_TBG Onatel Février  2009  Vtbg V3_Commentaires TBG mars_Reporting Onatel Mai 2009 V 0" xfId="0"/>
    <cellStyle name="_TableHead_commentaires fixe  internet Déc 08_TBG Onatel Février  2009  Vtbg V3_Commentaires TBG mars_Reporting Onatel Mai 2009 V 0_Budget 2011 v1 (4)" xfId="0"/>
    <cellStyle name="_TableHead_commentaires fixe  internet Déc 08_TBG Onatel Février  2009  Vtbg V3_Commentaires TBG mars_Reporting Onatel Mai 2009 V 0_Budget Telmob 2011" xfId="0"/>
    <cellStyle name="_TableHead_commentaires fixe  internet Déc 08_TBG Onatel Février  2009  Vtbg V3_Commentaires TBG mars_Reporting Onatel septembre  2009 préparé" xfId="0"/>
    <cellStyle name="_TableHead_commentaires fixe  internet Déc 08_TBG Onatel Février  2009  Vtbg V3_Commentaires TBG mars_Reporting Onatel septembre  2009 préparé_Budget 2011 v1 (4)" xfId="0"/>
    <cellStyle name="_TableHead_commentaires fixe  internet Déc 08_TBG Onatel Février  2009  Vtbg V3_Copie de Flash du mois d' avril 2009 corrigé par NAIMI" xfId="0"/>
    <cellStyle name="_TableHead_commentaires fixe  internet Déc 08_TBG Onatel Février  2009  Vtbg V3_Copie de Flash du mois d' avril 2009 corrigé par NAIMI_Budget 2011 v1 (4)" xfId="0"/>
    <cellStyle name="_TableHead_commentaires fixe  internet Déc 08_TBG Onatel Février  2009  Vtbg V3_Copie de Flash du mois d' avril 2009 corrigé par NAIMI_Budget Telmob 2011" xfId="0"/>
    <cellStyle name="_TableHead_commentaires fixe  internet Déc 08_TBG Onatel Février  2009  Vtbg V3_Copie de Flash du mois d' avril 2009 corrigé par NAIMI_Flash du mois de mai 2009" xfId="0"/>
    <cellStyle name="_TableHead_commentaires fixe  internet Déc 08_TBG Onatel Février  2009  Vtbg V3_Copie de Flash du mois d' avril 2009 corrigé par NAIMI_Flash du mois de mai 2009_Budget 2011 v1 (4)" xfId="0"/>
    <cellStyle name="_TableHead_commentaires fixe  internet Déc 08_TBG Onatel Février  2009  Vtbg V3_Copie de Flash du mois d' avril 2009 corrigé par NAIMI_Flash du mois de mai 2009_Budget Telmob 2011" xfId="0"/>
    <cellStyle name="_TableHead_commentaires fixe  internet Déc 08_TBG Onatel Février  2009  Vtbg V3_Copie de Flash du mois d' avril 2009 corrigé par NAIMI_Reporting Onatel Mai 2009 V 0" xfId="0"/>
    <cellStyle name="_TableHead_commentaires fixe  internet Déc 08_TBG Onatel Février  2009  Vtbg V3_Copie de Flash du mois d' avril 2009 corrigé par NAIMI_Reporting Onatel Mai 2009 V 0_Budget 2011 v1 (4)" xfId="0"/>
    <cellStyle name="_TableHead_commentaires fixe  internet Déc 08_TBG Onatel Février  2009  Vtbg V3_Copie de Flash du mois d' avril 2009 corrigé par NAIMI_Reporting Onatel Mai 2009 V 0_Budget Telmob 2011" xfId="0"/>
    <cellStyle name="_TableHead_commentaires fixe  internet Déc 08_TBG Onatel Février  2009  Vtbg V3_Copie de Flash du mois d' avril 2009 corrigé par NAIMI_Reporting Onatel Mai 2009 V 0_Reporting Onatel septembre  2009 préparé" xfId="0"/>
    <cellStyle name="_TableHead_commentaires fixe  internet Déc 08_TBG Onatel Février  2009  Vtbg V3_Copie de Flash du mois d' avril 2009 corrigé par NAIMI_Reporting Onatel Mai 2009 V 0_Reporting Onatel septembre  2009 préparé_Budget 2011 v1 (4)" xfId="0"/>
    <cellStyle name="_TableHead_commentaires fixe  internet Déc 08_TBG Onatel Février  2009  Vtbg V3_Copie de Flash du mois d' avril 2009 corrigé par NAIMI_Reporting Onatel septembre  2009 préparé" xfId="0"/>
    <cellStyle name="_TableHead_commentaires fixe  internet Déc 08_TBG Onatel Février  2009  Vtbg V3_Copie de Flash du mois d' avril 2009 corrigé par NAIMI_Reporting Onatel septembre  2009 préparé_Budget 2011 v1 (4)" xfId="0"/>
    <cellStyle name="_TableHead_commentaires fixe  internet Déc 08_TBG Onatel Février  2009  Vtbg V3_Flash du mois d' avril 2009" xfId="0"/>
    <cellStyle name="_TableHead_commentaires fixe  internet Déc 08_TBG Onatel Février  2009  Vtbg V3_Flash du mois d' avril 2009_Budget 2011 v1 (4)" xfId="0"/>
    <cellStyle name="_TableHead_commentaires fixe  internet Déc 08_TBG Onatel Février  2009  Vtbg V3_Flash du mois d' avril 2009_Budget Telmob 2011" xfId="0"/>
    <cellStyle name="_TableHead_commentaires fixe  internet Déc 08_TBG Onatel Février  2009  Vtbg V3_Flash du mois d' avril 2009_Flash du mois de mai 2009" xfId="0"/>
    <cellStyle name="_TableHead_commentaires fixe  internet Déc 08_TBG Onatel Février  2009  Vtbg V3_Flash du mois d' avril 2009_Flash du mois de mai 2009_Budget 2011 v1 (4)" xfId="0"/>
    <cellStyle name="_TableHead_commentaires fixe  internet Déc 08_TBG Onatel Février  2009  Vtbg V3_Flash du mois d' avril 2009_Flash du mois de mai 2009_Budget Telmob 2011" xfId="0"/>
    <cellStyle name="_TableHead_commentaires fixe  internet Déc 08_TBG Onatel Février  2009  Vtbg V3_Flash du mois d' avril 2009_Reporting Onatel Mai 2009 V 0" xfId="0"/>
    <cellStyle name="_TableHead_commentaires fixe  internet Déc 08_TBG Onatel Février  2009  Vtbg V3_Flash du mois d' avril 2009_Reporting Onatel Mai 2009 V 0_Budget 2011 v1 (4)" xfId="0"/>
    <cellStyle name="_TableHead_commentaires fixe  internet Déc 08_TBG Onatel Février  2009  Vtbg V3_Flash du mois d' avril 2009_Reporting Onatel Mai 2009 V 0_Budget Telmob 2011" xfId="0"/>
    <cellStyle name="_TableHead_commentaires fixe  internet Déc 08_TBG Onatel Février  2009  Vtbg V3_Flash du mois d' avril 2009_Reporting Onatel septembre  2009 préparé" xfId="0"/>
    <cellStyle name="_TableHead_commentaires fixe  internet Déc 08_TBG Onatel Février  2009  Vtbg V3_Flash du mois d' avril 2009_Reporting Onatel septembre  2009 préparé_Budget 2011 v1 (4)" xfId="0"/>
    <cellStyle name="_TableHead_commentaires fixe  internet Déc 08_TBG Onatel Février  2009  Vtbg V3_Flash du mois de mai 2009" xfId="0"/>
    <cellStyle name="_TableHead_commentaires fixe  internet Déc 08_TBG Onatel Février  2009  Vtbg V3_Flash du mois de mai 2009_Budget 2011 v1 (4)" xfId="0"/>
    <cellStyle name="_TableHead_commentaires fixe  internet Déc 08_TBG Onatel Février  2009  Vtbg V3_Flash du mois de mai 2009_Budget Telmob 2011" xfId="0"/>
    <cellStyle name="_TableHead_commentaires fixe  internet Déc 08_TBG Onatel Février  2009  Vtbg V3_Reporting Onatel Mai 2009 V 0" xfId="0"/>
    <cellStyle name="_TableHead_commentaires fixe  internet Déc 08_TBG Onatel Février  2009  Vtbg V3_Reporting Onatel Mai 2009 V 0_Budget 2011 v1 (4)" xfId="0"/>
    <cellStyle name="_TableHead_commentaires fixe  internet Déc 08_TBG Onatel Février  2009  Vtbg V3_Reporting Onatel Mai 2009 V 0_Budget Telmob 2011" xfId="0"/>
    <cellStyle name="_TableHead_commentaires fixe  internet Déc 08_TBG Onatel Février  2009  Vtbg V3_Reporting Onatel septembre  2009 préparé" xfId="0"/>
    <cellStyle name="_TableHead_commentaires fixe  internet Déc 08_TBG Onatel Février  2009  Vtbg V3_Reporting Onatel septembre  2009 préparé_Budget 2011 v1 (4)" xfId="0"/>
    <cellStyle name="_TableHead_Commentaires TBG mars" xfId="0"/>
    <cellStyle name="_TableHead_Commentaires TBG mars_Budget 2011 v1 (4)" xfId="0"/>
    <cellStyle name="_TableHead_Commentaires TBG mars_Budget Telmob 2011" xfId="0"/>
    <cellStyle name="_TableHead_Commentaires TBG mars_Copie de Flash du mois d' avril 2009 corrigé par NAIMI" xfId="0"/>
    <cellStyle name="_TableHead_Commentaires TBG mars_Copie de Flash du mois d' avril 2009 corrigé par NAIMI_Budget 2011 v1 (4)" xfId="0"/>
    <cellStyle name="_TableHead_Commentaires TBG mars_Copie de Flash du mois d' avril 2009 corrigé par NAIMI_Budget Telmob 2011" xfId="0"/>
    <cellStyle name="_TableHead_Commentaires TBG mars_Copie de Flash du mois d' avril 2009 corrigé par NAIMI_Flash du mois de mai 2009" xfId="0"/>
    <cellStyle name="_TableHead_Commentaires TBG mars_Copie de Flash du mois d' avril 2009 corrigé par NAIMI_Flash du mois de mai 2009_Budget 2011 v1 (4)" xfId="0"/>
    <cellStyle name="_TableHead_Commentaires TBG mars_Copie de Flash du mois d' avril 2009 corrigé par NAIMI_Flash du mois de mai 2009_Budget Telmob 2011" xfId="0"/>
    <cellStyle name="_TableHead_Commentaires TBG mars_Copie de Flash du mois d' avril 2009 corrigé par NAIMI_Reporting Onatel Mai 2009 V 0" xfId="0"/>
    <cellStyle name="_TableHead_Commentaires TBG mars_Copie de Flash du mois d' avril 2009 corrigé par NAIMI_Reporting Onatel Mai 2009 V 0_Budget 2011 v1 (4)" xfId="0"/>
    <cellStyle name="_TableHead_Commentaires TBG mars_Copie de Flash du mois d' avril 2009 corrigé par NAIMI_Reporting Onatel Mai 2009 V 0_Budget Telmob 2011" xfId="0"/>
    <cellStyle name="_TableHead_Commentaires TBG mars_Copie de Flash du mois d' avril 2009 corrigé par NAIMI_Reporting Onatel Mai 2009 V 0_Reporting Onatel septembre  2009 préparé" xfId="0"/>
    <cellStyle name="_TableHead_Commentaires TBG mars_Copie de Flash du mois d' avril 2009 corrigé par NAIMI_Reporting Onatel Mai 2009 V 0_Reporting Onatel septembre  2009 préparé_Budget 2011 v1 (4)" xfId="0"/>
    <cellStyle name="_TableHead_Commentaires TBG mars_Copie de Flash du mois d' avril 2009 corrigé par NAIMI_Reporting Onatel septembre  2009 préparé" xfId="0"/>
    <cellStyle name="_TableHead_Commentaires TBG mars_Copie de Flash du mois d' avril 2009 corrigé par NAIMI_Reporting Onatel septembre  2009 préparé_Budget 2011 v1 (4)" xfId="0"/>
    <cellStyle name="_TableHead_Commentaires TBG mars_Flash du mois d' avril 2009" xfId="0"/>
    <cellStyle name="_TableHead_Commentaires TBG mars_Flash du mois d' avril 2009_Budget 2011 v1 (4)" xfId="0"/>
    <cellStyle name="_TableHead_Commentaires TBG mars_Flash du mois d' avril 2009_Budget Telmob 2011" xfId="0"/>
    <cellStyle name="_TableHead_Commentaires TBG mars_Flash du mois d' avril 2009_Flash du mois de mai 2009" xfId="0"/>
    <cellStyle name="_TableHead_Commentaires TBG mars_Flash du mois d' avril 2009_Flash du mois de mai 2009_Budget 2011 v1 (4)" xfId="0"/>
    <cellStyle name="_TableHead_Commentaires TBG mars_Flash du mois d' avril 2009_Flash du mois de mai 2009_Budget Telmob 2011" xfId="0"/>
    <cellStyle name="_TableHead_Commentaires TBG mars_Flash du mois d' avril 2009_Reporting Onatel Mai 2009 V 0" xfId="0"/>
    <cellStyle name="_TableHead_Commentaires TBG mars_Flash du mois d' avril 2009_Reporting Onatel Mai 2009 V 0_Budget 2011 v1 (4)" xfId="0"/>
    <cellStyle name="_TableHead_Commentaires TBG mars_Flash du mois d' avril 2009_Reporting Onatel Mai 2009 V 0_Budget Telmob 2011" xfId="0"/>
    <cellStyle name="_TableHead_Commentaires TBG mars_Flash du mois d' avril 2009_Reporting Onatel septembre  2009 préparé" xfId="0"/>
    <cellStyle name="_TableHead_Commentaires TBG mars_Flash du mois d' avril 2009_Reporting Onatel septembre  2009 préparé_Budget 2011 v1 (4)" xfId="0"/>
    <cellStyle name="_TableHead_Commentaires TBG mars_Flash du mois de mai 2009" xfId="0"/>
    <cellStyle name="_TableHead_Commentaires TBG mars_Flash du mois de mai 2009_Budget 2011 v1 (4)" xfId="0"/>
    <cellStyle name="_TableHead_Commentaires TBG mars_Flash du mois de mai 2009_Budget Telmob 2011" xfId="0"/>
    <cellStyle name="_TableHead_Commentaires TBG mars_Reporting Onatel Mai 2009 V 0" xfId="0"/>
    <cellStyle name="_TableHead_Commentaires TBG mars_Reporting Onatel Mai 2009 V 0_Budget 2011 v1 (4)" xfId="0"/>
    <cellStyle name="_TableHead_Commentaires TBG mars_Reporting Onatel Mai 2009 V 0_Budget Telmob 2011" xfId="0"/>
    <cellStyle name="_TableHead_Commentaires TBG mars_Reporting Onatel septembre  2009 préparé" xfId="0"/>
    <cellStyle name="_TableHead_Commentaires TBG mars_Reporting Onatel septembre  2009 préparé_Budget 2011 v1 (4)" xfId="0"/>
    <cellStyle name="_TableHead_Copie de Flash du mois d' avril 2009 corrigé par NAIMI" xfId="0"/>
    <cellStyle name="_TableHead_Copie de Flash du mois d' avril 2009 corrigé par NAIMI_Budget 2011 v1 (4)" xfId="0"/>
    <cellStyle name="_TableHead_Copie de Flash du mois d' avril 2009 corrigé par NAIMI_Budget Telmob 2011" xfId="0"/>
    <cellStyle name="_TableHead_Copie de Flash du mois d' avril 2009 corrigé par NAIMI_Flash du mois de mai 2009" xfId="0"/>
    <cellStyle name="_TableHead_Copie de Flash du mois d' avril 2009 corrigé par NAIMI_Flash du mois de mai 2009_Budget 2011 v1 (4)" xfId="0"/>
    <cellStyle name="_TableHead_Copie de Flash du mois d' avril 2009 corrigé par NAIMI_Flash du mois de mai 2009_Budget Telmob 2011" xfId="0"/>
    <cellStyle name="_TableHead_Copie de Flash du mois d' avril 2009 corrigé par NAIMI_Reporting Onatel Mai 2009 V 0" xfId="0"/>
    <cellStyle name="_TableHead_Copie de Flash du mois d' avril 2009 corrigé par NAIMI_Reporting Onatel Mai 2009 V 0_Budget 2011 v1 (4)" xfId="0"/>
    <cellStyle name="_TableHead_Copie de Flash du mois d' avril 2009 corrigé par NAIMI_Reporting Onatel Mai 2009 V 0_Budget Telmob 2011" xfId="0"/>
    <cellStyle name="_TableHead_Copie de Flash du mois d' avril 2009 corrigé par NAIMI_Reporting Onatel Mai 2009 V 0_Reporting Onatel septembre  2009 préparé" xfId="0"/>
    <cellStyle name="_TableHead_Copie de Flash du mois d' avril 2009 corrigé par NAIMI_Reporting Onatel Mai 2009 V 0_Reporting Onatel septembre  2009 préparé_Budget 2011 v1 (4)" xfId="0"/>
    <cellStyle name="_TableHead_Copie de Flash du mois d' avril 2009 corrigé par NAIMI_Reporting Onatel septembre  2009 préparé" xfId="0"/>
    <cellStyle name="_TableHead_Copie de Flash du mois d' avril 2009 corrigé par NAIMI_Reporting Onatel septembre  2009 préparé_Budget 2011 v1 (4)" xfId="0"/>
    <cellStyle name="_TableHead_Flash du mois d' avril 2009" xfId="0"/>
    <cellStyle name="_TableHead_Flash du mois d' avril 2009_Budget 2011 v1 (4)" xfId="0"/>
    <cellStyle name="_TableHead_Flash du mois d' avril 2009_Budget Telmob 2011" xfId="0"/>
    <cellStyle name="_TableHead_Flash du mois d' avril 2009_Flash du mois de mai 2009" xfId="0"/>
    <cellStyle name="_TableHead_Flash du mois d' avril 2009_Flash du mois de mai 2009_Budget 2011 v1 (4)" xfId="0"/>
    <cellStyle name="_TableHead_Flash du mois d' avril 2009_Flash du mois de mai 2009_Budget Telmob 2011" xfId="0"/>
    <cellStyle name="_TableHead_Flash du mois d' avril 2009_Reporting Onatel Mai 2009 V 0" xfId="0"/>
    <cellStyle name="_TableHead_Flash du mois d' avril 2009_Reporting Onatel Mai 2009 V 0_Budget 2011 v1 (4)" xfId="0"/>
    <cellStyle name="_TableHead_Flash du mois d' avril 2009_Reporting Onatel Mai 2009 V 0_Budget Telmob 2011" xfId="0"/>
    <cellStyle name="_TableHead_Flash du mois d' avril 2009_Reporting Onatel septembre  2009 préparé" xfId="0"/>
    <cellStyle name="_TableHead_Flash du mois d' avril 2009_Reporting Onatel septembre  2009 préparé_Budget 2011 v1 (4)" xfId="0"/>
    <cellStyle name="_TableHead_Flash du mois de mai 2009" xfId="0"/>
    <cellStyle name="_TableHead_Flash du mois de mai 2009_Budget 2011 v1 (4)" xfId="0"/>
    <cellStyle name="_TableHead_Flash du mois de mai 2009_Budget Telmob 2011" xfId="0"/>
    <cellStyle name="_TableHead_P &amp; L Conso" xfId="0"/>
    <cellStyle name="_TableHead_P &amp; L Conso_Budget 2011 v1 (4)" xfId="0"/>
    <cellStyle name="_TableHead_P &amp; L Conso_Budget Telmob 2011" xfId="0"/>
    <cellStyle name="_TableHead_P &amp; L Conso_COMMENTAIRES JUILLET 2009" xfId="0"/>
    <cellStyle name="_TableHead_P &amp; L Conso_COMMENTAIRES JUILLET 2009_Budget 2011 v1 (4)" xfId="0"/>
    <cellStyle name="_TableHead_P &amp; L Conso_COMMENTAIRES JUILLET 2009_Budget Telmob 2011" xfId="0"/>
    <cellStyle name="_TableHead_P&amp;L S1 2008" xfId="0"/>
    <cellStyle name="_TableHead_P&amp;L S1 2008_Budget 2011 v1 (4)" xfId="0"/>
    <cellStyle name="_TableHead_P&amp;L S1 2008_Budget Telmob 2011" xfId="0"/>
    <cellStyle name="_TableHead_Reporting Onatel Avril 2009 V0" xfId="0"/>
    <cellStyle name="_TableHead_Reporting Onatel Avril 2009 V0_Budget 2011 v1 (4)" xfId="0"/>
    <cellStyle name="_TableHead_Reporting Onatel Avril 2009 V0_Budget Telmob 2011" xfId="0"/>
    <cellStyle name="_TableHead_Reporting Onatel Avril 2009 V0_Copie de Flash du mois d' avril 2009 corrigé par NAIMI" xfId="0"/>
    <cellStyle name="_TableHead_Reporting Onatel Avril 2009 V0_Copie de Flash du mois d' avril 2009 corrigé par NAIMI_Budget 2011 v1 (4)" xfId="0"/>
    <cellStyle name="_TableHead_Reporting Onatel Avril 2009 V0_Copie de Flash du mois d' avril 2009 corrigé par NAIMI_Budget Telmob 2011" xfId="0"/>
    <cellStyle name="_TableHead_Reporting Onatel Avril 2009 V0_Copie de Flash du mois d' avril 2009 corrigé par NAIMI_Flash du mois de mai 2009" xfId="0"/>
    <cellStyle name="_TableHead_Reporting Onatel Avril 2009 V0_Copie de Flash du mois d' avril 2009 corrigé par NAIMI_Flash du mois de mai 2009_Budget 2011 v1 (4)" xfId="0"/>
    <cellStyle name="_TableHead_Reporting Onatel Avril 2009 V0_Copie de Flash du mois d' avril 2009 corrigé par NAIMI_Flash du mois de mai 2009_Budget Telmob 2011" xfId="0"/>
    <cellStyle name="_TableHead_Reporting Onatel Avril 2009 V0_Copie de Flash du mois d' avril 2009 corrigé par NAIMI_Reporting Onatel Mai 2009 V 0" xfId="0"/>
    <cellStyle name="_TableHead_Reporting Onatel Avril 2009 V0_Copie de Flash du mois d' avril 2009 corrigé par NAIMI_Reporting Onatel Mai 2009 V 0_Budget 2011 v1 (4)" xfId="0"/>
    <cellStyle name="_TableHead_Reporting Onatel Avril 2009 V0_Copie de Flash du mois d' avril 2009 corrigé par NAIMI_Reporting Onatel Mai 2009 V 0_Budget Telmob 2011" xfId="0"/>
    <cellStyle name="_TableHead_Reporting Onatel Avril 2009 V0_Copie de Flash du mois d' avril 2009 corrigé par NAIMI_Reporting Onatel Mai 2009 V 0_Reporting Onatel septembre  2009 préparé" xfId="0"/>
    <cellStyle name="_TableHead_Reporting Onatel Avril 2009 V0_Copie de Flash du mois d' avril 2009 corrigé par NAIMI_Reporting Onatel Mai 2009 V 0_Reporting Onatel septembre  2009 préparé_Budget 2011 v1 (4)" xfId="0"/>
    <cellStyle name="_TableHead_Reporting Onatel Avril 2009 V0_Copie de Flash du mois d' avril 2009 corrigé par NAIMI_Reporting Onatel septembre  2009 préparé" xfId="0"/>
    <cellStyle name="_TableHead_Reporting Onatel Avril 2009 V0_Copie de Flash du mois d' avril 2009 corrigé par NAIMI_Reporting Onatel septembre  2009 préparé_Budget 2011 v1 (4)" xfId="0"/>
    <cellStyle name="_TableHead_Reporting Onatel Avril 2009 V0_Flash du mois de mai 2009" xfId="0"/>
    <cellStyle name="_TableHead_Reporting Onatel Avril 2009 V0_Flash du mois de mai 2009_Budget 2011 v1 (4)" xfId="0"/>
    <cellStyle name="_TableHead_Reporting Onatel Avril 2009 V0_Flash du mois de mai 2009_Budget Telmob 2011" xfId="0"/>
    <cellStyle name="_TableHead_Reporting Onatel Avril 2009 V0_Reporting Onatel Mai 2009 V 0" xfId="0"/>
    <cellStyle name="_TableHead_Reporting Onatel Avril 2009 V0_Reporting Onatel Mai 2009 V 0_Budget 2011 v1 (4)" xfId="0"/>
    <cellStyle name="_TableHead_Reporting Onatel Avril 2009 V0_Reporting Onatel Mai 2009 V 0_Budget Telmob 2011" xfId="0"/>
    <cellStyle name="_TableHead_Reporting Onatel Avril 2009 V0_Reporting Onatel septembre  2009 préparé" xfId="0"/>
    <cellStyle name="_TableHead_Reporting Onatel Avril 2009 V0_Reporting Onatel septembre  2009 préparé_Budget 2011 v1 (4)" xfId="0"/>
    <cellStyle name="_TableHead_Reporting Onatel Mai 2009 V 0" xfId="0"/>
    <cellStyle name="_TableHead_Reporting Onatel Mai 2009 V 0 A ENVOYE" xfId="0"/>
    <cellStyle name="_TableHead_Reporting Onatel Mai 2009 V 0 A ENVOYE_Budget 2011 v1 (4)" xfId="0"/>
    <cellStyle name="_TableHead_Reporting Onatel Mai 2009 V 0 A ENVOYE_Budget Telmob 2011" xfId="0"/>
    <cellStyle name="_TableHead_Reporting Onatel Mai 2009 V 0 A ENVOYE_Reporting Onatel septembre  2009 préparé" xfId="0"/>
    <cellStyle name="_TableHead_Reporting Onatel Mai 2009 V 0 A ENVOYE_Reporting Onatel septembre  2009 préparé_Budget 2011 v1 (4)" xfId="0"/>
    <cellStyle name="_TableHead_Reporting Onatel Mai 2009 V 0_Budget 2011 v1 (4)" xfId="0"/>
    <cellStyle name="_TableHead_Reporting Onatel Mai 2009 V 0_Budget Telmob 2011" xfId="0"/>
    <cellStyle name="_TableHead_Reporting Onatel septembre  2009 préparé" xfId="0"/>
    <cellStyle name="_TableHead_Reporting Onatel septembre  2009 préparé_Budget 2011 v1 (4)" xfId="0"/>
    <cellStyle name="_TableHead_Rev Fixe-Internet" xfId="0"/>
    <cellStyle name="_TableHead_Rev Fixe-Internet_Budget 2011 v1 (4)" xfId="0"/>
    <cellStyle name="_TableHead_Rev Fixe-Internet_Budget Telmob 2011" xfId="0"/>
    <cellStyle name="_TableHead_Rev Fixe-Internet_COMMENTAIRES JUILLET 2009" xfId="0"/>
    <cellStyle name="_TableHead_Rev Fixe-Internet_COMMENTAIRES JUILLET 2009_Budget 2011 v1 (4)" xfId="0"/>
    <cellStyle name="_TableHead_Rev Fixe-Internet_COMMENTAIRES JUILLET 2009_Budget Telmob 2011" xfId="0"/>
    <cellStyle name="_TableHead_TBG Onatel Février  2009  Vtbg V3" xfId="0"/>
    <cellStyle name="_TableHead_TBG Onatel Février  2009  Vtbg V3_Budget 2011 v1 (4)" xfId="0"/>
    <cellStyle name="_TableHead_TBG Onatel Février  2009  Vtbg V3_Budget Telmob 2011" xfId="0"/>
    <cellStyle name="_TableHead_TBG Onatel Février  2009  Vtbg V3_Commentaires TBG mars" xfId="0"/>
    <cellStyle name="_TableHead_TBG Onatel Février  2009  Vtbg V3_Commentaires TBG mars_Budget 2011 v1 (4)" xfId="0"/>
    <cellStyle name="_TableHead_TBG Onatel Février  2009  Vtbg V3_Commentaires TBG mars_Budget Telmob 2011" xfId="0"/>
    <cellStyle name="_TableHead_TBG Onatel Février  2009  Vtbg V3_Commentaires TBG mars_Copie de Flash du mois d' avril 2009 corrigé par NAIMI" xfId="0"/>
    <cellStyle name="_TableHead_TBG Onatel Février  2009  Vtbg V3_Commentaires TBG mars_Copie de Flash du mois d' avril 2009 corrigé par NAIMI_Budget 2011 v1 (4)" xfId="0"/>
    <cellStyle name="_TableHead_TBG Onatel Février  2009  Vtbg V3_Commentaires TBG mars_Copie de Flash du mois d' avril 2009 corrigé par NAIMI_Budget Telmob 2011" xfId="0"/>
    <cellStyle name="_TableHead_TBG Onatel Février  2009  Vtbg V3_Commentaires TBG mars_Copie de Flash du mois d' avril 2009 corrigé par NAIMI_Flash du mois de mai 2009" xfId="0"/>
    <cellStyle name="_TableHead_TBG Onatel Février  2009  Vtbg V3_Commentaires TBG mars_Copie de Flash du mois d' avril 2009 corrigé par NAIMI_Flash du mois de mai 2009_Budget 2011 v1 (4)" xfId="0"/>
    <cellStyle name="_TableHead_TBG Onatel Février  2009  Vtbg V3_Commentaires TBG mars_Copie de Flash du mois d' avril 2009 corrigé par NAIMI_Flash du mois de mai 2009_Budget Telmob 2011" xfId="0"/>
    <cellStyle name="_TableHead_TBG Onatel Février  2009  Vtbg V3_Commentaires TBG mars_Copie de Flash du mois d' avril 2009 corrigé par NAIMI_Reporting Onatel Mai 2009 V 0" xfId="0"/>
    <cellStyle name="_TableHead_TBG Onatel Février  2009  Vtbg V3_Commentaires TBG mars_Copie de Flash du mois d' avril 2009 corrigé par NAIMI_Reporting Onatel Mai 2009 V 0_Budget 2011 v1 (4)" xfId="0"/>
    <cellStyle name="_TableHead_TBG Onatel Février  2009  Vtbg V3_Commentaires TBG mars_Copie de Flash du mois d' avril 2009 corrigé par NAIMI_Reporting Onatel Mai 2009 V 0_Budget Telmob 2011" xfId="0"/>
    <cellStyle name="_TableHead_TBG Onatel Février  2009  Vtbg V3_Commentaires TBG mars_Copie de Flash du mois d' avril 2009 corrigé par NAIMI_Reporting Onatel Mai 2009 V 0_Reporting Onatel septembre  2009 préparé" xfId="0"/>
    <cellStyle name="_TableHead_TBG Onatel Février  2009  Vtbg V3_Commentaires TBG mars_Copie de Flash du mois d' avril 2009 corrigé par NAIMI_Reporting Onatel Mai 2009 V 0_Reporting Onatel septembre  2009 préparé_Budget 2011 v1 (4)" xfId="0"/>
    <cellStyle name="_TableHead_TBG Onatel Février  2009  Vtbg V3_Commentaires TBG mars_Copie de Flash du mois d' avril 2009 corrigé par NAIMI_Reporting Onatel septembre  2009 préparé" xfId="0"/>
    <cellStyle name="_TableHead_TBG Onatel Février  2009  Vtbg V3_Commentaires TBG mars_Copie de Flash du mois d' avril 2009 corrigé par NAIMI_Reporting Onatel septembre  2009 préparé_Budget 2011 v1 (4)" xfId="0"/>
    <cellStyle name="_TableHead_TBG Onatel Février  2009  Vtbg V3_Commentaires TBG mars_Flash du mois d' avril 2009" xfId="0"/>
    <cellStyle name="_TableHead_TBG Onatel Février  2009  Vtbg V3_Commentaires TBG mars_Flash du mois d' avril 2009_Budget 2011 v1 (4)" xfId="0"/>
    <cellStyle name="_TableHead_TBG Onatel Février  2009  Vtbg V3_Commentaires TBG mars_Flash du mois d' avril 2009_Budget Telmob 2011" xfId="0"/>
    <cellStyle name="_TableHead_TBG Onatel Février  2009  Vtbg V3_Commentaires TBG mars_Flash du mois d' avril 2009_Flash du mois de mai 2009" xfId="0"/>
    <cellStyle name="_TableHead_TBG Onatel Février  2009  Vtbg V3_Commentaires TBG mars_Flash du mois d' avril 2009_Flash du mois de mai 2009_Budget 2011 v1 (4)" xfId="0"/>
    <cellStyle name="_TableHead_TBG Onatel Février  2009  Vtbg V3_Commentaires TBG mars_Flash du mois d' avril 2009_Flash du mois de mai 2009_Budget Telmob 2011" xfId="0"/>
    <cellStyle name="_TableHead_TBG Onatel Février  2009  Vtbg V3_Commentaires TBG mars_Flash du mois d' avril 2009_Reporting Onatel Mai 2009 V 0" xfId="0"/>
    <cellStyle name="_TableHead_TBG Onatel Février  2009  Vtbg V3_Commentaires TBG mars_Flash du mois d' avril 2009_Reporting Onatel Mai 2009 V 0_Budget 2011 v1 (4)" xfId="0"/>
    <cellStyle name="_TableHead_TBG Onatel Février  2009  Vtbg V3_Commentaires TBG mars_Flash du mois d' avril 2009_Reporting Onatel Mai 2009 V 0_Budget Telmob 2011" xfId="0"/>
    <cellStyle name="_TableHead_TBG Onatel Février  2009  Vtbg V3_Commentaires TBG mars_Flash du mois d' avril 2009_Reporting Onatel septembre  2009 préparé" xfId="0"/>
    <cellStyle name="_TableHead_TBG Onatel Février  2009  Vtbg V3_Commentaires TBG mars_Flash du mois d' avril 2009_Reporting Onatel septembre  2009 préparé_Budget 2011 v1 (4)" xfId="0"/>
    <cellStyle name="_TableHead_TBG Onatel Février  2009  Vtbg V3_Commentaires TBG mars_Flash du mois de mai 2009" xfId="0"/>
    <cellStyle name="_TableHead_TBG Onatel Février  2009  Vtbg V3_Commentaires TBG mars_Flash du mois de mai 2009_Budget 2011 v1 (4)" xfId="0"/>
    <cellStyle name="_TableHead_TBG Onatel Février  2009  Vtbg V3_Commentaires TBG mars_Flash du mois de mai 2009_Budget Telmob 2011" xfId="0"/>
    <cellStyle name="_TableHead_TBG Onatel Février  2009  Vtbg V3_Commentaires TBG mars_Reporting Onatel Mai 2009 V 0" xfId="0"/>
    <cellStyle name="_TableHead_TBG Onatel Février  2009  Vtbg V3_Commentaires TBG mars_Reporting Onatel Mai 2009 V 0_Budget 2011 v1 (4)" xfId="0"/>
    <cellStyle name="_TableHead_TBG Onatel Février  2009  Vtbg V3_Commentaires TBG mars_Reporting Onatel Mai 2009 V 0_Budget Telmob 2011" xfId="0"/>
    <cellStyle name="_TableHead_TBG Onatel Février  2009  Vtbg V3_Commentaires TBG mars_Reporting Onatel septembre  2009 préparé" xfId="0"/>
    <cellStyle name="_TableHead_TBG Onatel Février  2009  Vtbg V3_Commentaires TBG mars_Reporting Onatel septembre  2009 préparé_Budget 2011 v1 (4)" xfId="0"/>
    <cellStyle name="_TableHead_TBG Onatel Février  2009  Vtbg V3_Copie de Flash du mois d' avril 2009 corrigé par NAIMI" xfId="0"/>
    <cellStyle name="_TableHead_TBG Onatel Février  2009  Vtbg V3_Copie de Flash du mois d' avril 2009 corrigé par NAIMI_Budget 2011 v1 (4)" xfId="0"/>
    <cellStyle name="_TableHead_TBG Onatel Février  2009  Vtbg V3_Copie de Flash du mois d' avril 2009 corrigé par NAIMI_Budget Telmob 2011" xfId="0"/>
    <cellStyle name="_TableHead_TBG Onatel Février  2009  Vtbg V3_Copie de Flash du mois d' avril 2009 corrigé par NAIMI_Flash du mois de mai 2009" xfId="0"/>
    <cellStyle name="_TableHead_TBG Onatel Février  2009  Vtbg V3_Copie de Flash du mois d' avril 2009 corrigé par NAIMI_Flash du mois de mai 2009_Budget 2011 v1 (4)" xfId="0"/>
    <cellStyle name="_TableHead_TBG Onatel Février  2009  Vtbg V3_Copie de Flash du mois d' avril 2009 corrigé par NAIMI_Flash du mois de mai 2009_Budget Telmob 2011" xfId="0"/>
    <cellStyle name="_TableHead_TBG Onatel Février  2009  Vtbg V3_Copie de Flash du mois d' avril 2009 corrigé par NAIMI_Reporting Onatel Mai 2009 V 0" xfId="0"/>
    <cellStyle name="_TableHead_TBG Onatel Février  2009  Vtbg V3_Copie de Flash du mois d' avril 2009 corrigé par NAIMI_Reporting Onatel Mai 2009 V 0_Budget 2011 v1 (4)" xfId="0"/>
    <cellStyle name="_TableHead_TBG Onatel Février  2009  Vtbg V3_Copie de Flash du mois d' avril 2009 corrigé par NAIMI_Reporting Onatel Mai 2009 V 0_Budget Telmob 2011" xfId="0"/>
    <cellStyle name="_TableHead_TBG Onatel Février  2009  Vtbg V3_Copie de Flash du mois d' avril 2009 corrigé par NAIMI_Reporting Onatel Mai 2009 V 0_Reporting Onatel septembre  2009 préparé" xfId="0"/>
    <cellStyle name="_TableHead_TBG Onatel Février  2009  Vtbg V3_Copie de Flash du mois d' avril 2009 corrigé par NAIMI_Reporting Onatel Mai 2009 V 0_Reporting Onatel septembre  2009 préparé_Budget 2011 v1 (4)" xfId="0"/>
    <cellStyle name="_TableHead_TBG Onatel Février  2009  Vtbg V3_Copie de Flash du mois d' avril 2009 corrigé par NAIMI_Reporting Onatel septembre  2009 préparé" xfId="0"/>
    <cellStyle name="_TableHead_TBG Onatel Février  2009  Vtbg V3_Copie de Flash du mois d' avril 2009 corrigé par NAIMI_Reporting Onatel septembre  2009 préparé_Budget 2011 v1 (4)" xfId="0"/>
    <cellStyle name="_TableHead_TBG Onatel Février  2009  Vtbg V3_Flash du mois d' avril 2009" xfId="0"/>
    <cellStyle name="_TableHead_TBG Onatel Février  2009  Vtbg V3_Flash du mois d' avril 2009_Budget 2011 v1 (4)" xfId="0"/>
    <cellStyle name="_TableHead_TBG Onatel Février  2009  Vtbg V3_Flash du mois d' avril 2009_Budget Telmob 2011" xfId="0"/>
    <cellStyle name="_TableHead_TBG Onatel Février  2009  Vtbg V3_Flash du mois d' avril 2009_Flash du mois de mai 2009" xfId="0"/>
    <cellStyle name="_TableHead_TBG Onatel Février  2009  Vtbg V3_Flash du mois d' avril 2009_Flash du mois de mai 2009_Budget 2011 v1 (4)" xfId="0"/>
    <cellStyle name="_TableHead_TBG Onatel Février  2009  Vtbg V3_Flash du mois d' avril 2009_Flash du mois de mai 2009_Budget Telmob 2011" xfId="0"/>
    <cellStyle name="_TableHead_TBG Onatel Février  2009  Vtbg V3_Flash du mois d' avril 2009_Reporting Onatel Mai 2009 V 0" xfId="0"/>
    <cellStyle name="_TableHead_TBG Onatel Février  2009  Vtbg V3_Flash du mois d' avril 2009_Reporting Onatel Mai 2009 V 0_Budget 2011 v1 (4)" xfId="0"/>
    <cellStyle name="_TableHead_TBG Onatel Février  2009  Vtbg V3_Flash du mois d' avril 2009_Reporting Onatel Mai 2009 V 0_Budget Telmob 2011" xfId="0"/>
    <cellStyle name="_TableHead_TBG Onatel Février  2009  Vtbg V3_Flash du mois d' avril 2009_Reporting Onatel septembre  2009 préparé" xfId="0"/>
    <cellStyle name="_TableHead_TBG Onatel Février  2009  Vtbg V3_Flash du mois d' avril 2009_Reporting Onatel septembre  2009 préparé_Budget 2011 v1 (4)" xfId="0"/>
    <cellStyle name="_TableHead_TBG Onatel Février  2009  Vtbg V3_Flash du mois de mai 2009" xfId="0"/>
    <cellStyle name="_TableHead_TBG Onatel Février  2009  Vtbg V3_Flash du mois de mai 2009_Budget 2011 v1 (4)" xfId="0"/>
    <cellStyle name="_TableHead_TBG Onatel Février  2009  Vtbg V3_Flash du mois de mai 2009_Budget Telmob 2011" xfId="0"/>
    <cellStyle name="_TableHead_TBG Onatel Février  2009  Vtbg V3_Reporting Onatel Mai 2009 V 0" xfId="0"/>
    <cellStyle name="_TableHead_TBG Onatel Février  2009  Vtbg V3_Reporting Onatel Mai 2009 V 0_Budget 2011 v1 (4)" xfId="0"/>
    <cellStyle name="_TableHead_TBG Onatel Février  2009  Vtbg V3_Reporting Onatel Mai 2009 V 0_Budget Telmob 2011" xfId="0"/>
    <cellStyle name="_TableHead_TBG Onatel Février  2009  Vtbg V3_Reporting Onatel septembre  2009 préparé" xfId="0"/>
    <cellStyle name="_TableHead_TBG Onatel Février  2009  Vtbg V3_Reporting Onatel septembre  2009 préparé_Budget 2011 v1 (4)" xfId="0"/>
    <cellStyle name="_TableHeading" xfId="0"/>
    <cellStyle name="_TableHeading_Budget 2011 v1 (4)" xfId="0"/>
    <cellStyle name="_TableHeading_Budget Telmob 2011" xfId="0"/>
    <cellStyle name="_TableHeading_commentaires fixe  internet Déc 08" xfId="0"/>
    <cellStyle name="_TableHeading_commentaires fixe  internet Déc 08_Budget 2011 v1 (4)" xfId="0"/>
    <cellStyle name="_TableHeading_commentaires fixe  internet Déc 08_Budget Telmob 2011" xfId="0"/>
    <cellStyle name="_TableHeading_commentaires fixe  internet Déc 08_Commentaires TBG mars" xfId="0"/>
    <cellStyle name="_TableHeading_commentaires fixe  internet Déc 08_Commentaires TBG mars_Budget 2011 v1 (4)" xfId="0"/>
    <cellStyle name="_TableHeading_commentaires fixe  internet Déc 08_Commentaires TBG mars_Budget Telmob 2011" xfId="0"/>
    <cellStyle name="_TableHeading_commentaires fixe  internet Déc 08_Commentaires TBG mars_Copie de Flash du mois d' avril 2009 corrigé par NAIMI" xfId="0"/>
    <cellStyle name="_TableHeading_commentaires fixe  internet Déc 08_Commentaires TBG mars_Copie de Flash du mois d' avril 2009 corrigé par NAIMI_Budget 2011 v1 (4)" xfId="0"/>
    <cellStyle name="_TableHeading_commentaires fixe  internet Déc 08_Commentaires TBG mars_Copie de Flash du mois d' avril 2009 corrigé par NAIMI_Budget Telmob 2011" xfId="0"/>
    <cellStyle name="_TableHeading_commentaires fixe  internet Déc 08_Commentaires TBG mars_Copie de Flash du mois d' avril 2009 corrigé par NAIMI_Flash du mois de mai 2009" xfId="0"/>
    <cellStyle name="_TableHeading_commentaires fixe  internet Déc 08_Commentaires TBG mars_Copie de Flash du mois d' avril 2009 corrigé par NAIMI_Flash du mois de mai 2009_Budget 2011 v1 (4)" xfId="0"/>
    <cellStyle name="_TableHeading_commentaires fixe  internet Déc 08_Commentaires TBG mars_Copie de Flash du mois d' avril 2009 corrigé par NAIMI_Flash du mois de mai 2009_Budget Telmob 2011" xfId="0"/>
    <cellStyle name="_TableHeading_commentaires fixe  internet Déc 08_Commentaires TBG mars_Copie de Flash du mois d' avril 2009 corrigé par NAIMI_Reporting Onatel Mai 2009 V 0" xfId="0"/>
    <cellStyle name="_TableHeading_commentaires fixe  internet Déc 08_Commentaires TBG mars_Copie de Flash du mois d' avril 2009 corrigé par NAIMI_Reporting Onatel Mai 2009 V 0_Budget 2011 v1 (4)" xfId="0"/>
    <cellStyle name="_TableHeading_commentaires fixe  internet Déc 08_Commentaires TBG mars_Copie de Flash du mois d' avril 2009 corrigé par NAIMI_Reporting Onatel Mai 2009 V 0_Budget Telmob 2011" xfId="0"/>
    <cellStyle name="_TableHeading_commentaires fixe  internet Déc 08_Commentaires TBG mars_Copie de Flash du mois d' avril 2009 corrigé par NAIMI_Reporting Onatel Mai 2009 V 0_Reporting Onatel septembre  2009 préparé" xfId="0"/>
    <cellStyle name="_TableHeading_commentaires fixe  internet Déc 08_Commentaires TBG mars_Copie de Flash du mois d' avril 2009 corrigé par NAIMI_Reporting Onatel Mai 2009 V 0_Reporting Onatel septembre  2009 préparé_Budget 2011 v1 (4)" xfId="0"/>
    <cellStyle name="_TableHeading_commentaires fixe  internet Déc 08_Commentaires TBG mars_Copie de Flash du mois d' avril 2009 corrigé par NAIMI_Reporting Onatel septembre  2009 préparé" xfId="0"/>
    <cellStyle name="_TableHeading_commentaires fixe  internet Déc 08_Commentaires TBG mars_Copie de Flash du mois d' avril 2009 corrigé par NAIMI_Reporting Onatel septembre  2009 préparé_Budget 2011 v1 (4)" xfId="0"/>
    <cellStyle name="_TableHeading_commentaires fixe  internet Déc 08_Commentaires TBG mars_Flash du mois d' avril 2009" xfId="0"/>
    <cellStyle name="_TableHeading_commentaires fixe  internet Déc 08_Commentaires TBG mars_Flash du mois d' avril 2009_Budget 2011 v1 (4)" xfId="0"/>
    <cellStyle name="_TableHeading_commentaires fixe  internet Déc 08_Commentaires TBG mars_Flash du mois d' avril 2009_Budget Telmob 2011" xfId="0"/>
    <cellStyle name="_TableHeading_commentaires fixe  internet Déc 08_Commentaires TBG mars_Flash du mois d' avril 2009_Flash du mois de mai 2009" xfId="0"/>
    <cellStyle name="_TableHeading_commentaires fixe  internet Déc 08_Commentaires TBG mars_Flash du mois d' avril 2009_Flash du mois de mai 2009_Budget 2011 v1 (4)" xfId="0"/>
    <cellStyle name="_TableHeading_commentaires fixe  internet Déc 08_Commentaires TBG mars_Flash du mois d' avril 2009_Flash du mois de mai 2009_Budget Telmob 2011" xfId="0"/>
    <cellStyle name="_TableHeading_commentaires fixe  internet Déc 08_Commentaires TBG mars_Flash du mois d' avril 2009_Reporting Onatel Mai 2009 V 0" xfId="0"/>
    <cellStyle name="_TableHeading_commentaires fixe  internet Déc 08_Commentaires TBG mars_Flash du mois d' avril 2009_Reporting Onatel Mai 2009 V 0_Budget 2011 v1 (4)" xfId="0"/>
    <cellStyle name="_TableHeading_commentaires fixe  internet Déc 08_Commentaires TBG mars_Flash du mois d' avril 2009_Reporting Onatel Mai 2009 V 0_Budget Telmob 2011" xfId="0"/>
    <cellStyle name="_TableHeading_commentaires fixe  internet Déc 08_Commentaires TBG mars_Flash du mois d' avril 2009_Reporting Onatel septembre  2009 préparé" xfId="0"/>
    <cellStyle name="_TableHeading_commentaires fixe  internet Déc 08_Commentaires TBG mars_Flash du mois d' avril 2009_Reporting Onatel septembre  2009 préparé_Budget 2011 v1 (4)" xfId="0"/>
    <cellStyle name="_TableHeading_commentaires fixe  internet Déc 08_Commentaires TBG mars_Flash du mois de mai 2009" xfId="0"/>
    <cellStyle name="_TableHeading_commentaires fixe  internet Déc 08_Commentaires TBG mars_Flash du mois de mai 2009_Budget 2011 v1 (4)" xfId="0"/>
    <cellStyle name="_TableHeading_commentaires fixe  internet Déc 08_Commentaires TBG mars_Flash du mois de mai 2009_Budget Telmob 2011" xfId="0"/>
    <cellStyle name="_TableHeading_commentaires fixe  internet Déc 08_Commentaires TBG mars_Reporting Onatel Mai 2009 V 0" xfId="0"/>
    <cellStyle name="_TableHeading_commentaires fixe  internet Déc 08_Commentaires TBG mars_Reporting Onatel Mai 2009 V 0_Budget 2011 v1 (4)" xfId="0"/>
    <cellStyle name="_TableHeading_commentaires fixe  internet Déc 08_Commentaires TBG mars_Reporting Onatel Mai 2009 V 0_Budget Telmob 2011" xfId="0"/>
    <cellStyle name="_TableHeading_commentaires fixe  internet Déc 08_Commentaires TBG mars_Reporting Onatel septembre  2009 préparé" xfId="0"/>
    <cellStyle name="_TableHeading_commentaires fixe  internet Déc 08_Commentaires TBG mars_Reporting Onatel septembre  2009 préparé_Budget 2011 v1 (4)" xfId="0"/>
    <cellStyle name="_TableHeading_commentaires fixe  internet Déc 08_Copie de Flash du mois d' avril 2009 corrigé par NAIMI" xfId="0"/>
    <cellStyle name="_TableHeading_commentaires fixe  internet Déc 08_Copie de Flash du mois d' avril 2009 corrigé par NAIMI_Budget 2011 v1 (4)" xfId="0"/>
    <cellStyle name="_TableHeading_commentaires fixe  internet Déc 08_Copie de Flash du mois d' avril 2009 corrigé par NAIMI_Budget Telmob 2011" xfId="0"/>
    <cellStyle name="_TableHeading_commentaires fixe  internet Déc 08_Copie de Flash du mois d' avril 2009 corrigé par NAIMI_Flash du mois de mai 2009" xfId="0"/>
    <cellStyle name="_TableHeading_commentaires fixe  internet Déc 08_Copie de Flash du mois d' avril 2009 corrigé par NAIMI_Flash du mois de mai 2009_Budget 2011 v1 (4)" xfId="0"/>
    <cellStyle name="_TableHeading_commentaires fixe  internet Déc 08_Copie de Flash du mois d' avril 2009 corrigé par NAIMI_Flash du mois de mai 2009_Budget Telmob 2011" xfId="0"/>
    <cellStyle name="_TableHeading_commentaires fixe  internet Déc 08_Copie de Flash du mois d' avril 2009 corrigé par NAIMI_Reporting Onatel Mai 2009 V 0" xfId="0"/>
    <cellStyle name="_TableHeading_commentaires fixe  internet Déc 08_Copie de Flash du mois d' avril 2009 corrigé par NAIMI_Reporting Onatel Mai 2009 V 0_Budget 2011 v1 (4)" xfId="0"/>
    <cellStyle name="_TableHeading_commentaires fixe  internet Déc 08_Copie de Flash du mois d' avril 2009 corrigé par NAIMI_Reporting Onatel Mai 2009 V 0_Budget Telmob 2011" xfId="0"/>
    <cellStyle name="_TableHeading_commentaires fixe  internet Déc 08_Copie de Flash du mois d' avril 2009 corrigé par NAIMI_Reporting Onatel Mai 2009 V 0_Reporting Onatel septembre  2009 préparé" xfId="0"/>
    <cellStyle name="_TableHeading_commentaires fixe  internet Déc 08_Copie de Flash du mois d' avril 2009 corrigé par NAIMI_Reporting Onatel Mai 2009 V 0_Reporting Onatel septembre  2009 préparé_Budget 2011 v1 (4)" xfId="0"/>
    <cellStyle name="_TableHeading_commentaires fixe  internet Déc 08_Copie de Flash du mois d' avril 2009 corrigé par NAIMI_Reporting Onatel septembre  2009 préparé" xfId="0"/>
    <cellStyle name="_TableHeading_commentaires fixe  internet Déc 08_Copie de Flash du mois d' avril 2009 corrigé par NAIMI_Reporting Onatel septembre  2009 préparé_Budget 2011 v1 (4)" xfId="0"/>
    <cellStyle name="_TableHeading_commentaires fixe  internet Déc 08_Flash du mois d' avril 2009" xfId="0"/>
    <cellStyle name="_TableHeading_commentaires fixe  internet Déc 08_Flash du mois d' avril 2009_Budget 2011 v1 (4)" xfId="0"/>
    <cellStyle name="_TableHeading_commentaires fixe  internet Déc 08_Flash du mois d' avril 2009_Budget Telmob 2011" xfId="0"/>
    <cellStyle name="_TableHeading_commentaires fixe  internet Déc 08_Flash du mois d' avril 2009_Flash du mois de mai 2009" xfId="0"/>
    <cellStyle name="_TableHeading_commentaires fixe  internet Déc 08_Flash du mois d' avril 2009_Flash du mois de mai 2009_Budget 2011 v1 (4)" xfId="0"/>
    <cellStyle name="_TableHeading_commentaires fixe  internet Déc 08_Flash du mois d' avril 2009_Flash du mois de mai 2009_Budget Telmob 2011" xfId="0"/>
    <cellStyle name="_TableHeading_commentaires fixe  internet Déc 08_Flash du mois d' avril 2009_Reporting Onatel Mai 2009 V 0" xfId="0"/>
    <cellStyle name="_TableHeading_commentaires fixe  internet Déc 08_Flash du mois d' avril 2009_Reporting Onatel Mai 2009 V 0_Budget 2011 v1 (4)" xfId="0"/>
    <cellStyle name="_TableHeading_commentaires fixe  internet Déc 08_Flash du mois d' avril 2009_Reporting Onatel Mai 2009 V 0_Budget Telmob 2011" xfId="0"/>
    <cellStyle name="_TableHeading_commentaires fixe  internet Déc 08_Flash du mois d' avril 2009_Reporting Onatel septembre  2009 préparé" xfId="0"/>
    <cellStyle name="_TableHeading_commentaires fixe  internet Déc 08_Flash du mois d' avril 2009_Reporting Onatel septembre  2009 préparé_Budget 2011 v1 (4)" xfId="0"/>
    <cellStyle name="_TableHeading_commentaires fixe  internet Déc 08_Flash du mois de mai 2009" xfId="0"/>
    <cellStyle name="_TableHeading_commentaires fixe  internet Déc 08_Flash du mois de mai 2009_Budget 2011 v1 (4)" xfId="0"/>
    <cellStyle name="_TableHeading_commentaires fixe  internet Déc 08_Flash du mois de mai 2009_Budget Telmob 2011" xfId="0"/>
    <cellStyle name="_TableHeading_commentaires fixe  internet Déc 08_Reporting Onatel Avril 2009 V0" xfId="0"/>
    <cellStyle name="_TableHeading_commentaires fixe  internet Déc 08_Reporting Onatel Avril 2009 V0_Budget 2011 v1 (4)" xfId="0"/>
    <cellStyle name="_TableHeading_commentaires fixe  internet Déc 08_Reporting Onatel Avril 2009 V0_Budget Telmob 2011" xfId="0"/>
    <cellStyle name="_TableHeading_commentaires fixe  internet Déc 08_Reporting Onatel Avril 2009 V0_Copie de Flash du mois d' avril 2009 corrigé par NAIMI" xfId="0"/>
    <cellStyle name="_TableHeading_commentaires fixe  internet Déc 08_Reporting Onatel Avril 2009 V0_Copie de Flash du mois d' avril 2009 corrigé par NAIMI_Budget 2011 v1 (4)" xfId="0"/>
    <cellStyle name="_TableHeading_commentaires fixe  internet Déc 08_Reporting Onatel Avril 2009 V0_Copie de Flash du mois d' avril 2009 corrigé par NAIMI_Budget Telmob 2011" xfId="0"/>
    <cellStyle name="_TableHeading_commentaires fixe  internet Déc 08_Reporting Onatel Avril 2009 V0_Copie de Flash du mois d' avril 2009 corrigé par NAIMI_Flash du mois de mai 2009" xfId="0"/>
    <cellStyle name="_TableHeading_commentaires fixe  internet Déc 08_Reporting Onatel Avril 2009 V0_Copie de Flash du mois d' avril 2009 corrigé par NAIMI_Flash du mois de mai 2009_Budget 2011 v1 (4)" xfId="0"/>
    <cellStyle name="_TableHeading_commentaires fixe  internet Déc 08_Reporting Onatel Avril 2009 V0_Copie de Flash du mois d' avril 2009 corrigé par NAIMI_Flash du mois de mai 2009_Budget Telmob 2011" xfId="0"/>
    <cellStyle name="_TableHeading_commentaires fixe  internet Déc 08_Reporting Onatel Avril 2009 V0_Copie de Flash du mois d' avril 2009 corrigé par NAIMI_Reporting Onatel Mai 2009 V 0" xfId="0"/>
    <cellStyle name="_TableHeading_commentaires fixe  internet Déc 08_Reporting Onatel Avril 2009 V0_Copie de Flash du mois d' avril 2009 corrigé par NAIMI_Reporting Onatel Mai 2009 V 0_Budget 2011 v1 (4)" xfId="0"/>
    <cellStyle name="_TableHeading_commentaires fixe  internet Déc 08_Reporting Onatel Avril 2009 V0_Copie de Flash du mois d' avril 2009 corrigé par NAIMI_Reporting Onatel Mai 2009 V 0_Budget Telmob 2011" xfId="0"/>
    <cellStyle name="_TableHeading_commentaires fixe  internet Déc 08_Reporting Onatel Avril 2009 V0_Copie de Flash du mois d' avril 2009 corrigé par NAIMI_Reporting Onatel Mai 2009 V 0_Reporting Onatel septembre  2009 préparé" xfId="0"/>
    <cellStyle name="_TableHeading_commentaires fixe  internet Déc 08_Reporting Onatel Avril 2009 V0_Copie de Flash du mois d' avril 2009 corrigé par NAIMI_Reporting Onatel Mai 2009 V 0_Reporting Onatel septembre  2009 préparé_Budget 2011 v1 (4)" xfId="0"/>
    <cellStyle name="_TableHeading_commentaires fixe  internet Déc 08_Reporting Onatel Avril 2009 V0_Copie de Flash du mois d' avril 2009 corrigé par NAIMI_Reporting Onatel septembre  2009 préparé" xfId="0"/>
    <cellStyle name="_TableHeading_commentaires fixe  internet Déc 08_Reporting Onatel Avril 2009 V0_Copie de Flash du mois d' avril 2009 corrigé par NAIMI_Reporting Onatel septembre  2009 préparé_Budget 2011 v1 (4)" xfId="0"/>
    <cellStyle name="_TableHeading_commentaires fixe  internet Déc 08_Reporting Onatel Avril 2009 V0_Flash du mois de mai 2009" xfId="0"/>
    <cellStyle name="_TableHeading_commentaires fixe  internet Déc 08_Reporting Onatel Avril 2009 V0_Flash du mois de mai 2009_Budget 2011 v1 (4)" xfId="0"/>
    <cellStyle name="_TableHeading_commentaires fixe  internet Déc 08_Reporting Onatel Avril 2009 V0_Flash du mois de mai 2009_Budget Telmob 2011" xfId="0"/>
    <cellStyle name="_TableHeading_commentaires fixe  internet Déc 08_Reporting Onatel Avril 2009 V0_Reporting Onatel Mai 2009 V 0" xfId="0"/>
    <cellStyle name="_TableHeading_commentaires fixe  internet Déc 08_Reporting Onatel Avril 2009 V0_Reporting Onatel Mai 2009 V 0_Budget 2011 v1 (4)" xfId="0"/>
    <cellStyle name="_TableHeading_commentaires fixe  internet Déc 08_Reporting Onatel Avril 2009 V0_Reporting Onatel Mai 2009 V 0_Budget Telmob 2011" xfId="0"/>
    <cellStyle name="_TableHeading_commentaires fixe  internet Déc 08_Reporting Onatel Avril 2009 V0_Reporting Onatel septembre  2009 préparé" xfId="0"/>
    <cellStyle name="_TableHeading_commentaires fixe  internet Déc 08_Reporting Onatel Avril 2009 V0_Reporting Onatel septembre  2009 préparé_Budget 2011 v1 (4)" xfId="0"/>
    <cellStyle name="_TableHeading_commentaires fixe  internet Déc 08_Reporting Onatel Mai 2009 V 0" xfId="0"/>
    <cellStyle name="_TableHeading_commentaires fixe  internet Déc 08_Reporting Onatel Mai 2009 V 0 A ENVOYE" xfId="0"/>
    <cellStyle name="_TableHeading_commentaires fixe  internet Déc 08_Reporting Onatel Mai 2009 V 0 A ENVOYE_Budget 2011 v1 (4)" xfId="0"/>
    <cellStyle name="_TableHeading_commentaires fixe  internet Déc 08_Reporting Onatel Mai 2009 V 0 A ENVOYE_Budget Telmob 2011" xfId="0"/>
    <cellStyle name="_TableHeading_commentaires fixe  internet Déc 08_Reporting Onatel Mai 2009 V 0 A ENVOYE_Reporting Onatel septembre  2009 préparé" xfId="0"/>
    <cellStyle name="_TableHeading_commentaires fixe  internet Déc 08_Reporting Onatel Mai 2009 V 0 A ENVOYE_Reporting Onatel septembre  2009 préparé_Budget 2011 v1 (4)" xfId="0"/>
    <cellStyle name="_TableHeading_commentaires fixe  internet Déc 08_Reporting Onatel Mai 2009 V 0_Budget 2011 v1 (4)" xfId="0"/>
    <cellStyle name="_TableHeading_commentaires fixe  internet Déc 08_Reporting Onatel Mai 2009 V 0_Budget Telmob 2011" xfId="0"/>
    <cellStyle name="_TableHeading_commentaires fixe  internet Déc 08_Reporting Onatel septembre  2009 préparé" xfId="0"/>
    <cellStyle name="_TableHeading_commentaires fixe  internet Déc 08_Reporting Onatel septembre  2009 préparé_Budget 2011 v1 (4)" xfId="0"/>
    <cellStyle name="_TableHeading_commentaires fixe  internet Déc 08_TBG Onatel Février  2009  Vtbg V3" xfId="0"/>
    <cellStyle name="_TableHeading_commentaires fixe  internet Déc 08_TBG Onatel Février  2009  Vtbg V3_Budget 2011 v1 (4)" xfId="0"/>
    <cellStyle name="_TableHeading_commentaires fixe  internet Déc 08_TBG Onatel Février  2009  Vtbg V3_Budget Telmob 2011" xfId="0"/>
    <cellStyle name="_TableHeading_commentaires fixe  internet Déc 08_TBG Onatel Février  2009  Vtbg V3_Commentaires TBG mars" xfId="0"/>
    <cellStyle name="_TableHeading_commentaires fixe  internet Déc 08_TBG Onatel Février  2009  Vtbg V3_Commentaires TBG mars_Budget 2011 v1 (4)" xfId="0"/>
    <cellStyle name="_TableHeading_commentaires fixe  internet Déc 08_TBG Onatel Février  2009  Vtbg V3_Commentaires TBG mars_Budget Telmob 2011" xfId="0"/>
    <cellStyle name="_TableHeading_commentaires fixe  internet Déc 08_TBG Onatel Février  2009  Vtbg V3_Commentaires TBG mars_Copie de Flash du mois d' avril 2009 corrigé par NAIMI" xfId="0"/>
    <cellStyle name="_TableHeading_commentaires fixe  internet Déc 08_TBG Onatel Février  2009  Vtbg V3_Commentaires TBG mars_Copie de Flash du mois d' avril 2009 corrigé par NAIMI_Budget 2011 v1 (4)" xfId="0"/>
    <cellStyle name="_TableHeading_commentaires fixe  internet Déc 08_TBG Onatel Février  2009  Vtbg V3_Commentaires TBG mars_Copie de Flash du mois d' avril 2009 corrigé par NAIMI_Budget Telmob 2011" xfId="0"/>
    <cellStyle name="_TableHeading_commentaires fixe  internet Déc 08_TBG Onatel Février  2009  Vtbg V3_Commentaires TBG mars_Copie de Flash du mois d' avril 2009 corrigé par NAIMI_Flash du mois de mai 2009" xfId="0"/>
    <cellStyle name="_TableHeading_commentaires fixe  internet Déc 08_TBG Onatel Février  2009  Vtbg V3_Commentaires TBG mars_Copie de Flash du mois d' avril 2009 corrigé par NAIMI_Flash du mois de mai 2009_Budget 2011 v1 (4)" xfId="0"/>
    <cellStyle name="_TableHeading_commentaires fixe  internet Déc 08_TBG Onatel Février  2009  Vtbg V3_Commentaires TBG mars_Copie de Flash du mois d' avril 2009 corrigé par NAIMI_Flash du mois de mai 2009_Budget Telmob 2011" xfId="0"/>
    <cellStyle name="_TableHeading_commentaires fixe  internet Déc 08_TBG Onatel Février  2009  Vtbg V3_Commentaires TBG mars_Copie de Flash du mois d' avril 2009 corrigé par NAIMI_Reporting Onatel Mai 2009 V 0" xfId="0"/>
    <cellStyle name="_TableHeading_commentaires fixe  internet Déc 08_TBG Onatel Février  2009  Vtbg V3_Commentaires TBG mars_Copie de Flash du mois d' avril 2009 corrigé par NAIMI_Reporting Onatel Mai 2009 V 0_Budget 2011 v1 (4)" xfId="0"/>
    <cellStyle name="_TableHeading_commentaires fixe  internet Déc 08_TBG Onatel Février  2009  Vtbg V3_Commentaires TBG mars_Copie de Flash du mois d' avril 2009 corrigé par NAIMI_Reporting Onatel Mai 2009 V 0_Budget Telmob 2011" xfId="0"/>
    <cellStyle name="_TableHeading_commentaires fixe  internet Déc 08_TBG Onatel Février  2009  Vtbg V3_Commentaires TBG mars_Copie de Flash du mois d' avril 2009 corrigé par NAIMI_Reporting Onatel Mai 2009 V 0_Reporting Onatel septembre  2009 préparé" xfId="0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0"/>
    <cellStyle name="_TableHeading_commentaires fixe  internet Déc 08_TBG Onatel Février  2009  Vtbg V3_Commentaires TBG mars_Copie de Flash du mois d' avril 2009 corrigé par NAIMI_Reporting Onatel septembre  2009 préparé" xfId="0"/>
    <cellStyle name="_TableHeading_commentaires fixe  internet Déc 08_TBG Onatel Février  2009  Vtbg V3_Commentaires TBG mars_Copie de Flash du mois d' avril 2009 corrigé par NAIMI_Reporting Onatel septembre  2009 préparé_Budget 2011 v1 (4)" xfId="0"/>
    <cellStyle name="_TableHeading_commentaires fixe  internet Déc 08_TBG Onatel Février  2009  Vtbg V3_Commentaires TBG mars_Flash du mois d' avril 2009" xfId="0"/>
    <cellStyle name="_TableHeading_commentaires fixe  internet Déc 08_TBG Onatel Février  2009  Vtbg V3_Commentaires TBG mars_Flash du mois d' avril 2009_Budget 2011 v1 (4)" xfId="0"/>
    <cellStyle name="_TableHeading_commentaires fixe  internet Déc 08_TBG Onatel Février  2009  Vtbg V3_Commentaires TBG mars_Flash du mois d' avril 2009_Budget Telmob 2011" xfId="0"/>
    <cellStyle name="_TableHeading_commentaires fixe  internet Déc 08_TBG Onatel Février  2009  Vtbg V3_Commentaires TBG mars_Flash du mois d' avril 2009_Flash du mois de mai 2009" xfId="0"/>
    <cellStyle name="_TableHeading_commentaires fixe  internet Déc 08_TBG Onatel Février  2009  Vtbg V3_Commentaires TBG mars_Flash du mois d' avril 2009_Flash du mois de mai 2009_Budget 2011 v1 (4)" xfId="0"/>
    <cellStyle name="_TableHeading_commentaires fixe  internet Déc 08_TBG Onatel Février  2009  Vtbg V3_Commentaires TBG mars_Flash du mois d' avril 2009_Flash du mois de mai 2009_Budget Telmob 2011" xfId="0"/>
    <cellStyle name="_TableHeading_commentaires fixe  internet Déc 08_TBG Onatel Février  2009  Vtbg V3_Commentaires TBG mars_Flash du mois d' avril 2009_Reporting Onatel Mai 2009 V 0" xfId="0"/>
    <cellStyle name="_TableHeading_commentaires fixe  internet Déc 08_TBG Onatel Février  2009  Vtbg V3_Commentaires TBG mars_Flash du mois d' avril 2009_Reporting Onatel Mai 2009 V 0_Budget 2011 v1 (4)" xfId="0"/>
    <cellStyle name="_TableHeading_commentaires fixe  internet Déc 08_TBG Onatel Février  2009  Vtbg V3_Commentaires TBG mars_Flash du mois d' avril 2009_Reporting Onatel Mai 2009 V 0_Budget Telmob 2011" xfId="0"/>
    <cellStyle name="_TableHeading_commentaires fixe  internet Déc 08_TBG Onatel Février  2009  Vtbg V3_Commentaires TBG mars_Flash du mois d' avril 2009_Reporting Onatel septembre  2009 préparé" xfId="0"/>
    <cellStyle name="_TableHeading_commentaires fixe  internet Déc 08_TBG Onatel Février  2009  Vtbg V3_Commentaires TBG mars_Flash du mois d' avril 2009_Reporting Onatel septembre  2009 préparé_Budget 2011 v1 (4)" xfId="0"/>
    <cellStyle name="_TableHeading_commentaires fixe  internet Déc 08_TBG Onatel Février  2009  Vtbg V3_Commentaires TBG mars_Flash du mois de mai 2009" xfId="0"/>
    <cellStyle name="_TableHeading_commentaires fixe  internet Déc 08_TBG Onatel Février  2009  Vtbg V3_Commentaires TBG mars_Flash du mois de mai 2009_Budget 2011 v1 (4)" xfId="0"/>
    <cellStyle name="_TableHeading_commentaires fixe  internet Déc 08_TBG Onatel Février  2009  Vtbg V3_Commentaires TBG mars_Flash du mois de mai 2009_Budget Telmob 2011" xfId="0"/>
    <cellStyle name="_TableHeading_commentaires fixe  internet Déc 08_TBG Onatel Février  2009  Vtbg V3_Commentaires TBG mars_Reporting Onatel Mai 2009 V 0" xfId="0"/>
    <cellStyle name="_TableHeading_commentaires fixe  internet Déc 08_TBG Onatel Février  2009  Vtbg V3_Commentaires TBG mars_Reporting Onatel Mai 2009 V 0_Budget 2011 v1 (4)" xfId="0"/>
    <cellStyle name="_TableHeading_commentaires fixe  internet Déc 08_TBG Onatel Février  2009  Vtbg V3_Commentaires TBG mars_Reporting Onatel Mai 2009 V 0_Budget Telmob 2011" xfId="0"/>
    <cellStyle name="_TableHeading_commentaires fixe  internet Déc 08_TBG Onatel Février  2009  Vtbg V3_Commentaires TBG mars_Reporting Onatel septembre  2009 préparé" xfId="0"/>
    <cellStyle name="_TableHeading_commentaires fixe  internet Déc 08_TBG Onatel Février  2009  Vtbg V3_Commentaires TBG mars_Reporting Onatel septembre  2009 préparé_Budget 2011 v1 (4)" xfId="0"/>
    <cellStyle name="_TableHeading_commentaires fixe  internet Déc 08_TBG Onatel Février  2009  Vtbg V3_Copie de Flash du mois d' avril 2009 corrigé par NAIMI" xfId="0"/>
    <cellStyle name="_TableHeading_commentaires fixe  internet Déc 08_TBG Onatel Février  2009  Vtbg V3_Copie de Flash du mois d' avril 2009 corrigé par NAIMI_Budget 2011 v1 (4)" xfId="0"/>
    <cellStyle name="_TableHeading_commentaires fixe  internet Déc 08_TBG Onatel Février  2009  Vtbg V3_Copie de Flash du mois d' avril 2009 corrigé par NAIMI_Budget Telmob 2011" xfId="0"/>
    <cellStyle name="_TableHeading_commentaires fixe  internet Déc 08_TBG Onatel Février  2009  Vtbg V3_Copie de Flash du mois d' avril 2009 corrigé par NAIMI_Flash du mois de mai 2009" xfId="0"/>
    <cellStyle name="_TableHeading_commentaires fixe  internet Déc 08_TBG Onatel Février  2009  Vtbg V3_Copie de Flash du mois d' avril 2009 corrigé par NAIMI_Flash du mois de mai 2009_Budget 2011 v1 (4)" xfId="0"/>
    <cellStyle name="_TableHeading_commentaires fixe  internet Déc 08_TBG Onatel Février  2009  Vtbg V3_Copie de Flash du mois d' avril 2009 corrigé par NAIMI_Flash du mois de mai 2009_Budget Telmob 2011" xfId="0"/>
    <cellStyle name="_TableHeading_commentaires fixe  internet Déc 08_TBG Onatel Février  2009  Vtbg V3_Copie de Flash du mois d' avril 2009 corrigé par NAIMI_Reporting Onatel Mai 2009 V 0" xfId="0"/>
    <cellStyle name="_TableHeading_commentaires fixe  internet Déc 08_TBG Onatel Février  2009  Vtbg V3_Copie de Flash du mois d' avril 2009 corrigé par NAIMI_Reporting Onatel Mai 2009 V 0_Budget 2011 v1 (4)" xfId="0"/>
    <cellStyle name="_TableHeading_commentaires fixe  internet Déc 08_TBG Onatel Février  2009  Vtbg V3_Copie de Flash du mois d' avril 2009 corrigé par NAIMI_Reporting Onatel Mai 2009 V 0_Budget Telmob 2011" xfId="0"/>
    <cellStyle name="_TableHeading_commentaires fixe  internet Déc 08_TBG Onatel Février  2009  Vtbg V3_Copie de Flash du mois d' avril 2009 corrigé par NAIMI_Reporting Onatel Mai 2009 V 0_Reporting Onatel septembre  2009 préparé" xfId="0"/>
    <cellStyle name="_TableHeading_commentaires fixe  internet Déc 08_TBG Onatel Février  2009  Vtbg V3_Copie de Flash du mois d' avril 2009 corrigé par NAIMI_Reporting Onatel Mai 2009 V 0_Reporting Onatel septembre  2009 préparé_Budget 2011 v1 (4)" xfId="0"/>
    <cellStyle name="_TableHeading_commentaires fixe  internet Déc 08_TBG Onatel Février  2009  Vtbg V3_Copie de Flash du mois d' avril 2009 corrigé par NAIMI_Reporting Onatel septembre  2009 préparé" xfId="0"/>
    <cellStyle name="_TableHeading_commentaires fixe  internet Déc 08_TBG Onatel Février  2009  Vtbg V3_Copie de Flash du mois d' avril 2009 corrigé par NAIMI_Reporting Onatel septembre  2009 préparé_Budget 2011 v1 (4)" xfId="0"/>
    <cellStyle name="_TableHeading_commentaires fixe  internet Déc 08_TBG Onatel Février  2009  Vtbg V3_Flash du mois d' avril 2009" xfId="0"/>
    <cellStyle name="_TableHeading_commentaires fixe  internet Déc 08_TBG Onatel Février  2009  Vtbg V3_Flash du mois d' avril 2009_Budget 2011 v1 (4)" xfId="0"/>
    <cellStyle name="_TableHeading_commentaires fixe  internet Déc 08_TBG Onatel Février  2009  Vtbg V3_Flash du mois d' avril 2009_Budget Telmob 2011" xfId="0"/>
    <cellStyle name="_TableHeading_commentaires fixe  internet Déc 08_TBG Onatel Février  2009  Vtbg V3_Flash du mois d' avril 2009_Flash du mois de mai 2009" xfId="0"/>
    <cellStyle name="_TableHeading_commentaires fixe  internet Déc 08_TBG Onatel Février  2009  Vtbg V3_Flash du mois d' avril 2009_Flash du mois de mai 2009_Budget 2011 v1 (4)" xfId="0"/>
    <cellStyle name="_TableHeading_commentaires fixe  internet Déc 08_TBG Onatel Février  2009  Vtbg V3_Flash du mois d' avril 2009_Flash du mois de mai 2009_Budget Telmob 2011" xfId="0"/>
    <cellStyle name="_TableHeading_commentaires fixe  internet Déc 08_TBG Onatel Février  2009  Vtbg V3_Flash du mois d' avril 2009_Reporting Onatel Mai 2009 V 0" xfId="0"/>
    <cellStyle name="_TableHeading_commentaires fixe  internet Déc 08_TBG Onatel Février  2009  Vtbg V3_Flash du mois d' avril 2009_Reporting Onatel Mai 2009 V 0_Budget 2011 v1 (4)" xfId="0"/>
    <cellStyle name="_TableHeading_commentaires fixe  internet Déc 08_TBG Onatel Février  2009  Vtbg V3_Flash du mois d' avril 2009_Reporting Onatel Mai 2009 V 0_Budget Telmob 2011" xfId="0"/>
    <cellStyle name="_TableHeading_commentaires fixe  internet Déc 08_TBG Onatel Février  2009  Vtbg V3_Flash du mois d' avril 2009_Reporting Onatel septembre  2009 préparé" xfId="0"/>
    <cellStyle name="_TableHeading_commentaires fixe  internet Déc 08_TBG Onatel Février  2009  Vtbg V3_Flash du mois d' avril 2009_Reporting Onatel septembre  2009 préparé_Budget 2011 v1 (4)" xfId="0"/>
    <cellStyle name="_TableHeading_commentaires fixe  internet Déc 08_TBG Onatel Février  2009  Vtbg V3_Flash du mois de mai 2009" xfId="0"/>
    <cellStyle name="_TableHeading_commentaires fixe  internet Déc 08_TBG Onatel Février  2009  Vtbg V3_Flash du mois de mai 2009_Budget 2011 v1 (4)" xfId="0"/>
    <cellStyle name="_TableHeading_commentaires fixe  internet Déc 08_TBG Onatel Février  2009  Vtbg V3_Flash du mois de mai 2009_Budget Telmob 2011" xfId="0"/>
    <cellStyle name="_TableHeading_commentaires fixe  internet Déc 08_TBG Onatel Février  2009  Vtbg V3_Reporting Onatel Mai 2009 V 0" xfId="0"/>
    <cellStyle name="_TableHeading_commentaires fixe  internet Déc 08_TBG Onatel Février  2009  Vtbg V3_Reporting Onatel Mai 2009 V 0_Budget 2011 v1 (4)" xfId="0"/>
    <cellStyle name="_TableHeading_commentaires fixe  internet Déc 08_TBG Onatel Février  2009  Vtbg V3_Reporting Onatel Mai 2009 V 0_Budget Telmob 2011" xfId="0"/>
    <cellStyle name="_TableHeading_commentaires fixe  internet Déc 08_TBG Onatel Février  2009  Vtbg V3_Reporting Onatel septembre  2009 préparé" xfId="0"/>
    <cellStyle name="_TableHeading_commentaires fixe  internet Déc 08_TBG Onatel Février  2009  Vtbg V3_Reporting Onatel septembre  2009 préparé_Budget 2011 v1 (4)" xfId="0"/>
    <cellStyle name="_TableHeading_Commentaires TBG mars" xfId="0"/>
    <cellStyle name="_TableHeading_Commentaires TBG mars_Budget 2011 v1 (4)" xfId="0"/>
    <cellStyle name="_TableHeading_Commentaires TBG mars_Budget Telmob 2011" xfId="0"/>
    <cellStyle name="_TableHeading_Commentaires TBG mars_Copie de Flash du mois d' avril 2009 corrigé par NAIMI" xfId="0"/>
    <cellStyle name="_TableHeading_Commentaires TBG mars_Copie de Flash du mois d' avril 2009 corrigé par NAIMI_Budget 2011 v1 (4)" xfId="0"/>
    <cellStyle name="_TableHeading_Commentaires TBG mars_Copie de Flash du mois d' avril 2009 corrigé par NAIMI_Budget Telmob 2011" xfId="0"/>
    <cellStyle name="_TableHeading_Commentaires TBG mars_Copie de Flash du mois d' avril 2009 corrigé par NAIMI_Flash du mois de mai 2009" xfId="0"/>
    <cellStyle name="_TableHeading_Commentaires TBG mars_Copie de Flash du mois d' avril 2009 corrigé par NAIMI_Flash du mois de mai 2009_Budget 2011 v1 (4)" xfId="0"/>
    <cellStyle name="_TableHeading_Commentaires TBG mars_Copie de Flash du mois d' avril 2009 corrigé par NAIMI_Flash du mois de mai 2009_Budget Telmob 2011" xfId="0"/>
    <cellStyle name="_TableHeading_Commentaires TBG mars_Copie de Flash du mois d' avril 2009 corrigé par NAIMI_Reporting Onatel Mai 2009 V 0" xfId="0"/>
    <cellStyle name="_TableHeading_Commentaires TBG mars_Copie de Flash du mois d' avril 2009 corrigé par NAIMI_Reporting Onatel Mai 2009 V 0_Budget 2011 v1 (4)" xfId="0"/>
    <cellStyle name="_TableHeading_Commentaires TBG mars_Copie de Flash du mois d' avril 2009 corrigé par NAIMI_Reporting Onatel Mai 2009 V 0_Budget Telmob 2011" xfId="0"/>
    <cellStyle name="_TableHeading_Commentaires TBG mars_Copie de Flash du mois d' avril 2009 corrigé par NAIMI_Reporting Onatel Mai 2009 V 0_Reporting Onatel septembre  2009 préparé" xfId="0"/>
    <cellStyle name="_TableHeading_Commentaires TBG mars_Copie de Flash du mois d' avril 2009 corrigé par NAIMI_Reporting Onatel Mai 2009 V 0_Reporting Onatel septembre  2009 préparé_Budget 2011 v1 (4)" xfId="0"/>
    <cellStyle name="_TableHeading_Commentaires TBG mars_Copie de Flash du mois d' avril 2009 corrigé par NAIMI_Reporting Onatel septembre  2009 préparé" xfId="0"/>
    <cellStyle name="_TableHeading_Commentaires TBG mars_Copie de Flash du mois d' avril 2009 corrigé par NAIMI_Reporting Onatel septembre  2009 préparé_Budget 2011 v1 (4)" xfId="0"/>
    <cellStyle name="_TableHeading_Commentaires TBG mars_Flash du mois d' avril 2009" xfId="0"/>
    <cellStyle name="_TableHeading_Commentaires TBG mars_Flash du mois d' avril 2009_Budget 2011 v1 (4)" xfId="0"/>
    <cellStyle name="_TableHeading_Commentaires TBG mars_Flash du mois d' avril 2009_Budget Telmob 2011" xfId="0"/>
    <cellStyle name="_TableHeading_Commentaires TBG mars_Flash du mois d' avril 2009_Flash du mois de mai 2009" xfId="0"/>
    <cellStyle name="_TableHeading_Commentaires TBG mars_Flash du mois d' avril 2009_Flash du mois de mai 2009_Budget 2011 v1 (4)" xfId="0"/>
    <cellStyle name="_TableHeading_Commentaires TBG mars_Flash du mois d' avril 2009_Flash du mois de mai 2009_Budget Telmob 2011" xfId="0"/>
    <cellStyle name="_TableHeading_Commentaires TBG mars_Flash du mois d' avril 2009_Reporting Onatel Mai 2009 V 0" xfId="0"/>
    <cellStyle name="_TableHeading_Commentaires TBG mars_Flash du mois d' avril 2009_Reporting Onatel Mai 2009 V 0_Budget 2011 v1 (4)" xfId="0"/>
    <cellStyle name="_TableHeading_Commentaires TBG mars_Flash du mois d' avril 2009_Reporting Onatel Mai 2009 V 0_Budget Telmob 2011" xfId="0"/>
    <cellStyle name="_TableHeading_Commentaires TBG mars_Flash du mois d' avril 2009_Reporting Onatel septembre  2009 préparé" xfId="0"/>
    <cellStyle name="_TableHeading_Commentaires TBG mars_Flash du mois d' avril 2009_Reporting Onatel septembre  2009 préparé_Budget 2011 v1 (4)" xfId="0"/>
    <cellStyle name="_TableHeading_Commentaires TBG mars_Flash du mois de mai 2009" xfId="0"/>
    <cellStyle name="_TableHeading_Commentaires TBG mars_Flash du mois de mai 2009_Budget 2011 v1 (4)" xfId="0"/>
    <cellStyle name="_TableHeading_Commentaires TBG mars_Flash du mois de mai 2009_Budget Telmob 2011" xfId="0"/>
    <cellStyle name="_TableHeading_Commentaires TBG mars_Reporting Onatel Mai 2009 V 0" xfId="0"/>
    <cellStyle name="_TableHeading_Commentaires TBG mars_Reporting Onatel Mai 2009 V 0_Budget 2011 v1 (4)" xfId="0"/>
    <cellStyle name="_TableHeading_Commentaires TBG mars_Reporting Onatel Mai 2009 V 0_Budget Telmob 2011" xfId="0"/>
    <cellStyle name="_TableHeading_Commentaires TBG mars_Reporting Onatel septembre  2009 préparé" xfId="0"/>
    <cellStyle name="_TableHeading_Commentaires TBG mars_Reporting Onatel septembre  2009 préparé_Budget 2011 v1 (4)" xfId="0"/>
    <cellStyle name="_TableHeading_Copie de Flash du mois d' avril 2009 corrigé par NAIMI" xfId="0"/>
    <cellStyle name="_TableHeading_Copie de Flash du mois d' avril 2009 corrigé par NAIMI_Budget 2011 v1 (4)" xfId="0"/>
    <cellStyle name="_TableHeading_Copie de Flash du mois d' avril 2009 corrigé par NAIMI_Budget Telmob 2011" xfId="0"/>
    <cellStyle name="_TableHeading_Copie de Flash du mois d' avril 2009 corrigé par NAIMI_Flash du mois de mai 2009" xfId="0"/>
    <cellStyle name="_TableHeading_Copie de Flash du mois d' avril 2009 corrigé par NAIMI_Flash du mois de mai 2009_Budget 2011 v1 (4)" xfId="0"/>
    <cellStyle name="_TableHeading_Copie de Flash du mois d' avril 2009 corrigé par NAIMI_Flash du mois de mai 2009_Budget Telmob 2011" xfId="0"/>
    <cellStyle name="_TableHeading_Copie de Flash du mois d' avril 2009 corrigé par NAIMI_Reporting Onatel Mai 2009 V 0" xfId="0"/>
    <cellStyle name="_TableHeading_Copie de Flash du mois d' avril 2009 corrigé par NAIMI_Reporting Onatel Mai 2009 V 0_Budget 2011 v1 (4)" xfId="0"/>
    <cellStyle name="_TableHeading_Copie de Flash du mois d' avril 2009 corrigé par NAIMI_Reporting Onatel Mai 2009 V 0_Budget Telmob 2011" xfId="0"/>
    <cellStyle name="_TableHeading_Copie de Flash du mois d' avril 2009 corrigé par NAIMI_Reporting Onatel Mai 2009 V 0_Reporting Onatel septembre  2009 préparé" xfId="0"/>
    <cellStyle name="_TableHeading_Copie de Flash du mois d' avril 2009 corrigé par NAIMI_Reporting Onatel Mai 2009 V 0_Reporting Onatel septembre  2009 préparé_Budget 2011 v1 (4)" xfId="0"/>
    <cellStyle name="_TableHeading_Copie de Flash du mois d' avril 2009 corrigé par NAIMI_Reporting Onatel septembre  2009 préparé" xfId="0"/>
    <cellStyle name="_TableHeading_Copie de Flash du mois d' avril 2009 corrigé par NAIMI_Reporting Onatel septembre  2009 préparé_Budget 2011 v1 (4)" xfId="0"/>
    <cellStyle name="_TableHeading_Flash du mois d' avril 2009" xfId="0"/>
    <cellStyle name="_TableHeading_Flash du mois d' avril 2009_Budget 2011 v1 (4)" xfId="0"/>
    <cellStyle name="_TableHeading_Flash du mois d' avril 2009_Budget Telmob 2011" xfId="0"/>
    <cellStyle name="_TableHeading_Flash du mois d' avril 2009_Flash du mois de mai 2009" xfId="0"/>
    <cellStyle name="_TableHeading_Flash du mois d' avril 2009_Flash du mois de mai 2009_Budget 2011 v1 (4)" xfId="0"/>
    <cellStyle name="_TableHeading_Flash du mois d' avril 2009_Flash du mois de mai 2009_Budget Telmob 2011" xfId="0"/>
    <cellStyle name="_TableHeading_Flash du mois d' avril 2009_Reporting Onatel Mai 2009 V 0" xfId="0"/>
    <cellStyle name="_TableHeading_Flash du mois d' avril 2009_Reporting Onatel Mai 2009 V 0_Budget 2011 v1 (4)" xfId="0"/>
    <cellStyle name="_TableHeading_Flash du mois d' avril 2009_Reporting Onatel Mai 2009 V 0_Budget Telmob 2011" xfId="0"/>
    <cellStyle name="_TableHeading_Flash du mois d' avril 2009_Reporting Onatel septembre  2009 préparé" xfId="0"/>
    <cellStyle name="_TableHeading_Flash du mois d' avril 2009_Reporting Onatel septembre  2009 préparé_Budget 2011 v1 (4)" xfId="0"/>
    <cellStyle name="_TableHeading_Flash du mois de mai 2009" xfId="0"/>
    <cellStyle name="_TableHeading_Flash du mois de mai 2009_Budget 2011 v1 (4)" xfId="0"/>
    <cellStyle name="_TableHeading_Flash du mois de mai 2009_Budget Telmob 2011" xfId="0"/>
    <cellStyle name="_TableHeading_P &amp; L Conso" xfId="0"/>
    <cellStyle name="_TableHeading_P &amp; L Conso_Budget 2011 v1 (4)" xfId="0"/>
    <cellStyle name="_TableHeading_P &amp; L Conso_Budget Telmob 2011" xfId="0"/>
    <cellStyle name="_TableHeading_P &amp; L Conso_COMMENTAIRES JUILLET 2009" xfId="0"/>
    <cellStyle name="_TableHeading_P &amp; L Conso_COMMENTAIRES JUILLET 2009_Budget 2011 v1 (4)" xfId="0"/>
    <cellStyle name="_TableHeading_P &amp; L Conso_COMMENTAIRES JUILLET 2009_Budget Telmob 2011" xfId="0"/>
    <cellStyle name="_TableHeading_P&amp;L S1 2008" xfId="0"/>
    <cellStyle name="_TableHeading_P&amp;L S1 2008_Budget 2011 v1 (4)" xfId="0"/>
    <cellStyle name="_TableHeading_P&amp;L S1 2008_Budget Telmob 2011" xfId="0"/>
    <cellStyle name="_TableHeading_Reporting Onatel Avril 2009 V0" xfId="0"/>
    <cellStyle name="_TableHeading_Reporting Onatel Avril 2009 V0_Budget 2011 v1 (4)" xfId="0"/>
    <cellStyle name="_TableHeading_Reporting Onatel Avril 2009 V0_Budget Telmob 2011" xfId="0"/>
    <cellStyle name="_TableHeading_Reporting Onatel Avril 2009 V0_Copie de Flash du mois d' avril 2009 corrigé par NAIMI" xfId="0"/>
    <cellStyle name="_TableHeading_Reporting Onatel Avril 2009 V0_Copie de Flash du mois d' avril 2009 corrigé par NAIMI_Budget 2011 v1 (4)" xfId="0"/>
    <cellStyle name="_TableHeading_Reporting Onatel Avril 2009 V0_Copie de Flash du mois d' avril 2009 corrigé par NAIMI_Budget Telmob 2011" xfId="0"/>
    <cellStyle name="_TableHeading_Reporting Onatel Avril 2009 V0_Copie de Flash du mois d' avril 2009 corrigé par NAIMI_Flash du mois de mai 2009" xfId="0"/>
    <cellStyle name="_TableHeading_Reporting Onatel Avril 2009 V0_Copie de Flash du mois d' avril 2009 corrigé par NAIMI_Flash du mois de mai 2009_Budget 2011 v1 (4)" xfId="0"/>
    <cellStyle name="_TableHeading_Reporting Onatel Avril 2009 V0_Copie de Flash du mois d' avril 2009 corrigé par NAIMI_Flash du mois de mai 2009_Budget Telmob 2011" xfId="0"/>
    <cellStyle name="_TableHeading_Reporting Onatel Avril 2009 V0_Copie de Flash du mois d' avril 2009 corrigé par NAIMI_Reporting Onatel Mai 2009 V 0" xfId="0"/>
    <cellStyle name="_TableHeading_Reporting Onatel Avril 2009 V0_Copie de Flash du mois d' avril 2009 corrigé par NAIMI_Reporting Onatel Mai 2009 V 0_Budget 2011 v1 (4)" xfId="0"/>
    <cellStyle name="_TableHeading_Reporting Onatel Avril 2009 V0_Copie de Flash du mois d' avril 2009 corrigé par NAIMI_Reporting Onatel Mai 2009 V 0_Budget Telmob 2011" xfId="0"/>
    <cellStyle name="_TableHeading_Reporting Onatel Avril 2009 V0_Copie de Flash du mois d' avril 2009 corrigé par NAIMI_Reporting Onatel Mai 2009 V 0_Reporting Onatel septembre  2009 préparé" xfId="0"/>
    <cellStyle name="_TableHeading_Reporting Onatel Avril 2009 V0_Copie de Flash du mois d' avril 2009 corrigé par NAIMI_Reporting Onatel Mai 2009 V 0_Reporting Onatel septembre  2009 préparé_Budget 2011 v1 (4)" xfId="0"/>
    <cellStyle name="_TableHeading_Reporting Onatel Avril 2009 V0_Copie de Flash du mois d' avril 2009 corrigé par NAIMI_Reporting Onatel septembre  2009 préparé" xfId="0"/>
    <cellStyle name="_TableHeading_Reporting Onatel Avril 2009 V0_Copie de Flash du mois d' avril 2009 corrigé par NAIMI_Reporting Onatel septembre  2009 préparé_Budget 2011 v1 (4)" xfId="0"/>
    <cellStyle name="_TableHeading_Reporting Onatel Avril 2009 V0_Flash du mois de mai 2009" xfId="0"/>
    <cellStyle name="_TableHeading_Reporting Onatel Avril 2009 V0_Flash du mois de mai 2009_Budget 2011 v1 (4)" xfId="0"/>
    <cellStyle name="_TableHeading_Reporting Onatel Avril 2009 V0_Flash du mois de mai 2009_Budget Telmob 2011" xfId="0"/>
    <cellStyle name="_TableHeading_Reporting Onatel Avril 2009 V0_Reporting Onatel Mai 2009 V 0" xfId="0"/>
    <cellStyle name="_TableHeading_Reporting Onatel Avril 2009 V0_Reporting Onatel Mai 2009 V 0_Budget 2011 v1 (4)" xfId="0"/>
    <cellStyle name="_TableHeading_Reporting Onatel Avril 2009 V0_Reporting Onatel Mai 2009 V 0_Budget Telmob 2011" xfId="0"/>
    <cellStyle name="_TableHeading_Reporting Onatel Avril 2009 V0_Reporting Onatel septembre  2009 préparé" xfId="0"/>
    <cellStyle name="_TableHeading_Reporting Onatel Avril 2009 V0_Reporting Onatel septembre  2009 préparé_Budget 2011 v1 (4)" xfId="0"/>
    <cellStyle name="_TableHeading_Reporting Onatel Mai 2009 V 0" xfId="0"/>
    <cellStyle name="_TableHeading_Reporting Onatel Mai 2009 V 0 A ENVOYE" xfId="0"/>
    <cellStyle name="_TableHeading_Reporting Onatel Mai 2009 V 0 A ENVOYE_Budget 2011 v1 (4)" xfId="0"/>
    <cellStyle name="_TableHeading_Reporting Onatel Mai 2009 V 0 A ENVOYE_Budget Telmob 2011" xfId="0"/>
    <cellStyle name="_TableHeading_Reporting Onatel Mai 2009 V 0 A ENVOYE_Reporting Onatel septembre  2009 préparé" xfId="0"/>
    <cellStyle name="_TableHeading_Reporting Onatel Mai 2009 V 0 A ENVOYE_Reporting Onatel septembre  2009 préparé_Budget 2011 v1 (4)" xfId="0"/>
    <cellStyle name="_TableHeading_Reporting Onatel Mai 2009 V 0_Budget 2011 v1 (4)" xfId="0"/>
    <cellStyle name="_TableHeading_Reporting Onatel Mai 2009 V 0_Budget Telmob 2011" xfId="0"/>
    <cellStyle name="_TableHeading_Reporting Onatel septembre  2009 préparé" xfId="0"/>
    <cellStyle name="_TableHeading_Reporting Onatel septembre  2009 préparé_Budget 2011 v1 (4)" xfId="0"/>
    <cellStyle name="_TableHeading_Rev Fixe-Internet" xfId="0"/>
    <cellStyle name="_TableHeading_Rev Fixe-Internet_Budget 2011 v1 (4)" xfId="0"/>
    <cellStyle name="_TableHeading_Rev Fixe-Internet_Budget Telmob 2011" xfId="0"/>
    <cellStyle name="_TableHeading_Rev Fixe-Internet_COMMENTAIRES JUILLET 2009" xfId="0"/>
    <cellStyle name="_TableHeading_Rev Fixe-Internet_COMMENTAIRES JUILLET 2009_Budget 2011 v1 (4)" xfId="0"/>
    <cellStyle name="_TableHeading_Rev Fixe-Internet_COMMENTAIRES JUILLET 2009_Budget Telmob 2011" xfId="0"/>
    <cellStyle name="_TableHeading_TBG Onatel Février  2009  Vtbg V3" xfId="0"/>
    <cellStyle name="_TableHeading_TBG Onatel Février  2009  Vtbg V3_Budget 2011 v1 (4)" xfId="0"/>
    <cellStyle name="_TableHeading_TBG Onatel Février  2009  Vtbg V3_Budget Telmob 2011" xfId="0"/>
    <cellStyle name="_TableHeading_TBG Onatel Février  2009  Vtbg V3_Commentaires TBG mars" xfId="0"/>
    <cellStyle name="_TableHeading_TBG Onatel Février  2009  Vtbg V3_Commentaires TBG mars_Budget 2011 v1 (4)" xfId="0"/>
    <cellStyle name="_TableHeading_TBG Onatel Février  2009  Vtbg V3_Commentaires TBG mars_Budget Telmob 2011" xfId="0"/>
    <cellStyle name="_TableHeading_TBG Onatel Février  2009  Vtbg V3_Commentaires TBG mars_Copie de Flash du mois d' avril 2009 corrigé par NAIMI" xfId="0"/>
    <cellStyle name="_TableHeading_TBG Onatel Février  2009  Vtbg V3_Commentaires TBG mars_Copie de Flash du mois d' avril 2009 corrigé par NAIMI_Budget 2011 v1 (4)" xfId="0"/>
    <cellStyle name="_TableHeading_TBG Onatel Février  2009  Vtbg V3_Commentaires TBG mars_Copie de Flash du mois d' avril 2009 corrigé par NAIMI_Budget Telmob 2011" xfId="0"/>
    <cellStyle name="_TableHeading_TBG Onatel Février  2009  Vtbg V3_Commentaires TBG mars_Copie de Flash du mois d' avril 2009 corrigé par NAIMI_Flash du mois de mai 2009" xfId="0"/>
    <cellStyle name="_TableHeading_TBG Onatel Février  2009  Vtbg V3_Commentaires TBG mars_Copie de Flash du mois d' avril 2009 corrigé par NAIMI_Flash du mois de mai 2009_Budget 2011 v1 (4)" xfId="0"/>
    <cellStyle name="_TableHeading_TBG Onatel Février  2009  Vtbg V3_Commentaires TBG mars_Copie de Flash du mois d' avril 2009 corrigé par NAIMI_Flash du mois de mai 2009_Budget Telmob 2011" xfId="0"/>
    <cellStyle name="_TableHeading_TBG Onatel Février  2009  Vtbg V3_Commentaires TBG mars_Copie de Flash du mois d' avril 2009 corrigé par NAIMI_Reporting Onatel Mai 2009 V 0" xfId="0"/>
    <cellStyle name="_TableHeading_TBG Onatel Février  2009  Vtbg V3_Commentaires TBG mars_Copie de Flash du mois d' avril 2009 corrigé par NAIMI_Reporting Onatel Mai 2009 V 0_Budget 2011 v1 (4)" xfId="0"/>
    <cellStyle name="_TableHeading_TBG Onatel Février  2009  Vtbg V3_Commentaires TBG mars_Copie de Flash du mois d' avril 2009 corrigé par NAIMI_Reporting Onatel Mai 2009 V 0_Budget Telmob 2011" xfId="0"/>
    <cellStyle name="_TableHeading_TBG Onatel Février  2009  Vtbg V3_Commentaires TBG mars_Copie de Flash du mois d' avril 2009 corrigé par NAIMI_Reporting Onatel Mai 2009 V 0_Reporting Onatel septembre  2009 préparé" xfId="0"/>
    <cellStyle name="_TableHeading_TBG Onatel Février  2009  Vtbg V3_Commentaires TBG mars_Copie de Flash du mois d' avril 2009 corrigé par NAIMI_Reporting Onatel Mai 2009 V 0_Reporting Onatel septembre  2009 préparé_Budget 2011 v1 (4)" xfId="0"/>
    <cellStyle name="_TableHeading_TBG Onatel Février  2009  Vtbg V3_Commentaires TBG mars_Copie de Flash du mois d' avril 2009 corrigé par NAIMI_Reporting Onatel septembre  2009 préparé" xfId="0"/>
    <cellStyle name="_TableHeading_TBG Onatel Février  2009  Vtbg V3_Commentaires TBG mars_Copie de Flash du mois d' avril 2009 corrigé par NAIMI_Reporting Onatel septembre  2009 préparé_Budget 2011 v1 (4)" xfId="0"/>
    <cellStyle name="_TableHeading_TBG Onatel Février  2009  Vtbg V3_Commentaires TBG mars_Flash du mois d' avril 2009" xfId="0"/>
    <cellStyle name="_TableHeading_TBG Onatel Février  2009  Vtbg V3_Commentaires TBG mars_Flash du mois d' avril 2009_Budget 2011 v1 (4)" xfId="0"/>
    <cellStyle name="_TableHeading_TBG Onatel Février  2009  Vtbg V3_Commentaires TBG mars_Flash du mois d' avril 2009_Budget Telmob 2011" xfId="0"/>
    <cellStyle name="_TableHeading_TBG Onatel Février  2009  Vtbg V3_Commentaires TBG mars_Flash du mois d' avril 2009_Flash du mois de mai 2009" xfId="0"/>
    <cellStyle name="_TableHeading_TBG Onatel Février  2009  Vtbg V3_Commentaires TBG mars_Flash du mois d' avril 2009_Flash du mois de mai 2009_Budget 2011 v1 (4)" xfId="0"/>
    <cellStyle name="_TableHeading_TBG Onatel Février  2009  Vtbg V3_Commentaires TBG mars_Flash du mois d' avril 2009_Flash du mois de mai 2009_Budget Telmob 2011" xfId="0"/>
    <cellStyle name="_TableHeading_TBG Onatel Février  2009  Vtbg V3_Commentaires TBG mars_Flash du mois d' avril 2009_Reporting Onatel Mai 2009 V 0" xfId="0"/>
    <cellStyle name="_TableHeading_TBG Onatel Février  2009  Vtbg V3_Commentaires TBG mars_Flash du mois d' avril 2009_Reporting Onatel Mai 2009 V 0_Budget 2011 v1 (4)" xfId="0"/>
    <cellStyle name="_TableHeading_TBG Onatel Février  2009  Vtbg V3_Commentaires TBG mars_Flash du mois d' avril 2009_Reporting Onatel Mai 2009 V 0_Budget Telmob 2011" xfId="0"/>
    <cellStyle name="_TableHeading_TBG Onatel Février  2009  Vtbg V3_Commentaires TBG mars_Flash du mois d' avril 2009_Reporting Onatel septembre  2009 préparé" xfId="0"/>
    <cellStyle name="_TableHeading_TBG Onatel Février  2009  Vtbg V3_Commentaires TBG mars_Flash du mois d' avril 2009_Reporting Onatel septembre  2009 préparé_Budget 2011 v1 (4)" xfId="0"/>
    <cellStyle name="_TableHeading_TBG Onatel Février  2009  Vtbg V3_Commentaires TBG mars_Flash du mois de mai 2009" xfId="0"/>
    <cellStyle name="_TableHeading_TBG Onatel Février  2009  Vtbg V3_Commentaires TBG mars_Flash du mois de mai 2009_Budget 2011 v1 (4)" xfId="0"/>
    <cellStyle name="_TableHeading_TBG Onatel Février  2009  Vtbg V3_Commentaires TBG mars_Flash du mois de mai 2009_Budget Telmob 2011" xfId="0"/>
    <cellStyle name="_TableHeading_TBG Onatel Février  2009  Vtbg V3_Commentaires TBG mars_Reporting Onatel Mai 2009 V 0" xfId="0"/>
    <cellStyle name="_TableHeading_TBG Onatel Février  2009  Vtbg V3_Commentaires TBG mars_Reporting Onatel Mai 2009 V 0_Budget 2011 v1 (4)" xfId="0"/>
    <cellStyle name="_TableHeading_TBG Onatel Février  2009  Vtbg V3_Commentaires TBG mars_Reporting Onatel Mai 2009 V 0_Budget Telmob 2011" xfId="0"/>
    <cellStyle name="_TableHeading_TBG Onatel Février  2009  Vtbg V3_Commentaires TBG mars_Reporting Onatel septembre  2009 préparé" xfId="0"/>
    <cellStyle name="_TableHeading_TBG Onatel Février  2009  Vtbg V3_Commentaires TBG mars_Reporting Onatel septembre  2009 préparé_Budget 2011 v1 (4)" xfId="0"/>
    <cellStyle name="_TableHeading_TBG Onatel Février  2009  Vtbg V3_Copie de Flash du mois d' avril 2009 corrigé par NAIMI" xfId="0"/>
    <cellStyle name="_TableHeading_TBG Onatel Février  2009  Vtbg V3_Copie de Flash du mois d' avril 2009 corrigé par NAIMI_Budget 2011 v1 (4)" xfId="0"/>
    <cellStyle name="_TableHeading_TBG Onatel Février  2009  Vtbg V3_Copie de Flash du mois d' avril 2009 corrigé par NAIMI_Budget Telmob 2011" xfId="0"/>
    <cellStyle name="_TableHeading_TBG Onatel Février  2009  Vtbg V3_Copie de Flash du mois d' avril 2009 corrigé par NAIMI_Flash du mois de mai 2009" xfId="0"/>
    <cellStyle name="_TableHeading_TBG Onatel Février  2009  Vtbg V3_Copie de Flash du mois d' avril 2009 corrigé par NAIMI_Flash du mois de mai 2009_Budget 2011 v1 (4)" xfId="0"/>
    <cellStyle name="_TableHeading_TBG Onatel Février  2009  Vtbg V3_Copie de Flash du mois d' avril 2009 corrigé par NAIMI_Flash du mois de mai 2009_Budget Telmob 2011" xfId="0"/>
    <cellStyle name="_TableHeading_TBG Onatel Février  2009  Vtbg V3_Copie de Flash du mois d' avril 2009 corrigé par NAIMI_Reporting Onatel Mai 2009 V 0" xfId="0"/>
    <cellStyle name="_TableHeading_TBG Onatel Février  2009  Vtbg V3_Copie de Flash du mois d' avril 2009 corrigé par NAIMI_Reporting Onatel Mai 2009 V 0_Budget 2011 v1 (4)" xfId="0"/>
    <cellStyle name="_TableHeading_TBG Onatel Février  2009  Vtbg V3_Copie de Flash du mois d' avril 2009 corrigé par NAIMI_Reporting Onatel Mai 2009 V 0_Budget Telmob 2011" xfId="0"/>
    <cellStyle name="_TableHeading_TBG Onatel Février  2009  Vtbg V3_Copie de Flash du mois d' avril 2009 corrigé par NAIMI_Reporting Onatel Mai 2009 V 0_Reporting Onatel septembre  2009 préparé" xfId="0"/>
    <cellStyle name="_TableHeading_TBG Onatel Février  2009  Vtbg V3_Copie de Flash du mois d' avril 2009 corrigé par NAIMI_Reporting Onatel Mai 2009 V 0_Reporting Onatel septembre  2009 préparé_Budget 2011 v1 (4)" xfId="0"/>
    <cellStyle name="_TableHeading_TBG Onatel Février  2009  Vtbg V3_Copie de Flash du mois d' avril 2009 corrigé par NAIMI_Reporting Onatel septembre  2009 préparé" xfId="0"/>
    <cellStyle name="_TableHeading_TBG Onatel Février  2009  Vtbg V3_Copie de Flash du mois d' avril 2009 corrigé par NAIMI_Reporting Onatel septembre  2009 préparé_Budget 2011 v1 (4)" xfId="0"/>
    <cellStyle name="_TableHeading_TBG Onatel Février  2009  Vtbg V3_Flash du mois d' avril 2009" xfId="0"/>
    <cellStyle name="_TableHeading_TBG Onatel Février  2009  Vtbg V3_Flash du mois d' avril 2009_Budget 2011 v1 (4)" xfId="0"/>
    <cellStyle name="_TableHeading_TBG Onatel Février  2009  Vtbg V3_Flash du mois d' avril 2009_Budget Telmob 2011" xfId="0"/>
    <cellStyle name="_TableHeading_TBG Onatel Février  2009  Vtbg V3_Flash du mois d' avril 2009_Flash du mois de mai 2009" xfId="0"/>
    <cellStyle name="_TableHeading_TBG Onatel Février  2009  Vtbg V3_Flash du mois d' avril 2009_Flash du mois de mai 2009_Budget 2011 v1 (4)" xfId="0"/>
    <cellStyle name="_TableHeading_TBG Onatel Février  2009  Vtbg V3_Flash du mois d' avril 2009_Flash du mois de mai 2009_Budget Telmob 2011" xfId="0"/>
    <cellStyle name="_TableHeading_TBG Onatel Février  2009  Vtbg V3_Flash du mois d' avril 2009_Reporting Onatel Mai 2009 V 0" xfId="0"/>
    <cellStyle name="_TableHeading_TBG Onatel Février  2009  Vtbg V3_Flash du mois d' avril 2009_Reporting Onatel Mai 2009 V 0_Budget 2011 v1 (4)" xfId="0"/>
    <cellStyle name="_TableHeading_TBG Onatel Février  2009  Vtbg V3_Flash du mois d' avril 2009_Reporting Onatel Mai 2009 V 0_Budget Telmob 2011" xfId="0"/>
    <cellStyle name="_TableHeading_TBG Onatel Février  2009  Vtbg V3_Flash du mois d' avril 2009_Reporting Onatel septembre  2009 préparé" xfId="0"/>
    <cellStyle name="_TableHeading_TBG Onatel Février  2009  Vtbg V3_Flash du mois d' avril 2009_Reporting Onatel septembre  2009 préparé_Budget 2011 v1 (4)" xfId="0"/>
    <cellStyle name="_TableHeading_TBG Onatel Février  2009  Vtbg V3_Flash du mois de mai 2009" xfId="0"/>
    <cellStyle name="_TableHeading_TBG Onatel Février  2009  Vtbg V3_Flash du mois de mai 2009_Budget 2011 v1 (4)" xfId="0"/>
    <cellStyle name="_TableHeading_TBG Onatel Février  2009  Vtbg V3_Flash du mois de mai 2009_Budget Telmob 2011" xfId="0"/>
    <cellStyle name="_TableHeading_TBG Onatel Février  2009  Vtbg V3_Reporting Onatel Mai 2009 V 0" xfId="0"/>
    <cellStyle name="_TableHeading_TBG Onatel Février  2009  Vtbg V3_Reporting Onatel Mai 2009 V 0_Budget 2011 v1 (4)" xfId="0"/>
    <cellStyle name="_TableHeading_TBG Onatel Février  2009  Vtbg V3_Reporting Onatel Mai 2009 V 0_Budget Telmob 2011" xfId="0"/>
    <cellStyle name="_TableHeading_TBG Onatel Février  2009  Vtbg V3_Reporting Onatel septembre  2009 préparé" xfId="0"/>
    <cellStyle name="_TableHeading_TBG Onatel Février  2009  Vtbg V3_Reporting Onatel septembre  2009 préparé_Budget 2011 v1 (4)" xfId="0"/>
    <cellStyle name="_TableRowBorder" xfId="0"/>
    <cellStyle name="_TableRowBorder_Budget Telmob 2011" xfId="0"/>
    <cellStyle name="_TableRowBorder_commentaires fixe  internet Déc 08" xfId="0"/>
    <cellStyle name="_TableRowBorder_commentaires fixe  internet Déc 08 2" xfId="0"/>
    <cellStyle name="_TableRowBorder_commentaires fixe  internet Déc 08_Budget Telmob 2011" xfId="0"/>
    <cellStyle name="_TableRowBorder_commentaires fixe  internet Déc 08_Commentaires TBG mars" xfId="0"/>
    <cellStyle name="_TableRowBorder_commentaires fixe  internet Déc 08_Commentaires TBG mars 2" xfId="0"/>
    <cellStyle name="_TableRowBorder_commentaires fixe  internet Déc 08_Commentaires TBG mars_Budget Telmob 2011" xfId="0"/>
    <cellStyle name="_TableRowBorder_commentaires fixe  internet Déc 08_Commentaires TBG mars_Copie de Flash du mois d' avril 2009 corrigé par NAIMI" xfId="0"/>
    <cellStyle name="_TableRowBorder_commentaires fixe  internet Déc 08_Commentaires TBG mars_Copie de Flash du mois d' avril 2009 corrigé par NAIMI 2" xfId="0"/>
    <cellStyle name="_TableRowBorder_commentaires fixe  internet Déc 08_Commentaires TBG mars_Copie de Flash du mois d' avril 2009 corrigé par NAIMI_Budget Telmob 2011" xfId="0"/>
    <cellStyle name="_TableRowBorder_commentaires fixe  internet Déc 08_Commentaires TBG mars_Copie de Flash du mois d' avril 2009 corrigé par NAIMI_Flash du mois de mai 2009" xfId="0"/>
    <cellStyle name="_TableRowBorder_commentaires fixe  internet Déc 08_Commentaires TBG mars_Copie de Flash du mois d' avril 2009 corrigé par NAIMI_Flash du mois de mai 2009 2" xfId="0"/>
    <cellStyle name="_TableRowBorder_commentaires fixe  internet Déc 08_Commentaires TBG mars_Copie de Flash du mois d' avril 2009 corrigé par NAIMI_Flash du mois de mai 2009_Budget Telmob 2011" xfId="0"/>
    <cellStyle name="_TableRowBorder_commentaires fixe  internet Déc 08_Commentaires TBG mars_Copie de Flash du mois d' avril 2009 corrigé par NAIMI_Reporting Onatel Mai 2009 V 0" xfId="0"/>
    <cellStyle name="_TableRowBorder_commentaires fixe  internet Déc 08_Commentaires TBG mars_Copie de Flash du mois d' avril 2009 corrigé par NAIMI_Reporting Onatel Mai 2009 V 0 2" xfId="0"/>
    <cellStyle name="_TableRowBorder_commentaires fixe  internet Déc 08_Commentaires TBG mars_Copie de Flash du mois d' avril 2009 corrigé par NAIMI_Reporting Onatel Mai 2009 V 0_Budget Telmob 2011" xfId="0"/>
    <cellStyle name="_TableRowBorder_commentaires fixe  internet Déc 08_Commentaires TBG mars_Copie de Flash du mois d' avril 2009 corrigé par NAIMI_Reporting Onatel Mai 2009 V 0_Reporting Onatel septembre  2009 préparé" xfId="0"/>
    <cellStyle name="_TableRowBorder_commentaires fixe  internet Déc 08_Commentaires TBG mars_Copie de Flash du mois d' avril 2009 corrigé par NAIMI_Reporting Onatel septembre  2009 préparé" xfId="0"/>
    <cellStyle name="_TableRowBorder_commentaires fixe  internet Déc 08_Commentaires TBG mars_Flash du mois d' avril 2009" xfId="0"/>
    <cellStyle name="_TableRowBorder_commentaires fixe  internet Déc 08_Commentaires TBG mars_Flash du mois d' avril 2009 2" xfId="0"/>
    <cellStyle name="_TableRowBorder_commentaires fixe  internet Déc 08_Commentaires TBG mars_Flash du mois d' avril 2009_Budget Telmob 2011" xfId="0"/>
    <cellStyle name="_TableRowBorder_commentaires fixe  internet Déc 08_Commentaires TBG mars_Flash du mois d' avril 2009_Flash du mois de mai 2009" xfId="0"/>
    <cellStyle name="_TableRowBorder_commentaires fixe  internet Déc 08_Commentaires TBG mars_Flash du mois d' avril 2009_Flash du mois de mai 2009 2" xfId="0"/>
    <cellStyle name="_TableRowBorder_commentaires fixe  internet Déc 08_Commentaires TBG mars_Flash du mois d' avril 2009_Flash du mois de mai 2009_Budget Telmob 2011" xfId="0"/>
    <cellStyle name="_TableRowBorder_commentaires fixe  internet Déc 08_Commentaires TBG mars_Flash du mois d' avril 2009_Reporting Onatel Mai 2009 V 0" xfId="0"/>
    <cellStyle name="_TableRowBorder_commentaires fixe  internet Déc 08_Commentaires TBG mars_Flash du mois d' avril 2009_Reporting Onatel Mai 2009 V 0 2" xfId="0"/>
    <cellStyle name="_TableRowBorder_commentaires fixe  internet Déc 08_Commentaires TBG mars_Flash du mois d' avril 2009_Reporting Onatel Mai 2009 V 0_Budget Telmob 2011" xfId="0"/>
    <cellStyle name="_TableRowBorder_commentaires fixe  internet Déc 08_Commentaires TBG mars_Flash du mois d' avril 2009_Reporting Onatel septembre  2009 préparé" xfId="0"/>
    <cellStyle name="_TableRowBorder_commentaires fixe  internet Déc 08_Commentaires TBG mars_Flash du mois de mai 2009" xfId="0"/>
    <cellStyle name="_TableRowBorder_commentaires fixe  internet Déc 08_Commentaires TBG mars_Flash du mois de mai 2009 2" xfId="0"/>
    <cellStyle name="_TableRowBorder_commentaires fixe  internet Déc 08_Commentaires TBG mars_Flash du mois de mai 2009_Budget Telmob 2011" xfId="0"/>
    <cellStyle name="_TableRowBorder_commentaires fixe  internet Déc 08_Commentaires TBG mars_Reporting Onatel Mai 2009 V 0" xfId="0"/>
    <cellStyle name="_TableRowBorder_commentaires fixe  internet Déc 08_Commentaires TBG mars_Reporting Onatel Mai 2009 V 0 2" xfId="0"/>
    <cellStyle name="_TableRowBorder_commentaires fixe  internet Déc 08_Commentaires TBG mars_Reporting Onatel Mai 2009 V 0_Budget Telmob 2011" xfId="0"/>
    <cellStyle name="_TableRowBorder_commentaires fixe  internet Déc 08_Commentaires TBG mars_Reporting Onatel septembre  2009 préparé" xfId="0"/>
    <cellStyle name="_TableRowBorder_commentaires fixe  internet Déc 08_Copie de Flash du mois d' avril 2009 corrigé par NAIMI" xfId="0"/>
    <cellStyle name="_TableRowBorder_commentaires fixe  internet Déc 08_Copie de Flash du mois d' avril 2009 corrigé par NAIMI 2" xfId="0"/>
    <cellStyle name="_TableRowBorder_commentaires fixe  internet Déc 08_Copie de Flash du mois d' avril 2009 corrigé par NAIMI_Budget Telmob 2011" xfId="0"/>
    <cellStyle name="_TableRowBorder_commentaires fixe  internet Déc 08_Copie de Flash du mois d' avril 2009 corrigé par NAIMI_Flash du mois de mai 2009" xfId="0"/>
    <cellStyle name="_TableRowBorder_commentaires fixe  internet Déc 08_Copie de Flash du mois d' avril 2009 corrigé par NAIMI_Flash du mois de mai 2009 2" xfId="0"/>
    <cellStyle name="_TableRowBorder_commentaires fixe  internet Déc 08_Copie de Flash du mois d' avril 2009 corrigé par NAIMI_Flash du mois de mai 2009_Budget Telmob 2011" xfId="0"/>
    <cellStyle name="_TableRowBorder_commentaires fixe  internet Déc 08_Copie de Flash du mois d' avril 2009 corrigé par NAIMI_Reporting Onatel Mai 2009 V 0" xfId="0"/>
    <cellStyle name="_TableRowBorder_commentaires fixe  internet Déc 08_Copie de Flash du mois d' avril 2009 corrigé par NAIMI_Reporting Onatel Mai 2009 V 0 2" xfId="0"/>
    <cellStyle name="_TableRowBorder_commentaires fixe  internet Déc 08_Copie de Flash du mois d' avril 2009 corrigé par NAIMI_Reporting Onatel Mai 2009 V 0_Budget Telmob 2011" xfId="0"/>
    <cellStyle name="_TableRowBorder_commentaires fixe  internet Déc 08_Copie de Flash du mois d' avril 2009 corrigé par NAIMI_Reporting Onatel Mai 2009 V 0_Reporting Onatel septembre  2009 préparé" xfId="0"/>
    <cellStyle name="_TableRowBorder_commentaires fixe  internet Déc 08_Copie de Flash du mois d' avril 2009 corrigé par NAIMI_Reporting Onatel septembre  2009 préparé" xfId="0"/>
    <cellStyle name="_TableRowBorder_commentaires fixe  internet Déc 08_Flash du mois d' avril 2009" xfId="0"/>
    <cellStyle name="_TableRowBorder_commentaires fixe  internet Déc 08_Flash du mois d' avril 2009 2" xfId="0"/>
    <cellStyle name="_TableRowBorder_commentaires fixe  internet Déc 08_Flash du mois d' avril 2009_Budget Telmob 2011" xfId="0"/>
    <cellStyle name="_TableRowBorder_commentaires fixe  internet Déc 08_Flash du mois d' avril 2009_Flash du mois de mai 2009" xfId="0"/>
    <cellStyle name="_TableRowBorder_commentaires fixe  internet Déc 08_Flash du mois d' avril 2009_Flash du mois de mai 2009 2" xfId="0"/>
    <cellStyle name="_TableRowBorder_commentaires fixe  internet Déc 08_Flash du mois d' avril 2009_Flash du mois de mai 2009_Budget Telmob 2011" xfId="0"/>
    <cellStyle name="_TableRowBorder_commentaires fixe  internet Déc 08_Flash du mois d' avril 2009_Reporting Onatel Mai 2009 V 0" xfId="0"/>
    <cellStyle name="_TableRowBorder_commentaires fixe  internet Déc 08_Flash du mois d' avril 2009_Reporting Onatel Mai 2009 V 0 2" xfId="0"/>
    <cellStyle name="_TableRowBorder_commentaires fixe  internet Déc 08_Flash du mois d' avril 2009_Reporting Onatel Mai 2009 V 0_Budget Telmob 2011" xfId="0"/>
    <cellStyle name="_TableRowBorder_commentaires fixe  internet Déc 08_Flash du mois d' avril 2009_Reporting Onatel septembre  2009 préparé" xfId="0"/>
    <cellStyle name="_TableRowBorder_commentaires fixe  internet Déc 08_Flash du mois de mai 2009" xfId="0"/>
    <cellStyle name="_TableRowBorder_commentaires fixe  internet Déc 08_Flash du mois de mai 2009 2" xfId="0"/>
    <cellStyle name="_TableRowBorder_commentaires fixe  internet Déc 08_Flash du mois de mai 2009_Budget Telmob 2011" xfId="0"/>
    <cellStyle name="_TableRowBorder_commentaires fixe  internet Déc 08_Reporting Onatel Avril 2009 V0" xfId="0"/>
    <cellStyle name="_TableRowBorder_commentaires fixe  internet Déc 08_Reporting Onatel Avril 2009 V0 2" xfId="0"/>
    <cellStyle name="_TableRowBorder_commentaires fixe  internet Déc 08_Reporting Onatel Avril 2009 V0_Budget Telmob 2011" xfId="0"/>
    <cellStyle name="_TableRowBorder_commentaires fixe  internet Déc 08_Reporting Onatel Avril 2009 V0_Copie de Flash du mois d' avril 2009 corrigé par NAIMI" xfId="0"/>
    <cellStyle name="_TableRowBorder_commentaires fixe  internet Déc 08_Reporting Onatel Avril 2009 V0_Copie de Flash du mois d' avril 2009 corrigé par NAIMI 2" xfId="0"/>
    <cellStyle name="_TableRowBorder_commentaires fixe  internet Déc 08_Reporting Onatel Avril 2009 V0_Copie de Flash du mois d' avril 2009 corrigé par NAIMI_Budget Telmob 2011" xfId="0"/>
    <cellStyle name="_TableRowBorder_commentaires fixe  internet Déc 08_Reporting Onatel Avril 2009 V0_Copie de Flash du mois d' avril 2009 corrigé par NAIMI_Flash du mois de mai 2009" xfId="0"/>
    <cellStyle name="_TableRowBorder_commentaires fixe  internet Déc 08_Reporting Onatel Avril 2009 V0_Copie de Flash du mois d' avril 2009 corrigé par NAIMI_Flash du mois de mai 2009 2" xfId="0"/>
    <cellStyle name="_TableRowBorder_commentaires fixe  internet Déc 08_Reporting Onatel Avril 2009 V0_Copie de Flash du mois d' avril 2009 corrigé par NAIMI_Flash du mois de mai 2009_Budget Telmob 2011" xfId="0"/>
    <cellStyle name="_TableRowBorder_commentaires fixe  internet Déc 08_Reporting Onatel Avril 2009 V0_Copie de Flash du mois d' avril 2009 corrigé par NAIMI_Reporting Onatel Mai 2009 V 0" xfId="0"/>
    <cellStyle name="_TableRowBorder_commentaires fixe  internet Déc 08_Reporting Onatel Avril 2009 V0_Copie de Flash du mois d' avril 2009 corrigé par NAIMI_Reporting Onatel Mai 2009 V 0 2" xfId="0"/>
    <cellStyle name="_TableRowBorder_commentaires fixe  internet Déc 08_Reporting Onatel Avril 2009 V0_Copie de Flash du mois d' avril 2009 corrigé par NAIMI_Reporting Onatel Mai 2009 V 0_Budget Telmob 2011" xfId="0"/>
    <cellStyle name="_TableRowBorder_commentaires fixe  internet Déc 08_Reporting Onatel Avril 2009 V0_Copie de Flash du mois d' avril 2009 corrigé par NAIMI_Reporting Onatel Mai 2009 V 0_Reporting Onatel septembre  2009 préparé" xfId="0"/>
    <cellStyle name="_TableRowBorder_commentaires fixe  internet Déc 08_Reporting Onatel Avril 2009 V0_Copie de Flash du mois d' avril 2009 corrigé par NAIMI_Reporting Onatel septembre  2009 préparé" xfId="0"/>
    <cellStyle name="_TableRowBorder_commentaires fixe  internet Déc 08_Reporting Onatel Avril 2009 V0_Flash du mois de mai 2009" xfId="0"/>
    <cellStyle name="_TableRowBorder_commentaires fixe  internet Déc 08_Reporting Onatel Avril 2009 V0_Flash du mois de mai 2009 2" xfId="0"/>
    <cellStyle name="_TableRowBorder_commentaires fixe  internet Déc 08_Reporting Onatel Avril 2009 V0_Flash du mois de mai 2009_Budget Telmob 2011" xfId="0"/>
    <cellStyle name="_TableRowBorder_commentaires fixe  internet Déc 08_Reporting Onatel Avril 2009 V0_Reporting Onatel Mai 2009 V 0" xfId="0"/>
    <cellStyle name="_TableRowBorder_commentaires fixe  internet Déc 08_Reporting Onatel Avril 2009 V0_Reporting Onatel Mai 2009 V 0 2" xfId="0"/>
    <cellStyle name="_TableRowBorder_commentaires fixe  internet Déc 08_Reporting Onatel Avril 2009 V0_Reporting Onatel Mai 2009 V 0_Budget Telmob 2011" xfId="0"/>
    <cellStyle name="_TableRowBorder_commentaires fixe  internet Déc 08_Reporting Onatel Avril 2009 V0_Reporting Onatel septembre  2009 préparé" xfId="0"/>
    <cellStyle name="_TableRowBorder_commentaires fixe  internet Déc 08_Reporting Onatel Mai 2009 V 0" xfId="0"/>
    <cellStyle name="_TableRowBorder_commentaires fixe  internet Déc 08_Reporting Onatel Mai 2009 V 0 2" xfId="0"/>
    <cellStyle name="_TableRowBorder_commentaires fixe  internet Déc 08_Reporting Onatel Mai 2009 V 0 A ENVOYE" xfId="0"/>
    <cellStyle name="_TableRowBorder_commentaires fixe  internet Déc 08_Reporting Onatel Mai 2009 V 0 A ENVOYE 2" xfId="0"/>
    <cellStyle name="_TableRowBorder_commentaires fixe  internet Déc 08_Reporting Onatel Mai 2009 V 0 A ENVOYE_Budget Telmob 2011" xfId="0"/>
    <cellStyle name="_TableRowBorder_commentaires fixe  internet Déc 08_Reporting Onatel Mai 2009 V 0 A ENVOYE_Reporting Onatel septembre  2009 préparé" xfId="0"/>
    <cellStyle name="_TableRowBorder_commentaires fixe  internet Déc 08_Reporting Onatel Mai 2009 V 0_Budget Telmob 2011" xfId="0"/>
    <cellStyle name="_TableRowBorder_commentaires fixe  internet Déc 08_Reporting Onatel septembre  2009 préparé" xfId="0"/>
    <cellStyle name="_TableRowBorder_commentaires fixe  internet Déc 08_TBG Onatel Février  2009  Vtbg V3" xfId="0"/>
    <cellStyle name="_TableRowBorder_commentaires fixe  internet Déc 08_TBG Onatel Février  2009  Vtbg V3 2" xfId="0"/>
    <cellStyle name="_TableRowBorder_commentaires fixe  internet Déc 08_TBG Onatel Février  2009  Vtbg V3_Budget Telmob 2011" xfId="0"/>
    <cellStyle name="_TableRowBorder_commentaires fixe  internet Déc 08_TBG Onatel Février  2009  Vtbg V3_Commentaires TBG mars" xfId="0"/>
    <cellStyle name="_TableRowBorder_commentaires fixe  internet Déc 08_TBG Onatel Février  2009  Vtbg V3_Commentaires TBG mars 2" xfId="0"/>
    <cellStyle name="_TableRowBorder_commentaires fixe  internet Déc 08_TBG Onatel Février  2009  Vtbg V3_Commentaires TBG mars_Budget Telmob 2011" xfId="0"/>
    <cellStyle name="_TableRowBorder_commentaires fixe  internet Déc 08_TBG Onatel Février  2009  Vtbg V3_Commentaires TBG mars_Copie de Flash du mois d' avril 2009 corrigé par NAIMI" xfId="0"/>
    <cellStyle name="_TableRowBorder_commentaires fixe  internet Déc 08_TBG Onatel Février  2009  Vtbg V3_Commentaires TBG mars_Copie de Flash du mois d' avril 2009 corrigé par NAIMI 2" xfId="0"/>
    <cellStyle name="_TableRowBorder_commentaires fixe  internet Déc 08_TBG Onatel Février  2009  Vtbg V3_Commentaires TBG mars_Copie de Flash du mois d' avril 2009 corrigé par NAIMI_Budget Telmob 2011" xfId="0"/>
    <cellStyle name="_TableRowBorder_commentaires fixe  internet Déc 08_TBG Onatel Février  2009  Vtbg V3_Commentaires TBG mars_Copie de Flash du mois d' avril 2009 corrigé par NAIMI_Flash du mois de mai 2009" xfId="0"/>
    <cellStyle name="_TableRowBorder_commentaires fixe  internet Déc 08_TBG Onatel Février  2009  Vtbg V3_Commentaires TBG mars_Copie de Flash du mois d' avril 2009 corrigé par NAIMI_Flash du mois de mai 2009 2" xfId="0"/>
    <cellStyle name="_TableRowBorder_commentaires fixe  internet Déc 08_TBG Onatel Février  2009  Vtbg V3_Commentaires TBG mars_Copie de Flash du mois d' avril 2009 corrigé par NAIMI_Flash du mois de mai 2009_Budget Telmob 2011" xfId="0"/>
    <cellStyle name="_TableRowBorder_commentaires fixe  internet Déc 08_TBG Onatel Février  2009  Vtbg V3_Commentaires TBG mars_Copie de Flash du mois d' avril 2009 corrigé par NAIMI_Reporting Onatel Mai 2009 V 0" xfId="0"/>
    <cellStyle name="_TableRowBorder_commentaires fixe  internet Déc 08_TBG Onatel Février  2009  Vtbg V3_Commentaires TBG mars_Copie de Flash du mois d' avril 2009 corrigé par NAIMI_Reporting Onatel Mai 2009 V 0 2" xfId="0"/>
    <cellStyle name="_TableRowBorder_commentaires fixe  internet Déc 08_TBG Onatel Février  2009  Vtbg V3_Commentaires TBG mars_Copie de Flash du mois d' avril 2009 corrigé par NAIMI_Reporting Onatel Mai 2009 V 0_Budget Telmob 2011" xfId="0"/>
    <cellStyle name="_TableRowBorder_commentaires fixe  internet Déc 08_TBG Onatel Février  2009  Vtbg V3_Commentaires TBG mars_Copie de Flash du mois d' avril 2009 corrigé par NAIMI_Reporting Onatel Mai 2009 V 0_Reporting Onatel septembre  2009 préparé" xfId="0"/>
    <cellStyle name="_TableRowBorder_commentaires fixe  internet Déc 08_TBG Onatel Février  2009  Vtbg V3_Commentaires TBG mars_Copie de Flash du mois d' avril 2009 corrigé par NAIMI_Reporting Onatel septembre  2009 préparé" xfId="0"/>
    <cellStyle name="_TableRowBorder_commentaires fixe  internet Déc 08_TBG Onatel Février  2009  Vtbg V3_Commentaires TBG mars_Flash du mois d' avril 2009" xfId="0"/>
    <cellStyle name="_TableRowBorder_commentaires fixe  internet Déc 08_TBG Onatel Février  2009  Vtbg V3_Commentaires TBG mars_Flash du mois d' avril 2009 2" xfId="0"/>
    <cellStyle name="_TableRowBorder_commentaires fixe  internet Déc 08_TBG Onatel Février  2009  Vtbg V3_Commentaires TBG mars_Flash du mois d' avril 2009_Budget Telmob 2011" xfId="0"/>
    <cellStyle name="_TableRowBorder_commentaires fixe  internet Déc 08_TBG Onatel Février  2009  Vtbg V3_Commentaires TBG mars_Flash du mois d' avril 2009_Flash du mois de mai 2009" xfId="0"/>
    <cellStyle name="_TableRowBorder_commentaires fixe  internet Déc 08_TBG Onatel Février  2009  Vtbg V3_Commentaires TBG mars_Flash du mois d' avril 2009_Flash du mois de mai 2009 2" xfId="0"/>
    <cellStyle name="_TableRowBorder_commentaires fixe  internet Déc 08_TBG Onatel Février  2009  Vtbg V3_Commentaires TBG mars_Flash du mois d' avril 2009_Flash du mois de mai 2009_Budget Telmob 2011" xfId="0"/>
    <cellStyle name="_TableRowBorder_commentaires fixe  internet Déc 08_TBG Onatel Février  2009  Vtbg V3_Commentaires TBG mars_Flash du mois d' avril 2009_Reporting Onatel Mai 2009 V 0" xfId="0"/>
    <cellStyle name="_TableRowBorder_commentaires fixe  internet Déc 08_TBG Onatel Février  2009  Vtbg V3_Commentaires TBG mars_Flash du mois d' avril 2009_Reporting Onatel Mai 2009 V 0 2" xfId="0"/>
    <cellStyle name="_TableRowBorder_commentaires fixe  internet Déc 08_TBG Onatel Février  2009  Vtbg V3_Commentaires TBG mars_Flash du mois d' avril 2009_Reporting Onatel Mai 2009 V 0_Budget Telmob 2011" xfId="0"/>
    <cellStyle name="_TableRowBorder_commentaires fixe  internet Déc 08_TBG Onatel Février  2009  Vtbg V3_Commentaires TBG mars_Flash du mois d' avril 2009_Reporting Onatel septembre  2009 préparé" xfId="0"/>
    <cellStyle name="_TableRowBorder_commentaires fixe  internet Déc 08_TBG Onatel Février  2009  Vtbg V3_Commentaires TBG mars_Flash du mois de mai 2009" xfId="0"/>
    <cellStyle name="_TableRowBorder_commentaires fixe  internet Déc 08_TBG Onatel Février  2009  Vtbg V3_Commentaires TBG mars_Flash du mois de mai 2009 2" xfId="0"/>
    <cellStyle name="_TableRowBorder_commentaires fixe  internet Déc 08_TBG Onatel Février  2009  Vtbg V3_Commentaires TBG mars_Flash du mois de mai 2009_Budget Telmob 2011" xfId="0"/>
    <cellStyle name="_TableRowBorder_commentaires fixe  internet Déc 08_TBG Onatel Février  2009  Vtbg V3_Commentaires TBG mars_Reporting Onatel Mai 2009 V 0" xfId="0"/>
    <cellStyle name="_TableRowBorder_commentaires fixe  internet Déc 08_TBG Onatel Février  2009  Vtbg V3_Commentaires TBG mars_Reporting Onatel Mai 2009 V 0 2" xfId="0"/>
    <cellStyle name="_TableRowBorder_commentaires fixe  internet Déc 08_TBG Onatel Février  2009  Vtbg V3_Commentaires TBG mars_Reporting Onatel Mai 2009 V 0_Budget Telmob 2011" xfId="0"/>
    <cellStyle name="_TableRowBorder_commentaires fixe  internet Déc 08_TBG Onatel Février  2009  Vtbg V3_Commentaires TBG mars_Reporting Onatel septembre  2009 préparé" xfId="0"/>
    <cellStyle name="_TableRowBorder_commentaires fixe  internet Déc 08_TBG Onatel Février  2009  Vtbg V3_Copie de Flash du mois d' avril 2009 corrigé par NAIMI" xfId="0"/>
    <cellStyle name="_TableRowBorder_commentaires fixe  internet Déc 08_TBG Onatel Février  2009  Vtbg V3_Copie de Flash du mois d' avril 2009 corrigé par NAIMI 2" xfId="0"/>
    <cellStyle name="_TableRowBorder_commentaires fixe  internet Déc 08_TBG Onatel Février  2009  Vtbg V3_Copie de Flash du mois d' avril 2009 corrigé par NAIMI_Budget Telmob 2011" xfId="0"/>
    <cellStyle name="_TableRowBorder_commentaires fixe  internet Déc 08_TBG Onatel Février  2009  Vtbg V3_Copie de Flash du mois d' avril 2009 corrigé par NAIMI_Flash du mois de mai 2009" xfId="0"/>
    <cellStyle name="_TableRowBorder_commentaires fixe  internet Déc 08_TBG Onatel Février  2009  Vtbg V3_Copie de Flash du mois d' avril 2009 corrigé par NAIMI_Flash du mois de mai 2009 2" xfId="0"/>
    <cellStyle name="_TableRowBorder_commentaires fixe  internet Déc 08_TBG Onatel Février  2009  Vtbg V3_Copie de Flash du mois d' avril 2009 corrigé par NAIMI_Flash du mois de mai 2009_Budget Telmob 2011" xfId="0"/>
    <cellStyle name="_TableRowBorder_commentaires fixe  internet Déc 08_TBG Onatel Février  2009  Vtbg V3_Copie de Flash du mois d' avril 2009 corrigé par NAIMI_Reporting Onatel Mai 2009 V 0" xfId="0"/>
    <cellStyle name="_TableRowBorder_commentaires fixe  internet Déc 08_TBG Onatel Février  2009  Vtbg V3_Copie de Flash du mois d' avril 2009 corrigé par NAIMI_Reporting Onatel Mai 2009 V 0 2" xfId="0"/>
    <cellStyle name="_TableRowBorder_commentaires fixe  internet Déc 08_TBG Onatel Février  2009  Vtbg V3_Copie de Flash du mois d' avril 2009 corrigé par NAIMI_Reporting Onatel Mai 2009 V 0_Budget Telmob 2011" xfId="0"/>
    <cellStyle name="_TableRowBorder_commentaires fixe  internet Déc 08_TBG Onatel Février  2009  Vtbg V3_Copie de Flash du mois d' avril 2009 corrigé par NAIMI_Reporting Onatel Mai 2009 V 0_Reporting Onatel septembre  2009 préparé" xfId="0"/>
    <cellStyle name="_TableRowBorder_commentaires fixe  internet Déc 08_TBG Onatel Février  2009  Vtbg V3_Copie de Flash du mois d' avril 2009 corrigé par NAIMI_Reporting Onatel septembre  2009 préparé" xfId="0"/>
    <cellStyle name="_TableRowBorder_commentaires fixe  internet Déc 08_TBG Onatel Février  2009  Vtbg V3_Flash du mois d' avril 2009" xfId="0"/>
    <cellStyle name="_TableRowBorder_commentaires fixe  internet Déc 08_TBG Onatel Février  2009  Vtbg V3_Flash du mois d' avril 2009 2" xfId="0"/>
    <cellStyle name="_TableRowBorder_commentaires fixe  internet Déc 08_TBG Onatel Février  2009  Vtbg V3_Flash du mois d' avril 2009_Budget Telmob 2011" xfId="0"/>
    <cellStyle name="_TableRowBorder_commentaires fixe  internet Déc 08_TBG Onatel Février  2009  Vtbg V3_Flash du mois d' avril 2009_Flash du mois de mai 2009" xfId="0"/>
    <cellStyle name="_TableRowBorder_commentaires fixe  internet Déc 08_TBG Onatel Février  2009  Vtbg V3_Flash du mois d' avril 2009_Flash du mois de mai 2009 2" xfId="0"/>
    <cellStyle name="_TableRowBorder_commentaires fixe  internet Déc 08_TBG Onatel Février  2009  Vtbg V3_Flash du mois d' avril 2009_Flash du mois de mai 2009_Budget Telmob 2011" xfId="0"/>
    <cellStyle name="_TableRowBorder_commentaires fixe  internet Déc 08_TBG Onatel Février  2009  Vtbg V3_Flash du mois d' avril 2009_Reporting Onatel Mai 2009 V 0" xfId="0"/>
    <cellStyle name="_TableRowBorder_commentaires fixe  internet Déc 08_TBG Onatel Février  2009  Vtbg V3_Flash du mois d' avril 2009_Reporting Onatel Mai 2009 V 0 2" xfId="0"/>
    <cellStyle name="_TableRowBorder_commentaires fixe  internet Déc 08_TBG Onatel Février  2009  Vtbg V3_Flash du mois d' avril 2009_Reporting Onatel Mai 2009 V 0_Budget Telmob 2011" xfId="0"/>
    <cellStyle name="_TableRowBorder_commentaires fixe  internet Déc 08_TBG Onatel Février  2009  Vtbg V3_Flash du mois d' avril 2009_Reporting Onatel septembre  2009 préparé" xfId="0"/>
    <cellStyle name="_TableRowBorder_commentaires fixe  internet Déc 08_TBG Onatel Février  2009  Vtbg V3_Flash du mois de mai 2009" xfId="0"/>
    <cellStyle name="_TableRowBorder_commentaires fixe  internet Déc 08_TBG Onatel Février  2009  Vtbg V3_Flash du mois de mai 2009 2" xfId="0"/>
    <cellStyle name="_TableRowBorder_commentaires fixe  internet Déc 08_TBG Onatel Février  2009  Vtbg V3_Flash du mois de mai 2009_Budget Telmob 2011" xfId="0"/>
    <cellStyle name="_TableRowBorder_commentaires fixe  internet Déc 08_TBG Onatel Février  2009  Vtbg V3_Reporting Onatel Mai 2009 V 0" xfId="0"/>
    <cellStyle name="_TableRowBorder_commentaires fixe  internet Déc 08_TBG Onatel Février  2009  Vtbg V3_Reporting Onatel Mai 2009 V 0 2" xfId="0"/>
    <cellStyle name="_TableRowBorder_commentaires fixe  internet Déc 08_TBG Onatel Février  2009  Vtbg V3_Reporting Onatel Mai 2009 V 0_Budget Telmob 2011" xfId="0"/>
    <cellStyle name="_TableRowBorder_commentaires fixe  internet Déc 08_TBG Onatel Février  2009  Vtbg V3_Reporting Onatel septembre  2009 préparé" xfId="0"/>
    <cellStyle name="_TableRowBorder_Commentaires TBG mars" xfId="0"/>
    <cellStyle name="_TableRowBorder_Commentaires TBG mars_Budget Telmob 2011" xfId="0"/>
    <cellStyle name="_TableRowBorder_Commentaires TBG mars_Copie de Flash du mois d' avril 2009 corrigé par NAIMI" xfId="0"/>
    <cellStyle name="_TableRowBorder_Commentaires TBG mars_Copie de Flash du mois d' avril 2009 corrigé par NAIMI_Budget Telmob 2011" xfId="0"/>
    <cellStyle name="_TableRowBorder_Commentaires TBG mars_Copie de Flash du mois d' avril 2009 corrigé par NAIMI_Flash du mois de mai 2009" xfId="0"/>
    <cellStyle name="_TableRowBorder_Commentaires TBG mars_Copie de Flash du mois d' avril 2009 corrigé par NAIMI_Flash du mois de mai 2009_Budget Telmob 2011" xfId="0"/>
    <cellStyle name="_TableRowBorder_Commentaires TBG mars_Copie de Flash du mois d' avril 2009 corrigé par NAIMI_Reporting Onatel Mai 2009 V 0" xfId="0"/>
    <cellStyle name="_TableRowBorder_Commentaires TBG mars_Copie de Flash du mois d' avril 2009 corrigé par NAIMI_Reporting Onatel Mai 2009 V 0_Budget Telmob 2011" xfId="0"/>
    <cellStyle name="_TableRowBorder_Commentaires TBG mars_Copie de Flash du mois d' avril 2009 corrigé par NAIMI_Reporting Onatel Mai 2009 V 0_Reporting Onatel septembre  2009 préparé" xfId="0"/>
    <cellStyle name="_TableRowBorder_Commentaires TBG mars_Copie de Flash du mois d' avril 2009 corrigé par NAIMI_Reporting Onatel septembre  2009 préparé" xfId="0"/>
    <cellStyle name="_TableRowBorder_Commentaires TBG mars_Flash du mois d' avril 2009" xfId="0"/>
    <cellStyle name="_TableRowBorder_Commentaires TBG mars_Flash du mois d' avril 2009_Budget Telmob 2011" xfId="0"/>
    <cellStyle name="_TableRowBorder_Commentaires TBG mars_Flash du mois d' avril 2009_Flash du mois de mai 2009" xfId="0"/>
    <cellStyle name="_TableRowBorder_Commentaires TBG mars_Flash du mois d' avril 2009_Flash du mois de mai 2009_Budget Telmob 2011" xfId="0"/>
    <cellStyle name="_TableRowBorder_Commentaires TBG mars_Flash du mois d' avril 2009_Reporting Onatel Mai 2009 V 0" xfId="0"/>
    <cellStyle name="_TableRowBorder_Commentaires TBG mars_Flash du mois d' avril 2009_Reporting Onatel Mai 2009 V 0_Budget Telmob 2011" xfId="0"/>
    <cellStyle name="_TableRowBorder_Commentaires TBG mars_Flash du mois d' avril 2009_Reporting Onatel septembre  2009 préparé" xfId="0"/>
    <cellStyle name="_TableRowBorder_Commentaires TBG mars_Flash du mois de mai 2009" xfId="0"/>
    <cellStyle name="_TableRowBorder_Commentaires TBG mars_Flash du mois de mai 2009_Budget Telmob 2011" xfId="0"/>
    <cellStyle name="_TableRowBorder_Commentaires TBG mars_Reporting Onatel Mai 2009 V 0" xfId="0"/>
    <cellStyle name="_TableRowBorder_Commentaires TBG mars_Reporting Onatel Mai 2009 V 0_Budget Telmob 2011" xfId="0"/>
    <cellStyle name="_TableRowBorder_Commentaires TBG mars_Reporting Onatel septembre  2009 préparé" xfId="0"/>
    <cellStyle name="_TableRowBorder_Copie de Flash du mois d' avril 2009 corrigé par NAIMI" xfId="0"/>
    <cellStyle name="_TableRowBorder_Copie de Flash du mois d' avril 2009 corrigé par NAIMI_Budget Telmob 2011" xfId="0"/>
    <cellStyle name="_TableRowBorder_Copie de Flash du mois d' avril 2009 corrigé par NAIMI_Flash du mois de mai 2009" xfId="0"/>
    <cellStyle name="_TableRowBorder_Copie de Flash du mois d' avril 2009 corrigé par NAIMI_Flash du mois de mai 2009_Budget Telmob 2011" xfId="0"/>
    <cellStyle name="_TableRowBorder_Copie de Flash du mois d' avril 2009 corrigé par NAIMI_Reporting Onatel Mai 2009 V 0" xfId="0"/>
    <cellStyle name="_TableRowBorder_Copie de Flash du mois d' avril 2009 corrigé par NAIMI_Reporting Onatel Mai 2009 V 0_Budget Telmob 2011" xfId="0"/>
    <cellStyle name="_TableRowBorder_Copie de Flash du mois d' avril 2009 corrigé par NAIMI_Reporting Onatel Mai 2009 V 0_Reporting Onatel septembre  2009 préparé" xfId="0"/>
    <cellStyle name="_TableRowBorder_Copie de Flash du mois d' avril 2009 corrigé par NAIMI_Reporting Onatel septembre  2009 préparé" xfId="0"/>
    <cellStyle name="_TableRowBorder_Flash du mois d' avril 2009" xfId="0"/>
    <cellStyle name="_TableRowBorder_Flash du mois d' avril 2009_Budget Telmob 2011" xfId="0"/>
    <cellStyle name="_TableRowBorder_Flash du mois d' avril 2009_Flash du mois de mai 2009" xfId="0"/>
    <cellStyle name="_TableRowBorder_Flash du mois d' avril 2009_Flash du mois de mai 2009_Budget Telmob 2011" xfId="0"/>
    <cellStyle name="_TableRowBorder_Flash du mois d' avril 2009_Reporting Onatel Mai 2009 V 0" xfId="0"/>
    <cellStyle name="_TableRowBorder_Flash du mois d' avril 2009_Reporting Onatel Mai 2009 V 0_Budget Telmob 2011" xfId="0"/>
    <cellStyle name="_TableRowBorder_Flash du mois d' avril 2009_Reporting Onatel septembre  2009 préparé" xfId="0"/>
    <cellStyle name="_TableRowBorder_Flash du mois de mai 2009" xfId="0"/>
    <cellStyle name="_TableRowBorder_Flash du mois de mai 2009_Budget Telmob 2011" xfId="0"/>
    <cellStyle name="_TableRowBorder_P &amp; L Conso" xfId="0"/>
    <cellStyle name="_TableRowBorder_P &amp; L Conso_Budget Telmob 2011" xfId="0"/>
    <cellStyle name="_TableRowBorder_P &amp; L Conso_COMMENTAIRES JUILLET 2009" xfId="0"/>
    <cellStyle name="_TableRowBorder_P &amp; L Conso_COMMENTAIRES JUILLET 2009_Budget Telmob 2011" xfId="0"/>
    <cellStyle name="_TableRowBorder_P&amp;L S1 2008" xfId="0"/>
    <cellStyle name="_TableRowBorder_P&amp;L S1 2008_Budget Telmob 2011" xfId="0"/>
    <cellStyle name="_TableRowBorder_Reporting Onatel Avril 2009 V0" xfId="0"/>
    <cellStyle name="_TableRowBorder_Reporting Onatel Avril 2009 V0_Budget Telmob 2011" xfId="0"/>
    <cellStyle name="_TableRowBorder_Reporting Onatel Avril 2009 V0_Copie de Flash du mois d' avril 2009 corrigé par NAIMI" xfId="0"/>
    <cellStyle name="_TableRowBorder_Reporting Onatel Avril 2009 V0_Copie de Flash du mois d' avril 2009 corrigé par NAIMI_Budget Telmob 2011" xfId="0"/>
    <cellStyle name="_TableRowBorder_Reporting Onatel Avril 2009 V0_Copie de Flash du mois d' avril 2009 corrigé par NAIMI_Flash du mois de mai 2009" xfId="0"/>
    <cellStyle name="_TableRowBorder_Reporting Onatel Avril 2009 V0_Copie de Flash du mois d' avril 2009 corrigé par NAIMI_Flash du mois de mai 2009_Budget Telmob 2011" xfId="0"/>
    <cellStyle name="_TableRowBorder_Reporting Onatel Avril 2009 V0_Copie de Flash du mois d' avril 2009 corrigé par NAIMI_Reporting Onatel Mai 2009 V 0" xfId="0"/>
    <cellStyle name="_TableRowBorder_Reporting Onatel Avril 2009 V0_Copie de Flash du mois d' avril 2009 corrigé par NAIMI_Reporting Onatel Mai 2009 V 0_Budget Telmob 2011" xfId="0"/>
    <cellStyle name="_TableRowBorder_Reporting Onatel Avril 2009 V0_Copie de Flash du mois d' avril 2009 corrigé par NAIMI_Reporting Onatel Mai 2009 V 0_Reporting Onatel septembre  2009 préparé" xfId="0"/>
    <cellStyle name="_TableRowBorder_Reporting Onatel Avril 2009 V0_Copie de Flash du mois d' avril 2009 corrigé par NAIMI_Reporting Onatel septembre  2009 préparé" xfId="0"/>
    <cellStyle name="_TableRowBorder_Reporting Onatel Avril 2009 V0_Flash du mois de mai 2009" xfId="0"/>
    <cellStyle name="_TableRowBorder_Reporting Onatel Avril 2009 V0_Flash du mois de mai 2009_Budget Telmob 2011" xfId="0"/>
    <cellStyle name="_TableRowBorder_Reporting Onatel Avril 2009 V0_Reporting Onatel Mai 2009 V 0" xfId="0"/>
    <cellStyle name="_TableRowBorder_Reporting Onatel Avril 2009 V0_Reporting Onatel Mai 2009 V 0_Budget Telmob 2011" xfId="0"/>
    <cellStyle name="_TableRowBorder_Reporting Onatel Avril 2009 V0_Reporting Onatel septembre  2009 préparé" xfId="0"/>
    <cellStyle name="_TableRowBorder_Reporting Onatel Mai 2009 V 0" xfId="0"/>
    <cellStyle name="_TableRowBorder_Reporting Onatel Mai 2009 V 0 A ENVOYE" xfId="0"/>
    <cellStyle name="_TableRowBorder_Reporting Onatel Mai 2009 V 0 A ENVOYE_Budget Telmob 2011" xfId="0"/>
    <cellStyle name="_TableRowBorder_Reporting Onatel Mai 2009 V 0 A ENVOYE_Reporting Onatel septembre  2009 préparé" xfId="0"/>
    <cellStyle name="_TableRowBorder_Reporting Onatel Mai 2009 V 0_Budget Telmob 2011" xfId="0"/>
    <cellStyle name="_TableRowBorder_Reporting Onatel septembre  2009 préparé" xfId="0"/>
    <cellStyle name="_TableRowBorder_Rev Fixe-Internet" xfId="0"/>
    <cellStyle name="_TableRowBorder_Rev Fixe-Internet_Budget Telmob 2011" xfId="0"/>
    <cellStyle name="_TableRowBorder_Rev Fixe-Internet_COMMENTAIRES JUILLET 2009" xfId="0"/>
    <cellStyle name="_TableRowBorder_Rev Fixe-Internet_COMMENTAIRES JUILLET 2009_Budget Telmob 2011" xfId="0"/>
    <cellStyle name="_TableRowBorder_TBG Onatel Février  2009  Vtbg V3" xfId="0"/>
    <cellStyle name="_TableRowBorder_TBG Onatel Février  2009  Vtbg V3_Budget Telmob 2011" xfId="0"/>
    <cellStyle name="_TableRowBorder_TBG Onatel Février  2009  Vtbg V3_Commentaires TBG mars" xfId="0"/>
    <cellStyle name="_TableRowBorder_TBG Onatel Février  2009  Vtbg V3_Commentaires TBG mars_Budget Telmob 2011" xfId="0"/>
    <cellStyle name="_TableRowBorder_TBG Onatel Février  2009  Vtbg V3_Commentaires TBG mars_Copie de Flash du mois d' avril 2009 corrigé par NAIMI" xfId="0"/>
    <cellStyle name="_TableRowBorder_TBG Onatel Février  2009  Vtbg V3_Commentaires TBG mars_Copie de Flash du mois d' avril 2009 corrigé par NAIMI_Budget Telmob 2011" xfId="0"/>
    <cellStyle name="_TableRowBorder_TBG Onatel Février  2009  Vtbg V3_Commentaires TBG mars_Copie de Flash du mois d' avril 2009 corrigé par NAIMI_Flash du mois de mai 2009" xfId="0"/>
    <cellStyle name="_TableRowBorder_TBG Onatel Février  2009  Vtbg V3_Commentaires TBG mars_Copie de Flash du mois d' avril 2009 corrigé par NAIMI_Flash du mois de mai 2009_Budget Telmob 2011" xfId="0"/>
    <cellStyle name="_TableRowBorder_TBG Onatel Février  2009  Vtbg V3_Commentaires TBG mars_Copie de Flash du mois d' avril 2009 corrigé par NAIMI_Reporting Onatel Mai 2009 V 0" xfId="0"/>
    <cellStyle name="_TableRowBorder_TBG Onatel Février  2009  Vtbg V3_Commentaires TBG mars_Copie de Flash du mois d' avril 2009 corrigé par NAIMI_Reporting Onatel Mai 2009 V 0_Budget Telmob 2011" xfId="0"/>
    <cellStyle name="_TableRowBorder_TBG Onatel Février  2009  Vtbg V3_Commentaires TBG mars_Copie de Flash du mois d' avril 2009 corrigé par NAIMI_Reporting Onatel Mai 2009 V 0_Reporting Onatel septembre  2009 préparé" xfId="0"/>
    <cellStyle name="_TableRowBorder_TBG Onatel Février  2009  Vtbg V3_Commentaires TBG mars_Copie de Flash du mois d' avril 2009 corrigé par NAIMI_Reporting Onatel septembre  2009 préparé" xfId="0"/>
    <cellStyle name="_TableRowBorder_TBG Onatel Février  2009  Vtbg V3_Commentaires TBG mars_Flash du mois d' avril 2009" xfId="0"/>
    <cellStyle name="_TableRowBorder_TBG Onatel Février  2009  Vtbg V3_Commentaires TBG mars_Flash du mois d' avril 2009_Budget Telmob 2011" xfId="0"/>
    <cellStyle name="_TableRowBorder_TBG Onatel Février  2009  Vtbg V3_Commentaires TBG mars_Flash du mois d' avril 2009_Flash du mois de mai 2009" xfId="0"/>
    <cellStyle name="_TableRowBorder_TBG Onatel Février  2009  Vtbg V3_Commentaires TBG mars_Flash du mois d' avril 2009_Flash du mois de mai 2009_Budget Telmob 2011" xfId="0"/>
    <cellStyle name="_TableRowBorder_TBG Onatel Février  2009  Vtbg V3_Commentaires TBG mars_Flash du mois d' avril 2009_Reporting Onatel Mai 2009 V 0" xfId="0"/>
    <cellStyle name="_TableRowBorder_TBG Onatel Février  2009  Vtbg V3_Commentaires TBG mars_Flash du mois d' avril 2009_Reporting Onatel Mai 2009 V 0_Budget Telmob 2011" xfId="0"/>
    <cellStyle name="_TableRowBorder_TBG Onatel Février  2009  Vtbg V3_Commentaires TBG mars_Flash du mois d' avril 2009_Reporting Onatel septembre  2009 préparé" xfId="0"/>
    <cellStyle name="_TableRowBorder_TBG Onatel Février  2009  Vtbg V3_Commentaires TBG mars_Flash du mois de mai 2009" xfId="0"/>
    <cellStyle name="_TableRowBorder_TBG Onatel Février  2009  Vtbg V3_Commentaires TBG mars_Flash du mois de mai 2009_Budget Telmob 2011" xfId="0"/>
    <cellStyle name="_TableRowBorder_TBG Onatel Février  2009  Vtbg V3_Commentaires TBG mars_Reporting Onatel Mai 2009 V 0" xfId="0"/>
    <cellStyle name="_TableRowBorder_TBG Onatel Février  2009  Vtbg V3_Commentaires TBG mars_Reporting Onatel Mai 2009 V 0_Budget Telmob 2011" xfId="0"/>
    <cellStyle name="_TableRowBorder_TBG Onatel Février  2009  Vtbg V3_Commentaires TBG mars_Reporting Onatel septembre  2009 préparé" xfId="0"/>
    <cellStyle name="_TableRowBorder_TBG Onatel Février  2009  Vtbg V3_Copie de Flash du mois d' avril 2009 corrigé par NAIMI" xfId="0"/>
    <cellStyle name="_TableRowBorder_TBG Onatel Février  2009  Vtbg V3_Copie de Flash du mois d' avril 2009 corrigé par NAIMI_Budget Telmob 2011" xfId="0"/>
    <cellStyle name="_TableRowBorder_TBG Onatel Février  2009  Vtbg V3_Copie de Flash du mois d' avril 2009 corrigé par NAIMI_Flash du mois de mai 2009" xfId="0"/>
    <cellStyle name="_TableRowBorder_TBG Onatel Février  2009  Vtbg V3_Copie de Flash du mois d' avril 2009 corrigé par NAIMI_Flash du mois de mai 2009_Budget Telmob 2011" xfId="0"/>
    <cellStyle name="_TableRowBorder_TBG Onatel Février  2009  Vtbg V3_Copie de Flash du mois d' avril 2009 corrigé par NAIMI_Reporting Onatel Mai 2009 V 0" xfId="0"/>
    <cellStyle name="_TableRowBorder_TBG Onatel Février  2009  Vtbg V3_Copie de Flash du mois d' avril 2009 corrigé par NAIMI_Reporting Onatel Mai 2009 V 0_Budget Telmob 2011" xfId="0"/>
    <cellStyle name="_TableRowBorder_TBG Onatel Février  2009  Vtbg V3_Copie de Flash du mois d' avril 2009 corrigé par NAIMI_Reporting Onatel Mai 2009 V 0_Reporting Onatel septembre  2009 préparé" xfId="0"/>
    <cellStyle name="_TableRowBorder_TBG Onatel Février  2009  Vtbg V3_Copie de Flash du mois d' avril 2009 corrigé par NAIMI_Reporting Onatel septembre  2009 préparé" xfId="0"/>
    <cellStyle name="_TableRowBorder_TBG Onatel Février  2009  Vtbg V3_Flash du mois d' avril 2009" xfId="0"/>
    <cellStyle name="_TableRowBorder_TBG Onatel Février  2009  Vtbg V3_Flash du mois d' avril 2009_Budget Telmob 2011" xfId="0"/>
    <cellStyle name="_TableRowBorder_TBG Onatel Février  2009  Vtbg V3_Flash du mois d' avril 2009_Flash du mois de mai 2009" xfId="0"/>
    <cellStyle name="_TableRowBorder_TBG Onatel Février  2009  Vtbg V3_Flash du mois d' avril 2009_Flash du mois de mai 2009_Budget Telmob 2011" xfId="0"/>
    <cellStyle name="_TableRowBorder_TBG Onatel Février  2009  Vtbg V3_Flash du mois d' avril 2009_Reporting Onatel Mai 2009 V 0" xfId="0"/>
    <cellStyle name="_TableRowBorder_TBG Onatel Février  2009  Vtbg V3_Flash du mois d' avril 2009_Reporting Onatel Mai 2009 V 0_Budget Telmob 2011" xfId="0"/>
    <cellStyle name="_TableRowBorder_TBG Onatel Février  2009  Vtbg V3_Flash du mois d' avril 2009_Reporting Onatel septembre  2009 préparé" xfId="0"/>
    <cellStyle name="_TableRowBorder_TBG Onatel Février  2009  Vtbg V3_Flash du mois de mai 2009" xfId="0"/>
    <cellStyle name="_TableRowBorder_TBG Onatel Février  2009  Vtbg V3_Flash du mois de mai 2009_Budget Telmob 2011" xfId="0"/>
    <cellStyle name="_TableRowBorder_TBG Onatel Février  2009  Vtbg V3_Reporting Onatel Mai 2009 V 0" xfId="0"/>
    <cellStyle name="_TableRowBorder_TBG Onatel Février  2009  Vtbg V3_Reporting Onatel Mai 2009 V 0_Budget Telmob 2011" xfId="0"/>
    <cellStyle name="_TableRowBorder_TBG Onatel Février  2009  Vtbg V3_Reporting Onatel septembre  2009 préparé" xfId="0"/>
    <cellStyle name="_TableRowHead" xfId="0"/>
    <cellStyle name="_TableRowHead_Budget 2011 v1 (4)" xfId="0"/>
    <cellStyle name="_TableRowHeading" xfId="0"/>
    <cellStyle name="_TableRowHeading_Budget 2011 v1 (4)" xfId="0"/>
    <cellStyle name="_TableSuperHead" xfId="0"/>
    <cellStyle name="_TableSuperHead_02 Pfd Valuation" xfId="0"/>
    <cellStyle name="_TableSuperHead_USA Ownership" xfId="0"/>
    <cellStyle name="_TableSuperHeading" xfId="0"/>
    <cellStyle name="_TableText" xfId="0"/>
    <cellStyle name="_TB Mauritel  12.2005" xfId="0"/>
    <cellStyle name="_TBG Juin 2009 V CDG (2)" xfId="0"/>
    <cellStyle name="_TBG Juin 2009 V CDG (3)" xfId="0"/>
    <cellStyle name="_TBG Malitel juillet 2009" xfId="0"/>
    <cellStyle name="_V0 24sep" xfId="0"/>
    <cellStyle name="_V0 24sep (2)" xfId="0"/>
    <cellStyle name="_V1 actu1 9 avr 2008" xfId="0"/>
    <cellStyle name="_V2 BSS comparaison Budget 2008_2007" xfId="0"/>
    <cellStyle name="Accent1 - 20 %" xfId="0"/>
    <cellStyle name="Accent1 - 20 % 2" xfId="0"/>
    <cellStyle name="Accent1 - 40 %" xfId="0"/>
    <cellStyle name="Accent1 - 40 % 2" xfId="0"/>
    <cellStyle name="Accent1 - 60 %" xfId="0"/>
    <cellStyle name="Accent1 2" xfId="0"/>
    <cellStyle name="Accent1 2 2" xfId="0"/>
    <cellStyle name="Accent1 2 2 2" xfId="0"/>
    <cellStyle name="Accent1 3" xfId="0"/>
    <cellStyle name="Accent1 3 2" xfId="0"/>
    <cellStyle name="Accent1 4" xfId="0"/>
    <cellStyle name="Accent1 4 2" xfId="0"/>
    <cellStyle name="Accent1 5" xfId="0"/>
    <cellStyle name="Accent1 6" xfId="0"/>
    <cellStyle name="Accent2 - 20 %" xfId="0"/>
    <cellStyle name="Accent2 - 20 % 2" xfId="0"/>
    <cellStyle name="Accent2 - 40 %" xfId="0"/>
    <cellStyle name="Accent2 - 40 % 2" xfId="0"/>
    <cellStyle name="Accent2 - 60 %" xfId="0"/>
    <cellStyle name="Accent2 2" xfId="0"/>
    <cellStyle name="Accent2 2 2" xfId="0"/>
    <cellStyle name="Accent2 2 2 2" xfId="0"/>
    <cellStyle name="Accent2 3" xfId="0"/>
    <cellStyle name="Accent2 3 2" xfId="0"/>
    <cellStyle name="Accent2 4" xfId="0"/>
    <cellStyle name="Accent2 4 2" xfId="0"/>
    <cellStyle name="Accent2 5" xfId="0"/>
    <cellStyle name="Accent2 6" xfId="0"/>
    <cellStyle name="Accent3 - 20 %" xfId="0"/>
    <cellStyle name="Accent3 - 20 % 2" xfId="0"/>
    <cellStyle name="Accent3 - 40 %" xfId="0"/>
    <cellStyle name="Accent3 - 40 % 2" xfId="0"/>
    <cellStyle name="Accent3 - 60 %" xfId="0"/>
    <cellStyle name="Accent3 2" xfId="0"/>
    <cellStyle name="Accent3 2 2" xfId="0"/>
    <cellStyle name="Accent3 2 2 2" xfId="0"/>
    <cellStyle name="Accent3 3" xfId="0"/>
    <cellStyle name="Accent3 3 2" xfId="0"/>
    <cellStyle name="Accent3 4" xfId="0"/>
    <cellStyle name="Accent3 4 2" xfId="0"/>
    <cellStyle name="Accent3 5" xfId="0"/>
    <cellStyle name="Accent3 6" xfId="0"/>
    <cellStyle name="Accent4 - 20 %" xfId="0"/>
    <cellStyle name="Accent4 - 20 % 2" xfId="0"/>
    <cellStyle name="Accent4 - 40 %" xfId="0"/>
    <cellStyle name="Accent4 - 40 % 2" xfId="0"/>
    <cellStyle name="Accent4 - 60 %" xfId="0"/>
    <cellStyle name="Accent4 2" xfId="0"/>
    <cellStyle name="Accent4 2 2" xfId="0"/>
    <cellStyle name="Accent4 2 2 2" xfId="0"/>
    <cellStyle name="Accent4 3" xfId="0"/>
    <cellStyle name="Accent4 3 2" xfId="0"/>
    <cellStyle name="Accent4 4" xfId="0"/>
    <cellStyle name="Accent4 4 2" xfId="0"/>
    <cellStyle name="Accent4 5" xfId="0"/>
    <cellStyle name="Accent4 6" xfId="0"/>
    <cellStyle name="Accent5 - 20 %" xfId="0"/>
    <cellStyle name="Accent5 - 20 % 2" xfId="0"/>
    <cellStyle name="Accent5 - 40 %" xfId="0"/>
    <cellStyle name="Accent5 - 40 % 2" xfId="0"/>
    <cellStyle name="Accent5 - 60 %" xfId="0"/>
    <cellStyle name="Accent5 2" xfId="0"/>
    <cellStyle name="Accent5 2 2" xfId="0"/>
    <cellStyle name="Accent5 3" xfId="0"/>
    <cellStyle name="Accent5 3 2" xfId="0"/>
    <cellStyle name="Accent5 4" xfId="0"/>
    <cellStyle name="Accent5 5" xfId="0"/>
    <cellStyle name="Accent5 6" xfId="0"/>
    <cellStyle name="Accent6 - 20 %" xfId="0"/>
    <cellStyle name="Accent6 - 20 % 2" xfId="0"/>
    <cellStyle name="Accent6 - 40 %" xfId="0"/>
    <cellStyle name="Accent6 - 40 % 2" xfId="0"/>
    <cellStyle name="Accent6 - 60 %" xfId="0"/>
    <cellStyle name="Accent6 2" xfId="0"/>
    <cellStyle name="Accent6 2 2" xfId="0"/>
    <cellStyle name="Accent6 2 2 2" xfId="0"/>
    <cellStyle name="Accent6 3" xfId="0"/>
    <cellStyle name="Accent6 3 2" xfId="0"/>
    <cellStyle name="Accent6 4" xfId="0"/>
    <cellStyle name="Accent6 4 2" xfId="0"/>
    <cellStyle name="Accent6 5" xfId="0"/>
    <cellStyle name="Accent6 6" xfId="0"/>
    <cellStyle name="Accounting" xfId="0"/>
    <cellStyle name="amount" xfId="0"/>
    <cellStyle name="args.style" xfId="0"/>
    <cellStyle name="Avertissement 2" xfId="0"/>
    <cellStyle name="Avertissement 2 2" xfId="0"/>
    <cellStyle name="Avertissement 3" xfId="0"/>
    <cellStyle name="Avertissement 3 2" xfId="0"/>
    <cellStyle name="Avertissement 4" xfId="0"/>
    <cellStyle name="Avertissement 5" xfId="0"/>
    <cellStyle name="Avertissement 6" xfId="0"/>
    <cellStyle name="axlcolour" xfId="0"/>
    <cellStyle name="azert - Style1" xfId="0"/>
    <cellStyle name="blue shading" xfId="0"/>
    <cellStyle name="Blue Title" xfId="0"/>
    <cellStyle name="Blue Title 2" xfId="0"/>
    <cellStyle name="Blue Title_Budget Telmob 2011" xfId="0"/>
    <cellStyle name="Body" xfId="0"/>
    <cellStyle name="Body text" xfId="0"/>
    <cellStyle name="Border Heavy" xfId="0"/>
    <cellStyle name="Border Heavy 2" xfId="0"/>
    <cellStyle name="Border Heavy_Budget Telmob 2011" xfId="0"/>
    <cellStyle name="Border Thin" xfId="0"/>
    <cellStyle name="Border Thin 2" xfId="0"/>
    <cellStyle name="Border Thin_Budget Telmob 2011" xfId="0"/>
    <cellStyle name="Calc Currency (0)" xfId="0"/>
    <cellStyle name="Calc Currency (2)" xfId="0"/>
    <cellStyle name="Calc Currency (2) 2" xfId="0"/>
    <cellStyle name="Calc Percent (0)" xfId="0"/>
    <cellStyle name="Calc Percent (0) 2" xfId="0"/>
    <cellStyle name="Calc Percent (1)" xfId="0"/>
    <cellStyle name="Calc Percent (1) 2" xfId="0"/>
    <cellStyle name="Calc Percent (2)" xfId="0"/>
    <cellStyle name="Calc Percent (2) 2" xfId="0"/>
    <cellStyle name="Calc Units (0)" xfId="0"/>
    <cellStyle name="Calc Units (0) 2" xfId="0"/>
    <cellStyle name="Calc Units (1)" xfId="0"/>
    <cellStyle name="Calc Units (1) 2" xfId="0"/>
    <cellStyle name="Calc Units (2)" xfId="0"/>
    <cellStyle name="Calc Units (2) 2" xfId="0"/>
    <cellStyle name="Calcul 2" xfId="0"/>
    <cellStyle name="Calcul 2 2" xfId="0"/>
    <cellStyle name="Calcul 2 2 2" xfId="0"/>
    <cellStyle name="Calcul 3" xfId="0"/>
    <cellStyle name="Calcul 3 2" xfId="0"/>
    <cellStyle name="Calcul 4" xfId="0"/>
    <cellStyle name="Calcul 4 2" xfId="0"/>
    <cellStyle name="Calcul 5" xfId="0"/>
    <cellStyle name="Calcul 6" xfId="0"/>
    <cellStyle name="Cellule liée 2" xfId="0"/>
    <cellStyle name="Cellule liée 2 2" xfId="0"/>
    <cellStyle name="Cellule liée 2 2 2" xfId="0"/>
    <cellStyle name="Cellule liée 3" xfId="0"/>
    <cellStyle name="Cellule liée 3 2" xfId="0"/>
    <cellStyle name="Cellule liée 4" xfId="0"/>
    <cellStyle name="Cellule liée 4 2" xfId="0"/>
    <cellStyle name="Cellule liée 5" xfId="0"/>
    <cellStyle name="Cellule liée 6" xfId="0"/>
    <cellStyle name="Comma  - Style1" xfId="0"/>
    <cellStyle name="Comma  - Style1 2" xfId="0"/>
    <cellStyle name="Comma  - Style1 3" xfId="0"/>
    <cellStyle name="Comma  - Style2" xfId="0"/>
    <cellStyle name="Comma  - Style2 2" xfId="0"/>
    <cellStyle name="Comma  - Style2 3" xfId="0"/>
    <cellStyle name="Comma  - Style3" xfId="0"/>
    <cellStyle name="Comma  - Style3 2" xfId="0"/>
    <cellStyle name="Comma  - Style3 3" xfId="0"/>
    <cellStyle name="Comma  - Style4" xfId="0"/>
    <cellStyle name="Comma  - Style4 2" xfId="0"/>
    <cellStyle name="Comma  - Style4 3" xfId="0"/>
    <cellStyle name="Comma  - Style5" xfId="0"/>
    <cellStyle name="Comma  - Style5 2" xfId="0"/>
    <cellStyle name="Comma  - Style5 3" xfId="0"/>
    <cellStyle name="Comma  - Style6" xfId="0"/>
    <cellStyle name="Comma  - Style6 2" xfId="0"/>
    <cellStyle name="Comma  - Style6 3" xfId="0"/>
    <cellStyle name="Comma  - Style7" xfId="0"/>
    <cellStyle name="Comma  - Style7 2" xfId="0"/>
    <cellStyle name="Comma  - Style7 3" xfId="0"/>
    <cellStyle name="Comma  - Style8" xfId="0"/>
    <cellStyle name="Comma  - Style8 2" xfId="0"/>
    <cellStyle name="Comma  - Style8 3" xfId="0"/>
    <cellStyle name="Comma [00]" xfId="0"/>
    <cellStyle name="Comma [00] 2" xfId="0"/>
    <cellStyle name="Comma [0]" xfId="0"/>
    <cellStyle name="Comma [0] 10" xfId="0"/>
    <cellStyle name="Comma [0] 11" xfId="0"/>
    <cellStyle name="Comma [0] 12" xfId="0"/>
    <cellStyle name="Comma [0] 13" xfId="0"/>
    <cellStyle name="Comma [0] 14" xfId="0"/>
    <cellStyle name="Comma [0] 15" xfId="0"/>
    <cellStyle name="Comma [0] 16" xfId="0"/>
    <cellStyle name="Comma [0] 17" xfId="0"/>
    <cellStyle name="Comma [0] 18" xfId="0"/>
    <cellStyle name="Comma [0] 2" xfId="0"/>
    <cellStyle name="Comma [0] 3" xfId="0"/>
    <cellStyle name="Comma [0] 4" xfId="0"/>
    <cellStyle name="Comma [0] 5" xfId="0"/>
    <cellStyle name="Comma [0] 6" xfId="0"/>
    <cellStyle name="Comma [0] 7" xfId="0"/>
    <cellStyle name="Comma [0] 8" xfId="0"/>
    <cellStyle name="Comma [0] 9" xfId="0"/>
    <cellStyle name="Comma [1]" xfId="0"/>
    <cellStyle name="Comma0" xfId="0"/>
    <cellStyle name="Comma_04 Debt structure 150702" xfId="0"/>
    <cellStyle name="Commentaire 2" xfId="0"/>
    <cellStyle name="Commentaire 3" xfId="0"/>
    <cellStyle name="Commentaire 4" xfId="0"/>
    <cellStyle name="Commentaire 5" xfId="0"/>
    <cellStyle name="Commentaire 5 2" xfId="0"/>
    <cellStyle name="Commentaire 5 3" xfId="0"/>
    <cellStyle name="Commentaire 5 3 2" xfId="0"/>
    <cellStyle name="Commentaire 5 3 3" xfId="0"/>
    <cellStyle name="Commentaire 5 4" xfId="0"/>
    <cellStyle name="Commentaire 5 5" xfId="0"/>
    <cellStyle name="Commentaire 6" xfId="0"/>
    <cellStyle name="Commentaire 7" xfId="0"/>
    <cellStyle name="Copied" xfId="0"/>
    <cellStyle name="Copy Decimal 0" xfId="0"/>
    <cellStyle name="Copy Decimal 0,00" xfId="0"/>
    <cellStyle name="Copy Decimal 0,00 2" xfId="0"/>
    <cellStyle name="Copy Decimal 0_Actu 1 du Budget Annuel Groupe IAM  2007" xfId="0"/>
    <cellStyle name="Copy Percent 0" xfId="0"/>
    <cellStyle name="Copy Percent 0,00" xfId="0"/>
    <cellStyle name="Copy Percent 0,00 2" xfId="0"/>
    <cellStyle name="Copy Percent 0_Actu 1 du Budget Annuel Groupe IAM  2007" xfId="0"/>
    <cellStyle name="Currency [00]" xfId="0"/>
    <cellStyle name="Currency [00] 2" xfId="0"/>
    <cellStyle name="Currency [0]" xfId="0"/>
    <cellStyle name="Currency [0] 10" xfId="0"/>
    <cellStyle name="Currency [0] 11" xfId="0"/>
    <cellStyle name="Currency [0] 12" xfId="0"/>
    <cellStyle name="Currency [0] 13" xfId="0"/>
    <cellStyle name="Currency [0] 14" xfId="0"/>
    <cellStyle name="Currency [0] 15" xfId="0"/>
    <cellStyle name="Currency [0] 16" xfId="0"/>
    <cellStyle name="Currency [0] 17" xfId="0"/>
    <cellStyle name="Currency [0] 18" xfId="0"/>
    <cellStyle name="Currency [0] 2" xfId="0"/>
    <cellStyle name="Currency [0] 3" xfId="0"/>
    <cellStyle name="Currency [0] 4" xfId="0"/>
    <cellStyle name="Currency [0] 5" xfId="0"/>
    <cellStyle name="Currency [0] 6" xfId="0"/>
    <cellStyle name="Currency [0] 7" xfId="0"/>
    <cellStyle name="Currency [0] 8" xfId="0"/>
    <cellStyle name="Currency [0] 9" xfId="0"/>
    <cellStyle name="Currency [1]" xfId="0"/>
    <cellStyle name="Currency [1] 10" xfId="0"/>
    <cellStyle name="Currency [1] 11" xfId="0"/>
    <cellStyle name="Currency [1] 12" xfId="0"/>
    <cellStyle name="Currency [1] 13" xfId="0"/>
    <cellStyle name="Currency [1] 14" xfId="0"/>
    <cellStyle name="Currency [1] 2" xfId="0"/>
    <cellStyle name="Currency [1] 3" xfId="0"/>
    <cellStyle name="Currency [1] 4" xfId="0"/>
    <cellStyle name="Currency [1] 5" xfId="0"/>
    <cellStyle name="Currency [1] 6" xfId="0"/>
    <cellStyle name="Currency [1] 7" xfId="0"/>
    <cellStyle name="Currency [1] 8" xfId="0"/>
    <cellStyle name="Currency [1] 9" xfId="0"/>
    <cellStyle name="Currency [2]" xfId="0"/>
    <cellStyle name="Currency [2] 10" xfId="0"/>
    <cellStyle name="Currency [2] 11" xfId="0"/>
    <cellStyle name="Currency [2] 12" xfId="0"/>
    <cellStyle name="Currency [2] 13" xfId="0"/>
    <cellStyle name="Currency [2] 14" xfId="0"/>
    <cellStyle name="Currency [2] 2" xfId="0"/>
    <cellStyle name="Currency [2] 3" xfId="0"/>
    <cellStyle name="Currency [2] 4" xfId="0"/>
    <cellStyle name="Currency [2] 5" xfId="0"/>
    <cellStyle name="Currency [2] 6" xfId="0"/>
    <cellStyle name="Currency [2] 7" xfId="0"/>
    <cellStyle name="Currency [2] 8" xfId="0"/>
    <cellStyle name="Currency [2] 9" xfId="0"/>
    <cellStyle name="Currency0" xfId="0"/>
    <cellStyle name="Currency_Acquisition stats" xfId="0"/>
    <cellStyle name="current day" xfId="0"/>
    <cellStyle name="DAILY_TITLE" xfId="0"/>
    <cellStyle name="Data" xfId="0"/>
    <cellStyle name="Date" xfId="0"/>
    <cellStyle name="Date [mm-d-yyyy]" xfId="0"/>
    <cellStyle name="Date [mmm-d-yyyy]" xfId="0"/>
    <cellStyle name="Date [mmm-yyyy]" xfId="0"/>
    <cellStyle name="Date Short" xfId="0"/>
    <cellStyle name="Date2" xfId="0"/>
    <cellStyle name="Date_2007-12 TBG suivi filiales Décembre 2007" xfId="0"/>
    <cellStyle name="Dates" xfId="0"/>
    <cellStyle name="Decimal 0,0" xfId="0"/>
    <cellStyle name="Decimal 0,00" xfId="0"/>
    <cellStyle name="Decimal 0,0000" xfId="0"/>
    <cellStyle name="Decimal 0,0000 2" xfId="0"/>
    <cellStyle name="Decimal 0,0000 3" xfId="0"/>
    <cellStyle name="Decimal 0,0000 4" xfId="0"/>
    <cellStyle name="default 1" xfId="0"/>
    <cellStyle name="Dezimal [+line]" xfId="0"/>
    <cellStyle name="Dezimal [0]_Acquisition stats" xfId="0"/>
    <cellStyle name="Dezimal_Acquisition stats" xfId="0"/>
    <cellStyle name="DimDown" xfId="0"/>
    <cellStyle name="DimDownBold" xfId="0"/>
    <cellStyle name="DimDownTitle" xfId="0"/>
    <cellStyle name="Dollar" xfId="0"/>
    <cellStyle name="Dotted" xfId="0"/>
    <cellStyle name="DropDown" xfId="0"/>
    <cellStyle name="Dziesietny [0]_12" xfId="0"/>
    <cellStyle name="Dziesietny_12" xfId="0"/>
    <cellStyle name="Dziesiêtny [0]_MSC &amp; VLR Description" xfId="0"/>
    <cellStyle name="Dziesiêtny_MSC &amp; VLR Description" xfId="0"/>
    <cellStyle name="Eingabe" xfId="0"/>
    <cellStyle name="Emphase 1" xfId="0"/>
    <cellStyle name="Emphase 2" xfId="0"/>
    <cellStyle name="Emphase 3" xfId="0"/>
    <cellStyle name="En-tête 1" xfId="0"/>
    <cellStyle name="En-tête 2" xfId="0"/>
    <cellStyle name="Enter Currency (0)" xfId="0"/>
    <cellStyle name="Enter Currency (0) 2" xfId="0"/>
    <cellStyle name="Enter Currency (2)" xfId="0"/>
    <cellStyle name="Enter Currency (2) 2" xfId="0"/>
    <cellStyle name="Enter Units (0)" xfId="0"/>
    <cellStyle name="Enter Units (0) 2" xfId="0"/>
    <cellStyle name="Enter Units (1)" xfId="0"/>
    <cellStyle name="Enter Units (1) 2" xfId="0"/>
    <cellStyle name="Enter Units (2)" xfId="0"/>
    <cellStyle name="Enter Units (2) 2" xfId="0"/>
    <cellStyle name="Entered" xfId="0"/>
    <cellStyle name="entry box" xfId="0"/>
    <cellStyle name="Entrée 2" xfId="0"/>
    <cellStyle name="Entrée 2 2" xfId="0"/>
    <cellStyle name="Entrée 2 2 2" xfId="0"/>
    <cellStyle name="Entrée 3" xfId="0"/>
    <cellStyle name="Entrée 3 2" xfId="0"/>
    <cellStyle name="Entrée 4" xfId="0"/>
    <cellStyle name="Entrée 4 2" xfId="0"/>
    <cellStyle name="Entrée 5" xfId="0"/>
    <cellStyle name="Entrée 6" xfId="0"/>
    <cellStyle name="Euro" xfId="0"/>
    <cellStyle name="Euro 10" xfId="0"/>
    <cellStyle name="Euro 11" xfId="0"/>
    <cellStyle name="Euro 12" xfId="0"/>
    <cellStyle name="Euro 13" xfId="0"/>
    <cellStyle name="Euro 14" xfId="0"/>
    <cellStyle name="Euro 15" xfId="0"/>
    <cellStyle name="Euro 16" xfId="0"/>
    <cellStyle name="Euro 17" xfId="0"/>
    <cellStyle name="Euro 2" xfId="0"/>
    <cellStyle name="Euro 2 2" xfId="0"/>
    <cellStyle name="Euro 2 2 2" xfId="0"/>
    <cellStyle name="Euro 2 3" xfId="0"/>
    <cellStyle name="Euro 3" xfId="0"/>
    <cellStyle name="Euro 3 2" xfId="0"/>
    <cellStyle name="Euro 4" xfId="0"/>
    <cellStyle name="Euro 4 2" xfId="0"/>
    <cellStyle name="Euro 5" xfId="0"/>
    <cellStyle name="Euro 5 2" xfId="0"/>
    <cellStyle name="Euro 6" xfId="0"/>
    <cellStyle name="Euro 7" xfId="0"/>
    <cellStyle name="Euro 8" xfId="0"/>
    <cellStyle name="Euro 9" xfId="0"/>
    <cellStyle name="Euro_Budget Telmob 2011" xfId="0"/>
    <cellStyle name="Ezres [0]_Cable" xfId="0"/>
    <cellStyle name="Ezres_Cable" xfId="0"/>
    <cellStyle name="F2" xfId="0"/>
    <cellStyle name="F3" xfId="0"/>
    <cellStyle name="F4" xfId="0"/>
    <cellStyle name="F5" xfId="0"/>
    <cellStyle name="F6" xfId="0"/>
    <cellStyle name="F7" xfId="0"/>
    <cellStyle name="F8" xfId="0"/>
    <cellStyle name="Financier0" xfId="0"/>
    <cellStyle name="Fixed" xfId="0"/>
    <cellStyle name="Fixed [0]" xfId="0"/>
    <cellStyle name="Followed Hyperlink_financing modelsc1" xfId="0"/>
    <cellStyle name="format - Style1" xfId="0"/>
    <cellStyle name="Formula" xfId="0"/>
    <cellStyle name="Giga" xfId="0"/>
    <cellStyle name="Giga 2" xfId="0"/>
    <cellStyle name="GRAS" xfId="0"/>
    <cellStyle name="GRAS 2" xfId="0"/>
    <cellStyle name="Grey" xfId="0"/>
    <cellStyle name="Growth" xfId="0"/>
    <cellStyle name="Header" xfId="0"/>
    <cellStyle name="Header Total" xfId="0"/>
    <cellStyle name="Header1" xfId="0"/>
    <cellStyle name="Header2" xfId="0"/>
    <cellStyle name="Header3" xfId="0"/>
    <cellStyle name="Header4" xfId="0"/>
    <cellStyle name="header_Annexe 2" xfId="0"/>
    <cellStyle name="Heading 1 9" xfId="0"/>
    <cellStyle name="Heading 2 10" xfId="0"/>
    <cellStyle name="Heading 3" xfId="0"/>
    <cellStyle name="Heading 4" xfId="0"/>
    <cellStyle name="Heading 4 2" xfId="0"/>
    <cellStyle name="Heading 4 3" xfId="0"/>
    <cellStyle name="Heading 4 4" xfId="0"/>
    <cellStyle name="Heading 5" xfId="0"/>
    <cellStyle name="Heading 6" xfId="0"/>
    <cellStyle name="Heading 7" xfId="0"/>
    <cellStyle name="Heading 8" xfId="0"/>
    <cellStyle name="Heading bar" xfId="0"/>
    <cellStyle name="Heading I" xfId="0"/>
    <cellStyle name="Heading page" xfId="0"/>
    <cellStyle name="Heading 1" xfId="0"/>
    <cellStyle name="Heading2" xfId="0"/>
    <cellStyle name="Heading_Actu 1 du Budget Annuel Groupe IAM  2007" xfId="0"/>
    <cellStyle name="HEADINGS" xfId="0"/>
    <cellStyle name="HEADINGSTOP" xfId="0"/>
    <cellStyle name="Headline1" xfId="0"/>
    <cellStyle name="Headline2" xfId="0"/>
    <cellStyle name="Headline3" xfId="0"/>
    <cellStyle name="Hidden Decimal 0,00" xfId="0"/>
    <cellStyle name="Hyperlink_financing modelsc1" xfId="0"/>
    <cellStyle name="In Dates" xfId="0"/>
    <cellStyle name="In Growth" xfId="0"/>
    <cellStyle name="In Link" xfId="0"/>
    <cellStyle name="In Multiple" xfId="0"/>
    <cellStyle name="In Normal" xfId="0"/>
    <cellStyle name="In Percent" xfId="0"/>
    <cellStyle name="In Years" xfId="0"/>
    <cellStyle name="indicatif_nv" xfId="0"/>
    <cellStyle name="Input [%00]" xfId="0"/>
    <cellStyle name="Input [%0]" xfId="0"/>
    <cellStyle name="Input [%]" xfId="0"/>
    <cellStyle name="Input [00]" xfId="0"/>
    <cellStyle name="Input [0]" xfId="0"/>
    <cellStyle name="Input [yellow]" xfId="0"/>
    <cellStyle name="Input Cell" xfId="0"/>
    <cellStyle name="Input Currency" xfId="0"/>
    <cellStyle name="Input Currency 10" xfId="0"/>
    <cellStyle name="Input Currency 11" xfId="0"/>
    <cellStyle name="Input Currency 12" xfId="0"/>
    <cellStyle name="Input Currency 13" xfId="0"/>
    <cellStyle name="Input Currency 14" xfId="0"/>
    <cellStyle name="Input Currency 2" xfId="0"/>
    <cellStyle name="Input Currency 3" xfId="0"/>
    <cellStyle name="Input Currency 4" xfId="0"/>
    <cellStyle name="Input Currency 5" xfId="0"/>
    <cellStyle name="Input Currency 6" xfId="0"/>
    <cellStyle name="Input Currency 7" xfId="0"/>
    <cellStyle name="Input Currency 8" xfId="0"/>
    <cellStyle name="Input Currency 9" xfId="0"/>
    <cellStyle name="Input Decimal 0" xfId="0"/>
    <cellStyle name="Input Decimal 0,00" xfId="0"/>
    <cellStyle name="Input Decimal 0_7.2.3. CAPEX" xfId="0"/>
    <cellStyle name="Input Normal" xfId="0"/>
    <cellStyle name="Input Normal 10" xfId="0"/>
    <cellStyle name="Input Normal 11" xfId="0"/>
    <cellStyle name="Input Normal 12" xfId="0"/>
    <cellStyle name="Input Normal 13" xfId="0"/>
    <cellStyle name="Input Normal 14" xfId="0"/>
    <cellStyle name="Input Normal 2" xfId="0"/>
    <cellStyle name="Input Normal 3" xfId="0"/>
    <cellStyle name="Input Normal 4" xfId="0"/>
    <cellStyle name="Input Normal 5" xfId="0"/>
    <cellStyle name="Input Normal 6" xfId="0"/>
    <cellStyle name="Input Normal 7" xfId="0"/>
    <cellStyle name="Input Normal 8" xfId="0"/>
    <cellStyle name="Input Normal 9" xfId="0"/>
    <cellStyle name="Input Percent" xfId="0"/>
    <cellStyle name="Input Percent 0" xfId="0"/>
    <cellStyle name="Input Percent 0,00" xfId="0"/>
    <cellStyle name="Input Percent 0_7.2.3. CAPEX" xfId="0"/>
    <cellStyle name="Input Percent 10" xfId="0"/>
    <cellStyle name="Input Percent 11" xfId="0"/>
    <cellStyle name="Input Percent 12" xfId="0"/>
    <cellStyle name="Input Percent 13" xfId="0"/>
    <cellStyle name="Input Percent 14" xfId="0"/>
    <cellStyle name="Input Percent 2" xfId="0"/>
    <cellStyle name="Input Percent 3" xfId="0"/>
    <cellStyle name="Input Percent 4" xfId="0"/>
    <cellStyle name="Input Percent 5" xfId="0"/>
    <cellStyle name="Input Percent 6" xfId="0"/>
    <cellStyle name="Input Percent 7" xfId="0"/>
    <cellStyle name="Input Percent 8" xfId="0"/>
    <cellStyle name="Input Percent 9" xfId="0"/>
    <cellStyle name="Input Percent_2007-12 TBG suivi filiales Décembre 2007" xfId="0"/>
    <cellStyle name="Input Titles" xfId="0"/>
    <cellStyle name="Input_Actu 1 du Budget Annuel Groupe IAM  2007" xfId="0"/>
    <cellStyle name="InputDetailDate" xfId="0"/>
    <cellStyle name="InputDetailInt" xfId="0"/>
    <cellStyle name="InputDetailPct" xfId="0"/>
    <cellStyle name="InputLockedInt" xfId="0"/>
    <cellStyle name="InputLockedPct" xfId="0"/>
    <cellStyle name="Insatisfaisant 2" xfId="0"/>
    <cellStyle name="Insatisfaisant 2 2" xfId="0"/>
    <cellStyle name="Insatisfaisant 2 2 2" xfId="0"/>
    <cellStyle name="Insatisfaisant 3" xfId="0"/>
    <cellStyle name="Insatisfaisant 3 2" xfId="0"/>
    <cellStyle name="Insatisfaisant 4" xfId="0"/>
    <cellStyle name="Insatisfaisant 4 2" xfId="0"/>
    <cellStyle name="Insatisfaisant 5" xfId="0"/>
    <cellStyle name="Insatisfaisant 6" xfId="0"/>
    <cellStyle name="Kilo" xfId="0"/>
    <cellStyle name="Kilo 2" xfId="0"/>
    <cellStyle name="Legal 8½ x 14 in" xfId="0"/>
    <cellStyle name="Lien hypertexte 2" xfId="0"/>
    <cellStyle name="Link Currency (0)" xfId="0"/>
    <cellStyle name="Link Currency (0) 2" xfId="0"/>
    <cellStyle name="Link Currency (2)" xfId="0"/>
    <cellStyle name="Link Currency (2) 2" xfId="0"/>
    <cellStyle name="Link Units (0)" xfId="0"/>
    <cellStyle name="Link Units (0) 2" xfId="0"/>
    <cellStyle name="Link Units (1)" xfId="0"/>
    <cellStyle name="Link Units (1) 2" xfId="0"/>
    <cellStyle name="Link Units (2)" xfId="0"/>
    <cellStyle name="Link Units (2) 2" xfId="0"/>
    <cellStyle name="Mega" xfId="0"/>
    <cellStyle name="Mega 2" xfId="0"/>
    <cellStyle name="Millares [0]_BSC 3&amp;4" xfId="0"/>
    <cellStyle name="Millares_BSC 3&amp;4" xfId="0"/>
    <cellStyle name="Milliers 10" xfId="0"/>
    <cellStyle name="Milliers 10 2" xfId="0"/>
    <cellStyle name="Milliers 11" xfId="0"/>
    <cellStyle name="Milliers 11 2" xfId="0"/>
    <cellStyle name="Milliers 12" xfId="0"/>
    <cellStyle name="Milliers 12 2" xfId="0"/>
    <cellStyle name="Milliers 13" xfId="0"/>
    <cellStyle name="Milliers 13 2" xfId="0"/>
    <cellStyle name="Milliers 14" xfId="0"/>
    <cellStyle name="Milliers 14 2" xfId="0"/>
    <cellStyle name="Milliers 14 2 2" xfId="0"/>
    <cellStyle name="Milliers 14 2 3" xfId="0"/>
    <cellStyle name="Milliers 14 3" xfId="0"/>
    <cellStyle name="Milliers 14 4" xfId="0"/>
    <cellStyle name="Milliers 15" xfId="0"/>
    <cellStyle name="Milliers 16" xfId="0"/>
    <cellStyle name="Milliers 16 2" xfId="0"/>
    <cellStyle name="Milliers 16 3" xfId="0"/>
    <cellStyle name="Milliers 17" xfId="0"/>
    <cellStyle name="Milliers 18" xfId="0"/>
    <cellStyle name="Milliers 18 2" xfId="0"/>
    <cellStyle name="Milliers 18 3" xfId="0"/>
    <cellStyle name="Milliers 19" xfId="0"/>
    <cellStyle name="Milliers 19 2" xfId="0"/>
    <cellStyle name="Milliers 2" xfId="0"/>
    <cellStyle name="Milliers 2 10" xfId="0"/>
    <cellStyle name="Milliers 2 11" xfId="0"/>
    <cellStyle name="Milliers 2 12" xfId="0"/>
    <cellStyle name="Milliers 2 13" xfId="0"/>
    <cellStyle name="Milliers 2 14" xfId="0"/>
    <cellStyle name="Milliers 2 15" xfId="0"/>
    <cellStyle name="Milliers 2 16" xfId="0"/>
    <cellStyle name="Milliers 2 17" xfId="0"/>
    <cellStyle name="Milliers 2 2" xfId="0"/>
    <cellStyle name="Milliers 2 2 2" xfId="0"/>
    <cellStyle name="Milliers 2 2 3" xfId="0"/>
    <cellStyle name="Milliers 2 3" xfId="0"/>
    <cellStyle name="Milliers 2 4" xfId="0"/>
    <cellStyle name="Milliers 2 4 2" xfId="0"/>
    <cellStyle name="Milliers 2 5" xfId="0"/>
    <cellStyle name="Milliers 2 6" xfId="0"/>
    <cellStyle name="Milliers 2 6 2" xfId="0"/>
    <cellStyle name="Milliers 2 7" xfId="0"/>
    <cellStyle name="Milliers 2 8" xfId="0"/>
    <cellStyle name="Milliers 2 9" xfId="0"/>
    <cellStyle name="Milliers 20" xfId="0"/>
    <cellStyle name="Milliers 21" xfId="0"/>
    <cellStyle name="Milliers 3" xfId="0"/>
    <cellStyle name="Milliers 3 10" xfId="0"/>
    <cellStyle name="Milliers 3 11" xfId="0"/>
    <cellStyle name="Milliers 3 11 2" xfId="0"/>
    <cellStyle name="Milliers 3 11 3" xfId="0"/>
    <cellStyle name="Milliers 3 2" xfId="0"/>
    <cellStyle name="Milliers 3 2 2" xfId="0"/>
    <cellStyle name="Milliers 3 3" xfId="0"/>
    <cellStyle name="Milliers 3 4" xfId="0"/>
    <cellStyle name="Milliers 3 5" xfId="0"/>
    <cellStyle name="Milliers 3 6" xfId="0"/>
    <cellStyle name="Milliers 3 7" xfId="0"/>
    <cellStyle name="Milliers 3 8" xfId="0"/>
    <cellStyle name="Milliers 3 9" xfId="0"/>
    <cellStyle name="Milliers 4" xfId="0"/>
    <cellStyle name="Milliers 4 10" xfId="0"/>
    <cellStyle name="Milliers 4 2" xfId="0"/>
    <cellStyle name="Milliers 4 2 2" xfId="0"/>
    <cellStyle name="Milliers 4 2 3" xfId="0"/>
    <cellStyle name="Milliers 4 3" xfId="0"/>
    <cellStyle name="Milliers 4 3 2" xfId="0"/>
    <cellStyle name="Milliers 4 4" xfId="0"/>
    <cellStyle name="Milliers 4 5" xfId="0"/>
    <cellStyle name="Milliers 4 6" xfId="0"/>
    <cellStyle name="Milliers 4 7" xfId="0"/>
    <cellStyle name="Milliers 4 8" xfId="0"/>
    <cellStyle name="Milliers 4 9" xfId="0"/>
    <cellStyle name="Milliers 5" xfId="0"/>
    <cellStyle name="Milliers 5 2" xfId="0"/>
    <cellStyle name="Milliers 5 2 2" xfId="0"/>
    <cellStyle name="Milliers 5 3" xfId="0"/>
    <cellStyle name="Milliers 5 3 2" xfId="0"/>
    <cellStyle name="Milliers 5 4" xfId="0"/>
    <cellStyle name="Milliers 5 5" xfId="0"/>
    <cellStyle name="Milliers 5 6" xfId="0"/>
    <cellStyle name="Milliers 5 7" xfId="0"/>
    <cellStyle name="Milliers 6" xfId="0"/>
    <cellStyle name="Milliers 6 2" xfId="0"/>
    <cellStyle name="Milliers 7" xfId="0"/>
    <cellStyle name="Milliers 7 2" xfId="0"/>
    <cellStyle name="Milliers 7 2 2" xfId="0"/>
    <cellStyle name="Milliers 7 2 3" xfId="0"/>
    <cellStyle name="Milliers 7 3" xfId="0"/>
    <cellStyle name="Milliers 7 4" xfId="0"/>
    <cellStyle name="Milliers 8" xfId="0"/>
    <cellStyle name="Milliers 8 2" xfId="0"/>
    <cellStyle name="Milliers 8 3" xfId="0"/>
    <cellStyle name="Milliers 9" xfId="0"/>
    <cellStyle name="Milliers 9 2" xfId="0"/>
    <cellStyle name="Milliers 9 3" xfId="0"/>
    <cellStyle name="Milliers 9_CA Fixe" xfId="0"/>
    <cellStyle name="Millions" xfId="0"/>
    <cellStyle name="Millions 10" xfId="0"/>
    <cellStyle name="millions 11" xfId="0"/>
    <cellStyle name="millions 12" xfId="0"/>
    <cellStyle name="millions 2" xfId="0"/>
    <cellStyle name="Millions 3" xfId="0"/>
    <cellStyle name="Millions 4" xfId="0"/>
    <cellStyle name="Millions 5" xfId="0"/>
    <cellStyle name="Millions 6" xfId="0"/>
    <cellStyle name="Millions 7" xfId="0"/>
    <cellStyle name="Millions 8" xfId="0"/>
    <cellStyle name="Millions 9" xfId="0"/>
    <cellStyle name="Mon_Year" xfId="0"/>
    <cellStyle name="Moneda [0]_BSC 3&amp;4" xfId="0"/>
    <cellStyle name="Moneda_BSC 3&amp;4" xfId="0"/>
    <cellStyle name="Monétaire 2" xfId="0"/>
    <cellStyle name="Monétaire 2 2" xfId="0"/>
    <cellStyle name="Monétaire 2 3" xfId="0"/>
    <cellStyle name="Monétaire 2 4" xfId="0"/>
    <cellStyle name="Monétaire 2 5" xfId="0"/>
    <cellStyle name="Monétaire 2 6" xfId="0"/>
    <cellStyle name="Monétaire 2 7" xfId="0"/>
    <cellStyle name="Monétaire 2 8" xfId="0"/>
    <cellStyle name="Monétaire 2 9" xfId="0"/>
    <cellStyle name="Monétaire0" xfId="0"/>
    <cellStyle name="MS_English" xfId="0"/>
    <cellStyle name="Multiple" xfId="0"/>
    <cellStyle name="NA is zero" xfId="0"/>
    <cellStyle name="NA is zero 10" xfId="0"/>
    <cellStyle name="NA is zero 11" xfId="0"/>
    <cellStyle name="NA is zero 12" xfId="0"/>
    <cellStyle name="NA is zero 13" xfId="0"/>
    <cellStyle name="NA is zero 14" xfId="0"/>
    <cellStyle name="NA is zero 2" xfId="0"/>
    <cellStyle name="NA is zero 3" xfId="0"/>
    <cellStyle name="NA is zero 4" xfId="0"/>
    <cellStyle name="NA is zero 5" xfId="0"/>
    <cellStyle name="NA is zero 6" xfId="0"/>
    <cellStyle name="NA is zero 7" xfId="0"/>
    <cellStyle name="NA is zero 8" xfId="0"/>
    <cellStyle name="NA is zero 9" xfId="0"/>
    <cellStyle name="Names" xfId="0"/>
    <cellStyle name="Neutre 2" xfId="0"/>
    <cellStyle name="Neutre 2 2" xfId="0"/>
    <cellStyle name="Neutre 2 2 2" xfId="0"/>
    <cellStyle name="Neutre 3" xfId="0"/>
    <cellStyle name="Neutre 3 2" xfId="0"/>
    <cellStyle name="Neutre 4" xfId="0"/>
    <cellStyle name="Neutre 4 2" xfId="0"/>
    <cellStyle name="Neutre 5" xfId="0"/>
    <cellStyle name="Neutre 6" xfId="0"/>
    <cellStyle name="new style" xfId="0"/>
    <cellStyle name="no dec" xfId="0"/>
    <cellStyle name="nonmultiple" xfId="0"/>
    <cellStyle name="NonPrint_Heading" xfId="0"/>
    <cellStyle name="Normal - Style1" xfId="0"/>
    <cellStyle name="Normal - Style1 2" xfId="0"/>
    <cellStyle name="Normal - Style1 3" xfId="0"/>
    <cellStyle name="Normal 10" xfId="0"/>
    <cellStyle name="Normal 100" xfId="0"/>
    <cellStyle name="Normal 101" xfId="0"/>
    <cellStyle name="Normal 11" xfId="0"/>
    <cellStyle name="Normal 11 2" xfId="0"/>
    <cellStyle name="Normal 12" xfId="0"/>
    <cellStyle name="Normal 12 2" xfId="0"/>
    <cellStyle name="Normal 12 2 2" xfId="0"/>
    <cellStyle name="Normal 12 2 3" xfId="0"/>
    <cellStyle name="Normal 12 2 3 2" xfId="0"/>
    <cellStyle name="Normal 12 2 3 3" xfId="0"/>
    <cellStyle name="Normal 12 2 4" xfId="0"/>
    <cellStyle name="Normal 12 2 4 2" xfId="0"/>
    <cellStyle name="Normal 12 2 4 3" xfId="0"/>
    <cellStyle name="Normal 12 2 5" xfId="0"/>
    <cellStyle name="Normal 12 2 6" xfId="0"/>
    <cellStyle name="Normal 12 2 7" xfId="0"/>
    <cellStyle name="Normal 12 3" xfId="0"/>
    <cellStyle name="Normal 12 4" xfId="0"/>
    <cellStyle name="Normal 12 4 2" xfId="0"/>
    <cellStyle name="Normal 12 4 3" xfId="0"/>
    <cellStyle name="Normal 12 5" xfId="0"/>
    <cellStyle name="Normal 12 5 2" xfId="0"/>
    <cellStyle name="Normal 12 5 3" xfId="0"/>
    <cellStyle name="Normal 12 6" xfId="0"/>
    <cellStyle name="Normal 12 7" xfId="0"/>
    <cellStyle name="Normal 13" xfId="0"/>
    <cellStyle name="Normal 13 2" xfId="0"/>
    <cellStyle name="Normal 13 2 2" xfId="0"/>
    <cellStyle name="Normal 14" xfId="0"/>
    <cellStyle name="Normal 14 2" xfId="0"/>
    <cellStyle name="Normal 14 2 2" xfId="0"/>
    <cellStyle name="Normal 15" xfId="0"/>
    <cellStyle name="Normal 15 2" xfId="0"/>
    <cellStyle name="Normal 15 2 2" xfId="0"/>
    <cellStyle name="Normal 16" xfId="0"/>
    <cellStyle name="Normal 16 2" xfId="0"/>
    <cellStyle name="Normal 16 2 2" xfId="0"/>
    <cellStyle name="Normal 16 3" xfId="0"/>
    <cellStyle name="Normal 16 4" xfId="0"/>
    <cellStyle name="Normal 17" xfId="0"/>
    <cellStyle name="Normal 17 2" xfId="0"/>
    <cellStyle name="Normal 17 2 2" xfId="0"/>
    <cellStyle name="Normal 18" xfId="0"/>
    <cellStyle name="Normal 18 2" xfId="0"/>
    <cellStyle name="Normal 18 2 2" xfId="0"/>
    <cellStyle name="Normal 19" xfId="0"/>
    <cellStyle name="Normal 19 2" xfId="0"/>
    <cellStyle name="Normal 19 2 2" xfId="0"/>
    <cellStyle name="Normal 2" xfId="0"/>
    <cellStyle name="Normal 2 10" xfId="0"/>
    <cellStyle name="Normal 2 11" xfId="0"/>
    <cellStyle name="Normal 2 2" xfId="0"/>
    <cellStyle name="Normal 2 2 10" xfId="0"/>
    <cellStyle name="Normal 2 2 2" xfId="0"/>
    <cellStyle name="Normal 2 2 3" xfId="0"/>
    <cellStyle name="Normal 2 2 3 2" xfId="0"/>
    <cellStyle name="Normal 2 2 4" xfId="0"/>
    <cellStyle name="Normal 2 2 5" xfId="0"/>
    <cellStyle name="Normal 2 2 6" xfId="0"/>
    <cellStyle name="Normal 2 2 7" xfId="0"/>
    <cellStyle name="Normal 2 2 8" xfId="0"/>
    <cellStyle name="Normal 2 2 9" xfId="0"/>
    <cellStyle name="Normal 2 2_CA- Fixe- Seg" xfId="0"/>
    <cellStyle name="Normal 2 3" xfId="0"/>
    <cellStyle name="Normal 2 3 2" xfId="0"/>
    <cellStyle name="Normal 2 3 3" xfId="0"/>
    <cellStyle name="Normal 2 3 4" xfId="0"/>
    <cellStyle name="Normal 2 3 5" xfId="0"/>
    <cellStyle name="Normal 2 3 6" xfId="0"/>
    <cellStyle name="Normal 2 3 7" xfId="0"/>
    <cellStyle name="Normal 2 3 8" xfId="0"/>
    <cellStyle name="Normal 2 3 9" xfId="0"/>
    <cellStyle name="Normal 2 4" xfId="0"/>
    <cellStyle name="Normal 2 5" xfId="0"/>
    <cellStyle name="Normal 2 6" xfId="0"/>
    <cellStyle name="Normal 2 7" xfId="0"/>
    <cellStyle name="Normal 2 8" xfId="0"/>
    <cellStyle name="Normal 2 9" xfId="0"/>
    <cellStyle name="Normal 20" xfId="0"/>
    <cellStyle name="Normal 20 2" xfId="0"/>
    <cellStyle name="Normal 20 2 2" xfId="0"/>
    <cellStyle name="Normal 20 2 2 2" xfId="0"/>
    <cellStyle name="Normal 20 2 2 3" xfId="0"/>
    <cellStyle name="Normal 20 2 3" xfId="0"/>
    <cellStyle name="Normal 20 2 3 2" xfId="0"/>
    <cellStyle name="Normal 20 2 3 3" xfId="0"/>
    <cellStyle name="Normal 20 2 4" xfId="0"/>
    <cellStyle name="Normal 20 2 5" xfId="0"/>
    <cellStyle name="Normal 20 2 6" xfId="0"/>
    <cellStyle name="Normal 20 3" xfId="0"/>
    <cellStyle name="Normal 20 4" xfId="0"/>
    <cellStyle name="Normal 20 4 2" xfId="0"/>
    <cellStyle name="Normal 20 4 3" xfId="0"/>
    <cellStyle name="Normal 20 5" xfId="0"/>
    <cellStyle name="Normal 20 5 2" xfId="0"/>
    <cellStyle name="Normal 20 5 3" xfId="0"/>
    <cellStyle name="Normal 20 6" xfId="0"/>
    <cellStyle name="Normal 20 7" xfId="0"/>
    <cellStyle name="Normal 21" xfId="0"/>
    <cellStyle name="Normal 21 2" xfId="0"/>
    <cellStyle name="Normal 21 2 2" xfId="0"/>
    <cellStyle name="Normal 21 2 2 2" xfId="0"/>
    <cellStyle name="Normal 21 2 2 3" xfId="0"/>
    <cellStyle name="Normal 21 2 3" xfId="0"/>
    <cellStyle name="Normal 21 2 3 2" xfId="0"/>
    <cellStyle name="Normal 21 2 3 3" xfId="0"/>
    <cellStyle name="Normal 21 2 4" xfId="0"/>
    <cellStyle name="Normal 21 2 5" xfId="0"/>
    <cellStyle name="Normal 21 2 6" xfId="0"/>
    <cellStyle name="Normal 21 3" xfId="0"/>
    <cellStyle name="Normal 21 4" xfId="0"/>
    <cellStyle name="Normal 21 4 2" xfId="0"/>
    <cellStyle name="Normal 21 4 3" xfId="0"/>
    <cellStyle name="Normal 21 5" xfId="0"/>
    <cellStyle name="Normal 21 5 2" xfId="0"/>
    <cellStyle name="Normal 21 5 3" xfId="0"/>
    <cellStyle name="Normal 21 6" xfId="0"/>
    <cellStyle name="Normal 21 7" xfId="0"/>
    <cellStyle name="Normal 22" xfId="0"/>
    <cellStyle name="Normal 22 2" xfId="0"/>
    <cellStyle name="Normal 22 2 2" xfId="0"/>
    <cellStyle name="Normal 23" xfId="0"/>
    <cellStyle name="Normal 23 2" xfId="0"/>
    <cellStyle name="Normal 23 2 2" xfId="0"/>
    <cellStyle name="Normal 23 2 3" xfId="0"/>
    <cellStyle name="Normal 23 3" xfId="0"/>
    <cellStyle name="Normal 23 4" xfId="0"/>
    <cellStyle name="Normal 23 5" xfId="0"/>
    <cellStyle name="Normal 24" xfId="0"/>
    <cellStyle name="Normal 24 2" xfId="0"/>
    <cellStyle name="Normal 24 2 2" xfId="0"/>
    <cellStyle name="Normal 24 2 3" xfId="0"/>
    <cellStyle name="Normal 24 3" xfId="0"/>
    <cellStyle name="Normal 24 4" xfId="0"/>
    <cellStyle name="Normal 24 5" xfId="0"/>
    <cellStyle name="Normal 25" xfId="0"/>
    <cellStyle name="Normal 25 2" xfId="0"/>
    <cellStyle name="Normal 25 2 2" xfId="0"/>
    <cellStyle name="Normal 25 2 3" xfId="0"/>
    <cellStyle name="Normal 25 3" xfId="0"/>
    <cellStyle name="Normal 25 4" xfId="0"/>
    <cellStyle name="Normal 25 5" xfId="0"/>
    <cellStyle name="Normal 26" xfId="0"/>
    <cellStyle name="Normal 26 2" xfId="0"/>
    <cellStyle name="Normal 26 2 2" xfId="0"/>
    <cellStyle name="Normal 26 2 3" xfId="0"/>
    <cellStyle name="Normal 26 3" xfId="0"/>
    <cellStyle name="Normal 26 4" xfId="0"/>
    <cellStyle name="Normal 26 5" xfId="0"/>
    <cellStyle name="Normal 27" xfId="0"/>
    <cellStyle name="Normal 27 2" xfId="0"/>
    <cellStyle name="Normal 27 2 2" xfId="0"/>
    <cellStyle name="Normal 27 2 3" xfId="0"/>
    <cellStyle name="Normal 27 3" xfId="0"/>
    <cellStyle name="Normal 27 4" xfId="0"/>
    <cellStyle name="Normal 27 5" xfId="0"/>
    <cellStyle name="Normal 28" xfId="0"/>
    <cellStyle name="Normal 29" xfId="0"/>
    <cellStyle name="Normal 2_banfora" xfId="0"/>
    <cellStyle name="Normal 3" xfId="0"/>
    <cellStyle name="Normal 3 10" xfId="0"/>
    <cellStyle name="Normal 3 11" xfId="0"/>
    <cellStyle name="Normal 3 12" xfId="0"/>
    <cellStyle name="Normal 3 12 2" xfId="0"/>
    <cellStyle name="Normal 3 12 3" xfId="0"/>
    <cellStyle name="Normal 3 13" xfId="0"/>
    <cellStyle name="Normal 3 2" xfId="0"/>
    <cellStyle name="Normal 3 2 2" xfId="0"/>
    <cellStyle name="Normal 3 2 2 2" xfId="0"/>
    <cellStyle name="Normal 3 2 2 2 2" xfId="0"/>
    <cellStyle name="Normal 3 2 2 2 3" xfId="0"/>
    <cellStyle name="Normal 3 2 2 3" xfId="0"/>
    <cellStyle name="Normal 3 2 2 3 2" xfId="0"/>
    <cellStyle name="Normal 3 2 2 3 3" xfId="0"/>
    <cellStyle name="Normal 3 2 2 4" xfId="0"/>
    <cellStyle name="Normal 3 2 2 5" xfId="0"/>
    <cellStyle name="Normal 3 2 3" xfId="0"/>
    <cellStyle name="Normal 3 2 4" xfId="0"/>
    <cellStyle name="Normal 3 2 4 2" xfId="0"/>
    <cellStyle name="Normal 3 2 4 3" xfId="0"/>
    <cellStyle name="Normal 3 2 5" xfId="0"/>
    <cellStyle name="Normal 3 2 5 2" xfId="0"/>
    <cellStyle name="Normal 3 2 5 3" xfId="0"/>
    <cellStyle name="Normal 3 2 6" xfId="0"/>
    <cellStyle name="Normal 3 2 7" xfId="0"/>
    <cellStyle name="Normal 3 3" xfId="0"/>
    <cellStyle name="Normal 3 3 2" xfId="0"/>
    <cellStyle name="Normal 3 3 3" xfId="0"/>
    <cellStyle name="Normal 3 3 3 2" xfId="0"/>
    <cellStyle name="Normal 3 3 3 3" xfId="0"/>
    <cellStyle name="Normal 3 3 4" xfId="0"/>
    <cellStyle name="Normal 3 3 5" xfId="0"/>
    <cellStyle name="Normal 3 4" xfId="0"/>
    <cellStyle name="Normal 3 5" xfId="0"/>
    <cellStyle name="Normal 3 6" xfId="0"/>
    <cellStyle name="Normal 3 7" xfId="0"/>
    <cellStyle name="Normal 3 8" xfId="0"/>
    <cellStyle name="Normal 3 9" xfId="0"/>
    <cellStyle name="Normal 30" xfId="0"/>
    <cellStyle name="Normal 31" xfId="0"/>
    <cellStyle name="Normal 32" xfId="0"/>
    <cellStyle name="Normal 33" xfId="0"/>
    <cellStyle name="Normal 34" xfId="0"/>
    <cellStyle name="Normal 35" xfId="0"/>
    <cellStyle name="Normal 36" xfId="0"/>
    <cellStyle name="Normal 37" xfId="0"/>
    <cellStyle name="Normal 38" xfId="0"/>
    <cellStyle name="Normal 39" xfId="0"/>
    <cellStyle name="Normal 3_banfora" xfId="0"/>
    <cellStyle name="Normal 4" xfId="0"/>
    <cellStyle name="Normal 4 10" xfId="0"/>
    <cellStyle name="Normal 4 11" xfId="0"/>
    <cellStyle name="Normal 4 12" xfId="0"/>
    <cellStyle name="Normal 4 13" xfId="0"/>
    <cellStyle name="Normal 4 14" xfId="0"/>
    <cellStyle name="Normal 4 14 2" xfId="0"/>
    <cellStyle name="Normal 4 14 3" xfId="0"/>
    <cellStyle name="Normal 4 15" xfId="0"/>
    <cellStyle name="Normal 4 16" xfId="0"/>
    <cellStyle name="Normal 4 16 2" xfId="0"/>
    <cellStyle name="Normal 4 16 3" xfId="0"/>
    <cellStyle name="Normal 4 17" xfId="0"/>
    <cellStyle name="Normal 4 18" xfId="0"/>
    <cellStyle name="Normal 4 2" xfId="0"/>
    <cellStyle name="Normal 4 2 2" xfId="0"/>
    <cellStyle name="Normal 4 2 3" xfId="0"/>
    <cellStyle name="Normal 4 2 3 2" xfId="0"/>
    <cellStyle name="Normal 4 2 3 3" xfId="0"/>
    <cellStyle name="Normal 4 2 4" xfId="0"/>
    <cellStyle name="Normal 4 2 4 2" xfId="0"/>
    <cellStyle name="Normal 4 2 4 3" xfId="0"/>
    <cellStyle name="Normal 4 2 5" xfId="0"/>
    <cellStyle name="Normal 4 2 6" xfId="0"/>
    <cellStyle name="Normal 4 3" xfId="0"/>
    <cellStyle name="Normal 4 4" xfId="0"/>
    <cellStyle name="Normal 4 5" xfId="0"/>
    <cellStyle name="Normal 4 6" xfId="0"/>
    <cellStyle name="Normal 4 7" xfId="0"/>
    <cellStyle name="Normal 4 8" xfId="0"/>
    <cellStyle name="Normal 4 9" xfId="0"/>
    <cellStyle name="Normal 40" xfId="0"/>
    <cellStyle name="Normal 41" xfId="0"/>
    <cellStyle name="Normal 42" xfId="0"/>
    <cellStyle name="Normal 43" xfId="0"/>
    <cellStyle name="Normal 43 2" xfId="0"/>
    <cellStyle name="Normal 43 3" xfId="0"/>
    <cellStyle name="Normal 44" xfId="0"/>
    <cellStyle name="Normal 45" xfId="0"/>
    <cellStyle name="Normal 46" xfId="0"/>
    <cellStyle name="Normal 47" xfId="0"/>
    <cellStyle name="Normal 48" xfId="0"/>
    <cellStyle name="Normal 49" xfId="0"/>
    <cellStyle name="Normal 5" xfId="0"/>
    <cellStyle name="Normal 5 2" xfId="0"/>
    <cellStyle name="Normal 5 2 2" xfId="0"/>
    <cellStyle name="Normal 5 2 2 2" xfId="0"/>
    <cellStyle name="Normal 5 2 2 2 2" xfId="0"/>
    <cellStyle name="Normal 5 2 2 2 3" xfId="0"/>
    <cellStyle name="Normal 5 2 2 3" xfId="0"/>
    <cellStyle name="Normal 5 2 2 3 2" xfId="0"/>
    <cellStyle name="Normal 5 2 2 3 3" xfId="0"/>
    <cellStyle name="Normal 5 2 2 4" xfId="0"/>
    <cellStyle name="Normal 5 2 2 5" xfId="0"/>
    <cellStyle name="Normal 5 2 3" xfId="0"/>
    <cellStyle name="Normal 5 2 4" xfId="0"/>
    <cellStyle name="Normal 5 2 4 2" xfId="0"/>
    <cellStyle name="Normal 5 2 4 3" xfId="0"/>
    <cellStyle name="Normal 5 2 5" xfId="0"/>
    <cellStyle name="Normal 5 2 5 2" xfId="0"/>
    <cellStyle name="Normal 5 2 5 3" xfId="0"/>
    <cellStyle name="Normal 5 2 6" xfId="0"/>
    <cellStyle name="Normal 5 2 7" xfId="0"/>
    <cellStyle name="Normal 5 2 8" xfId="0"/>
    <cellStyle name="Normal 5 3" xfId="0"/>
    <cellStyle name="Normal 50" xfId="0"/>
    <cellStyle name="Normal 51" xfId="0"/>
    <cellStyle name="Normal 52" xfId="0"/>
    <cellStyle name="Normal 53" xfId="0"/>
    <cellStyle name="Normal 54" xfId="0"/>
    <cellStyle name="Normal 55" xfId="0"/>
    <cellStyle name="Normal 55 2" xfId="0"/>
    <cellStyle name="Normal 55 3" xfId="0"/>
    <cellStyle name="Normal 56" xfId="0"/>
    <cellStyle name="Normal 57" xfId="0"/>
    <cellStyle name="Normal 58" xfId="0"/>
    <cellStyle name="Normal 59" xfId="0"/>
    <cellStyle name="Normal 5_ouaga distribution" xfId="0"/>
    <cellStyle name="Normal 6" xfId="0"/>
    <cellStyle name="Normal 6 2" xfId="0"/>
    <cellStyle name="Normal 6 2 2" xfId="0"/>
    <cellStyle name="Normal 6 2 3" xfId="0"/>
    <cellStyle name="Normal 6 2 3 2" xfId="0"/>
    <cellStyle name="Normal 6 2 3 2 2" xfId="0"/>
    <cellStyle name="Normal 6 2 3 2 3" xfId="0"/>
    <cellStyle name="Normal 6 2 3 3" xfId="0"/>
    <cellStyle name="Normal 6 2 3 3 2" xfId="0"/>
    <cellStyle name="Normal 6 2 3 3 3" xfId="0"/>
    <cellStyle name="Normal 6 2 3 4" xfId="0"/>
    <cellStyle name="Normal 6 2 3 5" xfId="0"/>
    <cellStyle name="Normal 6 2 4" xfId="0"/>
    <cellStyle name="Normal 6 2 4 2" xfId="0"/>
    <cellStyle name="Normal 6 2 4 3" xfId="0"/>
    <cellStyle name="Normal 6 2 5" xfId="0"/>
    <cellStyle name="Normal 6 2 5 2" xfId="0"/>
    <cellStyle name="Normal 6 2 5 3" xfId="0"/>
    <cellStyle name="Normal 6 2 6" xfId="0"/>
    <cellStyle name="Normal 6 2 7" xfId="0"/>
    <cellStyle name="Normal 6 2_CA Fixe" xfId="0"/>
    <cellStyle name="Normal 6 3" xfId="0"/>
    <cellStyle name="Normal 6 4" xfId="0"/>
    <cellStyle name="Normal 60" xfId="0"/>
    <cellStyle name="Normal 61" xfId="0"/>
    <cellStyle name="Normal 62" xfId="0"/>
    <cellStyle name="Normal 63" xfId="0"/>
    <cellStyle name="Normal 64" xfId="0"/>
    <cellStyle name="Normal 65" xfId="0"/>
    <cellStyle name="Normal 66" xfId="0"/>
    <cellStyle name="Normal 67" xfId="0"/>
    <cellStyle name="Normal 68" xfId="0"/>
    <cellStyle name="Normal 69" xfId="0"/>
    <cellStyle name="Normal 7" xfId="0"/>
    <cellStyle name="Normal 7 2" xfId="0"/>
    <cellStyle name="Normal 70" xfId="0"/>
    <cellStyle name="Normal 71" xfId="0"/>
    <cellStyle name="Normal 72" xfId="0"/>
    <cellStyle name="Normal 73" xfId="0"/>
    <cellStyle name="Normal 74" xfId="0"/>
    <cellStyle name="Normal 74 2" xfId="0"/>
    <cellStyle name="Normal 74 3" xfId="0"/>
    <cellStyle name="Normal 75" xfId="0"/>
    <cellStyle name="Normal 75 2" xfId="0"/>
    <cellStyle name="Normal 75 3" xfId="0"/>
    <cellStyle name="Normal 76" xfId="0"/>
    <cellStyle name="Normal 76 2" xfId="0"/>
    <cellStyle name="Normal 76 3" xfId="0"/>
    <cellStyle name="Normal 77" xfId="0"/>
    <cellStyle name="Normal 77 2" xfId="0"/>
    <cellStyle name="Normal 77 3" xfId="0"/>
    <cellStyle name="Normal 78" xfId="0"/>
    <cellStyle name="Normal 78 2" xfId="0"/>
    <cellStyle name="Normal 78 3" xfId="0"/>
    <cellStyle name="Normal 79" xfId="0"/>
    <cellStyle name="Normal 79 2" xfId="0"/>
    <cellStyle name="Normal 79 3" xfId="0"/>
    <cellStyle name="Normal 8" xfId="0"/>
    <cellStyle name="Normal 8 2" xfId="0"/>
    <cellStyle name="Normal 8 2 2" xfId="0"/>
    <cellStyle name="Normal 8 2 2 2" xfId="0"/>
    <cellStyle name="Normal 8 2 2 3" xfId="0"/>
    <cellStyle name="Normal 8 2 3" xfId="0"/>
    <cellStyle name="Normal 8 2 3 2" xfId="0"/>
    <cellStyle name="Normal 8 2 3 3" xfId="0"/>
    <cellStyle name="Normal 8 2 4" xfId="0"/>
    <cellStyle name="Normal 8 2 5" xfId="0"/>
    <cellStyle name="Normal 8 2 6" xfId="0"/>
    <cellStyle name="Normal 8 3" xfId="0"/>
    <cellStyle name="Normal 8 4" xfId="0"/>
    <cellStyle name="Normal 8 4 2" xfId="0"/>
    <cellStyle name="Normal 8 4 3" xfId="0"/>
    <cellStyle name="Normal 8 5" xfId="0"/>
    <cellStyle name="Normal 8 5 2" xfId="0"/>
    <cellStyle name="Normal 8 5 3" xfId="0"/>
    <cellStyle name="Normal 8 6" xfId="0"/>
    <cellStyle name="Normal 8 7" xfId="0"/>
    <cellStyle name="Normal 80" xfId="0"/>
    <cellStyle name="Normal 80 2" xfId="0"/>
    <cellStyle name="Normal 80 3" xfId="0"/>
    <cellStyle name="Normal 81" xfId="0"/>
    <cellStyle name="Normal 81 2" xfId="0"/>
    <cellStyle name="Normal 81 3" xfId="0"/>
    <cellStyle name="Normal 82" xfId="0"/>
    <cellStyle name="Normal 82 2" xfId="0"/>
    <cellStyle name="Normal 83" xfId="0"/>
    <cellStyle name="Normal 83 2" xfId="0"/>
    <cellStyle name="Normal 83 3" xfId="0"/>
    <cellStyle name="Normal 84" xfId="0"/>
    <cellStyle name="Normal 84 2" xfId="0"/>
    <cellStyle name="Normal 85" xfId="0"/>
    <cellStyle name="Normal 85 2" xfId="0"/>
    <cellStyle name="Normal 85 3" xfId="0"/>
    <cellStyle name="Normal 86" xfId="0"/>
    <cellStyle name="Normal 86 2" xfId="0"/>
    <cellStyle name="Normal 86 3" xfId="0"/>
    <cellStyle name="Normal 87" xfId="0"/>
    <cellStyle name="Normal 87 2" xfId="0"/>
    <cellStyle name="Normal 87 3" xfId="0"/>
    <cellStyle name="Normal 88" xfId="0"/>
    <cellStyle name="Normal 88 2" xfId="0"/>
    <cellStyle name="Normal 88 3" xfId="0"/>
    <cellStyle name="Normal 89" xfId="0"/>
    <cellStyle name="Normal 89 2" xfId="0"/>
    <cellStyle name="Normal 89 3" xfId="0"/>
    <cellStyle name="Normal 9" xfId="0"/>
    <cellStyle name="Normal 9 2" xfId="0"/>
    <cellStyle name="Normal 90" xfId="0"/>
    <cellStyle name="Normal 90 2" xfId="0"/>
    <cellStyle name="Normal 90 3" xfId="0"/>
    <cellStyle name="Normal 91" xfId="0"/>
    <cellStyle name="Normal 91 2" xfId="0"/>
    <cellStyle name="Normal 91 3" xfId="0"/>
    <cellStyle name="Normal 92" xfId="0"/>
    <cellStyle name="Normal 92 2" xfId="0"/>
    <cellStyle name="Normal 92 3" xfId="0"/>
    <cellStyle name="Normal 93" xfId="0"/>
    <cellStyle name="Normal 93 2" xfId="0"/>
    <cellStyle name="Normal 93 3" xfId="0"/>
    <cellStyle name="Normal 94" xfId="0"/>
    <cellStyle name="Normal 94 2" xfId="0"/>
    <cellStyle name="Normal 94 3" xfId="0"/>
    <cellStyle name="Normal 95" xfId="0"/>
    <cellStyle name="Normal 95 2" xfId="0"/>
    <cellStyle name="Normal 95 3" xfId="0"/>
    <cellStyle name="Normal 96" xfId="0"/>
    <cellStyle name="Normal 97" xfId="0"/>
    <cellStyle name="Normal 98" xfId="0"/>
    <cellStyle name="Normal 99" xfId="0"/>
    <cellStyle name="Normal [0]" xfId="0"/>
    <cellStyle name="Normal [0] 10" xfId="0"/>
    <cellStyle name="Normal [0] 11" xfId="0"/>
    <cellStyle name="Normal [0] 12" xfId="0"/>
    <cellStyle name="Normal [0] 13" xfId="0"/>
    <cellStyle name="Normal [0] 14" xfId="0"/>
    <cellStyle name="Normal [0] 2" xfId="0"/>
    <cellStyle name="Normal [0] 3" xfId="0"/>
    <cellStyle name="Normal [0] 4" xfId="0"/>
    <cellStyle name="Normal [0] 5" xfId="0"/>
    <cellStyle name="Normal [0] 6" xfId="0"/>
    <cellStyle name="Normal [0] 7" xfId="0"/>
    <cellStyle name="Normal [0] 8" xfId="0"/>
    <cellStyle name="Normal [0] 9" xfId="0"/>
    <cellStyle name="Normal [1]" xfId="0"/>
    <cellStyle name="Normal [2]" xfId="0"/>
    <cellStyle name="Normal [3]" xfId="0"/>
    <cellStyle name="Normal Bold" xfId="0"/>
    <cellStyle name="Normal Pct" xfId="0"/>
    <cellStyle name="Normal text" xfId="0"/>
    <cellStyle name="Normal_Reporting Onatel Aout 2008-V1" xfId="0"/>
    <cellStyle name="Normalny_12" xfId="0"/>
    <cellStyle name="Normál_Book2000" xfId="0"/>
    <cellStyle name="Note 11" xfId="0"/>
    <cellStyle name="NPPESalesPct" xfId="0"/>
    <cellStyle name="NPPESalesPct 10" xfId="0"/>
    <cellStyle name="NPPESalesPct 11" xfId="0"/>
    <cellStyle name="NPPESalesPct 12" xfId="0"/>
    <cellStyle name="NPPESalesPct 13" xfId="0"/>
    <cellStyle name="NPPESalesPct 14" xfId="0"/>
    <cellStyle name="NPPESalesPct 2" xfId="0"/>
    <cellStyle name="NPPESalesPct 3" xfId="0"/>
    <cellStyle name="NPPESalesPct 4" xfId="0"/>
    <cellStyle name="NPPESalesPct 5" xfId="0"/>
    <cellStyle name="NPPESalesPct 6" xfId="0"/>
    <cellStyle name="NPPESalesPct 7" xfId="0"/>
    <cellStyle name="NPPESalesPct 8" xfId="0"/>
    <cellStyle name="NPPESalesPct 9" xfId="0"/>
    <cellStyle name="Number" xfId="0"/>
    <cellStyle name="Numéro_Tab" xfId="0"/>
    <cellStyle name="NWI%S" xfId="0"/>
    <cellStyle name="NWI%S 10" xfId="0"/>
    <cellStyle name="NWI%S 11" xfId="0"/>
    <cellStyle name="NWI%S 12" xfId="0"/>
    <cellStyle name="NWI%S 13" xfId="0"/>
    <cellStyle name="NWI%S 14" xfId="0"/>
    <cellStyle name="NWI%S 2" xfId="0"/>
    <cellStyle name="NWI%S 3" xfId="0"/>
    <cellStyle name="NWI%S 4" xfId="0"/>
    <cellStyle name="NWI%S 5" xfId="0"/>
    <cellStyle name="NWI%S 6" xfId="0"/>
    <cellStyle name="NWI%S 7" xfId="0"/>
    <cellStyle name="NWI%S 8" xfId="0"/>
    <cellStyle name="NWI%S 9" xfId="0"/>
    <cellStyle name="Override" xfId="0"/>
    <cellStyle name="Override 2" xfId="0"/>
    <cellStyle name="Override_Budget Telmob 2011" xfId="0"/>
    <cellStyle name="Page Heading Large" xfId="0"/>
    <cellStyle name="Page Heading Small" xfId="0"/>
    <cellStyle name="per.style" xfId="0"/>
    <cellStyle name="Percent" xfId="0"/>
    <cellStyle name="Percent 0" xfId="0"/>
    <cellStyle name="Percent 0,00" xfId="0"/>
    <cellStyle name="Percent 0,00 2" xfId="0"/>
    <cellStyle name="Percent 0_7.2.3. CAPEX" xfId="0"/>
    <cellStyle name="Percent [00]" xfId="0"/>
    <cellStyle name="Percent [00] 2" xfId="0"/>
    <cellStyle name="Percent [0]" xfId="0"/>
    <cellStyle name="Percent [1]" xfId="0"/>
    <cellStyle name="Percent [2]" xfId="0"/>
    <cellStyle name="Percent Hard" xfId="0"/>
    <cellStyle name="Percent_financing modelsc1" xfId="0"/>
    <cellStyle name="PercentSales" xfId="0"/>
    <cellStyle name="PercentSales 10" xfId="0"/>
    <cellStyle name="PercentSales 11" xfId="0"/>
    <cellStyle name="PercentSales 12" xfId="0"/>
    <cellStyle name="PercentSales 13" xfId="0"/>
    <cellStyle name="PercentSales 14" xfId="0"/>
    <cellStyle name="PercentSales 2" xfId="0"/>
    <cellStyle name="PercentSales 3" xfId="0"/>
    <cellStyle name="PercentSales 4" xfId="0"/>
    <cellStyle name="PercentSales 5" xfId="0"/>
    <cellStyle name="PercentSales 6" xfId="0"/>
    <cellStyle name="PercentSales 7" xfId="0"/>
    <cellStyle name="PercentSales 8" xfId="0"/>
    <cellStyle name="PercentSales 9" xfId="0"/>
    <cellStyle name="PillarData" xfId="0"/>
    <cellStyle name="PillarData 2" xfId="0"/>
    <cellStyle name="PillarHeading" xfId="0"/>
    <cellStyle name="PillarText" xfId="0"/>
    <cellStyle name="PillarText 2" xfId="0"/>
    <cellStyle name="PillarTotal" xfId="0"/>
    <cellStyle name="PillarTotal 2" xfId="0"/>
    <cellStyle name="Pourcentage 10" xfId="0"/>
    <cellStyle name="Pourcentage 11" xfId="0"/>
    <cellStyle name="Pourcentage 11 2" xfId="0"/>
    <cellStyle name="Pourcentage 12" xfId="0"/>
    <cellStyle name="Pourcentage 12 2" xfId="0"/>
    <cellStyle name="Pourcentage 13" xfId="0"/>
    <cellStyle name="Pourcentage 14" xfId="0"/>
    <cellStyle name="Pourcentage 14 2" xfId="0"/>
    <cellStyle name="Pourcentage 15" xfId="0"/>
    <cellStyle name="Pourcentage 16" xfId="0"/>
    <cellStyle name="Pourcentage 17" xfId="0"/>
    <cellStyle name="Pourcentage 17 2" xfId="0"/>
    <cellStyle name="Pourcentage 17 2 2" xfId="0"/>
    <cellStyle name="Pourcentage 17 2 2 2" xfId="0"/>
    <cellStyle name="Pourcentage 17 2 2 3" xfId="0"/>
    <cellStyle name="Pourcentage 17 2 3" xfId="0"/>
    <cellStyle name="Pourcentage 17 2 3 2" xfId="0"/>
    <cellStyle name="Pourcentage 17 2 3 3" xfId="0"/>
    <cellStyle name="Pourcentage 17 2 4" xfId="0"/>
    <cellStyle name="Pourcentage 17 2 5" xfId="0"/>
    <cellStyle name="Pourcentage 17 3" xfId="0"/>
    <cellStyle name="Pourcentage 17 3 2" xfId="0"/>
    <cellStyle name="Pourcentage 17 3 3" xfId="0"/>
    <cellStyle name="Pourcentage 17 4" xfId="0"/>
    <cellStyle name="Pourcentage 17 4 2" xfId="0"/>
    <cellStyle name="Pourcentage 17 4 3" xfId="0"/>
    <cellStyle name="Pourcentage 17 5" xfId="0"/>
    <cellStyle name="Pourcentage 17 6" xfId="0"/>
    <cellStyle name="Pourcentage 18" xfId="0"/>
    <cellStyle name="Pourcentage 18 2" xfId="0"/>
    <cellStyle name="Pourcentage 18 2 2" xfId="0"/>
    <cellStyle name="Pourcentage 18 2 2 2" xfId="0"/>
    <cellStyle name="Pourcentage 18 2 2 3" xfId="0"/>
    <cellStyle name="Pourcentage 18 2 3" xfId="0"/>
    <cellStyle name="Pourcentage 18 2 3 2" xfId="0"/>
    <cellStyle name="Pourcentage 18 2 3 3" xfId="0"/>
    <cellStyle name="Pourcentage 18 2 4" xfId="0"/>
    <cellStyle name="Pourcentage 18 2 5" xfId="0"/>
    <cellStyle name="Pourcentage 18 3" xfId="0"/>
    <cellStyle name="Pourcentage 18 3 2" xfId="0"/>
    <cellStyle name="Pourcentage 18 3 3" xfId="0"/>
    <cellStyle name="Pourcentage 18 4" xfId="0"/>
    <cellStyle name="Pourcentage 18 4 2" xfId="0"/>
    <cellStyle name="Pourcentage 18 4 3" xfId="0"/>
    <cellStyle name="Pourcentage 18 5" xfId="0"/>
    <cellStyle name="Pourcentage 18 6" xfId="0"/>
    <cellStyle name="Pourcentage 19" xfId="0"/>
    <cellStyle name="Pourcentage 19 2" xfId="0"/>
    <cellStyle name="Pourcentage 19 3" xfId="0"/>
    <cellStyle name="Pourcentage 2" xfId="0"/>
    <cellStyle name="Pourcentage 2 10" xfId="0"/>
    <cellStyle name="Pourcentage 2 11" xfId="0"/>
    <cellStyle name="Pourcentage 2 12" xfId="0"/>
    <cellStyle name="Pourcentage 2 2" xfId="0"/>
    <cellStyle name="Pourcentage 2 2 2" xfId="0"/>
    <cellStyle name="Pourcentage 2 2 3" xfId="0"/>
    <cellStyle name="Pourcentage 2 2 4" xfId="0"/>
    <cellStyle name="Pourcentage 2 2 5" xfId="0"/>
    <cellStyle name="Pourcentage 2 2 6" xfId="0"/>
    <cellStyle name="Pourcentage 2 2 7" xfId="0"/>
    <cellStyle name="Pourcentage 2 2 8" xfId="0"/>
    <cellStyle name="Pourcentage 2 2 9" xfId="0"/>
    <cellStyle name="Pourcentage 2 3" xfId="0"/>
    <cellStyle name="Pourcentage 2 3 2" xfId="0"/>
    <cellStyle name="Pourcentage 2 4" xfId="0"/>
    <cellStyle name="Pourcentage 2 5" xfId="0"/>
    <cellStyle name="Pourcentage 2 6" xfId="0"/>
    <cellStyle name="Pourcentage 2 7" xfId="0"/>
    <cellStyle name="Pourcentage 2 8" xfId="0"/>
    <cellStyle name="Pourcentage 2 9" xfId="0"/>
    <cellStyle name="Pourcentage 20" xfId="0"/>
    <cellStyle name="Pourcentage 21" xfId="0"/>
    <cellStyle name="Pourcentage 3" xfId="0"/>
    <cellStyle name="Pourcentage 3 2" xfId="0"/>
    <cellStyle name="Pourcentage 3 3" xfId="0"/>
    <cellStyle name="Pourcentage 3 3 2" xfId="0"/>
    <cellStyle name="Pourcentage 3 3 2 2" xfId="0"/>
    <cellStyle name="Pourcentage 3 3 2 3" xfId="0"/>
    <cellStyle name="Pourcentage 3 3 3" xfId="0"/>
    <cellStyle name="Pourcentage 3 3 4" xfId="0"/>
    <cellStyle name="Pourcentage 3 3 5" xfId="0"/>
    <cellStyle name="Pourcentage 3 4" xfId="0"/>
    <cellStyle name="Pourcentage 3 5" xfId="0"/>
    <cellStyle name="Pourcentage 4" xfId="0"/>
    <cellStyle name="Pourcentage 4 2" xfId="0"/>
    <cellStyle name="Pourcentage 4 3" xfId="0"/>
    <cellStyle name="Pourcentage 5" xfId="0"/>
    <cellStyle name="Pourcentage 5 2" xfId="0"/>
    <cellStyle name="Pourcentage 6" xfId="0"/>
    <cellStyle name="Pourcentage 7" xfId="0"/>
    <cellStyle name="Pourcentage 7 2" xfId="0"/>
    <cellStyle name="Pourcentage 7 2 2" xfId="0"/>
    <cellStyle name="Pourcentage 7 3" xfId="0"/>
    <cellStyle name="Pourcentage 7 4" xfId="0"/>
    <cellStyle name="Pourcentage 7 5" xfId="0"/>
    <cellStyle name="Pourcentage 8" xfId="0"/>
    <cellStyle name="Pourcentage 8 2" xfId="0"/>
    <cellStyle name="Pourcentage 8 2 2" xfId="0"/>
    <cellStyle name="Pourcentage 8 3" xfId="0"/>
    <cellStyle name="Pourcentage 8 3 2" xfId="0"/>
    <cellStyle name="Pourcentage 8 4" xfId="0"/>
    <cellStyle name="Pourcentage 8 5" xfId="0"/>
    <cellStyle name="Pourcentage 8 6" xfId="0"/>
    <cellStyle name="Pourcentage 8 7" xfId="0"/>
    <cellStyle name="Pourcentage 9" xfId="0"/>
    <cellStyle name="Pourcentage 9 2" xfId="0"/>
    <cellStyle name="Pourcentage 9 2 2" xfId="0"/>
    <cellStyle name="Pourcentage 9 3" xfId="0"/>
    <cellStyle name="Pourcentage 9 4" xfId="0"/>
    <cellStyle name="Prefilled" xfId="0"/>
    <cellStyle name="PrePop Currency (0)" xfId="0"/>
    <cellStyle name="PrePop Currency (0) 2" xfId="0"/>
    <cellStyle name="PrePop Currency (2)" xfId="0"/>
    <cellStyle name="PrePop Currency (2) 2" xfId="0"/>
    <cellStyle name="PrePop Units (0)" xfId="0"/>
    <cellStyle name="PrePop Units (0) 2" xfId="0"/>
    <cellStyle name="PrePop Units (1)" xfId="0"/>
    <cellStyle name="PrePop Units (1) 2" xfId="0"/>
    <cellStyle name="PrePop Units (2)" xfId="0"/>
    <cellStyle name="PrePop Units (2) 2" xfId="0"/>
    <cellStyle name="pricing" xfId="0"/>
    <cellStyle name="Product Title" xfId="0"/>
    <cellStyle name="Prozent +line" xfId="0"/>
    <cellStyle name="Prozent(+line)" xfId="0"/>
    <cellStyle name="Prozent_7.2.3. CAPEX" xfId="0"/>
    <cellStyle name="PSChar" xfId="0"/>
    <cellStyle name="PSDate" xfId="0"/>
    <cellStyle name="PSDec" xfId="0"/>
    <cellStyle name="PSHeading" xfId="0"/>
    <cellStyle name="PSInt" xfId="0"/>
    <cellStyle name="PSSpacer" xfId="0"/>
    <cellStyle name="Pénznem [0]_Cable" xfId="0"/>
    <cellStyle name="Pénznem_Cable" xfId="0"/>
    <cellStyle name="Qté calculées" xfId="0"/>
    <cellStyle name="QTé entrées" xfId="0"/>
    <cellStyle name="Red font" xfId="0"/>
    <cellStyle name="Reference" xfId="0"/>
    <cellStyle name="Reference (O%)" xfId="0"/>
    <cellStyle name="Reference [00]" xfId="0"/>
    <cellStyle name="Reference_Actu 1 du Budget Annuel Groupe IAM  2007" xfId="0"/>
    <cellStyle name="regstoresfromspecstores" xfId="0"/>
    <cellStyle name="RevList" xfId="0"/>
    <cellStyle name="RowHeader_Indent3" xfId="0"/>
    <cellStyle name="réel" xfId="0"/>
    <cellStyle name="réel 2" xfId="0"/>
    <cellStyle name="réel 2 2" xfId="0"/>
    <cellStyle name="réel 3" xfId="0"/>
    <cellStyle name="réel 3 2" xfId="0"/>
    <cellStyle name="réel 4" xfId="0"/>
    <cellStyle name="réel_Kombissiri" xfId="0"/>
    <cellStyle name="SAPBEXaggData" xfId="0"/>
    <cellStyle name="SAPBEXaggDataEmph" xfId="0"/>
    <cellStyle name="SAPBEXaggItem" xfId="0"/>
    <cellStyle name="SAPBEXaggItemX" xfId="0"/>
    <cellStyle name="SAPBEXchaText" xfId="0"/>
    <cellStyle name="SAPBEXexcBad7" xfId="0"/>
    <cellStyle name="SAPBEXexcBad8" xfId="0"/>
    <cellStyle name="SAPBEXexcBad9" xfId="0"/>
    <cellStyle name="SAPBEXexcCritical4" xfId="0"/>
    <cellStyle name="SAPBEXexcCritical5" xfId="0"/>
    <cellStyle name="SAPBEXexcCritical6" xfId="0"/>
    <cellStyle name="SAPBEXexcGood1" xfId="0"/>
    <cellStyle name="SAPBEXexcGood2" xfId="0"/>
    <cellStyle name="SAPBEXexcGood3" xfId="0"/>
    <cellStyle name="SAPBEXfilterDrill" xfId="0"/>
    <cellStyle name="SAPBEXfilterItem" xfId="0"/>
    <cellStyle name="SAPBEXfilterText" xfId="0"/>
    <cellStyle name="SAPBEXformats" xfId="0"/>
    <cellStyle name="SAPBEXheaderItem" xfId="0"/>
    <cellStyle name="SAPBEXheaderText" xfId="0"/>
    <cellStyle name="SAPBEXHLevel0" xfId="0"/>
    <cellStyle name="SAPBEXHLevel0X" xfId="0"/>
    <cellStyle name="SAPBEXHLevel1" xfId="0"/>
    <cellStyle name="SAPBEXHLevel1X" xfId="0"/>
    <cellStyle name="SAPBEXHLevel2" xfId="0"/>
    <cellStyle name="SAPBEXHLevel2X" xfId="0"/>
    <cellStyle name="SAPBEXHLevel3" xfId="0"/>
    <cellStyle name="SAPBEXHLevel3X" xfId="0"/>
    <cellStyle name="SAPBEXresData" xfId="0"/>
    <cellStyle name="SAPBEXresDataEmph" xfId="0"/>
    <cellStyle name="SAPBEXresItem" xfId="0"/>
    <cellStyle name="SAPBEXresItemX" xfId="0"/>
    <cellStyle name="SAPBEXstdData" xfId="0"/>
    <cellStyle name="SAPBEXstdDataEmph" xfId="0"/>
    <cellStyle name="SAPBEXstdItem" xfId="0"/>
    <cellStyle name="SAPBEXstdItemX" xfId="0"/>
    <cellStyle name="SAPBEXtitle" xfId="0"/>
    <cellStyle name="SAPBEXundefined" xfId="0"/>
    <cellStyle name="Satisfaisant 2" xfId="0"/>
    <cellStyle name="Satisfaisant 2 2" xfId="0"/>
    <cellStyle name="Satisfaisant 2 2 2" xfId="0"/>
    <cellStyle name="Satisfaisant 3" xfId="0"/>
    <cellStyle name="Satisfaisant 3 2" xfId="0"/>
    <cellStyle name="Satisfaisant 4" xfId="0"/>
    <cellStyle name="Satisfaisant 4 2" xfId="0"/>
    <cellStyle name="Satisfaisant 5" xfId="0"/>
    <cellStyle name="Satisfaisant 6" xfId="0"/>
    <cellStyle name="Shaded" xfId="0"/>
    <cellStyle name="SHADEDSTORES" xfId="0"/>
    <cellStyle name="ShOut" xfId="0"/>
    <cellStyle name="Small" xfId="0"/>
    <cellStyle name="Sortie 2" xfId="0"/>
    <cellStyle name="Sortie 2 2" xfId="0"/>
    <cellStyle name="Sortie 2 2 2" xfId="0"/>
    <cellStyle name="Sortie 3" xfId="0"/>
    <cellStyle name="Sortie 3 2" xfId="0"/>
    <cellStyle name="Sortie 4" xfId="0"/>
    <cellStyle name="Sortie 4 2" xfId="0"/>
    <cellStyle name="Sortie 5" xfId="0"/>
    <cellStyle name="Sortie 6" xfId="0"/>
    <cellStyle name="specstores" xfId="0"/>
    <cellStyle name="Standaard_Residential" xfId="0"/>
    <cellStyle name="Standard" xfId="0"/>
    <cellStyle name="Style 1" xfId="0"/>
    <cellStyle name="Style 1 2" xfId="0"/>
    <cellStyle name="Style 1 3" xfId="0"/>
    <cellStyle name="Style 2" xfId="0"/>
    <cellStyle name="Style 3" xfId="0"/>
    <cellStyle name="SubTitle" xfId="0"/>
    <cellStyle name="Subtotal" xfId="0"/>
    <cellStyle name="Summe" xfId="0"/>
    <cellStyle name="Switch" xfId="0"/>
    <cellStyle name="Table Col Head" xfId="0"/>
    <cellStyle name="Table Sub Head" xfId="0"/>
    <cellStyle name="Table Title" xfId="0"/>
    <cellStyle name="Table Title 2" xfId="0"/>
    <cellStyle name="Table Units" xfId="0"/>
    <cellStyle name="Tariff" xfId="0"/>
    <cellStyle name="Text 12" xfId="0"/>
    <cellStyle name="Text 2" xfId="0"/>
    <cellStyle name="Text 3" xfId="0"/>
    <cellStyle name="Text 4" xfId="0"/>
    <cellStyle name="Text allg" xfId="0"/>
    <cellStyle name="Text Indent A" xfId="0"/>
    <cellStyle name="Text Indent B" xfId="0"/>
    <cellStyle name="Text Indent B 2" xfId="0"/>
    <cellStyle name="Text Indent C" xfId="0"/>
    <cellStyle name="Text Indent C 2" xfId="0"/>
    <cellStyle name="Text_FRA Master 1 Tableaux Etats Fi exercice 2005 BU 2212" xfId="0"/>
    <cellStyle name="Texte explicatif 2" xfId="0"/>
    <cellStyle name="Texte explicatif 2 2" xfId="0"/>
    <cellStyle name="Texte explicatif 3" xfId="0"/>
    <cellStyle name="Texte explicatif 3 2" xfId="0"/>
    <cellStyle name="Texte explicatif 4" xfId="0"/>
    <cellStyle name="Texte explicatif 5" xfId="0"/>
    <cellStyle name="Texte explicatif 6" xfId="0"/>
    <cellStyle name="TFCF" xfId="0"/>
    <cellStyle name="Thousands" xfId="0"/>
    <cellStyle name="times new roman" xfId="0"/>
    <cellStyle name="Title" xfId="0"/>
    <cellStyle name="Titre 2" xfId="0"/>
    <cellStyle name="Titre 2 2" xfId="0"/>
    <cellStyle name="Titre 2 3" xfId="0"/>
    <cellStyle name="Titre 2 4" xfId="0"/>
    <cellStyle name="Titre 3" xfId="0"/>
    <cellStyle name="Titre 3 2" xfId="0"/>
    <cellStyle name="Titre 4" xfId="0"/>
    <cellStyle name="Titre 4 2" xfId="0"/>
    <cellStyle name="Titre 5" xfId="0"/>
    <cellStyle name="Titre 6" xfId="0"/>
    <cellStyle name="Titre de la feuille" xfId="0"/>
    <cellStyle name="Titre 1 2" xfId="0"/>
    <cellStyle name="Titre 1 2 2" xfId="0"/>
    <cellStyle name="Titre 1 2 2 2" xfId="0"/>
    <cellStyle name="Titre 1 3" xfId="0"/>
    <cellStyle name="Titre 1 3 2" xfId="0"/>
    <cellStyle name="Titre 1 4" xfId="0"/>
    <cellStyle name="Titre 1 4 2" xfId="0"/>
    <cellStyle name="Titre 1 5" xfId="0"/>
    <cellStyle name="Titre 1 6" xfId="0"/>
    <cellStyle name="Titre 2 2" xfId="0"/>
    <cellStyle name="Titre 2 2 2" xfId="0"/>
    <cellStyle name="Titre 2 2 2 2" xfId="0"/>
    <cellStyle name="Titre 2 3" xfId="0"/>
    <cellStyle name="Titre 2 3 2" xfId="0"/>
    <cellStyle name="Titre 2 4" xfId="0"/>
    <cellStyle name="Titre 2 4 2" xfId="0"/>
    <cellStyle name="Titre 2 5" xfId="0"/>
    <cellStyle name="Titre 2 6" xfId="0"/>
    <cellStyle name="Titre 3 2" xfId="0"/>
    <cellStyle name="Titre 3 2 2" xfId="0"/>
    <cellStyle name="Titre 3 2 2 2" xfId="0"/>
    <cellStyle name="Titre 3 3" xfId="0"/>
    <cellStyle name="Titre 3 3 2" xfId="0"/>
    <cellStyle name="Titre 3 4" xfId="0"/>
    <cellStyle name="Titre 3 4 2" xfId="0"/>
    <cellStyle name="Titre 3 5" xfId="0"/>
    <cellStyle name="Titre 3 6" xfId="0"/>
    <cellStyle name="Titre 4 2" xfId="0"/>
    <cellStyle name="Titre 4 2 2" xfId="0"/>
    <cellStyle name="Titre 4 2 2 2" xfId="0"/>
    <cellStyle name="Titre 4 3" xfId="0"/>
    <cellStyle name="Titre 4 3 2" xfId="0"/>
    <cellStyle name="Titre 4 4" xfId="0"/>
    <cellStyle name="Titre 4 4 2" xfId="0"/>
    <cellStyle name="Titre 4 5" xfId="0"/>
    <cellStyle name="Titre 4 6" xfId="0"/>
    <cellStyle name="Top_Border" xfId="0"/>
    <cellStyle name="Total 2" xfId="0"/>
    <cellStyle name="Total 2 2" xfId="0"/>
    <cellStyle name="Total 2 2 2" xfId="0"/>
    <cellStyle name="Total 3" xfId="0"/>
    <cellStyle name="Total 3 2" xfId="0"/>
    <cellStyle name="Total 4" xfId="0"/>
    <cellStyle name="Total 4 2" xfId="0"/>
    <cellStyle name="Total 5" xfId="0"/>
    <cellStyle name="Total 6" xfId="0"/>
    <cellStyle name="Tusental (0)_Technical Sheet" xfId="0"/>
    <cellStyle name="Tusental_Technical Sheet" xfId="0"/>
    <cellStyle name="Underline" xfId="0"/>
    <cellStyle name="Valuta (0)_Technical Sheet" xfId="0"/>
    <cellStyle name="Valuta_Technical Sheet" xfId="0"/>
    <cellStyle name="ViewDate" xfId="0"/>
    <cellStyle name="ViewDetailDate" xfId="0"/>
    <cellStyle name="ViewDetailInt" xfId="0"/>
    <cellStyle name="ViewDetailPct" xfId="0"/>
    <cellStyle name="ViewGrndTotalInt" xfId="0"/>
    <cellStyle name="ViewGrndTotalPct" xfId="0"/>
    <cellStyle name="ViewHide" xfId="0"/>
    <cellStyle name="ViewTotal" xfId="0"/>
    <cellStyle name="ViewTotalHide" xfId="0"/>
    <cellStyle name="ViewTotalInt" xfId="0"/>
    <cellStyle name="ViewTotalPct" xfId="0"/>
    <cellStyle name="Virgule fixe" xfId="0"/>
    <cellStyle name="Vérification 2" xfId="0"/>
    <cellStyle name="Vérification 2 2" xfId="0"/>
    <cellStyle name="Vérification 3" xfId="0"/>
    <cellStyle name="Vérification 3 2" xfId="0"/>
    <cellStyle name="Vérification 4" xfId="0"/>
    <cellStyle name="Vérification 5" xfId="0"/>
    <cellStyle name="Vérification 6" xfId="0"/>
    <cellStyle name="Walutowy [0]_12" xfId="0"/>
    <cellStyle name="Walutowy_12" xfId="0"/>
    <cellStyle name="Warning 13" xfId="0"/>
    <cellStyle name="Währung [0]_Acquisition stats" xfId="0"/>
    <cellStyle name="Währung_Acquisition stats" xfId="0"/>
    <cellStyle name="Year" xfId="0"/>
    <cellStyle name="Year 2" xfId="0"/>
    <cellStyle name="Years" xfId="0"/>
    <cellStyle name="Yellow" xfId="0"/>
    <cellStyle name="ÄÞ¸¶ [0]_laroux" xfId="0"/>
    <cellStyle name="ÄÞ¸¶_laroux" xfId="0"/>
    <cellStyle name="ÅëÈ­ [0]_laroux" xfId="0"/>
    <cellStyle name="ÅëÈ­_laroux" xfId="0"/>
    <cellStyle name="Ç¥ÁØ_ÀÎÀç°³¹ß¿ø" xfId="0"/>
    <cellStyle name="Œ…‹æØ‚è [0.00]_Region Orders (2)" xfId="0"/>
    <cellStyle name="Œ…‹æØ‚è_Region Orders (2)" xfId="0"/>
    <cellStyle name="一般_1999_CORP ACCTG" xfId="0"/>
    <cellStyle name="千位[0]_laroux" xfId="0"/>
    <cellStyle name="千位_laroux" xfId="0"/>
    <cellStyle name="千位分隔_IRAQI" xfId="0"/>
    <cellStyle name="千分位[0]_laroux" xfId="0"/>
    <cellStyle name="千分位_laroux" xfId="0"/>
    <cellStyle name="常规_1622720030624011detail" xfId="0"/>
    <cellStyle name="普通_laroux" xfId="0"/>
    <cellStyle name="貨幣 [0]_PERSONAL" xfId="0"/>
    <cellStyle name="貨幣_PERSONAL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CD5B5"/>
      <rgbColor rgb="FF00FFFF"/>
      <rgbColor rgb="FF911100"/>
      <rgbColor rgb="FF008000"/>
      <rgbColor rgb="FF000080"/>
      <rgbColor rgb="FFB2B2B2"/>
      <rgbColor rgb="FF800080"/>
      <rgbColor rgb="FF1F497D"/>
      <rgbColor rgb="FFC0C0C0"/>
      <rgbColor rgb="FF808070"/>
      <rgbColor rgb="FF9999FF"/>
      <rgbColor rgb="FF993366"/>
      <rgbColor rgb="FFFFFFCC"/>
      <rgbColor rgb="FFCCFFFF"/>
      <rgbColor rgb="FFDCE6F2"/>
      <rgbColor rgb="FFFF8080"/>
      <rgbColor rgb="FF0166D8"/>
      <rgbColor rgb="FFCCCCFF"/>
      <rgbColor rgb="FF000099"/>
      <rgbColor rgb="FFF2DCDB"/>
      <rgbColor rgb="FFFFFE00"/>
      <rgbColor rgb="FFCCC3DA"/>
      <rgbColor rgb="FFE6E0EC"/>
      <rgbColor rgb="FFFDEADA"/>
      <rgbColor rgb="FFD7E4BD"/>
      <rgbColor rgb="FFEBF1DE"/>
      <rgbColor rgb="FFB7DEE8"/>
      <rgbColor rgb="FFDBEEF4"/>
      <rgbColor rgb="FFCCFFCC"/>
      <rgbColor rgb="FFFFFF99"/>
      <rgbColor rgb="FF99CCFF"/>
      <rgbColor rgb="FFFF99CC"/>
      <rgbColor rgb="FFCC99FF"/>
      <rgbColor rgb="FFFFCC99"/>
      <rgbColor rgb="FFB9CDE5"/>
      <rgbColor rgb="FF33CCCC"/>
      <rgbColor rgb="FF96CF10"/>
      <rgbColor rgb="FFFFCC00"/>
      <rgbColor rgb="FFFF9900"/>
      <rgbColor rgb="FFFF6600"/>
      <rgbColor rgb="FF66679A"/>
      <rgbColor rgb="FF969696"/>
      <rgbColor rgb="FF003366"/>
      <rgbColor rgb="FF209669"/>
      <rgbColor rgb="FF002060"/>
      <rgbColor rgb="FFE0E0E0"/>
      <rgbColor rgb="FFE6B9B8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externalLink" Target="externalLinks/externalLink1.xml"/><Relationship Id="rId14" Type="http://schemas.openxmlformats.org/officeDocument/2006/relationships/externalLink" Target="externalLinks/externalLink2.xml"/><Relationship Id="rId15" Type="http://schemas.openxmlformats.org/officeDocument/2006/relationships/externalLink" Target="externalLinks/externalLink3.xml"/><Relationship Id="rId16" Type="http://schemas.openxmlformats.org/officeDocument/2006/relationships/externalLink" Target="externalLinks/externalLink4.xml"/><Relationship Id="rId17" Type="http://schemas.openxmlformats.org/officeDocument/2006/relationships/externalLink" Target="externalLinks/externalLink5.xml"/><Relationship Id="rId18" Type="http://schemas.openxmlformats.org/officeDocument/2006/relationships/externalLink" Target="externalLinks/externalLink6.xml"/><Relationship Id="rId19" Type="http://schemas.openxmlformats.org/officeDocument/2006/relationships/externalLink" Target="externalLinks/externalLink7.xml"/><Relationship Id="rId20" Type="http://schemas.openxmlformats.org/officeDocument/2006/relationships/externalLink" Target="externalLinks/externalLink8.xml"/><Relationship Id="rId21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17.xml"/><Relationship Id="rId30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1.xml"/><Relationship Id="rId34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5.xml"/><Relationship Id="rId38" Type="http://schemas.openxmlformats.org/officeDocument/2006/relationships/externalLink" Target="externalLinks/externalLink26.xml"/><Relationship Id="rId39" Type="http://schemas.openxmlformats.org/officeDocument/2006/relationships/externalLink" Target="externalLinks/externalLink27.xml"/><Relationship Id="rId40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29.xml"/><Relationship Id="rId42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40</xdr:col>
      <xdr:colOff>71280</xdr:colOff>
      <xdr:row>43</xdr:row>
      <xdr:rowOff>59400</xdr:rowOff>
    </xdr:from>
    <xdr:to>
      <xdr:col>45</xdr:col>
      <xdr:colOff>604440</xdr:colOff>
      <xdr:row>49</xdr:row>
      <xdr:rowOff>18360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12618360" y="8250840"/>
          <a:ext cx="5813640" cy="14544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DMP002/bficf/Documents%20and%20Settings/gponte/Desktop/dds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../Documents%20and%20Settings/l.sebbata/Local%20Settings/Temporary%20Internet%20Files/OLK4/ACTU1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Dmp002/bficf/UserData/COURS0702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file://9F4E3FEB/270CpCBuild%20-%20All%20Sheets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Dmp002/bficf/aff75/spie/OPRO/master%20eval%20LB%20OPRO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Hpnasv02/planstrat/Documents%20and%20Settings/ghannam/Bureau/Acquisitions/Acquisitions/RDC/C2C%20mobile%20model%20v11.xls" TargetMode="External"/>
</Relationships>
</file>

<file path=xl/externalLinks/_rels/externalLink7.xml.rels><?xml version="1.0" encoding="UTF-8"?>
<Relationships xmlns="http://schemas.openxmlformats.org/package/2006/relationships"><Relationship Id="rId1" Type="http://schemas.openxmlformats.org/officeDocument/2006/relationships/externalLinkPath" Target="../../../../../../../R:/Admin/Thomas/R.%20Spitz/Smiths%20Group/spreadsheets/Smiths%20-%20SOTP%20valuation%20-%2006.11.07%20v2.xls" TargetMode="External"/>
</Relationships>
</file>

<file path=xl/externalLinks/_rels/externalLink8.xml.rels><?xml version="1.0" encoding="UTF-8"?>
<Relationships xmlns="http://schemas.openxmlformats.org/package/2006/relationships"><Relationship Id="rId1" Type="http://schemas.openxmlformats.org/officeDocument/2006/relationships/externalLinkPath" Target="file://DMP002/bficf/DOCUME~1/CummingA/LOCALS~1/Temp/notesF20BA6/~5149514.xls" TargetMode="External"/>
</Relationships>
</file>

<file path=xl/externalLinks/_rels/externalLink9.xml.rels><?xml version="1.0" encoding="UTF-8"?>
<Relationships xmlns="http://schemas.openxmlformats.org/package/2006/relationships"><Relationship Id="rId1" Type="http://schemas.openxmlformats.org/officeDocument/2006/relationships/externalLinkPath" Target="file://Client2/C/TBORD/FINANCE.xls" TargetMode="External"/>
</Relationships>
</file>

<file path=xl/externalLinks/_rels/externalLink10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uil18/Fichiers%20de%20travail/BG%20Juillet18.xls" TargetMode="External"/>
</Relationships>
</file>

<file path=xl/externalLinks/_rels/externalLink11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Aout18/Fichiers%20de%20travail/BG%20Ao&#251;t18.xls" TargetMode="External"/>
</Relationships>
</file>

<file path=xl/externalLinks/_rels/externalLink12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Sept18/Fichiers%20de%20travail/BG%20Sept18.xls" TargetMode="External"/>
</Relationships>
</file>

<file path=xl/externalLinks/_rels/externalLink13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Oct18/Fichiers%20de%20travail/BG%20Oct18.xls" TargetMode="External"/>
</Relationships>
</file>

<file path=xl/externalLinks/_rels/externalLink14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Nov18/Fichiers%20de%20travail/BG%20Nov18.xls" TargetMode="External"/>
</Relationships>
</file>

<file path=xl/externalLinks/_rels/externalLink15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uin18/Fichiers%20de%20travail/BG%20Juin18.xls" TargetMode="External"/>
</Relationships>
</file>

<file path=xl/externalLinks/_rels/externalLink16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D&#233;c18/Fichiers%20de%20travail/BG%20D&#233;c18.xls" TargetMode="External"/>
</Relationships>
</file>

<file path=xl/externalLinks/_rels/externalLink17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TBG%20FILES/TBG%20Moov_Africa_B&#233;nin%20JAN%202025%20DF.xlsx" TargetMode="External"/>
</Relationships>
</file>

<file path=xl/externalLinks/_rels/externalLink18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02/TBG%20WORK/TBG%20Moov_Africa_B&#233;nin%20FEV%202025%20DF.xlsx" TargetMode="External"/>
</Relationships>
</file>

<file path=xl/externalLinks/_rels/externalLink19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03/TBG%20WORK/TBG%20Moov_Africa_B&#233;nin%20MAR%202025%20DF.xlsx" TargetMode="External"/>
</Relationships>
</file>

<file path=xl/externalLinks/_rels/externalLink20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Mai18/Fichiers%20de%20travail/BG%20Mai18.xls" TargetMode="External"/>
</Relationships>
</file>

<file path=xl/externalLinks/_rels/externalLink21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9/Reporting/F&#233;v19/Fichiers%20de%20travail/BG%20F&#233;v19.xls" TargetMode="External"/>
</Relationships>
</file>

<file path=xl/externalLinks/_rels/externalLink22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20/Reporting/Janv20/Fichiers%20de%20travail/BG%20Janv20.xls" TargetMode="External"/>
</Relationships>
</file>

<file path=xl/externalLinks/_rels/externalLink23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Janv18/Fichiers%20de%20travail/BG%20Janv18.xls" TargetMode="External"/>
</Relationships>
</file>

<file path=xl/externalLinks/_rels/externalLink24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faymar/Bureau/DOSSIERS%20ETISALAT%20BENIN/EXERCICE%202018/Reporting/F&#233;v%2018/Fichiers%20de%20travail/BG%20F&#233;v18.xls" TargetMode="External"/>
</Relationships>
</file>

<file path=xl/externalLinks/_rels/externalLink25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4/TBG%20WORK/03/TBG%20FILES/TBG%20Moov_Africa_B&#233;nin%20Mar%202024%20DF.xlsx" TargetMode="External"/>
</Relationships>
</file>

<file path=xl/externalLinks/_rels/externalLink26.xml.rels><?xml version="1.0" encoding="UTF-8"?>
<Relationships xmlns="http://schemas.openxmlformats.org/package/2006/relationships"><Relationship Id="rId1" Type="http://schemas.openxmlformats.org/officeDocument/2006/relationships/externalLinkPath" Target="file://CIFSETB01/Redirect_DossiersDF/Users/s.oublal/Desktop/Cl&#244;tures/2017/12-2017/1-%20Pr&#233;-cl&#244;ture/PIDR/Maroc%20Telecom%20-%20Etats%20comptables%20pr&#233;liminaires%20-%2022.12.2017.xlsx" TargetMode="External"/>
</Relationships>
</file>

<file path=xl/externalLinks/_rels/externalLink27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TBG%20FILES/BG%20Jan%2025%20comparatif%20vs%20TBG.xlsb" TargetMode="External"/>
</Relationships>
</file>

<file path=xl/externalLinks/_rels/externalLink28.xml.rels><?xml version="1.0" encoding="UTF-8"?>
<Relationships xmlns="http://schemas.openxmlformats.org/package/2006/relationships"><Relationship Id="rId1" Type="http://schemas.openxmlformats.org/officeDocument/2006/relationships/externalLinkPath" Target="../../../../../../../2025/TBG%20WORK/03/TBG%20WORK/BG%20Mar%2025%20comparatif%20vs%20TBG.xlsb" TargetMode="External"/>
</Relationships>
</file>

<file path=xl/externalLinks/_rels/externalLink29.xml.rels><?xml version="1.0" encoding="UTF-8"?>
<Relationships xmlns="http://schemas.openxmlformats.org/package/2006/relationships"><Relationship Id="rId1" Type="http://schemas.openxmlformats.org/officeDocument/2006/relationships/externalLinkPath" Target="../../../../../../../ANNEE%202022/REPORTING%20TBG%202022/F&#233;vrier%202022/Balances/BG%20Fev%2022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n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4">
          <cell r="J544">
            <v>31.253086</v>
          </cell>
        </row>
        <row r="546">
          <cell r="J546">
            <v>0</v>
          </cell>
        </row>
        <row r="547">
          <cell r="J547">
            <v>-4.41591819764779</v>
          </cell>
        </row>
        <row r="548">
          <cell r="J548">
            <v>-261.539034872155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3">
          <cell r="J543">
            <v>0</v>
          </cell>
        </row>
        <row r="545">
          <cell r="J545">
            <v>-6.16839805137786</v>
          </cell>
        </row>
        <row r="546">
          <cell r="J546">
            <v>29.542479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37">
          <cell r="J537">
            <v>-6.16839805137786</v>
          </cell>
        </row>
        <row r="539">
          <cell r="J539">
            <v>-36.6775880214878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1">
          <cell r="J541">
            <v>-6.16839805137786</v>
          </cell>
        </row>
        <row r="543">
          <cell r="J543">
            <v>-38.2486868229776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0">
          <cell r="J540">
            <v>-6.16839805137786</v>
          </cell>
        </row>
        <row r="542">
          <cell r="J542">
            <v>-38.2486868229776</v>
          </cell>
        </row>
        <row r="543">
          <cell r="J543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Mai"/>
      <sheetName val="YTD Juin"/>
      <sheetName val="BG"/>
      <sheetName val="BG a date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>
        <row r="556">
          <cell r="J556">
            <v>8.3325</v>
          </cell>
        </row>
      </sheetData>
      <sheetData sheetId="4">
        <row r="552">
          <cell r="J552">
            <v>25.842129925</v>
          </cell>
        </row>
        <row r="553">
          <cell r="J553">
            <v>-6.16839805137786</v>
          </cell>
        </row>
        <row r="554">
          <cell r="J554">
            <v>25.253867</v>
          </cell>
        </row>
        <row r="555">
          <cell r="J555">
            <v>-36.0053670953099</v>
          </cell>
        </row>
        <row r="556">
          <cell r="J556">
            <v>8.3325</v>
          </cell>
        </row>
        <row r="557">
          <cell r="J557">
            <v>-5.17641953349369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BG a date"/>
      <sheetName val="YTD Juillet"/>
      <sheetName val="BG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46">
          <cell r="J546">
            <v>-6.16839805137786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C2">
            <v>66038827</v>
          </cell>
        </row>
        <row r="3">
          <cell r="C3">
            <v>-64572302</v>
          </cell>
        </row>
        <row r="4">
          <cell r="C4">
            <v>-5589000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2">
          <cell r="D2">
            <v>66442159</v>
          </cell>
        </row>
        <row r="3">
          <cell r="D3">
            <v>-60884614</v>
          </cell>
        </row>
        <row r="4">
          <cell r="D4">
            <v>-6645038</v>
          </cell>
        </row>
      </sheetData>
      <sheetData sheetId="44"/>
      <sheetData sheetId="45"/>
      <sheetData sheetId="46"/>
      <sheetData sheetId="47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Feuil3"/>
      <sheetName val="ACTU1"/>
      <sheetName val="ACTU2"/>
      <sheetName val="BUDGET"/>
      <sheetName val="Cover"/>
      <sheetName val="P&amp;L conso"/>
      <sheetName val="Opex Consolidés"/>
      <sheetName val="Feuil6"/>
      <sheetName val="Feuil5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Feuil8"/>
      <sheetName val="FLASH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244200"/>
      <sheetName val="219300 M"/>
      <sheetName val="219300 A"/>
      <sheetName val="Détail projets Capex"/>
      <sheetName val="ACTU3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2">
          <cell r="E2">
            <v>63010911</v>
          </cell>
        </row>
        <row r="3">
          <cell r="E3">
            <v>-62423614</v>
          </cell>
        </row>
        <row r="4">
          <cell r="E4">
            <v>-6321756</v>
          </cell>
        </row>
      </sheetData>
      <sheetData sheetId="45"/>
      <sheetData sheetId="46"/>
      <sheetData sheetId="47"/>
      <sheetData sheetId="48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Avril"/>
      <sheetName val="YTD Mai"/>
      <sheetName val="BG"/>
      <sheetName val="BG a date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>
        <row r="551">
          <cell r="J551">
            <v>25.842129925</v>
          </cell>
        </row>
        <row r="552">
          <cell r="J552">
            <v>-6.16839805137786</v>
          </cell>
        </row>
        <row r="553">
          <cell r="J553">
            <v>42.458421</v>
          </cell>
        </row>
        <row r="554">
          <cell r="J554">
            <v>-30.5795737958064</v>
          </cell>
        </row>
        <row r="555">
          <cell r="J555">
            <v>16.6025</v>
          </cell>
        </row>
        <row r="556">
          <cell r="J556">
            <v>-14.4465237233447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a date"/>
      <sheetName val="BG Cumul"/>
      <sheetName val="BG Mois"/>
      <sheetName val="Encaissement"/>
      <sheetName val="Décais codifié"/>
      <sheetName val="Décais non codifié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53">
          <cell r="J553">
            <v>25.842129925</v>
          </cell>
        </row>
        <row r="554">
          <cell r="J554">
            <v>-12.3212861287588</v>
          </cell>
        </row>
        <row r="555">
          <cell r="J555">
            <v>25.276578</v>
          </cell>
        </row>
        <row r="556">
          <cell r="J556">
            <v>-30.3595180948193</v>
          </cell>
        </row>
        <row r="557">
          <cell r="J557">
            <v>0</v>
          </cell>
        </row>
        <row r="558">
          <cell r="J558">
            <v>-2.53137111042657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a date"/>
      <sheetName val="BG Cumul"/>
      <sheetName val="BG Mois"/>
      <sheetName val="Encaissement"/>
      <sheetName val="Décais codifié"/>
      <sheetName val="Non codifié"/>
      <sheetName val="Décais non codifié"/>
      <sheetName val="Reporting Flooz"/>
      <sheetName val="BG2019"/>
      <sheetName val="BG2020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04">
          <cell r="J404">
            <v>25.842129925</v>
          </cell>
        </row>
        <row r="405">
          <cell r="J405">
            <v>-15.7053745713183</v>
          </cell>
        </row>
        <row r="406">
          <cell r="J406">
            <v>24.727454</v>
          </cell>
        </row>
        <row r="407">
          <cell r="J407">
            <v>-26.4115602044019</v>
          </cell>
        </row>
        <row r="408">
          <cell r="J408">
            <v>0</v>
          </cell>
        </row>
        <row r="409">
          <cell r="J409">
            <v>6.39356485521607</v>
          </cell>
        </row>
        <row r="410">
          <cell r="J410">
            <v>130.059989</v>
          </cell>
        </row>
        <row r="411">
          <cell r="J411">
            <v>-130.95216</v>
          </cell>
        </row>
        <row r="412">
          <cell r="J412">
            <v>-28.872361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Déc"/>
      <sheetName val="YTD Janv"/>
      <sheetName val="BG"/>
      <sheetName val="BG a date"/>
      <sheetName val="Encaissement"/>
      <sheetName val="Décaissement au 31"/>
      <sheetName val="Autres décaiss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>
        <row r="538">
          <cell r="J538">
            <v>25.842129925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anv"/>
      <sheetName val="YTD Fév"/>
      <sheetName val="BG"/>
      <sheetName val="BG a date"/>
      <sheetName val="Encaissement"/>
      <sheetName val="Décaissement"/>
      <sheetName val="Autres décaiss"/>
      <sheetName val="Décaissement Janvier"/>
      <sheetName val="Reporting Flooz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écaissements"/>
      <sheetName val="Disponibilités"/>
    </sheetNames>
    <sheetDataSet>
      <sheetData sheetId="0"/>
      <sheetData sheetId="1"/>
      <sheetData sheetId="2"/>
      <sheetData sheetId="3"/>
      <sheetData sheetId="4">
        <row r="529">
          <cell r="J529">
            <v>25.842129925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2023"/>
      <sheetName val="V1"/>
      <sheetName val="BUDGET"/>
      <sheetName val="Cover"/>
      <sheetName val="Feuil3"/>
      <sheetName val="P&amp;L conso"/>
      <sheetName val="Opex Consolidés"/>
      <sheetName val="Feuil4"/>
      <sheetName val="Autres Indicateurs"/>
      <sheetName val="Activité Internationale Mobile"/>
      <sheetName val="CA Mobile (SPLIT DATA REEL)"/>
      <sheetName val="CA Mobile (Réel 21)"/>
      <sheetName val="CA Mobile"/>
      <sheetName val="Marge Mobile"/>
      <sheetName val="Trafic mobile"/>
      <sheetName val="Mobile Money"/>
      <sheetName val="Data Mobile"/>
      <sheetName val="Parc Mobile "/>
      <sheetName val="Indicateurs Mobile"/>
      <sheetName val="Capex Consolidés"/>
      <sheetName val="Détail projets Capex"/>
      <sheetName val="Cash conso"/>
      <sheetName val="P&amp;L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Feuil2"/>
      <sheetName val="Réalisé de trésorerie"/>
      <sheetName val="RH et QS"/>
      <sheetName val="Impacts IFRS 16"/>
      <sheetName val="NRI 2022"/>
      <sheetName val="SHL et management fees"/>
      <sheetName val="Feuil1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">
          <cell r="F2">
            <v>238144877</v>
          </cell>
        </row>
      </sheetData>
      <sheetData sheetId="35"/>
      <sheetData sheetId="36"/>
      <sheetData sheetId="37"/>
      <sheetData sheetId="3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Macros"/>
      <sheetName val="Disclosure Results"/>
    </sheetNames>
    <sheetDataSet>
      <sheetData sheetId="0"/>
      <sheetData sheetId="1">
        <row r="21">
          <cell r="AL21">
            <v>2022847888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BG Momo-1"/>
      <sheetName val="BG Momo"/>
      <sheetName val="-"/>
      <sheetName val="BG ETI"/>
      <sheetName val="BG ETI -1"/>
      <sheetName val="MAP"/>
      <sheetName val="BG CONSO"/>
    </sheetNames>
    <sheetDataSet>
      <sheetData sheetId="0"/>
      <sheetData sheetId="1">
        <row r="23">
          <cell r="I23">
            <v>0</v>
          </cell>
        </row>
      </sheetData>
      <sheetData sheetId="2"/>
      <sheetData sheetId="3">
        <row r="1">
          <cell r="A1" t="str">
            <v>COMPTE</v>
          </cell>
        </row>
        <row r="1">
          <cell r="L1" t="str">
            <v>ACTUAL</v>
          </cell>
        </row>
        <row r="2">
          <cell r="A2" t="str">
            <v>101000</v>
          </cell>
        </row>
        <row r="2">
          <cell r="L2">
            <v>-10408280000</v>
          </cell>
        </row>
        <row r="3">
          <cell r="A3" t="str">
            <v>111000</v>
          </cell>
        </row>
        <row r="3">
          <cell r="L3">
            <v>-386287961</v>
          </cell>
        </row>
        <row r="4">
          <cell r="A4" t="str">
            <v>148000</v>
          </cell>
        </row>
        <row r="4">
          <cell r="L4">
            <v>-1850734400</v>
          </cell>
        </row>
        <row r="5">
          <cell r="A5" t="str">
            <v>161101</v>
          </cell>
        </row>
        <row r="5">
          <cell r="L5">
            <v>-188257867</v>
          </cell>
        </row>
        <row r="6">
          <cell r="A6" t="str">
            <v>162000</v>
          </cell>
        </row>
        <row r="6">
          <cell r="L6">
            <v>-18000000000</v>
          </cell>
        </row>
        <row r="7">
          <cell r="A7" t="str">
            <v>162300</v>
          </cell>
        </row>
        <row r="7">
          <cell r="L7">
            <v>-2638858734</v>
          </cell>
        </row>
        <row r="8">
          <cell r="A8" t="str">
            <v>162400</v>
          </cell>
        </row>
        <row r="8">
          <cell r="L8">
            <v>-15073543776</v>
          </cell>
        </row>
        <row r="9">
          <cell r="A9" t="str">
            <v>162500</v>
          </cell>
        </row>
        <row r="9">
          <cell r="L9">
            <v>-14171013640</v>
          </cell>
        </row>
        <row r="10">
          <cell r="A10" t="str">
            <v>165200</v>
          </cell>
        </row>
        <row r="10">
          <cell r="L10">
            <v>-1297000</v>
          </cell>
        </row>
        <row r="11">
          <cell r="A11" t="str">
            <v>165210</v>
          </cell>
        </row>
        <row r="11">
          <cell r="L11">
            <v>-280188591</v>
          </cell>
        </row>
        <row r="12">
          <cell r="A12" t="str">
            <v>166200</v>
          </cell>
        </row>
        <row r="12">
          <cell r="L12">
            <v>-617037854</v>
          </cell>
        </row>
        <row r="13">
          <cell r="A13" t="str">
            <v>166210</v>
          </cell>
        </row>
        <row r="13">
          <cell r="L13">
            <v>-3</v>
          </cell>
        </row>
        <row r="14">
          <cell r="A14" t="str">
            <v>196000</v>
          </cell>
        </row>
        <row r="14">
          <cell r="L14">
            <v>-75886080</v>
          </cell>
        </row>
        <row r="15">
          <cell r="A15" t="str">
            <v>196100</v>
          </cell>
        </row>
        <row r="15">
          <cell r="L15">
            <v>-604508667</v>
          </cell>
        </row>
        <row r="16">
          <cell r="A16" t="str">
            <v>198000</v>
          </cell>
        </row>
        <row r="16">
          <cell r="L16">
            <v>-255708816</v>
          </cell>
        </row>
        <row r="17">
          <cell r="A17" t="str">
            <v>198800</v>
          </cell>
        </row>
        <row r="17">
          <cell r="L17">
            <v>-1814957223</v>
          </cell>
        </row>
        <row r="18">
          <cell r="A18" t="str">
            <v>212100</v>
          </cell>
        </row>
        <row r="18">
          <cell r="L18">
            <v>80000000000</v>
          </cell>
        </row>
        <row r="19">
          <cell r="A19" t="str">
            <v>212200</v>
          </cell>
        </row>
        <row r="19">
          <cell r="L19">
            <v>7818167923</v>
          </cell>
        </row>
        <row r="20">
          <cell r="A20" t="str">
            <v>213100</v>
          </cell>
        </row>
        <row r="20">
          <cell r="L20">
            <v>56049235980</v>
          </cell>
        </row>
        <row r="21">
          <cell r="A21" t="str">
            <v>213200</v>
          </cell>
        </row>
        <row r="21">
          <cell r="L21">
            <v>2155081147</v>
          </cell>
        </row>
        <row r="22">
          <cell r="A22" t="str">
            <v>219300</v>
          </cell>
        </row>
        <row r="22">
          <cell r="L22">
            <v>9891441198</v>
          </cell>
        </row>
        <row r="23">
          <cell r="A23" t="str">
            <v>223100</v>
          </cell>
        </row>
        <row r="23">
          <cell r="L23">
            <v>1237343073</v>
          </cell>
        </row>
        <row r="24">
          <cell r="A24" t="str">
            <v>223800</v>
          </cell>
        </row>
        <row r="24">
          <cell r="L24">
            <v>70000000</v>
          </cell>
        </row>
        <row r="25">
          <cell r="A25" t="str">
            <v>229700</v>
          </cell>
        </row>
        <row r="25">
          <cell r="L25">
            <v>2227383056</v>
          </cell>
        </row>
        <row r="26">
          <cell r="A26" t="str">
            <v>231100</v>
          </cell>
        </row>
        <row r="26">
          <cell r="L26">
            <v>432753199</v>
          </cell>
        </row>
        <row r="27">
          <cell r="A27" t="str">
            <v>234110</v>
          </cell>
        </row>
        <row r="27">
          <cell r="L27">
            <v>29534521234</v>
          </cell>
        </row>
        <row r="28">
          <cell r="A28" t="str">
            <v>234120</v>
          </cell>
        </row>
        <row r="28">
          <cell r="L28">
            <v>14657113217</v>
          </cell>
        </row>
        <row r="29">
          <cell r="A29" t="str">
            <v>234130</v>
          </cell>
        </row>
        <row r="29">
          <cell r="L29">
            <v>21350488364</v>
          </cell>
        </row>
        <row r="30">
          <cell r="A30" t="str">
            <v>235110</v>
          </cell>
        </row>
        <row r="30">
          <cell r="L30">
            <v>1072061535</v>
          </cell>
        </row>
        <row r="31">
          <cell r="A31" t="str">
            <v>235120</v>
          </cell>
        </row>
        <row r="31">
          <cell r="L31">
            <v>1370998539</v>
          </cell>
        </row>
        <row r="32">
          <cell r="A32" t="str">
            <v>235130</v>
          </cell>
        </row>
        <row r="32">
          <cell r="L32">
            <v>6738841</v>
          </cell>
        </row>
        <row r="33">
          <cell r="A33" t="str">
            <v>235800</v>
          </cell>
        </row>
        <row r="33">
          <cell r="L33">
            <v>38309397</v>
          </cell>
        </row>
        <row r="34">
          <cell r="A34" t="str">
            <v>238200</v>
          </cell>
        </row>
        <row r="34">
          <cell r="L34">
            <v>96397936</v>
          </cell>
        </row>
        <row r="35">
          <cell r="A35" t="str">
            <v>239100</v>
          </cell>
        </row>
        <row r="35">
          <cell r="L35">
            <v>698833821</v>
          </cell>
        </row>
        <row r="36">
          <cell r="A36" t="str">
            <v>241110</v>
          </cell>
        </row>
        <row r="36">
          <cell r="L36">
            <v>49110167143</v>
          </cell>
        </row>
        <row r="37">
          <cell r="A37" t="str">
            <v>241120</v>
          </cell>
        </row>
        <row r="37">
          <cell r="L37">
            <v>33324072431</v>
          </cell>
        </row>
        <row r="38">
          <cell r="A38" t="str">
            <v>241130</v>
          </cell>
        </row>
        <row r="38">
          <cell r="L38">
            <v>16522859471</v>
          </cell>
        </row>
        <row r="39">
          <cell r="A39" t="str">
            <v>241140</v>
          </cell>
        </row>
        <row r="39">
          <cell r="L39">
            <v>45501254</v>
          </cell>
        </row>
        <row r="40">
          <cell r="A40" t="str">
            <v>241150</v>
          </cell>
        </row>
        <row r="40">
          <cell r="L40">
            <v>703102864</v>
          </cell>
        </row>
        <row r="41">
          <cell r="A41" t="str">
            <v>241200</v>
          </cell>
        </row>
        <row r="41">
          <cell r="L41">
            <v>90324192</v>
          </cell>
        </row>
        <row r="42">
          <cell r="A42" t="str">
            <v>244100</v>
          </cell>
        </row>
        <row r="42">
          <cell r="L42">
            <v>170207316</v>
          </cell>
        </row>
        <row r="43">
          <cell r="A43" t="str">
            <v>244200</v>
          </cell>
        </row>
        <row r="43">
          <cell r="L43">
            <v>11474921367</v>
          </cell>
        </row>
        <row r="44">
          <cell r="A44" t="str">
            <v>244400</v>
          </cell>
        </row>
        <row r="44">
          <cell r="L44">
            <v>559623569</v>
          </cell>
        </row>
        <row r="45">
          <cell r="A45" t="str">
            <v>244700</v>
          </cell>
        </row>
        <row r="45">
          <cell r="L45">
            <v>203762986</v>
          </cell>
        </row>
        <row r="46">
          <cell r="A46" t="str">
            <v>245100</v>
          </cell>
        </row>
        <row r="46">
          <cell r="L46">
            <v>712695198</v>
          </cell>
        </row>
        <row r="47">
          <cell r="A47" t="str">
            <v>245800</v>
          </cell>
        </row>
        <row r="47">
          <cell r="L47">
            <v>3200000</v>
          </cell>
        </row>
        <row r="48">
          <cell r="A48" t="str">
            <v>248000</v>
          </cell>
        </row>
        <row r="48">
          <cell r="L48">
            <v>538905458</v>
          </cell>
        </row>
        <row r="49">
          <cell r="A49" t="str">
            <v>249100</v>
          </cell>
        </row>
        <row r="49">
          <cell r="L49">
            <v>9837020892</v>
          </cell>
        </row>
        <row r="50">
          <cell r="A50" t="str">
            <v>249110</v>
          </cell>
        </row>
        <row r="50">
          <cell r="L50">
            <v>2418610308</v>
          </cell>
        </row>
        <row r="51">
          <cell r="A51" t="str">
            <v>251000</v>
          </cell>
        </row>
        <row r="51">
          <cell r="L51">
            <v>51585278</v>
          </cell>
        </row>
        <row r="52">
          <cell r="A52" t="str">
            <v>252000</v>
          </cell>
        </row>
        <row r="52">
          <cell r="L52">
            <v>95590367</v>
          </cell>
        </row>
        <row r="53">
          <cell r="A53" t="str">
            <v>261000</v>
          </cell>
        </row>
        <row r="53">
          <cell r="L53">
            <v>706000000</v>
          </cell>
        </row>
        <row r="54">
          <cell r="A54" t="str">
            <v>275100</v>
          </cell>
        </row>
        <row r="54">
          <cell r="L54">
            <v>422793540</v>
          </cell>
        </row>
        <row r="55">
          <cell r="A55" t="str">
            <v>275200</v>
          </cell>
        </row>
        <row r="55">
          <cell r="L55">
            <v>125975923</v>
          </cell>
        </row>
        <row r="56">
          <cell r="A56" t="str">
            <v>275300</v>
          </cell>
        </row>
        <row r="56">
          <cell r="L56">
            <v>287800</v>
          </cell>
        </row>
        <row r="57">
          <cell r="A57" t="str">
            <v>275500</v>
          </cell>
        </row>
        <row r="57">
          <cell r="L57">
            <v>105600</v>
          </cell>
        </row>
        <row r="58">
          <cell r="A58" t="str">
            <v>275800</v>
          </cell>
        </row>
        <row r="58">
          <cell r="L58">
            <v>241125651</v>
          </cell>
        </row>
        <row r="59">
          <cell r="A59" t="str">
            <v>281210</v>
          </cell>
        </row>
        <row r="59">
          <cell r="L59">
            <v>-59023397142</v>
          </cell>
        </row>
        <row r="60">
          <cell r="A60" t="str">
            <v>281220</v>
          </cell>
        </row>
        <row r="60">
          <cell r="L60">
            <v>-12499891384</v>
          </cell>
        </row>
        <row r="61">
          <cell r="A61" t="str">
            <v>281310</v>
          </cell>
        </row>
        <row r="61">
          <cell r="L61">
            <v>-40376536807</v>
          </cell>
        </row>
        <row r="62">
          <cell r="A62" t="str">
            <v>281320</v>
          </cell>
        </row>
        <row r="62">
          <cell r="L62">
            <v>-2477686693</v>
          </cell>
        </row>
        <row r="63">
          <cell r="A63" t="str">
            <v>283110</v>
          </cell>
        </row>
        <row r="63">
          <cell r="L63">
            <v>-74988015</v>
          </cell>
        </row>
        <row r="64">
          <cell r="A64" t="str">
            <v>283411</v>
          </cell>
        </row>
        <row r="64">
          <cell r="L64">
            <v>-18017828188</v>
          </cell>
        </row>
        <row r="65">
          <cell r="A65" t="str">
            <v>283412</v>
          </cell>
        </row>
        <row r="65">
          <cell r="L65">
            <v>-8797256783</v>
          </cell>
        </row>
        <row r="66">
          <cell r="A66" t="str">
            <v>283413</v>
          </cell>
        </row>
        <row r="66">
          <cell r="L66">
            <v>-17505362827</v>
          </cell>
        </row>
        <row r="67">
          <cell r="A67" t="str">
            <v>283511</v>
          </cell>
        </row>
        <row r="67">
          <cell r="L67">
            <v>-820659293</v>
          </cell>
        </row>
        <row r="68">
          <cell r="A68" t="str">
            <v>283512</v>
          </cell>
        </row>
        <row r="68">
          <cell r="L68">
            <v>-494546039</v>
          </cell>
        </row>
        <row r="69">
          <cell r="A69" t="str">
            <v>283513</v>
          </cell>
        </row>
        <row r="69">
          <cell r="L69">
            <v>-1197007</v>
          </cell>
        </row>
        <row r="70">
          <cell r="A70" t="str">
            <v>283580</v>
          </cell>
        </row>
        <row r="70">
          <cell r="L70">
            <v>-38135756</v>
          </cell>
        </row>
        <row r="71">
          <cell r="A71" t="str">
            <v>283820</v>
          </cell>
        </row>
        <row r="71">
          <cell r="L71">
            <v>-89254851</v>
          </cell>
        </row>
        <row r="72">
          <cell r="A72" t="str">
            <v>284111</v>
          </cell>
        </row>
        <row r="72">
          <cell r="L72">
            <v>-32607847985</v>
          </cell>
        </row>
        <row r="73">
          <cell r="A73" t="str">
            <v>284112</v>
          </cell>
        </row>
        <row r="73">
          <cell r="L73">
            <v>-21716457600</v>
          </cell>
        </row>
        <row r="74">
          <cell r="A74" t="str">
            <v>284113</v>
          </cell>
        </row>
        <row r="74">
          <cell r="L74">
            <v>-14160753890</v>
          </cell>
        </row>
        <row r="75">
          <cell r="A75" t="str">
            <v>284114</v>
          </cell>
        </row>
        <row r="75">
          <cell r="L75">
            <v>-40716012</v>
          </cell>
        </row>
        <row r="76">
          <cell r="A76" t="str">
            <v>284115</v>
          </cell>
        </row>
        <row r="76">
          <cell r="L76">
            <v>-592813336</v>
          </cell>
        </row>
        <row r="77">
          <cell r="A77" t="str">
            <v>284120</v>
          </cell>
        </row>
        <row r="77">
          <cell r="L77">
            <v>-46079529</v>
          </cell>
        </row>
        <row r="78">
          <cell r="A78" t="str">
            <v>284410</v>
          </cell>
        </row>
        <row r="78">
          <cell r="L78">
            <v>-147422787</v>
          </cell>
        </row>
        <row r="79">
          <cell r="A79" t="str">
            <v>284420</v>
          </cell>
        </row>
        <row r="79">
          <cell r="L79">
            <v>-7292095217</v>
          </cell>
        </row>
        <row r="80">
          <cell r="A80" t="str">
            <v>284440</v>
          </cell>
        </row>
        <row r="80">
          <cell r="L80">
            <v>-418205788</v>
          </cell>
        </row>
        <row r="81">
          <cell r="A81" t="str">
            <v>284470</v>
          </cell>
        </row>
        <row r="81">
          <cell r="L81">
            <v>-121563372</v>
          </cell>
        </row>
        <row r="82">
          <cell r="A82" t="str">
            <v>284510</v>
          </cell>
        </row>
        <row r="82">
          <cell r="L82">
            <v>-712253446</v>
          </cell>
        </row>
        <row r="83">
          <cell r="A83" t="str">
            <v>284580</v>
          </cell>
        </row>
        <row r="83">
          <cell r="L83">
            <v>-4010810</v>
          </cell>
        </row>
        <row r="84">
          <cell r="A84" t="str">
            <v>284800</v>
          </cell>
        </row>
        <row r="84">
          <cell r="L84">
            <v>-457228279</v>
          </cell>
        </row>
        <row r="85">
          <cell r="A85" t="str">
            <v>294000</v>
          </cell>
        </row>
        <row r="85">
          <cell r="L85">
            <v>-2592593776</v>
          </cell>
        </row>
        <row r="86">
          <cell r="A86" t="str">
            <v>311100</v>
          </cell>
        </row>
        <row r="86">
          <cell r="L86">
            <v>622364372</v>
          </cell>
        </row>
        <row r="87">
          <cell r="A87" t="str">
            <v>311200</v>
          </cell>
        </row>
        <row r="87">
          <cell r="L87">
            <v>396001293</v>
          </cell>
        </row>
        <row r="88">
          <cell r="A88" t="str">
            <v>312100</v>
          </cell>
        </row>
        <row r="88">
          <cell r="L88">
            <v>374807137</v>
          </cell>
        </row>
        <row r="89">
          <cell r="A89" t="str">
            <v>312110</v>
          </cell>
        </row>
        <row r="89">
          <cell r="L89">
            <v>81623999</v>
          </cell>
        </row>
        <row r="90">
          <cell r="A90" t="str">
            <v>313000</v>
          </cell>
        </row>
        <row r="90">
          <cell r="L90">
            <v>5869358</v>
          </cell>
        </row>
        <row r="91">
          <cell r="A91" t="str">
            <v>331100</v>
          </cell>
        </row>
        <row r="91">
          <cell r="L91">
            <v>685193439</v>
          </cell>
        </row>
        <row r="92">
          <cell r="A92" t="str">
            <v>331110</v>
          </cell>
        </row>
        <row r="92">
          <cell r="L92">
            <v>353405891</v>
          </cell>
        </row>
        <row r="93">
          <cell r="A93" t="str">
            <v>331200</v>
          </cell>
        </row>
        <row r="93">
          <cell r="L93">
            <v>10</v>
          </cell>
        </row>
        <row r="94">
          <cell r="A94" t="str">
            <v>334000</v>
          </cell>
        </row>
        <row r="94">
          <cell r="L94">
            <v>43541842</v>
          </cell>
        </row>
        <row r="95">
          <cell r="A95" t="str">
            <v>334100</v>
          </cell>
        </row>
        <row r="95">
          <cell r="L95">
            <v>155741575</v>
          </cell>
        </row>
        <row r="96">
          <cell r="A96" t="str">
            <v>338100</v>
          </cell>
        </row>
        <row r="96">
          <cell r="L96">
            <v>230429012</v>
          </cell>
        </row>
        <row r="97">
          <cell r="A97" t="str">
            <v>391100</v>
          </cell>
        </row>
        <row r="97">
          <cell r="L97">
            <v>-141205126</v>
          </cell>
        </row>
        <row r="98">
          <cell r="A98" t="str">
            <v>391200</v>
          </cell>
        </row>
        <row r="98">
          <cell r="L98">
            <v>-124642802</v>
          </cell>
        </row>
        <row r="99">
          <cell r="A99" t="str">
            <v>391300</v>
          </cell>
        </row>
        <row r="99">
          <cell r="L99">
            <v>-5869358</v>
          </cell>
        </row>
        <row r="100">
          <cell r="A100" t="str">
            <v>393100</v>
          </cell>
        </row>
        <row r="100">
          <cell r="L100">
            <v>-316797786</v>
          </cell>
        </row>
        <row r="101">
          <cell r="A101" t="str">
            <v>401100</v>
          </cell>
        </row>
        <row r="101">
          <cell r="L101">
            <v>299794290</v>
          </cell>
        </row>
        <row r="102">
          <cell r="A102" t="str">
            <v>401110</v>
          </cell>
        </row>
        <row r="102">
          <cell r="L102">
            <v>-7116320517</v>
          </cell>
        </row>
        <row r="103">
          <cell r="A103" t="str">
            <v>401120</v>
          </cell>
        </row>
        <row r="103">
          <cell r="L103">
            <v>-3546174045</v>
          </cell>
        </row>
        <row r="104">
          <cell r="A104" t="str">
            <v>401130</v>
          </cell>
        </row>
        <row r="104">
          <cell r="L104">
            <v>-3105096374</v>
          </cell>
        </row>
        <row r="105">
          <cell r="A105" t="str">
            <v>401140</v>
          </cell>
        </row>
        <row r="105">
          <cell r="L105">
            <v>-1380419132</v>
          </cell>
        </row>
        <row r="106">
          <cell r="A106" t="str">
            <v>401150</v>
          </cell>
        </row>
        <row r="106">
          <cell r="L106">
            <v>-1583999289</v>
          </cell>
        </row>
        <row r="107">
          <cell r="A107" t="str">
            <v>401200</v>
          </cell>
        </row>
        <row r="107">
          <cell r="L107">
            <v>-130223085</v>
          </cell>
        </row>
        <row r="108">
          <cell r="A108" t="str">
            <v>401210</v>
          </cell>
        </row>
        <row r="108">
          <cell r="L108">
            <v>-335568153</v>
          </cell>
        </row>
        <row r="109">
          <cell r="A109" t="str">
            <v>401300</v>
          </cell>
        </row>
        <row r="109">
          <cell r="L109">
            <v>-289919085</v>
          </cell>
        </row>
        <row r="110">
          <cell r="A110" t="str">
            <v>401310</v>
          </cell>
        </row>
        <row r="110">
          <cell r="L110">
            <v>-906833112</v>
          </cell>
        </row>
        <row r="111">
          <cell r="A111" t="str">
            <v>401320</v>
          </cell>
        </row>
        <row r="111">
          <cell r="L111">
            <v>252394666</v>
          </cell>
        </row>
        <row r="112">
          <cell r="A112" t="str">
            <v>401330</v>
          </cell>
        </row>
        <row r="112">
          <cell r="L112">
            <v>6465497</v>
          </cell>
        </row>
        <row r="113">
          <cell r="A113" t="str">
            <v>401340</v>
          </cell>
        </row>
        <row r="113">
          <cell r="L113">
            <v>-3465665240</v>
          </cell>
        </row>
        <row r="114">
          <cell r="A114" t="str">
            <v>401350</v>
          </cell>
        </row>
        <row r="114">
          <cell r="L114">
            <v>-14674483</v>
          </cell>
        </row>
        <row r="115">
          <cell r="A115" t="str">
            <v>401360</v>
          </cell>
        </row>
        <row r="115">
          <cell r="L115">
            <v>-374435692</v>
          </cell>
        </row>
        <row r="116">
          <cell r="A116" t="str">
            <v>401370</v>
          </cell>
        </row>
        <row r="116">
          <cell r="L116">
            <v>-2482181152</v>
          </cell>
        </row>
        <row r="117">
          <cell r="A117" t="str">
            <v>401380</v>
          </cell>
        </row>
        <row r="117">
          <cell r="L117">
            <v>-72094939</v>
          </cell>
        </row>
        <row r="118">
          <cell r="A118" t="str">
            <v>401390</v>
          </cell>
        </row>
        <row r="118">
          <cell r="L118">
            <v>-74073742</v>
          </cell>
        </row>
        <row r="119">
          <cell r="A119" t="str">
            <v>401400</v>
          </cell>
        </row>
        <row r="119">
          <cell r="L119">
            <v>-2329895</v>
          </cell>
        </row>
        <row r="120">
          <cell r="A120" t="str">
            <v>401410</v>
          </cell>
        </row>
        <row r="120">
          <cell r="L120">
            <v>-292332150</v>
          </cell>
        </row>
        <row r="121">
          <cell r="A121" t="str">
            <v>401420</v>
          </cell>
        </row>
        <row r="121">
          <cell r="L121">
            <v>-2298744</v>
          </cell>
        </row>
        <row r="122">
          <cell r="A122" t="str">
            <v>401430</v>
          </cell>
        </row>
        <row r="122">
          <cell r="L122">
            <v>-71177820</v>
          </cell>
        </row>
        <row r="123">
          <cell r="A123" t="str">
            <v>401440</v>
          </cell>
        </row>
        <row r="123">
          <cell r="L123">
            <v>-53825104</v>
          </cell>
        </row>
        <row r="124">
          <cell r="A124" t="str">
            <v>401450</v>
          </cell>
        </row>
        <row r="124">
          <cell r="L124">
            <v>-32429002</v>
          </cell>
        </row>
        <row r="125">
          <cell r="A125" t="str">
            <v>401460</v>
          </cell>
        </row>
        <row r="125">
          <cell r="L125">
            <v>-124647518</v>
          </cell>
        </row>
        <row r="126">
          <cell r="A126" t="str">
            <v>401470</v>
          </cell>
        </row>
        <row r="126">
          <cell r="L126">
            <v>-49043667</v>
          </cell>
        </row>
        <row r="127">
          <cell r="A127" t="str">
            <v>401480</v>
          </cell>
        </row>
        <row r="127">
          <cell r="L127">
            <v>635892952</v>
          </cell>
        </row>
        <row r="128">
          <cell r="A128" t="str">
            <v>401700</v>
          </cell>
        </row>
        <row r="128">
          <cell r="L128">
            <v>-12401498</v>
          </cell>
        </row>
        <row r="129">
          <cell r="A129" t="str">
            <v>401800</v>
          </cell>
        </row>
        <row r="129">
          <cell r="L129">
            <v>-436920165</v>
          </cell>
        </row>
        <row r="130">
          <cell r="A130" t="str">
            <v>408110</v>
          </cell>
        </row>
        <row r="130">
          <cell r="L130">
            <v>-12460935042</v>
          </cell>
        </row>
        <row r="131">
          <cell r="A131" t="str">
            <v>408120</v>
          </cell>
        </row>
        <row r="131">
          <cell r="L131">
            <v>-338165574</v>
          </cell>
        </row>
        <row r="132">
          <cell r="A132" t="str">
            <v>408130</v>
          </cell>
        </row>
        <row r="132">
          <cell r="L132">
            <v>-414721929</v>
          </cell>
        </row>
        <row r="133">
          <cell r="A133" t="str">
            <v>408140</v>
          </cell>
        </row>
        <row r="133">
          <cell r="L133">
            <v>-90851402</v>
          </cell>
        </row>
        <row r="134">
          <cell r="A134" t="str">
            <v>408200</v>
          </cell>
        </row>
        <row r="134">
          <cell r="L134">
            <v>-207425116</v>
          </cell>
        </row>
        <row r="135">
          <cell r="A135" t="str">
            <v>408210</v>
          </cell>
        </row>
        <row r="135">
          <cell r="L135">
            <v>-422468058</v>
          </cell>
        </row>
        <row r="136">
          <cell r="A136" t="str">
            <v>408220</v>
          </cell>
        </row>
        <row r="136">
          <cell r="L136">
            <v>-226008128</v>
          </cell>
        </row>
        <row r="137">
          <cell r="A137" t="str">
            <v>408320</v>
          </cell>
        </row>
        <row r="137">
          <cell r="L137">
            <v>-2401824563</v>
          </cell>
        </row>
        <row r="138">
          <cell r="A138" t="str">
            <v>408380</v>
          </cell>
        </row>
        <row r="138">
          <cell r="L138">
            <v>-92724158</v>
          </cell>
        </row>
        <row r="139">
          <cell r="A139" t="str">
            <v>408800</v>
          </cell>
        </row>
        <row r="139">
          <cell r="L139">
            <v>-2975057989</v>
          </cell>
        </row>
        <row r="140">
          <cell r="A140" t="str">
            <v>409101</v>
          </cell>
        </row>
        <row r="140">
          <cell r="L140">
            <v>275881340</v>
          </cell>
        </row>
        <row r="141">
          <cell r="A141" t="str">
            <v>409150</v>
          </cell>
        </row>
        <row r="141">
          <cell r="L141">
            <v>120763142</v>
          </cell>
        </row>
        <row r="142">
          <cell r="A142" t="str">
            <v>411110</v>
          </cell>
        </row>
        <row r="142">
          <cell r="L142">
            <v>7547006702</v>
          </cell>
        </row>
        <row r="143">
          <cell r="A143" t="str">
            <v>411120</v>
          </cell>
        </row>
        <row r="143">
          <cell r="L143">
            <v>4147442082</v>
          </cell>
        </row>
        <row r="144">
          <cell r="A144" t="str">
            <v>411130</v>
          </cell>
        </row>
        <row r="144">
          <cell r="L144">
            <v>1652934791</v>
          </cell>
        </row>
        <row r="145">
          <cell r="A145" t="str">
            <v>411140</v>
          </cell>
        </row>
        <row r="145">
          <cell r="L145">
            <v>3477670911</v>
          </cell>
        </row>
        <row r="146">
          <cell r="A146" t="str">
            <v>411200</v>
          </cell>
        </row>
        <row r="146">
          <cell r="L146">
            <v>3141558818</v>
          </cell>
        </row>
        <row r="147">
          <cell r="A147" t="str">
            <v>411300</v>
          </cell>
        </row>
        <row r="147">
          <cell r="L147">
            <v>20603652</v>
          </cell>
        </row>
        <row r="148">
          <cell r="A148" t="str">
            <v>411380</v>
          </cell>
        </row>
        <row r="148">
          <cell r="L148">
            <v>62188201</v>
          </cell>
        </row>
        <row r="149">
          <cell r="A149" t="str">
            <v>411390</v>
          </cell>
        </row>
        <row r="149">
          <cell r="L149">
            <v>5310337</v>
          </cell>
        </row>
        <row r="150">
          <cell r="A150" t="str">
            <v>411400</v>
          </cell>
        </row>
        <row r="150">
          <cell r="L150">
            <v>56272605</v>
          </cell>
        </row>
        <row r="151">
          <cell r="A151" t="str">
            <v>411410</v>
          </cell>
        </row>
        <row r="151">
          <cell r="L151">
            <v>41100571</v>
          </cell>
        </row>
        <row r="152">
          <cell r="A152" t="str">
            <v>411500</v>
          </cell>
        </row>
        <row r="152">
          <cell r="L152">
            <v>271291718</v>
          </cell>
        </row>
        <row r="153">
          <cell r="A153" t="str">
            <v>411600</v>
          </cell>
        </row>
        <row r="153">
          <cell r="L153">
            <v>6340430</v>
          </cell>
        </row>
        <row r="154">
          <cell r="A154" t="str">
            <v>411700</v>
          </cell>
        </row>
        <row r="154">
          <cell r="L154">
            <v>479066054</v>
          </cell>
        </row>
        <row r="155">
          <cell r="A155" t="str">
            <v>411710</v>
          </cell>
        </row>
        <row r="155">
          <cell r="L155">
            <v>0</v>
          </cell>
        </row>
        <row r="156">
          <cell r="A156" t="str">
            <v>411720</v>
          </cell>
        </row>
        <row r="156">
          <cell r="L156">
            <v>8586625</v>
          </cell>
        </row>
        <row r="157">
          <cell r="A157" t="str">
            <v>411800</v>
          </cell>
        </row>
        <row r="157">
          <cell r="L157">
            <v>60015161</v>
          </cell>
        </row>
        <row r="158">
          <cell r="A158" t="str">
            <v>411901</v>
          </cell>
        </row>
        <row r="158">
          <cell r="L158">
            <v>246188400</v>
          </cell>
        </row>
        <row r="159">
          <cell r="A159" t="str">
            <v>412100</v>
          </cell>
        </row>
        <row r="159">
          <cell r="L159">
            <v>1531000099</v>
          </cell>
        </row>
        <row r="160">
          <cell r="A160" t="str">
            <v>413100</v>
          </cell>
        </row>
        <row r="160">
          <cell r="L160">
            <v>81947825</v>
          </cell>
        </row>
        <row r="161">
          <cell r="A161" t="str">
            <v>416220</v>
          </cell>
        </row>
        <row r="161">
          <cell r="L161">
            <v>95886260</v>
          </cell>
        </row>
        <row r="162">
          <cell r="A162" t="str">
            <v>418110</v>
          </cell>
        </row>
        <row r="162">
          <cell r="L162">
            <v>1111003437</v>
          </cell>
        </row>
        <row r="163">
          <cell r="A163" t="str">
            <v>418120</v>
          </cell>
        </row>
        <row r="163">
          <cell r="L163">
            <v>204322314</v>
          </cell>
        </row>
        <row r="164">
          <cell r="A164" t="str">
            <v>418130</v>
          </cell>
        </row>
        <row r="164">
          <cell r="L164">
            <v>177724417</v>
          </cell>
        </row>
        <row r="165">
          <cell r="A165" t="str">
            <v>418200</v>
          </cell>
        </row>
        <row r="165">
          <cell r="L165">
            <v>332295437</v>
          </cell>
        </row>
        <row r="166">
          <cell r="A166" t="str">
            <v>418500</v>
          </cell>
        </row>
        <row r="166">
          <cell r="L166">
            <v>103043831</v>
          </cell>
        </row>
        <row r="167">
          <cell r="A167" t="str">
            <v>418700</v>
          </cell>
        </row>
        <row r="167">
          <cell r="L167">
            <v>30922569</v>
          </cell>
        </row>
        <row r="168">
          <cell r="A168" t="str">
            <v>418800</v>
          </cell>
        </row>
        <row r="168">
          <cell r="L168">
            <v>49500</v>
          </cell>
        </row>
        <row r="169">
          <cell r="A169" t="str">
            <v>419300</v>
          </cell>
        </row>
        <row r="169">
          <cell r="L169">
            <v>1574211</v>
          </cell>
        </row>
        <row r="170">
          <cell r="A170" t="str">
            <v>419802</v>
          </cell>
        </row>
        <row r="170">
          <cell r="L170">
            <v>-1184582803</v>
          </cell>
        </row>
        <row r="171">
          <cell r="A171" t="str">
            <v>421100</v>
          </cell>
        </row>
        <row r="171">
          <cell r="L171">
            <v>-65169616</v>
          </cell>
        </row>
        <row r="172">
          <cell r="A172" t="str">
            <v>421300</v>
          </cell>
        </row>
        <row r="172">
          <cell r="L172">
            <v>111002662</v>
          </cell>
        </row>
        <row r="173">
          <cell r="A173" t="str">
            <v>422000</v>
          </cell>
        </row>
        <row r="173">
          <cell r="L173">
            <v>-28292473</v>
          </cell>
        </row>
        <row r="174">
          <cell r="A174" t="str">
            <v>428100</v>
          </cell>
        </row>
        <row r="174">
          <cell r="L174">
            <v>-697567998</v>
          </cell>
        </row>
        <row r="175">
          <cell r="A175" t="str">
            <v>428600</v>
          </cell>
        </row>
        <row r="175">
          <cell r="L175">
            <v>-357496205</v>
          </cell>
        </row>
        <row r="176">
          <cell r="A176" t="str">
            <v>431300</v>
          </cell>
        </row>
        <row r="176">
          <cell r="L176">
            <v>-61716667</v>
          </cell>
        </row>
        <row r="177">
          <cell r="A177" t="str">
            <v>432000</v>
          </cell>
        </row>
        <row r="177">
          <cell r="L177">
            <v>-12968292</v>
          </cell>
        </row>
        <row r="178">
          <cell r="A178" t="str">
            <v>438100</v>
          </cell>
        </row>
        <row r="178">
          <cell r="L178">
            <v>-232937566</v>
          </cell>
        </row>
        <row r="179">
          <cell r="A179" t="str">
            <v>441000</v>
          </cell>
        </row>
        <row r="179">
          <cell r="L179">
            <v>25748310</v>
          </cell>
        </row>
        <row r="180">
          <cell r="A180" t="str">
            <v>442000</v>
          </cell>
        </row>
        <row r="180">
          <cell r="L180">
            <v>4339459</v>
          </cell>
        </row>
        <row r="181">
          <cell r="A181" t="str">
            <v>443100</v>
          </cell>
        </row>
        <row r="181">
          <cell r="L181">
            <v>-1310591163</v>
          </cell>
        </row>
        <row r="182">
          <cell r="A182" t="str">
            <v>443200</v>
          </cell>
        </row>
        <row r="182">
          <cell r="L182">
            <v>-73623848</v>
          </cell>
        </row>
        <row r="183">
          <cell r="A183" t="str">
            <v>443500</v>
          </cell>
        </row>
        <row r="183">
          <cell r="L183">
            <v>-224557599</v>
          </cell>
        </row>
        <row r="184">
          <cell r="A184" t="str">
            <v>444100</v>
          </cell>
        </row>
        <row r="184">
          <cell r="L184">
            <v>264575</v>
          </cell>
        </row>
        <row r="185">
          <cell r="A185" t="str">
            <v>445100</v>
          </cell>
        </row>
        <row r="185">
          <cell r="L185">
            <v>277086189</v>
          </cell>
        </row>
        <row r="186">
          <cell r="A186" t="str">
            <v>445200</v>
          </cell>
        </row>
        <row r="186">
          <cell r="L186">
            <v>1721232200</v>
          </cell>
        </row>
        <row r="187">
          <cell r="A187" t="str">
            <v>445500</v>
          </cell>
        </row>
        <row r="187">
          <cell r="L187">
            <v>1567216587</v>
          </cell>
        </row>
        <row r="188">
          <cell r="A188" t="str">
            <v>447100</v>
          </cell>
        </row>
        <row r="188">
          <cell r="L188">
            <v>-11432940</v>
          </cell>
        </row>
        <row r="189">
          <cell r="A189" t="str">
            <v>447200</v>
          </cell>
        </row>
        <row r="189">
          <cell r="L189">
            <v>-79123851</v>
          </cell>
        </row>
        <row r="190">
          <cell r="A190" t="str">
            <v>447801</v>
          </cell>
        </row>
        <row r="190">
          <cell r="L190">
            <v>-386</v>
          </cell>
        </row>
        <row r="191">
          <cell r="A191" t="str">
            <v>447803</v>
          </cell>
        </row>
        <row r="191">
          <cell r="L191">
            <v>1458</v>
          </cell>
        </row>
        <row r="192">
          <cell r="A192" t="str">
            <v>447804</v>
          </cell>
        </row>
        <row r="192">
          <cell r="L192">
            <v>-2919113</v>
          </cell>
        </row>
        <row r="193">
          <cell r="A193" t="str">
            <v>447805</v>
          </cell>
        </row>
        <row r="193">
          <cell r="L193">
            <v>-14481610</v>
          </cell>
        </row>
        <row r="194">
          <cell r="A194" t="str">
            <v>447806</v>
          </cell>
        </row>
        <row r="194">
          <cell r="L194">
            <v>-31087542</v>
          </cell>
        </row>
        <row r="195">
          <cell r="A195" t="str">
            <v>448600</v>
          </cell>
        </row>
        <row r="195">
          <cell r="L195">
            <v>-557479749</v>
          </cell>
        </row>
        <row r="196">
          <cell r="A196" t="str">
            <v>449201</v>
          </cell>
        </row>
        <row r="196">
          <cell r="L196">
            <v>1273941041</v>
          </cell>
        </row>
        <row r="197">
          <cell r="A197" t="str">
            <v>449202</v>
          </cell>
        </row>
        <row r="197">
          <cell r="L197">
            <v>427036171</v>
          </cell>
        </row>
        <row r="198">
          <cell r="A198" t="str">
            <v>449203</v>
          </cell>
        </row>
        <row r="198">
          <cell r="L198">
            <v>6047200</v>
          </cell>
        </row>
        <row r="199">
          <cell r="A199" t="str">
            <v>462200</v>
          </cell>
        </row>
        <row r="199">
          <cell r="L199">
            <v>-5314985299</v>
          </cell>
        </row>
        <row r="200">
          <cell r="A200" t="str">
            <v>465010</v>
          </cell>
        </row>
        <row r="200">
          <cell r="L200">
            <v>3</v>
          </cell>
        </row>
        <row r="201">
          <cell r="A201" t="str">
            <v>466010</v>
          </cell>
        </row>
        <row r="201">
          <cell r="L201">
            <v>-66826</v>
          </cell>
        </row>
        <row r="202">
          <cell r="A202" t="str">
            <v>466013</v>
          </cell>
        </row>
        <row r="202">
          <cell r="L202">
            <v>-2</v>
          </cell>
        </row>
        <row r="203">
          <cell r="A203" t="str">
            <v>466030</v>
          </cell>
        </row>
        <row r="203">
          <cell r="L203">
            <v>930817</v>
          </cell>
        </row>
        <row r="204">
          <cell r="A204" t="str">
            <v>466040</v>
          </cell>
        </row>
        <row r="204">
          <cell r="L204">
            <v>-521604581</v>
          </cell>
        </row>
        <row r="205">
          <cell r="A205" t="str">
            <v>466050</v>
          </cell>
        </row>
        <row r="205">
          <cell r="L205">
            <v>1231181</v>
          </cell>
        </row>
        <row r="206">
          <cell r="A206" t="str">
            <v>466080</v>
          </cell>
        </row>
        <row r="206">
          <cell r="L206">
            <v>14496592</v>
          </cell>
        </row>
        <row r="207">
          <cell r="A207" t="str">
            <v>471000</v>
          </cell>
        </row>
        <row r="207">
          <cell r="L207">
            <v>-26662094</v>
          </cell>
        </row>
        <row r="208">
          <cell r="A208" t="str">
            <v>471001</v>
          </cell>
        </row>
        <row r="208">
          <cell r="L208">
            <v>-24900399</v>
          </cell>
        </row>
        <row r="209">
          <cell r="A209" t="str">
            <v>471100</v>
          </cell>
        </row>
        <row r="209">
          <cell r="L209">
            <v>829540</v>
          </cell>
        </row>
        <row r="210">
          <cell r="A210" t="str">
            <v>471104</v>
          </cell>
        </row>
        <row r="210">
          <cell r="L210">
            <v>86537789</v>
          </cell>
        </row>
        <row r="211">
          <cell r="A211" t="str">
            <v>471200</v>
          </cell>
        </row>
        <row r="211">
          <cell r="L211">
            <v>-10100000</v>
          </cell>
        </row>
        <row r="212">
          <cell r="A212" t="str">
            <v>471202</v>
          </cell>
        </row>
        <row r="212">
          <cell r="L212">
            <v>988080631</v>
          </cell>
        </row>
        <row r="213">
          <cell r="A213" t="str">
            <v>471205</v>
          </cell>
        </row>
        <row r="213">
          <cell r="L213">
            <v>-130556157</v>
          </cell>
        </row>
        <row r="214">
          <cell r="A214" t="str">
            <v>471299</v>
          </cell>
        </row>
        <row r="214">
          <cell r="L214">
            <v>3306368482</v>
          </cell>
        </row>
        <row r="215">
          <cell r="A215" t="str">
            <v>471300</v>
          </cell>
        </row>
        <row r="215">
          <cell r="L215">
            <v>0</v>
          </cell>
        </row>
        <row r="216">
          <cell r="A216" t="str">
            <v>471310</v>
          </cell>
        </row>
        <row r="216">
          <cell r="L216">
            <v>-75424</v>
          </cell>
        </row>
        <row r="217">
          <cell r="A217" t="str">
            <v>471800</v>
          </cell>
        </row>
        <row r="217">
          <cell r="L217">
            <v>-474319369</v>
          </cell>
        </row>
        <row r="218">
          <cell r="A218" t="str">
            <v>471802</v>
          </cell>
        </row>
        <row r="218">
          <cell r="L218">
            <v>2408529</v>
          </cell>
        </row>
        <row r="219">
          <cell r="A219" t="str">
            <v>476000</v>
          </cell>
        </row>
        <row r="219">
          <cell r="L219">
            <v>1919156506</v>
          </cell>
        </row>
        <row r="220">
          <cell r="A220" t="str">
            <v>477100</v>
          </cell>
        </row>
        <row r="220">
          <cell r="L220">
            <v>-801267515</v>
          </cell>
        </row>
        <row r="221">
          <cell r="A221" t="str">
            <v>477101</v>
          </cell>
        </row>
        <row r="221">
          <cell r="L221">
            <v>-329633869</v>
          </cell>
        </row>
        <row r="222">
          <cell r="A222" t="str">
            <v>477110</v>
          </cell>
        </row>
        <row r="222">
          <cell r="L222">
            <v>-4274735</v>
          </cell>
        </row>
        <row r="223">
          <cell r="A223" t="str">
            <v>478400</v>
          </cell>
        </row>
        <row r="223">
          <cell r="L223">
            <v>42821008</v>
          </cell>
        </row>
        <row r="224">
          <cell r="A224" t="str">
            <v>479400</v>
          </cell>
        </row>
        <row r="224">
          <cell r="L224">
            <v>-126532593</v>
          </cell>
        </row>
        <row r="225">
          <cell r="A225" t="str">
            <v>481100</v>
          </cell>
        </row>
        <row r="225">
          <cell r="L225">
            <v>-1293888363</v>
          </cell>
        </row>
        <row r="226">
          <cell r="A226" t="str">
            <v>481200</v>
          </cell>
        </row>
        <row r="226">
          <cell r="L226">
            <v>-2382970375</v>
          </cell>
        </row>
        <row r="227">
          <cell r="A227" t="str">
            <v>481210</v>
          </cell>
        </row>
        <row r="227">
          <cell r="L227">
            <v>-252944189</v>
          </cell>
        </row>
        <row r="228">
          <cell r="A228" t="str">
            <v>481230</v>
          </cell>
        </row>
        <row r="228">
          <cell r="L228">
            <v>37994824</v>
          </cell>
        </row>
        <row r="229">
          <cell r="A229" t="str">
            <v>481700</v>
          </cell>
        </row>
        <row r="229">
          <cell r="L229">
            <v>-1502616481</v>
          </cell>
        </row>
        <row r="230">
          <cell r="A230" t="str">
            <v>481800</v>
          </cell>
        </row>
        <row r="230">
          <cell r="L230">
            <v>-15925270298</v>
          </cell>
        </row>
        <row r="231">
          <cell r="A231" t="str">
            <v>485000</v>
          </cell>
        </row>
        <row r="231">
          <cell r="L231">
            <v>8775005</v>
          </cell>
        </row>
        <row r="232">
          <cell r="A232" t="str">
            <v>488000</v>
          </cell>
        </row>
        <row r="232">
          <cell r="L232">
            <v>598975880</v>
          </cell>
        </row>
        <row r="233">
          <cell r="A233" t="str">
            <v>491210</v>
          </cell>
        </row>
        <row r="233">
          <cell r="L233">
            <v>-2392572768</v>
          </cell>
        </row>
        <row r="234">
          <cell r="A234" t="str">
            <v>491220</v>
          </cell>
        </row>
        <row r="234">
          <cell r="L234">
            <v>-1922070343</v>
          </cell>
        </row>
        <row r="235">
          <cell r="A235" t="str">
            <v>491230</v>
          </cell>
        </row>
        <row r="235">
          <cell r="L235">
            <v>-35395237</v>
          </cell>
        </row>
        <row r="236">
          <cell r="A236" t="str">
            <v>499000</v>
          </cell>
        </row>
        <row r="236">
          <cell r="L236">
            <v>-126079136</v>
          </cell>
        </row>
        <row r="237">
          <cell r="A237" t="str">
            <v>512000</v>
          </cell>
        </row>
        <row r="237">
          <cell r="L237">
            <v>-140000100</v>
          </cell>
        </row>
        <row r="238">
          <cell r="A238" t="str">
            <v>513000</v>
          </cell>
        </row>
        <row r="238">
          <cell r="L238">
            <v>14141246</v>
          </cell>
        </row>
        <row r="239">
          <cell r="A239" t="str">
            <v>521091</v>
          </cell>
        </row>
        <row r="239">
          <cell r="L239">
            <v>-763337529</v>
          </cell>
        </row>
        <row r="240">
          <cell r="A240" t="str">
            <v>521101</v>
          </cell>
        </row>
        <row r="240">
          <cell r="L240">
            <v>28435731</v>
          </cell>
        </row>
        <row r="241">
          <cell r="A241" t="str">
            <v>521150</v>
          </cell>
        </row>
        <row r="241">
          <cell r="L241">
            <v>147276172</v>
          </cell>
        </row>
        <row r="242">
          <cell r="A242" t="str">
            <v>521160</v>
          </cell>
        </row>
        <row r="242">
          <cell r="L242">
            <v>50622725</v>
          </cell>
        </row>
        <row r="243">
          <cell r="A243" t="str">
            <v>521170</v>
          </cell>
        </row>
        <row r="243">
          <cell r="L243">
            <v>-9167849293</v>
          </cell>
        </row>
        <row r="244">
          <cell r="A244" t="str">
            <v>521172</v>
          </cell>
        </row>
        <row r="244">
          <cell r="L244">
            <v>0</v>
          </cell>
        </row>
        <row r="245">
          <cell r="A245" t="str">
            <v>521173</v>
          </cell>
        </row>
        <row r="245">
          <cell r="L245">
            <v>220973361</v>
          </cell>
        </row>
        <row r="246">
          <cell r="A246" t="str">
            <v>521180</v>
          </cell>
        </row>
        <row r="246">
          <cell r="L246">
            <v>-1760119933</v>
          </cell>
        </row>
        <row r="247">
          <cell r="A247" t="str">
            <v>521190</v>
          </cell>
        </row>
        <row r="247">
          <cell r="L247">
            <v>-2667374</v>
          </cell>
        </row>
        <row r="248">
          <cell r="A248" t="str">
            <v>521196</v>
          </cell>
        </row>
        <row r="248">
          <cell r="L248">
            <v>-2868775027</v>
          </cell>
        </row>
        <row r="249">
          <cell r="A249" t="str">
            <v>521197</v>
          </cell>
        </row>
        <row r="249">
          <cell r="L249">
            <v>-4858274709</v>
          </cell>
        </row>
        <row r="250">
          <cell r="A250" t="str">
            <v>521201</v>
          </cell>
        </row>
        <row r="250">
          <cell r="L250">
            <v>171754435</v>
          </cell>
        </row>
        <row r="251">
          <cell r="A251" t="str">
            <v>521202</v>
          </cell>
        </row>
        <row r="251">
          <cell r="L251">
            <v>14144970</v>
          </cell>
        </row>
        <row r="252">
          <cell r="A252" t="str">
            <v>524140</v>
          </cell>
        </row>
        <row r="252">
          <cell r="L252">
            <v>161436712</v>
          </cell>
        </row>
        <row r="253">
          <cell r="A253" t="str">
            <v>524150</v>
          </cell>
        </row>
        <row r="253">
          <cell r="L253">
            <v>85206615</v>
          </cell>
        </row>
        <row r="254">
          <cell r="A254" t="str">
            <v>531100</v>
          </cell>
        </row>
        <row r="254">
          <cell r="L254">
            <v>820960370</v>
          </cell>
        </row>
        <row r="255">
          <cell r="A255" t="str">
            <v>538100</v>
          </cell>
        </row>
        <row r="255">
          <cell r="L255">
            <v>205790778</v>
          </cell>
        </row>
        <row r="256">
          <cell r="A256" t="str">
            <v>552000</v>
          </cell>
        </row>
        <row r="256">
          <cell r="L256">
            <v>5520432864</v>
          </cell>
        </row>
        <row r="257">
          <cell r="A257" t="str">
            <v>552201</v>
          </cell>
        </row>
        <row r="257">
          <cell r="L257">
            <v>27767145</v>
          </cell>
        </row>
        <row r="258">
          <cell r="A258" t="str">
            <v>552202</v>
          </cell>
        </row>
        <row r="258">
          <cell r="L258">
            <v>10927503</v>
          </cell>
        </row>
        <row r="259">
          <cell r="A259" t="str">
            <v>552203</v>
          </cell>
        </row>
        <row r="259">
          <cell r="L259">
            <v>7911382</v>
          </cell>
        </row>
        <row r="260">
          <cell r="A260" t="str">
            <v>552204</v>
          </cell>
        </row>
        <row r="260">
          <cell r="L260">
            <v>6881347</v>
          </cell>
        </row>
        <row r="261">
          <cell r="A261" t="str">
            <v>552205</v>
          </cell>
        </row>
        <row r="261">
          <cell r="L261">
            <v>7815056</v>
          </cell>
        </row>
        <row r="262">
          <cell r="A262" t="str">
            <v>552206</v>
          </cell>
        </row>
        <row r="262">
          <cell r="L262">
            <v>8792328</v>
          </cell>
        </row>
        <row r="263">
          <cell r="A263" t="str">
            <v>552207</v>
          </cell>
        </row>
        <row r="263">
          <cell r="L263">
            <v>7460470</v>
          </cell>
        </row>
        <row r="264">
          <cell r="A264" t="str">
            <v>552208</v>
          </cell>
        </row>
        <row r="264">
          <cell r="L264">
            <v>10563499</v>
          </cell>
        </row>
        <row r="265">
          <cell r="A265" t="str">
            <v>552209</v>
          </cell>
        </row>
        <row r="265">
          <cell r="L265">
            <v>11760700</v>
          </cell>
        </row>
        <row r="266">
          <cell r="A266" t="str">
            <v>552210</v>
          </cell>
        </row>
        <row r="266">
          <cell r="L266">
            <v>4578721</v>
          </cell>
        </row>
        <row r="267">
          <cell r="A267" t="str">
            <v>552211</v>
          </cell>
        </row>
        <row r="267">
          <cell r="L267">
            <v>4437414</v>
          </cell>
        </row>
        <row r="268">
          <cell r="A268" t="str">
            <v>552213</v>
          </cell>
        </row>
        <row r="268">
          <cell r="L268">
            <v>2968698</v>
          </cell>
        </row>
        <row r="269">
          <cell r="A269" t="str">
            <v>552214</v>
          </cell>
        </row>
        <row r="269">
          <cell r="L269">
            <v>10512050</v>
          </cell>
        </row>
        <row r="270">
          <cell r="A270" t="str">
            <v>552215</v>
          </cell>
        </row>
        <row r="270">
          <cell r="L270">
            <v>1998956</v>
          </cell>
        </row>
        <row r="271">
          <cell r="A271" t="str">
            <v>552216</v>
          </cell>
        </row>
        <row r="271">
          <cell r="L271">
            <v>1100025</v>
          </cell>
        </row>
        <row r="272">
          <cell r="A272" t="str">
            <v>552217</v>
          </cell>
        </row>
        <row r="272">
          <cell r="L272">
            <v>1890350</v>
          </cell>
        </row>
        <row r="273">
          <cell r="A273" t="str">
            <v>552218</v>
          </cell>
        </row>
        <row r="273">
          <cell r="L273">
            <v>1702904</v>
          </cell>
        </row>
        <row r="274">
          <cell r="A274" t="str">
            <v>552220</v>
          </cell>
        </row>
        <row r="274">
          <cell r="L274">
            <v>11475307</v>
          </cell>
        </row>
        <row r="275">
          <cell r="A275" t="str">
            <v>552224</v>
          </cell>
        </row>
        <row r="275">
          <cell r="L275">
            <v>7767970</v>
          </cell>
        </row>
        <row r="276">
          <cell r="A276" t="str">
            <v>552226</v>
          </cell>
        </row>
        <row r="276">
          <cell r="L276">
            <v>0</v>
          </cell>
        </row>
        <row r="277">
          <cell r="A277" t="str">
            <v>552227</v>
          </cell>
        </row>
        <row r="277">
          <cell r="L277">
            <v>10983574</v>
          </cell>
        </row>
        <row r="278">
          <cell r="A278" t="str">
            <v>552228</v>
          </cell>
        </row>
        <row r="278">
          <cell r="L278">
            <v>3675200</v>
          </cell>
        </row>
        <row r="279">
          <cell r="A279" t="str">
            <v>552229</v>
          </cell>
        </row>
        <row r="279">
          <cell r="L279">
            <v>7964908</v>
          </cell>
        </row>
        <row r="280">
          <cell r="A280" t="str">
            <v>552230</v>
          </cell>
        </row>
        <row r="280">
          <cell r="L280">
            <v>2244250</v>
          </cell>
        </row>
        <row r="281">
          <cell r="A281" t="str">
            <v>566000</v>
          </cell>
        </row>
        <row r="281">
          <cell r="L281">
            <v>-31558671</v>
          </cell>
        </row>
        <row r="282">
          <cell r="A282" t="str">
            <v>571080</v>
          </cell>
        </row>
        <row r="282">
          <cell r="L282">
            <v>1018296</v>
          </cell>
        </row>
        <row r="283">
          <cell r="A283" t="str">
            <v>572010</v>
          </cell>
        </row>
        <row r="283">
          <cell r="L283">
            <v>319300</v>
          </cell>
        </row>
        <row r="284">
          <cell r="A284" t="str">
            <v>572015</v>
          </cell>
        </row>
        <row r="284">
          <cell r="L284">
            <v>553900</v>
          </cell>
        </row>
        <row r="285">
          <cell r="A285" t="str">
            <v>572020</v>
          </cell>
        </row>
        <row r="285">
          <cell r="L285">
            <v>0</v>
          </cell>
        </row>
        <row r="286">
          <cell r="A286" t="str">
            <v>572030</v>
          </cell>
        </row>
        <row r="286">
          <cell r="L286">
            <v>79000</v>
          </cell>
        </row>
        <row r="287">
          <cell r="A287" t="str">
            <v>572040</v>
          </cell>
        </row>
        <row r="287">
          <cell r="L287">
            <v>295800</v>
          </cell>
        </row>
        <row r="288">
          <cell r="A288" t="str">
            <v>572050</v>
          </cell>
        </row>
        <row r="288">
          <cell r="L288">
            <v>543100</v>
          </cell>
        </row>
        <row r="289">
          <cell r="A289" t="str">
            <v>572060</v>
          </cell>
        </row>
        <row r="289">
          <cell r="L289">
            <v>96000</v>
          </cell>
        </row>
        <row r="290">
          <cell r="A290" t="str">
            <v>572070</v>
          </cell>
        </row>
        <row r="290">
          <cell r="L290">
            <v>42999</v>
          </cell>
        </row>
        <row r="291">
          <cell r="A291" t="str">
            <v>572090</v>
          </cell>
        </row>
        <row r="291">
          <cell r="L291">
            <v>0</v>
          </cell>
        </row>
        <row r="292">
          <cell r="A292" t="str">
            <v>572100</v>
          </cell>
        </row>
        <row r="292">
          <cell r="L292">
            <v>0</v>
          </cell>
        </row>
        <row r="293">
          <cell r="A293" t="str">
            <v>572110</v>
          </cell>
        </row>
        <row r="293">
          <cell r="L293">
            <v>0</v>
          </cell>
        </row>
        <row r="294">
          <cell r="A294" t="str">
            <v>572120</v>
          </cell>
        </row>
        <row r="294">
          <cell r="L294">
            <v>0</v>
          </cell>
        </row>
        <row r="295">
          <cell r="A295" t="str">
            <v>572130</v>
          </cell>
        </row>
        <row r="295">
          <cell r="L295">
            <v>68000</v>
          </cell>
        </row>
        <row r="296">
          <cell r="A296" t="str">
            <v>572140</v>
          </cell>
        </row>
        <row r="296">
          <cell r="L296">
            <v>0</v>
          </cell>
        </row>
        <row r="297">
          <cell r="A297" t="str">
            <v>572150</v>
          </cell>
        </row>
        <row r="297">
          <cell r="L297">
            <v>0</v>
          </cell>
        </row>
        <row r="298">
          <cell r="A298" t="str">
            <v>572153</v>
          </cell>
        </row>
        <row r="298">
          <cell r="L298">
            <v>38000</v>
          </cell>
        </row>
        <row r="299">
          <cell r="A299" t="str">
            <v>572154</v>
          </cell>
        </row>
        <row r="299">
          <cell r="L299">
            <v>0</v>
          </cell>
        </row>
        <row r="300">
          <cell r="A300" t="str">
            <v>572155</v>
          </cell>
        </row>
        <row r="300">
          <cell r="L300">
            <v>800</v>
          </cell>
        </row>
        <row r="301">
          <cell r="A301" t="str">
            <v>572159</v>
          </cell>
        </row>
        <row r="301">
          <cell r="L301">
            <v>0</v>
          </cell>
        </row>
        <row r="302">
          <cell r="A302" t="str">
            <v>572160</v>
          </cell>
        </row>
        <row r="302">
          <cell r="L302">
            <v>5000</v>
          </cell>
        </row>
        <row r="303">
          <cell r="A303" t="str">
            <v>572162</v>
          </cell>
        </row>
        <row r="303">
          <cell r="L303">
            <v>0</v>
          </cell>
        </row>
        <row r="304">
          <cell r="A304" t="str">
            <v>572163</v>
          </cell>
        </row>
        <row r="304">
          <cell r="L304">
            <v>0</v>
          </cell>
        </row>
        <row r="305">
          <cell r="A305" t="str">
            <v>572164</v>
          </cell>
        </row>
        <row r="305">
          <cell r="L305">
            <v>0</v>
          </cell>
        </row>
        <row r="306">
          <cell r="A306" t="str">
            <v>573110</v>
          </cell>
        </row>
        <row r="306">
          <cell r="L306">
            <v>6532980</v>
          </cell>
        </row>
        <row r="307">
          <cell r="A307" t="str">
            <v>573120</v>
          </cell>
        </row>
        <row r="307">
          <cell r="L307">
            <v>7073059</v>
          </cell>
        </row>
        <row r="308">
          <cell r="A308" t="str">
            <v>573130</v>
          </cell>
        </row>
        <row r="308">
          <cell r="L308">
            <v>6088618</v>
          </cell>
        </row>
        <row r="309">
          <cell r="A309" t="str">
            <v>573140</v>
          </cell>
        </row>
        <row r="309">
          <cell r="L309">
            <v>3118661</v>
          </cell>
        </row>
        <row r="310">
          <cell r="A310" t="str">
            <v>573150</v>
          </cell>
        </row>
        <row r="310">
          <cell r="L310">
            <v>6184944</v>
          </cell>
        </row>
        <row r="311">
          <cell r="A311" t="str">
            <v>573160</v>
          </cell>
        </row>
        <row r="311">
          <cell r="L311">
            <v>5207682</v>
          </cell>
        </row>
        <row r="312">
          <cell r="A312" t="str">
            <v>573170</v>
          </cell>
        </row>
        <row r="312">
          <cell r="L312">
            <v>6539530</v>
          </cell>
        </row>
        <row r="313">
          <cell r="A313" t="str">
            <v>573180</v>
          </cell>
        </row>
        <row r="313">
          <cell r="L313">
            <v>12436525</v>
          </cell>
        </row>
        <row r="314">
          <cell r="A314" t="str">
            <v>573190</v>
          </cell>
        </row>
        <row r="314">
          <cell r="L314">
            <v>8739300</v>
          </cell>
        </row>
        <row r="315">
          <cell r="A315" t="str">
            <v>573200</v>
          </cell>
        </row>
        <row r="315">
          <cell r="L315">
            <v>6921837</v>
          </cell>
        </row>
        <row r="316">
          <cell r="A316" t="str">
            <v>573210</v>
          </cell>
        </row>
        <row r="316">
          <cell r="L316">
            <v>7562586</v>
          </cell>
        </row>
        <row r="317">
          <cell r="A317" t="str">
            <v>573230</v>
          </cell>
        </row>
        <row r="317">
          <cell r="L317">
            <v>4733870</v>
          </cell>
        </row>
        <row r="318">
          <cell r="A318" t="str">
            <v>573240</v>
          </cell>
        </row>
        <row r="318">
          <cell r="L318">
            <v>5487950</v>
          </cell>
        </row>
        <row r="319">
          <cell r="A319" t="str">
            <v>573250</v>
          </cell>
        </row>
        <row r="319">
          <cell r="L319">
            <v>2501140</v>
          </cell>
        </row>
        <row r="320">
          <cell r="A320" t="str">
            <v>573260</v>
          </cell>
        </row>
        <row r="320">
          <cell r="L320">
            <v>2099975</v>
          </cell>
        </row>
        <row r="321">
          <cell r="A321" t="str">
            <v>573270</v>
          </cell>
        </row>
        <row r="321">
          <cell r="L321">
            <v>2065350</v>
          </cell>
        </row>
        <row r="322">
          <cell r="A322" t="str">
            <v>573280</v>
          </cell>
        </row>
        <row r="322">
          <cell r="L322">
            <v>3646575</v>
          </cell>
        </row>
        <row r="323">
          <cell r="A323" t="str">
            <v>573291</v>
          </cell>
        </row>
        <row r="323">
          <cell r="L323">
            <v>4524825</v>
          </cell>
        </row>
        <row r="324">
          <cell r="A324" t="str">
            <v>573292</v>
          </cell>
        </row>
        <row r="324">
          <cell r="L324">
            <v>7755750</v>
          </cell>
        </row>
        <row r="325">
          <cell r="A325" t="str">
            <v>573295</v>
          </cell>
        </row>
        <row r="325">
          <cell r="L325">
            <v>4232030</v>
          </cell>
        </row>
        <row r="326">
          <cell r="A326" t="str">
            <v>573297</v>
          </cell>
        </row>
        <row r="326">
          <cell r="L326">
            <v>3724800</v>
          </cell>
        </row>
        <row r="327">
          <cell r="A327" t="str">
            <v>573298</v>
          </cell>
        </row>
        <row r="327">
          <cell r="L327">
            <v>6038155</v>
          </cell>
        </row>
        <row r="328">
          <cell r="A328" t="str">
            <v>585000</v>
          </cell>
        </row>
        <row r="328">
          <cell r="L328">
            <v>0</v>
          </cell>
        </row>
        <row r="329">
          <cell r="A329" t="str">
            <v>599000</v>
          </cell>
        </row>
        <row r="329">
          <cell r="L329">
            <v>-24248401</v>
          </cell>
        </row>
        <row r="330">
          <cell r="A330" t="str">
            <v>601210</v>
          </cell>
        </row>
        <row r="330">
          <cell r="L330">
            <v>187013224</v>
          </cell>
        </row>
        <row r="331">
          <cell r="A331" t="str">
            <v>601230</v>
          </cell>
        </row>
        <row r="331">
          <cell r="L331">
            <v>5487539</v>
          </cell>
        </row>
        <row r="332">
          <cell r="A332" t="str">
            <v>603110</v>
          </cell>
        </row>
        <row r="332">
          <cell r="L332">
            <v>-90785229</v>
          </cell>
        </row>
        <row r="333">
          <cell r="A333" t="str">
            <v>603120</v>
          </cell>
        </row>
        <row r="333">
          <cell r="L333">
            <v>83879961</v>
          </cell>
        </row>
        <row r="334">
          <cell r="A334" t="str">
            <v>603130</v>
          </cell>
        </row>
        <row r="334">
          <cell r="L334">
            <v>29131269</v>
          </cell>
        </row>
        <row r="335">
          <cell r="A335" t="str">
            <v>603140</v>
          </cell>
        </row>
        <row r="335">
          <cell r="L335">
            <v>34424</v>
          </cell>
        </row>
        <row r="336">
          <cell r="A336" t="str">
            <v>603200</v>
          </cell>
        </row>
        <row r="336">
          <cell r="L336">
            <v>645183949</v>
          </cell>
        </row>
        <row r="337">
          <cell r="A337" t="str">
            <v>603300</v>
          </cell>
        </row>
        <row r="337">
          <cell r="L337">
            <v>1459517</v>
          </cell>
        </row>
        <row r="338">
          <cell r="A338" t="str">
            <v>603310</v>
          </cell>
        </row>
        <row r="338">
          <cell r="L338">
            <v>-21606391</v>
          </cell>
        </row>
        <row r="339">
          <cell r="A339" t="str">
            <v>603320</v>
          </cell>
        </row>
        <row r="339">
          <cell r="L339">
            <v>-21624101</v>
          </cell>
        </row>
        <row r="340">
          <cell r="A340" t="str">
            <v>603330</v>
          </cell>
        </row>
        <row r="340">
          <cell r="L340">
            <v>2345006</v>
          </cell>
        </row>
        <row r="341">
          <cell r="A341" t="str">
            <v>603340</v>
          </cell>
        </row>
        <row r="341">
          <cell r="L341">
            <v>25557</v>
          </cell>
        </row>
        <row r="342">
          <cell r="A342" t="str">
            <v>604200</v>
          </cell>
        </row>
        <row r="342">
          <cell r="L342">
            <v>4824972</v>
          </cell>
        </row>
        <row r="343">
          <cell r="A343" t="str">
            <v>605110</v>
          </cell>
        </row>
        <row r="343">
          <cell r="L343">
            <v>1356216</v>
          </cell>
        </row>
        <row r="344">
          <cell r="A344" t="str">
            <v>605130</v>
          </cell>
        </row>
        <row r="344">
          <cell r="L344">
            <v>284622</v>
          </cell>
        </row>
        <row r="345">
          <cell r="A345" t="str">
            <v>605210</v>
          </cell>
        </row>
        <row r="345">
          <cell r="L345">
            <v>67147928</v>
          </cell>
        </row>
        <row r="346">
          <cell r="A346" t="str">
            <v>605240</v>
          </cell>
        </row>
        <row r="346">
          <cell r="L346">
            <v>265728553</v>
          </cell>
        </row>
        <row r="347">
          <cell r="A347" t="str">
            <v>605260</v>
          </cell>
        </row>
        <row r="347">
          <cell r="L347">
            <v>2678550</v>
          </cell>
        </row>
        <row r="348">
          <cell r="A348" t="str">
            <v>605310</v>
          </cell>
        </row>
        <row r="348">
          <cell r="L348">
            <v>159115758</v>
          </cell>
        </row>
        <row r="349">
          <cell r="A349" t="str">
            <v>605500</v>
          </cell>
        </row>
        <row r="349">
          <cell r="L349">
            <v>501877</v>
          </cell>
        </row>
        <row r="350">
          <cell r="A350" t="str">
            <v>605510</v>
          </cell>
        </row>
        <row r="350">
          <cell r="L350">
            <v>1138396</v>
          </cell>
        </row>
        <row r="351">
          <cell r="A351" t="str">
            <v>605600</v>
          </cell>
        </row>
        <row r="351">
          <cell r="L351">
            <v>27771720</v>
          </cell>
        </row>
        <row r="352">
          <cell r="A352" t="str">
            <v>605730</v>
          </cell>
        </row>
        <row r="352">
          <cell r="L352">
            <v>51451201</v>
          </cell>
        </row>
        <row r="353">
          <cell r="A353" t="str">
            <v>605731</v>
          </cell>
        </row>
        <row r="353">
          <cell r="L353">
            <v>37168713</v>
          </cell>
        </row>
        <row r="354">
          <cell r="A354" t="str">
            <v>605732</v>
          </cell>
        </row>
        <row r="354">
          <cell r="L354">
            <v>49196775</v>
          </cell>
        </row>
        <row r="355">
          <cell r="A355" t="str">
            <v>605740</v>
          </cell>
        </row>
        <row r="355">
          <cell r="L355">
            <v>177736245</v>
          </cell>
        </row>
        <row r="356">
          <cell r="A356" t="str">
            <v>616100</v>
          </cell>
        </row>
        <row r="356">
          <cell r="L356">
            <v>2401193</v>
          </cell>
        </row>
        <row r="357">
          <cell r="A357" t="str">
            <v>618100</v>
          </cell>
        </row>
        <row r="357">
          <cell r="L357">
            <v>12890142</v>
          </cell>
        </row>
        <row r="358">
          <cell r="A358" t="str">
            <v>622100</v>
          </cell>
        </row>
        <row r="358">
          <cell r="L358">
            <v>72470275</v>
          </cell>
        </row>
        <row r="359">
          <cell r="A359" t="str">
            <v>622210</v>
          </cell>
        </row>
        <row r="359">
          <cell r="L359">
            <v>51072334</v>
          </cell>
        </row>
        <row r="360">
          <cell r="A360" t="str">
            <v>622230</v>
          </cell>
        </row>
        <row r="360">
          <cell r="L360">
            <v>11586364</v>
          </cell>
        </row>
        <row r="361">
          <cell r="A361" t="str">
            <v>622240</v>
          </cell>
        </row>
        <row r="361">
          <cell r="L361">
            <v>12952223</v>
          </cell>
        </row>
        <row r="362">
          <cell r="A362" t="str">
            <v>622310</v>
          </cell>
        </row>
        <row r="362">
          <cell r="L362">
            <v>18701503</v>
          </cell>
        </row>
        <row r="363">
          <cell r="A363" t="str">
            <v>622320</v>
          </cell>
        </row>
        <row r="363">
          <cell r="L363">
            <v>1311914</v>
          </cell>
        </row>
        <row r="364">
          <cell r="A364" t="str">
            <v>622350</v>
          </cell>
        </row>
        <row r="364">
          <cell r="L364">
            <v>189243124</v>
          </cell>
        </row>
        <row r="365">
          <cell r="A365" t="str">
            <v>622360</v>
          </cell>
        </row>
        <row r="365">
          <cell r="L365">
            <v>47063002</v>
          </cell>
        </row>
        <row r="366">
          <cell r="A366" t="str">
            <v>622800</v>
          </cell>
        </row>
        <row r="366">
          <cell r="L366">
            <v>22260518</v>
          </cell>
        </row>
        <row r="367">
          <cell r="A367" t="str">
            <v>624120</v>
          </cell>
        </row>
        <row r="367">
          <cell r="L367">
            <v>19098006</v>
          </cell>
        </row>
        <row r="368">
          <cell r="A368" t="str">
            <v>624130</v>
          </cell>
        </row>
        <row r="368">
          <cell r="L368">
            <v>174657315</v>
          </cell>
        </row>
        <row r="369">
          <cell r="A369" t="str">
            <v>624140</v>
          </cell>
        </row>
        <row r="369">
          <cell r="L369">
            <v>1575176</v>
          </cell>
        </row>
        <row r="370">
          <cell r="A370" t="str">
            <v>624210</v>
          </cell>
        </row>
        <row r="370">
          <cell r="L370">
            <v>1078500</v>
          </cell>
        </row>
        <row r="371">
          <cell r="A371" t="str">
            <v>624220</v>
          </cell>
        </row>
        <row r="371">
          <cell r="L371">
            <v>14993301</v>
          </cell>
        </row>
        <row r="372">
          <cell r="A372" t="str">
            <v>624230</v>
          </cell>
        </row>
        <row r="372">
          <cell r="L372">
            <v>43982871</v>
          </cell>
        </row>
        <row r="373">
          <cell r="A373" t="str">
            <v>624310</v>
          </cell>
        </row>
        <row r="373">
          <cell r="L373">
            <v>138961362</v>
          </cell>
        </row>
        <row r="374">
          <cell r="A374" t="str">
            <v>624320</v>
          </cell>
        </row>
        <row r="374">
          <cell r="L374">
            <v>139089048</v>
          </cell>
        </row>
        <row r="375">
          <cell r="A375" t="str">
            <v>624800</v>
          </cell>
        </row>
        <row r="375">
          <cell r="L375">
            <v>841733</v>
          </cell>
        </row>
        <row r="376">
          <cell r="A376" t="str">
            <v>625100</v>
          </cell>
        </row>
        <row r="376">
          <cell r="L376">
            <v>5720064</v>
          </cell>
        </row>
        <row r="377">
          <cell r="A377" t="str">
            <v>625200</v>
          </cell>
        </row>
        <row r="377">
          <cell r="L377">
            <v>1200792</v>
          </cell>
        </row>
        <row r="378">
          <cell r="A378" t="str">
            <v>625810</v>
          </cell>
        </row>
        <row r="378">
          <cell r="L378">
            <v>10273193</v>
          </cell>
        </row>
        <row r="379">
          <cell r="A379" t="str">
            <v>626500</v>
          </cell>
        </row>
        <row r="379">
          <cell r="L379">
            <v>76580</v>
          </cell>
        </row>
        <row r="380">
          <cell r="A380" t="str">
            <v>627110</v>
          </cell>
        </row>
        <row r="380">
          <cell r="L380">
            <v>2064386</v>
          </cell>
        </row>
        <row r="381">
          <cell r="A381" t="str">
            <v>627120</v>
          </cell>
        </row>
        <row r="381">
          <cell r="L381">
            <v>2638442</v>
          </cell>
        </row>
        <row r="382">
          <cell r="A382" t="str">
            <v>627130</v>
          </cell>
        </row>
        <row r="382">
          <cell r="L382">
            <v>1785759</v>
          </cell>
        </row>
        <row r="383">
          <cell r="A383" t="str">
            <v>627140</v>
          </cell>
        </row>
        <row r="383">
          <cell r="L383">
            <v>130016330</v>
          </cell>
        </row>
        <row r="384">
          <cell r="A384" t="str">
            <v>627210</v>
          </cell>
        </row>
        <row r="384">
          <cell r="L384">
            <v>31144505</v>
          </cell>
        </row>
        <row r="385">
          <cell r="A385" t="str">
            <v>627220</v>
          </cell>
        </row>
        <row r="385">
          <cell r="L385">
            <v>40146686</v>
          </cell>
        </row>
        <row r="386">
          <cell r="A386" t="str">
            <v>627810</v>
          </cell>
        </row>
        <row r="386">
          <cell r="L386">
            <v>51514078</v>
          </cell>
        </row>
        <row r="387">
          <cell r="A387" t="str">
            <v>628110</v>
          </cell>
        </row>
        <row r="387">
          <cell r="L387">
            <v>20024066</v>
          </cell>
        </row>
        <row r="388">
          <cell r="A388" t="str">
            <v>628800</v>
          </cell>
        </row>
        <row r="388">
          <cell r="L388">
            <v>193000</v>
          </cell>
        </row>
        <row r="389">
          <cell r="A389" t="str">
            <v>631810</v>
          </cell>
        </row>
        <row r="389">
          <cell r="L389">
            <v>10930989</v>
          </cell>
        </row>
        <row r="390">
          <cell r="A390" t="str">
            <v>631820</v>
          </cell>
        </row>
        <row r="390">
          <cell r="L390">
            <v>7101375</v>
          </cell>
        </row>
        <row r="391">
          <cell r="A391" t="str">
            <v>631830</v>
          </cell>
        </row>
        <row r="391">
          <cell r="L391">
            <v>25000</v>
          </cell>
        </row>
        <row r="392">
          <cell r="A392" t="str">
            <v>632200</v>
          </cell>
        </row>
        <row r="392">
          <cell r="L392">
            <v>590116660</v>
          </cell>
        </row>
        <row r="393">
          <cell r="A393" t="str">
            <v>632410</v>
          </cell>
        </row>
        <row r="393">
          <cell r="L393">
            <v>689400</v>
          </cell>
        </row>
        <row r="394">
          <cell r="A394" t="str">
            <v>632420</v>
          </cell>
        </row>
        <row r="394">
          <cell r="L394">
            <v>135285449</v>
          </cell>
        </row>
        <row r="395">
          <cell r="A395" t="str">
            <v>632430</v>
          </cell>
        </row>
        <row r="395">
          <cell r="L395">
            <v>1000000</v>
          </cell>
        </row>
        <row r="396">
          <cell r="A396" t="str">
            <v>632440</v>
          </cell>
        </row>
        <row r="396">
          <cell r="L396">
            <v>5582604</v>
          </cell>
        </row>
        <row r="397">
          <cell r="A397" t="str">
            <v>632480</v>
          </cell>
        </row>
        <row r="397">
          <cell r="L397">
            <v>26744926</v>
          </cell>
        </row>
        <row r="398">
          <cell r="A398" t="str">
            <v>632800</v>
          </cell>
        </row>
        <row r="398">
          <cell r="L398">
            <v>84493612</v>
          </cell>
        </row>
        <row r="399">
          <cell r="A399" t="str">
            <v>632820</v>
          </cell>
        </row>
        <row r="399">
          <cell r="L399">
            <v>9118099</v>
          </cell>
        </row>
        <row r="400">
          <cell r="A400" t="str">
            <v>632840</v>
          </cell>
        </row>
        <row r="400">
          <cell r="L400">
            <v>3440312</v>
          </cell>
        </row>
        <row r="401">
          <cell r="A401" t="str">
            <v>633000</v>
          </cell>
        </row>
        <row r="401">
          <cell r="L401">
            <v>100000</v>
          </cell>
        </row>
        <row r="402">
          <cell r="A402" t="str">
            <v>634210</v>
          </cell>
        </row>
        <row r="402">
          <cell r="L402">
            <v>2378238543</v>
          </cell>
        </row>
        <row r="403">
          <cell r="A403" t="str">
            <v>634400</v>
          </cell>
        </row>
        <row r="403">
          <cell r="L403">
            <v>69388045</v>
          </cell>
        </row>
        <row r="404">
          <cell r="A404" t="str">
            <v>635100</v>
          </cell>
        </row>
        <row r="404">
          <cell r="L404">
            <v>21105196</v>
          </cell>
        </row>
        <row r="405">
          <cell r="A405" t="str">
            <v>635800</v>
          </cell>
        </row>
        <row r="405">
          <cell r="L405">
            <v>1994245</v>
          </cell>
        </row>
        <row r="406">
          <cell r="A406" t="str">
            <v>637100</v>
          </cell>
        </row>
        <row r="406">
          <cell r="L406">
            <v>178961808</v>
          </cell>
        </row>
        <row r="407">
          <cell r="A407" t="str">
            <v>638200</v>
          </cell>
        </row>
        <row r="407">
          <cell r="L407">
            <v>500000</v>
          </cell>
        </row>
        <row r="408">
          <cell r="A408" t="str">
            <v>638310</v>
          </cell>
        </row>
        <row r="408">
          <cell r="L408">
            <v>3635805</v>
          </cell>
        </row>
        <row r="409">
          <cell r="A409" t="str">
            <v>638410</v>
          </cell>
        </row>
        <row r="409">
          <cell r="L409">
            <v>10017285</v>
          </cell>
        </row>
        <row r="410">
          <cell r="A410" t="str">
            <v>638420</v>
          </cell>
        </row>
        <row r="410">
          <cell r="L410">
            <v>1167822</v>
          </cell>
        </row>
        <row r="411">
          <cell r="A411" t="str">
            <v>641100</v>
          </cell>
        </row>
        <row r="411">
          <cell r="L411">
            <v>4132121</v>
          </cell>
        </row>
        <row r="412">
          <cell r="A412" t="str">
            <v>641200</v>
          </cell>
        </row>
        <row r="412">
          <cell r="L412">
            <v>33712543</v>
          </cell>
        </row>
        <row r="413">
          <cell r="A413" t="str">
            <v>641310</v>
          </cell>
        </row>
        <row r="413">
          <cell r="L413">
            <v>13831276</v>
          </cell>
        </row>
        <row r="414">
          <cell r="A414" t="str">
            <v>641800</v>
          </cell>
        </row>
        <row r="414">
          <cell r="L414">
            <v>103374741</v>
          </cell>
        </row>
        <row r="415">
          <cell r="A415" t="str">
            <v>646800</v>
          </cell>
        </row>
        <row r="415">
          <cell r="L415">
            <v>6237633</v>
          </cell>
        </row>
        <row r="416">
          <cell r="A416" t="str">
            <v>659300</v>
          </cell>
        </row>
        <row r="416">
          <cell r="L416">
            <v>2739552</v>
          </cell>
        </row>
        <row r="417">
          <cell r="A417" t="str">
            <v>659400</v>
          </cell>
        </row>
        <row r="417">
          <cell r="L417">
            <v>-77676845</v>
          </cell>
        </row>
        <row r="418">
          <cell r="A418" t="str">
            <v>661100</v>
          </cell>
        </row>
        <row r="418">
          <cell r="L418">
            <v>252712963</v>
          </cell>
        </row>
        <row r="419">
          <cell r="A419" t="str">
            <v>661200</v>
          </cell>
        </row>
        <row r="419">
          <cell r="L419">
            <v>33395410</v>
          </cell>
        </row>
        <row r="420">
          <cell r="A420" t="str">
            <v>661300</v>
          </cell>
        </row>
        <row r="420">
          <cell r="L420">
            <v>47388328</v>
          </cell>
        </row>
        <row r="421">
          <cell r="A421" t="str">
            <v>661700</v>
          </cell>
        </row>
        <row r="421">
          <cell r="L421">
            <v>14098579</v>
          </cell>
        </row>
        <row r="422">
          <cell r="A422" t="str">
            <v>664100</v>
          </cell>
        </row>
        <row r="422">
          <cell r="L422">
            <v>67081668</v>
          </cell>
        </row>
        <row r="423">
          <cell r="A423" t="str">
            <v>668000</v>
          </cell>
        </row>
        <row r="423">
          <cell r="L423">
            <v>16100452</v>
          </cell>
        </row>
        <row r="424">
          <cell r="A424" t="str">
            <v>674500</v>
          </cell>
        </row>
        <row r="424">
          <cell r="L424">
            <v>420944238</v>
          </cell>
        </row>
        <row r="425">
          <cell r="A425" t="str">
            <v>676000</v>
          </cell>
        </row>
        <row r="425">
          <cell r="L425">
            <v>773</v>
          </cell>
        </row>
        <row r="426">
          <cell r="A426" t="str">
            <v>679800</v>
          </cell>
        </row>
        <row r="426">
          <cell r="L426">
            <v>1205492</v>
          </cell>
        </row>
        <row r="427">
          <cell r="A427" t="str">
            <v>691100</v>
          </cell>
        </row>
        <row r="427">
          <cell r="L427">
            <v>-93678060</v>
          </cell>
        </row>
        <row r="428">
          <cell r="A428" t="str">
            <v>691400</v>
          </cell>
        </row>
        <row r="428">
          <cell r="L428">
            <v>2578831129</v>
          </cell>
        </row>
        <row r="429">
          <cell r="A429" t="str">
            <v>701110</v>
          </cell>
        </row>
        <row r="429">
          <cell r="L429">
            <v>-198264067</v>
          </cell>
        </row>
        <row r="430">
          <cell r="A430" t="str">
            <v>701115</v>
          </cell>
        </row>
        <row r="430">
          <cell r="L430">
            <v>-8290269</v>
          </cell>
        </row>
        <row r="431">
          <cell r="A431" t="str">
            <v>701120</v>
          </cell>
        </row>
        <row r="431">
          <cell r="L431">
            <v>10632124</v>
          </cell>
        </row>
        <row r="432">
          <cell r="A432" t="str">
            <v>701130</v>
          </cell>
        </row>
        <row r="432">
          <cell r="L432">
            <v>-1427361</v>
          </cell>
        </row>
        <row r="433">
          <cell r="A433" t="str">
            <v>701140</v>
          </cell>
        </row>
        <row r="433">
          <cell r="L433">
            <v>0</v>
          </cell>
        </row>
        <row r="434">
          <cell r="A434" t="str">
            <v>701141</v>
          </cell>
        </row>
        <row r="434">
          <cell r="L434">
            <v>0</v>
          </cell>
        </row>
        <row r="435">
          <cell r="A435" t="str">
            <v>706115</v>
          </cell>
        </row>
        <row r="435">
          <cell r="L435">
            <v>-213911824</v>
          </cell>
        </row>
        <row r="436">
          <cell r="A436" t="str">
            <v>706117</v>
          </cell>
        </row>
        <row r="436">
          <cell r="L436">
            <v>-5707904</v>
          </cell>
        </row>
        <row r="437">
          <cell r="A437" t="str">
            <v>706118</v>
          </cell>
        </row>
        <row r="437">
          <cell r="L437">
            <v>-52749</v>
          </cell>
        </row>
        <row r="438">
          <cell r="A438" t="str">
            <v>706120</v>
          </cell>
        </row>
        <row r="438">
          <cell r="L438">
            <v>-1386731561</v>
          </cell>
        </row>
        <row r="439">
          <cell r="A439" t="str">
            <v>706121</v>
          </cell>
        </row>
        <row r="439">
          <cell r="L439">
            <v>-1189472405</v>
          </cell>
        </row>
        <row r="440">
          <cell r="A440" t="str">
            <v>706123</v>
          </cell>
        </row>
        <row r="440">
          <cell r="L440">
            <v>-479822824</v>
          </cell>
        </row>
        <row r="441">
          <cell r="A441" t="str">
            <v>706124</v>
          </cell>
        </row>
        <row r="441">
          <cell r="L441">
            <v>-163006471</v>
          </cell>
        </row>
        <row r="442">
          <cell r="A442" t="str">
            <v>706125</v>
          </cell>
        </row>
        <row r="442">
          <cell r="L442">
            <v>-2629729</v>
          </cell>
        </row>
        <row r="443">
          <cell r="A443" t="str">
            <v>706126</v>
          </cell>
        </row>
        <row r="443">
          <cell r="L443">
            <v>-6279432</v>
          </cell>
        </row>
        <row r="444">
          <cell r="A444" t="str">
            <v>706128</v>
          </cell>
        </row>
        <row r="444">
          <cell r="L444">
            <v>-20635</v>
          </cell>
        </row>
        <row r="445">
          <cell r="A445" t="str">
            <v>706129</v>
          </cell>
        </row>
        <row r="445">
          <cell r="L445">
            <v>-1121885</v>
          </cell>
        </row>
        <row r="446">
          <cell r="A446" t="str">
            <v>706132</v>
          </cell>
        </row>
        <row r="446">
          <cell r="L446">
            <v>-131841830</v>
          </cell>
        </row>
        <row r="447">
          <cell r="A447" t="str">
            <v>706134</v>
          </cell>
        </row>
        <row r="447">
          <cell r="L447">
            <v>-75482</v>
          </cell>
        </row>
        <row r="448">
          <cell r="A448" t="str">
            <v>706137</v>
          </cell>
        </row>
        <row r="448">
          <cell r="L448">
            <v>-429518</v>
          </cell>
        </row>
        <row r="449">
          <cell r="A449" t="str">
            <v>706138</v>
          </cell>
        </row>
        <row r="449">
          <cell r="L449">
            <v>-50643376</v>
          </cell>
        </row>
        <row r="450">
          <cell r="A450" t="str">
            <v>706140</v>
          </cell>
        </row>
        <row r="450">
          <cell r="L450">
            <v>-11082881</v>
          </cell>
        </row>
        <row r="451">
          <cell r="A451" t="str">
            <v>706141</v>
          </cell>
        </row>
        <row r="451">
          <cell r="L451">
            <v>-1845528</v>
          </cell>
        </row>
        <row r="452">
          <cell r="A452" t="str">
            <v>706142</v>
          </cell>
        </row>
        <row r="452">
          <cell r="L452">
            <v>-34270058</v>
          </cell>
        </row>
        <row r="453">
          <cell r="A453" t="str">
            <v>706143</v>
          </cell>
        </row>
        <row r="453">
          <cell r="L453">
            <v>-40369673</v>
          </cell>
        </row>
        <row r="454">
          <cell r="A454" t="str">
            <v>706144</v>
          </cell>
        </row>
        <row r="454">
          <cell r="L454">
            <v>-7823</v>
          </cell>
        </row>
        <row r="455">
          <cell r="A455" t="str">
            <v>706145</v>
          </cell>
        </row>
        <row r="455">
          <cell r="L455">
            <v>-60555752</v>
          </cell>
        </row>
        <row r="456">
          <cell r="A456" t="str">
            <v>706151</v>
          </cell>
        </row>
        <row r="456">
          <cell r="L456">
            <v>-129439230</v>
          </cell>
        </row>
        <row r="457">
          <cell r="A457" t="str">
            <v>706152</v>
          </cell>
        </row>
        <row r="457">
          <cell r="L457">
            <v>-22092442</v>
          </cell>
        </row>
        <row r="458">
          <cell r="A458" t="str">
            <v>706153</v>
          </cell>
        </row>
        <row r="458">
          <cell r="L458">
            <v>-5045639152</v>
          </cell>
        </row>
        <row r="459">
          <cell r="A459" t="str">
            <v>706154</v>
          </cell>
        </row>
        <row r="459">
          <cell r="L459">
            <v>-41153299</v>
          </cell>
        </row>
        <row r="460">
          <cell r="A460" t="str">
            <v>706710</v>
          </cell>
        </row>
        <row r="460">
          <cell r="L460">
            <v>-121609265</v>
          </cell>
        </row>
        <row r="461">
          <cell r="A461" t="str">
            <v>706920</v>
          </cell>
        </row>
        <row r="461">
          <cell r="L461">
            <v>1695630806</v>
          </cell>
        </row>
        <row r="462">
          <cell r="A462" t="str">
            <v>707300</v>
          </cell>
        </row>
        <row r="462">
          <cell r="L462">
            <v>-19405018</v>
          </cell>
        </row>
        <row r="463">
          <cell r="A463" t="str">
            <v>707310</v>
          </cell>
        </row>
        <row r="463">
          <cell r="L463">
            <v>-58394479</v>
          </cell>
        </row>
        <row r="464">
          <cell r="A464" t="str">
            <v>758400</v>
          </cell>
        </row>
        <row r="464">
          <cell r="L464">
            <v>-1005752</v>
          </cell>
        </row>
        <row r="465">
          <cell r="A465" t="str">
            <v>771000</v>
          </cell>
        </row>
        <row r="465">
          <cell r="L465">
            <v>-1653293</v>
          </cell>
        </row>
        <row r="466">
          <cell r="A466" t="str">
            <v>776000</v>
          </cell>
        </row>
        <row r="466">
          <cell r="L466">
            <v>-10</v>
          </cell>
        </row>
        <row r="467">
          <cell r="A467" t="str">
            <v>781000</v>
          </cell>
        </row>
        <row r="467">
          <cell r="L467">
            <v>-8157616</v>
          </cell>
        </row>
        <row r="468">
          <cell r="A468" t="str">
            <v>791400</v>
          </cell>
        </row>
        <row r="468">
          <cell r="L468">
            <v>-971513357</v>
          </cell>
        </row>
        <row r="469">
          <cell r="A469" t="str">
            <v>985000</v>
          </cell>
        </row>
        <row r="469">
          <cell r="L469">
            <v>4964709632</v>
          </cell>
        </row>
        <row r="470">
          <cell r="A470" t="str">
            <v>Total bilan</v>
          </cell>
        </row>
        <row r="470">
          <cell r="L470">
            <v>-6166791816</v>
          </cell>
        </row>
        <row r="471">
          <cell r="A471" t="str">
            <v>TOTAL SOCIETE</v>
          </cell>
        </row>
        <row r="471">
          <cell r="L471">
            <v>0</v>
          </cell>
        </row>
        <row r="472">
          <cell r="L472">
            <v>0</v>
          </cell>
        </row>
        <row r="473">
          <cell r="L473">
            <v>0</v>
          </cell>
        </row>
        <row r="474">
          <cell r="L474">
            <v>0</v>
          </cell>
        </row>
        <row r="475">
          <cell r="A475" t="str">
            <v>Page -1 sur 1</v>
          </cell>
        </row>
        <row r="475">
          <cell r="L475">
            <v>0</v>
          </cell>
        </row>
        <row r="476">
          <cell r="L476">
            <v>0</v>
          </cell>
        </row>
        <row r="477">
          <cell r="L477">
            <v>0</v>
          </cell>
        </row>
        <row r="478">
          <cell r="L478">
            <v>0</v>
          </cell>
        </row>
        <row r="479">
          <cell r="L479">
            <v>0</v>
          </cell>
        </row>
        <row r="480">
          <cell r="L480">
            <v>0</v>
          </cell>
        </row>
        <row r="481">
          <cell r="L481">
            <v>0</v>
          </cell>
        </row>
        <row r="482">
          <cell r="L482">
            <v>0</v>
          </cell>
        </row>
        <row r="483">
          <cell r="L483">
            <v>0</v>
          </cell>
        </row>
        <row r="484">
          <cell r="L484">
            <v>0</v>
          </cell>
        </row>
        <row r="485">
          <cell r="L485">
            <v>0</v>
          </cell>
        </row>
        <row r="486">
          <cell r="L486">
            <v>0</v>
          </cell>
        </row>
        <row r="487">
          <cell r="L487">
            <v>0</v>
          </cell>
        </row>
        <row r="488">
          <cell r="L488">
            <v>0</v>
          </cell>
        </row>
        <row r="489">
          <cell r="L489">
            <v>0</v>
          </cell>
        </row>
        <row r="490">
          <cell r="L490">
            <v>0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0</v>
          </cell>
        </row>
        <row r="494">
          <cell r="L494">
            <v>0</v>
          </cell>
        </row>
        <row r="495">
          <cell r="L495">
            <v>0</v>
          </cell>
        </row>
        <row r="496">
          <cell r="L496">
            <v>0</v>
          </cell>
        </row>
        <row r="497">
          <cell r="L497">
            <v>0</v>
          </cell>
        </row>
        <row r="498">
          <cell r="L498">
            <v>0</v>
          </cell>
        </row>
        <row r="499">
          <cell r="L499">
            <v>0</v>
          </cell>
        </row>
        <row r="500">
          <cell r="L500">
            <v>0</v>
          </cell>
        </row>
        <row r="501">
          <cell r="L501">
            <v>0</v>
          </cell>
        </row>
        <row r="502">
          <cell r="L502">
            <v>0</v>
          </cell>
        </row>
        <row r="503">
          <cell r="L503">
            <v>0</v>
          </cell>
        </row>
        <row r="504">
          <cell r="L504">
            <v>0</v>
          </cell>
        </row>
        <row r="505">
          <cell r="L505">
            <v>0</v>
          </cell>
        </row>
        <row r="506">
          <cell r="L506">
            <v>0</v>
          </cell>
        </row>
        <row r="507">
          <cell r="L507">
            <v>0</v>
          </cell>
        </row>
        <row r="508">
          <cell r="L508">
            <v>0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0</v>
          </cell>
        </row>
        <row r="516">
          <cell r="L516">
            <v>0</v>
          </cell>
        </row>
        <row r="517">
          <cell r="L517">
            <v>0</v>
          </cell>
        </row>
        <row r="518">
          <cell r="L518">
            <v>0</v>
          </cell>
        </row>
        <row r="519">
          <cell r="L519">
            <v>0</v>
          </cell>
        </row>
        <row r="520">
          <cell r="L520">
            <v>0</v>
          </cell>
        </row>
        <row r="521">
          <cell r="L521">
            <v>0</v>
          </cell>
        </row>
        <row r="522">
          <cell r="L522">
            <v>0</v>
          </cell>
        </row>
        <row r="523">
          <cell r="L523">
            <v>0</v>
          </cell>
        </row>
        <row r="524">
          <cell r="L524">
            <v>0</v>
          </cell>
        </row>
        <row r="525">
          <cell r="L525">
            <v>0</v>
          </cell>
        </row>
        <row r="526">
          <cell r="L526">
            <v>0</v>
          </cell>
        </row>
        <row r="527">
          <cell r="L527">
            <v>0</v>
          </cell>
        </row>
        <row r="528">
          <cell r="L528">
            <v>0</v>
          </cell>
        </row>
        <row r="529">
          <cell r="L529">
            <v>0</v>
          </cell>
        </row>
        <row r="530">
          <cell r="L530">
            <v>0</v>
          </cell>
        </row>
        <row r="531">
          <cell r="L531">
            <v>0</v>
          </cell>
        </row>
        <row r="532">
          <cell r="L532">
            <v>0</v>
          </cell>
        </row>
        <row r="533">
          <cell r="L533">
            <v>0</v>
          </cell>
        </row>
        <row r="534">
          <cell r="L534">
            <v>0</v>
          </cell>
        </row>
        <row r="535">
          <cell r="L535">
            <v>0</v>
          </cell>
        </row>
        <row r="536">
          <cell r="L536">
            <v>0</v>
          </cell>
        </row>
        <row r="537">
          <cell r="L537">
            <v>0</v>
          </cell>
        </row>
        <row r="538">
          <cell r="L538">
            <v>0</v>
          </cell>
        </row>
        <row r="539">
          <cell r="L539">
            <v>0</v>
          </cell>
        </row>
        <row r="540">
          <cell r="L540">
            <v>0</v>
          </cell>
        </row>
        <row r="541">
          <cell r="L541">
            <v>0</v>
          </cell>
        </row>
        <row r="542">
          <cell r="L542">
            <v>0</v>
          </cell>
        </row>
        <row r="543">
          <cell r="L543">
            <v>0</v>
          </cell>
        </row>
        <row r="544">
          <cell r="L544">
            <v>0</v>
          </cell>
        </row>
        <row r="545">
          <cell r="L545">
            <v>0</v>
          </cell>
        </row>
        <row r="546">
          <cell r="L546">
            <v>0</v>
          </cell>
        </row>
        <row r="547">
          <cell r="L547">
            <v>0</v>
          </cell>
        </row>
        <row r="548">
          <cell r="L548">
            <v>0</v>
          </cell>
        </row>
        <row r="549">
          <cell r="L549">
            <v>0</v>
          </cell>
        </row>
        <row r="550">
          <cell r="L550">
            <v>0</v>
          </cell>
        </row>
        <row r="551">
          <cell r="L551">
            <v>0</v>
          </cell>
        </row>
        <row r="552">
          <cell r="L552">
            <v>0</v>
          </cell>
        </row>
        <row r="553">
          <cell r="L553">
            <v>0</v>
          </cell>
        </row>
        <row r="554">
          <cell r="L554">
            <v>0</v>
          </cell>
        </row>
        <row r="555">
          <cell r="L555">
            <v>0</v>
          </cell>
        </row>
        <row r="556">
          <cell r="L556">
            <v>0</v>
          </cell>
        </row>
        <row r="557">
          <cell r="L557">
            <v>0</v>
          </cell>
        </row>
        <row r="558">
          <cell r="L558">
            <v>0</v>
          </cell>
        </row>
        <row r="559">
          <cell r="L559">
            <v>0</v>
          </cell>
        </row>
        <row r="560">
          <cell r="L560">
            <v>0</v>
          </cell>
        </row>
        <row r="561">
          <cell r="L561">
            <v>0</v>
          </cell>
        </row>
        <row r="562">
          <cell r="L562">
            <v>0</v>
          </cell>
        </row>
        <row r="563">
          <cell r="L563">
            <v>0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0</v>
          </cell>
        </row>
        <row r="568">
          <cell r="L568">
            <v>0</v>
          </cell>
        </row>
        <row r="569">
          <cell r="L569">
            <v>0</v>
          </cell>
        </row>
        <row r="570">
          <cell r="L570">
            <v>0</v>
          </cell>
        </row>
        <row r="571">
          <cell r="L571">
            <v>0</v>
          </cell>
        </row>
        <row r="572">
          <cell r="L572">
            <v>0</v>
          </cell>
        </row>
        <row r="573">
          <cell r="L573">
            <v>0</v>
          </cell>
        </row>
        <row r="574">
          <cell r="L574">
            <v>0</v>
          </cell>
        </row>
        <row r="575">
          <cell r="L575">
            <v>0</v>
          </cell>
        </row>
        <row r="576">
          <cell r="L576">
            <v>0</v>
          </cell>
        </row>
        <row r="577">
          <cell r="L577">
            <v>0</v>
          </cell>
        </row>
        <row r="578">
          <cell r="L578">
            <v>0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</v>
          </cell>
        </row>
        <row r="582">
          <cell r="L582">
            <v>0</v>
          </cell>
        </row>
        <row r="583">
          <cell r="L583">
            <v>0</v>
          </cell>
        </row>
        <row r="584">
          <cell r="L584">
            <v>0</v>
          </cell>
        </row>
        <row r="585">
          <cell r="L585">
            <v>0</v>
          </cell>
        </row>
        <row r="586">
          <cell r="L586">
            <v>0</v>
          </cell>
        </row>
        <row r="587">
          <cell r="L587">
            <v>0</v>
          </cell>
        </row>
        <row r="588">
          <cell r="L588">
            <v>0</v>
          </cell>
        </row>
        <row r="589">
          <cell r="L589">
            <v>0</v>
          </cell>
        </row>
        <row r="590">
          <cell r="L590">
            <v>0</v>
          </cell>
        </row>
        <row r="591">
          <cell r="L591">
            <v>0</v>
          </cell>
        </row>
        <row r="592">
          <cell r="L592">
            <v>0</v>
          </cell>
        </row>
        <row r="593">
          <cell r="L593">
            <v>0</v>
          </cell>
        </row>
        <row r="594">
          <cell r="L594">
            <v>0</v>
          </cell>
        </row>
        <row r="595">
          <cell r="L595">
            <v>0</v>
          </cell>
        </row>
        <row r="596">
          <cell r="L596">
            <v>0</v>
          </cell>
        </row>
        <row r="597">
          <cell r="L597">
            <v>0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0</v>
          </cell>
        </row>
        <row r="603">
          <cell r="L603">
            <v>0</v>
          </cell>
        </row>
        <row r="604">
          <cell r="L604">
            <v>0</v>
          </cell>
        </row>
        <row r="605">
          <cell r="L605">
            <v>0</v>
          </cell>
        </row>
        <row r="606">
          <cell r="L606">
            <v>0</v>
          </cell>
        </row>
        <row r="607">
          <cell r="L607">
            <v>0</v>
          </cell>
        </row>
        <row r="608">
          <cell r="L608">
            <v>0</v>
          </cell>
        </row>
        <row r="609">
          <cell r="L609">
            <v>0</v>
          </cell>
        </row>
        <row r="610">
          <cell r="L610">
            <v>0</v>
          </cell>
        </row>
        <row r="611">
          <cell r="L611">
            <v>0</v>
          </cell>
        </row>
        <row r="612">
          <cell r="L612">
            <v>0</v>
          </cell>
        </row>
        <row r="613">
          <cell r="L613">
            <v>0</v>
          </cell>
        </row>
        <row r="614">
          <cell r="L614">
            <v>0</v>
          </cell>
        </row>
        <row r="615">
          <cell r="L615">
            <v>0</v>
          </cell>
        </row>
        <row r="616">
          <cell r="L616">
            <v>0</v>
          </cell>
        </row>
        <row r="617">
          <cell r="L617">
            <v>0</v>
          </cell>
        </row>
        <row r="618">
          <cell r="L618">
            <v>0</v>
          </cell>
        </row>
        <row r="619">
          <cell r="L619">
            <v>0</v>
          </cell>
        </row>
        <row r="620">
          <cell r="L620">
            <v>0</v>
          </cell>
        </row>
        <row r="621">
          <cell r="L621">
            <v>0</v>
          </cell>
        </row>
        <row r="622">
          <cell r="L622">
            <v>0</v>
          </cell>
        </row>
        <row r="623">
          <cell r="L623">
            <v>0</v>
          </cell>
        </row>
        <row r="624">
          <cell r="L624">
            <v>0</v>
          </cell>
        </row>
        <row r="625">
          <cell r="L625">
            <v>0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0</v>
          </cell>
        </row>
        <row r="630">
          <cell r="L630">
            <v>0</v>
          </cell>
        </row>
        <row r="631">
          <cell r="L631">
            <v>0</v>
          </cell>
        </row>
        <row r="632">
          <cell r="L632">
            <v>0</v>
          </cell>
        </row>
        <row r="633">
          <cell r="L633">
            <v>0</v>
          </cell>
        </row>
        <row r="634">
          <cell r="L634">
            <v>0</v>
          </cell>
        </row>
        <row r="635">
          <cell r="L635">
            <v>0</v>
          </cell>
        </row>
        <row r="636">
          <cell r="L636">
            <v>0</v>
          </cell>
        </row>
        <row r="637">
          <cell r="L637">
            <v>0</v>
          </cell>
        </row>
        <row r="638">
          <cell r="L638">
            <v>0</v>
          </cell>
        </row>
        <row r="639">
          <cell r="L639">
            <v>0</v>
          </cell>
        </row>
        <row r="640">
          <cell r="L640">
            <v>0</v>
          </cell>
        </row>
        <row r="641">
          <cell r="L641">
            <v>0</v>
          </cell>
        </row>
        <row r="642">
          <cell r="L642">
            <v>0</v>
          </cell>
        </row>
        <row r="643">
          <cell r="L643">
            <v>0</v>
          </cell>
        </row>
        <row r="644">
          <cell r="L644">
            <v>0</v>
          </cell>
        </row>
        <row r="645">
          <cell r="L645">
            <v>0</v>
          </cell>
        </row>
        <row r="646">
          <cell r="L646">
            <v>0</v>
          </cell>
        </row>
        <row r="647">
          <cell r="L647">
            <v>0</v>
          </cell>
        </row>
        <row r="648">
          <cell r="L648">
            <v>0</v>
          </cell>
        </row>
        <row r="649">
          <cell r="L649">
            <v>0</v>
          </cell>
        </row>
        <row r="650">
          <cell r="L650">
            <v>0</v>
          </cell>
        </row>
        <row r="651">
          <cell r="L651">
            <v>0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0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0</v>
          </cell>
        </row>
        <row r="658">
          <cell r="L658">
            <v>0</v>
          </cell>
        </row>
        <row r="659">
          <cell r="L659">
            <v>0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0</v>
          </cell>
        </row>
        <row r="663">
          <cell r="L663">
            <v>0</v>
          </cell>
        </row>
        <row r="664">
          <cell r="L664">
            <v>0</v>
          </cell>
        </row>
        <row r="665">
          <cell r="L665">
            <v>0</v>
          </cell>
        </row>
        <row r="666">
          <cell r="L666">
            <v>0</v>
          </cell>
        </row>
        <row r="667">
          <cell r="L667">
            <v>0</v>
          </cell>
        </row>
        <row r="668">
          <cell r="L668">
            <v>0</v>
          </cell>
        </row>
        <row r="669">
          <cell r="L669">
            <v>0</v>
          </cell>
        </row>
        <row r="670">
          <cell r="L670">
            <v>0</v>
          </cell>
        </row>
        <row r="671">
          <cell r="L671">
            <v>0</v>
          </cell>
        </row>
        <row r="672">
          <cell r="L672">
            <v>0</v>
          </cell>
        </row>
        <row r="673">
          <cell r="L673">
            <v>0</v>
          </cell>
        </row>
        <row r="674">
          <cell r="L674">
            <v>0</v>
          </cell>
        </row>
        <row r="675">
          <cell r="L675">
            <v>0</v>
          </cell>
        </row>
        <row r="676">
          <cell r="L676">
            <v>0</v>
          </cell>
        </row>
        <row r="677">
          <cell r="L677">
            <v>0</v>
          </cell>
        </row>
        <row r="678">
          <cell r="L678">
            <v>0</v>
          </cell>
        </row>
        <row r="679">
          <cell r="L679">
            <v>0</v>
          </cell>
        </row>
        <row r="680">
          <cell r="L680">
            <v>0</v>
          </cell>
        </row>
        <row r="681">
          <cell r="L681">
            <v>0</v>
          </cell>
        </row>
        <row r="682">
          <cell r="L682">
            <v>0</v>
          </cell>
        </row>
        <row r="683">
          <cell r="L683">
            <v>0</v>
          </cell>
        </row>
        <row r="684">
          <cell r="L684">
            <v>0</v>
          </cell>
        </row>
        <row r="685">
          <cell r="L685">
            <v>0</v>
          </cell>
        </row>
        <row r="686">
          <cell r="L686">
            <v>0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0</v>
          </cell>
        </row>
        <row r="690">
          <cell r="L690">
            <v>0</v>
          </cell>
        </row>
        <row r="691">
          <cell r="L691">
            <v>0</v>
          </cell>
        </row>
        <row r="692">
          <cell r="L692">
            <v>0</v>
          </cell>
        </row>
        <row r="693">
          <cell r="L693">
            <v>0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0</v>
          </cell>
        </row>
        <row r="697">
          <cell r="L697">
            <v>0</v>
          </cell>
        </row>
      </sheetData>
      <sheetData sheetId="4"/>
      <sheetData sheetId="5"/>
      <sheetData sheetId="6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BG Momo-1"/>
      <sheetName val="BG Momo"/>
      <sheetName val="-"/>
      <sheetName val="BG ETI"/>
      <sheetName val="BG ETI -1"/>
      <sheetName val="MAP"/>
      <sheetName val="BG CONSO"/>
    </sheetNames>
    <sheetDataSet>
      <sheetData sheetId="0"/>
      <sheetData sheetId="1">
        <row r="11">
          <cell r="L11">
            <v>-431010580</v>
          </cell>
        </row>
      </sheetData>
      <sheetData sheetId="2"/>
      <sheetData sheetId="3">
        <row r="1">
          <cell r="A1" t="str">
            <v>COMPTE</v>
          </cell>
        </row>
        <row r="1">
          <cell r="L1" t="str">
            <v>ACTUAL</v>
          </cell>
        </row>
        <row r="2">
          <cell r="A2" t="str">
            <v>101000</v>
          </cell>
        </row>
        <row r="2">
          <cell r="L2">
            <v>0</v>
          </cell>
        </row>
        <row r="3">
          <cell r="A3" t="str">
            <v>111000</v>
          </cell>
        </row>
        <row r="3">
          <cell r="L3">
            <v>0</v>
          </cell>
        </row>
        <row r="4">
          <cell r="A4" t="str">
            <v>148000</v>
          </cell>
        </row>
        <row r="4">
          <cell r="L4">
            <v>0</v>
          </cell>
        </row>
        <row r="5">
          <cell r="A5" t="str">
            <v>161101</v>
          </cell>
        </row>
        <row r="5">
          <cell r="L5">
            <v>0</v>
          </cell>
        </row>
        <row r="6">
          <cell r="A6" t="str">
            <v>162000</v>
          </cell>
        </row>
        <row r="6">
          <cell r="L6">
            <v>0</v>
          </cell>
        </row>
        <row r="7">
          <cell r="A7" t="str">
            <v>162300</v>
          </cell>
        </row>
        <row r="7">
          <cell r="L7">
            <v>120126719</v>
          </cell>
        </row>
        <row r="8">
          <cell r="A8" t="str">
            <v>162400</v>
          </cell>
        </row>
        <row r="8">
          <cell r="L8">
            <v>0</v>
          </cell>
        </row>
        <row r="9">
          <cell r="A9" t="str">
            <v>162500</v>
          </cell>
        </row>
        <row r="9">
          <cell r="L9">
            <v>0</v>
          </cell>
        </row>
        <row r="10">
          <cell r="A10" t="str">
            <v>165200</v>
          </cell>
        </row>
        <row r="10">
          <cell r="L10">
            <v>0</v>
          </cell>
        </row>
        <row r="11">
          <cell r="A11" t="str">
            <v>165210</v>
          </cell>
        </row>
        <row r="11">
          <cell r="L11">
            <v>-345000</v>
          </cell>
        </row>
        <row r="12">
          <cell r="A12" t="str">
            <v>166200</v>
          </cell>
        </row>
        <row r="12">
          <cell r="L12">
            <v>-231269234</v>
          </cell>
        </row>
        <row r="13">
          <cell r="A13" t="str">
            <v>166210</v>
          </cell>
        </row>
        <row r="13">
          <cell r="L13">
            <v>0</v>
          </cell>
        </row>
        <row r="14">
          <cell r="A14" t="str">
            <v>196000</v>
          </cell>
        </row>
        <row r="14">
          <cell r="L14">
            <v>0</v>
          </cell>
        </row>
        <row r="15">
          <cell r="A15" t="str">
            <v>196100</v>
          </cell>
        </row>
        <row r="15">
          <cell r="L15">
            <v>-7943957</v>
          </cell>
        </row>
        <row r="16">
          <cell r="A16" t="str">
            <v>198000</v>
          </cell>
        </row>
        <row r="16">
          <cell r="L16">
            <v>0</v>
          </cell>
        </row>
        <row r="17">
          <cell r="A17" t="str">
            <v>198800</v>
          </cell>
        </row>
        <row r="17">
          <cell r="L17">
            <v>0</v>
          </cell>
        </row>
        <row r="18">
          <cell r="A18" t="str">
            <v>212100</v>
          </cell>
        </row>
        <row r="18">
          <cell r="L18">
            <v>0</v>
          </cell>
        </row>
        <row r="19">
          <cell r="A19" t="str">
            <v>212200</v>
          </cell>
        </row>
        <row r="19">
          <cell r="L19">
            <v>5000000</v>
          </cell>
        </row>
        <row r="20">
          <cell r="A20" t="str">
            <v>213100</v>
          </cell>
        </row>
        <row r="20">
          <cell r="L20">
            <v>40013377</v>
          </cell>
        </row>
        <row r="21">
          <cell r="A21" t="str">
            <v>213200</v>
          </cell>
        </row>
        <row r="21">
          <cell r="L21">
            <v>0</v>
          </cell>
        </row>
        <row r="22">
          <cell r="A22" t="str">
            <v>219300</v>
          </cell>
        </row>
        <row r="22">
          <cell r="L22">
            <v>1005829904</v>
          </cell>
        </row>
        <row r="23">
          <cell r="A23" t="str">
            <v>223100</v>
          </cell>
        </row>
        <row r="23">
          <cell r="L23">
            <v>0</v>
          </cell>
        </row>
        <row r="24">
          <cell r="A24" t="str">
            <v>223800</v>
          </cell>
        </row>
        <row r="24">
          <cell r="L24">
            <v>0</v>
          </cell>
        </row>
        <row r="25">
          <cell r="A25" t="str">
            <v>229700</v>
          </cell>
        </row>
        <row r="25">
          <cell r="L25">
            <v>0</v>
          </cell>
        </row>
        <row r="26">
          <cell r="A26" t="str">
            <v>231100</v>
          </cell>
        </row>
        <row r="26">
          <cell r="L26">
            <v>0</v>
          </cell>
        </row>
        <row r="27">
          <cell r="A27" t="str">
            <v>234110</v>
          </cell>
        </row>
        <row r="27">
          <cell r="L27">
            <v>280721807</v>
          </cell>
        </row>
        <row r="28">
          <cell r="A28" t="str">
            <v>234120</v>
          </cell>
        </row>
        <row r="28">
          <cell r="L28">
            <v>1170914</v>
          </cell>
        </row>
        <row r="29">
          <cell r="A29" t="str">
            <v>234130</v>
          </cell>
        </row>
        <row r="29">
          <cell r="L29">
            <v>5671670</v>
          </cell>
        </row>
        <row r="30">
          <cell r="A30" t="str">
            <v>235110</v>
          </cell>
        </row>
        <row r="30">
          <cell r="L30">
            <v>0</v>
          </cell>
        </row>
        <row r="31">
          <cell r="A31" t="str">
            <v>235120</v>
          </cell>
        </row>
        <row r="31">
          <cell r="L31">
            <v>0</v>
          </cell>
        </row>
        <row r="32">
          <cell r="A32" t="str">
            <v>235130</v>
          </cell>
        </row>
        <row r="32">
          <cell r="L32">
            <v>0</v>
          </cell>
        </row>
        <row r="33">
          <cell r="A33" t="str">
            <v>235800</v>
          </cell>
        </row>
        <row r="33">
          <cell r="L33">
            <v>0</v>
          </cell>
        </row>
        <row r="34">
          <cell r="A34" t="str">
            <v>238200</v>
          </cell>
        </row>
        <row r="34">
          <cell r="L34">
            <v>0</v>
          </cell>
        </row>
        <row r="35">
          <cell r="A35" t="str">
            <v>239100</v>
          </cell>
        </row>
        <row r="35">
          <cell r="L35">
            <v>4577383</v>
          </cell>
        </row>
        <row r="36">
          <cell r="A36" t="str">
            <v>241110</v>
          </cell>
        </row>
        <row r="36">
          <cell r="L36">
            <v>0</v>
          </cell>
        </row>
        <row r="37">
          <cell r="A37" t="str">
            <v>241120</v>
          </cell>
        </row>
        <row r="37">
          <cell r="L37">
            <v>0</v>
          </cell>
        </row>
        <row r="38">
          <cell r="A38" t="str">
            <v>241130</v>
          </cell>
        </row>
        <row r="38">
          <cell r="L38">
            <v>0</v>
          </cell>
        </row>
        <row r="39">
          <cell r="A39" t="str">
            <v>241140</v>
          </cell>
        </row>
        <row r="39">
          <cell r="L39">
            <v>0</v>
          </cell>
        </row>
        <row r="40">
          <cell r="A40" t="str">
            <v>241150</v>
          </cell>
        </row>
        <row r="40">
          <cell r="L40">
            <v>0</v>
          </cell>
        </row>
        <row r="41">
          <cell r="A41" t="str">
            <v>241200</v>
          </cell>
        </row>
        <row r="41">
          <cell r="L41">
            <v>0</v>
          </cell>
        </row>
        <row r="42">
          <cell r="A42" t="str">
            <v>244100</v>
          </cell>
        </row>
        <row r="42">
          <cell r="L42">
            <v>0</v>
          </cell>
        </row>
        <row r="43">
          <cell r="A43" t="str">
            <v>244200</v>
          </cell>
        </row>
        <row r="43">
          <cell r="L43">
            <v>17580960</v>
          </cell>
        </row>
        <row r="44">
          <cell r="A44" t="str">
            <v>244400</v>
          </cell>
        </row>
        <row r="44">
          <cell r="L44">
            <v>0</v>
          </cell>
        </row>
        <row r="45">
          <cell r="A45" t="str">
            <v>244700</v>
          </cell>
        </row>
        <row r="45">
          <cell r="L45">
            <v>588750</v>
          </cell>
        </row>
        <row r="46">
          <cell r="A46" t="str">
            <v>245100</v>
          </cell>
        </row>
        <row r="46">
          <cell r="L46">
            <v>0</v>
          </cell>
        </row>
        <row r="47">
          <cell r="A47" t="str">
            <v>245800</v>
          </cell>
        </row>
        <row r="47">
          <cell r="L47">
            <v>0</v>
          </cell>
        </row>
        <row r="48">
          <cell r="A48" t="str">
            <v>248000</v>
          </cell>
        </row>
        <row r="48">
          <cell r="L48">
            <v>0</v>
          </cell>
        </row>
        <row r="49">
          <cell r="A49" t="str">
            <v>249100</v>
          </cell>
        </row>
        <row r="49">
          <cell r="L49">
            <v>-496922697</v>
          </cell>
        </row>
        <row r="50">
          <cell r="A50" t="str">
            <v>249110</v>
          </cell>
        </row>
        <row r="50">
          <cell r="L50">
            <v>-278891807</v>
          </cell>
        </row>
        <row r="51">
          <cell r="A51" t="str">
            <v>251000</v>
          </cell>
        </row>
        <row r="51">
          <cell r="L51">
            <v>0</v>
          </cell>
        </row>
        <row r="52">
          <cell r="A52" t="str">
            <v>252000</v>
          </cell>
        </row>
        <row r="52">
          <cell r="L52">
            <v>67439131</v>
          </cell>
        </row>
        <row r="53">
          <cell r="A53" t="str">
            <v>261000</v>
          </cell>
        </row>
        <row r="53">
          <cell r="L53">
            <v>0</v>
          </cell>
        </row>
        <row r="54">
          <cell r="A54" t="str">
            <v>275100</v>
          </cell>
        </row>
        <row r="54">
          <cell r="L54">
            <v>1759860</v>
          </cell>
        </row>
        <row r="55">
          <cell r="A55" t="str">
            <v>275200</v>
          </cell>
        </row>
        <row r="55">
          <cell r="L55">
            <v>390000</v>
          </cell>
        </row>
        <row r="56">
          <cell r="A56" t="str">
            <v>275300</v>
          </cell>
        </row>
        <row r="56">
          <cell r="L56">
            <v>0</v>
          </cell>
        </row>
        <row r="57">
          <cell r="A57" t="str">
            <v>275500</v>
          </cell>
        </row>
        <row r="57">
          <cell r="L57">
            <v>0</v>
          </cell>
        </row>
        <row r="58">
          <cell r="A58" t="str">
            <v>275800</v>
          </cell>
        </row>
        <row r="58">
          <cell r="L58">
            <v>0</v>
          </cell>
        </row>
        <row r="59">
          <cell r="A59" t="str">
            <v>281210</v>
          </cell>
        </row>
        <row r="59">
          <cell r="L59">
            <v>0</v>
          </cell>
        </row>
        <row r="60">
          <cell r="A60" t="str">
            <v>281220</v>
          </cell>
        </row>
        <row r="60">
          <cell r="L60">
            <v>0</v>
          </cell>
        </row>
        <row r="61">
          <cell r="A61" t="str">
            <v>281310</v>
          </cell>
        </row>
        <row r="61">
          <cell r="L61">
            <v>0</v>
          </cell>
        </row>
        <row r="62">
          <cell r="A62" t="str">
            <v>281320</v>
          </cell>
        </row>
        <row r="62">
          <cell r="L62">
            <v>0</v>
          </cell>
        </row>
        <row r="63">
          <cell r="A63" t="str">
            <v>283110</v>
          </cell>
        </row>
        <row r="63">
          <cell r="L63">
            <v>0</v>
          </cell>
        </row>
        <row r="64">
          <cell r="A64" t="str">
            <v>283411</v>
          </cell>
        </row>
        <row r="64">
          <cell r="L64">
            <v>0</v>
          </cell>
        </row>
        <row r="65">
          <cell r="A65" t="str">
            <v>283412</v>
          </cell>
        </row>
        <row r="65">
          <cell r="L65">
            <v>0</v>
          </cell>
        </row>
        <row r="66">
          <cell r="A66" t="str">
            <v>283413</v>
          </cell>
        </row>
        <row r="66">
          <cell r="L66">
            <v>0</v>
          </cell>
        </row>
        <row r="67">
          <cell r="A67" t="str">
            <v>283511</v>
          </cell>
        </row>
        <row r="67">
          <cell r="L67">
            <v>0</v>
          </cell>
        </row>
        <row r="68">
          <cell r="A68" t="str">
            <v>283512</v>
          </cell>
        </row>
        <row r="68">
          <cell r="L68">
            <v>0</v>
          </cell>
        </row>
        <row r="69">
          <cell r="A69" t="str">
            <v>283513</v>
          </cell>
        </row>
        <row r="69">
          <cell r="L69">
            <v>0</v>
          </cell>
        </row>
        <row r="70">
          <cell r="A70" t="str">
            <v>283580</v>
          </cell>
        </row>
        <row r="70">
          <cell r="L70">
            <v>0</v>
          </cell>
        </row>
        <row r="71">
          <cell r="A71" t="str">
            <v>283820</v>
          </cell>
        </row>
        <row r="71">
          <cell r="L71">
            <v>0</v>
          </cell>
        </row>
        <row r="72">
          <cell r="A72" t="str">
            <v>284111</v>
          </cell>
        </row>
        <row r="72">
          <cell r="L72">
            <v>0</v>
          </cell>
        </row>
        <row r="73">
          <cell r="A73" t="str">
            <v>284112</v>
          </cell>
        </row>
        <row r="73">
          <cell r="L73">
            <v>0</v>
          </cell>
        </row>
        <row r="74">
          <cell r="A74" t="str">
            <v>284113</v>
          </cell>
        </row>
        <row r="74">
          <cell r="L74">
            <v>0</v>
          </cell>
        </row>
        <row r="75">
          <cell r="A75" t="str">
            <v>284114</v>
          </cell>
        </row>
        <row r="75">
          <cell r="L75">
            <v>0</v>
          </cell>
        </row>
        <row r="76">
          <cell r="A76" t="str">
            <v>284115</v>
          </cell>
        </row>
        <row r="76">
          <cell r="L76">
            <v>0</v>
          </cell>
        </row>
        <row r="77">
          <cell r="A77" t="str">
            <v>284120</v>
          </cell>
        </row>
        <row r="77">
          <cell r="L77">
            <v>0</v>
          </cell>
        </row>
        <row r="78">
          <cell r="A78" t="str">
            <v>284410</v>
          </cell>
        </row>
        <row r="78">
          <cell r="L78">
            <v>0</v>
          </cell>
        </row>
        <row r="79">
          <cell r="A79" t="str">
            <v>284420</v>
          </cell>
        </row>
        <row r="79">
          <cell r="L79">
            <v>0</v>
          </cell>
        </row>
        <row r="80">
          <cell r="A80" t="str">
            <v>284440</v>
          </cell>
        </row>
        <row r="80">
          <cell r="L80">
            <v>0</v>
          </cell>
        </row>
        <row r="81">
          <cell r="A81" t="str">
            <v>284470</v>
          </cell>
        </row>
        <row r="81">
          <cell r="L81">
            <v>0</v>
          </cell>
        </row>
        <row r="82">
          <cell r="A82" t="str">
            <v>284510</v>
          </cell>
        </row>
        <row r="82">
          <cell r="L82">
            <v>0</v>
          </cell>
        </row>
        <row r="83">
          <cell r="A83" t="str">
            <v>284580</v>
          </cell>
        </row>
        <row r="83">
          <cell r="L83">
            <v>0</v>
          </cell>
        </row>
        <row r="84">
          <cell r="A84" t="str">
            <v>284800</v>
          </cell>
        </row>
        <row r="84">
          <cell r="L84">
            <v>0</v>
          </cell>
        </row>
        <row r="85">
          <cell r="A85" t="str">
            <v>294000</v>
          </cell>
        </row>
        <row r="85">
          <cell r="L85">
            <v>-1640463711</v>
          </cell>
        </row>
        <row r="86">
          <cell r="A86" t="str">
            <v>311100</v>
          </cell>
        </row>
        <row r="86">
          <cell r="L86">
            <v>-71157980</v>
          </cell>
        </row>
        <row r="87">
          <cell r="A87" t="str">
            <v>311200</v>
          </cell>
        </row>
        <row r="87">
          <cell r="L87">
            <v>-24766168</v>
          </cell>
        </row>
        <row r="88">
          <cell r="A88" t="str">
            <v>312100</v>
          </cell>
        </row>
        <row r="88">
          <cell r="L88">
            <v>-6621190</v>
          </cell>
        </row>
        <row r="89">
          <cell r="A89" t="str">
            <v>312110</v>
          </cell>
        </row>
        <row r="89">
          <cell r="L89">
            <v>-35590090</v>
          </cell>
        </row>
        <row r="90">
          <cell r="A90" t="str">
            <v>313000</v>
          </cell>
        </row>
        <row r="90">
          <cell r="L90">
            <v>-14884</v>
          </cell>
        </row>
        <row r="91">
          <cell r="A91" t="str">
            <v>331100</v>
          </cell>
        </row>
        <row r="91">
          <cell r="L91">
            <v>-2745293</v>
          </cell>
        </row>
        <row r="92">
          <cell r="A92" t="str">
            <v>331110</v>
          </cell>
        </row>
        <row r="92">
          <cell r="L92">
            <v>0</v>
          </cell>
        </row>
        <row r="93">
          <cell r="A93" t="str">
            <v>331200</v>
          </cell>
        </row>
        <row r="93">
          <cell r="L93">
            <v>-55786802</v>
          </cell>
        </row>
        <row r="94">
          <cell r="A94" t="str">
            <v>334000</v>
          </cell>
        </row>
        <row r="94">
          <cell r="L94">
            <v>-1483423</v>
          </cell>
        </row>
        <row r="95">
          <cell r="A95" t="str">
            <v>334100</v>
          </cell>
        </row>
        <row r="95">
          <cell r="L95">
            <v>-546087</v>
          </cell>
        </row>
        <row r="96">
          <cell r="A96" t="str">
            <v>338100</v>
          </cell>
        </row>
        <row r="96">
          <cell r="L96">
            <v>-10346972</v>
          </cell>
        </row>
        <row r="97">
          <cell r="A97" t="str">
            <v>391100</v>
          </cell>
        </row>
        <row r="97">
          <cell r="L97">
            <v>-20581825</v>
          </cell>
        </row>
        <row r="98">
          <cell r="A98" t="str">
            <v>391200</v>
          </cell>
        </row>
        <row r="98">
          <cell r="L98">
            <v>-30618548</v>
          </cell>
        </row>
        <row r="99">
          <cell r="A99" t="str">
            <v>391300</v>
          </cell>
        </row>
        <row r="99">
          <cell r="L99">
            <v>14884</v>
          </cell>
        </row>
        <row r="100">
          <cell r="A100" t="str">
            <v>393100</v>
          </cell>
        </row>
        <row r="100">
          <cell r="L100">
            <v>0</v>
          </cell>
        </row>
        <row r="101">
          <cell r="A101" t="str">
            <v>401100</v>
          </cell>
        </row>
        <row r="101">
          <cell r="L101">
            <v>6868619</v>
          </cell>
        </row>
        <row r="102">
          <cell r="A102" t="str">
            <v>401110</v>
          </cell>
        </row>
        <row r="102">
          <cell r="L102">
            <v>71881963</v>
          </cell>
        </row>
        <row r="103">
          <cell r="A103" t="str">
            <v>401120</v>
          </cell>
        </row>
        <row r="103">
          <cell r="L103">
            <v>125859399</v>
          </cell>
        </row>
        <row r="104">
          <cell r="A104" t="str">
            <v>401130</v>
          </cell>
        </row>
        <row r="104">
          <cell r="L104">
            <v>-143418843</v>
          </cell>
        </row>
        <row r="105">
          <cell r="A105" t="str">
            <v>401140</v>
          </cell>
        </row>
        <row r="105">
          <cell r="L105">
            <v>-26580409</v>
          </cell>
        </row>
        <row r="106">
          <cell r="A106" t="str">
            <v>401150</v>
          </cell>
        </row>
        <row r="106">
          <cell r="L106">
            <v>1506290505</v>
          </cell>
        </row>
        <row r="107">
          <cell r="A107" t="str">
            <v>401200</v>
          </cell>
        </row>
        <row r="107">
          <cell r="L107">
            <v>0</v>
          </cell>
        </row>
        <row r="108">
          <cell r="A108" t="str">
            <v>401210</v>
          </cell>
        </row>
        <row r="108">
          <cell r="L108">
            <v>36081816</v>
          </cell>
        </row>
        <row r="109">
          <cell r="A109" t="str">
            <v>401300</v>
          </cell>
        </row>
        <row r="109">
          <cell r="L109">
            <v>1974047</v>
          </cell>
        </row>
        <row r="110">
          <cell r="A110" t="str">
            <v>401310</v>
          </cell>
        </row>
        <row r="110">
          <cell r="L110">
            <v>-19354188</v>
          </cell>
        </row>
        <row r="111">
          <cell r="A111" t="str">
            <v>401320</v>
          </cell>
        </row>
        <row r="111">
          <cell r="L111">
            <v>13977888</v>
          </cell>
        </row>
        <row r="112">
          <cell r="A112" t="str">
            <v>401330</v>
          </cell>
        </row>
        <row r="112">
          <cell r="L112">
            <v>-45668</v>
          </cell>
        </row>
        <row r="113">
          <cell r="A113" t="str">
            <v>401340</v>
          </cell>
        </row>
        <row r="113">
          <cell r="L113">
            <v>-461760581</v>
          </cell>
        </row>
        <row r="114">
          <cell r="A114" t="str">
            <v>401350</v>
          </cell>
        </row>
        <row r="114">
          <cell r="L114">
            <v>655867</v>
          </cell>
        </row>
        <row r="115">
          <cell r="A115" t="str">
            <v>401360</v>
          </cell>
        </row>
        <row r="115">
          <cell r="L115">
            <v>34530210</v>
          </cell>
        </row>
        <row r="116">
          <cell r="A116" t="str">
            <v>401370</v>
          </cell>
        </row>
        <row r="116">
          <cell r="L116">
            <v>758309</v>
          </cell>
        </row>
        <row r="117">
          <cell r="A117" t="str">
            <v>401380</v>
          </cell>
        </row>
        <row r="117">
          <cell r="L117">
            <v>-29327307</v>
          </cell>
        </row>
        <row r="118">
          <cell r="A118" t="str">
            <v>401390</v>
          </cell>
        </row>
        <row r="118">
          <cell r="L118">
            <v>-158865141</v>
          </cell>
        </row>
        <row r="119">
          <cell r="A119" t="str">
            <v>401400</v>
          </cell>
        </row>
        <row r="119">
          <cell r="L119">
            <v>-1519364</v>
          </cell>
        </row>
        <row r="120">
          <cell r="A120" t="str">
            <v>401410</v>
          </cell>
        </row>
        <row r="120">
          <cell r="L120">
            <v>9364335</v>
          </cell>
        </row>
        <row r="121">
          <cell r="A121" t="str">
            <v>401420</v>
          </cell>
        </row>
        <row r="121">
          <cell r="L121">
            <v>-1565224</v>
          </cell>
        </row>
        <row r="122">
          <cell r="A122" t="str">
            <v>401430</v>
          </cell>
        </row>
        <row r="122">
          <cell r="L122">
            <v>0</v>
          </cell>
        </row>
        <row r="123">
          <cell r="A123" t="str">
            <v>401440</v>
          </cell>
        </row>
        <row r="123">
          <cell r="L123">
            <v>-106554334</v>
          </cell>
        </row>
        <row r="124">
          <cell r="A124" t="str">
            <v>401450</v>
          </cell>
        </row>
        <row r="124">
          <cell r="L124">
            <v>24950925</v>
          </cell>
        </row>
        <row r="125">
          <cell r="A125" t="str">
            <v>401460</v>
          </cell>
        </row>
        <row r="125">
          <cell r="L125">
            <v>-89105</v>
          </cell>
        </row>
        <row r="126">
          <cell r="A126" t="str">
            <v>401470</v>
          </cell>
        </row>
        <row r="126">
          <cell r="L126">
            <v>0</v>
          </cell>
        </row>
        <row r="127">
          <cell r="A127" t="str">
            <v>401480</v>
          </cell>
        </row>
        <row r="127">
          <cell r="L127">
            <v>-87936408</v>
          </cell>
        </row>
        <row r="128">
          <cell r="A128" t="str">
            <v>401700</v>
          </cell>
        </row>
        <row r="128">
          <cell r="L128">
            <v>0</v>
          </cell>
        </row>
        <row r="129">
          <cell r="A129" t="str">
            <v>401800</v>
          </cell>
        </row>
        <row r="129">
          <cell r="L129">
            <v>4501077</v>
          </cell>
        </row>
        <row r="130">
          <cell r="A130" t="str">
            <v>408110</v>
          </cell>
        </row>
        <row r="130">
          <cell r="L130">
            <v>-1296536872</v>
          </cell>
        </row>
        <row r="131">
          <cell r="A131" t="str">
            <v>408120</v>
          </cell>
        </row>
        <row r="131">
          <cell r="L131">
            <v>35059024</v>
          </cell>
        </row>
        <row r="132">
          <cell r="A132" t="str">
            <v>408130</v>
          </cell>
        </row>
        <row r="132">
          <cell r="L132">
            <v>-126479778</v>
          </cell>
        </row>
        <row r="133">
          <cell r="A133" t="str">
            <v>408140</v>
          </cell>
        </row>
        <row r="133">
          <cell r="L133">
            <v>-12965254</v>
          </cell>
        </row>
        <row r="134">
          <cell r="A134" t="str">
            <v>408200</v>
          </cell>
        </row>
        <row r="134">
          <cell r="L134">
            <v>0</v>
          </cell>
        </row>
        <row r="135">
          <cell r="A135" t="str">
            <v>408210</v>
          </cell>
        </row>
        <row r="135">
          <cell r="L135">
            <v>-37328012</v>
          </cell>
        </row>
        <row r="136">
          <cell r="A136" t="str">
            <v>408220</v>
          </cell>
        </row>
        <row r="136">
          <cell r="L136">
            <v>16532065</v>
          </cell>
        </row>
        <row r="137">
          <cell r="A137" t="str">
            <v>408320</v>
          </cell>
        </row>
        <row r="137">
          <cell r="L137">
            <v>-43194083</v>
          </cell>
        </row>
        <row r="138">
          <cell r="A138" t="str">
            <v>408380</v>
          </cell>
        </row>
        <row r="138">
          <cell r="L138">
            <v>25502135</v>
          </cell>
        </row>
        <row r="139">
          <cell r="A139" t="str">
            <v>408800</v>
          </cell>
        </row>
        <row r="139">
          <cell r="L139">
            <v>-373094703</v>
          </cell>
        </row>
        <row r="140">
          <cell r="A140" t="str">
            <v>409101</v>
          </cell>
        </row>
        <row r="140">
          <cell r="L140">
            <v>0</v>
          </cell>
        </row>
        <row r="141">
          <cell r="A141" t="str">
            <v>409150</v>
          </cell>
        </row>
        <row r="141">
          <cell r="L141">
            <v>0</v>
          </cell>
        </row>
        <row r="142">
          <cell r="A142" t="str">
            <v>411110</v>
          </cell>
        </row>
        <row r="142">
          <cell r="L142">
            <v>143404534</v>
          </cell>
        </row>
        <row r="143">
          <cell r="A143" t="str">
            <v>411120</v>
          </cell>
        </row>
        <row r="143">
          <cell r="L143">
            <v>83012693</v>
          </cell>
        </row>
        <row r="144">
          <cell r="A144" t="str">
            <v>411130</v>
          </cell>
        </row>
        <row r="144">
          <cell r="L144">
            <v>48500990</v>
          </cell>
        </row>
        <row r="145">
          <cell r="A145" t="str">
            <v>411140</v>
          </cell>
        </row>
        <row r="145">
          <cell r="L145">
            <v>27689212</v>
          </cell>
        </row>
        <row r="146">
          <cell r="A146" t="str">
            <v>411200</v>
          </cell>
        </row>
        <row r="146">
          <cell r="L146">
            <v>64431996</v>
          </cell>
        </row>
        <row r="147">
          <cell r="A147" t="str">
            <v>411300</v>
          </cell>
        </row>
        <row r="147">
          <cell r="L147">
            <v>0</v>
          </cell>
        </row>
        <row r="148">
          <cell r="A148" t="str">
            <v>411380</v>
          </cell>
        </row>
        <row r="148">
          <cell r="L148">
            <v>-1506537</v>
          </cell>
        </row>
        <row r="149">
          <cell r="A149" t="str">
            <v>411390</v>
          </cell>
        </row>
        <row r="149">
          <cell r="L149">
            <v>0</v>
          </cell>
        </row>
        <row r="150">
          <cell r="A150" t="str">
            <v>411400</v>
          </cell>
        </row>
        <row r="150">
          <cell r="L150">
            <v>474500</v>
          </cell>
        </row>
        <row r="151">
          <cell r="A151" t="str">
            <v>411410</v>
          </cell>
        </row>
        <row r="151">
          <cell r="L151">
            <v>23752</v>
          </cell>
        </row>
        <row r="152">
          <cell r="A152" t="str">
            <v>411500</v>
          </cell>
        </row>
        <row r="152">
          <cell r="L152">
            <v>1948481</v>
          </cell>
        </row>
        <row r="153">
          <cell r="A153" t="str">
            <v>411600</v>
          </cell>
        </row>
        <row r="153">
          <cell r="L153">
            <v>0</v>
          </cell>
        </row>
        <row r="154">
          <cell r="A154" t="str">
            <v>411700</v>
          </cell>
        </row>
        <row r="154">
          <cell r="L154">
            <v>2429226</v>
          </cell>
        </row>
        <row r="155">
          <cell r="A155" t="str">
            <v>411710</v>
          </cell>
        </row>
        <row r="155">
          <cell r="L155">
            <v>0</v>
          </cell>
        </row>
        <row r="156">
          <cell r="A156" t="str">
            <v>411720</v>
          </cell>
        </row>
        <row r="156">
          <cell r="L156">
            <v>0</v>
          </cell>
        </row>
        <row r="157">
          <cell r="A157" t="str">
            <v>411800</v>
          </cell>
        </row>
        <row r="157">
          <cell r="L157">
            <v>418500</v>
          </cell>
        </row>
        <row r="158">
          <cell r="A158" t="str">
            <v>411901</v>
          </cell>
        </row>
        <row r="158">
          <cell r="L158">
            <v>6082533</v>
          </cell>
        </row>
        <row r="159">
          <cell r="A159" t="str">
            <v>412100</v>
          </cell>
        </row>
        <row r="159">
          <cell r="L159">
            <v>-1450999999</v>
          </cell>
        </row>
        <row r="160">
          <cell r="A160" t="str">
            <v>413100</v>
          </cell>
        </row>
        <row r="160">
          <cell r="L160">
            <v>0</v>
          </cell>
        </row>
        <row r="161">
          <cell r="A161" t="str">
            <v>416220</v>
          </cell>
        </row>
        <row r="161">
          <cell r="L161">
            <v>0</v>
          </cell>
        </row>
        <row r="162">
          <cell r="A162" t="str">
            <v>418110</v>
          </cell>
        </row>
        <row r="162">
          <cell r="L162">
            <v>131255869</v>
          </cell>
        </row>
        <row r="163">
          <cell r="A163" t="str">
            <v>418120</v>
          </cell>
        </row>
        <row r="163">
          <cell r="L163">
            <v>-4122976</v>
          </cell>
        </row>
        <row r="164">
          <cell r="A164" t="str">
            <v>418130</v>
          </cell>
        </row>
        <row r="164">
          <cell r="L164">
            <v>18720203</v>
          </cell>
        </row>
        <row r="165">
          <cell r="A165" t="str">
            <v>418200</v>
          </cell>
        </row>
        <row r="165">
          <cell r="L165">
            <v>8359209</v>
          </cell>
        </row>
        <row r="166">
          <cell r="A166" t="str">
            <v>418500</v>
          </cell>
        </row>
        <row r="166">
          <cell r="L166">
            <v>6995655</v>
          </cell>
        </row>
        <row r="167">
          <cell r="A167" t="str">
            <v>418700</v>
          </cell>
        </row>
        <row r="167">
          <cell r="L167">
            <v>8363649</v>
          </cell>
        </row>
        <row r="168">
          <cell r="A168" t="str">
            <v>418800</v>
          </cell>
        </row>
        <row r="168">
          <cell r="L168">
            <v>0</v>
          </cell>
        </row>
        <row r="169">
          <cell r="A169" t="str">
            <v>419300</v>
          </cell>
        </row>
        <row r="169">
          <cell r="L169">
            <v>0</v>
          </cell>
        </row>
        <row r="170">
          <cell r="A170" t="str">
            <v>419802</v>
          </cell>
        </row>
        <row r="170">
          <cell r="L170">
            <v>-1850678</v>
          </cell>
        </row>
        <row r="171">
          <cell r="A171" t="str">
            <v>421100</v>
          </cell>
        </row>
        <row r="171">
          <cell r="L171">
            <v>-15639430</v>
          </cell>
        </row>
        <row r="172">
          <cell r="A172" t="str">
            <v>421300</v>
          </cell>
        </row>
        <row r="172">
          <cell r="L172">
            <v>-24102055</v>
          </cell>
        </row>
        <row r="173">
          <cell r="A173" t="str">
            <v>422000</v>
          </cell>
        </row>
        <row r="173">
          <cell r="L173">
            <v>-158626332</v>
          </cell>
        </row>
        <row r="174">
          <cell r="A174" t="str">
            <v>428100</v>
          </cell>
        </row>
        <row r="174">
          <cell r="L174">
            <v>-7046373</v>
          </cell>
        </row>
        <row r="175">
          <cell r="A175" t="str">
            <v>428600</v>
          </cell>
        </row>
        <row r="175">
          <cell r="L175">
            <v>-33144894</v>
          </cell>
        </row>
        <row r="176">
          <cell r="A176" t="str">
            <v>431300</v>
          </cell>
        </row>
        <row r="176">
          <cell r="L176">
            <v>4058023</v>
          </cell>
        </row>
        <row r="177">
          <cell r="A177" t="str">
            <v>432000</v>
          </cell>
        </row>
        <row r="177">
          <cell r="L177">
            <v>666737</v>
          </cell>
        </row>
        <row r="178">
          <cell r="A178" t="str">
            <v>438100</v>
          </cell>
        </row>
        <row r="178">
          <cell r="L178">
            <v>-7797105</v>
          </cell>
        </row>
        <row r="179">
          <cell r="A179" t="str">
            <v>441000</v>
          </cell>
        </row>
        <row r="179">
          <cell r="L179">
            <v>0</v>
          </cell>
        </row>
        <row r="180">
          <cell r="A180" t="str">
            <v>442000</v>
          </cell>
        </row>
        <row r="180">
          <cell r="L180">
            <v>1000013</v>
          </cell>
        </row>
        <row r="181">
          <cell r="A181" t="str">
            <v>443100</v>
          </cell>
        </row>
        <row r="181">
          <cell r="L181">
            <v>341952825</v>
          </cell>
        </row>
        <row r="182">
          <cell r="A182" t="str">
            <v>443200</v>
          </cell>
        </row>
        <row r="182">
          <cell r="L182">
            <v>-332793184</v>
          </cell>
        </row>
        <row r="183">
          <cell r="A183" t="str">
            <v>443500</v>
          </cell>
        </row>
        <row r="183">
          <cell r="L183">
            <v>0</v>
          </cell>
        </row>
        <row r="184">
          <cell r="A184" t="str">
            <v>444100</v>
          </cell>
        </row>
        <row r="184">
          <cell r="L184">
            <v>2965587</v>
          </cell>
        </row>
        <row r="185">
          <cell r="A185" t="str">
            <v>445100</v>
          </cell>
        </row>
        <row r="185">
          <cell r="L185">
            <v>-135559514</v>
          </cell>
        </row>
        <row r="186">
          <cell r="A186" t="str">
            <v>445200</v>
          </cell>
        </row>
        <row r="186">
          <cell r="L186">
            <v>7913749</v>
          </cell>
        </row>
        <row r="187">
          <cell r="A187" t="str">
            <v>445500</v>
          </cell>
        </row>
        <row r="187">
          <cell r="L187">
            <v>-35590740</v>
          </cell>
        </row>
        <row r="188">
          <cell r="A188" t="str">
            <v>447100</v>
          </cell>
        </row>
        <row r="188">
          <cell r="L188">
            <v>17699807</v>
          </cell>
        </row>
        <row r="189">
          <cell r="A189" t="str">
            <v>447200</v>
          </cell>
        </row>
        <row r="189">
          <cell r="L189">
            <v>7278430</v>
          </cell>
        </row>
        <row r="190">
          <cell r="A190" t="str">
            <v>447801</v>
          </cell>
        </row>
        <row r="190">
          <cell r="L190">
            <v>-15</v>
          </cell>
        </row>
        <row r="191">
          <cell r="A191" t="str">
            <v>447803</v>
          </cell>
        </row>
        <row r="191">
          <cell r="L191">
            <v>0</v>
          </cell>
        </row>
        <row r="192">
          <cell r="A192" t="str">
            <v>447804</v>
          </cell>
        </row>
        <row r="192">
          <cell r="L192">
            <v>-1906240</v>
          </cell>
        </row>
        <row r="193">
          <cell r="A193" t="str">
            <v>447805</v>
          </cell>
        </row>
        <row r="193">
          <cell r="L193">
            <v>261405</v>
          </cell>
        </row>
        <row r="194">
          <cell r="A194" t="str">
            <v>447806</v>
          </cell>
        </row>
        <row r="194">
          <cell r="L194">
            <v>-13405974</v>
          </cell>
        </row>
        <row r="195">
          <cell r="A195" t="str">
            <v>448600</v>
          </cell>
        </row>
        <row r="195">
          <cell r="L195">
            <v>-68444589</v>
          </cell>
        </row>
        <row r="196">
          <cell r="A196" t="str">
            <v>449201</v>
          </cell>
        </row>
        <row r="196">
          <cell r="L196">
            <v>251131066</v>
          </cell>
        </row>
        <row r="197">
          <cell r="A197" t="str">
            <v>449202</v>
          </cell>
        </row>
        <row r="197">
          <cell r="L197">
            <v>-559639</v>
          </cell>
        </row>
        <row r="198">
          <cell r="A198" t="str">
            <v>449203</v>
          </cell>
        </row>
        <row r="198">
          <cell r="L198">
            <v>0</v>
          </cell>
        </row>
        <row r="199">
          <cell r="A199" t="str">
            <v>462200</v>
          </cell>
        </row>
        <row r="199">
          <cell r="L199">
            <v>-68328463</v>
          </cell>
        </row>
        <row r="200">
          <cell r="A200" t="str">
            <v>465010</v>
          </cell>
        </row>
        <row r="200">
          <cell r="L200">
            <v>0</v>
          </cell>
        </row>
        <row r="201">
          <cell r="A201" t="str">
            <v>466010</v>
          </cell>
        </row>
        <row r="201">
          <cell r="L201">
            <v>0</v>
          </cell>
        </row>
        <row r="202">
          <cell r="A202" t="str">
            <v>466013</v>
          </cell>
        </row>
        <row r="202">
          <cell r="L202">
            <v>0</v>
          </cell>
        </row>
        <row r="203">
          <cell r="A203" t="str">
            <v>466030</v>
          </cell>
        </row>
        <row r="203">
          <cell r="L203">
            <v>0</v>
          </cell>
        </row>
        <row r="204">
          <cell r="A204" t="str">
            <v>466040</v>
          </cell>
        </row>
        <row r="204">
          <cell r="L204">
            <v>0</v>
          </cell>
        </row>
        <row r="205">
          <cell r="A205" t="str">
            <v>466050</v>
          </cell>
        </row>
        <row r="205">
          <cell r="L205">
            <v>0</v>
          </cell>
        </row>
        <row r="206">
          <cell r="A206" t="str">
            <v>466080</v>
          </cell>
        </row>
        <row r="206">
          <cell r="L206">
            <v>0</v>
          </cell>
        </row>
        <row r="207">
          <cell r="A207" t="str">
            <v>471000</v>
          </cell>
        </row>
        <row r="207">
          <cell r="L207">
            <v>0</v>
          </cell>
        </row>
        <row r="208">
          <cell r="A208" t="str">
            <v>471001</v>
          </cell>
        </row>
        <row r="208">
          <cell r="L208">
            <v>0</v>
          </cell>
        </row>
        <row r="209">
          <cell r="A209" t="str">
            <v>471100</v>
          </cell>
        </row>
        <row r="209">
          <cell r="L209">
            <v>0</v>
          </cell>
        </row>
        <row r="210">
          <cell r="A210" t="str">
            <v>471104</v>
          </cell>
        </row>
        <row r="210">
          <cell r="L210">
            <v>0</v>
          </cell>
        </row>
        <row r="211">
          <cell r="A211" t="str">
            <v>471200</v>
          </cell>
        </row>
        <row r="211">
          <cell r="L211">
            <v>0</v>
          </cell>
        </row>
        <row r="212">
          <cell r="A212" t="str">
            <v>471202</v>
          </cell>
        </row>
        <row r="212">
          <cell r="L212">
            <v>-100539219</v>
          </cell>
        </row>
        <row r="213">
          <cell r="A213" t="str">
            <v>471205</v>
          </cell>
        </row>
        <row r="213">
          <cell r="L213">
            <v>1082816</v>
          </cell>
        </row>
        <row r="214">
          <cell r="A214" t="str">
            <v>471299</v>
          </cell>
        </row>
        <row r="214">
          <cell r="L214">
            <v>-4828843340</v>
          </cell>
        </row>
        <row r="215">
          <cell r="A215" t="str">
            <v>471300</v>
          </cell>
        </row>
        <row r="215">
          <cell r="L215">
            <v>0</v>
          </cell>
        </row>
        <row r="216">
          <cell r="A216" t="str">
            <v>471310</v>
          </cell>
        </row>
        <row r="216">
          <cell r="L216">
            <v>0</v>
          </cell>
        </row>
        <row r="217">
          <cell r="A217" t="str">
            <v>471800</v>
          </cell>
        </row>
        <row r="217">
          <cell r="L217">
            <v>-787630136</v>
          </cell>
        </row>
        <row r="218">
          <cell r="A218" t="str">
            <v>471802</v>
          </cell>
        </row>
        <row r="218">
          <cell r="L218">
            <v>0</v>
          </cell>
        </row>
        <row r="219">
          <cell r="A219" t="str">
            <v>476000</v>
          </cell>
        </row>
        <row r="219">
          <cell r="L219">
            <v>16699856</v>
          </cell>
        </row>
        <row r="220">
          <cell r="A220" t="str">
            <v>477100</v>
          </cell>
        </row>
        <row r="220">
          <cell r="L220">
            <v>1818948499</v>
          </cell>
        </row>
        <row r="221">
          <cell r="A221" t="str">
            <v>477101</v>
          </cell>
        </row>
        <row r="221">
          <cell r="L221">
            <v>34681538</v>
          </cell>
        </row>
        <row r="222">
          <cell r="A222" t="str">
            <v>477110</v>
          </cell>
        </row>
        <row r="222">
          <cell r="L222">
            <v>-527173</v>
          </cell>
        </row>
        <row r="223">
          <cell r="A223" t="str">
            <v>478400</v>
          </cell>
        </row>
        <row r="223">
          <cell r="L223">
            <v>-7610871</v>
          </cell>
        </row>
        <row r="224">
          <cell r="A224" t="str">
            <v>479400</v>
          </cell>
        </row>
        <row r="224">
          <cell r="L224">
            <v>1489015</v>
          </cell>
        </row>
        <row r="225">
          <cell r="A225" t="str">
            <v>481100</v>
          </cell>
        </row>
        <row r="225">
          <cell r="L225">
            <v>-33023962</v>
          </cell>
        </row>
        <row r="226">
          <cell r="A226" t="str">
            <v>481200</v>
          </cell>
        </row>
        <row r="226">
          <cell r="L226">
            <v>-297937650</v>
          </cell>
        </row>
        <row r="227">
          <cell r="A227" t="str">
            <v>481210</v>
          </cell>
        </row>
        <row r="227">
          <cell r="L227">
            <v>-1383548178</v>
          </cell>
        </row>
        <row r="228">
          <cell r="A228" t="str">
            <v>481230</v>
          </cell>
        </row>
        <row r="228">
          <cell r="L228">
            <v>0</v>
          </cell>
        </row>
        <row r="229">
          <cell r="A229" t="str">
            <v>481700</v>
          </cell>
        </row>
        <row r="229">
          <cell r="L229">
            <v>77593526</v>
          </cell>
        </row>
        <row r="230">
          <cell r="A230" t="str">
            <v>481800</v>
          </cell>
        </row>
        <row r="230">
          <cell r="L230">
            <v>1282217338</v>
          </cell>
        </row>
        <row r="231">
          <cell r="A231" t="str">
            <v>485000</v>
          </cell>
        </row>
        <row r="231">
          <cell r="L231">
            <v>0</v>
          </cell>
        </row>
        <row r="232">
          <cell r="A232" t="str">
            <v>488000</v>
          </cell>
        </row>
        <row r="232">
          <cell r="L232">
            <v>0</v>
          </cell>
        </row>
        <row r="233">
          <cell r="A233" t="str">
            <v>491210</v>
          </cell>
        </row>
        <row r="233">
          <cell r="L233">
            <v>-49696245</v>
          </cell>
        </row>
        <row r="234">
          <cell r="A234" t="str">
            <v>491220</v>
          </cell>
        </row>
        <row r="234">
          <cell r="L234">
            <v>0</v>
          </cell>
        </row>
        <row r="235">
          <cell r="A235" t="str">
            <v>491230</v>
          </cell>
        </row>
        <row r="235">
          <cell r="L235">
            <v>0</v>
          </cell>
        </row>
        <row r="236">
          <cell r="A236" t="str">
            <v>499000</v>
          </cell>
        </row>
        <row r="236">
          <cell r="L236">
            <v>10498355</v>
          </cell>
        </row>
        <row r="237">
          <cell r="A237" t="str">
            <v>512000</v>
          </cell>
        </row>
        <row r="237">
          <cell r="L237">
            <v>1338999999</v>
          </cell>
        </row>
        <row r="238">
          <cell r="A238" t="str">
            <v>513000</v>
          </cell>
        </row>
        <row r="238">
          <cell r="L238">
            <v>1089545</v>
          </cell>
        </row>
        <row r="239">
          <cell r="A239" t="str">
            <v>521091</v>
          </cell>
        </row>
        <row r="239">
          <cell r="L239">
            <v>4737558</v>
          </cell>
        </row>
        <row r="240">
          <cell r="A240" t="str">
            <v>521101</v>
          </cell>
        </row>
        <row r="240">
          <cell r="L240">
            <v>-2123260</v>
          </cell>
        </row>
        <row r="241">
          <cell r="A241" t="str">
            <v>521150</v>
          </cell>
        </row>
        <row r="241">
          <cell r="L241">
            <v>598441682</v>
          </cell>
        </row>
        <row r="242">
          <cell r="A242" t="str">
            <v>521160</v>
          </cell>
        </row>
        <row r="242">
          <cell r="L242">
            <v>19963085</v>
          </cell>
        </row>
        <row r="243">
          <cell r="A243" t="str">
            <v>521170</v>
          </cell>
        </row>
        <row r="243">
          <cell r="L243">
            <v>-632514059</v>
          </cell>
        </row>
        <row r="244">
          <cell r="A244" t="str">
            <v>521172</v>
          </cell>
        </row>
        <row r="244">
          <cell r="L244">
            <v>0</v>
          </cell>
        </row>
        <row r="245">
          <cell r="A245" t="str">
            <v>521173</v>
          </cell>
        </row>
        <row r="245">
          <cell r="L245">
            <v>1990374</v>
          </cell>
        </row>
        <row r="246">
          <cell r="A246" t="str">
            <v>521180</v>
          </cell>
        </row>
        <row r="246">
          <cell r="L246">
            <v>294616186</v>
          </cell>
        </row>
        <row r="247">
          <cell r="A247" t="str">
            <v>521190</v>
          </cell>
        </row>
        <row r="247">
          <cell r="L247">
            <v>-39431018</v>
          </cell>
        </row>
        <row r="248">
          <cell r="A248" t="str">
            <v>521196</v>
          </cell>
        </row>
        <row r="248">
          <cell r="L248">
            <v>478638753</v>
          </cell>
        </row>
        <row r="249">
          <cell r="A249" t="str">
            <v>521197</v>
          </cell>
        </row>
        <row r="249">
          <cell r="L249">
            <v>55158373</v>
          </cell>
        </row>
        <row r="250">
          <cell r="A250" t="str">
            <v>521201</v>
          </cell>
        </row>
        <row r="250">
          <cell r="L250">
            <v>112909042</v>
          </cell>
        </row>
        <row r="251">
          <cell r="A251" t="str">
            <v>521202</v>
          </cell>
        </row>
        <row r="251">
          <cell r="L251">
            <v>3710771</v>
          </cell>
        </row>
        <row r="252">
          <cell r="A252" t="str">
            <v>524140</v>
          </cell>
        </row>
        <row r="252">
          <cell r="L252">
            <v>5017264</v>
          </cell>
        </row>
        <row r="253">
          <cell r="A253" t="str">
            <v>524150</v>
          </cell>
        </row>
        <row r="253">
          <cell r="L253">
            <v>-4430733</v>
          </cell>
        </row>
        <row r="254">
          <cell r="A254" t="str">
            <v>531100</v>
          </cell>
        </row>
        <row r="254">
          <cell r="L254">
            <v>-590424464</v>
          </cell>
        </row>
        <row r="255">
          <cell r="A255" t="str">
            <v>538100</v>
          </cell>
        </row>
        <row r="255">
          <cell r="L255">
            <v>3928600</v>
          </cell>
        </row>
        <row r="256">
          <cell r="A256" t="str">
            <v>552000</v>
          </cell>
        </row>
        <row r="256">
          <cell r="L256">
            <v>4931603644</v>
          </cell>
        </row>
        <row r="257">
          <cell r="A257" t="str">
            <v>552201</v>
          </cell>
        </row>
        <row r="257">
          <cell r="L257">
            <v>5510180</v>
          </cell>
        </row>
        <row r="258">
          <cell r="A258" t="str">
            <v>552202</v>
          </cell>
        </row>
        <row r="258">
          <cell r="L258">
            <v>4370935</v>
          </cell>
        </row>
        <row r="259">
          <cell r="A259" t="str">
            <v>552203</v>
          </cell>
        </row>
        <row r="259">
          <cell r="L259">
            <v>1339202</v>
          </cell>
        </row>
        <row r="260">
          <cell r="A260" t="str">
            <v>552204</v>
          </cell>
        </row>
        <row r="260">
          <cell r="L260">
            <v>-750350</v>
          </cell>
        </row>
        <row r="261">
          <cell r="A261" t="str">
            <v>552205</v>
          </cell>
        </row>
        <row r="261">
          <cell r="L261">
            <v>1696438</v>
          </cell>
        </row>
        <row r="262">
          <cell r="A262" t="str">
            <v>552206</v>
          </cell>
        </row>
        <row r="262">
          <cell r="L262">
            <v>725366</v>
          </cell>
        </row>
        <row r="263">
          <cell r="A263" t="str">
            <v>552207</v>
          </cell>
        </row>
        <row r="263">
          <cell r="L263">
            <v>-133534</v>
          </cell>
        </row>
        <row r="264">
          <cell r="A264" t="str">
            <v>552208</v>
          </cell>
        </row>
        <row r="264">
          <cell r="L264">
            <v>-803142</v>
          </cell>
        </row>
        <row r="265">
          <cell r="A265" t="str">
            <v>552209</v>
          </cell>
        </row>
        <row r="265">
          <cell r="L265">
            <v>-716350</v>
          </cell>
        </row>
        <row r="266">
          <cell r="A266" t="str">
            <v>552210</v>
          </cell>
        </row>
        <row r="266">
          <cell r="L266">
            <v>-606410</v>
          </cell>
        </row>
        <row r="267">
          <cell r="A267" t="str">
            <v>552211</v>
          </cell>
        </row>
        <row r="267">
          <cell r="L267">
            <v>0</v>
          </cell>
        </row>
        <row r="268">
          <cell r="A268" t="str">
            <v>552213</v>
          </cell>
        </row>
        <row r="268">
          <cell r="L268">
            <v>537850</v>
          </cell>
        </row>
        <row r="269">
          <cell r="A269" t="str">
            <v>552214</v>
          </cell>
        </row>
        <row r="269">
          <cell r="L269">
            <v>-629650</v>
          </cell>
        </row>
        <row r="270">
          <cell r="A270" t="str">
            <v>552215</v>
          </cell>
        </row>
        <row r="270">
          <cell r="L270">
            <v>-495000</v>
          </cell>
        </row>
        <row r="271">
          <cell r="A271" t="str">
            <v>552216</v>
          </cell>
        </row>
        <row r="271">
          <cell r="L271">
            <v>-52850</v>
          </cell>
        </row>
        <row r="272">
          <cell r="A272" t="str">
            <v>552217</v>
          </cell>
        </row>
        <row r="272">
          <cell r="L272">
            <v>-179000</v>
          </cell>
        </row>
        <row r="273">
          <cell r="A273" t="str">
            <v>552218</v>
          </cell>
        </row>
        <row r="273">
          <cell r="L273">
            <v>1727596</v>
          </cell>
        </row>
        <row r="274">
          <cell r="A274" t="str">
            <v>552220</v>
          </cell>
        </row>
        <row r="274">
          <cell r="L274">
            <v>-1288890</v>
          </cell>
        </row>
        <row r="275">
          <cell r="A275" t="str">
            <v>552224</v>
          </cell>
        </row>
        <row r="275">
          <cell r="L275">
            <v>128825</v>
          </cell>
        </row>
        <row r="276">
          <cell r="A276" t="str">
            <v>552226</v>
          </cell>
        </row>
        <row r="276">
          <cell r="L276">
            <v>0</v>
          </cell>
        </row>
        <row r="277">
          <cell r="A277" t="str">
            <v>552227</v>
          </cell>
        </row>
        <row r="277">
          <cell r="L277">
            <v>12147128</v>
          </cell>
        </row>
        <row r="278">
          <cell r="A278" t="str">
            <v>552228</v>
          </cell>
        </row>
        <row r="278">
          <cell r="L278">
            <v>1288000</v>
          </cell>
        </row>
        <row r="279">
          <cell r="A279" t="str">
            <v>552229</v>
          </cell>
        </row>
        <row r="279">
          <cell r="L279">
            <v>-4020911</v>
          </cell>
        </row>
        <row r="280">
          <cell r="A280" t="str">
            <v>552230</v>
          </cell>
        </row>
        <row r="280">
          <cell r="L280">
            <v>-1929225</v>
          </cell>
        </row>
        <row r="281">
          <cell r="A281" t="str">
            <v>566000</v>
          </cell>
        </row>
        <row r="281">
          <cell r="L281">
            <v>-160225177</v>
          </cell>
        </row>
        <row r="282">
          <cell r="A282" t="str">
            <v>571080</v>
          </cell>
        </row>
        <row r="282">
          <cell r="L282">
            <v>1043727</v>
          </cell>
        </row>
        <row r="283">
          <cell r="A283" t="str">
            <v>572010</v>
          </cell>
        </row>
        <row r="283">
          <cell r="L283">
            <v>220500</v>
          </cell>
        </row>
        <row r="284">
          <cell r="A284" t="str">
            <v>572015</v>
          </cell>
        </row>
        <row r="284">
          <cell r="L284">
            <v>374790</v>
          </cell>
        </row>
        <row r="285">
          <cell r="A285" t="str">
            <v>572020</v>
          </cell>
        </row>
        <row r="285">
          <cell r="L285">
            <v>-20000</v>
          </cell>
        </row>
        <row r="286">
          <cell r="A286" t="str">
            <v>572030</v>
          </cell>
        </row>
        <row r="286">
          <cell r="L286">
            <v>90000</v>
          </cell>
        </row>
        <row r="287">
          <cell r="A287" t="str">
            <v>572040</v>
          </cell>
        </row>
        <row r="287">
          <cell r="L287">
            <v>367950</v>
          </cell>
        </row>
        <row r="288">
          <cell r="A288" t="str">
            <v>572050</v>
          </cell>
        </row>
        <row r="288">
          <cell r="L288">
            <v>299100</v>
          </cell>
        </row>
        <row r="289">
          <cell r="A289" t="str">
            <v>572060</v>
          </cell>
        </row>
        <row r="289">
          <cell r="L289">
            <v>47400</v>
          </cell>
        </row>
        <row r="290">
          <cell r="A290" t="str">
            <v>572070</v>
          </cell>
        </row>
        <row r="290">
          <cell r="L290">
            <v>-300998</v>
          </cell>
        </row>
        <row r="291">
          <cell r="A291" t="str">
            <v>572090</v>
          </cell>
        </row>
        <row r="291">
          <cell r="L291">
            <v>50999</v>
          </cell>
        </row>
        <row r="292">
          <cell r="A292" t="str">
            <v>572100</v>
          </cell>
        </row>
        <row r="292">
          <cell r="L292">
            <v>0</v>
          </cell>
        </row>
        <row r="293">
          <cell r="A293" t="str">
            <v>572110</v>
          </cell>
        </row>
        <row r="293">
          <cell r="L293">
            <v>18000</v>
          </cell>
        </row>
        <row r="294">
          <cell r="A294" t="str">
            <v>572120</v>
          </cell>
        </row>
        <row r="294">
          <cell r="L294">
            <v>63000</v>
          </cell>
        </row>
        <row r="295">
          <cell r="A295" t="str">
            <v>572130</v>
          </cell>
        </row>
        <row r="295">
          <cell r="L295">
            <v>-33172</v>
          </cell>
        </row>
        <row r="296">
          <cell r="A296" t="str">
            <v>572140</v>
          </cell>
        </row>
        <row r="296">
          <cell r="L296">
            <v>0</v>
          </cell>
        </row>
        <row r="297">
          <cell r="A297" t="str">
            <v>572150</v>
          </cell>
        </row>
        <row r="297">
          <cell r="L297">
            <v>3900000</v>
          </cell>
        </row>
        <row r="298">
          <cell r="A298" t="str">
            <v>572153</v>
          </cell>
        </row>
        <row r="298">
          <cell r="L298">
            <v>0</v>
          </cell>
        </row>
        <row r="299">
          <cell r="A299" t="str">
            <v>572154</v>
          </cell>
        </row>
        <row r="299">
          <cell r="L299">
            <v>0</v>
          </cell>
        </row>
        <row r="300">
          <cell r="A300" t="str">
            <v>572155</v>
          </cell>
        </row>
        <row r="300">
          <cell r="L300">
            <v>-13000</v>
          </cell>
        </row>
        <row r="301">
          <cell r="A301" t="str">
            <v>572159</v>
          </cell>
        </row>
        <row r="301">
          <cell r="L301">
            <v>0</v>
          </cell>
        </row>
        <row r="302">
          <cell r="A302" t="str">
            <v>572160</v>
          </cell>
        </row>
        <row r="302">
          <cell r="L302">
            <v>-21099</v>
          </cell>
        </row>
        <row r="303">
          <cell r="A303" t="str">
            <v>572162</v>
          </cell>
        </row>
        <row r="303">
          <cell r="L303">
            <v>0</v>
          </cell>
        </row>
        <row r="304">
          <cell r="A304" t="str">
            <v>572163</v>
          </cell>
        </row>
        <row r="304">
          <cell r="L304">
            <v>0</v>
          </cell>
        </row>
        <row r="305">
          <cell r="A305" t="str">
            <v>572164</v>
          </cell>
        </row>
        <row r="305">
          <cell r="L305">
            <v>55500</v>
          </cell>
        </row>
        <row r="306">
          <cell r="A306" t="str">
            <v>573110</v>
          </cell>
        </row>
        <row r="306">
          <cell r="L306">
            <v>-5510180</v>
          </cell>
        </row>
        <row r="307">
          <cell r="A307" t="str">
            <v>573120</v>
          </cell>
        </row>
        <row r="307">
          <cell r="L307">
            <v>-4370931</v>
          </cell>
        </row>
        <row r="308">
          <cell r="A308" t="str">
            <v>573130</v>
          </cell>
        </row>
        <row r="308">
          <cell r="L308">
            <v>-1339205</v>
          </cell>
        </row>
        <row r="309">
          <cell r="A309" t="str">
            <v>573140</v>
          </cell>
        </row>
        <row r="309">
          <cell r="L309">
            <v>750350</v>
          </cell>
        </row>
        <row r="310">
          <cell r="A310" t="str">
            <v>573150</v>
          </cell>
        </row>
        <row r="310">
          <cell r="L310">
            <v>-1696438</v>
          </cell>
        </row>
        <row r="311">
          <cell r="A311" t="str">
            <v>573160</v>
          </cell>
        </row>
        <row r="311">
          <cell r="L311">
            <v>-725365</v>
          </cell>
        </row>
        <row r="312">
          <cell r="A312" t="str">
            <v>573170</v>
          </cell>
        </row>
        <row r="312">
          <cell r="L312">
            <v>133538</v>
          </cell>
        </row>
        <row r="313">
          <cell r="A313" t="str">
            <v>573180</v>
          </cell>
        </row>
        <row r="313">
          <cell r="L313">
            <v>803232</v>
          </cell>
        </row>
        <row r="314">
          <cell r="A314" t="str">
            <v>573190</v>
          </cell>
        </row>
        <row r="314">
          <cell r="L314">
            <v>716350</v>
          </cell>
        </row>
        <row r="315">
          <cell r="A315" t="str">
            <v>573200</v>
          </cell>
        </row>
        <row r="315">
          <cell r="L315">
            <v>606410</v>
          </cell>
        </row>
        <row r="316">
          <cell r="A316" t="str">
            <v>573210</v>
          </cell>
        </row>
        <row r="316">
          <cell r="L316">
            <v>0</v>
          </cell>
        </row>
        <row r="317">
          <cell r="A317" t="str">
            <v>573230</v>
          </cell>
        </row>
        <row r="317">
          <cell r="L317">
            <v>-537856</v>
          </cell>
        </row>
        <row r="318">
          <cell r="A318" t="str">
            <v>573240</v>
          </cell>
        </row>
        <row r="318">
          <cell r="L318">
            <v>629650</v>
          </cell>
        </row>
        <row r="319">
          <cell r="A319" t="str">
            <v>573250</v>
          </cell>
        </row>
        <row r="319">
          <cell r="L319">
            <v>495000</v>
          </cell>
        </row>
        <row r="320">
          <cell r="A320" t="str">
            <v>573260</v>
          </cell>
        </row>
        <row r="320">
          <cell r="L320">
            <v>52850</v>
          </cell>
        </row>
        <row r="321">
          <cell r="A321" t="str">
            <v>573270</v>
          </cell>
        </row>
        <row r="321">
          <cell r="L321">
            <v>179000</v>
          </cell>
        </row>
        <row r="322">
          <cell r="A322" t="str">
            <v>573280</v>
          </cell>
        </row>
        <row r="322">
          <cell r="L322">
            <v>-1727625</v>
          </cell>
        </row>
        <row r="323">
          <cell r="A323" t="str">
            <v>573291</v>
          </cell>
        </row>
        <row r="323">
          <cell r="L323">
            <v>1288840</v>
          </cell>
        </row>
        <row r="324">
          <cell r="A324" t="str">
            <v>573292</v>
          </cell>
        </row>
        <row r="324">
          <cell r="L324">
            <v>1929225</v>
          </cell>
        </row>
        <row r="325">
          <cell r="A325" t="str">
            <v>573295</v>
          </cell>
        </row>
        <row r="325">
          <cell r="L325">
            <v>-128825</v>
          </cell>
        </row>
        <row r="326">
          <cell r="A326" t="str">
            <v>573297</v>
          </cell>
        </row>
        <row r="326">
          <cell r="L326">
            <v>-1288000</v>
          </cell>
        </row>
        <row r="327">
          <cell r="A327" t="str">
            <v>573298</v>
          </cell>
        </row>
        <row r="327">
          <cell r="L327">
            <v>4020975</v>
          </cell>
        </row>
        <row r="328">
          <cell r="A328" t="str">
            <v>585000</v>
          </cell>
        </row>
        <row r="328">
          <cell r="L328">
            <v>109593300</v>
          </cell>
        </row>
        <row r="329">
          <cell r="A329" t="str">
            <v>599000</v>
          </cell>
        </row>
        <row r="329">
          <cell r="L329">
            <v>-2986650</v>
          </cell>
        </row>
        <row r="330">
          <cell r="A330" t="str">
            <v>601110</v>
          </cell>
        </row>
        <row r="330">
          <cell r="L330">
            <v>-1200000</v>
          </cell>
        </row>
        <row r="331">
          <cell r="A331" t="str">
            <v>601210</v>
          </cell>
        </row>
        <row r="331">
          <cell r="L331">
            <v>35737242</v>
          </cell>
        </row>
        <row r="332">
          <cell r="A332" t="str">
            <v>601230</v>
          </cell>
        </row>
        <row r="332">
          <cell r="L332">
            <v>5487539</v>
          </cell>
        </row>
        <row r="333">
          <cell r="A333" t="str">
            <v>603110</v>
          </cell>
        </row>
        <row r="333">
          <cell r="L333">
            <v>71157980</v>
          </cell>
        </row>
        <row r="334">
          <cell r="A334" t="str">
            <v>603120</v>
          </cell>
        </row>
        <row r="334">
          <cell r="L334">
            <v>24766168</v>
          </cell>
        </row>
        <row r="335">
          <cell r="A335" t="str">
            <v>603130</v>
          </cell>
        </row>
        <row r="335">
          <cell r="L335">
            <v>42211280</v>
          </cell>
        </row>
        <row r="336">
          <cell r="A336" t="str">
            <v>603140</v>
          </cell>
        </row>
        <row r="336">
          <cell r="L336">
            <v>14884</v>
          </cell>
        </row>
        <row r="337">
          <cell r="A337" t="str">
            <v>603200</v>
          </cell>
        </row>
        <row r="337">
          <cell r="L337">
            <v>55786802</v>
          </cell>
        </row>
        <row r="338">
          <cell r="A338" t="str">
            <v>603300</v>
          </cell>
        </row>
        <row r="338">
          <cell r="L338">
            <v>1483423</v>
          </cell>
        </row>
        <row r="339">
          <cell r="A339" t="str">
            <v>603310</v>
          </cell>
        </row>
        <row r="339">
          <cell r="L339">
            <v>10346972</v>
          </cell>
        </row>
        <row r="340">
          <cell r="A340" t="str">
            <v>603320</v>
          </cell>
        </row>
        <row r="340">
          <cell r="L340">
            <v>2745293</v>
          </cell>
        </row>
        <row r="341">
          <cell r="A341" t="str">
            <v>603330</v>
          </cell>
        </row>
        <row r="341">
          <cell r="L341">
            <v>546087</v>
          </cell>
        </row>
        <row r="342">
          <cell r="A342" t="str">
            <v>603340</v>
          </cell>
        </row>
        <row r="342">
          <cell r="L342">
            <v>0</v>
          </cell>
        </row>
        <row r="343">
          <cell r="A343" t="str">
            <v>604200</v>
          </cell>
        </row>
        <row r="343">
          <cell r="L343">
            <v>4824972</v>
          </cell>
        </row>
        <row r="344">
          <cell r="A344" t="str">
            <v>605110</v>
          </cell>
        </row>
        <row r="344">
          <cell r="L344">
            <v>1412326</v>
          </cell>
        </row>
        <row r="345">
          <cell r="A345" t="str">
            <v>605130</v>
          </cell>
        </row>
        <row r="345">
          <cell r="L345">
            <v>325000</v>
          </cell>
        </row>
        <row r="346">
          <cell r="A346" t="str">
            <v>605210</v>
          </cell>
        </row>
        <row r="346">
          <cell r="L346">
            <v>68388711</v>
          </cell>
        </row>
        <row r="347">
          <cell r="A347" t="str">
            <v>605240</v>
          </cell>
        </row>
        <row r="347">
          <cell r="L347">
            <v>238964588</v>
          </cell>
        </row>
        <row r="348">
          <cell r="A348" t="str">
            <v>605260</v>
          </cell>
        </row>
        <row r="348">
          <cell r="L348">
            <v>2369647</v>
          </cell>
        </row>
        <row r="349">
          <cell r="A349" t="str">
            <v>605310</v>
          </cell>
        </row>
        <row r="349">
          <cell r="L349">
            <v>140385524</v>
          </cell>
        </row>
        <row r="350">
          <cell r="A350" t="str">
            <v>605500</v>
          </cell>
        </row>
        <row r="350">
          <cell r="L350">
            <v>420000</v>
          </cell>
        </row>
        <row r="351">
          <cell r="A351" t="str">
            <v>605510</v>
          </cell>
        </row>
        <row r="351">
          <cell r="L351">
            <v>-49908700</v>
          </cell>
        </row>
        <row r="352">
          <cell r="A352" t="str">
            <v>605600</v>
          </cell>
        </row>
        <row r="352">
          <cell r="L352">
            <v>25511918</v>
          </cell>
        </row>
        <row r="353">
          <cell r="A353" t="str">
            <v>605712</v>
          </cell>
        </row>
        <row r="353">
          <cell r="L353">
            <v>0</v>
          </cell>
        </row>
        <row r="354">
          <cell r="A354" t="str">
            <v>605723</v>
          </cell>
        </row>
        <row r="354">
          <cell r="L354">
            <v>2533431</v>
          </cell>
        </row>
        <row r="355">
          <cell r="A355" t="str">
            <v>605730</v>
          </cell>
        </row>
        <row r="355">
          <cell r="L355">
            <v>44301684</v>
          </cell>
        </row>
        <row r="356">
          <cell r="A356" t="str">
            <v>605731</v>
          </cell>
        </row>
        <row r="356">
          <cell r="L356">
            <v>28573353</v>
          </cell>
        </row>
        <row r="357">
          <cell r="A357" t="str">
            <v>605732</v>
          </cell>
        </row>
        <row r="357">
          <cell r="L357">
            <v>49196775</v>
          </cell>
        </row>
        <row r="358">
          <cell r="A358" t="str">
            <v>605740</v>
          </cell>
        </row>
        <row r="358">
          <cell r="L358">
            <v>218369006</v>
          </cell>
        </row>
        <row r="359">
          <cell r="A359" t="str">
            <v>616100</v>
          </cell>
        </row>
        <row r="359">
          <cell r="L359">
            <v>2408397</v>
          </cell>
        </row>
        <row r="360">
          <cell r="A360" t="str">
            <v>618100</v>
          </cell>
        </row>
        <row r="360">
          <cell r="L360">
            <v>-2414736</v>
          </cell>
        </row>
        <row r="361">
          <cell r="A361" t="str">
            <v>622100</v>
          </cell>
        </row>
        <row r="361">
          <cell r="L361">
            <v>64339265</v>
          </cell>
        </row>
        <row r="362">
          <cell r="A362" t="str">
            <v>622210</v>
          </cell>
        </row>
        <row r="362">
          <cell r="L362">
            <v>56987917</v>
          </cell>
        </row>
        <row r="363">
          <cell r="A363" t="str">
            <v>622230</v>
          </cell>
        </row>
        <row r="363">
          <cell r="L363">
            <v>10886364</v>
          </cell>
        </row>
        <row r="364">
          <cell r="A364" t="str">
            <v>622240</v>
          </cell>
        </row>
        <row r="364">
          <cell r="L364">
            <v>12952224</v>
          </cell>
        </row>
        <row r="365">
          <cell r="A365" t="str">
            <v>622310</v>
          </cell>
        </row>
        <row r="365">
          <cell r="L365">
            <v>18701503</v>
          </cell>
        </row>
        <row r="366">
          <cell r="A366" t="str">
            <v>622320</v>
          </cell>
        </row>
        <row r="366">
          <cell r="L366">
            <v>1967872</v>
          </cell>
        </row>
        <row r="367">
          <cell r="A367" t="str">
            <v>622350</v>
          </cell>
        </row>
        <row r="367">
          <cell r="L367">
            <v>247819280</v>
          </cell>
        </row>
        <row r="368">
          <cell r="A368" t="str">
            <v>622360</v>
          </cell>
        </row>
        <row r="368">
          <cell r="L368">
            <v>47063002</v>
          </cell>
        </row>
        <row r="369">
          <cell r="A369" t="str">
            <v>622800</v>
          </cell>
        </row>
        <row r="369">
          <cell r="L369">
            <v>20648118</v>
          </cell>
        </row>
        <row r="370">
          <cell r="A370" t="str">
            <v>624120</v>
          </cell>
        </row>
        <row r="370">
          <cell r="L370">
            <v>18712275</v>
          </cell>
        </row>
        <row r="371">
          <cell r="A371" t="str">
            <v>624130</v>
          </cell>
        </row>
        <row r="371">
          <cell r="L371">
            <v>144935212</v>
          </cell>
        </row>
        <row r="372">
          <cell r="A372" t="str">
            <v>624140</v>
          </cell>
        </row>
        <row r="372">
          <cell r="L372">
            <v>-180100</v>
          </cell>
        </row>
        <row r="373">
          <cell r="A373" t="str">
            <v>624210</v>
          </cell>
        </row>
        <row r="373">
          <cell r="L373">
            <v>918933</v>
          </cell>
        </row>
        <row r="374">
          <cell r="A374" t="str">
            <v>624220</v>
          </cell>
        </row>
        <row r="374">
          <cell r="L374">
            <v>7242861</v>
          </cell>
        </row>
        <row r="375">
          <cell r="A375" t="str">
            <v>624230</v>
          </cell>
        </row>
        <row r="375">
          <cell r="L375">
            <v>37139956</v>
          </cell>
        </row>
        <row r="376">
          <cell r="A376" t="str">
            <v>624310</v>
          </cell>
        </row>
        <row r="376">
          <cell r="L376">
            <v>114466259</v>
          </cell>
        </row>
        <row r="377">
          <cell r="A377" t="str">
            <v>624320</v>
          </cell>
        </row>
        <row r="377">
          <cell r="L377">
            <v>124275386</v>
          </cell>
        </row>
        <row r="378">
          <cell r="A378" t="str">
            <v>624800</v>
          </cell>
        </row>
        <row r="378">
          <cell r="L378">
            <v>0</v>
          </cell>
        </row>
        <row r="379">
          <cell r="A379" t="str">
            <v>625100</v>
          </cell>
        </row>
        <row r="379">
          <cell r="L379">
            <v>5720063</v>
          </cell>
        </row>
        <row r="380">
          <cell r="A380" t="str">
            <v>625200</v>
          </cell>
        </row>
        <row r="380">
          <cell r="L380">
            <v>1200792</v>
          </cell>
        </row>
        <row r="381">
          <cell r="A381" t="str">
            <v>625810</v>
          </cell>
        </row>
        <row r="381">
          <cell r="L381">
            <v>14045469</v>
          </cell>
        </row>
        <row r="382">
          <cell r="A382" t="str">
            <v>626500</v>
          </cell>
        </row>
        <row r="382">
          <cell r="L382">
            <v>0</v>
          </cell>
        </row>
        <row r="383">
          <cell r="A383" t="str">
            <v>627110</v>
          </cell>
        </row>
        <row r="383">
          <cell r="L383">
            <v>2064387</v>
          </cell>
        </row>
        <row r="384">
          <cell r="A384" t="str">
            <v>627120</v>
          </cell>
        </row>
        <row r="384">
          <cell r="L384">
            <v>2638442</v>
          </cell>
        </row>
        <row r="385">
          <cell r="A385" t="str">
            <v>627130</v>
          </cell>
        </row>
        <row r="385">
          <cell r="L385">
            <v>1785759</v>
          </cell>
        </row>
        <row r="386">
          <cell r="A386" t="str">
            <v>627140</v>
          </cell>
        </row>
        <row r="386">
          <cell r="L386">
            <v>116397371</v>
          </cell>
        </row>
        <row r="387">
          <cell r="A387" t="str">
            <v>627210</v>
          </cell>
        </row>
        <row r="387">
          <cell r="L387">
            <v>4844413</v>
          </cell>
        </row>
        <row r="388">
          <cell r="A388" t="str">
            <v>627220</v>
          </cell>
        </row>
        <row r="388">
          <cell r="L388">
            <v>6008750</v>
          </cell>
        </row>
        <row r="389">
          <cell r="A389" t="str">
            <v>627810</v>
          </cell>
        </row>
        <row r="389">
          <cell r="L389">
            <v>66646126</v>
          </cell>
        </row>
        <row r="390">
          <cell r="A390" t="str">
            <v>628110</v>
          </cell>
        </row>
        <row r="390">
          <cell r="L390">
            <v>16164576</v>
          </cell>
        </row>
        <row r="391">
          <cell r="A391" t="str">
            <v>628800</v>
          </cell>
        </row>
        <row r="391">
          <cell r="L391">
            <v>0</v>
          </cell>
        </row>
        <row r="392">
          <cell r="A392" t="str">
            <v>631810</v>
          </cell>
        </row>
        <row r="392">
          <cell r="L392">
            <v>4172532</v>
          </cell>
        </row>
        <row r="393">
          <cell r="A393" t="str">
            <v>631820</v>
          </cell>
        </row>
        <row r="393">
          <cell r="L393">
            <v>1430819</v>
          </cell>
        </row>
        <row r="394">
          <cell r="A394" t="str">
            <v>631830</v>
          </cell>
        </row>
        <row r="394">
          <cell r="L394">
            <v>0</v>
          </cell>
        </row>
        <row r="395">
          <cell r="A395" t="str">
            <v>632200</v>
          </cell>
        </row>
        <row r="395">
          <cell r="L395">
            <v>641434598</v>
          </cell>
        </row>
        <row r="396">
          <cell r="A396" t="str">
            <v>632410</v>
          </cell>
        </row>
        <row r="396">
          <cell r="L396">
            <v>500000</v>
          </cell>
        </row>
        <row r="397">
          <cell r="A397" t="str">
            <v>632420</v>
          </cell>
        </row>
        <row r="397">
          <cell r="L397">
            <v>133864214</v>
          </cell>
        </row>
        <row r="398">
          <cell r="A398" t="str">
            <v>632430</v>
          </cell>
        </row>
        <row r="398">
          <cell r="L398">
            <v>-3500000</v>
          </cell>
        </row>
        <row r="399">
          <cell r="A399" t="str">
            <v>632440</v>
          </cell>
        </row>
        <row r="399">
          <cell r="L399">
            <v>8582606</v>
          </cell>
        </row>
        <row r="400">
          <cell r="A400" t="str">
            <v>632480</v>
          </cell>
        </row>
        <row r="400">
          <cell r="L400">
            <v>182234746</v>
          </cell>
        </row>
        <row r="401">
          <cell r="A401" t="str">
            <v>632800</v>
          </cell>
        </row>
        <row r="401">
          <cell r="L401">
            <v>77427874</v>
          </cell>
        </row>
        <row r="402">
          <cell r="A402" t="str">
            <v>632820</v>
          </cell>
        </row>
        <row r="402">
          <cell r="L402">
            <v>33042546</v>
          </cell>
        </row>
        <row r="403">
          <cell r="A403" t="str">
            <v>632840</v>
          </cell>
        </row>
        <row r="403">
          <cell r="L403">
            <v>416500</v>
          </cell>
        </row>
        <row r="404">
          <cell r="A404" t="str">
            <v>633000</v>
          </cell>
        </row>
        <row r="404">
          <cell r="L404">
            <v>10700000</v>
          </cell>
        </row>
        <row r="405">
          <cell r="A405" t="str">
            <v>634210</v>
          </cell>
        </row>
        <row r="405">
          <cell r="L405">
            <v>2311529697</v>
          </cell>
        </row>
        <row r="406">
          <cell r="A406" t="str">
            <v>634400</v>
          </cell>
        </row>
        <row r="406">
          <cell r="L406">
            <v>68328463</v>
          </cell>
        </row>
        <row r="407">
          <cell r="A407" t="str">
            <v>635100</v>
          </cell>
        </row>
        <row r="407">
          <cell r="L407">
            <v>8586658</v>
          </cell>
        </row>
        <row r="408">
          <cell r="A408" t="str">
            <v>635800</v>
          </cell>
        </row>
        <row r="408">
          <cell r="L408">
            <v>-2037597</v>
          </cell>
        </row>
        <row r="409">
          <cell r="A409" t="str">
            <v>637100</v>
          </cell>
        </row>
        <row r="409">
          <cell r="L409">
            <v>156631054</v>
          </cell>
        </row>
        <row r="410">
          <cell r="A410" t="str">
            <v>638200</v>
          </cell>
        </row>
        <row r="410">
          <cell r="L410">
            <v>0</v>
          </cell>
        </row>
        <row r="411">
          <cell r="A411" t="str">
            <v>638310</v>
          </cell>
        </row>
        <row r="411">
          <cell r="L411">
            <v>8813462</v>
          </cell>
        </row>
        <row r="412">
          <cell r="A412" t="str">
            <v>638410</v>
          </cell>
        </row>
        <row r="412">
          <cell r="L412">
            <v>2679509</v>
          </cell>
        </row>
        <row r="413">
          <cell r="A413" t="str">
            <v>638420</v>
          </cell>
        </row>
        <row r="413">
          <cell r="L413">
            <v>1167823</v>
          </cell>
        </row>
        <row r="414">
          <cell r="A414" t="str">
            <v>641100</v>
          </cell>
        </row>
        <row r="414">
          <cell r="L414">
            <v>4319634</v>
          </cell>
        </row>
        <row r="415">
          <cell r="A415" t="str">
            <v>641200</v>
          </cell>
        </row>
        <row r="415">
          <cell r="L415">
            <v>34483844</v>
          </cell>
        </row>
        <row r="416">
          <cell r="A416" t="str">
            <v>641310</v>
          </cell>
        </row>
        <row r="416">
          <cell r="L416">
            <v>12334801</v>
          </cell>
        </row>
        <row r="417">
          <cell r="A417" t="str">
            <v>641800</v>
          </cell>
        </row>
        <row r="417">
          <cell r="L417">
            <v>98413147</v>
          </cell>
        </row>
        <row r="418">
          <cell r="A418" t="str">
            <v>646300</v>
          </cell>
        </row>
        <row r="418">
          <cell r="L418">
            <v>0</v>
          </cell>
        </row>
        <row r="419">
          <cell r="A419" t="str">
            <v>646800</v>
          </cell>
        </row>
        <row r="419">
          <cell r="L419">
            <v>22271900</v>
          </cell>
        </row>
        <row r="420">
          <cell r="A420" t="str">
            <v>659300</v>
          </cell>
        </row>
        <row r="420">
          <cell r="L420">
            <v>51185489</v>
          </cell>
        </row>
        <row r="421">
          <cell r="A421" t="str">
            <v>659400</v>
          </cell>
        </row>
        <row r="421">
          <cell r="L421">
            <v>49696245</v>
          </cell>
        </row>
        <row r="422">
          <cell r="A422" t="str">
            <v>661100</v>
          </cell>
        </row>
        <row r="422">
          <cell r="L422">
            <v>256605629</v>
          </cell>
        </row>
        <row r="423">
          <cell r="A423" t="str">
            <v>661200</v>
          </cell>
        </row>
        <row r="423">
          <cell r="L423">
            <v>33144894</v>
          </cell>
        </row>
        <row r="424">
          <cell r="A424" t="str">
            <v>661300</v>
          </cell>
        </row>
        <row r="424">
          <cell r="L424">
            <v>7046373</v>
          </cell>
        </row>
        <row r="425">
          <cell r="A425" t="str">
            <v>661700</v>
          </cell>
        </row>
        <row r="425">
          <cell r="L425">
            <v>12477019</v>
          </cell>
        </row>
        <row r="426">
          <cell r="A426" t="str">
            <v>661800</v>
          </cell>
        </row>
        <row r="426">
          <cell r="L426">
            <v>12842046</v>
          </cell>
        </row>
        <row r="427">
          <cell r="A427" t="str">
            <v>664100</v>
          </cell>
        </row>
        <row r="427">
          <cell r="L427">
            <v>61493231</v>
          </cell>
        </row>
        <row r="428">
          <cell r="A428" t="str">
            <v>668000</v>
          </cell>
        </row>
        <row r="428">
          <cell r="L428">
            <v>16853108</v>
          </cell>
        </row>
        <row r="429">
          <cell r="A429" t="str">
            <v>674500</v>
          </cell>
        </row>
        <row r="429">
          <cell r="L429">
            <v>394939669</v>
          </cell>
        </row>
        <row r="430">
          <cell r="A430" t="str">
            <v>676000</v>
          </cell>
        </row>
        <row r="430">
          <cell r="L430">
            <v>442</v>
          </cell>
        </row>
        <row r="431">
          <cell r="A431" t="str">
            <v>679800</v>
          </cell>
        </row>
        <row r="431">
          <cell r="L431">
            <v>-7511705</v>
          </cell>
        </row>
        <row r="432">
          <cell r="A432" t="str">
            <v>691100</v>
          </cell>
        </row>
        <row r="432">
          <cell r="L432">
            <v>7943957</v>
          </cell>
        </row>
        <row r="433">
          <cell r="A433" t="str">
            <v>691400</v>
          </cell>
        </row>
        <row r="433">
          <cell r="L433">
            <v>1640463711</v>
          </cell>
        </row>
        <row r="434">
          <cell r="A434" t="str">
            <v>701110</v>
          </cell>
        </row>
        <row r="434">
          <cell r="L434">
            <v>-112982209</v>
          </cell>
        </row>
        <row r="435">
          <cell r="A435" t="str">
            <v>701115</v>
          </cell>
        </row>
        <row r="435">
          <cell r="L435">
            <v>-5108394</v>
          </cell>
        </row>
        <row r="436">
          <cell r="A436" t="str">
            <v>701120</v>
          </cell>
        </row>
        <row r="436">
          <cell r="L436">
            <v>20102109</v>
          </cell>
        </row>
        <row r="437">
          <cell r="A437" t="str">
            <v>701130</v>
          </cell>
        </row>
        <row r="437">
          <cell r="L437">
            <v>-1026735</v>
          </cell>
        </row>
        <row r="438">
          <cell r="A438" t="str">
            <v>701140</v>
          </cell>
        </row>
        <row r="438">
          <cell r="L438">
            <v>0</v>
          </cell>
        </row>
        <row r="439">
          <cell r="A439" t="str">
            <v>701141</v>
          </cell>
        </row>
        <row r="439">
          <cell r="L439">
            <v>0</v>
          </cell>
        </row>
        <row r="440">
          <cell r="A440" t="str">
            <v>706115</v>
          </cell>
        </row>
        <row r="440">
          <cell r="L440">
            <v>-204554292</v>
          </cell>
        </row>
        <row r="441">
          <cell r="A441" t="str">
            <v>706117</v>
          </cell>
        </row>
        <row r="441">
          <cell r="L441">
            <v>-5397409</v>
          </cell>
        </row>
        <row r="442">
          <cell r="A442" t="str">
            <v>706118</v>
          </cell>
        </row>
        <row r="442">
          <cell r="L442">
            <v>-21337</v>
          </cell>
        </row>
        <row r="443">
          <cell r="A443" t="str">
            <v>706120</v>
          </cell>
        </row>
        <row r="443">
          <cell r="L443">
            <v>-1129600491</v>
          </cell>
        </row>
        <row r="444">
          <cell r="A444" t="str">
            <v>706121</v>
          </cell>
        </row>
        <row r="444">
          <cell r="L444">
            <v>-1575159452</v>
          </cell>
        </row>
        <row r="445">
          <cell r="A445" t="str">
            <v>706123</v>
          </cell>
        </row>
        <row r="445">
          <cell r="L445">
            <v>-4516492</v>
          </cell>
        </row>
        <row r="446">
          <cell r="A446" t="str">
            <v>706124</v>
          </cell>
        </row>
        <row r="446">
          <cell r="L446">
            <v>-100723814</v>
          </cell>
        </row>
        <row r="447">
          <cell r="A447" t="str">
            <v>706125</v>
          </cell>
        </row>
        <row r="447">
          <cell r="L447">
            <v>-2487283</v>
          </cell>
        </row>
        <row r="448">
          <cell r="A448" t="str">
            <v>706126</v>
          </cell>
        </row>
        <row r="448">
          <cell r="L448">
            <v>-4352519</v>
          </cell>
        </row>
        <row r="449">
          <cell r="A449" t="str">
            <v>706128</v>
          </cell>
        </row>
        <row r="449">
          <cell r="L449">
            <v>-23432</v>
          </cell>
        </row>
        <row r="450">
          <cell r="A450" t="str">
            <v>706129</v>
          </cell>
        </row>
        <row r="450">
          <cell r="L450">
            <v>-1123649</v>
          </cell>
        </row>
        <row r="451">
          <cell r="A451" t="str">
            <v>706132</v>
          </cell>
        </row>
        <row r="451">
          <cell r="L451">
            <v>-128956961</v>
          </cell>
        </row>
        <row r="452">
          <cell r="A452" t="str">
            <v>706134</v>
          </cell>
        </row>
        <row r="452">
          <cell r="L452">
            <v>-49018</v>
          </cell>
        </row>
        <row r="453">
          <cell r="A453" t="str">
            <v>706137</v>
          </cell>
        </row>
        <row r="453">
          <cell r="L453">
            <v>-437757</v>
          </cell>
        </row>
        <row r="454">
          <cell r="A454" t="str">
            <v>706138</v>
          </cell>
        </row>
        <row r="454">
          <cell r="L454">
            <v>-48877546</v>
          </cell>
        </row>
        <row r="455">
          <cell r="A455" t="str">
            <v>706140</v>
          </cell>
        </row>
        <row r="455">
          <cell r="L455">
            <v>-16351864</v>
          </cell>
        </row>
        <row r="456">
          <cell r="A456" t="str">
            <v>706141</v>
          </cell>
        </row>
        <row r="456">
          <cell r="L456">
            <v>-8452320</v>
          </cell>
        </row>
        <row r="457">
          <cell r="A457" t="str">
            <v>706142</v>
          </cell>
        </row>
        <row r="457">
          <cell r="L457">
            <v>-45657351</v>
          </cell>
        </row>
        <row r="458">
          <cell r="A458" t="str">
            <v>706143</v>
          </cell>
        </row>
        <row r="458">
          <cell r="L458">
            <v>-54582322</v>
          </cell>
        </row>
        <row r="459">
          <cell r="A459" t="str">
            <v>706144</v>
          </cell>
        </row>
        <row r="459">
          <cell r="L459">
            <v>-11648</v>
          </cell>
        </row>
        <row r="460">
          <cell r="A460" t="str">
            <v>706145</v>
          </cell>
        </row>
        <row r="460">
          <cell r="L460">
            <v>-76661899</v>
          </cell>
        </row>
        <row r="461">
          <cell r="A461" t="str">
            <v>706151</v>
          </cell>
        </row>
        <row r="461">
          <cell r="L461">
            <v>-74882168</v>
          </cell>
        </row>
        <row r="462">
          <cell r="A462" t="str">
            <v>706152</v>
          </cell>
        </row>
        <row r="462">
          <cell r="L462">
            <v>-5655409</v>
          </cell>
        </row>
        <row r="463">
          <cell r="A463" t="str">
            <v>706153</v>
          </cell>
        </row>
        <row r="463">
          <cell r="L463">
            <v>-3518602833</v>
          </cell>
        </row>
        <row r="464">
          <cell r="A464" t="str">
            <v>706154</v>
          </cell>
        </row>
        <row r="464">
          <cell r="L464">
            <v>-37945402</v>
          </cell>
        </row>
        <row r="465">
          <cell r="A465" t="str">
            <v>706710</v>
          </cell>
        </row>
        <row r="465">
          <cell r="L465">
            <v>-121529266</v>
          </cell>
        </row>
        <row r="466">
          <cell r="A466" t="str">
            <v>706920</v>
          </cell>
        </row>
        <row r="466">
          <cell r="L466">
            <v>56211976</v>
          </cell>
        </row>
        <row r="467">
          <cell r="A467" t="str">
            <v>707300</v>
          </cell>
        </row>
        <row r="467">
          <cell r="L467">
            <v>-4287040</v>
          </cell>
        </row>
        <row r="468">
          <cell r="A468" t="str">
            <v>707310</v>
          </cell>
        </row>
        <row r="468">
          <cell r="L468">
            <v>-60677560</v>
          </cell>
        </row>
        <row r="469">
          <cell r="A469" t="str">
            <v>758400</v>
          </cell>
        </row>
        <row r="469">
          <cell r="L469">
            <v>-4527</v>
          </cell>
        </row>
        <row r="470">
          <cell r="A470" t="str">
            <v>771000</v>
          </cell>
        </row>
        <row r="470">
          <cell r="L470">
            <v>-215422</v>
          </cell>
        </row>
        <row r="471">
          <cell r="A471" t="str">
            <v>776000</v>
          </cell>
        </row>
        <row r="471">
          <cell r="L471">
            <v>-2098</v>
          </cell>
        </row>
        <row r="472">
          <cell r="A472" t="str">
            <v>781000</v>
          </cell>
        </row>
        <row r="472">
          <cell r="L472">
            <v>-7684491</v>
          </cell>
        </row>
        <row r="473">
          <cell r="A473" t="str">
            <v>791400</v>
          </cell>
        </row>
        <row r="473">
          <cell r="L473">
            <v>0</v>
          </cell>
        </row>
        <row r="474">
          <cell r="A474" t="str">
            <v>985000</v>
          </cell>
        </row>
        <row r="474">
          <cell r="L474">
            <v>0</v>
          </cell>
        </row>
        <row r="475">
          <cell r="A475" t="str">
            <v>Total bilan</v>
          </cell>
        </row>
        <row r="475">
          <cell r="L475">
            <v>-1251016608</v>
          </cell>
        </row>
        <row r="476">
          <cell r="A476" t="str">
            <v>TOTAL SOCIETE</v>
          </cell>
        </row>
        <row r="476">
          <cell r="L476">
            <v>0</v>
          </cell>
        </row>
        <row r="477">
          <cell r="L477">
            <v>0</v>
          </cell>
        </row>
        <row r="478">
          <cell r="L478">
            <v>0</v>
          </cell>
        </row>
        <row r="479">
          <cell r="L479">
            <v>0</v>
          </cell>
        </row>
        <row r="480">
          <cell r="A480" t="str">
            <v>Page -1 sur 1</v>
          </cell>
        </row>
        <row r="480">
          <cell r="L480">
            <v>0</v>
          </cell>
        </row>
        <row r="481">
          <cell r="L481">
            <v>0</v>
          </cell>
        </row>
        <row r="482">
          <cell r="L482">
            <v>0</v>
          </cell>
        </row>
        <row r="483">
          <cell r="L483">
            <v>0</v>
          </cell>
        </row>
        <row r="484">
          <cell r="L484">
            <v>0</v>
          </cell>
        </row>
        <row r="485">
          <cell r="L485">
            <v>0</v>
          </cell>
        </row>
        <row r="486">
          <cell r="L486">
            <v>0</v>
          </cell>
        </row>
        <row r="487">
          <cell r="L487">
            <v>0</v>
          </cell>
        </row>
        <row r="488">
          <cell r="L488">
            <v>0</v>
          </cell>
        </row>
        <row r="489">
          <cell r="L489">
            <v>0</v>
          </cell>
        </row>
        <row r="490">
          <cell r="L490">
            <v>0</v>
          </cell>
        </row>
        <row r="491">
          <cell r="L491">
            <v>0</v>
          </cell>
        </row>
        <row r="492">
          <cell r="L492">
            <v>0</v>
          </cell>
        </row>
        <row r="493">
          <cell r="L493">
            <v>0</v>
          </cell>
        </row>
        <row r="494">
          <cell r="L494">
            <v>0</v>
          </cell>
        </row>
        <row r="495">
          <cell r="L495">
            <v>0</v>
          </cell>
        </row>
        <row r="496">
          <cell r="L496">
            <v>0</v>
          </cell>
        </row>
        <row r="497">
          <cell r="L497">
            <v>0</v>
          </cell>
        </row>
        <row r="498">
          <cell r="L498">
            <v>0</v>
          </cell>
        </row>
        <row r="499">
          <cell r="L499">
            <v>0</v>
          </cell>
        </row>
        <row r="500">
          <cell r="L500">
            <v>0</v>
          </cell>
        </row>
        <row r="501">
          <cell r="L501">
            <v>0</v>
          </cell>
        </row>
        <row r="502">
          <cell r="L502">
            <v>0</v>
          </cell>
        </row>
        <row r="503">
          <cell r="L503">
            <v>0</v>
          </cell>
        </row>
        <row r="504">
          <cell r="L504">
            <v>0</v>
          </cell>
        </row>
        <row r="505">
          <cell r="L505">
            <v>0</v>
          </cell>
        </row>
        <row r="506">
          <cell r="L506">
            <v>0</v>
          </cell>
        </row>
        <row r="507">
          <cell r="L507">
            <v>0</v>
          </cell>
        </row>
        <row r="508">
          <cell r="L508">
            <v>0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  <row r="512">
          <cell r="L512">
            <v>0</v>
          </cell>
        </row>
        <row r="513">
          <cell r="L513">
            <v>0</v>
          </cell>
        </row>
        <row r="514">
          <cell r="L514">
            <v>0</v>
          </cell>
        </row>
        <row r="515">
          <cell r="L515">
            <v>0</v>
          </cell>
        </row>
        <row r="516">
          <cell r="L516">
            <v>0</v>
          </cell>
        </row>
        <row r="517">
          <cell r="L517">
            <v>0</v>
          </cell>
        </row>
        <row r="518">
          <cell r="L518">
            <v>0</v>
          </cell>
        </row>
        <row r="519">
          <cell r="L519">
            <v>0</v>
          </cell>
        </row>
        <row r="520">
          <cell r="L520">
            <v>0</v>
          </cell>
        </row>
        <row r="521">
          <cell r="L521">
            <v>0</v>
          </cell>
        </row>
        <row r="522">
          <cell r="L522">
            <v>0</v>
          </cell>
        </row>
        <row r="523">
          <cell r="L523">
            <v>0</v>
          </cell>
        </row>
        <row r="524">
          <cell r="L524">
            <v>0</v>
          </cell>
        </row>
        <row r="525">
          <cell r="L525">
            <v>0</v>
          </cell>
        </row>
        <row r="526">
          <cell r="L526">
            <v>0</v>
          </cell>
        </row>
        <row r="527">
          <cell r="L527">
            <v>0</v>
          </cell>
        </row>
        <row r="528">
          <cell r="L528">
            <v>0</v>
          </cell>
        </row>
        <row r="529">
          <cell r="L529">
            <v>0</v>
          </cell>
        </row>
        <row r="530">
          <cell r="L530">
            <v>0</v>
          </cell>
        </row>
        <row r="531">
          <cell r="L531">
            <v>0</v>
          </cell>
        </row>
        <row r="532">
          <cell r="L532">
            <v>0</v>
          </cell>
        </row>
        <row r="533">
          <cell r="L533">
            <v>0</v>
          </cell>
        </row>
        <row r="534">
          <cell r="L534">
            <v>0</v>
          </cell>
        </row>
        <row r="535">
          <cell r="L535">
            <v>0</v>
          </cell>
        </row>
        <row r="536">
          <cell r="L536">
            <v>0</v>
          </cell>
        </row>
        <row r="537">
          <cell r="L537">
            <v>0</v>
          </cell>
        </row>
        <row r="538">
          <cell r="L538">
            <v>0</v>
          </cell>
        </row>
        <row r="539">
          <cell r="L539">
            <v>0</v>
          </cell>
        </row>
        <row r="540">
          <cell r="L540">
            <v>0</v>
          </cell>
        </row>
        <row r="541">
          <cell r="L541">
            <v>0</v>
          </cell>
        </row>
        <row r="542">
          <cell r="L542">
            <v>0</v>
          </cell>
        </row>
        <row r="543">
          <cell r="L543">
            <v>0</v>
          </cell>
        </row>
        <row r="544">
          <cell r="L544">
            <v>0</v>
          </cell>
        </row>
        <row r="545">
          <cell r="L545">
            <v>0</v>
          </cell>
        </row>
        <row r="546">
          <cell r="L546">
            <v>0</v>
          </cell>
        </row>
        <row r="547">
          <cell r="L547">
            <v>0</v>
          </cell>
        </row>
        <row r="548">
          <cell r="L548">
            <v>0</v>
          </cell>
        </row>
        <row r="549">
          <cell r="L549">
            <v>0</v>
          </cell>
        </row>
        <row r="550">
          <cell r="L550">
            <v>0</v>
          </cell>
        </row>
        <row r="551">
          <cell r="L551">
            <v>0</v>
          </cell>
        </row>
        <row r="552">
          <cell r="L552">
            <v>0</v>
          </cell>
        </row>
        <row r="553">
          <cell r="L553">
            <v>0</v>
          </cell>
        </row>
        <row r="554">
          <cell r="L554">
            <v>0</v>
          </cell>
        </row>
        <row r="555">
          <cell r="L555">
            <v>0</v>
          </cell>
        </row>
        <row r="556">
          <cell r="L556">
            <v>0</v>
          </cell>
        </row>
        <row r="557">
          <cell r="L557">
            <v>0</v>
          </cell>
        </row>
        <row r="558">
          <cell r="L558">
            <v>0</v>
          </cell>
        </row>
        <row r="559">
          <cell r="L559">
            <v>0</v>
          </cell>
        </row>
        <row r="560">
          <cell r="L560">
            <v>0</v>
          </cell>
        </row>
        <row r="561">
          <cell r="L561">
            <v>0</v>
          </cell>
        </row>
        <row r="562">
          <cell r="L562">
            <v>0</v>
          </cell>
        </row>
        <row r="563">
          <cell r="L563">
            <v>0</v>
          </cell>
        </row>
        <row r="564">
          <cell r="L564">
            <v>0</v>
          </cell>
        </row>
        <row r="565">
          <cell r="L565">
            <v>0</v>
          </cell>
        </row>
        <row r="566">
          <cell r="L566">
            <v>0</v>
          </cell>
        </row>
        <row r="567">
          <cell r="L567">
            <v>0</v>
          </cell>
        </row>
        <row r="568">
          <cell r="L568">
            <v>0</v>
          </cell>
        </row>
        <row r="569">
          <cell r="L569">
            <v>0</v>
          </cell>
        </row>
        <row r="570">
          <cell r="L570">
            <v>0</v>
          </cell>
        </row>
        <row r="571">
          <cell r="L571">
            <v>0</v>
          </cell>
        </row>
        <row r="572">
          <cell r="L572">
            <v>0</v>
          </cell>
        </row>
        <row r="573">
          <cell r="L573">
            <v>0</v>
          </cell>
        </row>
        <row r="574">
          <cell r="L574">
            <v>0</v>
          </cell>
        </row>
        <row r="575">
          <cell r="L575">
            <v>0</v>
          </cell>
        </row>
        <row r="576">
          <cell r="L576">
            <v>0</v>
          </cell>
        </row>
        <row r="577">
          <cell r="L577">
            <v>0</v>
          </cell>
        </row>
        <row r="578">
          <cell r="L578">
            <v>0</v>
          </cell>
        </row>
        <row r="579">
          <cell r="L579">
            <v>0</v>
          </cell>
        </row>
        <row r="580">
          <cell r="L580">
            <v>0</v>
          </cell>
        </row>
        <row r="581">
          <cell r="L581">
            <v>0</v>
          </cell>
        </row>
        <row r="582">
          <cell r="L582">
            <v>0</v>
          </cell>
        </row>
        <row r="583">
          <cell r="L583">
            <v>0</v>
          </cell>
        </row>
        <row r="584">
          <cell r="L584">
            <v>0</v>
          </cell>
        </row>
        <row r="585">
          <cell r="L585">
            <v>0</v>
          </cell>
        </row>
        <row r="586">
          <cell r="L586">
            <v>0</v>
          </cell>
        </row>
        <row r="587">
          <cell r="L587">
            <v>0</v>
          </cell>
        </row>
        <row r="588">
          <cell r="L588">
            <v>0</v>
          </cell>
        </row>
        <row r="589">
          <cell r="L589">
            <v>0</v>
          </cell>
        </row>
        <row r="590">
          <cell r="L590">
            <v>0</v>
          </cell>
        </row>
        <row r="591">
          <cell r="L591">
            <v>0</v>
          </cell>
        </row>
        <row r="592">
          <cell r="L592">
            <v>0</v>
          </cell>
        </row>
        <row r="593">
          <cell r="L593">
            <v>0</v>
          </cell>
        </row>
        <row r="594">
          <cell r="L594">
            <v>0</v>
          </cell>
        </row>
        <row r="595">
          <cell r="L595">
            <v>0</v>
          </cell>
        </row>
        <row r="596">
          <cell r="L596">
            <v>0</v>
          </cell>
        </row>
        <row r="597">
          <cell r="L597">
            <v>0</v>
          </cell>
        </row>
        <row r="598">
          <cell r="L598">
            <v>0</v>
          </cell>
        </row>
        <row r="599">
          <cell r="L599">
            <v>0</v>
          </cell>
        </row>
        <row r="600">
          <cell r="L600">
            <v>0</v>
          </cell>
        </row>
        <row r="601">
          <cell r="L601">
            <v>0</v>
          </cell>
        </row>
        <row r="602">
          <cell r="L602">
            <v>0</v>
          </cell>
        </row>
        <row r="603">
          <cell r="L603">
            <v>0</v>
          </cell>
        </row>
        <row r="604">
          <cell r="L604">
            <v>0</v>
          </cell>
        </row>
        <row r="605">
          <cell r="L605">
            <v>0</v>
          </cell>
        </row>
        <row r="606">
          <cell r="L606">
            <v>0</v>
          </cell>
        </row>
        <row r="607">
          <cell r="L607">
            <v>0</v>
          </cell>
        </row>
        <row r="608">
          <cell r="L608">
            <v>0</v>
          </cell>
        </row>
        <row r="609">
          <cell r="L609">
            <v>0</v>
          </cell>
        </row>
        <row r="610">
          <cell r="L610">
            <v>0</v>
          </cell>
        </row>
        <row r="611">
          <cell r="L611">
            <v>0</v>
          </cell>
        </row>
        <row r="612">
          <cell r="L612">
            <v>0</v>
          </cell>
        </row>
        <row r="613">
          <cell r="L613">
            <v>0</v>
          </cell>
        </row>
        <row r="614">
          <cell r="L614">
            <v>0</v>
          </cell>
        </row>
        <row r="615">
          <cell r="L615">
            <v>0</v>
          </cell>
        </row>
        <row r="616">
          <cell r="L616">
            <v>0</v>
          </cell>
        </row>
        <row r="617">
          <cell r="L617">
            <v>0</v>
          </cell>
        </row>
        <row r="618">
          <cell r="L618">
            <v>0</v>
          </cell>
        </row>
        <row r="619">
          <cell r="L619">
            <v>0</v>
          </cell>
        </row>
        <row r="620">
          <cell r="L620">
            <v>0</v>
          </cell>
        </row>
        <row r="621">
          <cell r="L621">
            <v>0</v>
          </cell>
        </row>
        <row r="622">
          <cell r="L622">
            <v>0</v>
          </cell>
        </row>
        <row r="623">
          <cell r="L623">
            <v>0</v>
          </cell>
        </row>
        <row r="624">
          <cell r="L624">
            <v>0</v>
          </cell>
        </row>
        <row r="625">
          <cell r="L625">
            <v>0</v>
          </cell>
        </row>
        <row r="626">
          <cell r="L626">
            <v>0</v>
          </cell>
        </row>
        <row r="627">
          <cell r="L627">
            <v>0</v>
          </cell>
        </row>
        <row r="628">
          <cell r="L628">
            <v>0</v>
          </cell>
        </row>
        <row r="629">
          <cell r="L629">
            <v>0</v>
          </cell>
        </row>
        <row r="630">
          <cell r="L630">
            <v>0</v>
          </cell>
        </row>
        <row r="631">
          <cell r="L631">
            <v>0</v>
          </cell>
        </row>
        <row r="632">
          <cell r="L632">
            <v>0</v>
          </cell>
        </row>
        <row r="633">
          <cell r="L633">
            <v>0</v>
          </cell>
        </row>
        <row r="634">
          <cell r="L634">
            <v>0</v>
          </cell>
        </row>
        <row r="635">
          <cell r="L635">
            <v>0</v>
          </cell>
        </row>
        <row r="636">
          <cell r="L636">
            <v>0</v>
          </cell>
        </row>
        <row r="637">
          <cell r="L637">
            <v>0</v>
          </cell>
        </row>
        <row r="638">
          <cell r="L638">
            <v>0</v>
          </cell>
        </row>
        <row r="639">
          <cell r="L639">
            <v>0</v>
          </cell>
        </row>
        <row r="640">
          <cell r="L640">
            <v>0</v>
          </cell>
        </row>
        <row r="641">
          <cell r="L641">
            <v>0</v>
          </cell>
        </row>
        <row r="642">
          <cell r="L642">
            <v>0</v>
          </cell>
        </row>
        <row r="643">
          <cell r="L643">
            <v>0</v>
          </cell>
        </row>
        <row r="644">
          <cell r="L644">
            <v>0</v>
          </cell>
        </row>
        <row r="645">
          <cell r="L645">
            <v>0</v>
          </cell>
        </row>
        <row r="646">
          <cell r="L646">
            <v>0</v>
          </cell>
        </row>
        <row r="647">
          <cell r="L647">
            <v>0</v>
          </cell>
        </row>
        <row r="648">
          <cell r="L648">
            <v>0</v>
          </cell>
        </row>
        <row r="649">
          <cell r="L649">
            <v>0</v>
          </cell>
        </row>
        <row r="650">
          <cell r="L650">
            <v>0</v>
          </cell>
        </row>
        <row r="651">
          <cell r="L651">
            <v>0</v>
          </cell>
        </row>
        <row r="652">
          <cell r="L652">
            <v>0</v>
          </cell>
        </row>
        <row r="653">
          <cell r="L653">
            <v>0</v>
          </cell>
        </row>
        <row r="654">
          <cell r="L654">
            <v>0</v>
          </cell>
        </row>
        <row r="655">
          <cell r="L655">
            <v>0</v>
          </cell>
        </row>
        <row r="656">
          <cell r="L656">
            <v>0</v>
          </cell>
        </row>
        <row r="657">
          <cell r="L657">
            <v>0</v>
          </cell>
        </row>
        <row r="658">
          <cell r="L658">
            <v>0</v>
          </cell>
        </row>
        <row r="659">
          <cell r="L659">
            <v>0</v>
          </cell>
        </row>
        <row r="660">
          <cell r="L660">
            <v>0</v>
          </cell>
        </row>
        <row r="661">
          <cell r="L661">
            <v>0</v>
          </cell>
        </row>
        <row r="662">
          <cell r="L662">
            <v>0</v>
          </cell>
        </row>
        <row r="663">
          <cell r="L663">
            <v>0</v>
          </cell>
        </row>
        <row r="664">
          <cell r="L664">
            <v>0</v>
          </cell>
        </row>
        <row r="665">
          <cell r="L665">
            <v>0</v>
          </cell>
        </row>
        <row r="666">
          <cell r="L666">
            <v>0</v>
          </cell>
        </row>
        <row r="667">
          <cell r="L667">
            <v>0</v>
          </cell>
        </row>
        <row r="668">
          <cell r="L668">
            <v>0</v>
          </cell>
        </row>
        <row r="669">
          <cell r="L669">
            <v>0</v>
          </cell>
        </row>
        <row r="670">
          <cell r="L670">
            <v>0</v>
          </cell>
        </row>
        <row r="671">
          <cell r="L671">
            <v>0</v>
          </cell>
        </row>
        <row r="672">
          <cell r="L672">
            <v>0</v>
          </cell>
        </row>
        <row r="673">
          <cell r="L673">
            <v>0</v>
          </cell>
        </row>
        <row r="674">
          <cell r="L674">
            <v>0</v>
          </cell>
        </row>
        <row r="675">
          <cell r="L675">
            <v>0</v>
          </cell>
        </row>
        <row r="676">
          <cell r="L676">
            <v>0</v>
          </cell>
        </row>
        <row r="677">
          <cell r="L677">
            <v>0</v>
          </cell>
        </row>
        <row r="678">
          <cell r="L678">
            <v>0</v>
          </cell>
        </row>
        <row r="679">
          <cell r="L679">
            <v>0</v>
          </cell>
        </row>
        <row r="680">
          <cell r="L680">
            <v>0</v>
          </cell>
        </row>
        <row r="681">
          <cell r="L681">
            <v>0</v>
          </cell>
        </row>
        <row r="682">
          <cell r="L682">
            <v>0</v>
          </cell>
        </row>
        <row r="683">
          <cell r="L683">
            <v>0</v>
          </cell>
        </row>
        <row r="684">
          <cell r="L684">
            <v>0</v>
          </cell>
        </row>
        <row r="685">
          <cell r="L685">
            <v>0</v>
          </cell>
        </row>
        <row r="686">
          <cell r="L686">
            <v>0</v>
          </cell>
        </row>
        <row r="687">
          <cell r="L687">
            <v>0</v>
          </cell>
        </row>
        <row r="688">
          <cell r="L688">
            <v>0</v>
          </cell>
        </row>
        <row r="689">
          <cell r="L689">
            <v>0</v>
          </cell>
        </row>
        <row r="690">
          <cell r="L690">
            <v>0</v>
          </cell>
        </row>
        <row r="691">
          <cell r="L691">
            <v>0</v>
          </cell>
        </row>
        <row r="692">
          <cell r="L692">
            <v>0</v>
          </cell>
        </row>
        <row r="693">
          <cell r="L693">
            <v>0</v>
          </cell>
        </row>
        <row r="694">
          <cell r="L694">
            <v>0</v>
          </cell>
        </row>
        <row r="695">
          <cell r="L695">
            <v>0</v>
          </cell>
        </row>
        <row r="696">
          <cell r="L696">
            <v>0</v>
          </cell>
        </row>
        <row r="697">
          <cell r="L697">
            <v>0</v>
          </cell>
        </row>
      </sheetData>
      <sheetData sheetId="4"/>
      <sheetData sheetId="5"/>
      <sheetData sheetId="6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mai"/>
      <sheetName val="juin"/>
      <sheetName val="Jn"/>
      <sheetName val="YTD Juillet"/>
      <sheetName val="BG"/>
      <sheetName val="BG Momo-1"/>
      <sheetName val="BG Momo"/>
      <sheetName val="BG ETI"/>
      <sheetName val="BG Cumul"/>
      <sheetName val="mois-1"/>
      <sheetName val="Cumul"/>
      <sheetName val="Feuil1"/>
      <sheetName val="Encaissement"/>
      <sheetName val="Décaissements"/>
      <sheetName val="Reporting Flooz"/>
      <sheetName val="Bonus"/>
      <sheetName val="Bonus (ytd)"/>
      <sheetName val="Bonus (ytd m-1)"/>
      <sheetName val="amort aout"/>
      <sheetName val="Cumul amort aout"/>
      <sheetName val="GL prod juil"/>
      <sheetName val="Feuil4"/>
      <sheetName val="GLC a date"/>
      <sheetName val="GLP a date"/>
      <sheetName val="GL charg juil"/>
      <sheetName val="GL produits"/>
      <sheetName val="GL à date"/>
      <sheetName val="GL charges"/>
      <sheetName val="capex juil"/>
      <sheetName val="Capex"/>
      <sheetName val="Encaissements"/>
      <sheetName val="Disponibilité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40">
          <cell r="L340">
            <v>-10461703</v>
          </cell>
        </row>
        <row r="344">
          <cell r="L344">
            <v>90977856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B1:BD129"/>
  <sheetViews>
    <sheetView showFormulas="false" showGridLines="false" showRowColHeaders="true" showZeros="true" rightToLeft="false" tabSelected="true" showOutlineSymbols="true" defaultGridColor="true" view="normal" topLeftCell="A1" colorId="64" zoomScale="70" zoomScaleNormal="70" zoomScalePageLayoutView="81" workbookViewId="0">
      <pane xSplit="3" ySplit="3" topLeftCell="AN16" activePane="bottomRight" state="frozen"/>
      <selection pane="topLeft" activeCell="A1" activeCellId="0" sqref="A1"/>
      <selection pane="topRight" activeCell="AN1" activeCellId="0" sqref="AN1"/>
      <selection pane="bottomLeft" activeCell="A16" activeCellId="0" sqref="A16"/>
      <selection pane="bottomRight" activeCell="AO33" activeCellId="0" sqref="AO33"/>
    </sheetView>
  </sheetViews>
  <sheetFormatPr defaultColWidth="11.43359375" defaultRowHeight="12.75" zeroHeight="false" outlineLevelRow="1" outlineLevelCol="1"/>
  <cols>
    <col collapsed="false" customWidth="true" hidden="false" outlineLevel="0" max="1" min="1" style="1" width="1.14"/>
    <col collapsed="false" customWidth="true" hidden="false" outlineLevel="0" max="2" min="2" style="1" width="31.57"/>
    <col collapsed="false" customWidth="true" hidden="false" outlineLevel="0" max="3" min="3" style="1" width="0.86"/>
    <col collapsed="false" customWidth="true" hidden="true" outlineLevel="1" max="5" min="4" style="1" width="11.57"/>
    <col collapsed="false" customWidth="true" hidden="true" outlineLevel="1" max="6" min="6" style="1" width="12.57"/>
    <col collapsed="false" customWidth="true" hidden="true" outlineLevel="1" max="9" min="7" style="1" width="11.57"/>
    <col collapsed="false" customWidth="true" hidden="true" outlineLevel="1" max="10" min="10" style="1" width="12.57"/>
    <col collapsed="false" customWidth="true" hidden="true" outlineLevel="1" max="11" min="11" style="1" width="11.86"/>
    <col collapsed="false" customWidth="true" hidden="true" outlineLevel="1" max="12" min="12" style="1" width="15.86"/>
    <col collapsed="false" customWidth="true" hidden="true" outlineLevel="1" max="13" min="13" style="1" width="12.86"/>
    <col collapsed="false" customWidth="true" hidden="true" outlineLevel="1" max="14" min="14" style="1" width="11.57"/>
    <col collapsed="false" customWidth="true" hidden="true" outlineLevel="1" max="15" min="15" style="1" width="12.14"/>
    <col collapsed="false" customWidth="true" hidden="true" outlineLevel="0" max="20" min="16" style="1" width="12.57"/>
    <col collapsed="false" customWidth="true" hidden="true" outlineLevel="0" max="21" min="21" style="1" width="13.14"/>
    <col collapsed="false" customWidth="true" hidden="true" outlineLevel="0" max="24" min="22" style="1" width="8.14"/>
    <col collapsed="false" customWidth="true" hidden="true" outlineLevel="0" max="39" min="25" style="1" width="10.99"/>
    <col collapsed="false" customWidth="true" hidden="false" outlineLevel="0" max="41" min="40" style="1" width="12.57"/>
    <col collapsed="false" customWidth="true" hidden="false" outlineLevel="0" max="44" min="42" style="1" width="10.99"/>
    <col collapsed="false" customWidth="true" hidden="false" outlineLevel="0" max="45" min="45" style="1" width="12.57"/>
    <col collapsed="false" customWidth="true" hidden="false" outlineLevel="0" max="47" min="46" style="1" width="10.99"/>
    <col collapsed="false" customWidth="true" hidden="false" outlineLevel="0" max="48" min="48" style="1" width="15.86"/>
    <col collapsed="false" customWidth="true" hidden="false" outlineLevel="0" max="49" min="49" style="1" width="12.86"/>
    <col collapsed="false" customWidth="true" hidden="false" outlineLevel="0" max="50" min="50" style="1" width="10.99"/>
    <col collapsed="false" customWidth="true" hidden="false" outlineLevel="0" max="52" min="52" style="2" width="9.29"/>
    <col collapsed="false" customWidth="false" hidden="false" outlineLevel="0" max="53" min="53" style="1" width="11.42"/>
    <col collapsed="false" customWidth="true" hidden="false" outlineLevel="0" max="54" min="54" style="3" width="19.14"/>
    <col collapsed="false" customWidth="true" hidden="false" outlineLevel="0" max="55" min="55" style="1" width="11.99"/>
    <col collapsed="false" customWidth="true" hidden="false" outlineLevel="0" max="56" min="56" style="1" width="17"/>
    <col collapsed="false" customWidth="false" hidden="false" outlineLevel="0" max="1024" min="57" style="1" width="11.42"/>
  </cols>
  <sheetData>
    <row r="1" s="4" customFormat="true" ht="23.25" hidden="false" customHeight="true" outlineLevel="0" collapsed="false">
      <c r="B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Z1" s="7"/>
      <c r="BB1" s="3"/>
      <c r="BD1" s="4" t="s">
        <v>1</v>
      </c>
    </row>
    <row r="2" s="8" customFormat="true" ht="24.75" hidden="false" customHeight="true" outlineLevel="0" collapsed="false"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  <c r="P2" s="8" t="s">
        <v>2</v>
      </c>
      <c r="Q2" s="8" t="s">
        <v>3</v>
      </c>
      <c r="R2" s="8" t="s">
        <v>4</v>
      </c>
      <c r="S2" s="8" t="s">
        <v>14</v>
      </c>
      <c r="T2" s="8" t="s">
        <v>6</v>
      </c>
      <c r="U2" s="8" t="s">
        <v>7</v>
      </c>
      <c r="V2" s="8" t="s">
        <v>8</v>
      </c>
      <c r="W2" s="8" t="s">
        <v>15</v>
      </c>
      <c r="X2" s="8" t="s">
        <v>16</v>
      </c>
      <c r="Y2" s="8" t="s">
        <v>17</v>
      </c>
      <c r="Z2" s="8" t="s">
        <v>18</v>
      </c>
      <c r="AA2" s="8" t="s">
        <v>19</v>
      </c>
      <c r="AB2" s="8" t="s">
        <v>20</v>
      </c>
      <c r="AC2" s="8" t="s">
        <v>21</v>
      </c>
      <c r="AD2" s="8" t="s">
        <v>4</v>
      </c>
      <c r="AE2" s="8" t="s">
        <v>5</v>
      </c>
      <c r="AF2" s="8" t="s">
        <v>6</v>
      </c>
      <c r="AG2" s="8" t="s">
        <v>7</v>
      </c>
      <c r="AH2" s="8" t="s">
        <v>8</v>
      </c>
      <c r="AI2" s="8" t="s">
        <v>15</v>
      </c>
      <c r="AJ2" s="8" t="s">
        <v>16</v>
      </c>
      <c r="AK2" s="8" t="s">
        <v>17</v>
      </c>
      <c r="AL2" s="8" t="s">
        <v>18</v>
      </c>
      <c r="AM2" s="9" t="s">
        <v>19</v>
      </c>
      <c r="AN2" s="9" t="s">
        <v>20</v>
      </c>
      <c r="AO2" s="9" t="s">
        <v>21</v>
      </c>
      <c r="AP2" s="9" t="s">
        <v>4</v>
      </c>
      <c r="AQ2" s="9" t="s">
        <v>5</v>
      </c>
      <c r="AR2" s="9" t="s">
        <v>6</v>
      </c>
      <c r="AS2" s="9" t="s">
        <v>7</v>
      </c>
      <c r="AT2" s="9" t="s">
        <v>22</v>
      </c>
      <c r="AU2" s="9" t="s">
        <v>9</v>
      </c>
      <c r="AV2" s="9" t="s">
        <v>10</v>
      </c>
      <c r="AW2" s="9" t="s">
        <v>11</v>
      </c>
      <c r="AX2" s="9" t="s">
        <v>12</v>
      </c>
      <c r="AY2" s="9" t="s">
        <v>13</v>
      </c>
      <c r="AZ2" s="9"/>
      <c r="BB2" s="3"/>
    </row>
    <row r="3" s="10" customFormat="true" ht="25.5" hidden="false" customHeight="false" outlineLevel="0" collapsed="false">
      <c r="B3" s="10" t="s">
        <v>23</v>
      </c>
      <c r="D3" s="11" t="s">
        <v>24</v>
      </c>
      <c r="E3" s="11" t="s">
        <v>24</v>
      </c>
      <c r="F3" s="11" t="s">
        <v>24</v>
      </c>
      <c r="G3" s="11" t="s">
        <v>24</v>
      </c>
      <c r="H3" s="11" t="s">
        <v>24</v>
      </c>
      <c r="I3" s="11" t="s">
        <v>24</v>
      </c>
      <c r="J3" s="11" t="s">
        <v>24</v>
      </c>
      <c r="K3" s="11" t="s">
        <v>24</v>
      </c>
      <c r="L3" s="11" t="s">
        <v>24</v>
      </c>
      <c r="M3" s="11" t="s">
        <v>24</v>
      </c>
      <c r="N3" s="11" t="s">
        <v>24</v>
      </c>
      <c r="O3" s="11" t="s">
        <v>24</v>
      </c>
      <c r="P3" s="11" t="s">
        <v>25</v>
      </c>
      <c r="Q3" s="11" t="s">
        <v>25</v>
      </c>
      <c r="R3" s="11" t="s">
        <v>25</v>
      </c>
      <c r="S3" s="11" t="s">
        <v>25</v>
      </c>
      <c r="T3" s="11" t="s">
        <v>25</v>
      </c>
      <c r="U3" s="11" t="s">
        <v>25</v>
      </c>
      <c r="V3" s="11" t="s">
        <v>25</v>
      </c>
      <c r="W3" s="11" t="s">
        <v>25</v>
      </c>
      <c r="X3" s="11" t="s">
        <v>25</v>
      </c>
      <c r="Y3" s="11" t="s">
        <v>25</v>
      </c>
      <c r="Z3" s="11" t="s">
        <v>25</v>
      </c>
      <c r="AA3" s="11" t="s">
        <v>25</v>
      </c>
      <c r="AB3" s="11" t="s">
        <v>26</v>
      </c>
      <c r="AC3" s="11" t="s">
        <v>26</v>
      </c>
      <c r="AD3" s="11" t="s">
        <v>26</v>
      </c>
      <c r="AE3" s="11" t="s">
        <v>26</v>
      </c>
      <c r="AF3" s="11" t="s">
        <v>26</v>
      </c>
      <c r="AG3" s="11" t="s">
        <v>26</v>
      </c>
      <c r="AH3" s="11" t="s">
        <v>26</v>
      </c>
      <c r="AI3" s="11" t="s">
        <v>26</v>
      </c>
      <c r="AJ3" s="11" t="s">
        <v>26</v>
      </c>
      <c r="AK3" s="11" t="s">
        <v>26</v>
      </c>
      <c r="AL3" s="11" t="s">
        <v>26</v>
      </c>
      <c r="AM3" s="12" t="s">
        <v>27</v>
      </c>
      <c r="AN3" s="12" t="s">
        <v>28</v>
      </c>
      <c r="AO3" s="12" t="s">
        <v>28</v>
      </c>
      <c r="AP3" s="12" t="s">
        <v>28</v>
      </c>
      <c r="AQ3" s="12" t="s">
        <v>28</v>
      </c>
      <c r="AR3" s="12" t="s">
        <v>28</v>
      </c>
      <c r="AS3" s="12" t="s">
        <v>28</v>
      </c>
      <c r="AT3" s="12" t="s">
        <v>28</v>
      </c>
      <c r="AU3" s="12" t="s">
        <v>28</v>
      </c>
      <c r="AV3" s="12" t="s">
        <v>28</v>
      </c>
      <c r="AW3" s="12" t="s">
        <v>28</v>
      </c>
      <c r="AX3" s="12" t="s">
        <v>28</v>
      </c>
      <c r="AY3" s="12" t="s">
        <v>28</v>
      </c>
      <c r="AZ3" s="13" t="n">
        <v>2023</v>
      </c>
      <c r="BB3" s="3"/>
    </row>
    <row r="4" customFormat="false" ht="3" hidden="false" customHeight="true" outlineLevel="0" collapsed="false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6"/>
      <c r="AZ4" s="15"/>
    </row>
    <row r="5" customFormat="false" ht="17.25" hidden="false" customHeight="true" outlineLevel="0" collapsed="false">
      <c r="B5" s="17" t="s">
        <v>29</v>
      </c>
      <c r="C5" s="18"/>
      <c r="D5" s="19" t="n">
        <f aca="false">'CA Mobile'!D8</f>
        <v>0</v>
      </c>
      <c r="E5" s="19" t="n">
        <f aca="false">'CA Mobile'!E8</f>
        <v>0</v>
      </c>
      <c r="F5" s="19" t="n">
        <f aca="false">'CA Mobile'!F8</f>
        <v>0</v>
      </c>
      <c r="G5" s="19" t="n">
        <f aca="false">'CA Mobile'!G8</f>
        <v>0</v>
      </c>
      <c r="H5" s="19" t="n">
        <f aca="false">'CA Mobile'!H8</f>
        <v>0</v>
      </c>
      <c r="I5" s="19" t="n">
        <f aca="false">'CA Mobile'!I8</f>
        <v>0</v>
      </c>
      <c r="J5" s="19" t="n">
        <f aca="false">'CA Mobile'!J8</f>
        <v>0</v>
      </c>
      <c r="K5" s="19" t="n">
        <f aca="false">'CA Mobile'!K8</f>
        <v>0</v>
      </c>
      <c r="L5" s="19" t="n">
        <f aca="false">'CA Mobile'!L8</f>
        <v>0</v>
      </c>
      <c r="M5" s="19" t="n">
        <f aca="false">'CA Mobile'!M8</f>
        <v>0</v>
      </c>
      <c r="N5" s="19" t="n">
        <f aca="false">'CA Mobile'!N8</f>
        <v>0</v>
      </c>
      <c r="O5" s="19" t="n">
        <f aca="false">'CA Mobile'!O8</f>
        <v>0</v>
      </c>
      <c r="P5" s="19" t="n">
        <v>0</v>
      </c>
      <c r="Q5" s="19" t="n">
        <v>0</v>
      </c>
      <c r="R5" s="19" t="n">
        <f aca="false">'CA Mobile'!R8</f>
        <v>0</v>
      </c>
      <c r="S5" s="19" t="n">
        <v>0</v>
      </c>
      <c r="T5" s="19" t="n">
        <v>0</v>
      </c>
      <c r="U5" s="19" t="n">
        <f aca="false">'CA Mobile'!U8</f>
        <v>0</v>
      </c>
      <c r="V5" s="19" t="n">
        <f aca="false">'CA Mobile'!V8</f>
        <v>0</v>
      </c>
      <c r="W5" s="19" t="n">
        <v>0</v>
      </c>
      <c r="X5" s="19" t="n">
        <v>0</v>
      </c>
      <c r="Y5" s="19" t="n">
        <v>0</v>
      </c>
      <c r="Z5" s="19" t="n">
        <v>0</v>
      </c>
      <c r="AA5" s="19" t="n">
        <f aca="false">'CA Mobile'!AA8</f>
        <v>0</v>
      </c>
      <c r="AB5" s="19" t="n">
        <f aca="false">'CA Mobile'!AB8</f>
        <v>0</v>
      </c>
      <c r="AC5" s="19" t="n">
        <v>0</v>
      </c>
      <c r="AD5" s="19" t="n">
        <v>0</v>
      </c>
      <c r="AE5" s="19" t="n">
        <v>0</v>
      </c>
      <c r="AF5" s="19" t="n">
        <v>0</v>
      </c>
      <c r="AG5" s="19" t="n">
        <v>0</v>
      </c>
      <c r="AH5" s="19" t="n">
        <v>0</v>
      </c>
      <c r="AI5" s="19" t="n">
        <v>0</v>
      </c>
      <c r="AJ5" s="19" t="n">
        <v>0</v>
      </c>
      <c r="AK5" s="19" t="n">
        <v>0</v>
      </c>
      <c r="AL5" s="19" t="n">
        <v>0</v>
      </c>
      <c r="AM5" s="20" t="n">
        <v>0</v>
      </c>
      <c r="AN5" s="20" t="n">
        <f aca="false">'CA Mobile'!AY8</f>
        <v>0</v>
      </c>
      <c r="AO5" s="20" t="n">
        <f aca="false">'CA Mobile'!AZ8</f>
        <v>0</v>
      </c>
      <c r="AP5" s="20" t="n">
        <f aca="false">'CA Mobile'!BA8</f>
        <v>0</v>
      </c>
      <c r="AQ5" s="20" t="n">
        <f aca="false">'CA Mobile'!BB8</f>
        <v>0</v>
      </c>
      <c r="AR5" s="20" t="n">
        <f aca="false">'CA Mobile'!BC8</f>
        <v>0</v>
      </c>
      <c r="AS5" s="20" t="n">
        <f aca="false">'CA Mobile'!BD8</f>
        <v>0</v>
      </c>
      <c r="AT5" s="20" t="n">
        <f aca="false">'CA Mobile'!BE8</f>
        <v>0</v>
      </c>
      <c r="AU5" s="20" t="n">
        <f aca="false">'CA Mobile'!BF8</f>
        <v>0</v>
      </c>
      <c r="AV5" s="20" t="n">
        <f aca="false">'CA Mobile'!BG8</f>
        <v>0</v>
      </c>
      <c r="AW5" s="20" t="n">
        <f aca="false">'CA Mobile'!BH8</f>
        <v>0</v>
      </c>
      <c r="AX5" s="20" t="n">
        <f aca="false">'CA Mobile'!BI8</f>
        <v>0</v>
      </c>
      <c r="AY5" s="20" t="n">
        <f aca="false">'CA Mobile'!BJ8</f>
        <v>0</v>
      </c>
      <c r="AZ5" s="20" t="n">
        <f aca="false">SUM(AN5:AY5)</f>
        <v>0</v>
      </c>
      <c r="BA5" s="21"/>
    </row>
    <row r="6" s="22" customFormat="true" ht="18.75" hidden="false" customHeight="true" outlineLevel="1" collapsed="false">
      <c r="B6" s="23" t="s">
        <v>30</v>
      </c>
      <c r="C6" s="1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6"/>
      <c r="AZ6" s="25" t="n">
        <f aca="false">SUM(AN6:AR6)</f>
        <v>0</v>
      </c>
      <c r="BA6" s="21"/>
      <c r="BB6" s="3"/>
    </row>
    <row r="7" s="27" customFormat="true" ht="18.75" hidden="false" customHeight="true" outlineLevel="1" collapsed="false">
      <c r="B7" s="28" t="s">
        <v>31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2"/>
      <c r="AZ7" s="31" t="n">
        <f aca="false">SUM(AN7:AR7)</f>
        <v>0</v>
      </c>
      <c r="BA7" s="21"/>
      <c r="BB7" s="3"/>
    </row>
    <row r="8" s="22" customFormat="true" ht="20.25" hidden="false" customHeight="true" outlineLevel="1" collapsed="false">
      <c r="B8" s="33" t="s">
        <v>32</v>
      </c>
      <c r="C8" s="1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6"/>
      <c r="AZ8" s="25" t="n">
        <f aca="false">SUM(AN8:AR8)</f>
        <v>0</v>
      </c>
      <c r="BA8" s="21"/>
      <c r="BB8" s="3"/>
    </row>
    <row r="9" s="27" customFormat="true" ht="15.75" hidden="false" customHeight="true" outlineLevel="1" collapsed="false">
      <c r="B9" s="28" t="s">
        <v>33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2"/>
      <c r="AZ9" s="31" t="n">
        <f aca="false">SUM(AN9:AR9)</f>
        <v>0</v>
      </c>
      <c r="BA9" s="21"/>
      <c r="BB9" s="3"/>
    </row>
    <row r="10" s="35" customFormat="true" ht="6" hidden="false" customHeight="true" outlineLevel="1" collapsed="false"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40"/>
      <c r="AZ10" s="39" t="n">
        <f aca="false">SUM(AN10:AR10)</f>
        <v>0</v>
      </c>
      <c r="BA10" s="21"/>
      <c r="BB10" s="3"/>
    </row>
    <row r="11" s="35" customFormat="true" ht="12.75" hidden="false" customHeight="true" outlineLevel="1" collapsed="false">
      <c r="B11" s="41" t="s">
        <v>34</v>
      </c>
      <c r="C11" s="37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40"/>
      <c r="AZ11" s="39" t="n">
        <f aca="false">SUM(AN11:AR11)</f>
        <v>0</v>
      </c>
      <c r="BA11" s="21"/>
      <c r="BB11" s="3"/>
    </row>
    <row r="12" s="35" customFormat="true" ht="12.75" hidden="false" customHeight="true" outlineLevel="1" collapsed="false">
      <c r="B12" s="41" t="s">
        <v>35</v>
      </c>
      <c r="C12" s="3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40"/>
      <c r="AZ12" s="39" t="n">
        <f aca="false">SUM(AN12:AR12)</f>
        <v>0</v>
      </c>
      <c r="BA12" s="21"/>
      <c r="BB12" s="3"/>
    </row>
    <row r="13" customFormat="false" ht="5.25" hidden="false" customHeight="true" outlineLevel="0" collapsed="false">
      <c r="B13" s="43"/>
      <c r="C13" s="37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44"/>
      <c r="AZ13" s="39"/>
      <c r="BA13" s="21"/>
    </row>
    <row r="14" s="45" customFormat="true" ht="12.75" hidden="false" customHeight="false" outlineLevel="0" collapsed="false">
      <c r="B14" s="46" t="s">
        <v>36</v>
      </c>
      <c r="C14" s="18"/>
      <c r="D14" s="47" t="n">
        <f aca="false">'Marge Mobile'!D42</f>
        <v>55200422</v>
      </c>
      <c r="E14" s="47" t="n">
        <f aca="false">'Marge Mobile'!E42</f>
        <v>42367549</v>
      </c>
      <c r="F14" s="47" t="n">
        <f aca="false">'Marge Mobile'!F42</f>
        <v>28904193</v>
      </c>
      <c r="G14" s="47" t="n">
        <f aca="false">'Marge Mobile'!G42</f>
        <v>42458421</v>
      </c>
      <c r="H14" s="47" t="n">
        <f aca="false">'Marge Mobile'!H42</f>
        <v>32149914</v>
      </c>
      <c r="I14" s="47" t="n">
        <f aca="false">'Marge Mobile'!I42</f>
        <v>25253867</v>
      </c>
      <c r="J14" s="47" t="n">
        <f aca="false">'Marge Mobile'!J42</f>
        <v>80516153</v>
      </c>
      <c r="K14" s="47" t="n">
        <f aca="false">'Marge Mobile'!K42</f>
        <v>80516153</v>
      </c>
      <c r="L14" s="47" t="n">
        <f aca="false">'Marge Mobile'!L42</f>
        <v>80516153</v>
      </c>
      <c r="M14" s="47" t="n">
        <f aca="false">'Marge Mobile'!M42</f>
        <v>80516153</v>
      </c>
      <c r="N14" s="47" t="n">
        <f aca="false">'Marge Mobile'!N42</f>
        <v>80516153</v>
      </c>
      <c r="O14" s="47" t="n">
        <f aca="false">'Marge Mobile'!O42</f>
        <v>80516153</v>
      </c>
      <c r="P14" s="48" t="n">
        <v>25425492</v>
      </c>
      <c r="Q14" s="48" t="n">
        <v>25276578</v>
      </c>
      <c r="R14" s="48" t="n">
        <f aca="false">'Marge Mobile'!R42</f>
        <v>80516153</v>
      </c>
      <c r="S14" s="48" t="n">
        <v>9071599</v>
      </c>
      <c r="T14" s="48" t="n">
        <v>25827199</v>
      </c>
      <c r="U14" s="48" t="n">
        <v>40104587</v>
      </c>
      <c r="V14" s="48" t="n">
        <v>13834613</v>
      </c>
      <c r="W14" s="48" t="n">
        <v>22267526</v>
      </c>
      <c r="X14" s="48" t="n">
        <v>15859187</v>
      </c>
      <c r="Y14" s="48" t="n">
        <v>26808812</v>
      </c>
      <c r="Z14" s="48" t="n">
        <v>17107746</v>
      </c>
      <c r="AA14" s="48" t="n">
        <f aca="false">'Marge Mobile'!AA42</f>
        <v>80516153</v>
      </c>
      <c r="AB14" s="48" t="n">
        <f aca="false">'Marge Mobile'!AB42</f>
        <v>80516153</v>
      </c>
      <c r="AC14" s="48" t="n">
        <v>24355861</v>
      </c>
      <c r="AD14" s="48" t="n">
        <v>18085844</v>
      </c>
      <c r="AE14" s="48" t="n">
        <v>30823902</v>
      </c>
      <c r="AF14" s="48" t="n">
        <v>19840831</v>
      </c>
      <c r="AG14" s="48" t="n">
        <v>17693198</v>
      </c>
      <c r="AH14" s="48" t="n">
        <v>28827141</v>
      </c>
      <c r="AI14" s="48" t="n">
        <v>22601249</v>
      </c>
      <c r="AJ14" s="48" t="n">
        <v>17308736</v>
      </c>
      <c r="AK14" s="48" t="n">
        <v>31536601</v>
      </c>
      <c r="AL14" s="48" t="n">
        <v>690911.999999997</v>
      </c>
      <c r="AM14" s="49"/>
      <c r="AN14" s="49" t="n">
        <f aca="false">'Marge Mobile'!AN42</f>
        <v>34618808</v>
      </c>
      <c r="AO14" s="49" t="n">
        <f aca="false">'Marge Mobile'!AO42</f>
        <v>37772426</v>
      </c>
      <c r="AP14" s="49" t="n">
        <f aca="false">'Marge Mobile'!AP42</f>
        <v>47698819</v>
      </c>
      <c r="AQ14" s="49" t="n">
        <f aca="false">'Marge Mobile'!AQ42</f>
        <v>0</v>
      </c>
      <c r="AR14" s="49" t="n">
        <f aca="false">'Marge Mobile'!AR42</f>
        <v>0</v>
      </c>
      <c r="AS14" s="49" t="n">
        <f aca="false">'Marge Mobile'!AS42</f>
        <v>0</v>
      </c>
      <c r="AT14" s="49" t="n">
        <f aca="false">'Marge Mobile'!AT42</f>
        <v>0</v>
      </c>
      <c r="AU14" s="49" t="n">
        <f aca="false">'Marge Mobile'!AU42</f>
        <v>0</v>
      </c>
      <c r="AV14" s="49" t="n">
        <f aca="false">'Marge Mobile'!AV42</f>
        <v>0</v>
      </c>
      <c r="AW14" s="49" t="n">
        <f aca="false">'Marge Mobile'!AW42</f>
        <v>0</v>
      </c>
      <c r="AX14" s="49" t="n">
        <f aca="false">'Marge Mobile'!AX42</f>
        <v>0</v>
      </c>
      <c r="AY14" s="49" t="n">
        <f aca="false">'Marge Mobile'!AY42</f>
        <v>0</v>
      </c>
      <c r="AZ14" s="25" t="n">
        <f aca="false">SUM(AN14:AY14)</f>
        <v>120090053</v>
      </c>
      <c r="BA14" s="21"/>
      <c r="BB14" s="3"/>
    </row>
    <row r="15" customFormat="false" ht="12.75" hidden="false" customHeight="true" outlineLevel="1" collapsed="false">
      <c r="B15" s="50" t="s">
        <v>30</v>
      </c>
      <c r="C15" s="3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44"/>
      <c r="AZ15" s="39" t="n">
        <f aca="false">SUM(AN15:AR15)</f>
        <v>0</v>
      </c>
      <c r="BA15" s="21"/>
    </row>
    <row r="16" s="27" customFormat="true" ht="18.75" hidden="false" customHeight="true" outlineLevel="1" collapsed="false">
      <c r="B16" s="28" t="s">
        <v>31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2"/>
      <c r="AZ16" s="31" t="n">
        <f aca="false">SUM(AN16:AR16)</f>
        <v>0</v>
      </c>
      <c r="BA16" s="21"/>
      <c r="BB16" s="3"/>
    </row>
    <row r="17" customFormat="false" ht="12.75" hidden="false" customHeight="true" outlineLevel="1" collapsed="false">
      <c r="B17" s="50" t="s">
        <v>32</v>
      </c>
      <c r="C17" s="37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44"/>
      <c r="AZ17" s="39" t="n">
        <f aca="false">SUM(AN17:AR17)</f>
        <v>0</v>
      </c>
      <c r="BA17" s="21"/>
    </row>
    <row r="18" s="27" customFormat="true" ht="15.75" hidden="false" customHeight="true" outlineLevel="1" collapsed="false">
      <c r="B18" s="28" t="s">
        <v>33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2"/>
      <c r="AZ18" s="31" t="n">
        <f aca="false">SUM(AN18:AR18)</f>
        <v>0</v>
      </c>
      <c r="BA18" s="21"/>
      <c r="BB18" s="3"/>
    </row>
    <row r="19" customFormat="false" ht="12.75" hidden="false" customHeight="false" outlineLevel="0" collapsed="false">
      <c r="B19" s="43"/>
      <c r="C19" s="37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44"/>
      <c r="AZ19" s="39" t="n">
        <f aca="false">SUM(AN19:AR19)</f>
        <v>0</v>
      </c>
      <c r="BA19" s="21"/>
    </row>
    <row r="20" s="45" customFormat="true" ht="12.75" hidden="false" customHeight="false" outlineLevel="0" collapsed="false">
      <c r="B20" s="46" t="s">
        <v>37</v>
      </c>
      <c r="C20" s="18"/>
      <c r="D20" s="47" t="n">
        <f aca="false">D5+D14</f>
        <v>55200422</v>
      </c>
      <c r="E20" s="47" t="n">
        <f aca="false">E5+E14</f>
        <v>42367549</v>
      </c>
      <c r="F20" s="47" t="n">
        <f aca="false">F5+F14</f>
        <v>28904193</v>
      </c>
      <c r="G20" s="47" t="n">
        <f aca="false">G5+G14</f>
        <v>42458421</v>
      </c>
      <c r="H20" s="47" t="n">
        <f aca="false">H5+H14</f>
        <v>32149914</v>
      </c>
      <c r="I20" s="47" t="n">
        <f aca="false">I5+I14</f>
        <v>25253867</v>
      </c>
      <c r="J20" s="47" t="n">
        <f aca="false">J5+J14</f>
        <v>80516153</v>
      </c>
      <c r="K20" s="47" t="n">
        <f aca="false">K5+K14</f>
        <v>80516153</v>
      </c>
      <c r="L20" s="47" t="n">
        <f aca="false">L5+L14</f>
        <v>80516153</v>
      </c>
      <c r="M20" s="47" t="n">
        <f aca="false">M5+M14</f>
        <v>80516153</v>
      </c>
      <c r="N20" s="47" t="n">
        <f aca="false">N5+N14</f>
        <v>80516153</v>
      </c>
      <c r="O20" s="47" t="n">
        <f aca="false">O5+O14</f>
        <v>80516153</v>
      </c>
      <c r="P20" s="47" t="n">
        <v>25425492</v>
      </c>
      <c r="Q20" s="47" t="n">
        <v>25276578</v>
      </c>
      <c r="R20" s="47" t="n">
        <f aca="false">R5+R14</f>
        <v>80516153</v>
      </c>
      <c r="S20" s="47" t="n">
        <v>9071599</v>
      </c>
      <c r="T20" s="47" t="n">
        <v>25827199</v>
      </c>
      <c r="U20" s="47" t="n">
        <v>40104587</v>
      </c>
      <c r="V20" s="47" t="n">
        <v>13834613</v>
      </c>
      <c r="W20" s="47" t="n">
        <v>22267526</v>
      </c>
      <c r="X20" s="47" t="n">
        <v>15859187</v>
      </c>
      <c r="Y20" s="47" t="n">
        <v>26808812</v>
      </c>
      <c r="Z20" s="47" t="n">
        <v>17107746</v>
      </c>
      <c r="AA20" s="47" t="n">
        <f aca="false">AA5+AA14</f>
        <v>80516153</v>
      </c>
      <c r="AB20" s="47" t="n">
        <f aca="false">AB5+AB14</f>
        <v>80516153</v>
      </c>
      <c r="AC20" s="47" t="n">
        <v>24355861</v>
      </c>
      <c r="AD20" s="47" t="n">
        <v>18085844</v>
      </c>
      <c r="AE20" s="47" t="n">
        <v>30823902</v>
      </c>
      <c r="AF20" s="47" t="n">
        <v>19840831</v>
      </c>
      <c r="AG20" s="47" t="n">
        <v>17693198</v>
      </c>
      <c r="AH20" s="47" t="n">
        <v>28827141</v>
      </c>
      <c r="AI20" s="47" t="n">
        <v>22601249</v>
      </c>
      <c r="AJ20" s="47" t="n">
        <v>17308736</v>
      </c>
      <c r="AK20" s="47" t="n">
        <v>31536601</v>
      </c>
      <c r="AL20" s="47" t="n">
        <v>690911.999999997</v>
      </c>
      <c r="AM20" s="25"/>
      <c r="AN20" s="25" t="n">
        <f aca="false">AN5-AN14</f>
        <v>-34618808</v>
      </c>
      <c r="AO20" s="25" t="n">
        <f aca="false">AO5-AO14</f>
        <v>-37772426</v>
      </c>
      <c r="AP20" s="25" t="n">
        <f aca="false">AP5-AP14</f>
        <v>-47698819</v>
      </c>
      <c r="AQ20" s="25" t="n">
        <f aca="false">AQ5-AQ14</f>
        <v>0</v>
      </c>
      <c r="AR20" s="25" t="n">
        <f aca="false">AR5-AR14</f>
        <v>0</v>
      </c>
      <c r="AS20" s="25" t="n">
        <f aca="false">AS5-AS14</f>
        <v>0</v>
      </c>
      <c r="AT20" s="25" t="n">
        <f aca="false">AT5-AT14</f>
        <v>0</v>
      </c>
      <c r="AU20" s="25" t="n">
        <f aca="false">AU5-AU14</f>
        <v>0</v>
      </c>
      <c r="AV20" s="25" t="n">
        <f aca="false">AV5-AV14</f>
        <v>0</v>
      </c>
      <c r="AW20" s="25" t="n">
        <f aca="false">AW5-AW14</f>
        <v>0</v>
      </c>
      <c r="AX20" s="25" t="n">
        <f aca="false">AX5-AX14</f>
        <v>0</v>
      </c>
      <c r="AY20" s="25" t="n">
        <f aca="false">AY5-AY14</f>
        <v>0</v>
      </c>
      <c r="AZ20" s="25" t="n">
        <f aca="false">SUM(AN20:AY21)</f>
        <v>-120090053</v>
      </c>
      <c r="BA20" s="21"/>
      <c r="BB20" s="3"/>
    </row>
    <row r="21" s="51" customFormat="true" ht="12.75" hidden="true" customHeight="false" outlineLevel="0" collapsed="false">
      <c r="B21" s="52" t="s">
        <v>38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7"/>
      <c r="AZ21" s="58" t="n">
        <f aca="false">SUM(AN21:AR21)</f>
        <v>0</v>
      </c>
      <c r="BA21" s="21"/>
      <c r="BB21" s="3"/>
    </row>
    <row r="22" customFormat="false" ht="12.75" hidden="false" customHeight="true" outlineLevel="1" collapsed="false">
      <c r="B22" s="50" t="s">
        <v>30</v>
      </c>
      <c r="C22" s="37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44"/>
      <c r="AZ22" s="39" t="n">
        <f aca="false">SUM(AN22:AR22)</f>
        <v>0</v>
      </c>
      <c r="BA22" s="21"/>
    </row>
    <row r="23" customFormat="false" ht="12.75" hidden="false" customHeight="true" outlineLevel="1" collapsed="false">
      <c r="B23" s="50" t="s">
        <v>32</v>
      </c>
      <c r="C23" s="3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44"/>
      <c r="AZ23" s="39" t="n">
        <f aca="false">SUM(AN23:AR23)</f>
        <v>0</v>
      </c>
      <c r="BA23" s="21"/>
    </row>
    <row r="24" customFormat="false" ht="12.75" hidden="false" customHeight="false" outlineLevel="0" collapsed="false">
      <c r="B24" s="43"/>
      <c r="C24" s="3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44"/>
      <c r="AZ24" s="39" t="n">
        <f aca="false">SUM(AN24:AR24)</f>
        <v>0</v>
      </c>
      <c r="BA24" s="21"/>
    </row>
    <row r="25" s="45" customFormat="true" ht="12.75" hidden="false" customHeight="false" outlineLevel="0" collapsed="false">
      <c r="B25" s="46" t="s">
        <v>39</v>
      </c>
      <c r="C25" s="18"/>
      <c r="D25" s="47" t="n">
        <f aca="false">-'Opex Consolidés'!D7</f>
        <v>25842129.925</v>
      </c>
      <c r="E25" s="47" t="n">
        <f aca="false">-'Opex Consolidés'!E7</f>
        <v>25842129.925</v>
      </c>
      <c r="F25" s="47" t="n">
        <f aca="false">-'Opex Consolidés'!F7</f>
        <v>250042129.925</v>
      </c>
      <c r="G25" s="47" t="n">
        <f aca="false">-'Opex Consolidés'!G7</f>
        <v>121062303.925</v>
      </c>
      <c r="H25" s="47" t="n">
        <f aca="false">-'Opex Consolidés'!H7</f>
        <v>31115135.925</v>
      </c>
      <c r="I25" s="47" t="n">
        <f aca="false">-'Opex Consolidés'!I7</f>
        <v>182475268.925</v>
      </c>
      <c r="J25" s="47" t="n">
        <f aca="false">-'Opex Consolidés'!J7</f>
        <v>108901334.925</v>
      </c>
      <c r="K25" s="47" t="n">
        <f aca="false">-'Opex Consolidés'!K7</f>
        <v>109581818.925</v>
      </c>
      <c r="L25" s="47" t="n">
        <f aca="false">-'Opex Consolidés'!L7</f>
        <v>109731370.925</v>
      </c>
      <c r="M25" s="47" t="n">
        <f aca="false">-'Opex Consolidés'!M7</f>
        <v>109850617.925</v>
      </c>
      <c r="N25" s="47" t="n">
        <f aca="false">-'Opex Consolidés'!N7</f>
        <v>109850617.925</v>
      </c>
      <c r="O25" s="47" t="n">
        <f aca="false">-'Opex Consolidés'!O7</f>
        <v>161196398.925</v>
      </c>
      <c r="P25" s="47" t="n">
        <v>25842129.925</v>
      </c>
      <c r="Q25" s="47" t="n">
        <v>25842129.925</v>
      </c>
      <c r="R25" s="47" t="n">
        <f aca="false">-'Opex Consolidés'!F7</f>
        <v>250042129.925</v>
      </c>
      <c r="S25" s="47" t="n">
        <v>121062303.925</v>
      </c>
      <c r="T25" s="47" t="n">
        <v>31115135.925</v>
      </c>
      <c r="U25" s="48" t="n">
        <v>182475268.925</v>
      </c>
      <c r="V25" s="48" t="n">
        <v>108901334.925</v>
      </c>
      <c r="W25" s="48" t="n">
        <v>109581818.925</v>
      </c>
      <c r="X25" s="48" t="n">
        <v>109731370.925</v>
      </c>
      <c r="Y25" s="48" t="n">
        <v>109850617.925</v>
      </c>
      <c r="Z25" s="48" t="n">
        <v>109850617.925</v>
      </c>
      <c r="AA25" s="48" t="n">
        <f aca="false">-'Opex Consolidés'!O7</f>
        <v>161196398.925</v>
      </c>
      <c r="AB25" s="48" t="n">
        <f aca="false">-'Opex Consolidés'!P7</f>
        <v>155902118.925</v>
      </c>
      <c r="AC25" s="48" t="n">
        <v>221196041.925</v>
      </c>
      <c r="AD25" s="48" t="n">
        <v>19916279.925</v>
      </c>
      <c r="AE25" s="48" t="n">
        <v>130190368.925</v>
      </c>
      <c r="AF25" s="48" t="n">
        <v>130190368.925</v>
      </c>
      <c r="AG25" s="48" t="n">
        <v>268331104.925</v>
      </c>
      <c r="AH25" s="48" t="n">
        <v>135837071.925</v>
      </c>
      <c r="AI25" s="48" t="n">
        <v>128496571.925</v>
      </c>
      <c r="AJ25" s="48" t="n">
        <v>129250404.925</v>
      </c>
      <c r="AK25" s="48" t="n">
        <v>131377071.925</v>
      </c>
      <c r="AL25" s="48" t="n">
        <v>132132904.925</v>
      </c>
      <c r="AM25" s="49"/>
      <c r="AN25" s="49" t="n">
        <f aca="false">'Opex Consolidés'!AB7</f>
        <v>91880956.925</v>
      </c>
      <c r="AO25" s="49" t="n">
        <f aca="false">'Opex Consolidés'!AC7</f>
        <v>92284288.925</v>
      </c>
      <c r="AP25" s="49" t="n">
        <f aca="false">'Opex Consolidés'!AD7</f>
        <v>88853040.925</v>
      </c>
      <c r="AQ25" s="49" t="n">
        <f aca="false">'Opex Consolidés'!AE7</f>
        <v>0</v>
      </c>
      <c r="AR25" s="49" t="n">
        <f aca="false">'Opex Consolidés'!AF7</f>
        <v>0</v>
      </c>
      <c r="AS25" s="49" t="n">
        <f aca="false">'Opex Consolidés'!AG7</f>
        <v>0</v>
      </c>
      <c r="AT25" s="49" t="n">
        <f aca="false">'Opex Consolidés'!AH7</f>
        <v>0</v>
      </c>
      <c r="AU25" s="49" t="n">
        <f aca="false">'Opex Consolidés'!AI7</f>
        <v>0</v>
      </c>
      <c r="AV25" s="49" t="n">
        <f aca="false">'Opex Consolidés'!AJ7</f>
        <v>0</v>
      </c>
      <c r="AW25" s="49" t="n">
        <f aca="false">'Opex Consolidés'!AK7</f>
        <v>0</v>
      </c>
      <c r="AX25" s="49" t="n">
        <f aca="false">'Opex Consolidés'!AL7</f>
        <v>0</v>
      </c>
      <c r="AY25" s="49" t="n">
        <f aca="false">'Opex Consolidés'!AM7</f>
        <v>0</v>
      </c>
      <c r="AZ25" s="25" t="n">
        <f aca="false">SUM(AN25:AY25)</f>
        <v>273018286.775</v>
      </c>
      <c r="BA25" s="21"/>
      <c r="BB25" s="3"/>
    </row>
    <row r="26" customFormat="false" ht="12.75" hidden="false" customHeight="true" outlineLevel="1" collapsed="false">
      <c r="B26" s="50" t="s">
        <v>30</v>
      </c>
      <c r="C26" s="3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44"/>
      <c r="AZ26" s="39" t="n">
        <f aca="false">SUM(AN26:AR26)</f>
        <v>0</v>
      </c>
      <c r="BA26" s="21"/>
    </row>
    <row r="27" s="27" customFormat="true" ht="18.75" hidden="false" customHeight="true" outlineLevel="1" collapsed="false">
      <c r="B27" s="28" t="s">
        <v>31</v>
      </c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2"/>
      <c r="AZ27" s="31" t="n">
        <f aca="false">SUM(AN27:AR27)</f>
        <v>0</v>
      </c>
      <c r="BA27" s="21"/>
      <c r="BB27" s="3"/>
    </row>
    <row r="28" customFormat="false" ht="12.75" hidden="false" customHeight="true" outlineLevel="1" collapsed="false">
      <c r="B28" s="50" t="s">
        <v>32</v>
      </c>
      <c r="C28" s="3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44"/>
      <c r="AZ28" s="39" t="n">
        <f aca="false">SUM(AN28:AR28)</f>
        <v>0</v>
      </c>
      <c r="BA28" s="21"/>
    </row>
    <row r="29" s="27" customFormat="true" ht="15.75" hidden="false" customHeight="true" outlineLevel="1" collapsed="false">
      <c r="B29" s="28" t="s">
        <v>33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2"/>
      <c r="AZ29" s="31" t="n">
        <f aca="false">SUM(AN29:AR29)</f>
        <v>0</v>
      </c>
      <c r="BA29" s="21"/>
      <c r="BB29" s="3"/>
    </row>
    <row r="30" customFormat="false" ht="7.5" hidden="false" customHeight="true" outlineLevel="0" collapsed="false">
      <c r="B30" s="50"/>
      <c r="C30" s="37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44"/>
      <c r="AZ30" s="39" t="n">
        <f aca="false">SUM(AN30:AR30)</f>
        <v>0</v>
      </c>
      <c r="BA30" s="21"/>
    </row>
    <row r="31" s="45" customFormat="true" ht="12.75" hidden="false" customHeight="false" outlineLevel="0" collapsed="false">
      <c r="B31" s="46" t="s">
        <v>40</v>
      </c>
      <c r="C31" s="18"/>
      <c r="D31" s="47" t="n">
        <f aca="false">D20+D25</f>
        <v>81042551.925</v>
      </c>
      <c r="E31" s="47" t="n">
        <f aca="false">E20+E25</f>
        <v>68209678.925</v>
      </c>
      <c r="F31" s="47" t="n">
        <f aca="false">F20+F25</f>
        <v>278946322.925</v>
      </c>
      <c r="G31" s="47" t="n">
        <f aca="false">G20+G25</f>
        <v>163520724.925</v>
      </c>
      <c r="H31" s="47" t="n">
        <f aca="false">H20+H25</f>
        <v>63265049.925</v>
      </c>
      <c r="I31" s="47" t="n">
        <f aca="false">I20+I25</f>
        <v>207729135.925</v>
      </c>
      <c r="J31" s="47" t="n">
        <f aca="false">J20+J25</f>
        <v>189417487.925</v>
      </c>
      <c r="K31" s="47" t="n">
        <f aca="false">K20+K25</f>
        <v>190097971.925</v>
      </c>
      <c r="L31" s="47" t="n">
        <f aca="false">L20+L25</f>
        <v>190247523.925</v>
      </c>
      <c r="M31" s="47" t="n">
        <f aca="false">M20+M25</f>
        <v>190366770.925</v>
      </c>
      <c r="N31" s="47" t="n">
        <f aca="false">N20+N25</f>
        <v>190366770.925</v>
      </c>
      <c r="O31" s="47" t="n">
        <f aca="false">O20+O25</f>
        <v>241712551.925</v>
      </c>
      <c r="P31" s="47" t="n">
        <v>51267621.925</v>
      </c>
      <c r="Q31" s="47" t="n">
        <v>51118707.925</v>
      </c>
      <c r="R31" s="47" t="n">
        <f aca="false">R20+R25</f>
        <v>330558282.925</v>
      </c>
      <c r="S31" s="47" t="n">
        <v>130133902.925</v>
      </c>
      <c r="T31" s="47" t="n">
        <v>56942334.925</v>
      </c>
      <c r="U31" s="47" t="n">
        <v>222579855.925</v>
      </c>
      <c r="V31" s="47" t="n">
        <v>122735947.925</v>
      </c>
      <c r="W31" s="47" t="n">
        <v>131849344.925</v>
      </c>
      <c r="X31" s="47" t="n">
        <v>125590557.925</v>
      </c>
      <c r="Y31" s="47" t="n">
        <v>136659429.925</v>
      </c>
      <c r="Z31" s="47" t="n">
        <v>126958363.925</v>
      </c>
      <c r="AA31" s="47" t="n">
        <f aca="false">AA20+AA25</f>
        <v>241712551.925</v>
      </c>
      <c r="AB31" s="47" t="n">
        <f aca="false">AB20+AB25</f>
        <v>236418271.925</v>
      </c>
      <c r="AC31" s="47" t="n">
        <v>245551902.925</v>
      </c>
      <c r="AD31" s="47" t="n">
        <v>38002123.925</v>
      </c>
      <c r="AE31" s="47" t="n">
        <v>161014270.925</v>
      </c>
      <c r="AF31" s="47" t="n">
        <v>150031199.925</v>
      </c>
      <c r="AG31" s="47" t="n">
        <v>286024302.925</v>
      </c>
      <c r="AH31" s="47" t="n">
        <v>164664212.925</v>
      </c>
      <c r="AI31" s="47" t="n">
        <v>151097820.925</v>
      </c>
      <c r="AJ31" s="47" t="n">
        <v>146559140.925</v>
      </c>
      <c r="AK31" s="47" t="n">
        <v>162913672.925</v>
      </c>
      <c r="AL31" s="47" t="n">
        <v>132823816.925</v>
      </c>
      <c r="AM31" s="25"/>
      <c r="AN31" s="25" t="n">
        <f aca="false">AN20+AN25</f>
        <v>57262148.925</v>
      </c>
      <c r="AO31" s="25" t="n">
        <f aca="false">AO20+AO25</f>
        <v>54511862.925</v>
      </c>
      <c r="AP31" s="25" t="n">
        <f aca="false">AP20+AP25</f>
        <v>41154221.925</v>
      </c>
      <c r="AQ31" s="25" t="n">
        <f aca="false">AQ20+AQ25</f>
        <v>0</v>
      </c>
      <c r="AR31" s="25" t="n">
        <f aca="false">AR20+AR25</f>
        <v>0</v>
      </c>
      <c r="AS31" s="25" t="n">
        <f aca="false">AS20+AS25</f>
        <v>0</v>
      </c>
      <c r="AT31" s="25" t="n">
        <f aca="false">AT20+AT25</f>
        <v>0</v>
      </c>
      <c r="AU31" s="25" t="n">
        <f aca="false">AU20+AU25</f>
        <v>0</v>
      </c>
      <c r="AV31" s="25" t="n">
        <f aca="false">AV20+AV25</f>
        <v>0</v>
      </c>
      <c r="AW31" s="25" t="n">
        <f aca="false">AW20+AW25</f>
        <v>0</v>
      </c>
      <c r="AX31" s="25" t="n">
        <f aca="false">AX20+AX25</f>
        <v>0</v>
      </c>
      <c r="AY31" s="25" t="n">
        <f aca="false">AY20+AY25</f>
        <v>0</v>
      </c>
      <c r="AZ31" s="25" t="n">
        <f aca="false">SUM(AN31:AY31)</f>
        <v>152928233.775</v>
      </c>
      <c r="BA31" s="21"/>
      <c r="BB31" s="3"/>
    </row>
    <row r="32" s="51" customFormat="true" ht="12.75" hidden="true" customHeight="false" outlineLevel="0" collapsed="false">
      <c r="B32" s="59" t="s">
        <v>38</v>
      </c>
      <c r="C32" s="53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7"/>
      <c r="AZ32" s="58" t="n">
        <f aca="false">SUM(AN32:AR32)</f>
        <v>0</v>
      </c>
      <c r="BA32" s="21"/>
      <c r="BB32" s="3"/>
    </row>
    <row r="33" customFormat="false" ht="12.75" hidden="false" customHeight="true" outlineLevel="1" collapsed="false">
      <c r="B33" s="50" t="s">
        <v>30</v>
      </c>
      <c r="C33" s="37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44"/>
      <c r="AZ33" s="39" t="n">
        <f aca="false">SUM(AN33:AR33)</f>
        <v>0</v>
      </c>
      <c r="BA33" s="21"/>
    </row>
    <row r="34" customFormat="false" ht="12.75" hidden="false" customHeight="true" outlineLevel="1" collapsed="false">
      <c r="B34" s="50" t="s">
        <v>32</v>
      </c>
      <c r="C34" s="37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44"/>
      <c r="AZ34" s="39" t="n">
        <f aca="false">SUM(AN34:AR34)</f>
        <v>0</v>
      </c>
      <c r="BA34" s="21"/>
    </row>
    <row r="35" customFormat="false" ht="12.75" hidden="false" customHeight="false" outlineLevel="0" collapsed="false">
      <c r="B35" s="43"/>
      <c r="C35" s="37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44"/>
      <c r="AZ35" s="39" t="n">
        <f aca="false">SUM(AN35:AR35)</f>
        <v>0</v>
      </c>
      <c r="BA35" s="21"/>
    </row>
    <row r="36" customFormat="false" ht="12.75" hidden="false" customHeight="false" outlineLevel="0" collapsed="false">
      <c r="B36" s="43" t="s">
        <v>41</v>
      </c>
      <c r="C36" s="37"/>
      <c r="D36" s="42" t="n">
        <f aca="false">+D61+D60+D62</f>
        <v>-21521647.0018179</v>
      </c>
      <c r="E36" s="42" t="n">
        <f aca="false">+E61+E60+E62</f>
        <v>-20023027.6920636</v>
      </c>
      <c r="F36" s="42" t="n">
        <f aca="false">+F61+F60+F62</f>
        <v>-18512539.8385212</v>
      </c>
      <c r="G36" s="42" t="n">
        <f aca="false">+G61+G60+G62</f>
        <v>-20145471.8471842</v>
      </c>
      <c r="H36" s="42" t="n">
        <f aca="false">+H61+H60+H62</f>
        <v>-33658083.1995439</v>
      </c>
      <c r="I36" s="42" t="n">
        <f aca="false">+I61+I60+I62</f>
        <v>-33841265.1466877</v>
      </c>
      <c r="J36" s="42" t="n">
        <f aca="false">SUM('[10]BG Mois'!$J$544,'[10]BG Mois'!$J$546:$J$547)*1000000</f>
        <v>26837167.8023522</v>
      </c>
      <c r="K36" s="42" t="n">
        <f aca="false">SUM('[11]BG Mois'!$J$545,'[11]BG Mois'!$J$546,'[11]BG Mois'!$J$543)*1000000</f>
        <v>23374080.9486221</v>
      </c>
      <c r="L36" s="42" t="n">
        <f aca="false">SUM('[12]BG Mois'!$J$537,'[12]BG Mois'!$J$539)*1000000</f>
        <v>-42845986.0728657</v>
      </c>
      <c r="M36" s="42" t="n">
        <f aca="false">SUM('[13]BG Mois'!$J$541,'[13]BG Mois'!$J$543)*1000000</f>
        <v>-44417084.8743555</v>
      </c>
      <c r="N36" s="42" t="n">
        <f aca="false">SUM('[14]BG Mois'!$J$540,'[14]BG Mois'!$J$542)*1000000</f>
        <v>-44417084.8743555</v>
      </c>
      <c r="O36" s="42" t="n">
        <f aca="false">+O61+O60</f>
        <v>-12336796.1027557</v>
      </c>
      <c r="P36" s="42" t="n">
        <v>-35688042.8235547</v>
      </c>
      <c r="Q36" s="42" t="n">
        <v>-42680804.2235781</v>
      </c>
      <c r="R36" s="61" t="n">
        <f aca="false">+R61+R60+R62+R63</f>
        <v>-254265509.314634</v>
      </c>
      <c r="S36" s="61" t="n">
        <v>-124647230.586841</v>
      </c>
      <c r="T36" s="61" t="n">
        <v>-47483805.5666935</v>
      </c>
      <c r="U36" s="61" t="n">
        <v>-189092344.29549</v>
      </c>
      <c r="V36" s="61" t="n">
        <v>-121424539.401179</v>
      </c>
      <c r="W36" s="61" t="n">
        <v>-122096312.104556</v>
      </c>
      <c r="X36" s="61" t="n">
        <v>-119415037.086077</v>
      </c>
      <c r="Y36" s="61" t="n">
        <v>-119374153.88578</v>
      </c>
      <c r="Z36" s="61" t="n">
        <v>-119214313.371732</v>
      </c>
      <c r="AA36" s="61" t="n">
        <f aca="false">+AA61+AA60+AA62+AA63</f>
        <v>-141236822.244768</v>
      </c>
      <c r="AB36" s="61" t="n">
        <f aca="false">+AB61+AB60+AB62+AB63</f>
        <v>-173069094.77572</v>
      </c>
      <c r="AC36" s="61" t="n">
        <v>-200206563.184589</v>
      </c>
      <c r="AD36" s="61" t="n">
        <v>1974960.72094281</v>
      </c>
      <c r="AE36" s="61" t="n">
        <v>-126812544.287093</v>
      </c>
      <c r="AF36" s="61" t="n">
        <v>-126751037.610552</v>
      </c>
      <c r="AG36" s="61" t="n">
        <v>-192551211.531536</v>
      </c>
      <c r="AH36" s="61" t="n">
        <v>-136507129.885405</v>
      </c>
      <c r="AI36" s="61" t="n">
        <v>-137110621.016357</v>
      </c>
      <c r="AJ36" s="61" t="n">
        <v>-134455675.611893</v>
      </c>
      <c r="AK36" s="61" t="n">
        <v>-133493108.002496</v>
      </c>
      <c r="AL36" s="61" t="n">
        <v>-131614980.738449</v>
      </c>
      <c r="AM36" s="62"/>
      <c r="AN36" s="62" t="n">
        <f aca="false">+AN61+AN60+AN62+AN63</f>
        <v>-134540495.268182</v>
      </c>
      <c r="AO36" s="62" t="n">
        <f aca="false">+AO61+AO60+AO62+AO63</f>
        <v>-130941691.278402</v>
      </c>
      <c r="AP36" s="62" t="n">
        <f aca="false">+AP61+AP60+AP62+AP63</f>
        <v>-132492877.104272</v>
      </c>
      <c r="AQ36" s="62" t="n">
        <f aca="false">+AQ61+AQ60+AQ62+AQ63</f>
        <v>0</v>
      </c>
      <c r="AR36" s="62" t="n">
        <f aca="false">+AR61+AR60+AR62+AR63</f>
        <v>0</v>
      </c>
      <c r="AS36" s="62" t="n">
        <f aca="false">+AS61+AS60+AS62+AS63</f>
        <v>0</v>
      </c>
      <c r="AT36" s="62" t="n">
        <f aca="false">+AT61+AT60+AT62+AT63</f>
        <v>0</v>
      </c>
      <c r="AU36" s="62" t="n">
        <f aca="false">+AU61+AU60+AU62+AU63</f>
        <v>0</v>
      </c>
      <c r="AV36" s="62" t="n">
        <f aca="false">+AV61+AV60+AV62+AV63</f>
        <v>0</v>
      </c>
      <c r="AW36" s="62" t="n">
        <f aca="false">+AW61+AW60+AW62+AW63</f>
        <v>0</v>
      </c>
      <c r="AX36" s="62" t="n">
        <f aca="false">+AX61+AX60+AX62+AX63</f>
        <v>0</v>
      </c>
      <c r="AY36" s="62" t="n">
        <f aca="false">+AY61+AY60+AY62+AY63</f>
        <v>0</v>
      </c>
      <c r="AZ36" s="39" t="n">
        <f aca="false">SUM(AN36:AY36)</f>
        <v>-397975063.650856</v>
      </c>
      <c r="BA36" s="21"/>
      <c r="BC36" s="63"/>
      <c r="BD36" s="64"/>
    </row>
    <row r="37" customFormat="false" ht="12.75" hidden="false" customHeight="true" outlineLevel="0" collapsed="false">
      <c r="B37" s="43" t="s">
        <v>42</v>
      </c>
      <c r="C37" s="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44"/>
      <c r="AZ37" s="39" t="n">
        <f aca="false">SUM(AN37:AR37)</f>
        <v>0</v>
      </c>
      <c r="BA37" s="21"/>
    </row>
    <row r="38" customFormat="false" ht="12.75" hidden="false" customHeight="true" outlineLevel="0" collapsed="false">
      <c r="B38" s="43" t="s">
        <v>43</v>
      </c>
      <c r="C38" s="37"/>
      <c r="D38" s="42"/>
      <c r="E38" s="42"/>
      <c r="F38" s="42"/>
      <c r="G38" s="42"/>
      <c r="H38" s="42"/>
      <c r="I38" s="42"/>
      <c r="J38" s="6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44"/>
      <c r="AZ38" s="39" t="n">
        <f aca="false">SUM(AN38:AR38)</f>
        <v>0</v>
      </c>
      <c r="BA38" s="21"/>
    </row>
    <row r="39" customFormat="false" ht="12.75" hidden="false" customHeight="true" outlineLevel="0" collapsed="false">
      <c r="B39" s="43" t="s">
        <v>44</v>
      </c>
      <c r="C39" s="3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44"/>
      <c r="AZ39" s="39" t="n">
        <f aca="false">SUM(AN39:AR39)</f>
        <v>0</v>
      </c>
      <c r="BA39" s="21"/>
    </row>
    <row r="40" customFormat="false" ht="12.75" hidden="false" customHeight="false" outlineLevel="0" collapsed="false">
      <c r="B40" s="43"/>
      <c r="C40" s="3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44"/>
      <c r="AZ40" s="39" t="n">
        <f aca="false">SUM(AN40:AR40)</f>
        <v>0</v>
      </c>
      <c r="BA40" s="21"/>
    </row>
    <row r="41" s="45" customFormat="true" ht="12.75" hidden="false" customHeight="false" outlineLevel="0" collapsed="false">
      <c r="B41" s="46" t="s">
        <v>45</v>
      </c>
      <c r="C41" s="37"/>
      <c r="D41" s="47" t="n">
        <f aca="false">D31+D36+D37+D38+D39</f>
        <v>59520904.9231822</v>
      </c>
      <c r="E41" s="47" t="n">
        <f aca="false">E31+E36+E37+E38+E39</f>
        <v>48186651.2329364</v>
      </c>
      <c r="F41" s="47" t="n">
        <f aca="false">F31+F36+F37+F38+F39</f>
        <v>260433783.086479</v>
      </c>
      <c r="G41" s="47" t="n">
        <f aca="false">G31+G36+G37+G38+G39</f>
        <v>143375253.077816</v>
      </c>
      <c r="H41" s="47" t="n">
        <f aca="false">H31+H36+H37+H38+H39</f>
        <v>29606966.7254561</v>
      </c>
      <c r="I41" s="47" t="n">
        <f aca="false">I31+I36+I37+I38+I39</f>
        <v>173887870.778312</v>
      </c>
      <c r="J41" s="47" t="n">
        <f aca="false">J31+J36+J37+J38+J39</f>
        <v>216254655.727352</v>
      </c>
      <c r="K41" s="47" t="n">
        <f aca="false">K31+K36+K37+K38+K39</f>
        <v>213472052.873622</v>
      </c>
      <c r="L41" s="47" t="n">
        <f aca="false">L31+L36+L37+L38+L39</f>
        <v>147401537.852134</v>
      </c>
      <c r="M41" s="47" t="n">
        <f aca="false">M31+M36+M37+M38+M39</f>
        <v>145949686.050645</v>
      </c>
      <c r="N41" s="47" t="n">
        <f aca="false">N31+N36+N37+N38+N39</f>
        <v>145949686.050645</v>
      </c>
      <c r="O41" s="47" t="n">
        <f aca="false">O31+O36+O37+O38+O39</f>
        <v>229375755.822244</v>
      </c>
      <c r="P41" s="47" t="n">
        <v>15579579.1014453</v>
      </c>
      <c r="Q41" s="47" t="n">
        <v>8437903.7014219</v>
      </c>
      <c r="R41" s="47" t="n">
        <f aca="false">R31+R36+R37+R38+R39</f>
        <v>76292773.6103661</v>
      </c>
      <c r="S41" s="47" t="n">
        <v>5486672.33815925</v>
      </c>
      <c r="T41" s="47" t="n">
        <v>9458529.35830654</v>
      </c>
      <c r="U41" s="47" t="n">
        <v>33487511.6295105</v>
      </c>
      <c r="V41" s="47" t="n">
        <v>1311408.52382097</v>
      </c>
      <c r="W41" s="47" t="n">
        <v>9753032.82044426</v>
      </c>
      <c r="X41" s="47" t="n">
        <v>6175520.83892264</v>
      </c>
      <c r="Y41" s="47" t="n">
        <v>17285276.0392203</v>
      </c>
      <c r="Z41" s="47" t="n">
        <v>7744050.55326787</v>
      </c>
      <c r="AA41" s="47" t="n">
        <f aca="false">AA31+AA36+AA37+AA38+AA39</f>
        <v>100475729.680232</v>
      </c>
      <c r="AB41" s="47" t="n">
        <f aca="false">AB31+AB36+AB37+AB38+AB39</f>
        <v>63349177.1492798</v>
      </c>
      <c r="AC41" s="47" t="n">
        <v>45345339.7404107</v>
      </c>
      <c r="AD41" s="47" t="n">
        <v>39977084.6459428</v>
      </c>
      <c r="AE41" s="47" t="n">
        <v>34201726.6379071</v>
      </c>
      <c r="AF41" s="47" t="n">
        <v>23280162.3144476</v>
      </c>
      <c r="AG41" s="47" t="n">
        <v>93473091.3934645</v>
      </c>
      <c r="AH41" s="47" t="n">
        <v>28157083.0395955</v>
      </c>
      <c r="AI41" s="47" t="n">
        <v>13987199.9086431</v>
      </c>
      <c r="AJ41" s="47" t="n">
        <v>12103465.3131074</v>
      </c>
      <c r="AK41" s="47" t="n">
        <v>29420564.9225038</v>
      </c>
      <c r="AL41" s="47" t="n">
        <v>1208836.18655138</v>
      </c>
      <c r="AM41" s="25"/>
      <c r="AN41" s="25" t="n">
        <f aca="false">AN31+AN36+AN37+AN38+AN39</f>
        <v>-77278346.3431819</v>
      </c>
      <c r="AO41" s="25" t="n">
        <f aca="false">AO31+AO36+AO37+AO38+AO39</f>
        <v>-76429828.3534016</v>
      </c>
      <c r="AP41" s="25" t="n">
        <f aca="false">AP31+AP36+AP37+AP38+AP39</f>
        <v>-91338655.1792722</v>
      </c>
      <c r="AQ41" s="25" t="n">
        <f aca="false">AQ31+AQ36+AQ37+AQ38+AQ39</f>
        <v>0</v>
      </c>
      <c r="AR41" s="25" t="n">
        <f aca="false">AR31+AR36+AR37+AR38+AR39</f>
        <v>0</v>
      </c>
      <c r="AS41" s="25" t="n">
        <f aca="false">AS31+AS36+AS37+AS38+AS39</f>
        <v>0</v>
      </c>
      <c r="AT41" s="25" t="n">
        <f aca="false">AT31+AT36+AT37+AT38+AT39</f>
        <v>0</v>
      </c>
      <c r="AU41" s="25" t="n">
        <f aca="false">AU31+AU36+AU37+AU38+AU39</f>
        <v>0</v>
      </c>
      <c r="AV41" s="25" t="n">
        <f aca="false">AV31+AV36+AV37+AV38+AV39</f>
        <v>0</v>
      </c>
      <c r="AW41" s="25" t="n">
        <f aca="false">AW31+AW36+AW37+AW38+AW39</f>
        <v>0</v>
      </c>
      <c r="AX41" s="25" t="n">
        <f aca="false">AX31+AX36+AX37+AX38+AX39</f>
        <v>0</v>
      </c>
      <c r="AY41" s="25" t="n">
        <f aca="false">AY31+AY36+AY37+AY38+AY39</f>
        <v>0</v>
      </c>
      <c r="AZ41" s="25" t="n">
        <f aca="false">SUM(AN41:AY42)</f>
        <v>-245046829.875856</v>
      </c>
      <c r="BA41" s="21"/>
      <c r="BB41" s="3"/>
    </row>
    <row r="42" s="51" customFormat="true" ht="12.75" hidden="true" customHeight="false" outlineLevel="0" collapsed="false">
      <c r="B42" s="59" t="s">
        <v>38</v>
      </c>
      <c r="C42" s="3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7"/>
      <c r="AZ42" s="65" t="n">
        <f aca="false">SUM(AN42:AR42)</f>
        <v>0</v>
      </c>
      <c r="BA42" s="21"/>
      <c r="BB42" s="3"/>
    </row>
    <row r="43" s="51" customFormat="true" ht="12.75" hidden="false" customHeight="true" outlineLevel="1" collapsed="false">
      <c r="B43" s="50" t="s">
        <v>30</v>
      </c>
      <c r="C43" s="37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57"/>
      <c r="AZ43" s="39" t="n">
        <f aca="false">SUM(AN43:AR43)</f>
        <v>0</v>
      </c>
      <c r="BA43" s="21"/>
      <c r="BB43" s="3"/>
    </row>
    <row r="44" s="51" customFormat="true" ht="12.75" hidden="false" customHeight="true" outlineLevel="1" collapsed="false">
      <c r="B44" s="50" t="s">
        <v>32</v>
      </c>
      <c r="C44" s="37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57"/>
      <c r="AZ44" s="39" t="n">
        <f aca="false">SUM(AN44:AR44)</f>
        <v>0</v>
      </c>
      <c r="BA44" s="21"/>
      <c r="BB44" s="3"/>
    </row>
    <row r="45" s="51" customFormat="true" ht="12.75" hidden="true" customHeight="false" outlineLevel="0" collapsed="false">
      <c r="B45" s="59"/>
      <c r="C45" s="37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7"/>
      <c r="AZ45" s="65" t="n">
        <f aca="false">SUM(AN45:AR45)</f>
        <v>0</v>
      </c>
      <c r="BA45" s="21"/>
      <c r="BB45" s="3"/>
    </row>
    <row r="46" s="51" customFormat="true" ht="12.75" hidden="false" customHeight="false" outlineLevel="0" collapsed="false">
      <c r="B46" s="66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57"/>
      <c r="AZ46" s="39" t="n">
        <f aca="false">SUM(AN46:AT46)</f>
        <v>0</v>
      </c>
      <c r="BA46" s="21"/>
      <c r="BB46" s="3"/>
    </row>
    <row r="47" s="45" customFormat="true" ht="12.75" hidden="false" customHeight="false" outlineLevel="0" collapsed="false">
      <c r="B47" s="46" t="s">
        <v>46</v>
      </c>
      <c r="C47" s="37"/>
      <c r="D47" s="47" t="n">
        <f aca="false">-'Opex Consolidés'!D47</f>
        <v>0</v>
      </c>
      <c r="E47" s="47" t="n">
        <f aca="false">-'Opex Consolidés'!E47</f>
        <v>0</v>
      </c>
      <c r="F47" s="47" t="n">
        <f aca="false">-'Opex Consolidés'!F47</f>
        <v>-51379512</v>
      </c>
      <c r="G47" s="47" t="n">
        <f aca="false">-'Opex Consolidés'!G47</f>
        <v>-2028681</v>
      </c>
      <c r="H47" s="47" t="n">
        <f aca="false">-'Opex Consolidés'!H47</f>
        <v>-882940</v>
      </c>
      <c r="I47" s="47" t="n">
        <f aca="false">-'Opex Consolidés'!I47</f>
        <v>-52684470</v>
      </c>
      <c r="J47" s="47" t="n">
        <f aca="false">-'Opex Consolidés'!J47</f>
        <v>-20358747</v>
      </c>
      <c r="K47" s="47" t="n">
        <f aca="false">-'Opex Consolidés'!K47</f>
        <v>-16817672</v>
      </c>
      <c r="L47" s="47" t="n">
        <f aca="false">-'Opex Consolidés'!L47</f>
        <v>-13820921</v>
      </c>
      <c r="M47" s="47" t="n">
        <f aca="false">-'Opex Consolidés'!M47</f>
        <v>-16046566</v>
      </c>
      <c r="N47" s="47" t="n">
        <f aca="false">-'Opex Consolidés'!N47</f>
        <v>-16046566</v>
      </c>
      <c r="O47" s="47" t="n">
        <f aca="false">-'Opex Consolidés'!O47</f>
        <v>-39383678</v>
      </c>
      <c r="P47" s="47" t="n">
        <v>0</v>
      </c>
      <c r="Q47" s="47" t="n">
        <v>0</v>
      </c>
      <c r="R47" s="47" t="n">
        <f aca="false">-'Opex Consolidés'!F47</f>
        <v>-51379512</v>
      </c>
      <c r="S47" s="48" t="n">
        <v>-2028681</v>
      </c>
      <c r="T47" s="48" t="n">
        <v>-882940</v>
      </c>
      <c r="U47" s="48" t="n">
        <v>-52684470</v>
      </c>
      <c r="V47" s="48" t="n">
        <v>-20358747</v>
      </c>
      <c r="W47" s="48" t="n">
        <v>-16817672</v>
      </c>
      <c r="X47" s="48" t="n">
        <v>-13820921</v>
      </c>
      <c r="Y47" s="48" t="n">
        <v>-16046566</v>
      </c>
      <c r="Z47" s="48" t="n">
        <v>-16046566</v>
      </c>
      <c r="AA47" s="48" t="n">
        <f aca="false">-'Opex Consolidés'!O47</f>
        <v>-39383678</v>
      </c>
      <c r="AB47" s="48" t="n">
        <f aca="false">-'Opex Consolidés'!P47</f>
        <v>-28872361</v>
      </c>
      <c r="AC47" s="48" t="n">
        <v>-33468953</v>
      </c>
      <c r="AD47" s="48" t="n">
        <v>4270680</v>
      </c>
      <c r="AE47" s="48" t="n">
        <v>-18847232</v>
      </c>
      <c r="AF47" s="48" t="n">
        <v>-48734075</v>
      </c>
      <c r="AG47" s="48" t="n">
        <v>-123679295</v>
      </c>
      <c r="AH47" s="48" t="n">
        <v>-32993319</v>
      </c>
      <c r="AI47" s="48" t="n">
        <v>-21365147</v>
      </c>
      <c r="AJ47" s="48" t="n">
        <v>-13158859</v>
      </c>
      <c r="AK47" s="48" t="n">
        <v>-32896245</v>
      </c>
      <c r="AL47" s="48" t="n">
        <v>-21041536</v>
      </c>
      <c r="AM47" s="49"/>
      <c r="AN47" s="49" t="n">
        <f aca="false">'Opex Consolidés'!AB47</f>
        <v>-5589000</v>
      </c>
      <c r="AO47" s="49" t="n">
        <f aca="false">'Opex Consolidés'!AC47</f>
        <v>-6645038</v>
      </c>
      <c r="AP47" s="49" t="n">
        <f aca="false">'Opex Consolidés'!AD47</f>
        <v>-6321756</v>
      </c>
      <c r="AQ47" s="49" t="n">
        <f aca="false">'Opex Consolidés'!AE47</f>
        <v>0</v>
      </c>
      <c r="AR47" s="49" t="n">
        <f aca="false">'Opex Consolidés'!AF47</f>
        <v>0</v>
      </c>
      <c r="AS47" s="49" t="n">
        <f aca="false">'Opex Consolidés'!AG47</f>
        <v>0</v>
      </c>
      <c r="AT47" s="49" t="n">
        <f aca="false">'Opex Consolidés'!AH47</f>
        <v>0</v>
      </c>
      <c r="AU47" s="49" t="n">
        <f aca="false">'Opex Consolidés'!AI47</f>
        <v>0</v>
      </c>
      <c r="AV47" s="49" t="n">
        <f aca="false">'Opex Consolidés'!AJ47</f>
        <v>0</v>
      </c>
      <c r="AW47" s="49" t="n">
        <f aca="false">'Opex Consolidés'!AK47</f>
        <v>0</v>
      </c>
      <c r="AX47" s="49" t="n">
        <f aca="false">'Opex Consolidés'!AL47</f>
        <v>0</v>
      </c>
      <c r="AY47" s="49" t="n">
        <f aca="false">'Opex Consolidés'!AM47</f>
        <v>0</v>
      </c>
      <c r="AZ47" s="25" t="n">
        <f aca="false">SUM(AN47:AY47)</f>
        <v>-18555794</v>
      </c>
      <c r="BA47" s="21"/>
      <c r="BB47" s="3"/>
    </row>
    <row r="48" customFormat="false" ht="12.75" hidden="true" customHeight="false" outlineLevel="0" collapsed="false">
      <c r="B48" s="67" t="s">
        <v>47</v>
      </c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44"/>
      <c r="AZ48" s="70" t="n">
        <f aca="false">SUM(AN48:AR48)</f>
        <v>0</v>
      </c>
      <c r="BA48" s="21"/>
    </row>
    <row r="49" customFormat="false" ht="12.75" hidden="false" customHeight="false" outlineLevel="0" collapsed="false">
      <c r="B49" s="43"/>
      <c r="C49" s="37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44"/>
      <c r="AZ49" s="39" t="n">
        <f aca="false">SUM(AN49:AR49)</f>
        <v>0</v>
      </c>
      <c r="BA49" s="21"/>
    </row>
    <row r="50" s="45" customFormat="true" ht="12.75" hidden="false" customHeight="false" outlineLevel="0" collapsed="false">
      <c r="B50" s="46" t="s">
        <v>48</v>
      </c>
      <c r="C50" s="37"/>
      <c r="D50" s="71" t="n">
        <f aca="false">D41+D47</f>
        <v>59520904.9231822</v>
      </c>
      <c r="E50" s="47" t="n">
        <f aca="false">E41+E47</f>
        <v>48186651.2329364</v>
      </c>
      <c r="F50" s="47" t="n">
        <f aca="false">F41+F47</f>
        <v>209054271.086479</v>
      </c>
      <c r="G50" s="47" t="n">
        <f aca="false">G41+G47</f>
        <v>141346572.077816</v>
      </c>
      <c r="H50" s="47" t="n">
        <f aca="false">H41+H47</f>
        <v>28724026.7254561</v>
      </c>
      <c r="I50" s="47" t="n">
        <f aca="false">I41+I47</f>
        <v>121203400.778312</v>
      </c>
      <c r="J50" s="47" t="n">
        <f aca="false">J41+J47</f>
        <v>195895908.727352</v>
      </c>
      <c r="K50" s="47" t="n">
        <f aca="false">K41+K47</f>
        <v>196654380.873622</v>
      </c>
      <c r="L50" s="47" t="n">
        <f aca="false">L41+L47</f>
        <v>133580616.852134</v>
      </c>
      <c r="M50" s="47" t="n">
        <f aca="false">M41+M47</f>
        <v>129903120.050645</v>
      </c>
      <c r="N50" s="47" t="n">
        <f aca="false">N41+N47</f>
        <v>129903120.050645</v>
      </c>
      <c r="O50" s="47" t="n">
        <f aca="false">O41+O47</f>
        <v>189992077.822244</v>
      </c>
      <c r="P50" s="47" t="n">
        <v>15579579.1014453</v>
      </c>
      <c r="Q50" s="47" t="n">
        <v>8437903.7014219</v>
      </c>
      <c r="R50" s="47" t="n">
        <f aca="false">R41+R47</f>
        <v>24913261.6103661</v>
      </c>
      <c r="S50" s="47" t="n">
        <v>3457991.33815925</v>
      </c>
      <c r="T50" s="47" t="n">
        <v>8575589.35830654</v>
      </c>
      <c r="U50" s="47" t="n">
        <v>-19196958.3704895</v>
      </c>
      <c r="V50" s="47" t="n">
        <v>-19047338.476179</v>
      </c>
      <c r="W50" s="47" t="n">
        <v>-7064639.17955574</v>
      </c>
      <c r="X50" s="47" t="n">
        <v>-7645400.16107737</v>
      </c>
      <c r="Y50" s="47" t="n">
        <v>1238710.03922026</v>
      </c>
      <c r="Z50" s="47" t="n">
        <v>-8302515.44673213</v>
      </c>
      <c r="AA50" s="47" t="n">
        <f aca="false">AA41+AA47</f>
        <v>61092051.6802322</v>
      </c>
      <c r="AB50" s="47" t="n">
        <f aca="false">AB41+AB47</f>
        <v>34476816.1492798</v>
      </c>
      <c r="AC50" s="47" t="n">
        <v>11876386.7404107</v>
      </c>
      <c r="AD50" s="47" t="n">
        <v>44247764.6459428</v>
      </c>
      <c r="AE50" s="47" t="n">
        <v>15354494.6379071</v>
      </c>
      <c r="AF50" s="47" t="n">
        <v>-25453912.6855524</v>
      </c>
      <c r="AG50" s="47" t="n">
        <v>-30206203.6065355</v>
      </c>
      <c r="AH50" s="47" t="n">
        <v>-4836235.96040455</v>
      </c>
      <c r="AI50" s="47" t="n">
        <v>-7377947.09135693</v>
      </c>
      <c r="AJ50" s="47" t="n">
        <v>-1055393.68689263</v>
      </c>
      <c r="AK50" s="47" t="n">
        <v>-3475680.07749623</v>
      </c>
      <c r="AL50" s="47" t="n">
        <v>-19832699.8134486</v>
      </c>
      <c r="AM50" s="25"/>
      <c r="AN50" s="25" t="n">
        <f aca="false">AN41+AN47</f>
        <v>-82867346.3431819</v>
      </c>
      <c r="AO50" s="25" t="n">
        <f aca="false">AO41+AO47</f>
        <v>-83074866.3534016</v>
      </c>
      <c r="AP50" s="25" t="n">
        <f aca="false">AP41+AP47</f>
        <v>-97660411.1792722</v>
      </c>
      <c r="AQ50" s="25" t="n">
        <f aca="false">AQ41+AQ47</f>
        <v>0</v>
      </c>
      <c r="AR50" s="25" t="n">
        <f aca="false">AR41+AR47</f>
        <v>0</v>
      </c>
      <c r="AS50" s="25" t="n">
        <f aca="false">AS41+AS47</f>
        <v>0</v>
      </c>
      <c r="AT50" s="25" t="n">
        <f aca="false">AT41+AT47</f>
        <v>0</v>
      </c>
      <c r="AU50" s="25" t="n">
        <f aca="false">AU41+AU47</f>
        <v>0</v>
      </c>
      <c r="AV50" s="25" t="n">
        <f aca="false">AV41+AV47</f>
        <v>0</v>
      </c>
      <c r="AW50" s="25" t="n">
        <f aca="false">AW41+AW47</f>
        <v>0</v>
      </c>
      <c r="AX50" s="25" t="n">
        <f aca="false">AX41+AX47</f>
        <v>0</v>
      </c>
      <c r="AY50" s="25" t="n">
        <f aca="false">AY41+AY47</f>
        <v>0</v>
      </c>
      <c r="AZ50" s="25" t="n">
        <f aca="false">SUM(AN50:AY50)</f>
        <v>-263602623.875856</v>
      </c>
      <c r="BA50" s="21"/>
      <c r="BB50" s="3"/>
    </row>
    <row r="51" customFormat="false" ht="12.75" hidden="false" customHeight="false" outlineLevel="0" collapsed="false">
      <c r="B51" s="43" t="s">
        <v>49</v>
      </c>
      <c r="C51" s="37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44"/>
      <c r="AZ51" s="62" t="n">
        <f aca="false">SUM(AN51:AX51)</f>
        <v>0</v>
      </c>
      <c r="BA51" s="21"/>
    </row>
    <row r="52" customFormat="false" ht="12.75" hidden="false" customHeight="false" outlineLevel="0" collapsed="false">
      <c r="B52" s="43" t="s">
        <v>50</v>
      </c>
      <c r="C52" s="37"/>
      <c r="D52" s="72" t="n">
        <f aca="false">-D50*0.3</f>
        <v>-17856271.4769546</v>
      </c>
      <c r="E52" s="42" t="n">
        <f aca="false">-E50*0.3</f>
        <v>-14455995.3698809</v>
      </c>
      <c r="F52" s="42" t="n">
        <f aca="false">-F50*0.3</f>
        <v>-62716281.3259437</v>
      </c>
      <c r="G52" s="42" t="n">
        <f aca="false">-G50*0.3</f>
        <v>-42403971.6233447</v>
      </c>
      <c r="H52" s="42" t="n">
        <f aca="false">-H50*0.3</f>
        <v>-8617208.01763684</v>
      </c>
      <c r="I52" s="42" t="n">
        <f aca="false">-I50*0.3</f>
        <v>-36361020.2334937</v>
      </c>
      <c r="J52" s="73" t="n">
        <f aca="false">-J50*0.3</f>
        <v>-58768772.6182057</v>
      </c>
      <c r="K52" s="74" t="n">
        <f aca="false">-K50*0.3</f>
        <v>-58996314.2620866</v>
      </c>
      <c r="L52" s="42" t="n">
        <f aca="false">-L50*0.3</f>
        <v>-40074185.0556403</v>
      </c>
      <c r="M52" s="42" t="n">
        <f aca="false">-M50*0.3</f>
        <v>-38970936.0151934</v>
      </c>
      <c r="N52" s="42" t="n">
        <f aca="false">-N50*0.3</f>
        <v>-38970936.0151934</v>
      </c>
      <c r="O52" s="42" t="n">
        <f aca="false">-O50*0.3</f>
        <v>-56997623.3466733</v>
      </c>
      <c r="P52" s="42" t="n">
        <v>-4673873.73043359</v>
      </c>
      <c r="Q52" s="42" t="n">
        <v>-2531371.11042657</v>
      </c>
      <c r="R52" s="42" t="n">
        <f aca="false">-R50*0.3+(-12.4)</f>
        <v>-7473990.88310984</v>
      </c>
      <c r="S52" s="42" t="n">
        <v>-1037397.40144777</v>
      </c>
      <c r="T52" s="61" t="n">
        <v>-2572676.80749196</v>
      </c>
      <c r="U52" s="61" t="n">
        <v>5759087.51114685</v>
      </c>
      <c r="V52" s="61" t="n">
        <v>5714201.54285371</v>
      </c>
      <c r="W52" s="61" t="n">
        <v>2119391.75386672</v>
      </c>
      <c r="X52" s="61" t="n">
        <v>2293620.04832321</v>
      </c>
      <c r="Y52" s="61" t="n">
        <v>-371613.011766078</v>
      </c>
      <c r="Z52" s="61" t="n">
        <v>2490754.63401964</v>
      </c>
      <c r="AA52" s="61" t="n">
        <f aca="false">-AA50*0.3</f>
        <v>-18327615.5040697</v>
      </c>
      <c r="AB52" s="61" t="n">
        <f aca="false">-AB50*0.3</f>
        <v>-10343044.8447839</v>
      </c>
      <c r="AC52" s="61" t="n">
        <v>-3562916.02212322</v>
      </c>
      <c r="AD52" s="61" t="n">
        <v>-13274329.3937828</v>
      </c>
      <c r="AE52" s="61" t="n">
        <v>-4606348.39137213</v>
      </c>
      <c r="AF52" s="61" t="n">
        <v>7636173.80566572</v>
      </c>
      <c r="AG52" s="61" t="n">
        <v>9061861.08196065</v>
      </c>
      <c r="AH52" s="61" t="n">
        <v>1450870.78812136</v>
      </c>
      <c r="AI52" s="61" t="n">
        <v>2213384.12740708</v>
      </c>
      <c r="AJ52" s="61" t="n">
        <v>316618.106067789</v>
      </c>
      <c r="AK52" s="61" t="n">
        <v>1042704.02324887</v>
      </c>
      <c r="AL52" s="61" t="n">
        <v>5949809.94403459</v>
      </c>
      <c r="AM52" s="62"/>
      <c r="AN52" s="62" t="n">
        <f aca="false">-AN50*0.3</f>
        <v>24860203.9029546</v>
      </c>
      <c r="AO52" s="62" t="n">
        <f aca="false">-AO50*0.3</f>
        <v>24922459.9060205</v>
      </c>
      <c r="AP52" s="62" t="n">
        <f aca="false">-AP50*0.3</f>
        <v>29298123.3537816</v>
      </c>
      <c r="AQ52" s="62" t="n">
        <f aca="false">-AQ50*0.3</f>
        <v>0</v>
      </c>
      <c r="AR52" s="62" t="n">
        <f aca="false">-AR50*0.3</f>
        <v>-0</v>
      </c>
      <c r="AS52" s="62" t="n">
        <f aca="false">-AS50*0.3</f>
        <v>-0</v>
      </c>
      <c r="AT52" s="62" t="n">
        <f aca="false">-AT50*0.3</f>
        <v>-0</v>
      </c>
      <c r="AU52" s="62" t="n">
        <f aca="false">-AU50*0.3</f>
        <v>-0</v>
      </c>
      <c r="AV52" s="62" t="n">
        <f aca="false">-AV50*0.3</f>
        <v>-0</v>
      </c>
      <c r="AW52" s="62" t="n">
        <f aca="false">-AW50*0.3</f>
        <v>-0</v>
      </c>
      <c r="AX52" s="62" t="n">
        <f aca="false">-AX50*0.3</f>
        <v>-0</v>
      </c>
      <c r="AY52" s="62" t="n">
        <f aca="false">-AY50*0.3</f>
        <v>-0</v>
      </c>
      <c r="AZ52" s="62" t="n">
        <f aca="false">SUM(AN52:AY52)</f>
        <v>79080787.1627567</v>
      </c>
      <c r="BA52" s="21"/>
    </row>
    <row r="53" customFormat="false" ht="3.75" hidden="false" customHeight="true" outlineLevel="0" collapsed="false">
      <c r="B53" s="75"/>
      <c r="C53" s="3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44"/>
      <c r="AZ53" s="70"/>
      <c r="BA53" s="21"/>
    </row>
    <row r="54" customFormat="false" ht="12" hidden="false" customHeight="true" outlineLevel="0" collapsed="false">
      <c r="B54" s="77" t="s">
        <v>51</v>
      </c>
      <c r="C54" s="18"/>
      <c r="D54" s="78" t="n">
        <f aca="false">D50+D52+D51</f>
        <v>41664633.4462275</v>
      </c>
      <c r="E54" s="78" t="n">
        <f aca="false">E50+E52+E51</f>
        <v>33730655.8630555</v>
      </c>
      <c r="F54" s="78" t="n">
        <f aca="false">F50+F52+F51</f>
        <v>146337989.760535</v>
      </c>
      <c r="G54" s="78" t="n">
        <f aca="false">G50+G52+G51</f>
        <v>98942600.4544711</v>
      </c>
      <c r="H54" s="78" t="n">
        <f aca="false">H50+H52+H51</f>
        <v>20106818.7078193</v>
      </c>
      <c r="I54" s="78" t="n">
        <f aca="false">I50+I52+I51</f>
        <v>84842380.5448186</v>
      </c>
      <c r="J54" s="78" t="n">
        <f aca="false">J50+J52+J51</f>
        <v>137127136.109147</v>
      </c>
      <c r="K54" s="78" t="n">
        <f aca="false">K50+K52+K51</f>
        <v>137658066.611535</v>
      </c>
      <c r="L54" s="78" t="n">
        <f aca="false">L50+L52+L51</f>
        <v>93506431.796494</v>
      </c>
      <c r="M54" s="78" t="n">
        <f aca="false">M50+M52+M51</f>
        <v>90932184.0354512</v>
      </c>
      <c r="N54" s="78" t="n">
        <f aca="false">N50+N52+N51</f>
        <v>90932184.0354512</v>
      </c>
      <c r="O54" s="78" t="n">
        <f aca="false">O50+O52+O51</f>
        <v>132994454.475571</v>
      </c>
      <c r="P54" s="79" t="n">
        <v>10905705.3710117</v>
      </c>
      <c r="Q54" s="79" t="n">
        <v>5906532.59099533</v>
      </c>
      <c r="R54" s="79" t="n">
        <f aca="false">R50+R52+R51</f>
        <v>17439270.7272563</v>
      </c>
      <c r="S54" s="79" t="n">
        <v>2420593.93671147</v>
      </c>
      <c r="T54" s="79" t="n">
        <v>6002912.55081458</v>
      </c>
      <c r="U54" s="79" t="n">
        <v>-13437870.8593427</v>
      </c>
      <c r="V54" s="79" t="n">
        <v>-13333136.9333253</v>
      </c>
      <c r="W54" s="79" t="n">
        <v>-4945247.42568902</v>
      </c>
      <c r="X54" s="79" t="n">
        <v>-5351780.11275416</v>
      </c>
      <c r="Y54" s="79" t="n">
        <v>867097.027454181</v>
      </c>
      <c r="Z54" s="79" t="n">
        <v>-5811760.81271249</v>
      </c>
      <c r="AA54" s="79" t="n">
        <f aca="false">AA50+AA52+AA51</f>
        <v>42764436.1761625</v>
      </c>
      <c r="AB54" s="79" t="n">
        <f aca="false">AB50+AB52+AB51</f>
        <v>24133771.3044958</v>
      </c>
      <c r="AC54" s="79" t="n">
        <v>8313470.71828752</v>
      </c>
      <c r="AD54" s="79" t="n">
        <v>30973435.25216</v>
      </c>
      <c r="AE54" s="79" t="n">
        <v>10748146.246535</v>
      </c>
      <c r="AF54" s="79" t="n">
        <v>-17817738.8798867</v>
      </c>
      <c r="AG54" s="79" t="n">
        <v>-21144342.5245748</v>
      </c>
      <c r="AH54" s="79" t="n">
        <v>-3385365.17228318</v>
      </c>
      <c r="AI54" s="79" t="n">
        <v>-5164562.96394985</v>
      </c>
      <c r="AJ54" s="79" t="n">
        <v>-738775.58082484</v>
      </c>
      <c r="AK54" s="79" t="n">
        <v>-2432976.05424736</v>
      </c>
      <c r="AL54" s="79" t="n">
        <v>-13882889.869414</v>
      </c>
      <c r="AM54" s="80"/>
      <c r="AN54" s="80" t="n">
        <f aca="false">AN50+AN52+AN51</f>
        <v>-58007142.4402273</v>
      </c>
      <c r="AO54" s="80" t="n">
        <f aca="false">AO50+AO52+AO51</f>
        <v>-58152406.4473811</v>
      </c>
      <c r="AP54" s="80" t="n">
        <f aca="false">AP50+AP52+AP51</f>
        <v>-68362287.8254905</v>
      </c>
      <c r="AQ54" s="80" t="n">
        <f aca="false">AQ50+AQ52+AQ51</f>
        <v>0</v>
      </c>
      <c r="AR54" s="80" t="n">
        <f aca="false">AR50+AR52+AR51</f>
        <v>0</v>
      </c>
      <c r="AS54" s="80" t="n">
        <f aca="false">AS50+AS52+AS51</f>
        <v>0</v>
      </c>
      <c r="AT54" s="80" t="n">
        <f aca="false">AT50+AT52+AT51</f>
        <v>0</v>
      </c>
      <c r="AU54" s="80" t="n">
        <f aca="false">AU50+AU52+AU51</f>
        <v>0</v>
      </c>
      <c r="AV54" s="80" t="n">
        <f aca="false">AV50+AV52+AV51</f>
        <v>0</v>
      </c>
      <c r="AW54" s="80" t="n">
        <f aca="false">AW50+AW52+AW51</f>
        <v>0</v>
      </c>
      <c r="AX54" s="80" t="n">
        <f aca="false">AX50+AX52+AX51</f>
        <v>0</v>
      </c>
      <c r="AY54" s="80" t="n">
        <f aca="false">AY50+AY52+AY51</f>
        <v>0</v>
      </c>
      <c r="AZ54" s="80" t="n">
        <f aca="false">SUM(AN54:AY54)</f>
        <v>-184521836.713099</v>
      </c>
      <c r="BA54" s="21"/>
    </row>
    <row r="55" s="2" customFormat="true" ht="3.75" hidden="false" customHeight="true" outlineLevel="0" collapsed="false">
      <c r="B55" s="50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81"/>
      <c r="AZ55" s="70"/>
      <c r="BA55" s="21"/>
      <c r="BB55" s="3"/>
    </row>
    <row r="56" s="82" customFormat="true" ht="12" hidden="true" customHeight="true" outlineLevel="0" collapsed="false">
      <c r="B56" s="59"/>
      <c r="C56" s="53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83"/>
      <c r="AZ56" s="65" t="n">
        <f aca="false">SUM(AB56:AJ56)</f>
        <v>0</v>
      </c>
      <c r="BB56" s="3"/>
    </row>
    <row r="57" s="84" customFormat="true" ht="4.5" hidden="false" customHeight="true" outlineLevel="0" collapsed="false">
      <c r="B57" s="85"/>
      <c r="C57" s="21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8"/>
      <c r="AZ57" s="87" t="n">
        <f aca="false">SUM(AB57:AJ57)</f>
        <v>0</v>
      </c>
      <c r="BB57" s="3"/>
    </row>
    <row r="58" s="84" customFormat="true" ht="4.5" hidden="false" customHeight="true" outlineLevel="0" collapsed="false">
      <c r="B58" s="21"/>
      <c r="C58" s="21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90"/>
      <c r="AN58" s="90"/>
      <c r="AO58" s="90"/>
      <c r="AP58" s="90"/>
      <c r="AQ58" s="90"/>
      <c r="AR58" s="90"/>
      <c r="AS58" s="90"/>
      <c r="AT58" s="90"/>
      <c r="AU58" s="90"/>
      <c r="AV58" s="90"/>
      <c r="AW58" s="90"/>
      <c r="AX58" s="90"/>
      <c r="AY58" s="88"/>
      <c r="AZ58" s="65"/>
      <c r="BB58" s="3"/>
    </row>
    <row r="59" s="84" customFormat="true" ht="12.75" hidden="false" customHeight="false" outlineLevel="0" collapsed="false">
      <c r="B59" s="21"/>
      <c r="C59" s="21"/>
      <c r="D59" s="51"/>
      <c r="E59" s="51"/>
      <c r="F59" s="51"/>
      <c r="G59" s="51"/>
      <c r="H59" s="5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91"/>
      <c r="AH59" s="91"/>
      <c r="AI59" s="91"/>
      <c r="AJ59" s="91"/>
      <c r="AK59" s="91"/>
      <c r="AL59" s="91"/>
      <c r="AM59" s="92"/>
      <c r="AN59" s="92"/>
      <c r="AO59" s="92"/>
      <c r="AP59" s="92"/>
      <c r="AQ59" s="92"/>
      <c r="AR59" s="92"/>
      <c r="AS59" s="92"/>
      <c r="AT59" s="92"/>
      <c r="AU59" s="92"/>
      <c r="AV59" s="92"/>
      <c r="AW59" s="92"/>
      <c r="AX59" s="92"/>
      <c r="AY59" s="88"/>
      <c r="AZ59" s="65"/>
      <c r="BB59" s="3"/>
    </row>
    <row r="60" s="84" customFormat="true" ht="12" hidden="false" customHeight="true" outlineLevel="0" collapsed="false">
      <c r="B60" s="21" t="s">
        <v>52</v>
      </c>
      <c r="C60" s="21"/>
      <c r="D60" s="93" t="n">
        <v>-31955748.95044</v>
      </c>
      <c r="E60" s="93" t="n">
        <v>-30457129.6406857</v>
      </c>
      <c r="F60" s="93" t="n">
        <v>-28946641.7871433</v>
      </c>
      <c r="G60" s="93" t="n">
        <v>-30579573.7958064</v>
      </c>
      <c r="H60" s="93" t="n">
        <v>-35822185.148166</v>
      </c>
      <c r="I60" s="94" t="n">
        <f aca="false">+'[15]YTD Juin'!$J$555*1000000</f>
        <v>-36005367.0953099</v>
      </c>
      <c r="J60" s="94" t="n">
        <f aca="false">'[10]BG Mois'!$J$546*1000000</f>
        <v>0</v>
      </c>
      <c r="K60" s="94" t="n">
        <f aca="false">+'[11]BG Mois'!$J$545*1000000</f>
        <v>-6168398.05137786</v>
      </c>
      <c r="L60" s="94" t="n">
        <v>-6168398.05137786</v>
      </c>
      <c r="M60" s="94" t="n">
        <v>-38248686.8229776</v>
      </c>
      <c r="N60" s="94" t="n">
        <v>-38248686.8229776</v>
      </c>
      <c r="O60" s="94" t="n">
        <f aca="false">+'[16]BG Mois'!$J$546*1000000</f>
        <v>-6168398.05137786</v>
      </c>
      <c r="P60" s="94" t="n">
        <v>-29519644.7721768</v>
      </c>
      <c r="Q60" s="94" t="n">
        <v>-30359518.0948193</v>
      </c>
      <c r="R60" s="94" t="n">
        <v>-30027233.782006</v>
      </c>
      <c r="S60" s="94" t="n">
        <v>-29509338.6503438</v>
      </c>
      <c r="T60" s="94" t="n">
        <v>-29380215.2263275</v>
      </c>
      <c r="U60" s="94" t="n">
        <v>-29474972.5512545</v>
      </c>
      <c r="V60" s="94" t="n">
        <v>-29001301.253075</v>
      </c>
      <c r="W60" s="94" t="n">
        <v>-28833038.5525827</v>
      </c>
      <c r="X60" s="94" t="n">
        <v>-28395624.1302352</v>
      </c>
      <c r="Y60" s="94" t="n">
        <v>-28047096.5260686</v>
      </c>
      <c r="Z60" s="94" t="n">
        <v>-27579611.6081519</v>
      </c>
      <c r="AA60" s="94" t="n">
        <v>-27524231.0773186</v>
      </c>
      <c r="AB60" s="94" t="n">
        <v>-26411560.2044019</v>
      </c>
      <c r="AC60" s="94" t="n">
        <v>-25968199.2094019</v>
      </c>
      <c r="AD60" s="94" t="n">
        <v>-25617816.9000008</v>
      </c>
      <c r="AE60" s="94" t="n">
        <v>-26691890.5041674</v>
      </c>
      <c r="AF60" s="94" t="n">
        <v>-25153144.4237579</v>
      </c>
      <c r="AG60" s="94" t="n">
        <v>-25037226.9408719</v>
      </c>
      <c r="AH60" s="94" t="n">
        <v>-24720178.8908719</v>
      </c>
      <c r="AI60" s="94" t="n">
        <v>-25570787.6179553</v>
      </c>
      <c r="AJ60" s="94" t="n">
        <v>-26388545.8096219</v>
      </c>
      <c r="AK60" s="94" t="n">
        <v>-20553675.7963565</v>
      </c>
      <c r="AL60" s="94" t="n">
        <v>-20094292.1284398</v>
      </c>
      <c r="AM60" s="95"/>
      <c r="AN60" s="95" t="n">
        <v>-43854740.1408009</v>
      </c>
      <c r="AO60" s="95" t="n">
        <v>-43943624.1510206</v>
      </c>
      <c r="AP60" s="95" t="n">
        <v>-43955809.9768912</v>
      </c>
      <c r="AQ60" s="96"/>
      <c r="AR60" s="95"/>
      <c r="AS60" s="95"/>
      <c r="AT60" s="95"/>
      <c r="AU60" s="95"/>
      <c r="AV60" s="95"/>
      <c r="AW60" s="95"/>
      <c r="AX60" s="95"/>
      <c r="AY60" s="95"/>
      <c r="AZ60" s="39" t="n">
        <f aca="false">SUM(AN60:AY60)</f>
        <v>-131754174.268713</v>
      </c>
      <c r="BB60" s="3"/>
    </row>
    <row r="61" s="84" customFormat="true" ht="12.75" hidden="false" customHeight="true" outlineLevel="0" collapsed="false">
      <c r="B61" s="21" t="s">
        <v>53</v>
      </c>
      <c r="C61" s="21"/>
      <c r="D61" s="93" t="n">
        <v>-6168398.05137786</v>
      </c>
      <c r="E61" s="93" t="n">
        <v>-6168398.05137786</v>
      </c>
      <c r="F61" s="93" t="n">
        <v>-6168398.05137786</v>
      </c>
      <c r="G61" s="93" t="n">
        <v>-6168398.05137786</v>
      </c>
      <c r="H61" s="93" t="n">
        <v>-6168398.05137786</v>
      </c>
      <c r="I61" s="93" t="n">
        <f aca="false">+'[15]YTD Juin'!$J$553*1000000</f>
        <v>-6168398.05137786</v>
      </c>
      <c r="J61" s="93" t="n">
        <f aca="false">'[10]BG Mois'!$J$544*1000000</f>
        <v>31253086</v>
      </c>
      <c r="K61" s="93" t="n">
        <f aca="false">+'[11]BG Mois'!$J$543*1000000</f>
        <v>0</v>
      </c>
      <c r="L61" s="93" t="n">
        <v>0</v>
      </c>
      <c r="M61" s="93" t="n">
        <v>-6168398.05137786</v>
      </c>
      <c r="N61" s="93" t="n">
        <v>-6168398.05137786</v>
      </c>
      <c r="O61" s="93" t="n">
        <v>-6168398.05137786</v>
      </c>
      <c r="P61" s="93" t="n">
        <v>-6168398.05137786</v>
      </c>
      <c r="Q61" s="97" t="n">
        <v>-12321286.1287588</v>
      </c>
      <c r="R61" s="97" t="n">
        <v>-12628930.5326279</v>
      </c>
      <c r="S61" s="97" t="n">
        <v>-12936574.9364969</v>
      </c>
      <c r="T61" s="97" t="n">
        <v>-13244219.340366</v>
      </c>
      <c r="U61" s="94" t="n">
        <v>-13551863.744235</v>
      </c>
      <c r="V61" s="94" t="n">
        <v>-13859508.1481041</v>
      </c>
      <c r="W61" s="94" t="n">
        <v>-14167152.5519731</v>
      </c>
      <c r="X61" s="94" t="n">
        <v>-14474796.9558421</v>
      </c>
      <c r="Y61" s="94" t="n">
        <v>-14782441.3597112</v>
      </c>
      <c r="Z61" s="94" t="n">
        <v>-15090085.7635802</v>
      </c>
      <c r="AA61" s="94" t="n">
        <v>-15397730.1674493</v>
      </c>
      <c r="AB61" s="94" t="n">
        <v>-15705374.5713183</v>
      </c>
      <c r="AC61" s="94" t="n">
        <v>-16013018.9751874</v>
      </c>
      <c r="AD61" s="94" t="n">
        <v>-16320663.3790564</v>
      </c>
      <c r="AE61" s="94" t="n">
        <v>-16628307.7829255</v>
      </c>
      <c r="AF61" s="94" t="n">
        <v>-16935952.1867945</v>
      </c>
      <c r="AG61" s="94" t="n">
        <v>-17243596.5906636</v>
      </c>
      <c r="AH61" s="94" t="n">
        <v>-17551240.9945326</v>
      </c>
      <c r="AI61" s="94" t="n">
        <v>-17858885.3984017</v>
      </c>
      <c r="AJ61" s="94" t="n">
        <v>-18166529.8022707</v>
      </c>
      <c r="AK61" s="94" t="n">
        <v>-18474174.2061398</v>
      </c>
      <c r="AL61" s="94" t="n">
        <v>-18781818.6100088</v>
      </c>
      <c r="AM61" s="95"/>
      <c r="AN61" s="95" t="n">
        <v>-26113453.127381</v>
      </c>
      <c r="AO61" s="95" t="n">
        <v>-26113453.127381</v>
      </c>
      <c r="AP61" s="95" t="n">
        <v>-26113453.127381</v>
      </c>
      <c r="AQ61" s="95"/>
      <c r="AR61" s="95"/>
      <c r="AS61" s="95"/>
      <c r="AT61" s="95"/>
      <c r="AU61" s="95"/>
      <c r="AV61" s="95"/>
      <c r="AW61" s="95"/>
      <c r="AX61" s="95"/>
      <c r="AY61" s="95"/>
      <c r="AZ61" s="39" t="n">
        <f aca="false">SUM(AN61:AY61)</f>
        <v>-78340359.3821429</v>
      </c>
      <c r="BB61" s="3"/>
    </row>
    <row r="62" s="84" customFormat="true" ht="12.75" hidden="false" customHeight="false" outlineLevel="0" collapsed="false">
      <c r="B62" s="21" t="s">
        <v>54</v>
      </c>
      <c r="C62" s="21"/>
      <c r="D62" s="93" t="n">
        <v>16602500</v>
      </c>
      <c r="E62" s="93" t="n">
        <v>16602500</v>
      </c>
      <c r="F62" s="93" t="n">
        <v>16602500</v>
      </c>
      <c r="G62" s="93" t="n">
        <v>16602500</v>
      </c>
      <c r="H62" s="93" t="n">
        <v>8332500</v>
      </c>
      <c r="I62" s="93" t="n">
        <f aca="false">+'[15]YTD Mai'!$J$556*1000000</f>
        <v>8332500</v>
      </c>
      <c r="J62" s="93" t="n">
        <f aca="false">'[10]BG Mois'!$J$548</f>
        <v>-261.539034872155</v>
      </c>
      <c r="K62" s="93" t="n">
        <f aca="false">+'[11]BG Mois'!$J$546*1000000</f>
        <v>29542479</v>
      </c>
      <c r="L62" s="93" t="n">
        <v>29542479</v>
      </c>
      <c r="M62" s="93" t="n">
        <v>0</v>
      </c>
      <c r="N62" s="93" t="n">
        <v>0</v>
      </c>
      <c r="O62" s="93" t="n">
        <f aca="false">+'[14]BG Mois'!$J$543*1000000</f>
        <v>0</v>
      </c>
      <c r="P62" s="93" t="n">
        <v>0</v>
      </c>
      <c r="Q62" s="93" t="n">
        <v>0</v>
      </c>
      <c r="R62" s="93" t="n">
        <v>0</v>
      </c>
      <c r="S62" s="93" t="n">
        <v>0</v>
      </c>
      <c r="T62" s="93" t="n">
        <v>0</v>
      </c>
      <c r="U62" s="93" t="n">
        <v>0</v>
      </c>
      <c r="V62" s="93" t="n">
        <v>0</v>
      </c>
      <c r="W62" s="93" t="n">
        <v>0</v>
      </c>
      <c r="X62" s="93" t="n">
        <v>0</v>
      </c>
      <c r="Y62" s="93" t="n">
        <v>0</v>
      </c>
      <c r="Z62" s="93" t="n">
        <v>0</v>
      </c>
      <c r="AA62" s="93" t="n">
        <v>0</v>
      </c>
      <c r="AB62" s="93" t="n">
        <v>0</v>
      </c>
      <c r="AC62" s="93" t="n">
        <v>0</v>
      </c>
      <c r="AD62" s="93" t="n">
        <v>0</v>
      </c>
      <c r="AE62" s="93" t="n">
        <v>0</v>
      </c>
      <c r="AF62" s="93" t="n">
        <v>0</v>
      </c>
      <c r="AG62" s="93" t="n">
        <v>0</v>
      </c>
      <c r="AH62" s="93" t="n">
        <v>0</v>
      </c>
      <c r="AI62" s="93" t="n">
        <v>0</v>
      </c>
      <c r="AJ62" s="93" t="n">
        <v>0</v>
      </c>
      <c r="AK62" s="93" t="n">
        <v>0</v>
      </c>
      <c r="AL62" s="93" t="n">
        <v>0</v>
      </c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39" t="n">
        <f aca="false">SUM(AN62:AY62)</f>
        <v>0</v>
      </c>
      <c r="BB62" s="3"/>
    </row>
    <row r="63" s="84" customFormat="true" ht="12.75" hidden="false" customHeight="false" outlineLevel="0" collapsed="false">
      <c r="B63" s="21" t="s">
        <v>55</v>
      </c>
      <c r="C63" s="21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 t="n">
        <v>0</v>
      </c>
      <c r="Q63" s="93" t="n">
        <v>0</v>
      </c>
      <c r="R63" s="93" t="n">
        <v>-211609345</v>
      </c>
      <c r="S63" s="93" t="n">
        <v>-82201317</v>
      </c>
      <c r="T63" s="93" t="n">
        <v>-4859371</v>
      </c>
      <c r="U63" s="94" t="n">
        <v>-146065508</v>
      </c>
      <c r="V63" s="94" t="n">
        <v>-78563730</v>
      </c>
      <c r="W63" s="94" t="n">
        <v>-79096121</v>
      </c>
      <c r="X63" s="94" t="n">
        <v>-76544616</v>
      </c>
      <c r="Y63" s="94" t="n">
        <v>-76544616</v>
      </c>
      <c r="Z63" s="94" t="n">
        <v>-76544616</v>
      </c>
      <c r="AA63" s="94" t="n">
        <v>-98314861</v>
      </c>
      <c r="AB63" s="94" t="n">
        <v>-130952160</v>
      </c>
      <c r="AC63" s="94" t="n">
        <v>-158225345</v>
      </c>
      <c r="AD63" s="94" t="n">
        <v>43913441</v>
      </c>
      <c r="AE63" s="94" t="n">
        <v>-83492346</v>
      </c>
      <c r="AF63" s="94" t="n">
        <v>-84661941</v>
      </c>
      <c r="AG63" s="94" t="n">
        <v>-150270388</v>
      </c>
      <c r="AH63" s="94" t="n">
        <v>-94235710</v>
      </c>
      <c r="AI63" s="94" t="n">
        <v>-93680948</v>
      </c>
      <c r="AJ63" s="94" t="n">
        <v>-89900600</v>
      </c>
      <c r="AK63" s="94" t="n">
        <v>-94465258</v>
      </c>
      <c r="AL63" s="94" t="n">
        <v>-92738870</v>
      </c>
      <c r="AM63" s="95"/>
      <c r="AN63" s="95" t="n">
        <f aca="false">+'[17]Impacts IFRS 16'!$C$3</f>
        <v>-64572302</v>
      </c>
      <c r="AO63" s="95" t="n">
        <f aca="false">+'[18]Impacts IFRS 16'!$D$3</f>
        <v>-60884614</v>
      </c>
      <c r="AP63" s="95" t="n">
        <f aca="false">'[19]Impacts IFRS 16'!$E$3</f>
        <v>-62423614</v>
      </c>
      <c r="AQ63" s="95"/>
      <c r="AR63" s="95"/>
      <c r="AS63" s="95"/>
      <c r="AT63" s="95"/>
      <c r="AU63" s="95"/>
      <c r="AV63" s="95"/>
      <c r="AW63" s="95"/>
      <c r="AX63" s="95"/>
      <c r="AY63" s="95"/>
      <c r="AZ63" s="39" t="n">
        <f aca="false">SUM(AN63:AY63)</f>
        <v>-187880530</v>
      </c>
      <c r="BA63" s="84" t="s">
        <v>56</v>
      </c>
      <c r="BB63" s="3"/>
    </row>
    <row r="64" s="84" customFormat="true" ht="12.75" hidden="false" customHeight="false" outlineLevel="0" collapsed="false">
      <c r="B64" s="99" t="s">
        <v>57</v>
      </c>
      <c r="C64" s="100"/>
      <c r="D64" s="101" t="n">
        <v>0</v>
      </c>
      <c r="E64" s="101" t="n">
        <v>0</v>
      </c>
      <c r="F64" s="101" t="n">
        <v>0</v>
      </c>
      <c r="G64" s="101" t="n">
        <f aca="false">G54-SUM('[20]YTD Avril'!$J$551:$J$556)*1000000</f>
        <v>65234045.1</v>
      </c>
      <c r="H64" s="101" t="n">
        <v>0</v>
      </c>
      <c r="I64" s="101" t="n">
        <f aca="false">I54-SUM('[15]YTD Juin'!$J$552:$J$557)*1000000</f>
        <v>72764068.3</v>
      </c>
      <c r="J64" s="101"/>
      <c r="K64" s="101"/>
      <c r="L64" s="102" t="n">
        <v>0</v>
      </c>
      <c r="M64" s="102" t="n">
        <v>0</v>
      </c>
      <c r="N64" s="102" t="n">
        <v>3.02679836750031E-009</v>
      </c>
      <c r="O64" s="102"/>
      <c r="P64" s="102" t="n">
        <v>0</v>
      </c>
      <c r="Q64" s="102" t="n">
        <f aca="false">Q54-SUM('[21]BG Mois'!$J$553:$J$558)*1000000</f>
        <v>0</v>
      </c>
      <c r="R64" s="102" t="n">
        <v>1.11758708953857E-008</v>
      </c>
      <c r="S64" s="102" t="n">
        <v>-1.62981450557709E-008</v>
      </c>
      <c r="T64" s="102" t="n">
        <v>-9.31322574615479E-009</v>
      </c>
      <c r="U64" s="102" t="n">
        <v>-2.60770320892334E-008</v>
      </c>
      <c r="V64" s="102" t="n">
        <v>0</v>
      </c>
      <c r="W64" s="102" t="n">
        <v>1.15463194561016E-014</v>
      </c>
      <c r="X64" s="102" t="n">
        <v>0</v>
      </c>
      <c r="Y64" s="102" t="n">
        <v>0.0408832002976307</v>
      </c>
      <c r="Z64" s="103" t="n">
        <v>0</v>
      </c>
      <c r="AA64" s="103" t="n">
        <v>0</v>
      </c>
      <c r="AB64" s="103" t="n">
        <f aca="false">AB54/1000000-SUM('[22]BG Mois'!$J$404:$J$412)</f>
        <v>39.0520893</v>
      </c>
      <c r="AC64" s="103" t="n">
        <v>1.77635683940025E-014</v>
      </c>
      <c r="AD64" s="103" t="n">
        <v>0</v>
      </c>
      <c r="AE64" s="103" t="n">
        <v>0</v>
      </c>
      <c r="AF64" s="103" t="n">
        <v>0</v>
      </c>
      <c r="AG64" s="103" t="n">
        <v>1.20792265079217E-013</v>
      </c>
      <c r="AH64" s="103" t="n">
        <v>-9.45910016980633E-014</v>
      </c>
      <c r="AI64" s="103" t="n">
        <v>3.73034936274053E-014</v>
      </c>
      <c r="AJ64" s="103" t="n">
        <v>6.67244037799719E-014</v>
      </c>
      <c r="AK64" s="103" t="n">
        <v>5.72875080706581E-014</v>
      </c>
      <c r="AL64" s="103" t="n">
        <v>-1.47437617670221E-013</v>
      </c>
      <c r="AM64" s="103" t="n">
        <v>8.17124146124115E-014</v>
      </c>
      <c r="AN64" s="103"/>
      <c r="AO64" s="103"/>
      <c r="AP64" s="103"/>
      <c r="AQ64" s="103"/>
      <c r="AR64" s="103"/>
      <c r="AS64" s="103"/>
      <c r="AT64" s="103"/>
      <c r="AU64" s="103"/>
      <c r="AV64" s="103"/>
      <c r="AW64" s="103"/>
      <c r="AX64" s="103"/>
      <c r="AZ64" s="53"/>
      <c r="BB64" s="3"/>
    </row>
    <row r="65" s="84" customFormat="true" ht="12.75" hidden="false" customHeight="fals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Z65" s="53"/>
      <c r="BB65" s="104"/>
    </row>
    <row r="66" s="84" customFormat="true" ht="12.75" hidden="false" customHeight="fals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Z66" s="53"/>
      <c r="BB66" s="3"/>
    </row>
    <row r="67" s="84" customFormat="true" ht="12.75" hidden="false" customHeight="fals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Z67" s="53"/>
      <c r="BB67" s="3"/>
    </row>
    <row r="68" s="84" customFormat="true" ht="12.75" hidden="false" customHeight="fals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Z68" s="53"/>
      <c r="BB68" s="3"/>
    </row>
    <row r="69" s="84" customFormat="true" ht="12.75" hidden="false" customHeight="fals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Z69" s="53"/>
      <c r="BB69" s="3"/>
    </row>
    <row r="70" s="84" customFormat="true" ht="12.75" hidden="false" customHeight="fals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Z70" s="53"/>
      <c r="BB70" s="3"/>
    </row>
    <row r="71" s="84" customFormat="true" ht="12.75" hidden="false" customHeight="fals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Z71" s="53"/>
      <c r="BB71" s="3"/>
    </row>
    <row r="72" s="84" customFormat="true" ht="12.75" hidden="false" customHeight="fals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Z72" s="53"/>
      <c r="BB72" s="3"/>
    </row>
    <row r="73" s="84" customFormat="true" ht="12.75" hidden="false" customHeight="fals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Z73" s="53"/>
      <c r="BB73" s="3"/>
    </row>
    <row r="74" s="84" customFormat="true" ht="12.75" hidden="false" customHeight="fals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Z74" s="53"/>
      <c r="BB74" s="3"/>
    </row>
    <row r="75" s="84" customFormat="true" ht="12.75" hidden="false" customHeight="fals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Z75" s="53"/>
      <c r="BB75" s="3"/>
    </row>
    <row r="76" s="84" customFormat="true" ht="12.75" hidden="false" customHeight="fals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Z76" s="53"/>
      <c r="BB76" s="3"/>
    </row>
    <row r="77" s="84" customFormat="true" ht="12.75" hidden="false" customHeight="fals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Z77" s="53"/>
      <c r="BB77" s="3"/>
    </row>
    <row r="78" s="84" customFormat="true" ht="12.75" hidden="false" customHeight="fals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Z78" s="53"/>
      <c r="BB78" s="3"/>
    </row>
    <row r="79" s="84" customFormat="true" ht="12.75" hidden="false" customHeight="fals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Z79" s="53"/>
      <c r="BB79" s="3"/>
    </row>
    <row r="80" s="84" customFormat="true" ht="12.75" hidden="false" customHeight="fals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Z80" s="53"/>
      <c r="BB80" s="3"/>
    </row>
    <row r="81" s="84" customFormat="true" ht="12.75" hidden="false" customHeight="fals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Z81" s="53"/>
      <c r="BB81" s="3"/>
    </row>
    <row r="82" s="84" customFormat="true" ht="12.75" hidden="false" customHeight="fals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Z82" s="53"/>
      <c r="BB82" s="3"/>
    </row>
    <row r="83" s="84" customFormat="true" ht="12.75" hidden="false" customHeight="fals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Z83" s="53"/>
      <c r="BB83" s="3"/>
    </row>
    <row r="84" s="84" customFormat="true" ht="12.75" hidden="false" customHeight="fals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Z84" s="53"/>
      <c r="BB84" s="3"/>
    </row>
    <row r="85" s="84" customFormat="true" ht="12.75" hidden="false" customHeight="fals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Z85" s="53"/>
      <c r="BB85" s="3"/>
    </row>
    <row r="86" s="84" customFormat="true" ht="12.75" hidden="false" customHeight="false" outlineLevel="0" collapsed="false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Z86" s="53"/>
      <c r="BB86" s="3"/>
    </row>
    <row r="87" s="84" customFormat="true" ht="25.5" hidden="true" customHeight="true" outlineLevel="0" collapsed="false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BB87" s="3"/>
    </row>
    <row r="88" s="105" customFormat="true" ht="23.25" hidden="true" customHeight="true" outlineLevel="0" collapsed="false">
      <c r="B88" s="105" t="s">
        <v>58</v>
      </c>
      <c r="D88" s="105" t="n">
        <v>538819050</v>
      </c>
      <c r="E88" s="105" t="n">
        <v>538819050</v>
      </c>
      <c r="BB88" s="3"/>
    </row>
    <row r="89" s="105" customFormat="true" ht="29.25" hidden="true" customHeight="true" outlineLevel="0" collapsed="false">
      <c r="B89" s="105" t="s">
        <v>59</v>
      </c>
      <c r="D89" s="105" t="n">
        <v>-109581559</v>
      </c>
      <c r="E89" s="105" t="n">
        <v>-109581559</v>
      </c>
      <c r="BB89" s="3"/>
    </row>
    <row r="90" s="105" customFormat="true" ht="12.75" hidden="true" customHeight="true" outlineLevel="0" collapsed="false">
      <c r="BB90" s="3"/>
    </row>
    <row r="91" s="105" customFormat="true" ht="12.75" hidden="true" customHeight="true" outlineLevel="0" collapsed="false">
      <c r="BB91" s="3"/>
    </row>
    <row r="92" s="105" customFormat="true" ht="12.75" hidden="true" customHeight="true" outlineLevel="0" collapsed="false">
      <c r="B92" s="105" t="s">
        <v>60</v>
      </c>
      <c r="D92" s="105" t="n">
        <v>385261401</v>
      </c>
      <c r="E92" s="105" t="n">
        <v>385261401</v>
      </c>
      <c r="BB92" s="3"/>
    </row>
    <row r="93" s="105" customFormat="true" ht="12.75" hidden="true" customHeight="true" outlineLevel="0" collapsed="false">
      <c r="BB93" s="3"/>
    </row>
    <row r="94" s="105" customFormat="true" ht="12.75" hidden="true" customHeight="true" outlineLevel="0" collapsed="false">
      <c r="B94" s="105" t="s">
        <v>61</v>
      </c>
      <c r="D94" s="105" t="n">
        <v>-490152329</v>
      </c>
      <c r="E94" s="105" t="n">
        <v>-490152329</v>
      </c>
      <c r="BB94" s="3"/>
    </row>
    <row r="95" s="105" customFormat="true" ht="12.75" hidden="true" customHeight="true" outlineLevel="0" collapsed="false">
      <c r="BB95" s="3"/>
    </row>
    <row r="96" s="105" customFormat="true" ht="12.75" hidden="true" customHeight="true" outlineLevel="0" collapsed="false">
      <c r="BB96" s="3"/>
    </row>
    <row r="97" s="105" customFormat="true" ht="12.75" hidden="true" customHeight="true" outlineLevel="0" collapsed="false">
      <c r="BB97" s="3"/>
    </row>
    <row r="98" customFormat="false" ht="12.75" hidden="true" customHeight="true" outlineLevel="0" collapsed="false"/>
    <row r="99" customFormat="false" ht="12.75" hidden="true" customHeight="true" outlineLevel="0" collapsed="false"/>
    <row r="100" s="84" customFormat="true" ht="12.75" hidden="true" customHeight="true" outlineLevel="0" collapsed="false"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BB100" s="3"/>
    </row>
    <row r="101" s="21" customFormat="true" ht="12.75" hidden="true" customHeight="true" outlineLevel="0" collapsed="false">
      <c r="AZ101" s="84"/>
      <c r="BB101" s="3"/>
    </row>
    <row r="102" s="21" customFormat="true" ht="12.75" hidden="true" customHeight="true" outlineLevel="0" collapsed="false">
      <c r="AZ102" s="84"/>
      <c r="BB102" s="3"/>
    </row>
    <row r="103" s="21" customFormat="true" ht="12.75" hidden="true" customHeight="true" outlineLevel="0" collapsed="false">
      <c r="AZ103" s="84"/>
      <c r="BB103" s="3"/>
    </row>
    <row r="104" s="21" customFormat="true" ht="12.75" hidden="true" customHeight="true" outlineLevel="0" collapsed="false">
      <c r="AZ104" s="84"/>
      <c r="BB104" s="3"/>
    </row>
    <row r="105" s="21" customFormat="true" ht="12.75" hidden="false" customHeight="false" outlineLevel="0" collapsed="false">
      <c r="AZ105" s="84"/>
      <c r="BB105" s="3"/>
    </row>
    <row r="106" s="21" customFormat="true" ht="12.75" hidden="false" customHeight="false" outlineLevel="0" collapsed="false">
      <c r="AZ106" s="84"/>
      <c r="BB106" s="3"/>
    </row>
    <row r="107" s="21" customFormat="true" ht="12.75" hidden="false" customHeight="false" outlineLevel="0" collapsed="false">
      <c r="AZ107" s="84"/>
      <c r="BB107" s="3"/>
    </row>
    <row r="108" s="21" customFormat="true" ht="12.75" hidden="false" customHeight="false" outlineLevel="0" collapsed="false">
      <c r="AZ108" s="84"/>
      <c r="BB108" s="3"/>
    </row>
    <row r="109" s="21" customFormat="true" ht="12.75" hidden="false" customHeight="false" outlineLevel="0" collapsed="false">
      <c r="AZ109" s="84"/>
      <c r="BB109" s="3"/>
    </row>
    <row r="110" s="21" customFormat="true" ht="12.75" hidden="false" customHeight="false" outlineLevel="0" collapsed="false">
      <c r="AZ110" s="84"/>
      <c r="BB110" s="3"/>
    </row>
    <row r="111" s="21" customFormat="true" ht="12.75" hidden="false" customHeight="false" outlineLevel="0" collapsed="false">
      <c r="AZ111" s="84"/>
      <c r="BB111" s="3"/>
    </row>
    <row r="112" s="21" customFormat="true" ht="12.75" hidden="false" customHeight="false" outlineLevel="0" collapsed="false">
      <c r="AZ112" s="84"/>
      <c r="BB112" s="3"/>
    </row>
    <row r="113" s="21" customFormat="true" ht="12.75" hidden="false" customHeight="false" outlineLevel="0" collapsed="false">
      <c r="AZ113" s="84"/>
      <c r="BB113" s="3"/>
    </row>
    <row r="114" s="21" customFormat="true" ht="12.75" hidden="false" customHeight="false" outlineLevel="0" collapsed="false">
      <c r="AZ114" s="84"/>
      <c r="BB114" s="3"/>
    </row>
    <row r="115" s="21" customFormat="true" ht="12.75" hidden="false" customHeight="false" outlineLevel="0" collapsed="false">
      <c r="AZ115" s="84"/>
      <c r="BB115" s="3"/>
    </row>
    <row r="116" s="21" customFormat="true" ht="12.75" hidden="false" customHeight="false" outlineLevel="0" collapsed="false">
      <c r="AZ116" s="84"/>
      <c r="BB116" s="3"/>
    </row>
    <row r="117" s="21" customFormat="true" ht="12.75" hidden="false" customHeight="false" outlineLevel="0" collapsed="false">
      <c r="AZ117" s="84"/>
      <c r="BB117" s="3"/>
    </row>
    <row r="118" s="21" customFormat="true" ht="12.75" hidden="false" customHeight="false" outlineLevel="0" collapsed="false">
      <c r="AZ118" s="84"/>
      <c r="BB118" s="3"/>
    </row>
    <row r="119" s="21" customFormat="true" ht="12.75" hidden="false" customHeight="false" outlineLevel="0" collapsed="false">
      <c r="AZ119" s="84"/>
      <c r="BB119" s="3"/>
    </row>
    <row r="120" s="21" customFormat="true" ht="12.75" hidden="false" customHeight="false" outlineLevel="0" collapsed="false">
      <c r="AZ120" s="84"/>
      <c r="BB120" s="3"/>
    </row>
    <row r="121" s="21" customFormat="true" ht="12.75" hidden="false" customHeight="false" outlineLevel="0" collapsed="false">
      <c r="AZ121" s="84"/>
      <c r="BB121" s="3"/>
    </row>
    <row r="122" s="21" customFormat="true" ht="12.75" hidden="false" customHeight="false" outlineLevel="0" collapsed="false">
      <c r="AZ122" s="84"/>
      <c r="BB122" s="3"/>
    </row>
    <row r="123" s="21" customFormat="true" ht="12.75" hidden="false" customHeight="false" outlineLevel="0" collapsed="false">
      <c r="AZ123" s="84"/>
      <c r="BB123" s="3"/>
    </row>
    <row r="124" s="21" customFormat="true" ht="12.75" hidden="false" customHeight="false" outlineLevel="0" collapsed="false">
      <c r="AZ124" s="84"/>
      <c r="BB124" s="3"/>
    </row>
    <row r="125" s="21" customFormat="true" ht="12.75" hidden="false" customHeight="false" outlineLevel="0" collapsed="false">
      <c r="AZ125" s="84"/>
      <c r="BB125" s="3"/>
    </row>
    <row r="126" s="21" customFormat="true" ht="12.75" hidden="false" customHeight="false" outlineLevel="0" collapsed="false">
      <c r="AZ126" s="84"/>
      <c r="BB126" s="3"/>
    </row>
    <row r="127" s="21" customFormat="true" ht="12.75" hidden="false" customHeight="false" outlineLevel="0" collapsed="false">
      <c r="AZ127" s="84"/>
      <c r="BB127" s="3"/>
    </row>
    <row r="128" s="21" customFormat="true" ht="12.75" hidden="false" customHeight="false" outlineLevel="0" collapsed="false">
      <c r="AZ128" s="84"/>
      <c r="BB128" s="3"/>
    </row>
    <row r="129" s="21" customFormat="true" ht="12.75" hidden="false" customHeight="false" outlineLevel="0" collapsed="false">
      <c r="AZ129" s="84"/>
      <c r="BB129" s="3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AZ5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D48" activeCellId="0" sqref="AD48"/>
    </sheetView>
  </sheetViews>
  <sheetFormatPr defaultColWidth="11.43359375" defaultRowHeight="12.75" zeroHeight="false" outlineLevelRow="1" outlineLevelCol="0"/>
  <cols>
    <col collapsed="false" customWidth="true" hidden="false" outlineLevel="0" max="1" min="1" style="0" width="2.85"/>
    <col collapsed="false" customWidth="true" hidden="false" outlineLevel="0" max="2" min="2" style="0" width="40.86"/>
    <col collapsed="false" customWidth="true" hidden="false" outlineLevel="0" max="3" min="3" style="0" width="1.14"/>
    <col collapsed="false" customWidth="true" hidden="true" outlineLevel="0" max="5" min="4" style="0" width="10.14"/>
    <col collapsed="false" customWidth="true" hidden="true" outlineLevel="0" max="6" min="6" style="0" width="8.57"/>
    <col collapsed="false" customWidth="true" hidden="true" outlineLevel="0" max="8" min="7" style="0" width="9.14"/>
    <col collapsed="false" customWidth="true" hidden="true" outlineLevel="0" max="9" min="9" style="0" width="8.57"/>
    <col collapsed="false" customWidth="true" hidden="true" outlineLevel="0" max="10" min="10" style="0" width="9.14"/>
    <col collapsed="false" customWidth="true" hidden="true" outlineLevel="0" max="11" min="11" style="0" width="10.58"/>
    <col collapsed="false" customWidth="true" hidden="true" outlineLevel="0" max="27" min="12" style="0" width="9.14"/>
    <col collapsed="false" customWidth="true" hidden="false" outlineLevel="0" max="28" min="28" style="0" width="14.86"/>
    <col collapsed="false" customWidth="true" hidden="false" outlineLevel="0" max="36" min="29" style="0" width="9"/>
    <col collapsed="false" customWidth="true" hidden="false" outlineLevel="0" max="39" min="37" style="0" width="12.42"/>
    <col collapsed="false" customWidth="true" hidden="false" outlineLevel="0" max="40" min="40" style="0" width="8.86"/>
    <col collapsed="false" customWidth="true" hidden="false" outlineLevel="0" max="41" min="41" style="0" width="20.86"/>
    <col collapsed="false" customWidth="true" hidden="false" outlineLevel="0" max="42" min="42" style="0" width="14.57"/>
    <col collapsed="false" customWidth="true" hidden="false" outlineLevel="0" max="43" min="43" style="0" width="16.57"/>
    <col collapsed="false" customWidth="true" hidden="false" outlineLevel="0" max="48" min="48" style="0" width="66"/>
    <col collapsed="false" customWidth="true" hidden="false" outlineLevel="0" max="49" min="49" style="0" width="15.86"/>
  </cols>
  <sheetData>
    <row r="1" s="21" customFormat="true" ht="12.75" hidden="false" customHeight="false" outlineLevel="0" collapsed="false"/>
    <row r="2" s="1" customFormat="true" ht="21" hidden="false" customHeight="false" outlineLevel="0" collapsed="false">
      <c r="A2" s="5" t="s">
        <v>62</v>
      </c>
      <c r="B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</row>
    <row r="3" customFormat="false" ht="12.75" hidden="false" customHeight="true" outlineLevel="0" collapsed="false"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68</v>
      </c>
      <c r="J3" s="0" t="s">
        <v>69</v>
      </c>
      <c r="K3" s="0" t="s">
        <v>70</v>
      </c>
      <c r="L3" s="0" t="s">
        <v>71</v>
      </c>
      <c r="M3" s="0" t="s">
        <v>71</v>
      </c>
      <c r="N3" s="0" t="s">
        <v>72</v>
      </c>
      <c r="O3" s="0" t="s">
        <v>73</v>
      </c>
      <c r="P3" s="0" t="s">
        <v>73</v>
      </c>
      <c r="Q3" s="0" t="s">
        <v>73</v>
      </c>
      <c r="R3" s="0" t="s">
        <v>73</v>
      </c>
      <c r="S3" s="0" t="s">
        <v>73</v>
      </c>
      <c r="T3" s="0" t="s">
        <v>73</v>
      </c>
      <c r="U3" s="0" t="s">
        <v>73</v>
      </c>
      <c r="V3" s="0" t="s">
        <v>73</v>
      </c>
      <c r="W3" s="0" t="s">
        <v>73</v>
      </c>
    </row>
    <row r="4" s="107" customFormat="true" ht="14.25" hidden="false" customHeight="tru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74</v>
      </c>
      <c r="M4" s="8" t="s">
        <v>17</v>
      </c>
      <c r="N4" s="8" t="s">
        <v>75</v>
      </c>
      <c r="O4" s="8" t="s">
        <v>19</v>
      </c>
      <c r="P4" s="109" t="s">
        <v>20</v>
      </c>
      <c r="Q4" s="8" t="s">
        <v>21</v>
      </c>
      <c r="R4" s="8" t="s">
        <v>4</v>
      </c>
      <c r="S4" s="8" t="s">
        <v>14</v>
      </c>
      <c r="T4" s="8" t="s">
        <v>6</v>
      </c>
      <c r="U4" s="8" t="s">
        <v>7</v>
      </c>
      <c r="V4" s="8" t="s">
        <v>8</v>
      </c>
      <c r="W4" s="8" t="s">
        <v>15</v>
      </c>
      <c r="X4" s="8" t="s">
        <v>16</v>
      </c>
      <c r="Y4" s="8" t="s">
        <v>17</v>
      </c>
      <c r="Z4" s="8" t="s">
        <v>18</v>
      </c>
      <c r="AA4" s="8" t="s">
        <v>19</v>
      </c>
      <c r="AB4" s="8" t="s">
        <v>20</v>
      </c>
      <c r="AC4" s="8" t="s">
        <v>76</v>
      </c>
      <c r="AD4" s="8" t="s">
        <v>4</v>
      </c>
      <c r="AE4" s="8" t="s">
        <v>14</v>
      </c>
      <c r="AF4" s="8" t="s">
        <v>6</v>
      </c>
      <c r="AG4" s="8" t="s">
        <v>7</v>
      </c>
      <c r="AH4" s="8" t="s">
        <v>22</v>
      </c>
      <c r="AI4" s="8" t="s">
        <v>9</v>
      </c>
      <c r="AJ4" s="8" t="s">
        <v>16</v>
      </c>
      <c r="AK4" s="8" t="s">
        <v>17</v>
      </c>
      <c r="AL4" s="8" t="s">
        <v>18</v>
      </c>
      <c r="AM4" s="8" t="s">
        <v>77</v>
      </c>
      <c r="AN4" s="8"/>
    </row>
    <row r="5" s="110" customFormat="true" ht="37.5" hidden="false" customHeight="true" outlineLevel="0" collapsed="false">
      <c r="B5" s="10" t="s">
        <v>23</v>
      </c>
      <c r="D5" s="11" t="s">
        <v>25</v>
      </c>
      <c r="E5" s="11" t="s">
        <v>25</v>
      </c>
      <c r="F5" s="11" t="s">
        <v>25</v>
      </c>
      <c r="G5" s="11" t="s">
        <v>25</v>
      </c>
      <c r="H5" s="11" t="s">
        <v>25</v>
      </c>
      <c r="I5" s="11" t="s">
        <v>25</v>
      </c>
      <c r="J5" s="11" t="s">
        <v>25</v>
      </c>
      <c r="K5" s="11" t="s">
        <v>25</v>
      </c>
      <c r="L5" s="11" t="s">
        <v>25</v>
      </c>
      <c r="M5" s="11" t="s">
        <v>25</v>
      </c>
      <c r="N5" s="11" t="s">
        <v>25</v>
      </c>
      <c r="O5" s="11" t="s">
        <v>25</v>
      </c>
      <c r="P5" s="111" t="s">
        <v>26</v>
      </c>
      <c r="Q5" s="11" t="s">
        <v>26</v>
      </c>
      <c r="R5" s="11" t="s">
        <v>26</v>
      </c>
      <c r="S5" s="11" t="s">
        <v>26</v>
      </c>
      <c r="T5" s="11" t="s">
        <v>26</v>
      </c>
      <c r="U5" s="11" t="s">
        <v>26</v>
      </c>
      <c r="V5" s="11" t="s">
        <v>26</v>
      </c>
      <c r="W5" s="11" t="s">
        <v>26</v>
      </c>
      <c r="X5" s="11" t="s">
        <v>26</v>
      </c>
      <c r="Y5" s="11" t="s">
        <v>26</v>
      </c>
      <c r="Z5" s="11" t="s">
        <v>26</v>
      </c>
      <c r="AA5" s="11" t="s">
        <v>26</v>
      </c>
      <c r="AB5" s="112" t="s">
        <v>28</v>
      </c>
      <c r="AC5" s="112" t="s">
        <v>28</v>
      </c>
      <c r="AD5" s="112" t="s">
        <v>28</v>
      </c>
      <c r="AE5" s="112" t="s">
        <v>28</v>
      </c>
      <c r="AF5" s="112" t="s">
        <v>28</v>
      </c>
      <c r="AG5" s="112" t="s">
        <v>28</v>
      </c>
      <c r="AH5" s="112" t="s">
        <v>28</v>
      </c>
      <c r="AI5" s="112" t="s">
        <v>28</v>
      </c>
      <c r="AJ5" s="112" t="s">
        <v>28</v>
      </c>
      <c r="AK5" s="112" t="s">
        <v>28</v>
      </c>
      <c r="AL5" s="112" t="s">
        <v>28</v>
      </c>
      <c r="AM5" s="112" t="s">
        <v>28</v>
      </c>
      <c r="AN5" s="113" t="n">
        <f aca="false">+'P&amp;L conso'!AZ3</f>
        <v>2023</v>
      </c>
    </row>
    <row r="6" customFormat="false" ht="6" hidden="false" customHeight="true" outlineLevel="0" collapsed="false">
      <c r="AN6" s="114"/>
    </row>
    <row r="7" s="1" customFormat="true" ht="27" hidden="false" customHeight="true" outlineLevel="0" collapsed="false">
      <c r="B7" s="17" t="s">
        <v>78</v>
      </c>
      <c r="C7" s="18"/>
      <c r="D7" s="19" t="n">
        <f aca="false">D9+D11+D13+D21+D28+D33+D39</f>
        <v>-25842129.925</v>
      </c>
      <c r="E7" s="19" t="n">
        <f aca="false">E9+E11+E13+E21+E28+E33+E39</f>
        <v>-25842129.925</v>
      </c>
      <c r="F7" s="19" t="n">
        <f aca="false">F9+F11+F13+F21+F28+F33+F39</f>
        <v>-250042129.925</v>
      </c>
      <c r="G7" s="19" t="n">
        <f aca="false">G9+G11+G13+G21+G28+G33+G39</f>
        <v>-121062303.925</v>
      </c>
      <c r="H7" s="19" t="n">
        <f aca="false">H9+H11+H13+H21+H28+H33+H39</f>
        <v>-31115135.925</v>
      </c>
      <c r="I7" s="19" t="n">
        <f aca="false">I9+I11+I13+I21+I28+I33+I39</f>
        <v>-182475268.925</v>
      </c>
      <c r="J7" s="19" t="n">
        <f aca="false">J9+J11+J13+J21+J28+J33+J39</f>
        <v>-108901334.925</v>
      </c>
      <c r="K7" s="115" t="n">
        <f aca="false">K9+K11+K13+K21+K28+K33+K39</f>
        <v>-109581818.925</v>
      </c>
      <c r="L7" s="115" t="n">
        <v>-109731370.925</v>
      </c>
      <c r="M7" s="115" t="n">
        <f aca="false">M9+M11+M13+M21+M28+M33+M39</f>
        <v>-109850617.925</v>
      </c>
      <c r="N7" s="115" t="n">
        <f aca="false">N9+N11+N13+N21+N28+N33+N39</f>
        <v>-109850617.925</v>
      </c>
      <c r="O7" s="19" t="n">
        <f aca="false">O9+O11+O13+O21+O28+O33+O39</f>
        <v>-161196398.925</v>
      </c>
      <c r="P7" s="19" t="n">
        <f aca="false">P9+P11+P13+P21+P28+P33+P39</f>
        <v>-155902118.925</v>
      </c>
      <c r="Q7" s="19" t="n">
        <f aca="false">Q9+Q11+Q13+Q21+Q28+Q33+Q39</f>
        <v>-221196041.925</v>
      </c>
      <c r="R7" s="19" t="n">
        <f aca="false">R9+R11+R13+R21+R28+R33+R39</f>
        <v>-19916279.925</v>
      </c>
      <c r="S7" s="19" t="n">
        <v>-130190368.925</v>
      </c>
      <c r="T7" s="19" t="n">
        <v>-130190368.925</v>
      </c>
      <c r="U7" s="19" t="n">
        <v>-268331104.925</v>
      </c>
      <c r="V7" s="19" t="n">
        <v>-135837071.925</v>
      </c>
      <c r="W7" s="19" t="n">
        <v>-128496571.925</v>
      </c>
      <c r="X7" s="19" t="n">
        <v>-129250404.925</v>
      </c>
      <c r="Y7" s="19" t="n">
        <v>-131377071.925</v>
      </c>
      <c r="Z7" s="19" t="n">
        <v>-132132904.925</v>
      </c>
      <c r="AA7" s="19" t="n">
        <v>-142238738.925</v>
      </c>
      <c r="AB7" s="19" t="n">
        <f aca="false">AB9+AB11+AB13+AB21+AB28+AB33+AB39</f>
        <v>91880956.925</v>
      </c>
      <c r="AC7" s="19" t="n">
        <f aca="false">AC9+AC11+AC13+AC21+AC28+AC33+AC39</f>
        <v>92284288.925</v>
      </c>
      <c r="AD7" s="19" t="n">
        <f aca="false">AD9+AD11+AD13+AD21+AD28+AD33+AD39</f>
        <v>88853040.925</v>
      </c>
      <c r="AE7" s="19" t="n">
        <f aca="false">AE9+AE11+AE13+AE21+AE28+AE33+AE39</f>
        <v>0</v>
      </c>
      <c r="AF7" s="19" t="n">
        <f aca="false">AF9+AF11+AF13+AF21+AF28+AF33+AF39</f>
        <v>0</v>
      </c>
      <c r="AG7" s="19" t="n">
        <f aca="false">AG9+AG11+AG13+AG21+AG28+AG33+AG39</f>
        <v>0</v>
      </c>
      <c r="AH7" s="19" t="n">
        <f aca="false">AH9+AH11+AH13+AH21+AH28+AH33+AH39</f>
        <v>0</v>
      </c>
      <c r="AI7" s="19" t="n">
        <f aca="false">AI9+AI11+AI13+AI21+AI28+AI33+AI39</f>
        <v>0</v>
      </c>
      <c r="AJ7" s="19" t="n">
        <f aca="false">AJ9+AJ11+AJ13+AJ21+AJ28+AJ33+AJ39</f>
        <v>0</v>
      </c>
      <c r="AK7" s="19" t="n">
        <f aca="false">AK9+AK11+AK13+AK21+AK28+AK33+AK39</f>
        <v>0</v>
      </c>
      <c r="AL7" s="19" t="n">
        <f aca="false">AL9+AL11+AL13+AL21+AL28+AL33+AL39</f>
        <v>0</v>
      </c>
      <c r="AM7" s="19" t="n">
        <f aca="false">AM9+AM11+AM13+AM21+AM28+AM33+AM39</f>
        <v>0</v>
      </c>
      <c r="AN7" s="19" t="n">
        <f aca="false">SUM(AB7:AM7)</f>
        <v>273018286.775</v>
      </c>
      <c r="AO7" s="21"/>
    </row>
    <row r="8" customFormat="false" ht="6.75" hidden="false" customHeight="true" outlineLevel="0" collapsed="false">
      <c r="B8" s="116"/>
      <c r="C8" s="68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17"/>
      <c r="AO8" s="21"/>
    </row>
    <row r="9" s="1" customFormat="true" ht="22.5" hidden="false" customHeight="true" outlineLevel="0" collapsed="false">
      <c r="B9" s="118" t="s">
        <v>79</v>
      </c>
      <c r="C9" s="18"/>
      <c r="D9" s="119" t="n">
        <f aca="false">-+'[23]YTD Janv'!$J$538*1000000</f>
        <v>-25842129.925</v>
      </c>
      <c r="E9" s="119" t="n">
        <f aca="false">-'[24]YTD Fév'!$J$529*1000000</f>
        <v>-25842129.925</v>
      </c>
      <c r="F9" s="119" t="n">
        <f aca="false">E9</f>
        <v>-25842129.925</v>
      </c>
      <c r="G9" s="119" t="n">
        <f aca="false">+F9</f>
        <v>-25842129.925</v>
      </c>
      <c r="H9" s="119" t="n">
        <f aca="false">+G9</f>
        <v>-25842129.925</v>
      </c>
      <c r="I9" s="119" t="n">
        <f aca="false">+H9</f>
        <v>-25842129.925</v>
      </c>
      <c r="J9" s="119" t="n">
        <f aca="false">I9</f>
        <v>-25842129.925</v>
      </c>
      <c r="K9" s="119" t="n">
        <f aca="false">J9</f>
        <v>-25842129.925</v>
      </c>
      <c r="L9" s="119" t="n">
        <v>-25842129.925</v>
      </c>
      <c r="M9" s="119" t="n">
        <f aca="false">+L9</f>
        <v>-25842129.925</v>
      </c>
      <c r="N9" s="119" t="n">
        <f aca="false">+M9</f>
        <v>-25842129.925</v>
      </c>
      <c r="O9" s="119" t="n">
        <f aca="false">+N9</f>
        <v>-25842129.925</v>
      </c>
      <c r="P9" s="119" t="n">
        <f aca="false">+O9</f>
        <v>-25842129.925</v>
      </c>
      <c r="Q9" s="119" t="n">
        <f aca="false">+P9</f>
        <v>-25842129.925</v>
      </c>
      <c r="R9" s="119" t="n">
        <f aca="false">+Q9</f>
        <v>-25842129.925</v>
      </c>
      <c r="S9" s="119" t="n">
        <v>-25842129.925</v>
      </c>
      <c r="T9" s="119" t="n">
        <v>-25842129.925</v>
      </c>
      <c r="U9" s="119" t="n">
        <v>-25842129.925</v>
      </c>
      <c r="V9" s="119" t="n">
        <v>-25842129.925</v>
      </c>
      <c r="W9" s="119" t="n">
        <v>-25842129.925</v>
      </c>
      <c r="X9" s="119" t="n">
        <v>-25842129.925</v>
      </c>
      <c r="Y9" s="119" t="n">
        <v>-25842129.925</v>
      </c>
      <c r="Z9" s="119" t="n">
        <v>-25842129.925</v>
      </c>
      <c r="AA9" s="119" t="n">
        <v>-25842129.925</v>
      </c>
      <c r="AB9" s="119" t="n">
        <f aca="false">25842129.925</f>
        <v>25842129.925</v>
      </c>
      <c r="AC9" s="119" t="n">
        <f aca="false">25842129.925</f>
        <v>25842129.925</v>
      </c>
      <c r="AD9" s="119" t="n">
        <f aca="false">25842129.925</f>
        <v>25842129.925</v>
      </c>
      <c r="AE9" s="119"/>
      <c r="AF9" s="119"/>
      <c r="AG9" s="119"/>
      <c r="AH9" s="119"/>
      <c r="AI9" s="119"/>
      <c r="AJ9" s="119"/>
      <c r="AK9" s="119"/>
      <c r="AL9" s="119"/>
      <c r="AM9" s="119"/>
      <c r="AN9" s="120" t="n">
        <f aca="false">SUM(AB9:AM9)</f>
        <v>77526389.775</v>
      </c>
      <c r="AO9" s="21"/>
    </row>
    <row r="10" customFormat="false" ht="6.75" hidden="false" customHeight="true" outlineLevel="0" collapsed="false">
      <c r="B10" s="116"/>
      <c r="C10" s="6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17"/>
      <c r="AO10" s="21"/>
    </row>
    <row r="11" s="1" customFormat="true" ht="17.25" hidden="false" customHeight="true" outlineLevel="0" collapsed="false">
      <c r="B11" s="118" t="s">
        <v>80</v>
      </c>
      <c r="C11" s="18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21" t="n">
        <f aca="false">SUM(AB11:AG11)</f>
        <v>0</v>
      </c>
      <c r="AO11" s="21"/>
    </row>
    <row r="12" s="1" customFormat="true" ht="7.5" hidden="false" customHeight="true" outlineLevel="0" collapsed="false">
      <c r="B12" s="122"/>
      <c r="C12" s="37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4"/>
      <c r="AO12" s="21"/>
    </row>
    <row r="13" s="1" customFormat="true" ht="22.5" hidden="false" customHeight="true" outlineLevel="0" collapsed="false">
      <c r="B13" s="118" t="s">
        <v>81</v>
      </c>
      <c r="C13" s="18"/>
      <c r="D13" s="119" t="n">
        <f aca="false">+SUM(D14:D19)</f>
        <v>0</v>
      </c>
      <c r="E13" s="119" t="n">
        <f aca="false">+SUM(E14:E19)</f>
        <v>0</v>
      </c>
      <c r="F13" s="119" t="n">
        <f aca="false">+SUM(F14:F19)</f>
        <v>-224200000</v>
      </c>
      <c r="G13" s="119" t="n">
        <f aca="false">+SUM(G14:G19)</f>
        <v>-95220174</v>
      </c>
      <c r="H13" s="119" t="n">
        <f aca="false">+SUM(H14:H19)</f>
        <v>-5273006</v>
      </c>
      <c r="I13" s="119" t="n">
        <f aca="false">+SUM(I14:I19)</f>
        <v>-156633139</v>
      </c>
      <c r="J13" s="119" t="n">
        <f aca="false">+SUM(J14:J19)</f>
        <v>-83059205</v>
      </c>
      <c r="K13" s="119" t="n">
        <f aca="false">+SUM(K14:K19)</f>
        <v>-83739689</v>
      </c>
      <c r="L13" s="119" t="n">
        <v>-83889241</v>
      </c>
      <c r="M13" s="119" t="n">
        <f aca="false">+SUM(M14:M19)</f>
        <v>-84008488</v>
      </c>
      <c r="N13" s="119" t="n">
        <f aca="false">+SUM(N14:N19)</f>
        <v>-84008488</v>
      </c>
      <c r="O13" s="119" t="n">
        <f aca="false">+SUM(O14:O19)</f>
        <v>-135354269</v>
      </c>
      <c r="P13" s="119" t="n">
        <f aca="false">+SUM(P14:P19)</f>
        <v>-130059989</v>
      </c>
      <c r="Q13" s="119" t="n">
        <f aca="false">+SUM(Q14:Q19)</f>
        <v>-195353912</v>
      </c>
      <c r="R13" s="119" t="n">
        <f aca="false">+SUM(R14:R19)</f>
        <v>5925850</v>
      </c>
      <c r="S13" s="119" t="n">
        <v>-104348239</v>
      </c>
      <c r="T13" s="125" t="n">
        <v>-104348239</v>
      </c>
      <c r="U13" s="125" t="n">
        <v>-242488975</v>
      </c>
      <c r="V13" s="125" t="n">
        <v>-109994942</v>
      </c>
      <c r="W13" s="125" t="n">
        <v>-102654442</v>
      </c>
      <c r="X13" s="125" t="n">
        <v>-103408275</v>
      </c>
      <c r="Y13" s="125" t="n">
        <v>-105534942</v>
      </c>
      <c r="Z13" s="125" t="n">
        <v>-106290775</v>
      </c>
      <c r="AA13" s="125" t="n">
        <v>-116396609</v>
      </c>
      <c r="AB13" s="125" t="n">
        <f aca="false">+SUM(AB14:AB19)</f>
        <v>66038827</v>
      </c>
      <c r="AC13" s="125" t="n">
        <f aca="false">+SUM(AC14:AC19)</f>
        <v>66442159</v>
      </c>
      <c r="AD13" s="125" t="n">
        <f aca="false">+SUM(AD14:AD19)</f>
        <v>63010911</v>
      </c>
      <c r="AE13" s="125" t="n">
        <f aca="false">+SUM(AE14:AE19)</f>
        <v>0</v>
      </c>
      <c r="AF13" s="125" t="n">
        <f aca="false">+SUM(AF14:AF19)</f>
        <v>0</v>
      </c>
      <c r="AG13" s="125" t="n">
        <f aca="false">+SUM(AG14:AG19)</f>
        <v>0</v>
      </c>
      <c r="AH13" s="125" t="n">
        <f aca="false">+SUM(AH14:AH19)</f>
        <v>0</v>
      </c>
      <c r="AI13" s="125" t="n">
        <f aca="false">+SUM(AI14:AI19)</f>
        <v>0</v>
      </c>
      <c r="AJ13" s="125" t="n">
        <f aca="false">+SUM(AJ14:AJ19)</f>
        <v>0</v>
      </c>
      <c r="AK13" s="125" t="n">
        <f aca="false">+SUM(AK14:AK19)</f>
        <v>0</v>
      </c>
      <c r="AL13" s="125" t="n">
        <f aca="false">+SUM(AL14:AL19)</f>
        <v>0</v>
      </c>
      <c r="AM13" s="125" t="n">
        <f aca="false">+SUM(AM14:AM19)</f>
        <v>0</v>
      </c>
      <c r="AN13" s="120" t="n">
        <f aca="false">SUM(AB13:AM13)</f>
        <v>195491897</v>
      </c>
      <c r="AO13" s="21"/>
    </row>
    <row r="14" s="1" customFormat="true" ht="15.75" hidden="false" customHeight="true" outlineLevel="0" collapsed="false">
      <c r="B14" s="126" t="s">
        <v>82</v>
      </c>
      <c r="C14" s="37"/>
      <c r="D14" s="38"/>
      <c r="E14" s="38"/>
      <c r="F14" s="38" t="n">
        <v>-224200000</v>
      </c>
      <c r="G14" s="38" t="n">
        <v>-95220174</v>
      </c>
      <c r="H14" s="38" t="n">
        <v>-5273006</v>
      </c>
      <c r="I14" s="38" t="n">
        <v>-156633139</v>
      </c>
      <c r="J14" s="127" t="n">
        <v>-83059205</v>
      </c>
      <c r="K14" s="127" t="n">
        <v>-83739689</v>
      </c>
      <c r="L14" s="127" t="n">
        <v>-83889241</v>
      </c>
      <c r="M14" s="127" t="n">
        <v>-84008488</v>
      </c>
      <c r="N14" s="127" t="n">
        <v>-84008488</v>
      </c>
      <c r="O14" s="127" t="n">
        <v>-135354269</v>
      </c>
      <c r="P14" s="127" t="n">
        <v>-130059989</v>
      </c>
      <c r="Q14" s="127" t="n">
        <v>-195353912</v>
      </c>
      <c r="R14" s="127" t="n">
        <v>5925850</v>
      </c>
      <c r="S14" s="127" t="n">
        <v>-104348239</v>
      </c>
      <c r="T14" s="127" t="n">
        <v>-104348239</v>
      </c>
      <c r="U14" s="127" t="n">
        <v>-242488975</v>
      </c>
      <c r="V14" s="127" t="n">
        <v>-109994942</v>
      </c>
      <c r="W14" s="127" t="n">
        <v>-102654442</v>
      </c>
      <c r="X14" s="127" t="n">
        <v>-103408275</v>
      </c>
      <c r="Y14" s="127" t="n">
        <v>-105534942</v>
      </c>
      <c r="Z14" s="127" t="n">
        <v>-106290775</v>
      </c>
      <c r="AA14" s="128" t="n">
        <v>-116396609</v>
      </c>
      <c r="AB14" s="128" t="n">
        <f aca="false">+'[17]Impacts IFRS 16'!$C$2</f>
        <v>66038827</v>
      </c>
      <c r="AC14" s="128" t="n">
        <f aca="false">+'[18]Impacts IFRS 16'!$D$2</f>
        <v>66442159</v>
      </c>
      <c r="AD14" s="129" t="n">
        <f aca="false">'[19]Impacts IFRS 16'!$E$2</f>
        <v>63010911</v>
      </c>
      <c r="AE14" s="128"/>
      <c r="AF14" s="128"/>
      <c r="AG14" s="128"/>
      <c r="AH14" s="128"/>
      <c r="AI14" s="128"/>
      <c r="AJ14" s="128"/>
      <c r="AK14" s="128"/>
      <c r="AL14" s="128"/>
      <c r="AM14" s="128"/>
      <c r="AN14" s="130" t="n">
        <f aca="false">SUM(AB14:AM14)</f>
        <v>195491897</v>
      </c>
      <c r="AO14" s="21" t="n">
        <f aca="false">'[25]Impacts IFRS 16'!$F$2</f>
        <v>238144877</v>
      </c>
    </row>
    <row r="15" s="1" customFormat="true" ht="15.75" hidden="false" customHeight="true" outlineLevel="0" collapsed="false">
      <c r="B15" s="131" t="s">
        <v>83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124" t="n">
        <f aca="false">SUM(AC15:AG15)</f>
        <v>0</v>
      </c>
      <c r="AO15" s="21"/>
    </row>
    <row r="16" s="1" customFormat="true" ht="15.75" hidden="false" customHeight="true" outlineLevel="0" collapsed="false">
      <c r="B16" s="131" t="s">
        <v>84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124" t="n">
        <f aca="false">SUM(AC16:AG16)</f>
        <v>0</v>
      </c>
      <c r="AO16" s="21"/>
    </row>
    <row r="17" s="1" customFormat="true" ht="15.75" hidden="false" customHeight="true" outlineLevel="0" collapsed="false">
      <c r="B17" s="131" t="s">
        <v>85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124" t="n">
        <f aca="false">SUM(AC17:AG17)</f>
        <v>0</v>
      </c>
      <c r="AO17" s="21"/>
    </row>
    <row r="18" s="1" customFormat="true" ht="15.75" hidden="false" customHeight="true" outlineLevel="0" collapsed="false">
      <c r="B18" s="131" t="s">
        <v>86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124" t="n">
        <f aca="false">SUM(AC18:AG18)</f>
        <v>0</v>
      </c>
      <c r="AO18" s="21"/>
    </row>
    <row r="19" s="1" customFormat="true" ht="15.75" hidden="false" customHeight="true" outlineLevel="0" collapsed="false">
      <c r="B19" s="132" t="s">
        <v>87</v>
      </c>
      <c r="C19" s="3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4" t="n">
        <f aca="false">SUM(AC19:AG19)</f>
        <v>0</v>
      </c>
      <c r="AO19" s="21"/>
    </row>
    <row r="20" s="1" customFormat="true" ht="6.75" hidden="false" customHeight="true" outlineLevel="0" collapsed="false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4" t="n">
        <f aca="false">SUM(AC20:AG20)</f>
        <v>0</v>
      </c>
      <c r="AO20" s="21"/>
    </row>
    <row r="21" s="1" customFormat="true" ht="18.75" hidden="false" customHeight="true" outlineLevel="0" collapsed="false">
      <c r="B21" s="118" t="s">
        <v>88</v>
      </c>
      <c r="C21" s="18"/>
      <c r="D21" s="119" t="n">
        <f aca="false">SUM(D22:D26)</f>
        <v>0</v>
      </c>
      <c r="E21" s="119" t="n">
        <f aca="false">SUM(E22:E26)</f>
        <v>0</v>
      </c>
      <c r="F21" s="119" t="n">
        <f aca="false">SUM(F22:F26)</f>
        <v>0</v>
      </c>
      <c r="G21" s="119" t="n">
        <f aca="false">SUM(G22:G26)</f>
        <v>0</v>
      </c>
      <c r="H21" s="119" t="n">
        <f aca="false">SUM(H22:H26)</f>
        <v>0</v>
      </c>
      <c r="I21" s="119" t="n">
        <f aca="false">SUM(I22:I26)</f>
        <v>0</v>
      </c>
      <c r="J21" s="119" t="n">
        <f aca="false">SUM(J22:J26)</f>
        <v>0</v>
      </c>
      <c r="K21" s="119" t="n">
        <f aca="false">SUM(K22:K26)</f>
        <v>0</v>
      </c>
      <c r="L21" s="119" t="n">
        <v>0</v>
      </c>
      <c r="M21" s="119" t="n">
        <f aca="false">SUM(M22:M26)</f>
        <v>0</v>
      </c>
      <c r="N21" s="119" t="n">
        <f aca="false">SUM(N22:N26)</f>
        <v>0</v>
      </c>
      <c r="O21" s="119" t="n">
        <f aca="false">SUM(O22:O26)</f>
        <v>0</v>
      </c>
      <c r="P21" s="119" t="n">
        <f aca="false">SUM(P22:P26)</f>
        <v>0</v>
      </c>
      <c r="Q21" s="119" t="n">
        <f aca="false">SUM(Q22:Q26)</f>
        <v>0</v>
      </c>
      <c r="R21" s="119" t="n">
        <f aca="false">SUM(R22:R26)</f>
        <v>0</v>
      </c>
      <c r="S21" s="119" t="n">
        <v>0</v>
      </c>
      <c r="T21" s="119" t="n">
        <v>0</v>
      </c>
      <c r="U21" s="119" t="n">
        <v>0</v>
      </c>
      <c r="V21" s="119" t="n">
        <v>0</v>
      </c>
      <c r="W21" s="119" t="n">
        <v>0</v>
      </c>
      <c r="X21" s="119" t="n">
        <v>0</v>
      </c>
      <c r="Y21" s="119" t="n">
        <v>0</v>
      </c>
      <c r="Z21" s="119" t="n">
        <v>0</v>
      </c>
      <c r="AA21" s="119" t="n">
        <v>0</v>
      </c>
      <c r="AB21" s="119" t="n">
        <f aca="false">SUM(AB22:AB26)</f>
        <v>0</v>
      </c>
      <c r="AC21" s="119" t="n">
        <f aca="false">SUM(AC22:AC26)</f>
        <v>0</v>
      </c>
      <c r="AD21" s="119" t="n">
        <f aca="false">SUM(AD22:AD26)</f>
        <v>0</v>
      </c>
      <c r="AE21" s="119" t="n">
        <f aca="false">SUM(AE22:AE26)</f>
        <v>0</v>
      </c>
      <c r="AF21" s="119" t="n">
        <f aca="false">SUM(AF22:AF26)</f>
        <v>0</v>
      </c>
      <c r="AG21" s="119" t="n">
        <f aca="false">SUM(AG22:AG26)</f>
        <v>0</v>
      </c>
      <c r="AH21" s="119" t="n">
        <f aca="false">SUM(AH22:AH26)</f>
        <v>0</v>
      </c>
      <c r="AI21" s="119" t="n">
        <f aca="false">SUM(AI22:AI26)</f>
        <v>0</v>
      </c>
      <c r="AJ21" s="119" t="n">
        <f aca="false">SUM(AJ22:AJ26)</f>
        <v>0</v>
      </c>
      <c r="AK21" s="119" t="n">
        <f aca="false">SUM(AK22:AK26)</f>
        <v>0</v>
      </c>
      <c r="AL21" s="119" t="n">
        <f aca="false">SUM(AL22:AL26)</f>
        <v>0</v>
      </c>
      <c r="AM21" s="119" t="n">
        <f aca="false">SUM(AM22:AM26)</f>
        <v>0</v>
      </c>
      <c r="AN21" s="120" t="n">
        <f aca="false">SUM(AC21:AG21)</f>
        <v>0</v>
      </c>
      <c r="AO21" s="21"/>
    </row>
    <row r="22" s="1" customFormat="true" ht="15.75" hidden="false" customHeight="true" outlineLevel="0" collapsed="false">
      <c r="B22" s="126" t="s">
        <v>89</v>
      </c>
      <c r="C22" s="37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6" t="n">
        <f aca="false">SUM(AC22:AG22)</f>
        <v>0</v>
      </c>
      <c r="AO22" s="21"/>
    </row>
    <row r="23" s="1" customFormat="true" ht="15.75" hidden="false" customHeight="true" outlineLevel="0" collapsed="false">
      <c r="B23" s="131" t="s">
        <v>90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124" t="n">
        <f aca="false">SUM(AC23:AG23)</f>
        <v>0</v>
      </c>
      <c r="AO23" s="21"/>
    </row>
    <row r="24" s="1" customFormat="true" ht="15.75" hidden="false" customHeight="true" outlineLevel="0" collapsed="false">
      <c r="B24" s="131" t="s">
        <v>91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124" t="n">
        <f aca="false">SUM(AC24:AG24)</f>
        <v>0</v>
      </c>
      <c r="AO24" s="21"/>
    </row>
    <row r="25" s="1" customFormat="true" ht="15.75" hidden="false" customHeight="true" outlineLevel="0" collapsed="false">
      <c r="B25" s="131" t="s">
        <v>92</v>
      </c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124" t="n">
        <f aca="false">SUM(AC25:AG25)</f>
        <v>0</v>
      </c>
      <c r="AO25" s="21"/>
    </row>
    <row r="26" s="1" customFormat="true" ht="15.75" hidden="false" customHeight="true" outlineLevel="0" collapsed="false">
      <c r="B26" s="132" t="s">
        <v>93</v>
      </c>
      <c r="C26" s="37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4" t="n">
        <f aca="false">SUM(AC26:AG26)</f>
        <v>0</v>
      </c>
      <c r="AO26" s="21"/>
    </row>
    <row r="27" s="1" customFormat="true" ht="6.75" hidden="false" customHeight="true" outlineLevel="0" collapsed="false"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4" t="n">
        <f aca="false">SUM(AC27:AG27)</f>
        <v>0</v>
      </c>
      <c r="AO27" s="21"/>
    </row>
    <row r="28" s="1" customFormat="true" ht="22.5" hidden="false" customHeight="true" outlineLevel="0" collapsed="false">
      <c r="B28" s="118" t="s">
        <v>94</v>
      </c>
      <c r="C28" s="18"/>
      <c r="D28" s="119" t="n">
        <f aca="false">SUM(D29:D31)</f>
        <v>0</v>
      </c>
      <c r="E28" s="119" t="n">
        <f aca="false">SUM(E29:E31)</f>
        <v>0</v>
      </c>
      <c r="F28" s="119" t="n">
        <f aca="false">SUM(F29:F31)</f>
        <v>0</v>
      </c>
      <c r="G28" s="119" t="n">
        <f aca="false">SUM(G29:G31)</f>
        <v>0</v>
      </c>
      <c r="H28" s="119" t="n">
        <f aca="false">SUM(H29:H31)</f>
        <v>0</v>
      </c>
      <c r="I28" s="119" t="n">
        <f aca="false">SUM(I29:I31)</f>
        <v>0</v>
      </c>
      <c r="J28" s="119" t="n">
        <f aca="false">SUM(J29:J31)</f>
        <v>0</v>
      </c>
      <c r="K28" s="119" t="n">
        <f aca="false">SUM(K29:K31)</f>
        <v>0</v>
      </c>
      <c r="L28" s="119" t="n">
        <v>0</v>
      </c>
      <c r="M28" s="119" t="n">
        <f aca="false">SUM(M29:M31)</f>
        <v>0</v>
      </c>
      <c r="N28" s="119" t="n">
        <f aca="false">SUM(N29:N31)</f>
        <v>0</v>
      </c>
      <c r="O28" s="119" t="n">
        <f aca="false">SUM(O29:O31)</f>
        <v>0</v>
      </c>
      <c r="P28" s="119" t="n">
        <f aca="false">SUM(P29:P31)</f>
        <v>0</v>
      </c>
      <c r="Q28" s="119" t="n">
        <f aca="false">SUM(Q29:Q31)</f>
        <v>0</v>
      </c>
      <c r="R28" s="119" t="n">
        <f aca="false">SUM(R29:R31)</f>
        <v>0</v>
      </c>
      <c r="S28" s="119" t="n">
        <v>0</v>
      </c>
      <c r="T28" s="119" t="n">
        <v>0</v>
      </c>
      <c r="U28" s="119" t="n">
        <v>0</v>
      </c>
      <c r="V28" s="119" t="n">
        <v>0</v>
      </c>
      <c r="W28" s="119" t="n">
        <v>0</v>
      </c>
      <c r="X28" s="119" t="n">
        <v>0</v>
      </c>
      <c r="Y28" s="119" t="n">
        <v>0</v>
      </c>
      <c r="Z28" s="119" t="n">
        <v>0</v>
      </c>
      <c r="AA28" s="119" t="n">
        <v>0</v>
      </c>
      <c r="AB28" s="119" t="n">
        <f aca="false">SUM(AB29:AB31)</f>
        <v>0</v>
      </c>
      <c r="AC28" s="119" t="n">
        <f aca="false">SUM(AC29:AC31)</f>
        <v>0</v>
      </c>
      <c r="AD28" s="119" t="n">
        <f aca="false">SUM(AD29:AD31)</f>
        <v>0</v>
      </c>
      <c r="AE28" s="119" t="n">
        <f aca="false">SUM(AE29:AE31)</f>
        <v>0</v>
      </c>
      <c r="AF28" s="119" t="n">
        <f aca="false">SUM(AF29:AF31)</f>
        <v>0</v>
      </c>
      <c r="AG28" s="119" t="n">
        <f aca="false">SUM(AG29:AG31)</f>
        <v>0</v>
      </c>
      <c r="AH28" s="119" t="n">
        <f aca="false">SUM(AH29:AH31)</f>
        <v>0</v>
      </c>
      <c r="AI28" s="119" t="n">
        <f aca="false">SUM(AI29:AI31)</f>
        <v>0</v>
      </c>
      <c r="AJ28" s="119" t="n">
        <f aca="false">SUM(AJ29:AJ31)</f>
        <v>0</v>
      </c>
      <c r="AK28" s="119" t="n">
        <f aca="false">SUM(AK29:AK31)</f>
        <v>0</v>
      </c>
      <c r="AL28" s="119" t="n">
        <f aca="false">SUM(AL29:AL31)</f>
        <v>0</v>
      </c>
      <c r="AM28" s="119" t="n">
        <f aca="false">SUM(AM29:AM31)</f>
        <v>0</v>
      </c>
      <c r="AN28" s="120" t="n">
        <f aca="false">SUM(AC28:AG28)</f>
        <v>0</v>
      </c>
      <c r="AO28" s="21"/>
    </row>
    <row r="29" s="1" customFormat="true" ht="15.75" hidden="false" customHeight="true" outlineLevel="0" collapsed="false">
      <c r="B29" s="126" t="s">
        <v>95</v>
      </c>
      <c r="C29" s="37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5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/>
      <c r="AF29" s="135"/>
      <c r="AG29" s="135"/>
      <c r="AH29" s="135"/>
      <c r="AI29" s="135"/>
      <c r="AJ29" s="135"/>
      <c r="AK29" s="135"/>
      <c r="AL29" s="135"/>
      <c r="AM29" s="135"/>
      <c r="AN29" s="136" t="n">
        <f aca="false">SUM(AC29:AG29)</f>
        <v>0</v>
      </c>
      <c r="AO29" s="21"/>
    </row>
    <row r="30" s="1" customFormat="true" ht="15.75" hidden="false" customHeight="true" outlineLevel="0" collapsed="false">
      <c r="B30" s="131" t="s">
        <v>96</v>
      </c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124" t="n">
        <f aca="false">SUM(AC30:AG30)</f>
        <v>0</v>
      </c>
      <c r="AO30" s="21"/>
    </row>
    <row r="31" s="1" customFormat="true" ht="15.75" hidden="false" customHeight="true" outlineLevel="0" collapsed="false">
      <c r="B31" s="132" t="s">
        <v>97</v>
      </c>
      <c r="C31" s="37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4" t="n">
        <f aca="false">SUM(AC31:AG31)</f>
        <v>0</v>
      </c>
      <c r="AO31" s="21"/>
    </row>
    <row r="32" s="1" customFormat="true" ht="10.5" hidden="false" customHeight="true" outlineLevel="0" collapsed="false">
      <c r="B32" s="137"/>
      <c r="C32" s="1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138" t="n">
        <f aca="false">SUM(AC32:AG32)</f>
        <v>0</v>
      </c>
      <c r="AO32" s="21"/>
    </row>
    <row r="33" s="1" customFormat="true" ht="21" hidden="false" customHeight="true" outlineLevel="0" collapsed="false">
      <c r="B33" s="118" t="s">
        <v>98</v>
      </c>
      <c r="C33" s="18"/>
      <c r="D33" s="119" t="n">
        <f aca="false">SUM(D34:D37)</f>
        <v>0</v>
      </c>
      <c r="E33" s="119" t="n">
        <f aca="false">SUM(E34:E37)</f>
        <v>0</v>
      </c>
      <c r="F33" s="119" t="n">
        <f aca="false">SUM(F34:F37)</f>
        <v>0</v>
      </c>
      <c r="G33" s="119" t="n">
        <f aca="false">SUM(G34:G37)</f>
        <v>0</v>
      </c>
      <c r="H33" s="119" t="n">
        <f aca="false">SUM(H34:H37)</f>
        <v>0</v>
      </c>
      <c r="I33" s="119" t="n">
        <f aca="false">SUM(I34:I37)</f>
        <v>0</v>
      </c>
      <c r="J33" s="119" t="n">
        <f aca="false">SUM(J34:J37)</f>
        <v>0</v>
      </c>
      <c r="K33" s="119" t="n">
        <f aca="false">SUM(K34:K37)</f>
        <v>0</v>
      </c>
      <c r="L33" s="119" t="n">
        <v>0</v>
      </c>
      <c r="M33" s="119" t="n">
        <f aca="false">SUM(M34:M37)</f>
        <v>0</v>
      </c>
      <c r="N33" s="119" t="n">
        <f aca="false">SUM(N34:N37)</f>
        <v>0</v>
      </c>
      <c r="O33" s="119" t="n">
        <f aca="false">SUM(O34:O37)</f>
        <v>0</v>
      </c>
      <c r="P33" s="119" t="n">
        <f aca="false">SUM(P34:P37)</f>
        <v>0</v>
      </c>
      <c r="Q33" s="119" t="n">
        <f aca="false">SUM(Q34:Q37)</f>
        <v>0</v>
      </c>
      <c r="R33" s="119" t="n">
        <f aca="false">SUM(R34:R37)</f>
        <v>0</v>
      </c>
      <c r="S33" s="119" t="n">
        <v>0</v>
      </c>
      <c r="T33" s="119" t="n">
        <v>0</v>
      </c>
      <c r="U33" s="119" t="n">
        <v>0</v>
      </c>
      <c r="V33" s="119" t="n">
        <v>0</v>
      </c>
      <c r="W33" s="119" t="n">
        <v>0</v>
      </c>
      <c r="X33" s="119" t="n">
        <v>0</v>
      </c>
      <c r="Y33" s="119" t="n">
        <v>0</v>
      </c>
      <c r="Z33" s="119" t="n">
        <v>0</v>
      </c>
      <c r="AA33" s="119" t="n">
        <v>0</v>
      </c>
      <c r="AB33" s="119" t="n">
        <f aca="false">SUM(AB34:AB37)</f>
        <v>0</v>
      </c>
      <c r="AC33" s="119" t="n">
        <f aca="false">SUM(AC34:AC37)</f>
        <v>0</v>
      </c>
      <c r="AD33" s="119" t="n">
        <f aca="false">SUM(AD34:AD37)</f>
        <v>0</v>
      </c>
      <c r="AE33" s="119" t="n">
        <f aca="false">SUM(AE34:AE37)</f>
        <v>0</v>
      </c>
      <c r="AF33" s="119" t="n">
        <f aca="false">SUM(AF34:AF37)</f>
        <v>0</v>
      </c>
      <c r="AG33" s="119" t="n">
        <f aca="false">SUM(AG34:AG37)</f>
        <v>0</v>
      </c>
      <c r="AH33" s="119" t="n">
        <f aca="false">SUM(AH34:AH37)</f>
        <v>0</v>
      </c>
      <c r="AI33" s="119" t="n">
        <f aca="false">SUM(AI34:AI37)</f>
        <v>0</v>
      </c>
      <c r="AJ33" s="119" t="n">
        <f aca="false">SUM(AJ34:AJ37)</f>
        <v>0</v>
      </c>
      <c r="AK33" s="119" t="n">
        <f aca="false">SUM(AK34:AK37)</f>
        <v>0</v>
      </c>
      <c r="AL33" s="119" t="n">
        <f aca="false">SUM(AL34:AL37)</f>
        <v>0</v>
      </c>
      <c r="AM33" s="119" t="n">
        <f aca="false">SUM(AM34:AM37)</f>
        <v>0</v>
      </c>
      <c r="AN33" s="120" t="n">
        <f aca="false">SUM(AB33:AM33)</f>
        <v>0</v>
      </c>
      <c r="AO33" s="21"/>
      <c r="AP33" s="21"/>
    </row>
    <row r="34" customFormat="false" ht="12.75" hidden="false" customHeight="false" outlineLevel="0" collapsed="false">
      <c r="B34" s="139" t="s">
        <v>99</v>
      </c>
      <c r="C34" s="68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1" t="n">
        <f aca="false">SUM(AC34:AG34)</f>
        <v>0</v>
      </c>
      <c r="AO34" s="21"/>
      <c r="AP34" s="142"/>
      <c r="AQ34" s="91"/>
    </row>
    <row r="35" customFormat="false" ht="12.75" hidden="false" customHeight="false" outlineLevel="0" collapsed="false">
      <c r="B35" s="143" t="s">
        <v>100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5" t="n">
        <f aca="false">SUM(AC35:AG35)</f>
        <v>0</v>
      </c>
      <c r="AO35" s="21"/>
      <c r="AP35" s="142"/>
    </row>
    <row r="36" customFormat="false" ht="12.75" hidden="false" customHeight="false" outlineLevel="0" collapsed="false">
      <c r="B36" s="143" t="s">
        <v>101</v>
      </c>
      <c r="D36" s="144" t="n">
        <f aca="false">(D42+D43+D45)*0</f>
        <v>0</v>
      </c>
      <c r="E36" s="144" t="n">
        <f aca="false">E42+E43+E45</f>
        <v>0</v>
      </c>
      <c r="F36" s="144" t="n">
        <f aca="false">F42+F43+F45</f>
        <v>0</v>
      </c>
      <c r="G36" s="144" t="n">
        <f aca="false">G42+G43+G45</f>
        <v>0</v>
      </c>
      <c r="H36" s="144" t="n">
        <f aca="false">H42+H43+H45</f>
        <v>0</v>
      </c>
      <c r="I36" s="144" t="n">
        <f aca="false">I42+I43+I45</f>
        <v>0</v>
      </c>
      <c r="J36" s="144" t="n">
        <f aca="false">J42+J43+J45</f>
        <v>0</v>
      </c>
      <c r="K36" s="144" t="n">
        <f aca="false">K42+K43+K45</f>
        <v>0</v>
      </c>
      <c r="L36" s="144" t="n">
        <v>0</v>
      </c>
      <c r="M36" s="144" t="n">
        <f aca="false">M42+M43+M45</f>
        <v>0</v>
      </c>
      <c r="N36" s="144" t="n">
        <f aca="false">N42+N43+N45</f>
        <v>0</v>
      </c>
      <c r="O36" s="144" t="n">
        <f aca="false">O42+O43+O45</f>
        <v>0</v>
      </c>
      <c r="P36" s="144" t="n">
        <f aca="false">P42+P43+P45</f>
        <v>0</v>
      </c>
      <c r="Q36" s="144" t="n">
        <f aca="false">Q42+Q43+Q45</f>
        <v>0</v>
      </c>
      <c r="R36" s="144" t="n">
        <f aca="false">R42+R43+R45</f>
        <v>0</v>
      </c>
      <c r="S36" s="144" t="n">
        <v>0</v>
      </c>
      <c r="T36" s="144" t="n">
        <v>0</v>
      </c>
      <c r="U36" s="144" t="n">
        <v>0</v>
      </c>
      <c r="V36" s="144" t="n">
        <v>0</v>
      </c>
      <c r="W36" s="144" t="n">
        <v>0</v>
      </c>
      <c r="X36" s="144" t="n">
        <v>0</v>
      </c>
      <c r="Y36" s="144" t="n">
        <v>0</v>
      </c>
      <c r="Z36" s="144" t="n">
        <v>0</v>
      </c>
      <c r="AA36" s="144" t="n">
        <v>0</v>
      </c>
      <c r="AB36" s="144" t="n">
        <f aca="false">AB42+AB43+AB45</f>
        <v>0</v>
      </c>
      <c r="AC36" s="144" t="n">
        <f aca="false">AC42+AC43+AC45</f>
        <v>0</v>
      </c>
      <c r="AD36" s="144" t="n">
        <f aca="false">AD42+AD43+AD45</f>
        <v>0</v>
      </c>
      <c r="AE36" s="144" t="n">
        <f aca="false">AE42+AE43+AE45</f>
        <v>0</v>
      </c>
      <c r="AF36" s="144" t="n">
        <f aca="false">AF42+AF43+AF45</f>
        <v>0</v>
      </c>
      <c r="AG36" s="144" t="n">
        <f aca="false">AG42+AG43+AG45</f>
        <v>0</v>
      </c>
      <c r="AH36" s="144" t="n">
        <f aca="false">AH42+AH43+AH45</f>
        <v>0</v>
      </c>
      <c r="AI36" s="144" t="n">
        <f aca="false">AI42+AI43+AI45</f>
        <v>0</v>
      </c>
      <c r="AJ36" s="144" t="n">
        <f aca="false">AJ42+AJ43+AJ45</f>
        <v>0</v>
      </c>
      <c r="AK36" s="144" t="n">
        <f aca="false">AK42+AK43+AK45</f>
        <v>0</v>
      </c>
      <c r="AL36" s="144" t="n">
        <f aca="false">AL42+AL43+AL45</f>
        <v>0</v>
      </c>
      <c r="AM36" s="144" t="n">
        <f aca="false">AM42+AM43+AM45</f>
        <v>0</v>
      </c>
      <c r="AN36" s="146" t="n">
        <f aca="false">SUM(AC36:AG36)</f>
        <v>0</v>
      </c>
      <c r="AO36" s="21"/>
      <c r="AP36" s="142"/>
    </row>
    <row r="37" customFormat="false" ht="16.5" hidden="false" customHeight="true" outlineLevel="0" collapsed="false">
      <c r="B37" s="147" t="s">
        <v>102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9" t="n">
        <f aca="false">SUM(AC37:AG37)</f>
        <v>0</v>
      </c>
      <c r="AO37" s="21"/>
      <c r="AP37" s="142"/>
    </row>
    <row r="38" s="21" customFormat="true" ht="9.75" hidden="false" customHeight="true" outlineLevel="0" collapsed="false"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  <c r="AD38" s="105"/>
      <c r="AE38" s="105"/>
      <c r="AF38" s="105"/>
      <c r="AG38" s="105"/>
      <c r="AH38" s="105"/>
      <c r="AI38" s="105"/>
      <c r="AJ38" s="105"/>
      <c r="AK38" s="105"/>
      <c r="AL38" s="105"/>
      <c r="AM38" s="105"/>
      <c r="AN38" s="117" t="n">
        <f aca="false">SUM(AC38:AG38)</f>
        <v>0</v>
      </c>
    </row>
    <row r="39" s="1" customFormat="true" ht="21" hidden="false" customHeight="true" outlineLevel="0" collapsed="false">
      <c r="B39" s="118" t="s">
        <v>103</v>
      </c>
      <c r="C39" s="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50" t="n">
        <f aca="false">SUM(AB39:AM39)</f>
        <v>0</v>
      </c>
      <c r="AO39" s="151"/>
      <c r="AP39" s="21"/>
    </row>
    <row r="40" s="21" customFormat="true" ht="12.75" hidden="false" customHeight="false" outlineLevel="0" collapsed="false">
      <c r="AN40" s="21" t="n">
        <f aca="false">SUM(AC40:AG40)</f>
        <v>0</v>
      </c>
    </row>
    <row r="41" s="21" customFormat="true" ht="12.75" hidden="false" customHeight="false" outlineLevel="0" collapsed="false">
      <c r="AN41" s="21" t="n">
        <f aca="false">SUM(AC41:AG41)</f>
        <v>0</v>
      </c>
    </row>
    <row r="42" s="21" customFormat="true" ht="12.75" hidden="true" customHeight="false" outlineLevel="0" collapsed="false">
      <c r="B42" s="21" t="s">
        <v>104</v>
      </c>
      <c r="AN42" s="152" t="n">
        <f aca="false">SUM(AC42:AG42)</f>
        <v>0</v>
      </c>
    </row>
    <row r="43" s="21" customFormat="true" ht="12.75" hidden="false" customHeight="false" outlineLevel="1" collapsed="false">
      <c r="B43" s="21" t="s">
        <v>105</v>
      </c>
      <c r="D43" s="21" t="n">
        <f aca="false">258038248/12*0</f>
        <v>0</v>
      </c>
      <c r="E43" s="21" t="n">
        <f aca="false">+D43</f>
        <v>0</v>
      </c>
      <c r="F43" s="21" t="n">
        <f aca="false">+E43</f>
        <v>0</v>
      </c>
      <c r="G43" s="21" t="n">
        <f aca="false">+F43</f>
        <v>0</v>
      </c>
      <c r="H43" s="21" t="n">
        <f aca="false">+G43</f>
        <v>0</v>
      </c>
      <c r="I43" s="21" t="n">
        <f aca="false">+H43</f>
        <v>0</v>
      </c>
      <c r="J43" s="21" t="n">
        <f aca="false">+I43</f>
        <v>0</v>
      </c>
      <c r="K43" s="21" t="n">
        <f aca="false">+J43</f>
        <v>0</v>
      </c>
      <c r="L43" s="21" t="n">
        <v>0</v>
      </c>
      <c r="M43" s="21" t="n">
        <f aca="false">+L43</f>
        <v>0</v>
      </c>
      <c r="N43" s="21" t="n">
        <f aca="false">+M43</f>
        <v>0</v>
      </c>
      <c r="O43" s="21" t="n">
        <f aca="false">+N43</f>
        <v>0</v>
      </c>
      <c r="P43" s="21" t="n">
        <f aca="false">+O43</f>
        <v>0</v>
      </c>
      <c r="Q43" s="21" t="n">
        <f aca="false">+P43</f>
        <v>0</v>
      </c>
      <c r="R43" s="21" t="n">
        <f aca="false">+Q43</f>
        <v>0</v>
      </c>
      <c r="S43" s="21" t="n">
        <v>0</v>
      </c>
      <c r="T43" s="21" t="n">
        <v>0</v>
      </c>
      <c r="U43" s="21" t="n">
        <v>0</v>
      </c>
      <c r="V43" s="21" t="n">
        <v>0</v>
      </c>
      <c r="W43" s="21" t="n">
        <v>0</v>
      </c>
      <c r="X43" s="21" t="n">
        <v>0</v>
      </c>
      <c r="Y43" s="21" t="n">
        <v>0</v>
      </c>
      <c r="Z43" s="21" t="n">
        <v>0</v>
      </c>
      <c r="AA43" s="21" t="n">
        <v>0</v>
      </c>
      <c r="AB43" s="21" t="n">
        <f aca="false">+AM43</f>
        <v>0</v>
      </c>
      <c r="AN43" s="152" t="n">
        <f aca="false">SUM(AC43:AG43)</f>
        <v>0</v>
      </c>
      <c r="AV43" s="153"/>
      <c r="AW43" s="153"/>
      <c r="AX43" s="153"/>
      <c r="AY43" s="153"/>
    </row>
    <row r="44" s="21" customFormat="true" ht="12.75" hidden="false" customHeight="false" outlineLevel="1" collapsed="false">
      <c r="B44" s="21" t="s">
        <v>106</v>
      </c>
      <c r="AN44" s="152" t="n">
        <f aca="false">SUM(AC44:AG44)</f>
        <v>0</v>
      </c>
      <c r="AV44" s="154"/>
      <c r="AW44" s="155" t="s">
        <v>107</v>
      </c>
      <c r="AX44" s="154"/>
      <c r="AY44" s="155" t="s">
        <v>108</v>
      </c>
      <c r="AZ44" s="156"/>
    </row>
    <row r="45" s="21" customFormat="true" ht="12.75" hidden="false" customHeight="false" outlineLevel="1" collapsed="false">
      <c r="B45" s="21" t="s">
        <v>109</v>
      </c>
      <c r="D45" s="21" t="n">
        <f aca="false">-D44</f>
        <v>0</v>
      </c>
      <c r="E45" s="21" t="n">
        <f aca="false">-E44</f>
        <v>-0</v>
      </c>
      <c r="F45" s="21" t="n">
        <f aca="false">-F44</f>
        <v>-0</v>
      </c>
      <c r="G45" s="21" t="n">
        <f aca="false">-G44</f>
        <v>-0</v>
      </c>
      <c r="H45" s="21" t="n">
        <f aca="false">-H44</f>
        <v>-0</v>
      </c>
      <c r="I45" s="21" t="n">
        <f aca="false">-I44</f>
        <v>-0</v>
      </c>
      <c r="J45" s="21" t="n">
        <f aca="false">-J44</f>
        <v>-0</v>
      </c>
      <c r="K45" s="21" t="n">
        <f aca="false">-K44</f>
        <v>-0</v>
      </c>
      <c r="L45" s="21" t="n">
        <v>0</v>
      </c>
      <c r="M45" s="21" t="n">
        <f aca="false">-M44</f>
        <v>0</v>
      </c>
      <c r="N45" s="21" t="n">
        <f aca="false">-N44</f>
        <v>-0</v>
      </c>
      <c r="O45" s="21" t="n">
        <f aca="false">-O44</f>
        <v>-0</v>
      </c>
      <c r="P45" s="21" t="n">
        <f aca="false">-P44</f>
        <v>0</v>
      </c>
      <c r="Q45" s="21" t="n">
        <f aca="false">-Q44</f>
        <v>0</v>
      </c>
      <c r="R45" s="21" t="n">
        <f aca="false">-R44</f>
        <v>0</v>
      </c>
      <c r="S45" s="21" t="n">
        <v>0</v>
      </c>
      <c r="T45" s="21" t="n">
        <v>0</v>
      </c>
      <c r="U45" s="21" t="n">
        <v>0</v>
      </c>
      <c r="V45" s="21" t="n">
        <v>0</v>
      </c>
      <c r="W45" s="21" t="n">
        <v>0</v>
      </c>
      <c r="X45" s="21" t="n">
        <v>0</v>
      </c>
      <c r="Y45" s="21" t="n">
        <v>0</v>
      </c>
      <c r="Z45" s="21" t="n">
        <v>0</v>
      </c>
      <c r="AA45" s="21" t="n">
        <v>0</v>
      </c>
      <c r="AB45" s="21" t="n">
        <f aca="false">-AB44</f>
        <v>0</v>
      </c>
      <c r="AN45" s="152" t="n">
        <f aca="false">SUM(AC45:AG45)</f>
        <v>0</v>
      </c>
      <c r="AV45" s="154"/>
      <c r="AW45" s="155"/>
      <c r="AX45" s="154"/>
      <c r="AY45" s="155"/>
      <c r="AZ45" s="156"/>
    </row>
    <row r="46" s="21" customFormat="true" ht="12.75" hidden="false" customHeight="false" outlineLevel="1" collapsed="false">
      <c r="B46" s="157" t="s">
        <v>110</v>
      </c>
      <c r="C46" s="157"/>
      <c r="D46" s="157" t="n">
        <f aca="false">SUM(D42:D45)</f>
        <v>0</v>
      </c>
      <c r="E46" s="157" t="n">
        <f aca="false">SUM(E42:E45)</f>
        <v>0</v>
      </c>
      <c r="F46" s="157" t="n">
        <f aca="false">SUM(F42:F45)</f>
        <v>0</v>
      </c>
      <c r="G46" s="157" t="n">
        <f aca="false">SUM(G42:G45)</f>
        <v>0</v>
      </c>
      <c r="H46" s="157" t="n">
        <f aca="false">SUM(H42:H45)</f>
        <v>0</v>
      </c>
      <c r="I46" s="157" t="n">
        <f aca="false">SUM(I42:I45)</f>
        <v>0</v>
      </c>
      <c r="J46" s="157" t="n">
        <f aca="false">SUM(J42:J45)</f>
        <v>0</v>
      </c>
      <c r="K46" s="157" t="n">
        <f aca="false">SUM(K42:K45)</f>
        <v>0</v>
      </c>
      <c r="L46" s="157" t="n">
        <v>0</v>
      </c>
      <c r="M46" s="157" t="n">
        <f aca="false">SUM(M42:M45)</f>
        <v>0</v>
      </c>
      <c r="N46" s="157" t="n">
        <f aca="false">SUM(N42:N45)</f>
        <v>0</v>
      </c>
      <c r="O46" s="157" t="n">
        <f aca="false">SUM(O42:O45)</f>
        <v>0</v>
      </c>
      <c r="P46" s="157" t="n">
        <f aca="false">SUM(P42:P45)</f>
        <v>0</v>
      </c>
      <c r="Q46" s="157" t="n">
        <f aca="false">SUM(Q42:Q45)</f>
        <v>0</v>
      </c>
      <c r="R46" s="157" t="n">
        <f aca="false">SUM(R42:R45)</f>
        <v>0</v>
      </c>
      <c r="S46" s="157" t="n">
        <v>0</v>
      </c>
      <c r="T46" s="157" t="n">
        <v>0</v>
      </c>
      <c r="U46" s="157" t="n">
        <v>0</v>
      </c>
      <c r="V46" s="157" t="n">
        <v>0</v>
      </c>
      <c r="W46" s="157" t="n">
        <v>0</v>
      </c>
      <c r="X46" s="157" t="n">
        <v>0</v>
      </c>
      <c r="Y46" s="157" t="n">
        <v>0</v>
      </c>
      <c r="Z46" s="157" t="n">
        <v>0</v>
      </c>
      <c r="AA46" s="157" t="n">
        <v>0</v>
      </c>
      <c r="AB46" s="157" t="n">
        <f aca="false">SUM(AB42:AB45)</f>
        <v>0</v>
      </c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8" t="n">
        <f aca="false">SUM(AB46:AM46)</f>
        <v>0</v>
      </c>
      <c r="AV46" s="159" t="s">
        <v>111</v>
      </c>
      <c r="AW46" s="160" t="n">
        <f aca="false">+'[26]Disclosure Results'!$AL$21/10^6</f>
        <v>2022.847888</v>
      </c>
      <c r="AX46" s="161"/>
      <c r="AY46" s="162" t="s">
        <v>112</v>
      </c>
      <c r="AZ46" s="156"/>
    </row>
    <row r="47" s="21" customFormat="true" ht="12.75" hidden="false" customHeight="false" outlineLevel="1" collapsed="false">
      <c r="B47" s="21" t="s">
        <v>113</v>
      </c>
      <c r="D47" s="21" t="n">
        <f aca="false">77380698/12*0</f>
        <v>0</v>
      </c>
      <c r="E47" s="21" t="n">
        <f aca="false">+D47</f>
        <v>0</v>
      </c>
      <c r="F47" s="21" t="n">
        <v>51379512</v>
      </c>
      <c r="G47" s="21" t="n">
        <v>2028681</v>
      </c>
      <c r="H47" s="152" t="n">
        <v>882940</v>
      </c>
      <c r="I47" s="152" t="n">
        <v>52684470</v>
      </c>
      <c r="J47" s="21" t="n">
        <v>20358747</v>
      </c>
      <c r="K47" s="21" t="n">
        <v>16817672</v>
      </c>
      <c r="L47" s="21" t="n">
        <v>13820921</v>
      </c>
      <c r="M47" s="21" t="n">
        <v>16046566</v>
      </c>
      <c r="N47" s="21" t="n">
        <v>16046566</v>
      </c>
      <c r="O47" s="21" t="n">
        <v>39383678</v>
      </c>
      <c r="P47" s="21" t="n">
        <v>28872361</v>
      </c>
      <c r="Q47" s="151" t="n">
        <v>33468953</v>
      </c>
      <c r="R47" s="151" t="n">
        <v>-4270680</v>
      </c>
      <c r="S47" s="151" t="n">
        <v>18847232</v>
      </c>
      <c r="T47" s="151" t="n">
        <v>48734075</v>
      </c>
      <c r="U47" s="151" t="n">
        <v>123679295</v>
      </c>
      <c r="V47" s="151" t="n">
        <v>32993319</v>
      </c>
      <c r="W47" s="151" t="n">
        <v>21365147</v>
      </c>
      <c r="X47" s="151" t="n">
        <v>13158859</v>
      </c>
      <c r="Y47" s="151" t="n">
        <v>32896245</v>
      </c>
      <c r="Z47" s="151" t="n">
        <v>21041536</v>
      </c>
      <c r="AA47" s="163" t="n">
        <v>13516617</v>
      </c>
      <c r="AB47" s="163" t="n">
        <f aca="false">+'[17]Impacts IFRS 16'!$C$4</f>
        <v>-5589000</v>
      </c>
      <c r="AC47" s="163" t="n">
        <f aca="false">+'[18]Impacts IFRS 16'!$D$4</f>
        <v>-6645038</v>
      </c>
      <c r="AD47" s="163" t="n">
        <f aca="false">'[19]Impacts IFRS 16'!$E$4</f>
        <v>-6321756</v>
      </c>
      <c r="AE47" s="163"/>
      <c r="AF47" s="163"/>
      <c r="AG47" s="163"/>
      <c r="AH47" s="163"/>
      <c r="AI47" s="163"/>
      <c r="AJ47" s="163"/>
      <c r="AK47" s="163"/>
      <c r="AL47" s="163"/>
      <c r="AM47" s="163"/>
      <c r="AN47" s="164" t="n">
        <f aca="false">SUM(AB47:AM47)</f>
        <v>-18555794</v>
      </c>
      <c r="AV47" s="165" t="s">
        <v>114</v>
      </c>
      <c r="AW47" s="166" t="n">
        <v>241.003994</v>
      </c>
      <c r="AX47" s="161"/>
      <c r="AY47" s="167" t="s">
        <v>115</v>
      </c>
      <c r="AZ47" s="156"/>
    </row>
    <row r="48" s="21" customFormat="true" ht="51" hidden="false" customHeight="false" outlineLevel="1" collapsed="false">
      <c r="B48" s="168" t="s">
        <v>116</v>
      </c>
      <c r="AN48" s="169" t="n">
        <f aca="false">SUM(AC48:AG48)</f>
        <v>0</v>
      </c>
      <c r="AV48" s="165" t="s">
        <v>117</v>
      </c>
      <c r="AW48" s="166"/>
      <c r="AX48" s="161"/>
      <c r="AY48" s="167" t="s">
        <v>118</v>
      </c>
      <c r="AZ48" s="156"/>
    </row>
    <row r="49" s="21" customFormat="true" ht="15.75" hidden="false" customHeight="true" outlineLevel="1" collapsed="false">
      <c r="AN49" s="21" t="n">
        <f aca="false">SUM(AC49:AG49)</f>
        <v>0</v>
      </c>
      <c r="AV49" s="170" t="s">
        <v>119</v>
      </c>
      <c r="AW49" s="160" t="n">
        <f aca="false">+AW47+AW48</f>
        <v>241.003994</v>
      </c>
      <c r="AX49" s="161"/>
      <c r="AY49" s="160"/>
      <c r="AZ49" s="156"/>
    </row>
    <row r="50" s="21" customFormat="true" ht="12.75" hidden="false" customHeight="false" outlineLevel="1" collapsed="false">
      <c r="B50" s="21" t="s">
        <v>120</v>
      </c>
      <c r="AN50" s="158" t="n">
        <f aca="false">SUM(AC50:AM50)</f>
        <v>0</v>
      </c>
      <c r="AV50" s="165" t="s">
        <v>121</v>
      </c>
      <c r="AW50" s="166" t="n">
        <v>68.776828</v>
      </c>
      <c r="AX50" s="161"/>
      <c r="AY50" s="167" t="s">
        <v>122</v>
      </c>
      <c r="AZ50" s="156"/>
    </row>
    <row r="51" s="21" customFormat="true" ht="12.75" hidden="false" customHeight="false" outlineLevel="1" collapsed="false">
      <c r="B51" s="21" t="s">
        <v>123</v>
      </c>
      <c r="D51" s="21" t="n">
        <f aca="false">(D43+D47+D45)*-30%</f>
        <v>-0</v>
      </c>
      <c r="E51" s="21" t="n">
        <f aca="false">(E43+E47+E45)*-30%</f>
        <v>-0</v>
      </c>
      <c r="F51" s="21" t="n">
        <f aca="false">(F43+F47+F45)*-30%</f>
        <v>-15413853.6</v>
      </c>
      <c r="G51" s="21" t="n">
        <f aca="false">(G43+G47+G45)*-30%</f>
        <v>-608604.3</v>
      </c>
      <c r="H51" s="151" t="n">
        <f aca="false">(H43+H47+H45)*-30%</f>
        <v>-264882</v>
      </c>
      <c r="I51" s="21" t="n">
        <f aca="false">(I43+I47+I45)*-30%</f>
        <v>-15805341</v>
      </c>
      <c r="J51" s="21" t="n">
        <f aca="false">(J43+J47+J45)*-30%</f>
        <v>-6107624.1</v>
      </c>
      <c r="K51" s="21" t="n">
        <f aca="false">(K43+K47+K45)*-30%</f>
        <v>-5045301.6</v>
      </c>
      <c r="L51" s="21" t="n">
        <v>-4146276.3</v>
      </c>
      <c r="M51" s="21" t="n">
        <f aca="false">(M43+M47+M45)*-30%</f>
        <v>-4813969.8</v>
      </c>
      <c r="N51" s="21" t="n">
        <f aca="false">(N43+N47+N45)*-30%</f>
        <v>-4813969.8</v>
      </c>
      <c r="O51" s="21" t="n">
        <f aca="false">(O43+O47+O45)*-30%</f>
        <v>-11815103.4</v>
      </c>
      <c r="P51" s="21" t="n">
        <f aca="false">(P43+P47+P45)*-30%</f>
        <v>-8661708.3</v>
      </c>
      <c r="Q51" s="21" t="n">
        <f aca="false">(Q43+Q47+Q45)*-30%</f>
        <v>-10040685.9</v>
      </c>
      <c r="R51" s="21" t="n">
        <f aca="false">(R43+R47+R45)*-30%</f>
        <v>1281204</v>
      </c>
      <c r="S51" s="21" t="n">
        <v>-5654169.6</v>
      </c>
      <c r="T51" s="21" t="n">
        <v>-14620222.5</v>
      </c>
      <c r="U51" s="21" t="n">
        <v>-37103788.5</v>
      </c>
      <c r="V51" s="21" t="n">
        <v>-9897995.7</v>
      </c>
      <c r="W51" s="21" t="n">
        <v>-6409544.1</v>
      </c>
      <c r="X51" s="21" t="n">
        <v>-3947657.7</v>
      </c>
      <c r="Y51" s="21" t="n">
        <v>-9868873.5</v>
      </c>
      <c r="Z51" s="21" t="n">
        <v>-6312460.8</v>
      </c>
      <c r="AA51" s="21" t="n">
        <v>-4054985.1</v>
      </c>
      <c r="AN51" s="171" t="n">
        <f aca="false">SUM(AC51:AM51)</f>
        <v>0</v>
      </c>
      <c r="AV51" s="170" t="s">
        <v>124</v>
      </c>
      <c r="AW51" s="160" t="n">
        <f aca="false">+AW49+AW50</f>
        <v>309.780822</v>
      </c>
      <c r="AX51" s="161"/>
      <c r="AY51" s="160"/>
      <c r="AZ51" s="156"/>
    </row>
    <row r="52" s="21" customFormat="true" ht="12.75" hidden="false" customHeight="false" outlineLevel="1" collapsed="false">
      <c r="B52" s="157" t="s">
        <v>125</v>
      </c>
      <c r="C52" s="157"/>
      <c r="D52" s="157" t="n">
        <f aca="false">SUM(D50:D51)</f>
        <v>0</v>
      </c>
      <c r="E52" s="157" t="n">
        <f aca="false">SUM(E50:E51)</f>
        <v>0</v>
      </c>
      <c r="F52" s="157" t="n">
        <f aca="false">SUM(F50:F51)</f>
        <v>-15413853.6</v>
      </c>
      <c r="G52" s="157" t="n">
        <f aca="false">SUM(G50:G51)</f>
        <v>-608604.3</v>
      </c>
      <c r="H52" s="157" t="n">
        <f aca="false">SUM(H50:H51)</f>
        <v>-264882</v>
      </c>
      <c r="I52" s="157" t="n">
        <f aca="false">SUM(I50:I51)</f>
        <v>-15805341</v>
      </c>
      <c r="J52" s="157" t="n">
        <f aca="false">SUM(J50:J51)</f>
        <v>-6107624.1</v>
      </c>
      <c r="K52" s="157" t="n">
        <f aca="false">SUM(K50:K51)</f>
        <v>-5045301.6</v>
      </c>
      <c r="L52" s="157" t="n">
        <v>-4146276.3</v>
      </c>
      <c r="M52" s="157" t="n">
        <f aca="false">SUM(M50:M51)</f>
        <v>-4813969.8</v>
      </c>
      <c r="N52" s="157" t="n">
        <f aca="false">SUM(N50:N51)</f>
        <v>-4813969.8</v>
      </c>
      <c r="O52" s="157" t="n">
        <f aca="false">SUM(O50:O51)</f>
        <v>-11815103.4</v>
      </c>
      <c r="P52" s="157" t="n">
        <f aca="false">SUM(P50:P51)</f>
        <v>-8661708.3</v>
      </c>
      <c r="Q52" s="157" t="n">
        <f aca="false">SUM(Q50:Q51)</f>
        <v>-10040685.9</v>
      </c>
      <c r="R52" s="157" t="n">
        <f aca="false">SUM(R50:R51)</f>
        <v>1281204</v>
      </c>
      <c r="S52" s="157" t="n">
        <v>-5654169.6</v>
      </c>
      <c r="T52" s="157" t="n">
        <v>-14620222.5</v>
      </c>
      <c r="U52" s="157" t="n">
        <v>-37103788.5</v>
      </c>
      <c r="V52" s="157" t="n">
        <v>-9897995.7</v>
      </c>
      <c r="W52" s="157" t="n">
        <v>-6409544.1</v>
      </c>
      <c r="X52" s="157" t="n">
        <v>-3947657.7</v>
      </c>
      <c r="Y52" s="157" t="n">
        <v>-9868873.5</v>
      </c>
      <c r="Z52" s="157" t="n">
        <v>-6312460.8</v>
      </c>
      <c r="AA52" s="157" t="n">
        <v>-4054985.1</v>
      </c>
      <c r="AB52" s="157" t="n">
        <f aca="false">SUM(AB50:AB51)</f>
        <v>0</v>
      </c>
      <c r="AC52" s="157" t="n">
        <f aca="false">SUM(AC50:AC51)</f>
        <v>0</v>
      </c>
      <c r="AD52" s="157" t="n">
        <f aca="false">SUM(AD50:AD51)</f>
        <v>0</v>
      </c>
      <c r="AE52" s="157" t="n">
        <f aca="false">SUM(AE50:AE51)</f>
        <v>0</v>
      </c>
      <c r="AF52" s="157" t="n">
        <f aca="false">SUM(AF50:AF51)</f>
        <v>0</v>
      </c>
      <c r="AG52" s="157" t="n">
        <f aca="false">SUM(AG50:AG51)</f>
        <v>0</v>
      </c>
      <c r="AH52" s="157" t="n">
        <f aca="false">SUM(AH50:AH51)</f>
        <v>0</v>
      </c>
      <c r="AI52" s="157" t="n">
        <f aca="false">SUM(AI50:AI51)</f>
        <v>0</v>
      </c>
      <c r="AJ52" s="157" t="n">
        <f aca="false">SUM(AJ50:AJ51)</f>
        <v>0</v>
      </c>
      <c r="AK52" s="157" t="n">
        <f aca="false">SUM(AK50:AK51)</f>
        <v>0</v>
      </c>
      <c r="AL52" s="157" t="n">
        <f aca="false">SUM(AL50:AL51)</f>
        <v>0</v>
      </c>
      <c r="AM52" s="157" t="n">
        <f aca="false">SUM(AM50:AM51)</f>
        <v>0</v>
      </c>
      <c r="AN52" s="171" t="n">
        <f aca="false">SUM(AC52:AM52)</f>
        <v>0</v>
      </c>
      <c r="AV52" s="165" t="s">
        <v>126</v>
      </c>
      <c r="AW52" s="166" t="n">
        <v>85.518091</v>
      </c>
      <c r="AX52" s="161"/>
      <c r="AY52" s="167" t="s">
        <v>127</v>
      </c>
      <c r="AZ52" s="156"/>
    </row>
    <row r="53" customFormat="false" ht="12.75" hidden="false" customHeight="false" outlineLevel="1" collapsed="false">
      <c r="AV53" s="170" t="s">
        <v>128</v>
      </c>
      <c r="AW53" s="160" t="n">
        <f aca="false">+AW52</f>
        <v>85.518091</v>
      </c>
      <c r="AX53" s="161"/>
      <c r="AY53" s="160"/>
      <c r="AZ53" s="172"/>
    </row>
    <row r="54" customFormat="false" ht="12.75" hidden="false" customHeight="false" outlineLevel="0" collapsed="false">
      <c r="AV54" s="170" t="s">
        <v>129</v>
      </c>
      <c r="AW54" s="160" t="n">
        <f aca="false">+AW46+AW51+AW53</f>
        <v>2418.146801</v>
      </c>
      <c r="AX54" s="161"/>
      <c r="AY54" s="160"/>
      <c r="AZ54" s="172"/>
    </row>
    <row r="55" customFormat="false" ht="12.75" hidden="false" customHeight="false" outlineLevel="0" collapsed="false">
      <c r="H55" s="152"/>
      <c r="I55" s="152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152"/>
      <c r="U55" s="152"/>
      <c r="V55" s="152"/>
      <c r="W55" s="152"/>
      <c r="X55" s="152"/>
      <c r="Y55" s="152"/>
      <c r="Z55" s="152"/>
      <c r="AA55" s="152"/>
      <c r="AB55" s="152"/>
      <c r="AC55" s="152"/>
      <c r="AD55" s="152"/>
      <c r="AE55" s="152"/>
      <c r="AF55" s="152"/>
      <c r="AG55" s="152"/>
      <c r="AH55" s="152"/>
      <c r="AI55" s="152"/>
      <c r="AJ55" s="152"/>
      <c r="AK55" s="152"/>
      <c r="AL55" s="152"/>
      <c r="AM55" s="152"/>
      <c r="AN55" s="169"/>
    </row>
    <row r="56" customFormat="false" ht="12.75" hidden="false" customHeight="false" outlineLevel="0" collapsed="false">
      <c r="H56" s="152"/>
      <c r="I56" s="152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152"/>
      <c r="U56" s="152"/>
      <c r="V56" s="152"/>
      <c r="W56" s="152"/>
      <c r="X56" s="152"/>
      <c r="Y56" s="152"/>
      <c r="Z56" s="152"/>
      <c r="AA56" s="152"/>
      <c r="AB56" s="152"/>
      <c r="AC56" s="152"/>
      <c r="AD56" s="152"/>
      <c r="AE56" s="152"/>
      <c r="AF56" s="152"/>
      <c r="AG56" s="152"/>
      <c r="AH56" s="152"/>
      <c r="AI56" s="152"/>
      <c r="AJ56" s="152"/>
      <c r="AK56" s="152"/>
      <c r="AL56" s="152"/>
      <c r="AM56" s="152"/>
      <c r="AN56" s="169"/>
    </row>
    <row r="57" customFormat="false" ht="12.75" hidden="false" customHeight="false" outlineLevel="0" collapsed="false">
      <c r="H57" s="152"/>
      <c r="I57" s="152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152"/>
      <c r="U57" s="152"/>
      <c r="V57" s="152"/>
      <c r="W57" s="152"/>
      <c r="X57" s="152"/>
      <c r="Y57" s="152"/>
      <c r="Z57" s="152"/>
      <c r="AA57" s="152"/>
      <c r="AB57" s="152"/>
      <c r="AC57" s="152"/>
      <c r="AD57" s="152"/>
      <c r="AE57" s="152"/>
      <c r="AF57" s="152"/>
      <c r="AG57" s="152"/>
      <c r="AH57" s="152"/>
      <c r="AI57" s="152"/>
      <c r="AJ57" s="152"/>
      <c r="AK57" s="152"/>
      <c r="AL57" s="152"/>
      <c r="AM57" s="152"/>
      <c r="AN57" s="169"/>
    </row>
    <row r="58" customFormat="false" ht="12.75" hidden="false" customHeight="false" outlineLevel="0" collapsed="false"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52"/>
      <c r="Z58" s="152"/>
      <c r="AA58" s="152"/>
      <c r="AB58" s="152"/>
      <c r="AC58" s="152"/>
      <c r="AD58" s="152"/>
      <c r="AE58" s="152"/>
      <c r="AF58" s="152"/>
      <c r="AG58" s="152"/>
      <c r="AH58" s="152"/>
      <c r="AI58" s="152"/>
      <c r="AJ58" s="152"/>
      <c r="AK58" s="152"/>
      <c r="AL58" s="152"/>
      <c r="AM58" s="152"/>
      <c r="AN58" s="169"/>
    </row>
    <row r="59" customFormat="false" ht="12.75" hidden="false" customHeight="false" outlineLevel="0" collapsed="false">
      <c r="B59" s="45"/>
      <c r="C59" s="45"/>
      <c r="D59" s="45"/>
      <c r="E59" s="45"/>
      <c r="F59" s="45"/>
      <c r="G59" s="45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69"/>
    </row>
  </sheetData>
  <dataValidations count="1">
    <dataValidation allowBlank="true" error="XLBVal:6=-426388837&#13;&#10;" errorStyle="information" operator="between" showDropDown="false" showErrorMessage="true" showInputMessage="true" sqref="J26" type="textLength">
      <formula1>0</formula1>
      <formula2>300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BD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2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P42" activeCellId="0" sqref="AP42"/>
    </sheetView>
  </sheetViews>
  <sheetFormatPr defaultColWidth="11.43359375" defaultRowHeight="12.75" zeroHeight="false" outlineLevelRow="0" outlineLevelCol="1"/>
  <cols>
    <col collapsed="false" customWidth="true" hidden="false" outlineLevel="0" max="1" min="1" style="0" width="2.85"/>
    <col collapsed="false" customWidth="true" hidden="false" outlineLevel="0" max="2" min="2" style="0" width="39.43"/>
    <col collapsed="false" customWidth="true" hidden="false" outlineLevel="0" max="3" min="3" style="0" width="0.57"/>
    <col collapsed="false" customWidth="true" hidden="true" outlineLevel="1" max="5" min="4" style="173" width="10.85"/>
    <col collapsed="false" customWidth="true" hidden="true" outlineLevel="1" max="10" min="6" style="0" width="10.85"/>
    <col collapsed="false" customWidth="true" hidden="true" outlineLevel="1" max="11" min="11" style="0" width="7.15"/>
    <col collapsed="false" customWidth="true" hidden="true" outlineLevel="1" max="12" min="12" style="0" width="12.14"/>
    <col collapsed="false" customWidth="true" hidden="true" outlineLevel="1" max="13" min="13" style="0" width="10.14"/>
    <col collapsed="false" customWidth="false" hidden="true" outlineLevel="1" max="14" min="14" style="0" width="11.42"/>
    <col collapsed="false" customWidth="true" hidden="true" outlineLevel="1" max="39" min="15" style="0" width="11.14"/>
    <col collapsed="false" customWidth="true" hidden="false" outlineLevel="1" max="51" min="40" style="0" width="11.14"/>
    <col collapsed="false" customWidth="true" hidden="false" outlineLevel="0" max="53" min="53" style="0" width="11.57"/>
    <col collapsed="false" customWidth="true" hidden="false" outlineLevel="0" max="54" min="54" style="0" width="13.01"/>
    <col collapsed="false" customWidth="true" hidden="false" outlineLevel="0" max="55" min="55" style="0" width="15.15"/>
    <col collapsed="false" customWidth="true" hidden="false" outlineLevel="0" max="56" min="56" style="0" width="6.15"/>
  </cols>
  <sheetData>
    <row r="1" customFormat="false" ht="9" hidden="false" customHeight="true" outlineLevel="0" collapsed="false"/>
    <row r="2" customFormat="false" ht="21" hidden="false" customHeight="false" outlineLevel="0" collapsed="false">
      <c r="A2" s="5" t="s">
        <v>130</v>
      </c>
      <c r="B2" s="174"/>
      <c r="C2" s="21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  <c r="AL2" s="175"/>
      <c r="AM2" s="175"/>
      <c r="AN2" s="175"/>
      <c r="AO2" s="175"/>
      <c r="AP2" s="175"/>
      <c r="AQ2" s="175"/>
      <c r="AR2" s="175"/>
      <c r="AS2" s="175"/>
      <c r="AT2" s="175"/>
      <c r="AU2" s="175"/>
      <c r="AV2" s="175"/>
      <c r="AW2" s="175"/>
      <c r="AX2" s="175"/>
      <c r="AY2" s="175"/>
      <c r="AZ2" s="175"/>
      <c r="BA2" s="173"/>
    </row>
    <row r="3" customFormat="false" ht="4.5" hidden="false" customHeight="true" outlineLevel="0" collapsed="false"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3"/>
      <c r="AI3" s="173"/>
      <c r="AJ3" s="173"/>
      <c r="AK3" s="173"/>
      <c r="AL3" s="173"/>
      <c r="AM3" s="173"/>
      <c r="AN3" s="173"/>
      <c r="AO3" s="173"/>
      <c r="AP3" s="173"/>
      <c r="AQ3" s="173"/>
      <c r="AR3" s="173"/>
      <c r="AS3" s="173"/>
      <c r="AT3" s="173"/>
      <c r="AU3" s="173"/>
      <c r="AV3" s="173"/>
      <c r="AW3" s="173"/>
      <c r="AX3" s="173"/>
      <c r="AY3" s="173"/>
      <c r="AZ3" s="173"/>
    </row>
    <row r="4" customFormat="false" ht="12" hidden="false" customHeight="true" outlineLevel="0" collapsed="false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112"/>
    </row>
    <row r="5" s="108" customFormat="true" ht="12.75" hidden="false" customHeight="false" outlineLevel="0" collapsed="false">
      <c r="D5" s="10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 t="s">
        <v>20</v>
      </c>
      <c r="Q5" s="8" t="s">
        <v>21</v>
      </c>
      <c r="R5" s="8" t="s">
        <v>4</v>
      </c>
      <c r="S5" s="8" t="s">
        <v>5</v>
      </c>
      <c r="T5" s="8" t="s">
        <v>6</v>
      </c>
      <c r="U5" s="8" t="s">
        <v>7</v>
      </c>
      <c r="V5" s="8" t="s">
        <v>8</v>
      </c>
      <c r="W5" s="8" t="s">
        <v>15</v>
      </c>
      <c r="X5" s="8" t="s">
        <v>16</v>
      </c>
      <c r="Y5" s="8" t="s">
        <v>17</v>
      </c>
      <c r="Z5" s="8" t="s">
        <v>18</v>
      </c>
      <c r="AA5" s="8" t="s">
        <v>19</v>
      </c>
      <c r="AB5" s="8" t="s">
        <v>20</v>
      </c>
      <c r="AC5" s="8" t="s">
        <v>21</v>
      </c>
      <c r="AD5" s="8" t="s">
        <v>4</v>
      </c>
      <c r="AE5" s="8" t="s">
        <v>5</v>
      </c>
      <c r="AF5" s="8" t="s">
        <v>6</v>
      </c>
      <c r="AG5" s="8" t="s">
        <v>7</v>
      </c>
      <c r="AH5" s="8" t="s">
        <v>8</v>
      </c>
      <c r="AI5" s="8" t="s">
        <v>15</v>
      </c>
      <c r="AJ5" s="8" t="s">
        <v>16</v>
      </c>
      <c r="AK5" s="8" t="s">
        <v>17</v>
      </c>
      <c r="AL5" s="8" t="s">
        <v>18</v>
      </c>
      <c r="AM5" s="8" t="s">
        <v>19</v>
      </c>
      <c r="AN5" s="8" t="s">
        <v>20</v>
      </c>
      <c r="AO5" s="8" t="s">
        <v>76</v>
      </c>
      <c r="AP5" s="8" t="s">
        <v>4</v>
      </c>
      <c r="AQ5" s="8" t="s">
        <v>14</v>
      </c>
      <c r="AR5" s="8" t="s">
        <v>6</v>
      </c>
      <c r="AS5" s="8" t="s">
        <v>7</v>
      </c>
      <c r="AT5" s="8" t="s">
        <v>22</v>
      </c>
      <c r="AU5" s="8" t="s">
        <v>9</v>
      </c>
      <c r="AV5" s="8" t="s">
        <v>16</v>
      </c>
      <c r="AW5" s="8" t="s">
        <v>17</v>
      </c>
      <c r="AX5" s="8" t="s">
        <v>18</v>
      </c>
      <c r="AY5" s="8" t="s">
        <v>77</v>
      </c>
      <c r="AZ5" s="8"/>
      <c r="BA5" s="112"/>
    </row>
    <row r="6" s="176" customFormat="true" ht="27.75" hidden="false" customHeight="true" outlineLevel="0" collapsed="false">
      <c r="B6" s="176" t="s">
        <v>23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1" t="s">
        <v>25</v>
      </c>
      <c r="Q6" s="11" t="s">
        <v>25</v>
      </c>
      <c r="R6" s="11" t="s">
        <v>25</v>
      </c>
      <c r="S6" s="11" t="s">
        <v>25</v>
      </c>
      <c r="T6" s="11" t="s">
        <v>25</v>
      </c>
      <c r="U6" s="11" t="s">
        <v>25</v>
      </c>
      <c r="V6" s="11" t="s">
        <v>25</v>
      </c>
      <c r="W6" s="11" t="s">
        <v>25</v>
      </c>
      <c r="X6" s="11" t="s">
        <v>25</v>
      </c>
      <c r="Y6" s="11" t="s">
        <v>25</v>
      </c>
      <c r="Z6" s="11" t="s">
        <v>25</v>
      </c>
      <c r="AA6" s="11" t="s">
        <v>25</v>
      </c>
      <c r="AB6" s="11" t="s">
        <v>26</v>
      </c>
      <c r="AC6" s="11" t="s">
        <v>26</v>
      </c>
      <c r="AD6" s="11" t="s">
        <v>26</v>
      </c>
      <c r="AE6" s="11" t="s">
        <v>26</v>
      </c>
      <c r="AF6" s="11" t="s">
        <v>26</v>
      </c>
      <c r="AG6" s="11" t="s">
        <v>26</v>
      </c>
      <c r="AH6" s="11" t="s">
        <v>26</v>
      </c>
      <c r="AI6" s="11" t="s">
        <v>26</v>
      </c>
      <c r="AJ6" s="11" t="s">
        <v>26</v>
      </c>
      <c r="AK6" s="11" t="s">
        <v>26</v>
      </c>
      <c r="AL6" s="11" t="s">
        <v>26</v>
      </c>
      <c r="AM6" s="11" t="s">
        <v>131</v>
      </c>
      <c r="AN6" s="112" t="s">
        <v>28</v>
      </c>
      <c r="AO6" s="112" t="s">
        <v>28</v>
      </c>
      <c r="AP6" s="112" t="s">
        <v>28</v>
      </c>
      <c r="AQ6" s="112" t="s">
        <v>28</v>
      </c>
      <c r="AR6" s="112" t="s">
        <v>28</v>
      </c>
      <c r="AS6" s="112" t="s">
        <v>28</v>
      </c>
      <c r="AT6" s="112" t="s">
        <v>28</v>
      </c>
      <c r="AU6" s="112" t="s">
        <v>28</v>
      </c>
      <c r="AV6" s="112" t="s">
        <v>28</v>
      </c>
      <c r="AW6" s="112" t="s">
        <v>28</v>
      </c>
      <c r="AX6" s="112" t="s">
        <v>28</v>
      </c>
      <c r="AY6" s="112" t="s">
        <v>28</v>
      </c>
      <c r="AZ6" s="177" t="n">
        <v>2024</v>
      </c>
      <c r="BA6" s="10"/>
    </row>
    <row r="7" customFormat="false" ht="3.75" hidden="false" customHeight="true" outlineLevel="0" collapsed="false">
      <c r="F7" s="178"/>
      <c r="G7" s="178"/>
      <c r="H7" s="178"/>
      <c r="I7" s="178"/>
      <c r="J7" s="178"/>
      <c r="K7" s="178"/>
      <c r="L7" s="178"/>
      <c r="M7" s="178"/>
      <c r="N7" s="178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  <c r="AE7" s="173"/>
      <c r="AF7" s="173"/>
      <c r="AG7" s="173"/>
      <c r="AH7" s="173"/>
      <c r="AI7" s="173"/>
      <c r="AJ7" s="173"/>
      <c r="AK7" s="173"/>
      <c r="AL7" s="173"/>
      <c r="AM7" s="173"/>
      <c r="AN7" s="173"/>
      <c r="AO7" s="173"/>
      <c r="AP7" s="173"/>
      <c r="AQ7" s="173"/>
      <c r="AR7" s="173"/>
      <c r="AS7" s="173"/>
      <c r="AT7" s="173"/>
      <c r="AU7" s="173"/>
      <c r="AV7" s="173"/>
      <c r="AW7" s="173"/>
      <c r="AX7" s="173"/>
      <c r="AY7" s="173"/>
      <c r="AZ7" s="179"/>
      <c r="BA7" s="173"/>
    </row>
    <row r="8" s="1" customFormat="true" ht="19.5" hidden="false" customHeight="true" outlineLevel="0" collapsed="false">
      <c r="A8" s="180" t="s">
        <v>132</v>
      </c>
      <c r="B8" s="181"/>
      <c r="C8" s="18"/>
      <c r="D8" s="119" t="n">
        <f aca="false">'CA Mobile'!D8</f>
        <v>0</v>
      </c>
      <c r="E8" s="119" t="n">
        <f aca="false">'CA Mobile'!E8</f>
        <v>0</v>
      </c>
      <c r="F8" s="182" t="n">
        <f aca="false">'CA Mobile'!F8</f>
        <v>0</v>
      </c>
      <c r="G8" s="182" t="n">
        <f aca="false">'CA Mobile'!G8</f>
        <v>0</v>
      </c>
      <c r="H8" s="182" t="n">
        <f aca="false">'CA Mobile'!H8</f>
        <v>0</v>
      </c>
      <c r="I8" s="182" t="n">
        <f aca="false">'CA Mobile'!I8</f>
        <v>0</v>
      </c>
      <c r="J8" s="182" t="n">
        <f aca="false">'CA Mobile'!J8</f>
        <v>0</v>
      </c>
      <c r="K8" s="182" t="n">
        <f aca="false">'CA Mobile'!K8</f>
        <v>0</v>
      </c>
      <c r="L8" s="182" t="n">
        <f aca="false">'CA Mobile'!L8</f>
        <v>0</v>
      </c>
      <c r="M8" s="182" t="n">
        <f aca="false">'CA Mobile'!M8</f>
        <v>0</v>
      </c>
      <c r="N8" s="182" t="n">
        <f aca="false">'CA Mobile'!N8</f>
        <v>0</v>
      </c>
      <c r="O8" s="119" t="n">
        <f aca="false">'CA Mobile'!O8</f>
        <v>0</v>
      </c>
      <c r="P8" s="119" t="n">
        <f aca="false">'CA Mobile'!P8</f>
        <v>0</v>
      </c>
      <c r="Q8" s="119" t="n">
        <f aca="false">'CA Mobile'!Q8</f>
        <v>0</v>
      </c>
      <c r="R8" s="119" t="n">
        <f aca="false">'CA Mobile'!R8</f>
        <v>0</v>
      </c>
      <c r="S8" s="119" t="n">
        <f aca="false">'CA Mobile'!S8</f>
        <v>0</v>
      </c>
      <c r="T8" s="119" t="n">
        <f aca="false">'CA Mobile'!T8</f>
        <v>0</v>
      </c>
      <c r="U8" s="119" t="n">
        <v>0</v>
      </c>
      <c r="V8" s="119" t="n">
        <f aca="false">'CA Mobile'!V8</f>
        <v>0</v>
      </c>
      <c r="W8" s="119" t="n">
        <f aca="false">'CA Mobile'!W8</f>
        <v>0</v>
      </c>
      <c r="X8" s="119" t="n">
        <v>0</v>
      </c>
      <c r="Y8" s="119" t="n">
        <f aca="false">'CA Mobile'!Y8</f>
        <v>0</v>
      </c>
      <c r="Z8" s="119" t="n">
        <f aca="false">'CA Mobile'!Z8</f>
        <v>0</v>
      </c>
      <c r="AA8" s="119" t="n">
        <f aca="false">'CA Mobile'!AA8</f>
        <v>0</v>
      </c>
      <c r="AB8" s="119" t="n">
        <f aca="false">'CA Mobile'!AB8</f>
        <v>0</v>
      </c>
      <c r="AC8" s="119" t="n">
        <f aca="false">'CA Mobile'!AC8</f>
        <v>0</v>
      </c>
      <c r="AD8" s="119" t="n">
        <f aca="false">'CA Mobile'!AD8</f>
        <v>0</v>
      </c>
      <c r="AE8" s="119" t="n">
        <v>0</v>
      </c>
      <c r="AF8" s="119" t="n">
        <v>0</v>
      </c>
      <c r="AG8" s="119" t="n">
        <v>0</v>
      </c>
      <c r="AH8" s="119" t="n">
        <v>0</v>
      </c>
      <c r="AI8" s="119" t="n">
        <v>0</v>
      </c>
      <c r="AJ8" s="119" t="n">
        <v>0</v>
      </c>
      <c r="AK8" s="119" t="n">
        <v>0</v>
      </c>
      <c r="AL8" s="119" t="n">
        <v>0</v>
      </c>
      <c r="AM8" s="119" t="n">
        <v>0</v>
      </c>
      <c r="AN8" s="119" t="n">
        <f aca="false">'CA Mobile'!AY8</f>
        <v>0</v>
      </c>
      <c r="AO8" s="119" t="n">
        <f aca="false">'CA Mobile'!AZ8</f>
        <v>0</v>
      </c>
      <c r="AP8" s="119" t="n">
        <f aca="false">'CA Mobile'!BA8</f>
        <v>0</v>
      </c>
      <c r="AQ8" s="119" t="n">
        <f aca="false">'CA Mobile'!BB8</f>
        <v>0</v>
      </c>
      <c r="AR8" s="119" t="n">
        <f aca="false">'CA Mobile'!BC8</f>
        <v>0</v>
      </c>
      <c r="AS8" s="119" t="n">
        <f aca="false">'CA Mobile'!BD8</f>
        <v>0</v>
      </c>
      <c r="AT8" s="119" t="n">
        <f aca="false">'CA Mobile'!BE8</f>
        <v>0</v>
      </c>
      <c r="AU8" s="119" t="n">
        <f aca="false">'CA Mobile'!BF8</f>
        <v>0</v>
      </c>
      <c r="AV8" s="119" t="n">
        <f aca="false">'CA Mobile'!BG8</f>
        <v>0</v>
      </c>
      <c r="AW8" s="119" t="n">
        <f aca="false">'CA Mobile'!BH8</f>
        <v>0</v>
      </c>
      <c r="AX8" s="119" t="n">
        <f aca="false">'CA Mobile'!BI8</f>
        <v>0</v>
      </c>
      <c r="AY8" s="119"/>
      <c r="AZ8" s="183" t="n">
        <f aca="false">SUM(AN8:AY8)</f>
        <v>0</v>
      </c>
      <c r="BA8" s="184"/>
    </row>
    <row r="9" customFormat="false" ht="15" hidden="false" customHeight="true" outlineLevel="0" collapsed="false">
      <c r="A9" s="185"/>
      <c r="B9" s="186" t="s">
        <v>133</v>
      </c>
      <c r="C9" s="68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8"/>
      <c r="R9" s="188"/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9"/>
      <c r="BA9" s="53"/>
    </row>
    <row r="10" customFormat="false" ht="15" hidden="false" customHeight="true" outlineLevel="0" collapsed="false">
      <c r="A10" s="190"/>
      <c r="B10" s="191" t="s">
        <v>134</v>
      </c>
      <c r="C10" s="68"/>
      <c r="D10" s="192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2"/>
      <c r="P10" s="192"/>
      <c r="Q10" s="194"/>
      <c r="R10" s="194"/>
      <c r="S10" s="194"/>
      <c r="T10" s="194"/>
      <c r="U10" s="194"/>
      <c r="V10" s="194"/>
      <c r="W10" s="194"/>
      <c r="X10" s="194"/>
      <c r="Y10" s="194"/>
      <c r="Z10" s="194"/>
      <c r="AA10" s="194"/>
      <c r="AB10" s="194"/>
      <c r="AC10" s="194"/>
      <c r="AD10" s="194"/>
      <c r="AE10" s="194"/>
      <c r="AF10" s="194"/>
      <c r="AG10" s="194"/>
      <c r="AH10" s="194"/>
      <c r="AI10" s="194"/>
      <c r="AJ10" s="194"/>
      <c r="AK10" s="194"/>
      <c r="AL10" s="194"/>
      <c r="AM10" s="194"/>
      <c r="AN10" s="194"/>
      <c r="AO10" s="194"/>
      <c r="AP10" s="194"/>
      <c r="AQ10" s="194"/>
      <c r="AR10" s="194"/>
      <c r="AS10" s="194"/>
      <c r="AT10" s="194"/>
      <c r="AU10" s="194"/>
      <c r="AV10" s="194"/>
      <c r="AW10" s="194"/>
      <c r="AX10" s="194"/>
      <c r="AY10" s="194"/>
      <c r="AZ10" s="195"/>
      <c r="BA10" s="53"/>
    </row>
    <row r="11" customFormat="false" ht="15" hidden="false" customHeight="true" outlineLevel="0" collapsed="false">
      <c r="A11" s="196"/>
      <c r="B11" s="197" t="s">
        <v>135</v>
      </c>
      <c r="C11" s="18"/>
      <c r="D11" s="198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8"/>
      <c r="P11" s="198"/>
      <c r="Q11" s="200"/>
      <c r="R11" s="200"/>
      <c r="S11" s="200"/>
      <c r="T11" s="200"/>
      <c r="U11" s="200"/>
      <c r="V11" s="200"/>
      <c r="W11" s="200"/>
      <c r="X11" s="200"/>
      <c r="Y11" s="200"/>
      <c r="Z11" s="200"/>
      <c r="AA11" s="200"/>
      <c r="AB11" s="200"/>
      <c r="AC11" s="200"/>
      <c r="AD11" s="200"/>
      <c r="AE11" s="200"/>
      <c r="AF11" s="200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0"/>
      <c r="AR11" s="200"/>
      <c r="AS11" s="200"/>
      <c r="AT11" s="200"/>
      <c r="AU11" s="200"/>
      <c r="AV11" s="200"/>
      <c r="AW11" s="200"/>
      <c r="AX11" s="200"/>
      <c r="AY11" s="200"/>
      <c r="AZ11" s="201"/>
      <c r="BA11" s="202"/>
      <c r="BB11" s="51"/>
      <c r="BC11" s="51"/>
      <c r="BD11" s="51"/>
    </row>
    <row r="12" customFormat="false" ht="15" hidden="false" customHeight="true" outlineLevel="0" collapsed="false">
      <c r="A12" s="185"/>
      <c r="B12" s="186" t="s">
        <v>133</v>
      </c>
      <c r="C12" s="68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9"/>
      <c r="BA12" s="53"/>
    </row>
    <row r="13" customFormat="false" ht="15" hidden="false" customHeight="true" outlineLevel="0" collapsed="false">
      <c r="A13" s="190"/>
      <c r="B13" s="191" t="s">
        <v>134</v>
      </c>
      <c r="C13" s="6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4"/>
      <c r="R13" s="194"/>
      <c r="S13" s="194"/>
      <c r="T13" s="194"/>
      <c r="U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94"/>
      <c r="AW13" s="194"/>
      <c r="AX13" s="194"/>
      <c r="AY13" s="194"/>
      <c r="AZ13" s="195"/>
      <c r="BA13" s="53"/>
    </row>
    <row r="14" customFormat="false" ht="15" hidden="false" customHeight="true" outlineLevel="0" collapsed="false">
      <c r="A14" s="196"/>
      <c r="B14" s="197" t="s">
        <v>136</v>
      </c>
      <c r="C14" s="18"/>
      <c r="D14" s="198"/>
      <c r="E14" s="198"/>
      <c r="F14" s="199"/>
      <c r="G14" s="199"/>
      <c r="H14" s="199"/>
      <c r="I14" s="199"/>
      <c r="J14" s="199"/>
      <c r="K14" s="199"/>
      <c r="L14" s="199"/>
      <c r="M14" s="199"/>
      <c r="N14" s="199"/>
      <c r="O14" s="198"/>
      <c r="P14" s="198"/>
      <c r="Q14" s="200"/>
      <c r="R14" s="200"/>
      <c r="S14" s="200"/>
      <c r="T14" s="200"/>
      <c r="U14" s="200"/>
      <c r="V14" s="200"/>
      <c r="W14" s="200"/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0"/>
      <c r="AR14" s="200"/>
      <c r="AS14" s="200"/>
      <c r="AT14" s="200"/>
      <c r="AU14" s="200"/>
      <c r="AV14" s="200"/>
      <c r="AW14" s="200"/>
      <c r="AX14" s="200"/>
      <c r="AY14" s="200"/>
      <c r="AZ14" s="201"/>
      <c r="BA14" s="202"/>
      <c r="BB14" s="51"/>
      <c r="BC14" s="51"/>
      <c r="BD14" s="51"/>
    </row>
    <row r="15" customFormat="false" ht="15" hidden="false" customHeight="true" outlineLevel="0" collapsed="false">
      <c r="A15" s="185"/>
      <c r="B15" s="186" t="s">
        <v>133</v>
      </c>
      <c r="C15" s="68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9"/>
      <c r="BA15" s="53"/>
    </row>
    <row r="16" customFormat="false" ht="15" hidden="false" customHeight="true" outlineLevel="0" collapsed="false">
      <c r="A16" s="190"/>
      <c r="B16" s="191" t="s">
        <v>134</v>
      </c>
      <c r="C16" s="68"/>
      <c r="D16" s="192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2"/>
      <c r="P16" s="192"/>
      <c r="Q16" s="194"/>
      <c r="R16" s="194"/>
      <c r="S16" s="194"/>
      <c r="T16" s="194"/>
      <c r="U16" s="194"/>
      <c r="V16" s="194"/>
      <c r="W16" s="194"/>
      <c r="X16" s="194"/>
      <c r="Y16" s="194"/>
      <c r="Z16" s="194"/>
      <c r="AA16" s="194"/>
      <c r="AB16" s="194"/>
      <c r="AC16" s="194"/>
      <c r="AD16" s="194"/>
      <c r="AE16" s="194"/>
      <c r="AF16" s="194"/>
      <c r="AG16" s="194"/>
      <c r="AH16" s="194"/>
      <c r="AI16" s="194"/>
      <c r="AJ16" s="194"/>
      <c r="AK16" s="194"/>
      <c r="AL16" s="194"/>
      <c r="AM16" s="194"/>
      <c r="AN16" s="194"/>
      <c r="AO16" s="194"/>
      <c r="AP16" s="194"/>
      <c r="AQ16" s="194"/>
      <c r="AR16" s="194"/>
      <c r="AS16" s="194"/>
      <c r="AT16" s="194"/>
      <c r="AU16" s="194"/>
      <c r="AV16" s="194"/>
      <c r="AW16" s="194"/>
      <c r="AX16" s="194"/>
      <c r="AY16" s="194"/>
      <c r="AZ16" s="195"/>
      <c r="BA16" s="53"/>
    </row>
    <row r="17" customFormat="false" ht="15" hidden="false" customHeight="true" outlineLevel="0" collapsed="false">
      <c r="A17" s="196"/>
      <c r="B17" s="197" t="s">
        <v>137</v>
      </c>
      <c r="C17" s="18"/>
      <c r="D17" s="198"/>
      <c r="E17" s="198"/>
      <c r="F17" s="199"/>
      <c r="G17" s="199"/>
      <c r="H17" s="199"/>
      <c r="I17" s="199"/>
      <c r="J17" s="199"/>
      <c r="K17" s="199"/>
      <c r="L17" s="199"/>
      <c r="M17" s="199"/>
      <c r="N17" s="199"/>
      <c r="O17" s="198"/>
      <c r="P17" s="198"/>
      <c r="Q17" s="200"/>
      <c r="R17" s="200"/>
      <c r="S17" s="200"/>
      <c r="T17" s="200"/>
      <c r="U17" s="200"/>
      <c r="V17" s="200"/>
      <c r="W17" s="200"/>
      <c r="X17" s="200"/>
      <c r="Y17" s="200"/>
      <c r="Z17" s="200"/>
      <c r="AA17" s="200"/>
      <c r="AB17" s="200"/>
      <c r="AC17" s="200"/>
      <c r="AD17" s="200"/>
      <c r="AE17" s="200"/>
      <c r="AF17" s="200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0"/>
      <c r="AR17" s="200"/>
      <c r="AS17" s="200"/>
      <c r="AT17" s="200"/>
      <c r="AU17" s="200"/>
      <c r="AV17" s="200"/>
      <c r="AW17" s="200"/>
      <c r="AX17" s="200"/>
      <c r="AY17" s="200"/>
      <c r="AZ17" s="201"/>
      <c r="BA17" s="202"/>
      <c r="BB17" s="51"/>
      <c r="BC17" s="51"/>
      <c r="BD17" s="51"/>
    </row>
    <row r="18" customFormat="false" ht="15" hidden="false" customHeight="true" outlineLevel="0" collapsed="false">
      <c r="A18" s="185"/>
      <c r="B18" s="186" t="s">
        <v>133</v>
      </c>
      <c r="C18" s="68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7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  <c r="AN18" s="188"/>
      <c r="AO18" s="188"/>
      <c r="AP18" s="188"/>
      <c r="AQ18" s="188"/>
      <c r="AR18" s="188"/>
      <c r="AS18" s="188"/>
      <c r="AT18" s="188"/>
      <c r="AU18" s="188"/>
      <c r="AV18" s="188"/>
      <c r="AW18" s="188"/>
      <c r="AX18" s="188"/>
      <c r="AY18" s="188"/>
      <c r="AZ18" s="189"/>
      <c r="BA18" s="53"/>
      <c r="BC18" s="142" t="n">
        <f aca="false">+'[27]BG Momo'!$I$23</f>
        <v>0</v>
      </c>
    </row>
    <row r="19" customFormat="false" ht="15" hidden="false" customHeight="true" outlineLevel="0" collapsed="false">
      <c r="A19" s="190"/>
      <c r="B19" s="191" t="s">
        <v>134</v>
      </c>
      <c r="C19" s="68"/>
      <c r="D19" s="192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2"/>
      <c r="P19" s="192"/>
      <c r="Q19" s="194"/>
      <c r="R19" s="194"/>
      <c r="S19" s="194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4"/>
      <c r="AX19" s="194"/>
      <c r="AY19" s="194"/>
      <c r="AZ19" s="195"/>
      <c r="BA19" s="53"/>
    </row>
    <row r="20" customFormat="false" ht="15" hidden="false" customHeight="true" outlineLevel="0" collapsed="false">
      <c r="A20" s="196"/>
      <c r="B20" s="197" t="s">
        <v>138</v>
      </c>
      <c r="C20" s="18"/>
      <c r="D20" s="198"/>
      <c r="E20" s="198"/>
      <c r="F20" s="199"/>
      <c r="G20" s="199"/>
      <c r="H20" s="199"/>
      <c r="I20" s="199"/>
      <c r="J20" s="199"/>
      <c r="K20" s="199"/>
      <c r="L20" s="199"/>
      <c r="M20" s="199"/>
      <c r="N20" s="199"/>
      <c r="O20" s="198"/>
      <c r="P20" s="198"/>
      <c r="Q20" s="200"/>
      <c r="R20" s="200"/>
      <c r="S20" s="200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0"/>
      <c r="AX20" s="200"/>
      <c r="AY20" s="200"/>
      <c r="AZ20" s="201"/>
      <c r="BA20" s="202"/>
      <c r="BB20" s="51"/>
      <c r="BC20" s="51"/>
      <c r="BD20" s="51"/>
    </row>
    <row r="21" customFormat="false" ht="15" hidden="false" customHeight="true" outlineLevel="0" collapsed="false">
      <c r="A21" s="185"/>
      <c r="B21" s="186" t="s">
        <v>139</v>
      </c>
      <c r="C21" s="68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4"/>
      <c r="R21" s="204"/>
      <c r="S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  <c r="AO21" s="204"/>
      <c r="AP21" s="204"/>
      <c r="AQ21" s="204"/>
      <c r="AR21" s="204"/>
      <c r="AS21" s="204"/>
      <c r="AT21" s="204"/>
      <c r="AU21" s="204"/>
      <c r="AV21" s="204"/>
      <c r="AW21" s="204"/>
      <c r="AX21" s="204"/>
      <c r="AY21" s="204"/>
      <c r="AZ21" s="205"/>
      <c r="BA21" s="53"/>
    </row>
    <row r="22" customFormat="false" ht="15" hidden="false" customHeight="true" outlineLevel="0" collapsed="false">
      <c r="A22" s="190"/>
      <c r="B22" s="191" t="s">
        <v>134</v>
      </c>
      <c r="C22" s="68"/>
      <c r="D22" s="192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2"/>
      <c r="P22" s="192"/>
      <c r="Q22" s="194"/>
      <c r="R22" s="194"/>
      <c r="S22" s="194"/>
      <c r="T22" s="194"/>
      <c r="U22" s="194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94"/>
      <c r="AH22" s="194"/>
      <c r="AI22" s="194"/>
      <c r="AJ22" s="194"/>
      <c r="AK22" s="194"/>
      <c r="AL22" s="194"/>
      <c r="AM22" s="194"/>
      <c r="AN22" s="194"/>
      <c r="AO22" s="194"/>
      <c r="AP22" s="194"/>
      <c r="AQ22" s="194"/>
      <c r="AR22" s="194"/>
      <c r="AS22" s="194"/>
      <c r="AT22" s="194"/>
      <c r="AU22" s="194"/>
      <c r="AV22" s="206"/>
      <c r="AW22" s="194"/>
      <c r="AX22" s="194"/>
      <c r="AY22" s="194"/>
      <c r="AZ22" s="195"/>
      <c r="BA22" s="53"/>
    </row>
    <row r="23" customFormat="false" ht="15" hidden="true" customHeight="true" outlineLevel="0" collapsed="false">
      <c r="A23" s="190"/>
      <c r="B23" s="191" t="s">
        <v>140</v>
      </c>
      <c r="C23" s="68"/>
      <c r="D23" s="207"/>
      <c r="E23" s="207"/>
      <c r="F23" s="208"/>
      <c r="G23" s="208"/>
      <c r="H23" s="208"/>
      <c r="I23" s="208"/>
      <c r="J23" s="208"/>
      <c r="K23" s="208"/>
      <c r="L23" s="208"/>
      <c r="M23" s="208"/>
      <c r="N23" s="208"/>
      <c r="O23" s="207"/>
      <c r="P23" s="207"/>
      <c r="Q23" s="209"/>
      <c r="R23" s="209"/>
      <c r="S23" s="209"/>
      <c r="T23" s="209"/>
      <c r="U23" s="209"/>
      <c r="V23" s="209"/>
      <c r="W23" s="209"/>
      <c r="X23" s="209"/>
      <c r="Y23" s="209"/>
      <c r="Z23" s="209"/>
      <c r="AA23" s="209"/>
      <c r="AB23" s="209"/>
      <c r="AC23" s="209"/>
      <c r="AD23" s="209"/>
      <c r="AE23" s="209"/>
      <c r="AF23" s="209"/>
      <c r="AG23" s="209"/>
      <c r="AH23" s="209"/>
      <c r="AI23" s="209"/>
      <c r="AJ23" s="209"/>
      <c r="AK23" s="209"/>
      <c r="AL23" s="209"/>
      <c r="AM23" s="209"/>
      <c r="AN23" s="209"/>
      <c r="AO23" s="209"/>
      <c r="AP23" s="209"/>
      <c r="AQ23" s="209"/>
      <c r="AR23" s="209"/>
      <c r="AS23" s="209"/>
      <c r="AT23" s="209"/>
      <c r="AU23" s="209"/>
      <c r="AV23" s="209"/>
      <c r="AW23" s="209"/>
      <c r="AX23" s="209"/>
      <c r="AY23" s="209"/>
      <c r="AZ23" s="210"/>
      <c r="BA23" s="53"/>
    </row>
    <row r="24" customFormat="false" ht="15" hidden="true" customHeight="true" outlineLevel="0" collapsed="false">
      <c r="A24" s="190"/>
      <c r="B24" s="191" t="s">
        <v>134</v>
      </c>
      <c r="C24" s="68"/>
      <c r="D24" s="192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2"/>
      <c r="P24" s="192"/>
      <c r="Q24" s="194"/>
      <c r="R24" s="194"/>
      <c r="S24" s="194"/>
      <c r="T24" s="194"/>
      <c r="U24" s="194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94"/>
      <c r="AH24" s="194"/>
      <c r="AI24" s="194"/>
      <c r="AJ24" s="194"/>
      <c r="AK24" s="194"/>
      <c r="AL24" s="194"/>
      <c r="AM24" s="194"/>
      <c r="AN24" s="194"/>
      <c r="AO24" s="194"/>
      <c r="AP24" s="194"/>
      <c r="AQ24" s="194"/>
      <c r="AR24" s="194"/>
      <c r="AS24" s="194"/>
      <c r="AT24" s="194"/>
      <c r="AU24" s="194"/>
      <c r="AV24" s="194"/>
      <c r="AW24" s="194"/>
      <c r="AX24" s="194"/>
      <c r="AY24" s="194"/>
      <c r="AZ24" s="195"/>
      <c r="BA24" s="53"/>
    </row>
    <row r="25" customFormat="false" ht="15" hidden="false" customHeight="true" outlineLevel="0" collapsed="false">
      <c r="A25" s="211"/>
      <c r="B25" s="197" t="s">
        <v>141</v>
      </c>
      <c r="C25" s="212"/>
      <c r="D25" s="198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198"/>
      <c r="Q25" s="200"/>
      <c r="R25" s="200"/>
      <c r="S25" s="200"/>
      <c r="T25" s="200"/>
      <c r="U25" s="200"/>
      <c r="V25" s="200"/>
      <c r="W25" s="200"/>
      <c r="X25" s="200"/>
      <c r="Y25" s="200"/>
      <c r="Z25" s="200"/>
      <c r="AA25" s="200"/>
      <c r="AB25" s="200"/>
      <c r="AC25" s="200"/>
      <c r="AD25" s="200"/>
      <c r="AE25" s="200"/>
      <c r="AF25" s="200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0"/>
      <c r="AR25" s="200"/>
      <c r="AS25" s="200"/>
      <c r="AT25" s="200"/>
      <c r="AU25" s="200"/>
      <c r="AV25" s="200"/>
      <c r="AW25" s="200"/>
      <c r="AX25" s="200"/>
      <c r="AY25" s="200"/>
      <c r="AZ25" s="201"/>
      <c r="BA25" s="202"/>
      <c r="BB25" s="51"/>
      <c r="BC25" s="51" t="n">
        <f aca="false">'[28]BG Momo'!$L$11</f>
        <v>-431010580</v>
      </c>
      <c r="BD25" s="51"/>
    </row>
    <row r="26" customFormat="false" ht="15" hidden="false" customHeight="true" outlineLevel="0" collapsed="false">
      <c r="A26" s="185"/>
      <c r="B26" s="186" t="s">
        <v>142</v>
      </c>
      <c r="C26" s="68"/>
      <c r="D26" s="187"/>
      <c r="E26" s="187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4"/>
      <c r="R26" s="214"/>
      <c r="S26" s="214"/>
      <c r="T26" s="214"/>
      <c r="U26" s="214"/>
      <c r="V26" s="214"/>
      <c r="W26" s="214"/>
      <c r="X26" s="214"/>
      <c r="Y26" s="214"/>
      <c r="Z26" s="214"/>
      <c r="AA26" s="214"/>
      <c r="AB26" s="214"/>
      <c r="AC26" s="214"/>
      <c r="AD26" s="214"/>
      <c r="AE26" s="214"/>
      <c r="AF26" s="214"/>
      <c r="AG26" s="214"/>
      <c r="AH26" s="214"/>
      <c r="AI26" s="214"/>
      <c r="AJ26" s="214"/>
      <c r="AK26" s="214"/>
      <c r="AL26" s="214"/>
      <c r="AM26" s="214"/>
      <c r="AN26" s="214"/>
      <c r="AO26" s="214"/>
      <c r="AP26" s="214"/>
      <c r="AQ26" s="214"/>
      <c r="AR26" s="214"/>
      <c r="AS26" s="214"/>
      <c r="AT26" s="214"/>
      <c r="AU26" s="214"/>
      <c r="AV26" s="214"/>
      <c r="AW26" s="214"/>
      <c r="AX26" s="214"/>
      <c r="AY26" s="214"/>
      <c r="AZ26" s="189"/>
      <c r="BA26" s="206"/>
    </row>
    <row r="27" customFormat="false" ht="15" hidden="false" customHeight="true" outlineLevel="0" collapsed="false">
      <c r="A27" s="190"/>
      <c r="B27" s="191" t="s">
        <v>134</v>
      </c>
      <c r="C27" s="68"/>
      <c r="D27" s="192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2"/>
      <c r="P27" s="192"/>
      <c r="Q27" s="192"/>
      <c r="R27" s="192"/>
      <c r="S27" s="192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4"/>
      <c r="AX27" s="194"/>
      <c r="AY27" s="194"/>
      <c r="AZ27" s="195"/>
      <c r="BA27" s="53"/>
    </row>
    <row r="28" customFormat="false" ht="15" hidden="false" customHeight="true" outlineLevel="0" collapsed="false">
      <c r="A28" s="196"/>
      <c r="B28" s="197" t="s">
        <v>143</v>
      </c>
      <c r="C28" s="18"/>
      <c r="D28" s="198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 t="n">
        <f aca="false">+AT20</f>
        <v>0</v>
      </c>
      <c r="AY28" s="215"/>
      <c r="AZ28" s="201"/>
      <c r="BA28" s="216"/>
      <c r="BB28" s="51"/>
      <c r="BC28" s="51"/>
      <c r="BD28" s="51"/>
    </row>
    <row r="29" customFormat="false" ht="15" hidden="false" customHeight="true" outlineLevel="0" collapsed="false">
      <c r="A29" s="217"/>
      <c r="B29" s="218" t="s">
        <v>144</v>
      </c>
      <c r="C29" s="18"/>
      <c r="D29" s="219"/>
      <c r="E29" s="219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1"/>
      <c r="R29" s="221"/>
      <c r="S29" s="221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1"/>
      <c r="AX29" s="221"/>
      <c r="AY29" s="221"/>
      <c r="AZ29" s="222"/>
      <c r="BA29" s="202"/>
      <c r="BB29" s="51"/>
      <c r="BC29" s="51"/>
      <c r="BD29" s="51"/>
    </row>
    <row r="30" customFormat="false" ht="1.5" hidden="false" customHeight="true" outlineLevel="0" collapsed="false">
      <c r="A30" s="223"/>
      <c r="B30" s="224"/>
      <c r="C30" s="212"/>
      <c r="D30" s="225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5"/>
      <c r="P30" s="225"/>
      <c r="Q30" s="227"/>
      <c r="R30" s="227"/>
      <c r="S30" s="227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7"/>
      <c r="AX30" s="227"/>
      <c r="AY30" s="227"/>
      <c r="AZ30" s="228"/>
      <c r="BA30" s="229"/>
    </row>
    <row r="31" customFormat="false" ht="15" hidden="false" customHeight="true" outlineLevel="0" collapsed="false">
      <c r="A31" s="230"/>
      <c r="B31" s="231" t="s">
        <v>145</v>
      </c>
      <c r="C31" s="18"/>
      <c r="D31" s="34" t="n">
        <f aca="false">SUM(D32:D35)</f>
        <v>55200422</v>
      </c>
      <c r="E31" s="34" t="n">
        <f aca="false">SUM(E32:E35)</f>
        <v>42367549</v>
      </c>
      <c r="F31" s="232" t="n">
        <f aca="false">SUM(F32:F35)</f>
        <v>28904193</v>
      </c>
      <c r="G31" s="232" t="n">
        <f aca="false">SUM(G32:G35)</f>
        <v>42458421</v>
      </c>
      <c r="H31" s="232" t="n">
        <f aca="false">SUM(H32:H35)</f>
        <v>32149914</v>
      </c>
      <c r="I31" s="232" t="n">
        <f aca="false">SUM(I32:I35)</f>
        <v>25253867</v>
      </c>
      <c r="J31" s="232" t="n">
        <f aca="false">SUM(J32:J35)</f>
        <v>80516153</v>
      </c>
      <c r="K31" s="232" t="n">
        <f aca="false">SUM(K32:K35)</f>
        <v>80516153</v>
      </c>
      <c r="L31" s="232" t="n">
        <f aca="false">SUM(L32:L35)</f>
        <v>80516153</v>
      </c>
      <c r="M31" s="232" t="n">
        <f aca="false">SUM(M32:M35)</f>
        <v>80516153</v>
      </c>
      <c r="N31" s="232" t="n">
        <f aca="false">SUM(N32:N35)</f>
        <v>80516153</v>
      </c>
      <c r="O31" s="34" t="n">
        <f aca="false">SUM(O32:O35)</f>
        <v>80516153</v>
      </c>
      <c r="P31" s="34" t="n">
        <f aca="false">SUM(P32:P35)</f>
        <v>80516153</v>
      </c>
      <c r="Q31" s="34" t="n">
        <f aca="false">SUM(Q32:Q35)</f>
        <v>80516153</v>
      </c>
      <c r="R31" s="34" t="n">
        <f aca="false">SUM(R32:R35)</f>
        <v>80516153</v>
      </c>
      <c r="S31" s="34" t="n">
        <f aca="false">SUM(S32:S35)</f>
        <v>80516153</v>
      </c>
      <c r="T31" s="34" t="n">
        <f aca="false">SUM(T32:T35)</f>
        <v>80516153</v>
      </c>
      <c r="U31" s="34" t="n">
        <v>40104587</v>
      </c>
      <c r="V31" s="34" t="n">
        <f aca="false">SUM(V32:V35)</f>
        <v>80516153</v>
      </c>
      <c r="W31" s="34" t="n">
        <f aca="false">SUM(W32:W35)</f>
        <v>80516153</v>
      </c>
      <c r="X31" s="34" t="n">
        <v>-28395624.1302352</v>
      </c>
      <c r="Y31" s="34" t="n">
        <f aca="false">SUM(Y32:Y35)</f>
        <v>80516153</v>
      </c>
      <c r="Z31" s="34" t="n">
        <f aca="false">SUM(Z32:Z35)</f>
        <v>80516153</v>
      </c>
      <c r="AA31" s="34" t="n">
        <f aca="false">SUM(AA32:AA35)</f>
        <v>80516153</v>
      </c>
      <c r="AB31" s="34" t="n">
        <f aca="false">SUM(AB32:AB35)</f>
        <v>80516153</v>
      </c>
      <c r="AC31" s="34" t="n">
        <f aca="false">SUM(AC32:AC35)</f>
        <v>80516153</v>
      </c>
      <c r="AD31" s="34" t="n">
        <f aca="false">SUM(AD32:AD35)</f>
        <v>80516153</v>
      </c>
      <c r="AE31" s="34" t="n">
        <v>30823902</v>
      </c>
      <c r="AF31" s="34" t="n">
        <v>19840831</v>
      </c>
      <c r="AG31" s="34" t="n">
        <v>17693198</v>
      </c>
      <c r="AH31" s="34" t="n">
        <v>28827141</v>
      </c>
      <c r="AI31" s="34" t="n">
        <v>22601249</v>
      </c>
      <c r="AJ31" s="34" t="n">
        <v>17308736</v>
      </c>
      <c r="AK31" s="34" t="n">
        <v>31536601</v>
      </c>
      <c r="AL31" s="34" t="n">
        <v>690911.999999997</v>
      </c>
      <c r="AM31" s="34" t="n">
        <v>27436532</v>
      </c>
      <c r="AN31" s="34" t="n">
        <f aca="false">SUM(AN32:AN35)</f>
        <v>34618808</v>
      </c>
      <c r="AO31" s="34" t="n">
        <f aca="false">SUM(AO32:AO35)</f>
        <v>37772426</v>
      </c>
      <c r="AP31" s="34" t="n">
        <f aca="false">SUM(AP32:AP35)</f>
        <v>47698819</v>
      </c>
      <c r="AQ31" s="34" t="n">
        <f aca="false">SUM(AQ32:AQ35)</f>
        <v>0</v>
      </c>
      <c r="AR31" s="34" t="n">
        <f aca="false">SUM(AR32:AR35)</f>
        <v>0</v>
      </c>
      <c r="AS31" s="34" t="n">
        <f aca="false">SUM(AS32:AS35)</f>
        <v>0</v>
      </c>
      <c r="AT31" s="34" t="n">
        <f aca="false">SUM(AT32:AT35)</f>
        <v>0</v>
      </c>
      <c r="AU31" s="34" t="n">
        <f aca="false">SUM(AU32:AU35)</f>
        <v>0</v>
      </c>
      <c r="AV31" s="34" t="n">
        <f aca="false">SUM(AV32:AV35)</f>
        <v>0</v>
      </c>
      <c r="AW31" s="34" t="n">
        <f aca="false">SUM(AW32:AW35)</f>
        <v>0</v>
      </c>
      <c r="AX31" s="34" t="n">
        <f aca="false">SUM(AX32:AX35)</f>
        <v>0</v>
      </c>
      <c r="AY31" s="34" t="n">
        <f aca="false">SUM(AY32:AY35)</f>
        <v>0</v>
      </c>
      <c r="AZ31" s="233" t="n">
        <f aca="false">SUM(AZ32:AZ35)</f>
        <v>120090053</v>
      </c>
      <c r="BA31" s="202"/>
    </row>
    <row r="32" customFormat="false" ht="15" hidden="false" customHeight="true" outlineLevel="0" collapsed="false">
      <c r="A32" s="230"/>
      <c r="B32" s="234" t="s">
        <v>146</v>
      </c>
      <c r="C32" s="18"/>
      <c r="D32" s="235" t="n">
        <v>55200422</v>
      </c>
      <c r="E32" s="235" t="n">
        <v>42367549</v>
      </c>
      <c r="F32" s="235" t="n">
        <v>28904193</v>
      </c>
      <c r="G32" s="235" t="n">
        <v>42458421</v>
      </c>
      <c r="H32" s="235" t="n">
        <v>32149914</v>
      </c>
      <c r="I32" s="235" t="n">
        <f aca="false">+'[15]YTD Juin'!$J$554*1000000</f>
        <v>25253867</v>
      </c>
      <c r="J32" s="236" t="n">
        <f aca="false">+'[29]BG ETI'!$L$340+'[29]BG ETI'!$L$344</f>
        <v>80516153</v>
      </c>
      <c r="K32" s="236" t="n">
        <f aca="false">+'[29]BG ETI'!$L$340+'[29]BG ETI'!$L$344</f>
        <v>80516153</v>
      </c>
      <c r="L32" s="236" t="n">
        <f aca="false">+'[29]BG ETI'!$L$340+'[29]BG ETI'!$L$344</f>
        <v>80516153</v>
      </c>
      <c r="M32" s="236" t="n">
        <f aca="false">+'[29]BG ETI'!$L$340+'[29]BG ETI'!$L$344</f>
        <v>80516153</v>
      </c>
      <c r="N32" s="236" t="n">
        <f aca="false">+'[29]BG ETI'!$L$340+'[29]BG ETI'!$L$344</f>
        <v>80516153</v>
      </c>
      <c r="O32" s="236" t="n">
        <f aca="false">+'[29]BG ETI'!$L$340+'[29]BG ETI'!$L$344</f>
        <v>80516153</v>
      </c>
      <c r="P32" s="236" t="n">
        <f aca="false">+'[29]BG ETI'!$L$340+'[29]BG ETI'!$L$344</f>
        <v>80516153</v>
      </c>
      <c r="Q32" s="236" t="n">
        <f aca="false">+'[29]BG ETI'!$L$340+'[29]BG ETI'!$L$344</f>
        <v>80516153</v>
      </c>
      <c r="R32" s="236" t="n">
        <f aca="false">+'[29]BG ETI'!$L$340+'[29]BG ETI'!$L$344</f>
        <v>80516153</v>
      </c>
      <c r="S32" s="236" t="n">
        <f aca="false">+'[29]BG ETI'!$L$340+'[29]BG ETI'!$L$344</f>
        <v>80516153</v>
      </c>
      <c r="T32" s="236" t="n">
        <f aca="false">+'[29]BG ETI'!$L$340+'[29]BG ETI'!$L$344</f>
        <v>80516153</v>
      </c>
      <c r="U32" s="236" t="n">
        <f aca="false">+'[29]BG ETI'!$L$340+'[29]BG ETI'!$L$344</f>
        <v>80516153</v>
      </c>
      <c r="V32" s="236" t="n">
        <f aca="false">+'[29]BG ETI'!$L$340+'[29]BG ETI'!$L$344</f>
        <v>80516153</v>
      </c>
      <c r="W32" s="236" t="n">
        <f aca="false">+'[29]BG ETI'!$L$340+'[29]BG ETI'!$L$344</f>
        <v>80516153</v>
      </c>
      <c r="X32" s="236" t="n">
        <f aca="false">+'[29]BG ETI'!$L$340+'[29]BG ETI'!$L$344</f>
        <v>80516153</v>
      </c>
      <c r="Y32" s="236" t="n">
        <f aca="false">+'[29]BG ETI'!$L$340+'[29]BG ETI'!$L$344</f>
        <v>80516153</v>
      </c>
      <c r="Z32" s="236" t="n">
        <f aca="false">+'[29]BG ETI'!$L$340+'[29]BG ETI'!$L$344</f>
        <v>80516153</v>
      </c>
      <c r="AA32" s="236" t="n">
        <f aca="false">+'[29]BG ETI'!$L$340+'[29]BG ETI'!$L$344</f>
        <v>80516153</v>
      </c>
      <c r="AB32" s="236" t="n">
        <f aca="false">+'[29]BG ETI'!$L$340+'[29]BG ETI'!$L$344</f>
        <v>80516153</v>
      </c>
      <c r="AC32" s="236" t="n">
        <f aca="false">+'[29]BG ETI'!$L$340+'[29]BG ETI'!$L$344</f>
        <v>80516153</v>
      </c>
      <c r="AD32" s="236" t="n">
        <f aca="false">+'[29]BG ETI'!$L$340+'[29]BG ETI'!$L$344</f>
        <v>80516153</v>
      </c>
      <c r="AE32" s="236" t="n">
        <f aca="false">+'[29]BG ETI'!$L$340+'[29]BG ETI'!$L$344</f>
        <v>80516153</v>
      </c>
      <c r="AF32" s="236" t="n">
        <f aca="false">+'[29]BG ETI'!$L$340+'[29]BG ETI'!$L$344</f>
        <v>80516153</v>
      </c>
      <c r="AG32" s="236" t="n">
        <f aca="false">+'[29]BG ETI'!$L$340+'[29]BG ETI'!$L$344</f>
        <v>80516153</v>
      </c>
      <c r="AH32" s="236" t="n">
        <f aca="false">+'[29]BG ETI'!$L$340+'[29]BG ETI'!$L$344</f>
        <v>80516153</v>
      </c>
      <c r="AI32" s="236" t="n">
        <f aca="false">+'[29]BG ETI'!$L$340+'[29]BG ETI'!$L$344</f>
        <v>80516153</v>
      </c>
      <c r="AJ32" s="236" t="n">
        <f aca="false">+'[29]BG ETI'!$L$340+'[29]BG ETI'!$L$344</f>
        <v>80516153</v>
      </c>
      <c r="AK32" s="236" t="n">
        <f aca="false">+'[29]BG ETI'!$L$340+'[29]BG ETI'!$L$344</f>
        <v>80516153</v>
      </c>
      <c r="AL32" s="236" t="n">
        <f aca="false">+'[29]BG ETI'!$L$340+'[29]BG ETI'!$L$344</f>
        <v>80516153</v>
      </c>
      <c r="AM32" s="236" t="n">
        <f aca="false">+'[29]BG ETI'!$L$340+'[29]BG ETI'!$L$344</f>
        <v>80516153</v>
      </c>
      <c r="AN32" s="236" t="n">
        <f aca="false">SUMIFS('[27]BG ETI'!$L$1:$L$1048576,'[27]BG ETI'!$A$1:$A$1048576,"601230")+SUMIFS('[27]BG ETI'!$L$1:$L$1048576,'[27]BG ETI'!$A$1:$A$1048576,"603130")</f>
        <v>34618808</v>
      </c>
      <c r="AO32" s="236" t="n">
        <v>37772426</v>
      </c>
      <c r="AP32" s="236" t="n">
        <f aca="false">SUMIFS('[28]BG ETI'!$L$1:$L$1048576,'[28]BG ETI'!$A$1:$A$1048576,"601230")+SUMIFS('[28]BG ETI'!$L$1:$L$1048576,'[28]BG ETI'!$A$1:$A$1048576,"603130")</f>
        <v>47698819</v>
      </c>
      <c r="AQ32" s="236"/>
      <c r="AR32" s="236"/>
      <c r="AS32" s="236"/>
      <c r="AT32" s="236"/>
      <c r="AU32" s="236"/>
      <c r="AV32" s="236"/>
      <c r="AW32" s="236"/>
      <c r="AX32" s="236"/>
      <c r="AY32" s="236"/>
      <c r="AZ32" s="237" t="n">
        <f aca="false">SUM(AN32:AY32)</f>
        <v>120090053</v>
      </c>
      <c r="BA32" s="53" t="s">
        <v>147</v>
      </c>
      <c r="BB32" s="238"/>
      <c r="BC32" s="63"/>
    </row>
    <row r="33" s="246" customFormat="true" ht="15" hidden="false" customHeight="true" outlineLevel="0" collapsed="false">
      <c r="A33" s="239"/>
      <c r="B33" s="234" t="s">
        <v>148</v>
      </c>
      <c r="C33" s="240"/>
      <c r="D33" s="241"/>
      <c r="E33" s="241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3"/>
      <c r="R33" s="243"/>
      <c r="S33" s="243"/>
      <c r="T33" s="243"/>
      <c r="U33" s="243"/>
      <c r="V33" s="243"/>
      <c r="W33" s="243"/>
      <c r="X33" s="243"/>
      <c r="Y33" s="243"/>
      <c r="Z33" s="243"/>
      <c r="AA33" s="243"/>
      <c r="AB33" s="243"/>
      <c r="AC33" s="243"/>
      <c r="AD33" s="243"/>
      <c r="AE33" s="243"/>
      <c r="AF33" s="243"/>
      <c r="AG33" s="243"/>
      <c r="AH33" s="243"/>
      <c r="AI33" s="243"/>
      <c r="AJ33" s="243"/>
      <c r="AK33" s="243"/>
      <c r="AL33" s="243"/>
      <c r="AM33" s="243"/>
      <c r="AN33" s="243"/>
      <c r="AO33" s="243"/>
      <c r="AP33" s="243"/>
      <c r="AQ33" s="243"/>
      <c r="AR33" s="243"/>
      <c r="AS33" s="243"/>
      <c r="AT33" s="243"/>
      <c r="AU33" s="243"/>
      <c r="AV33" s="243"/>
      <c r="AW33" s="243"/>
      <c r="AX33" s="243"/>
      <c r="AY33" s="243"/>
      <c r="AZ33" s="244"/>
      <c r="BA33" s="245"/>
    </row>
    <row r="34" s="246" customFormat="true" ht="15" hidden="false" customHeight="true" outlineLevel="0" collapsed="false">
      <c r="A34" s="239"/>
      <c r="B34" s="234" t="s">
        <v>149</v>
      </c>
      <c r="C34" s="240"/>
      <c r="D34" s="241"/>
      <c r="E34" s="241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3"/>
      <c r="R34" s="243"/>
      <c r="S34" s="243"/>
      <c r="T34" s="243"/>
      <c r="U34" s="243"/>
      <c r="V34" s="243"/>
      <c r="W34" s="243"/>
      <c r="X34" s="243"/>
      <c r="Y34" s="243"/>
      <c r="Z34" s="243"/>
      <c r="AA34" s="243"/>
      <c r="AB34" s="243"/>
      <c r="AC34" s="243"/>
      <c r="AD34" s="243"/>
      <c r="AE34" s="243"/>
      <c r="AF34" s="243"/>
      <c r="AG34" s="243"/>
      <c r="AH34" s="243"/>
      <c r="AI34" s="243"/>
      <c r="AJ34" s="243"/>
      <c r="AK34" s="243"/>
      <c r="AL34" s="243"/>
      <c r="AM34" s="243"/>
      <c r="AN34" s="243"/>
      <c r="AO34" s="243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4"/>
      <c r="BA34" s="247" t="n">
        <v>1000000</v>
      </c>
    </row>
    <row r="35" s="246" customFormat="true" ht="15" hidden="false" customHeight="true" outlineLevel="0" collapsed="false">
      <c r="A35" s="239"/>
      <c r="B35" s="234" t="s">
        <v>150</v>
      </c>
      <c r="C35" s="240"/>
      <c r="D35" s="241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1"/>
      <c r="P35" s="241"/>
      <c r="Q35" s="241"/>
      <c r="R35" s="241"/>
      <c r="S35" s="241"/>
      <c r="T35" s="241"/>
      <c r="U35" s="241"/>
      <c r="V35" s="241"/>
      <c r="W35" s="248"/>
      <c r="X35" s="248"/>
      <c r="Y35" s="248"/>
      <c r="Z35" s="248"/>
      <c r="AA35" s="248"/>
      <c r="AB35" s="248"/>
      <c r="AC35" s="248"/>
      <c r="AD35" s="248"/>
      <c r="AE35" s="248"/>
      <c r="AF35" s="248"/>
      <c r="AG35" s="248"/>
      <c r="AH35" s="248"/>
      <c r="AI35" s="248"/>
      <c r="AJ35" s="248"/>
      <c r="AK35" s="248"/>
      <c r="AL35" s="248"/>
      <c r="AM35" s="248"/>
      <c r="AN35" s="248"/>
      <c r="AO35" s="248"/>
      <c r="AP35" s="248"/>
      <c r="AQ35" s="248"/>
      <c r="AR35" s="248"/>
      <c r="AS35" s="248"/>
      <c r="AT35" s="248"/>
      <c r="AU35" s="248"/>
      <c r="AV35" s="248"/>
      <c r="AW35" s="248"/>
      <c r="AX35" s="248"/>
      <c r="AY35" s="248"/>
      <c r="AZ35" s="244"/>
      <c r="BA35" s="245"/>
    </row>
    <row r="36" s="246" customFormat="true" ht="15" hidden="false" customHeight="true" outlineLevel="0" collapsed="false">
      <c r="A36" s="239"/>
      <c r="B36" s="231" t="s">
        <v>151</v>
      </c>
      <c r="C36" s="240"/>
      <c r="D36" s="34"/>
      <c r="E36" s="249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1"/>
      <c r="R36" s="251"/>
      <c r="S36" s="251"/>
      <c r="T36" s="251"/>
      <c r="U36" s="251"/>
      <c r="V36" s="251"/>
      <c r="W36" s="251"/>
      <c r="X36" s="251"/>
      <c r="Y36" s="251"/>
      <c r="Z36" s="251"/>
      <c r="AA36" s="251"/>
      <c r="AB36" s="251"/>
      <c r="AC36" s="251"/>
      <c r="AD36" s="251"/>
      <c r="AE36" s="251"/>
      <c r="AF36" s="251"/>
      <c r="AG36" s="251"/>
      <c r="AH36" s="251"/>
      <c r="AI36" s="251"/>
      <c r="AJ36" s="251"/>
      <c r="AK36" s="251"/>
      <c r="AL36" s="251"/>
      <c r="AM36" s="251"/>
      <c r="AN36" s="251"/>
      <c r="AO36" s="251"/>
      <c r="AP36" s="251"/>
      <c r="AQ36" s="251"/>
      <c r="AR36" s="251"/>
      <c r="AS36" s="251"/>
      <c r="AT36" s="251"/>
      <c r="AU36" s="251"/>
      <c r="AV36" s="251"/>
      <c r="AW36" s="251"/>
      <c r="AX36" s="251"/>
      <c r="AY36" s="251"/>
      <c r="AZ36" s="252"/>
      <c r="BA36" s="253"/>
      <c r="BB36" s="51"/>
      <c r="BC36" s="51"/>
      <c r="BD36" s="51"/>
    </row>
    <row r="37" s="246" customFormat="true" ht="15" hidden="false" customHeight="true" outlineLevel="0" collapsed="false">
      <c r="A37" s="239"/>
      <c r="B37" s="231" t="s">
        <v>152</v>
      </c>
      <c r="C37" s="240"/>
      <c r="D37" s="34"/>
      <c r="E37" s="249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1"/>
      <c r="R37" s="251"/>
      <c r="S37" s="251"/>
      <c r="T37" s="251"/>
      <c r="U37" s="251"/>
      <c r="V37" s="251"/>
      <c r="W37" s="251"/>
      <c r="X37" s="251"/>
      <c r="Y37" s="251"/>
      <c r="Z37" s="251"/>
      <c r="AA37" s="251"/>
      <c r="AB37" s="251"/>
      <c r="AC37" s="251"/>
      <c r="AD37" s="251"/>
      <c r="AE37" s="251"/>
      <c r="AF37" s="251"/>
      <c r="AG37" s="251"/>
      <c r="AH37" s="251"/>
      <c r="AI37" s="251"/>
      <c r="AJ37" s="251"/>
      <c r="AK37" s="251"/>
      <c r="AL37" s="251"/>
      <c r="AM37" s="251"/>
      <c r="AN37" s="251"/>
      <c r="AO37" s="251"/>
      <c r="AP37" s="251"/>
      <c r="AQ37" s="251"/>
      <c r="AR37" s="251"/>
      <c r="AS37" s="251"/>
      <c r="AT37" s="251"/>
      <c r="AU37" s="251"/>
      <c r="AV37" s="251"/>
      <c r="AW37" s="251"/>
      <c r="AX37" s="251"/>
      <c r="AY37" s="251"/>
      <c r="AZ37" s="252"/>
      <c r="BA37" s="253"/>
    </row>
    <row r="38" customFormat="false" ht="15" hidden="false" customHeight="true" outlineLevel="0" collapsed="false">
      <c r="A38" s="230"/>
      <c r="B38" s="231" t="s">
        <v>153</v>
      </c>
      <c r="C38" s="18"/>
      <c r="D38" s="34" t="n">
        <f aca="false">SUM(D39:D40)</f>
        <v>0</v>
      </c>
      <c r="E38" s="34" t="n">
        <f aca="false">SUM(E39:E40)</f>
        <v>0</v>
      </c>
      <c r="F38" s="232" t="n">
        <f aca="false">SUM(F39:F40)</f>
        <v>0</v>
      </c>
      <c r="G38" s="232" t="n">
        <f aca="false">SUM(G39:G40)</f>
        <v>0</v>
      </c>
      <c r="H38" s="232" t="n">
        <f aca="false">SUM(H39:H40)</f>
        <v>0</v>
      </c>
      <c r="I38" s="232" t="n">
        <f aca="false">SUM(I39:I40)</f>
        <v>0</v>
      </c>
      <c r="J38" s="232" t="n">
        <f aca="false">SUM(J39:J40)</f>
        <v>0</v>
      </c>
      <c r="K38" s="232" t="n">
        <f aca="false">SUM(K39:K40)</f>
        <v>0</v>
      </c>
      <c r="L38" s="232" t="n">
        <f aca="false">SUM(L39:L40)</f>
        <v>0</v>
      </c>
      <c r="M38" s="232" t="n">
        <f aca="false">SUM(M39:M40)</f>
        <v>0</v>
      </c>
      <c r="N38" s="232" t="n">
        <f aca="false">SUM(N39:N40)</f>
        <v>0</v>
      </c>
      <c r="O38" s="34" t="n">
        <f aca="false">SUM(O39:O40)</f>
        <v>0</v>
      </c>
      <c r="P38" s="34" t="n">
        <f aca="false">SUM(P39:P40)</f>
        <v>0</v>
      </c>
      <c r="Q38" s="34" t="n">
        <f aca="false">SUM(Q39:Q40)</f>
        <v>0</v>
      </c>
      <c r="R38" s="34" t="n">
        <f aca="false">SUM(R39:R40)</f>
        <v>0</v>
      </c>
      <c r="S38" s="34" t="n">
        <f aca="false">SUM(S39:S40)</f>
        <v>0</v>
      </c>
      <c r="T38" s="34" t="n">
        <f aca="false">SUM(T39:T40)</f>
        <v>0</v>
      </c>
      <c r="U38" s="34" t="n">
        <v>0</v>
      </c>
      <c r="V38" s="34" t="n">
        <f aca="false">SUM(V39:V40)</f>
        <v>0</v>
      </c>
      <c r="W38" s="34" t="n">
        <f aca="false">SUM(W39:W40)</f>
        <v>0</v>
      </c>
      <c r="X38" s="34" t="n">
        <v>0</v>
      </c>
      <c r="Y38" s="34" t="n">
        <f aca="false">SUM(Y39:Y40)</f>
        <v>0</v>
      </c>
      <c r="Z38" s="34" t="n">
        <f aca="false">SUM(Z39:Z40)</f>
        <v>0</v>
      </c>
      <c r="AA38" s="34" t="n">
        <f aca="false">SUM(AA39:AA40)</f>
        <v>0</v>
      </c>
      <c r="AB38" s="34" t="n">
        <f aca="false">SUM(AB39:AB40)</f>
        <v>0</v>
      </c>
      <c r="AC38" s="34" t="n">
        <f aca="false">SUM(AC39:AC40)</f>
        <v>0</v>
      </c>
      <c r="AD38" s="34" t="n">
        <f aca="false">SUM(AD39:AD40)</f>
        <v>0</v>
      </c>
      <c r="AE38" s="34" t="n">
        <v>0</v>
      </c>
      <c r="AF38" s="34" t="n">
        <v>0</v>
      </c>
      <c r="AG38" s="34" t="n">
        <v>0</v>
      </c>
      <c r="AH38" s="34" t="n">
        <v>0</v>
      </c>
      <c r="AI38" s="34" t="n">
        <v>0</v>
      </c>
      <c r="AJ38" s="34" t="n">
        <v>0</v>
      </c>
      <c r="AK38" s="34" t="n">
        <v>0</v>
      </c>
      <c r="AL38" s="34" t="n">
        <v>0</v>
      </c>
      <c r="AM38" s="34" t="n">
        <v>0</v>
      </c>
      <c r="AN38" s="34" t="n">
        <f aca="false">SUM(AN39:AN40)</f>
        <v>0</v>
      </c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233" t="n">
        <f aca="false">SUM(AZ39:AZ40)</f>
        <v>0</v>
      </c>
      <c r="BA38" s="202"/>
      <c r="BB38" s="51"/>
      <c r="BC38" s="51"/>
      <c r="BD38" s="51"/>
    </row>
    <row r="39" customFormat="false" ht="15" hidden="false" customHeight="true" outlineLevel="0" collapsed="false">
      <c r="A39" s="190"/>
      <c r="B39" s="234" t="s">
        <v>154</v>
      </c>
      <c r="C39" s="68"/>
      <c r="D39" s="241"/>
      <c r="E39" s="254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55"/>
      <c r="Q39" s="256"/>
      <c r="R39" s="256"/>
      <c r="S39" s="256"/>
      <c r="T39" s="256"/>
      <c r="U39" s="256"/>
      <c r="V39" s="256"/>
      <c r="W39" s="256"/>
      <c r="X39" s="256"/>
      <c r="Y39" s="256"/>
      <c r="Z39" s="256"/>
      <c r="AA39" s="256"/>
      <c r="AB39" s="256"/>
      <c r="AC39" s="256"/>
      <c r="AD39" s="256"/>
      <c r="AE39" s="256"/>
      <c r="AF39" s="256"/>
      <c r="AG39" s="256"/>
      <c r="AH39" s="256"/>
      <c r="AI39" s="256"/>
      <c r="AJ39" s="256"/>
      <c r="AK39" s="256"/>
      <c r="AL39" s="256"/>
      <c r="AM39" s="256"/>
      <c r="AN39" s="256"/>
      <c r="AO39" s="256"/>
      <c r="AP39" s="256"/>
      <c r="AQ39" s="256"/>
      <c r="AR39" s="256"/>
      <c r="AS39" s="256"/>
      <c r="AT39" s="256"/>
      <c r="AU39" s="256"/>
      <c r="AV39" s="256"/>
      <c r="AW39" s="256"/>
      <c r="AX39" s="256"/>
      <c r="AY39" s="256"/>
      <c r="AZ39" s="237"/>
      <c r="BA39" s="53"/>
    </row>
    <row r="40" customFormat="false" ht="15" hidden="false" customHeight="true" outlineLevel="0" collapsed="false">
      <c r="A40" s="190"/>
      <c r="B40" s="234" t="s">
        <v>155</v>
      </c>
      <c r="C40" s="68"/>
      <c r="D40" s="241"/>
      <c r="E40" s="254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55"/>
      <c r="Q40" s="256"/>
      <c r="R40" s="256"/>
      <c r="S40" s="256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6"/>
      <c r="AX40" s="256"/>
      <c r="AY40" s="256"/>
      <c r="AZ40" s="237"/>
      <c r="BA40" s="53"/>
    </row>
    <row r="41" customFormat="false" ht="6" hidden="false" customHeight="true" outlineLevel="0" collapsed="false">
      <c r="A41" s="257"/>
      <c r="B41" s="258"/>
      <c r="C41" s="68"/>
      <c r="D41" s="148"/>
      <c r="E41" s="148"/>
      <c r="F41" s="259"/>
      <c r="G41" s="259"/>
      <c r="H41" s="259"/>
      <c r="I41" s="259"/>
      <c r="J41" s="259"/>
      <c r="K41" s="259"/>
      <c r="L41" s="259"/>
      <c r="M41" s="259"/>
      <c r="N41" s="259"/>
      <c r="O41" s="148"/>
      <c r="P41" s="148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0"/>
      <c r="AU41" s="260"/>
      <c r="AV41" s="260"/>
      <c r="AW41" s="260"/>
      <c r="AX41" s="260"/>
      <c r="AY41" s="260"/>
      <c r="AZ41" s="261"/>
      <c r="BA41" s="53"/>
    </row>
    <row r="42" s="1" customFormat="true" ht="15" hidden="false" customHeight="true" outlineLevel="0" collapsed="false">
      <c r="A42" s="180" t="s">
        <v>156</v>
      </c>
      <c r="B42" s="181"/>
      <c r="C42" s="18"/>
      <c r="D42" s="119" t="n">
        <f aca="false">D11+D14+D17+D20+D25+D28+D29+D31+D36+D37+D38</f>
        <v>55200422</v>
      </c>
      <c r="E42" s="119" t="n">
        <f aca="false">E11+E14+E17+E20+E25+E28+E29+E31+E36+E37+E38</f>
        <v>42367549</v>
      </c>
      <c r="F42" s="182" t="n">
        <f aca="false">F11+F14+F17+F20+F25+F28+F29+F31+F36+F37+F38</f>
        <v>28904193</v>
      </c>
      <c r="G42" s="182" t="n">
        <f aca="false">G11+G14+G17+G20+G25+G28+G29+G31+G36+G37+G38</f>
        <v>42458421</v>
      </c>
      <c r="H42" s="182" t="n">
        <f aca="false">H11+H14+H17+H20+H25+H28+H29+H31+H36+H37+H38</f>
        <v>32149914</v>
      </c>
      <c r="I42" s="182" t="n">
        <f aca="false">I11+I14+I17+I20+I25+I28+I29+I31+I36+I37+I38</f>
        <v>25253867</v>
      </c>
      <c r="J42" s="182" t="n">
        <f aca="false">J11+J14+J17+J20+J25+J28+J29+J31+J36+J37+J38</f>
        <v>80516153</v>
      </c>
      <c r="K42" s="182" t="n">
        <f aca="false">K11+K14+K17+K20+K25+K28+K29+K31+K36+K37+K38</f>
        <v>80516153</v>
      </c>
      <c r="L42" s="182" t="n">
        <f aca="false">L11+L14+L17+L20+L25+L28+L29+L31+L36+L37+L38</f>
        <v>80516153</v>
      </c>
      <c r="M42" s="182" t="n">
        <f aca="false">M11+M14+M17+M20+M25+M28+M29+M31+M36+M37+M38</f>
        <v>80516153</v>
      </c>
      <c r="N42" s="182" t="n">
        <f aca="false">N11+N14+N17+N20+N25+N28+N29+N31+N36+N37+N38</f>
        <v>80516153</v>
      </c>
      <c r="O42" s="182" t="n">
        <f aca="false">O11+O14+O17+O20+O25+O28+O29+O31+O36+O37+O38</f>
        <v>80516153</v>
      </c>
      <c r="P42" s="182" t="n">
        <f aca="false">P11+P14+P17+P20+P25+P28+P29+P31+P36+P37+P38</f>
        <v>80516153</v>
      </c>
      <c r="Q42" s="182" t="n">
        <f aca="false">Q11+Q14+Q17+Q20+Q25+Q28+Q29+Q31+Q36+Q37+Q38</f>
        <v>80516153</v>
      </c>
      <c r="R42" s="182" t="n">
        <f aca="false">R11+R14+R17+R20+R25+R28+R29+R31+R36+R37+R38</f>
        <v>80516153</v>
      </c>
      <c r="S42" s="182" t="n">
        <f aca="false">S11+S14+S17+S20+S25+S28+S29+S31+S36+S37+S38</f>
        <v>80516153</v>
      </c>
      <c r="T42" s="182" t="n">
        <f aca="false">T11+T14+T17+T20+T25+T28+T29+T31+T36+T37+T38</f>
        <v>80516153</v>
      </c>
      <c r="U42" s="182" t="n">
        <v>40104587</v>
      </c>
      <c r="V42" s="182" t="n">
        <f aca="false">V11+V14+V17+V20+V25+V28+V29+V31+V36+V37+V38</f>
        <v>80516153</v>
      </c>
      <c r="W42" s="182" t="n">
        <f aca="false">W11+W14+W17+W20+W25+W28+W29+W31+W36+W37+W38</f>
        <v>80516153</v>
      </c>
      <c r="X42" s="182" t="n">
        <v>-28395624.1302352</v>
      </c>
      <c r="Y42" s="182" t="n">
        <f aca="false">Y11+Y14+Y17+Y20+Y25+Y28+Y29+Y31+Y36+Y37+Y38</f>
        <v>80516153</v>
      </c>
      <c r="Z42" s="182" t="n">
        <f aca="false">Z11+Z14+Z17+Z20+Z25+Z28+Z29+Z31+Z36+Z37+Z38</f>
        <v>80516153</v>
      </c>
      <c r="AA42" s="182" t="n">
        <f aca="false">AA11+AA14+AA17+AA20+AA25+AA28+AA29+AA31+AA36+AA37+AA38</f>
        <v>80516153</v>
      </c>
      <c r="AB42" s="182" t="n">
        <f aca="false">AB11+AB14+AB17+AB20+AB25+AB28+AB29+AB31+AB36+AB37+AB38</f>
        <v>80516153</v>
      </c>
      <c r="AC42" s="182" t="n">
        <f aca="false">AC11+AC14+AC17+AC20+AC25+AC28+AC29+AC31+AC36+AC37+AC38</f>
        <v>80516153</v>
      </c>
      <c r="AD42" s="182" t="n">
        <f aca="false">AD11+AD14+AD17+AD20+AD25+AD28+AD29+AD31+AD36+AD37+AD38</f>
        <v>80516153</v>
      </c>
      <c r="AE42" s="182" t="n">
        <v>30823902</v>
      </c>
      <c r="AF42" s="182" t="n">
        <v>19840831</v>
      </c>
      <c r="AG42" s="182" t="n">
        <v>17693198</v>
      </c>
      <c r="AH42" s="182" t="n">
        <v>28827141</v>
      </c>
      <c r="AI42" s="182" t="n">
        <v>22601249</v>
      </c>
      <c r="AJ42" s="182" t="n">
        <v>17308736</v>
      </c>
      <c r="AK42" s="182" t="n">
        <v>31536601</v>
      </c>
      <c r="AL42" s="182" t="n">
        <v>690911.999999997</v>
      </c>
      <c r="AM42" s="182" t="n">
        <v>27436532</v>
      </c>
      <c r="AN42" s="182" t="n">
        <f aca="false">AN11+AN14+AN17+AN20+AN25+AN28+AN29+AN31+AN36+AN37+AN38</f>
        <v>34618808</v>
      </c>
      <c r="AO42" s="182" t="n">
        <f aca="false">AO11+AO14+AO17+AO20+AO25+AO28+AO29+AO31+AO36+AO37+AO38</f>
        <v>37772426</v>
      </c>
      <c r="AP42" s="182" t="n">
        <f aca="false">AP11+AP14+AP17+AP20+AP25+AP28+AP29+AP31+AP36+AP37+AP38</f>
        <v>47698819</v>
      </c>
      <c r="AQ42" s="182" t="n">
        <f aca="false">AQ11+AQ14+AQ17+AQ20+AQ25+AQ28+AQ29+AQ31+AQ36+AQ37+AQ38</f>
        <v>0</v>
      </c>
      <c r="AR42" s="182" t="n">
        <f aca="false">AR11+AR14+AR17+AR20+AR25+AR28+AR29+AR31+AR36+AR37+AR38</f>
        <v>0</v>
      </c>
      <c r="AS42" s="182" t="n">
        <f aca="false">AS11+AS14+AS17+AS20+AS25+AS28+AS29+AS31+AS36+AS37+AS38</f>
        <v>0</v>
      </c>
      <c r="AT42" s="182" t="n">
        <f aca="false">AT11+AT14+AT17+AT20+AT25+AT28+AT29+AT31+AT36+AT37+AT38</f>
        <v>0</v>
      </c>
      <c r="AU42" s="182" t="n">
        <f aca="false">AU11+AU14+AU17+AU20+AU25+AU28+AU29+AU31+AU36+AU37+AU38</f>
        <v>0</v>
      </c>
      <c r="AV42" s="182" t="n">
        <f aca="false">AV11+AV14+AV17+AV20+AV25+AV28+AV29+AV31+AV36+AV37+AV38</f>
        <v>0</v>
      </c>
      <c r="AW42" s="182" t="n">
        <f aca="false">AW11+AW14+AW17+AW20+AW25+AW28+AW29+AW31+AW36+AW37+AW38</f>
        <v>0</v>
      </c>
      <c r="AX42" s="182" t="n">
        <f aca="false">AX11+AX14+AX17+AX20+AX25+AX28+AX29+AX31+AX36+AX37+AX38</f>
        <v>0</v>
      </c>
      <c r="AY42" s="182" t="n">
        <f aca="false">AY11+AY14+AY17+AY20+AY25+AY28+AY29+AY31+AY36+AY37+AY38</f>
        <v>0</v>
      </c>
      <c r="AZ42" s="183" t="n">
        <f aca="false">AZ11+AZ14+AZ17+AZ20+AZ25+AZ28+AZ29+AZ31+AZ36+AZ37+AZ38</f>
        <v>120090053</v>
      </c>
      <c r="BA42" s="184"/>
      <c r="BB42" s="91"/>
    </row>
    <row r="43" customFormat="false" ht="7.5" hidden="false" customHeight="true" outlineLevel="0" collapsed="false">
      <c r="C43" s="68"/>
      <c r="D43" s="105"/>
      <c r="E43" s="105"/>
      <c r="F43" s="256"/>
      <c r="G43" s="256"/>
      <c r="H43" s="256"/>
      <c r="I43" s="256"/>
      <c r="J43" s="256"/>
      <c r="K43" s="256"/>
      <c r="L43" s="256"/>
      <c r="M43" s="256"/>
      <c r="N43" s="256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  <c r="AD43" s="105"/>
      <c r="AE43" s="105"/>
      <c r="AF43" s="105"/>
      <c r="AG43" s="105"/>
      <c r="AH43" s="105"/>
      <c r="AI43" s="105"/>
      <c r="AJ43" s="105"/>
      <c r="AK43" s="105"/>
      <c r="AL43" s="105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237"/>
      <c r="BA43" s="53"/>
    </row>
    <row r="44" s="1" customFormat="true" ht="15" hidden="false" customHeight="true" outlineLevel="0" collapsed="false">
      <c r="A44" s="180" t="s">
        <v>37</v>
      </c>
      <c r="B44" s="181"/>
      <c r="C44" s="18"/>
      <c r="D44" s="19" t="n">
        <f aca="false">+D8-D42</f>
        <v>-55200422</v>
      </c>
      <c r="E44" s="19" t="n">
        <f aca="false">+E8-E42</f>
        <v>-42367549</v>
      </c>
      <c r="F44" s="262" t="n">
        <f aca="false">+F8-F42</f>
        <v>-28904193</v>
      </c>
      <c r="G44" s="262" t="n">
        <f aca="false">+G8-G42</f>
        <v>-42458421</v>
      </c>
      <c r="H44" s="262" t="n">
        <f aca="false">+H8-H42</f>
        <v>-32149914</v>
      </c>
      <c r="I44" s="262" t="n">
        <f aca="false">+I8-I42</f>
        <v>-25253867</v>
      </c>
      <c r="J44" s="262" t="n">
        <f aca="false">+J8-J42</f>
        <v>-80516153</v>
      </c>
      <c r="K44" s="262" t="n">
        <f aca="false">+K8-K42</f>
        <v>-80516153</v>
      </c>
      <c r="L44" s="262" t="n">
        <f aca="false">+L8-L42</f>
        <v>-80516153</v>
      </c>
      <c r="M44" s="262" t="n">
        <f aca="false">+M8-M42</f>
        <v>-80516153</v>
      </c>
      <c r="N44" s="262" t="n">
        <f aca="false">+N8-N42</f>
        <v>-80516153</v>
      </c>
      <c r="O44" s="19" t="n">
        <f aca="false">+O8-O42</f>
        <v>-80516153</v>
      </c>
      <c r="P44" s="19" t="n">
        <f aca="false">+P8-P42</f>
        <v>-80516153</v>
      </c>
      <c r="Q44" s="19" t="n">
        <f aca="false">+Q8-Q42</f>
        <v>-80516153</v>
      </c>
      <c r="R44" s="19" t="n">
        <f aca="false">+R8-R42</f>
        <v>-80516153</v>
      </c>
      <c r="S44" s="19" t="n">
        <f aca="false">+S8-S42</f>
        <v>-80516153</v>
      </c>
      <c r="T44" s="19" t="n">
        <f aca="false">+T8-T42</f>
        <v>-80516153</v>
      </c>
      <c r="U44" s="19" t="n">
        <v>-40104587</v>
      </c>
      <c r="V44" s="19" t="n">
        <f aca="false">+V8-V42</f>
        <v>-80516153</v>
      </c>
      <c r="W44" s="19" t="n">
        <f aca="false">+W8-W42</f>
        <v>-80516153</v>
      </c>
      <c r="X44" s="19" t="n">
        <v>28395624.1302352</v>
      </c>
      <c r="Y44" s="19" t="n">
        <f aca="false">+Y8-Y42</f>
        <v>-80516153</v>
      </c>
      <c r="Z44" s="19" t="n">
        <f aca="false">+Z8-Z42</f>
        <v>-80516153</v>
      </c>
      <c r="AA44" s="19" t="n">
        <f aca="false">+AA8-AA42</f>
        <v>-80516153</v>
      </c>
      <c r="AB44" s="19" t="n">
        <f aca="false">+AB8-AB42</f>
        <v>-80516153</v>
      </c>
      <c r="AC44" s="19" t="n">
        <f aca="false">+AC8-AC42</f>
        <v>-80516153</v>
      </c>
      <c r="AD44" s="19" t="n">
        <f aca="false">+AD8-AD42</f>
        <v>-80516153</v>
      </c>
      <c r="AE44" s="19" t="n">
        <v>-30823902</v>
      </c>
      <c r="AF44" s="19" t="n">
        <v>-19840831</v>
      </c>
      <c r="AG44" s="19" t="n">
        <v>-17693198</v>
      </c>
      <c r="AH44" s="19" t="n">
        <v>-28827141</v>
      </c>
      <c r="AI44" s="19" t="n">
        <v>-22601249</v>
      </c>
      <c r="AJ44" s="19" t="n">
        <v>-17308736</v>
      </c>
      <c r="AK44" s="19" t="n">
        <v>-31536601</v>
      </c>
      <c r="AL44" s="19" t="n">
        <v>-690911.999999997</v>
      </c>
      <c r="AM44" s="19" t="n">
        <v>-27436532</v>
      </c>
      <c r="AN44" s="19" t="n">
        <f aca="false">+AN8-AN42</f>
        <v>-34618808</v>
      </c>
      <c r="AO44" s="19" t="n">
        <f aca="false">+AO8-AO42</f>
        <v>-37772426</v>
      </c>
      <c r="AP44" s="19" t="n">
        <f aca="false">+AP8-AP42</f>
        <v>-47698819</v>
      </c>
      <c r="AQ44" s="19" t="n">
        <f aca="false">+AQ8-AQ42</f>
        <v>0</v>
      </c>
      <c r="AR44" s="19" t="n">
        <f aca="false">+AR8-AR42</f>
        <v>0</v>
      </c>
      <c r="AS44" s="19" t="n">
        <f aca="false">+AS8-AS42</f>
        <v>0</v>
      </c>
      <c r="AT44" s="19" t="n">
        <f aca="false">+AT8-AT42</f>
        <v>0</v>
      </c>
      <c r="AU44" s="19" t="n">
        <f aca="false">+AU8-AU42</f>
        <v>0</v>
      </c>
      <c r="AV44" s="19" t="n">
        <f aca="false">+AV8-AV42</f>
        <v>0</v>
      </c>
      <c r="AW44" s="19" t="n">
        <f aca="false">+AW8-AW42</f>
        <v>0</v>
      </c>
      <c r="AX44" s="19" t="n">
        <f aca="false">+AX8-AX42</f>
        <v>0</v>
      </c>
      <c r="AY44" s="19" t="n">
        <f aca="false">+AY8-AY42</f>
        <v>0</v>
      </c>
      <c r="AZ44" s="263" t="n">
        <f aca="false">+AZ8-AZ42</f>
        <v>-120090053</v>
      </c>
      <c r="BA44" s="184"/>
    </row>
    <row r="45" customFormat="false" ht="15" hidden="true" customHeight="true" outlineLevel="0" collapsed="false">
      <c r="A45" s="264" t="s">
        <v>157</v>
      </c>
      <c r="B45" s="265"/>
      <c r="C45" s="68"/>
      <c r="D45" s="266" t="e">
        <f aca="false">D44/D8</f>
        <v>#DIV/0!</v>
      </c>
      <c r="E45" s="266" t="e">
        <f aca="false">E44/E8</f>
        <v>#DIV/0!</v>
      </c>
      <c r="F45" s="267" t="e">
        <f aca="false">F44/F8</f>
        <v>#DIV/0!</v>
      </c>
      <c r="G45" s="267" t="e">
        <f aca="false">G44/G8</f>
        <v>#DIV/0!</v>
      </c>
      <c r="H45" s="267" t="e">
        <f aca="false">H44/H8</f>
        <v>#DIV/0!</v>
      </c>
      <c r="I45" s="267" t="e">
        <f aca="false">I44/I8</f>
        <v>#DIV/0!</v>
      </c>
      <c r="J45" s="267" t="e">
        <f aca="false">J44/J8</f>
        <v>#DIV/0!</v>
      </c>
      <c r="K45" s="267" t="e">
        <f aca="false">K44/K8</f>
        <v>#DIV/0!</v>
      </c>
      <c r="L45" s="267" t="e">
        <f aca="false">L44/L8</f>
        <v>#DIV/0!</v>
      </c>
      <c r="M45" s="267" t="e">
        <f aca="false">M44/M8</f>
        <v>#DIV/0!</v>
      </c>
      <c r="N45" s="267" t="e">
        <f aca="false">N44/N8</f>
        <v>#DIV/0!</v>
      </c>
      <c r="O45" s="266" t="e">
        <f aca="false">O44/O8</f>
        <v>#DIV/0!</v>
      </c>
      <c r="P45" s="266" t="e">
        <f aca="false">P44/P8</f>
        <v>#DIV/0!</v>
      </c>
      <c r="Q45" s="268"/>
      <c r="R45" s="268"/>
      <c r="S45" s="268"/>
      <c r="T45" s="268"/>
      <c r="U45" s="268"/>
      <c r="V45" s="268"/>
      <c r="W45" s="268"/>
      <c r="X45" s="268"/>
      <c r="Y45" s="268"/>
      <c r="Z45" s="268"/>
      <c r="AA45" s="268"/>
      <c r="AB45" s="268"/>
      <c r="AC45" s="268"/>
      <c r="AD45" s="268"/>
      <c r="AE45" s="268"/>
      <c r="AF45" s="268"/>
      <c r="AG45" s="268"/>
      <c r="AH45" s="268"/>
      <c r="AI45" s="268"/>
      <c r="AJ45" s="268"/>
      <c r="AK45" s="268"/>
      <c r="AL45" s="268"/>
      <c r="AM45" s="268"/>
      <c r="AN45" s="268"/>
      <c r="AO45" s="268"/>
      <c r="AP45" s="268"/>
      <c r="AQ45" s="268"/>
      <c r="AR45" s="268"/>
      <c r="AS45" s="268"/>
      <c r="AT45" s="268"/>
      <c r="AU45" s="268"/>
      <c r="AV45" s="268"/>
      <c r="AW45" s="268"/>
      <c r="AX45" s="268"/>
      <c r="AY45" s="268"/>
      <c r="AZ45" s="269" t="e">
        <f aca="false">AZ44/AZ8</f>
        <v>#DIV/0!</v>
      </c>
      <c r="BA45" s="53"/>
    </row>
    <row r="46" customFormat="false" ht="6" hidden="false" customHeight="true" outlineLevel="0" collapsed="false">
      <c r="C46" s="68"/>
      <c r="D46" s="270"/>
      <c r="E46" s="270"/>
    </row>
    <row r="47" s="105" customFormat="true" ht="21.75" hidden="false" customHeight="true" outlineLevel="0" collapsed="false">
      <c r="A47" s="45"/>
      <c r="B47" s="22"/>
      <c r="C47" s="3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  <c r="AA47" s="271"/>
      <c r="AB47" s="271"/>
      <c r="AC47" s="271"/>
      <c r="AD47" s="271"/>
      <c r="AE47" s="271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</row>
    <row r="48" s="105" customFormat="true" ht="18" hidden="false" customHeight="true" outlineLevel="0" collapsed="false">
      <c r="B48" s="272"/>
    </row>
    <row r="49" customFormat="false" ht="11.25" hidden="false" customHeight="true" outlineLevel="0" collapsed="false">
      <c r="C49" s="68"/>
      <c r="D49" s="68"/>
      <c r="E49" s="68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1"/>
      <c r="AG49" s="91"/>
      <c r="AH49" s="91"/>
      <c r="AI49" s="91"/>
      <c r="AJ49" s="91"/>
      <c r="AK49" s="91"/>
      <c r="AL49" s="91"/>
      <c r="AM49" s="91"/>
      <c r="AN49" s="91"/>
      <c r="AO49" s="91"/>
      <c r="AP49" s="91"/>
      <c r="AQ49" s="91"/>
      <c r="AR49" s="91"/>
      <c r="AS49" s="91"/>
      <c r="AT49" s="91"/>
      <c r="AU49" s="91"/>
      <c r="AV49" s="91"/>
      <c r="AW49" s="91"/>
      <c r="AX49" s="91"/>
      <c r="AY49" s="91"/>
    </row>
    <row r="50" customFormat="false" ht="12.75" hidden="false" customHeight="true" outlineLevel="0" collapsed="false">
      <c r="C50" s="68"/>
      <c r="D50" s="68"/>
      <c r="E50" s="68"/>
      <c r="F50" s="273"/>
    </row>
    <row r="51" customFormat="false" ht="12.75" hidden="false" customHeight="false" outlineLevel="0" collapsed="false">
      <c r="C51" s="68"/>
      <c r="D51" s="68"/>
      <c r="E51" s="68"/>
    </row>
    <row r="52" customFormat="false" ht="12.75" hidden="false" customHeight="false" outlineLevel="0" collapsed="false">
      <c r="C52" s="68"/>
      <c r="D52" s="68"/>
      <c r="E52" s="68"/>
    </row>
    <row r="53" customFormat="false" ht="12.75" hidden="false" customHeight="false" outlineLevel="0" collapsed="false">
      <c r="C53" s="68"/>
      <c r="D53" s="68"/>
      <c r="E53" s="68"/>
    </row>
    <row r="54" customFormat="false" ht="12.75" hidden="false" customHeight="false" outlineLevel="0" collapsed="false">
      <c r="C54" s="68"/>
      <c r="D54" s="270"/>
      <c r="E54" s="270"/>
    </row>
    <row r="55" customFormat="false" ht="12.75" hidden="false" customHeight="false" outlineLevel="0" collapsed="false">
      <c r="C55" s="68"/>
      <c r="D55" s="270"/>
      <c r="E55" s="270"/>
    </row>
    <row r="56" customFormat="false" ht="12.75" hidden="false" customHeight="false" outlineLevel="0" collapsed="false">
      <c r="C56" s="68"/>
      <c r="D56" s="68"/>
      <c r="E56" s="68"/>
    </row>
    <row r="57" customFormat="false" ht="12.75" hidden="false" customHeight="false" outlineLevel="0" collapsed="false">
      <c r="C57" s="68"/>
      <c r="D57" s="68"/>
      <c r="E57" s="68"/>
    </row>
    <row r="58" customFormat="false" ht="12.75" hidden="false" customHeight="false" outlineLevel="0" collapsed="false">
      <c r="C58" s="68"/>
      <c r="D58" s="68"/>
      <c r="E58" s="68"/>
    </row>
    <row r="59" customFormat="false" ht="12.75" hidden="false" customHeight="false" outlineLevel="0" collapsed="false">
      <c r="C59" s="68"/>
      <c r="D59" s="68"/>
      <c r="E59" s="68"/>
    </row>
    <row r="60" customFormat="false" ht="12.75" hidden="false" customHeight="false" outlineLevel="0" collapsed="false">
      <c r="C60" s="68"/>
      <c r="D60" s="68"/>
      <c r="E60" s="68"/>
    </row>
    <row r="61" customFormat="false" ht="12.75" hidden="false" customHeight="false" outlineLevel="0" collapsed="false">
      <c r="C61" s="68"/>
      <c r="D61" s="68"/>
      <c r="E61" s="68"/>
    </row>
    <row r="62" customFormat="false" ht="12.75" hidden="false" customHeight="false" outlineLevel="0" collapsed="false">
      <c r="C62" s="68"/>
      <c r="D62" s="68"/>
      <c r="E62" s="68"/>
    </row>
    <row r="63" customFormat="false" ht="12.75" hidden="false" customHeight="false" outlineLevel="0" collapsed="false">
      <c r="C63" s="68"/>
      <c r="D63" s="68"/>
      <c r="E63" s="68"/>
    </row>
    <row r="64" customFormat="false" ht="12.75" hidden="false" customHeight="false" outlineLevel="0" collapsed="false">
      <c r="C64" s="68"/>
      <c r="D64" s="68"/>
      <c r="E64" s="68"/>
    </row>
    <row r="65" customFormat="false" ht="12.75" hidden="false" customHeight="false" outlineLevel="0" collapsed="false">
      <c r="C65" s="68"/>
      <c r="D65" s="68"/>
      <c r="E65" s="68"/>
    </row>
    <row r="66" customFormat="false" ht="12.75" hidden="false" customHeight="false" outlineLevel="0" collapsed="false">
      <c r="C66" s="68"/>
      <c r="D66" s="68"/>
      <c r="E66" s="68"/>
    </row>
    <row r="67" customFormat="false" ht="12.75" hidden="false" customHeight="false" outlineLevel="0" collapsed="false">
      <c r="C67" s="68"/>
      <c r="D67" s="68"/>
      <c r="E67" s="68"/>
    </row>
    <row r="68" customFormat="false" ht="12.75" hidden="false" customHeight="false" outlineLevel="0" collapsed="false">
      <c r="C68" s="68"/>
      <c r="D68" s="68"/>
      <c r="E68" s="68"/>
    </row>
    <row r="69" customFormat="false" ht="12.75" hidden="false" customHeight="false" outlineLevel="0" collapsed="false">
      <c r="C69" s="68"/>
      <c r="D69" s="68"/>
      <c r="E69" s="68"/>
    </row>
    <row r="70" customFormat="false" ht="12.75" hidden="false" customHeight="false" outlineLevel="0" collapsed="false">
      <c r="C70" s="68"/>
      <c r="D70" s="68"/>
      <c r="E70" s="68"/>
    </row>
    <row r="71" customFormat="false" ht="12.75" hidden="false" customHeight="false" outlineLevel="0" collapsed="false">
      <c r="C71" s="68"/>
      <c r="D71" s="68"/>
      <c r="E71" s="68"/>
    </row>
    <row r="72" customFormat="false" ht="12.75" hidden="false" customHeight="false" outlineLevel="0" collapsed="false">
      <c r="C72" s="68"/>
      <c r="D72" s="68"/>
      <c r="E72" s="68"/>
    </row>
    <row r="73" customFormat="false" ht="12.75" hidden="false" customHeight="false" outlineLevel="0" collapsed="false">
      <c r="C73" s="68"/>
      <c r="D73" s="68"/>
      <c r="E73" s="68"/>
    </row>
    <row r="74" customFormat="false" ht="12.75" hidden="false" customHeight="false" outlineLevel="0" collapsed="false">
      <c r="C74" s="68"/>
      <c r="D74" s="68"/>
      <c r="E74" s="68"/>
    </row>
    <row r="75" customFormat="false" ht="12.75" hidden="false" customHeight="false" outlineLevel="0" collapsed="false">
      <c r="C75" s="68"/>
      <c r="D75" s="68"/>
      <c r="E75" s="68"/>
    </row>
    <row r="76" customFormat="false" ht="12.75" hidden="false" customHeight="false" outlineLevel="0" collapsed="false">
      <c r="C76" s="68"/>
      <c r="D76" s="68"/>
      <c r="E76" s="68"/>
    </row>
    <row r="77" customFormat="false" ht="12.75" hidden="false" customHeight="false" outlineLevel="0" collapsed="false">
      <c r="C77" s="68"/>
      <c r="D77" s="68"/>
      <c r="E77" s="68"/>
    </row>
    <row r="78" customFormat="false" ht="12.75" hidden="false" customHeight="false" outlineLevel="0" collapsed="false">
      <c r="C78" s="68"/>
      <c r="D78" s="68"/>
      <c r="E78" s="68"/>
    </row>
    <row r="79" customFormat="false" ht="12.75" hidden="false" customHeight="false" outlineLevel="0" collapsed="false">
      <c r="C79" s="68"/>
      <c r="D79" s="68"/>
      <c r="E79" s="68"/>
    </row>
    <row r="80" customFormat="false" ht="12.75" hidden="false" customHeight="false" outlineLevel="0" collapsed="false">
      <c r="C80" s="68"/>
      <c r="D80" s="68"/>
      <c r="E80" s="68"/>
    </row>
    <row r="81" customFormat="false" ht="12.75" hidden="false" customHeight="false" outlineLevel="0" collapsed="false">
      <c r="C81" s="68"/>
      <c r="D81" s="68"/>
      <c r="E81" s="68"/>
    </row>
    <row r="82" customFormat="false" ht="12.75" hidden="false" customHeight="false" outlineLevel="0" collapsed="false">
      <c r="C82" s="68"/>
      <c r="D82" s="68"/>
      <c r="E82" s="68"/>
    </row>
    <row r="83" customFormat="false" ht="12.75" hidden="false" customHeight="false" outlineLevel="0" collapsed="false">
      <c r="C83" s="68"/>
      <c r="D83" s="68"/>
      <c r="E83" s="68"/>
    </row>
    <row r="84" customFormat="false" ht="12.75" hidden="false" customHeight="false" outlineLevel="0" collapsed="false">
      <c r="C84" s="68"/>
      <c r="D84" s="68"/>
      <c r="E84" s="68"/>
    </row>
    <row r="85" customFormat="false" ht="12.75" hidden="false" customHeight="false" outlineLevel="0" collapsed="false">
      <c r="C85" s="68"/>
      <c r="D85" s="68"/>
      <c r="E85" s="68"/>
    </row>
    <row r="86" customFormat="false" ht="12.75" hidden="false" customHeight="false" outlineLevel="0" collapsed="false">
      <c r="C86" s="68"/>
      <c r="D86" s="68"/>
      <c r="E86" s="68"/>
    </row>
    <row r="87" customFormat="false" ht="12.75" hidden="false" customHeight="false" outlineLevel="0" collapsed="false">
      <c r="C87" s="68"/>
      <c r="D87" s="68"/>
      <c r="E87" s="68"/>
    </row>
    <row r="88" customFormat="false" ht="12.75" hidden="false" customHeight="false" outlineLevel="0" collapsed="false">
      <c r="C88" s="68"/>
      <c r="D88" s="68"/>
      <c r="E88" s="68"/>
    </row>
    <row r="89" customFormat="false" ht="12.75" hidden="false" customHeight="false" outlineLevel="0" collapsed="false">
      <c r="C89" s="68"/>
      <c r="D89" s="68"/>
      <c r="E89" s="68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000000"/>
    <pageSetUpPr fitToPage="true"/>
  </sheetPr>
  <dimension ref="A1:P17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D8" activeCellId="0" sqref="D8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34.14"/>
    <col collapsed="false" customWidth="true" hidden="false" outlineLevel="0" max="3" min="3" style="0" width="1"/>
    <col collapsed="false" customWidth="true" hidden="false" outlineLevel="0" max="10" min="4" style="0" width="11.99"/>
    <col collapsed="false" customWidth="true" hidden="false" outlineLevel="0" max="15" min="11" style="0" width="13.43"/>
  </cols>
  <sheetData>
    <row r="1" customFormat="false" ht="6" hidden="false" customHeight="true" outlineLevel="0" collapsed="false">
      <c r="D1" s="21"/>
      <c r="E1" s="21"/>
    </row>
    <row r="2" customFormat="false" ht="21" hidden="false" customHeight="false" outlineLevel="0" collapsed="false">
      <c r="A2" s="5" t="s">
        <v>158</v>
      </c>
      <c r="B2" s="174"/>
      <c r="D2" s="274" t="n">
        <f aca="false">D16/31/10^6</f>
        <v>0</v>
      </c>
      <c r="E2" s="274" t="n">
        <f aca="false">E16/28/10^6</f>
        <v>0</v>
      </c>
      <c r="F2" s="274" t="n">
        <f aca="false">F16/31/10^6</f>
        <v>0</v>
      </c>
      <c r="G2" s="274" t="n">
        <f aca="false">G16/30/10^6</f>
        <v>0</v>
      </c>
      <c r="H2" s="274" t="n">
        <f aca="false">H16/31/10^6</f>
        <v>0</v>
      </c>
      <c r="I2" s="274" t="n">
        <f aca="false">I16/30/10^6</f>
        <v>0</v>
      </c>
      <c r="J2" s="274" t="n">
        <f aca="false">J16/31/10^6</f>
        <v>0</v>
      </c>
      <c r="K2" s="274" t="n">
        <f aca="false">K16/31/10^6</f>
        <v>0</v>
      </c>
      <c r="L2" s="274" t="n">
        <f aca="false">L16/30/10^6</f>
        <v>0</v>
      </c>
      <c r="M2" s="274" t="n">
        <f aca="false">M16/31/10^6</f>
        <v>0</v>
      </c>
      <c r="N2" s="274" t="n">
        <f aca="false">N16/30/10^6</f>
        <v>0</v>
      </c>
      <c r="O2" s="274" t="n">
        <f aca="false">O16/31/10^6</f>
        <v>0</v>
      </c>
      <c r="P2" s="275"/>
    </row>
    <row r="3" customFormat="false" ht="16.5" hidden="false" customHeight="true" outlineLevel="0" collapsed="false"/>
    <row r="4" s="108" customFormat="true" ht="12.75" hidden="false" customHeight="fals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12</v>
      </c>
      <c r="O4" s="8" t="s">
        <v>13</v>
      </c>
      <c r="P4" s="8"/>
    </row>
    <row r="5" s="276" customFormat="true" ht="27.75" hidden="false" customHeight="true" outlineLevel="0" collapsed="false">
      <c r="B5" s="277" t="s">
        <v>23</v>
      </c>
      <c r="D5" s="278" t="s">
        <v>24</v>
      </c>
      <c r="E5" s="278" t="s">
        <v>24</v>
      </c>
      <c r="F5" s="278" t="s">
        <v>24</v>
      </c>
      <c r="G5" s="278" t="s">
        <v>24</v>
      </c>
      <c r="H5" s="278" t="s">
        <v>24</v>
      </c>
      <c r="I5" s="278" t="s">
        <v>24</v>
      </c>
      <c r="J5" s="278" t="s">
        <v>24</v>
      </c>
      <c r="K5" s="278" t="s">
        <v>24</v>
      </c>
      <c r="L5" s="278" t="s">
        <v>24</v>
      </c>
      <c r="M5" s="278" t="s">
        <v>24</v>
      </c>
      <c r="N5" s="278" t="s">
        <v>24</v>
      </c>
      <c r="O5" s="278" t="s">
        <v>24</v>
      </c>
      <c r="P5" s="279" t="n">
        <v>2018</v>
      </c>
    </row>
    <row r="6" customFormat="false" ht="4.5" hidden="false" customHeight="true" outlineLevel="0" collapsed="false">
      <c r="P6" s="280"/>
    </row>
    <row r="7" customFormat="false" ht="0.75" hidden="false" customHeight="true" outlineLevel="0" collapsed="false"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2"/>
    </row>
    <row r="8" s="1" customFormat="true" ht="15" hidden="false" customHeight="true" outlineLevel="0" collapsed="false">
      <c r="A8" s="180" t="s">
        <v>159</v>
      </c>
      <c r="B8" s="181"/>
      <c r="C8" s="18"/>
      <c r="D8" s="119" t="n">
        <f aca="false">D12+D39</f>
        <v>0</v>
      </c>
      <c r="E8" s="119" t="n">
        <f aca="false">E12+E39</f>
        <v>0</v>
      </c>
      <c r="F8" s="119" t="n">
        <f aca="false">F12+F39+F45</f>
        <v>0</v>
      </c>
      <c r="G8" s="119" t="n">
        <f aca="false">G12+G39+G45</f>
        <v>0</v>
      </c>
      <c r="H8" s="119" t="n">
        <f aca="false">H12+H39+H45</f>
        <v>0</v>
      </c>
      <c r="I8" s="119" t="n">
        <f aca="false">I12+I39+I45</f>
        <v>0</v>
      </c>
      <c r="J8" s="119" t="n">
        <f aca="false">J12+J39+J45</f>
        <v>0</v>
      </c>
      <c r="K8" s="119" t="n">
        <f aca="false">K12+K39+K45</f>
        <v>0</v>
      </c>
      <c r="L8" s="119" t="n">
        <f aca="false">L12+L39+L45</f>
        <v>0</v>
      </c>
      <c r="M8" s="119" t="n">
        <f aca="false">M12+M39+M45</f>
        <v>0</v>
      </c>
      <c r="N8" s="119" t="n">
        <f aca="false">N12+N39+N45</f>
        <v>0</v>
      </c>
      <c r="O8" s="119" t="n">
        <f aca="false">O12+O39+O45</f>
        <v>0</v>
      </c>
      <c r="P8" s="183" t="n">
        <f aca="false">P12+P39+P45</f>
        <v>0</v>
      </c>
    </row>
    <row r="9" customFormat="false" ht="3.75" hidden="false" customHeight="true" outlineLevel="0" collapsed="false">
      <c r="C9" s="68"/>
      <c r="D9" s="270"/>
      <c r="E9" s="270"/>
      <c r="F9" s="270"/>
      <c r="G9" s="270"/>
      <c r="H9" s="270"/>
      <c r="I9" s="270"/>
      <c r="J9" s="270"/>
      <c r="K9" s="270"/>
      <c r="L9" s="270"/>
      <c r="M9" s="270"/>
      <c r="N9" s="270"/>
      <c r="O9" s="270"/>
      <c r="P9" s="283"/>
    </row>
    <row r="10" s="246" customFormat="true" ht="15" hidden="false" customHeight="true" outlineLevel="0" collapsed="false">
      <c r="A10" s="284" t="s">
        <v>160</v>
      </c>
      <c r="B10" s="285"/>
      <c r="C10" s="286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8"/>
    </row>
    <row r="11" customFormat="false" ht="3.75" hidden="false" customHeight="true" outlineLevel="0" collapsed="false">
      <c r="C11" s="68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83"/>
    </row>
    <row r="12" s="1" customFormat="true" ht="15" hidden="false" customHeight="true" outlineLevel="0" collapsed="false">
      <c r="A12" s="180" t="s">
        <v>161</v>
      </c>
      <c r="B12" s="181"/>
      <c r="C12" s="18"/>
      <c r="D12" s="119" t="n">
        <f aca="false">D14+D37</f>
        <v>0</v>
      </c>
      <c r="E12" s="119" t="n">
        <f aca="false">E14+E37</f>
        <v>0</v>
      </c>
      <c r="F12" s="119" t="n">
        <f aca="false">F14+F37</f>
        <v>0</v>
      </c>
      <c r="G12" s="119" t="n">
        <f aca="false">G14+G37</f>
        <v>0</v>
      </c>
      <c r="H12" s="119" t="n">
        <f aca="false">H14+H37</f>
        <v>0</v>
      </c>
      <c r="I12" s="119" t="n">
        <f aca="false">I14+I37</f>
        <v>0</v>
      </c>
      <c r="J12" s="119" t="n">
        <f aca="false">J14+J37</f>
        <v>0</v>
      </c>
      <c r="K12" s="119" t="n">
        <f aca="false">K14+K37</f>
        <v>0</v>
      </c>
      <c r="L12" s="119" t="n">
        <f aca="false">L14+L37</f>
        <v>0</v>
      </c>
      <c r="M12" s="119" t="n">
        <f aca="false">M14+M37</f>
        <v>0</v>
      </c>
      <c r="N12" s="119" t="n">
        <f aca="false">N14+N37</f>
        <v>0</v>
      </c>
      <c r="O12" s="119" t="n">
        <f aca="false">O14+O37</f>
        <v>0</v>
      </c>
      <c r="P12" s="183" t="n">
        <f aca="false">P14+P37</f>
        <v>0</v>
      </c>
    </row>
    <row r="13" customFormat="false" ht="4.5" hidden="false" customHeight="true" outlineLevel="0" collapsed="false">
      <c r="C13" s="68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83"/>
    </row>
    <row r="14" s="1" customFormat="true" ht="15" hidden="false" customHeight="true" outlineLevel="0" collapsed="false">
      <c r="A14" s="289" t="s">
        <v>162</v>
      </c>
      <c r="B14" s="181"/>
      <c r="C14" s="18"/>
      <c r="D14" s="119" t="n">
        <f aca="false">D16+D24+D31</f>
        <v>0</v>
      </c>
      <c r="E14" s="119" t="n">
        <f aca="false">E16+E24+E31</f>
        <v>0</v>
      </c>
      <c r="F14" s="119" t="n">
        <f aca="false">F16+F24+F31</f>
        <v>0</v>
      </c>
      <c r="G14" s="119" t="n">
        <f aca="false">G16+G24+G31</f>
        <v>0</v>
      </c>
      <c r="H14" s="119" t="n">
        <f aca="false">H16+H24+H31</f>
        <v>0</v>
      </c>
      <c r="I14" s="119" t="n">
        <f aca="false">I16+I24+I31</f>
        <v>0</v>
      </c>
      <c r="J14" s="119" t="n">
        <f aca="false">J16+J24+J31</f>
        <v>0</v>
      </c>
      <c r="K14" s="119" t="n">
        <f aca="false">K16+K24+K31</f>
        <v>0</v>
      </c>
      <c r="L14" s="119" t="n">
        <f aca="false">L16+L24+L31</f>
        <v>0</v>
      </c>
      <c r="M14" s="119" t="n">
        <f aca="false">M16+M24+M31</f>
        <v>0</v>
      </c>
      <c r="N14" s="119" t="n">
        <f aca="false">N16+N24+N31</f>
        <v>0</v>
      </c>
      <c r="O14" s="119" t="n">
        <f aca="false">O16+O24+O31</f>
        <v>0</v>
      </c>
      <c r="P14" s="183" t="n">
        <f aca="false">P16+P24+P31</f>
        <v>0</v>
      </c>
    </row>
    <row r="15" customFormat="false" ht="3.75" hidden="false" customHeight="true" outlineLevel="0" collapsed="false">
      <c r="A15" s="290"/>
      <c r="B15" s="186"/>
      <c r="C15" s="68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291"/>
    </row>
    <row r="16" customFormat="false" ht="15" hidden="false" customHeight="true" outlineLevel="0" collapsed="false">
      <c r="A16" s="292" t="s">
        <v>163</v>
      </c>
      <c r="B16" s="293"/>
      <c r="C16" s="294"/>
      <c r="D16" s="295" t="n">
        <f aca="false">D17+D19</f>
        <v>0</v>
      </c>
      <c r="E16" s="295" t="n">
        <f aca="false">E17+E19</f>
        <v>0</v>
      </c>
      <c r="F16" s="295" t="n">
        <f aca="false">F17+F19</f>
        <v>0</v>
      </c>
      <c r="G16" s="295" t="n">
        <f aca="false">G17+G19</f>
        <v>0</v>
      </c>
      <c r="H16" s="295" t="n">
        <f aca="false">H17+H19</f>
        <v>0</v>
      </c>
      <c r="I16" s="295" t="n">
        <f aca="false">I17+I19</f>
        <v>0</v>
      </c>
      <c r="J16" s="295" t="n">
        <f aca="false">J17+J19</f>
        <v>0</v>
      </c>
      <c r="K16" s="295" t="n">
        <f aca="false">K17+K19</f>
        <v>0</v>
      </c>
      <c r="L16" s="295" t="n">
        <f aca="false">L17+L19</f>
        <v>0</v>
      </c>
      <c r="M16" s="295" t="n">
        <f aca="false">M17+M19</f>
        <v>0</v>
      </c>
      <c r="N16" s="295" t="n">
        <f aca="false">N17+N19</f>
        <v>0</v>
      </c>
      <c r="O16" s="295" t="n">
        <f aca="false">O17+O19</f>
        <v>0</v>
      </c>
      <c r="P16" s="296" t="n">
        <f aca="false">P17+P19</f>
        <v>0</v>
      </c>
    </row>
    <row r="17" s="45" customFormat="true" ht="15" hidden="false" customHeight="true" outlineLevel="0" collapsed="false">
      <c r="A17" s="230"/>
      <c r="B17" s="297" t="s">
        <v>164</v>
      </c>
      <c r="C17" s="18"/>
      <c r="D17" s="298"/>
      <c r="E17" s="298"/>
      <c r="F17" s="298"/>
      <c r="G17" s="298"/>
      <c r="H17" s="298"/>
      <c r="I17" s="298"/>
      <c r="J17" s="298"/>
      <c r="K17" s="298"/>
      <c r="L17" s="298"/>
      <c r="M17" s="298"/>
      <c r="N17" s="298"/>
      <c r="O17" s="298"/>
      <c r="P17" s="299"/>
    </row>
    <row r="18" s="305" customFormat="true" ht="18" hidden="false" customHeight="true" outlineLevel="0" collapsed="false">
      <c r="A18" s="300"/>
      <c r="B18" s="301" t="s">
        <v>165</v>
      </c>
      <c r="C18" s="302"/>
      <c r="D18" s="303"/>
      <c r="E18" s="303"/>
      <c r="F18" s="303"/>
      <c r="G18" s="303"/>
      <c r="H18" s="303"/>
      <c r="I18" s="303"/>
      <c r="J18" s="303"/>
      <c r="K18" s="303"/>
      <c r="L18" s="303"/>
      <c r="M18" s="303"/>
      <c r="N18" s="303"/>
      <c r="O18" s="303"/>
      <c r="P18" s="304"/>
    </row>
    <row r="19" s="45" customFormat="true" ht="15" hidden="false" customHeight="true" outlineLevel="0" collapsed="false">
      <c r="A19" s="230"/>
      <c r="B19" s="297" t="s">
        <v>166</v>
      </c>
      <c r="C19" s="18"/>
      <c r="D19" s="298" t="n">
        <f aca="false">D20+D21</f>
        <v>0</v>
      </c>
      <c r="E19" s="298" t="n">
        <f aca="false">E20+E21</f>
        <v>0</v>
      </c>
      <c r="F19" s="298" t="n">
        <f aca="false">F20+F21</f>
        <v>0</v>
      </c>
      <c r="G19" s="298" t="n">
        <f aca="false">G20+G21</f>
        <v>0</v>
      </c>
      <c r="H19" s="298" t="n">
        <f aca="false">H20+H21</f>
        <v>0</v>
      </c>
      <c r="I19" s="298" t="n">
        <f aca="false">I20+I21</f>
        <v>0</v>
      </c>
      <c r="J19" s="298" t="n">
        <f aca="false">J20+J21</f>
        <v>0</v>
      </c>
      <c r="K19" s="298" t="n">
        <f aca="false">K20+K21</f>
        <v>0</v>
      </c>
      <c r="L19" s="298" t="n">
        <f aca="false">L20+L21</f>
        <v>0</v>
      </c>
      <c r="M19" s="298" t="n">
        <f aca="false">M20+M21</f>
        <v>0</v>
      </c>
      <c r="N19" s="298" t="n">
        <f aca="false">N20+N21</f>
        <v>0</v>
      </c>
      <c r="O19" s="298" t="n">
        <f aca="false">O20+O21</f>
        <v>0</v>
      </c>
      <c r="P19" s="299" t="n">
        <f aca="false">P20+P21</f>
        <v>0</v>
      </c>
    </row>
    <row r="20" customFormat="false" ht="15" hidden="false" customHeight="true" outlineLevel="0" collapsed="false">
      <c r="A20" s="190"/>
      <c r="B20" s="306" t="s">
        <v>167</v>
      </c>
      <c r="C20" s="68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283"/>
    </row>
    <row r="21" customFormat="false" ht="15" hidden="false" customHeight="true" outlineLevel="0" collapsed="false">
      <c r="A21" s="190"/>
      <c r="B21" s="306" t="s">
        <v>168</v>
      </c>
      <c r="C21" s="68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283"/>
    </row>
    <row r="22" s="305" customFormat="true" ht="18" hidden="false" customHeight="true" outlineLevel="0" collapsed="false">
      <c r="A22" s="300"/>
      <c r="B22" s="301" t="s">
        <v>165</v>
      </c>
      <c r="C22" s="302"/>
      <c r="D22" s="303"/>
      <c r="E22" s="303"/>
      <c r="F22" s="303"/>
      <c r="G22" s="303"/>
      <c r="H22" s="303"/>
      <c r="I22" s="303"/>
      <c r="J22" s="303"/>
      <c r="K22" s="303"/>
      <c r="L22" s="303"/>
      <c r="M22" s="303"/>
      <c r="N22" s="303"/>
      <c r="O22" s="303"/>
      <c r="P22" s="304"/>
    </row>
    <row r="23" customFormat="false" ht="6.75" hidden="true" customHeight="true" outlineLevel="0" collapsed="false">
      <c r="A23" s="190"/>
      <c r="B23" s="191"/>
      <c r="C23" s="68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283"/>
    </row>
    <row r="24" customFormat="false" ht="15" hidden="false" customHeight="true" outlineLevel="0" collapsed="false">
      <c r="A24" s="292" t="s">
        <v>169</v>
      </c>
      <c r="B24" s="293"/>
      <c r="C24" s="294"/>
      <c r="D24" s="295" t="n">
        <f aca="false">SUM(D25:D28)</f>
        <v>0</v>
      </c>
      <c r="E24" s="295" t="n">
        <f aca="false">SUM(E25:E28)</f>
        <v>0</v>
      </c>
      <c r="F24" s="295" t="n">
        <f aca="false">SUM(F25:F28)</f>
        <v>0</v>
      </c>
      <c r="G24" s="295" t="n">
        <f aca="false">SUM(G25:G28)</f>
        <v>0</v>
      </c>
      <c r="H24" s="295" t="n">
        <f aca="false">SUM(H25:H28)</f>
        <v>0</v>
      </c>
      <c r="I24" s="295" t="n">
        <f aca="false">SUM(I25:I28)</f>
        <v>0</v>
      </c>
      <c r="J24" s="295" t="n">
        <f aca="false">SUM(J25:J28)</f>
        <v>0</v>
      </c>
      <c r="K24" s="295" t="n">
        <f aca="false">SUM(K25:K28)</f>
        <v>0</v>
      </c>
      <c r="L24" s="295" t="n">
        <f aca="false">SUM(L25:L28)</f>
        <v>0</v>
      </c>
      <c r="M24" s="295" t="n">
        <f aca="false">SUM(M25:M28)</f>
        <v>0</v>
      </c>
      <c r="N24" s="295" t="n">
        <f aca="false">SUM(N25:N28)</f>
        <v>0</v>
      </c>
      <c r="O24" s="295" t="n">
        <f aca="false">SUM(O25:O28)</f>
        <v>0</v>
      </c>
      <c r="P24" s="296" t="n">
        <f aca="false">SUM(P25:P28)</f>
        <v>0</v>
      </c>
    </row>
    <row r="25" customFormat="false" ht="15" hidden="false" customHeight="true" outlineLevel="0" collapsed="false">
      <c r="A25" s="190"/>
      <c r="B25" s="191" t="s">
        <v>136</v>
      </c>
      <c r="C25" s="68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283"/>
    </row>
    <row r="26" customFormat="false" ht="15" hidden="false" customHeight="true" outlineLevel="0" collapsed="false">
      <c r="A26" s="190"/>
      <c r="B26" s="191" t="s">
        <v>137</v>
      </c>
      <c r="C26" s="68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283"/>
    </row>
    <row r="27" customFormat="false" ht="15" hidden="false" customHeight="true" outlineLevel="0" collapsed="false">
      <c r="A27" s="190"/>
      <c r="B27" s="191" t="s">
        <v>138</v>
      </c>
      <c r="C27" s="68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283"/>
    </row>
    <row r="28" customFormat="false" ht="15" hidden="false" customHeight="true" outlineLevel="0" collapsed="false">
      <c r="A28" s="190"/>
      <c r="B28" s="191" t="s">
        <v>135</v>
      </c>
      <c r="C28" s="68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283"/>
    </row>
    <row r="29" s="311" customFormat="true" ht="4.5" hidden="false" customHeight="true" outlineLevel="0" collapsed="false">
      <c r="A29" s="307"/>
      <c r="B29" s="308"/>
      <c r="C29" s="68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O29" s="309"/>
      <c r="P29" s="310"/>
    </row>
    <row r="30" customFormat="false" ht="5.25" hidden="true" customHeight="true" outlineLevel="0" collapsed="false">
      <c r="A30" s="190"/>
      <c r="B30" s="191"/>
      <c r="C30" s="68"/>
      <c r="D30" s="144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283"/>
    </row>
    <row r="31" s="45" customFormat="true" ht="15" hidden="false" customHeight="true" outlineLevel="0" collapsed="false">
      <c r="A31" s="292" t="s">
        <v>170</v>
      </c>
      <c r="B31" s="293"/>
      <c r="C31" s="294"/>
      <c r="D31" s="295" t="n">
        <f aca="false">SUM(D33:D35)</f>
        <v>0</v>
      </c>
      <c r="E31" s="295" t="n">
        <f aca="false">SUM(E33:E35)</f>
        <v>0</v>
      </c>
      <c r="F31" s="295" t="n">
        <f aca="false">SUM(F33:F35)</f>
        <v>0</v>
      </c>
      <c r="G31" s="295" t="n">
        <f aca="false">SUM(G33:G35)</f>
        <v>0</v>
      </c>
      <c r="H31" s="295" t="n">
        <f aca="false">SUM(H33:H35)</f>
        <v>0</v>
      </c>
      <c r="I31" s="295" t="n">
        <f aca="false">SUM(I33:I35)</f>
        <v>0</v>
      </c>
      <c r="J31" s="295" t="n">
        <f aca="false">SUM(J33:J35)</f>
        <v>0</v>
      </c>
      <c r="K31" s="295" t="n">
        <f aca="false">SUM(K33:K35)</f>
        <v>0</v>
      </c>
      <c r="L31" s="295" t="n">
        <f aca="false">SUM(L33:L35)</f>
        <v>0</v>
      </c>
      <c r="M31" s="295" t="n">
        <f aca="false">SUM(M33:M35)</f>
        <v>0</v>
      </c>
      <c r="N31" s="295" t="n">
        <f aca="false">SUM(N33:N35)</f>
        <v>0</v>
      </c>
      <c r="O31" s="295" t="n">
        <f aca="false">SUM(O33:O35)</f>
        <v>0</v>
      </c>
      <c r="P31" s="296" t="n">
        <f aca="false">SUM(P33:P35)</f>
        <v>0</v>
      </c>
    </row>
    <row r="32" s="311" customFormat="true" ht="3" hidden="false" customHeight="true" outlineLevel="0" collapsed="false">
      <c r="A32" s="307"/>
      <c r="B32" s="308"/>
      <c r="C32" s="68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O32" s="309"/>
      <c r="P32" s="310"/>
    </row>
    <row r="33" customFormat="false" ht="15" hidden="true" customHeight="true" outlineLevel="0" collapsed="false">
      <c r="A33" s="190"/>
      <c r="B33" s="312" t="s">
        <v>171</v>
      </c>
      <c r="C33" s="68"/>
      <c r="D33" s="144" t="n">
        <v>0</v>
      </c>
      <c r="E33" s="144" t="n">
        <v>0</v>
      </c>
      <c r="F33" s="144" t="n">
        <v>0</v>
      </c>
      <c r="G33" s="144" t="n">
        <v>0</v>
      </c>
      <c r="H33" s="144" t="n">
        <v>0</v>
      </c>
      <c r="I33" s="144" t="n">
        <v>0</v>
      </c>
      <c r="J33" s="144" t="n">
        <v>0</v>
      </c>
      <c r="K33" s="144" t="n">
        <v>0</v>
      </c>
      <c r="L33" s="144" t="n">
        <v>0</v>
      </c>
      <c r="M33" s="144" t="n">
        <v>0</v>
      </c>
      <c r="N33" s="144" t="n">
        <v>0</v>
      </c>
      <c r="O33" s="144" t="n">
        <v>0</v>
      </c>
      <c r="P33" s="283" t="n">
        <v>0</v>
      </c>
    </row>
    <row r="34" customFormat="false" ht="15" hidden="true" customHeight="true" outlineLevel="0" collapsed="false">
      <c r="A34" s="190"/>
      <c r="B34" s="312" t="s">
        <v>172</v>
      </c>
      <c r="C34" s="68"/>
      <c r="D34" s="144" t="n">
        <v>0</v>
      </c>
      <c r="E34" s="144" t="n">
        <v>0</v>
      </c>
      <c r="F34" s="144" t="n">
        <v>0</v>
      </c>
      <c r="G34" s="144" t="n">
        <v>0</v>
      </c>
      <c r="H34" s="144" t="n">
        <v>0</v>
      </c>
      <c r="I34" s="144" t="n">
        <v>0</v>
      </c>
      <c r="J34" s="144" t="n">
        <v>0</v>
      </c>
      <c r="K34" s="144" t="n">
        <v>0</v>
      </c>
      <c r="L34" s="144" t="n">
        <v>0</v>
      </c>
      <c r="M34" s="144" t="n">
        <v>0</v>
      </c>
      <c r="N34" s="144" t="n">
        <v>0</v>
      </c>
      <c r="O34" s="144" t="n">
        <v>0</v>
      </c>
      <c r="P34" s="283" t="n">
        <v>0</v>
      </c>
    </row>
    <row r="35" customFormat="false" ht="15" hidden="true" customHeight="true" outlineLevel="0" collapsed="false">
      <c r="A35" s="257"/>
      <c r="B35" s="313" t="s">
        <v>173</v>
      </c>
      <c r="C35" s="68"/>
      <c r="D35" s="314" t="n">
        <v>0</v>
      </c>
      <c r="E35" s="314" t="n">
        <v>0</v>
      </c>
      <c r="F35" s="314" t="n">
        <v>0</v>
      </c>
      <c r="G35" s="314" t="n">
        <v>0</v>
      </c>
      <c r="H35" s="314" t="n">
        <v>0</v>
      </c>
      <c r="I35" s="314" t="n">
        <v>0</v>
      </c>
      <c r="J35" s="314" t="n">
        <v>0</v>
      </c>
      <c r="K35" s="314" t="n">
        <v>0</v>
      </c>
      <c r="L35" s="314" t="n">
        <v>0</v>
      </c>
      <c r="M35" s="314" t="n">
        <v>0</v>
      </c>
      <c r="N35" s="314" t="n">
        <v>0</v>
      </c>
      <c r="O35" s="314" t="n">
        <v>0</v>
      </c>
      <c r="P35" s="315" t="n">
        <v>0</v>
      </c>
    </row>
    <row r="36" customFormat="false" ht="6.75" hidden="false" customHeight="true" outlineLevel="0" collapsed="false">
      <c r="C36" s="68"/>
      <c r="D36" s="270"/>
      <c r="E36" s="270"/>
      <c r="F36" s="270"/>
      <c r="G36" s="270"/>
      <c r="H36" s="270"/>
      <c r="I36" s="270"/>
      <c r="J36" s="270"/>
      <c r="K36" s="270"/>
      <c r="L36" s="270"/>
      <c r="M36" s="270"/>
      <c r="N36" s="270"/>
      <c r="O36" s="270"/>
      <c r="P36" s="283"/>
    </row>
    <row r="37" s="1" customFormat="true" ht="15" hidden="false" customHeight="true" outlineLevel="0" collapsed="false">
      <c r="A37" s="289" t="s">
        <v>174</v>
      </c>
      <c r="B37" s="181"/>
      <c r="C37" s="18"/>
      <c r="D37" s="119"/>
      <c r="E37" s="119"/>
      <c r="F37" s="119"/>
      <c r="G37" s="119"/>
      <c r="H37" s="119"/>
      <c r="I37" s="119"/>
      <c r="J37" s="119"/>
      <c r="K37" s="119"/>
      <c r="L37" s="119"/>
      <c r="M37" s="119"/>
      <c r="N37" s="119"/>
      <c r="O37" s="119"/>
      <c r="P37" s="183" t="n">
        <f aca="false">SUM(D37:O37)</f>
        <v>0</v>
      </c>
    </row>
    <row r="38" customFormat="false" ht="6.75" hidden="false" customHeight="true" outlineLevel="0" collapsed="false">
      <c r="C38" s="68"/>
      <c r="D38" s="270"/>
      <c r="E38" s="270"/>
      <c r="F38" s="270"/>
      <c r="G38" s="270"/>
      <c r="H38" s="270"/>
      <c r="I38" s="270"/>
      <c r="J38" s="270"/>
      <c r="K38" s="270"/>
      <c r="L38" s="270"/>
      <c r="M38" s="270"/>
      <c r="N38" s="270"/>
      <c r="O38" s="270"/>
      <c r="P38" s="283"/>
    </row>
    <row r="39" s="1" customFormat="true" ht="15" hidden="false" customHeight="true" outlineLevel="0" collapsed="false">
      <c r="A39" s="180" t="s">
        <v>175</v>
      </c>
      <c r="B39" s="181"/>
      <c r="C39" s="18"/>
      <c r="D39" s="119" t="n">
        <f aca="false">SUM(D40:D42)</f>
        <v>0</v>
      </c>
      <c r="E39" s="119" t="n">
        <f aca="false">SUM(E40:E42)</f>
        <v>0</v>
      </c>
      <c r="F39" s="119" t="n">
        <f aca="false">SUM(F40:F42)</f>
        <v>0</v>
      </c>
      <c r="G39" s="119" t="n">
        <f aca="false">SUM(G40:G42)</f>
        <v>0</v>
      </c>
      <c r="H39" s="119" t="n">
        <f aca="false">SUM(H40:H42)</f>
        <v>0</v>
      </c>
      <c r="I39" s="119" t="n">
        <f aca="false">SUM(I40:I42)</f>
        <v>0</v>
      </c>
      <c r="J39" s="119" t="n">
        <f aca="false">SUM(J40:J42)</f>
        <v>0</v>
      </c>
      <c r="K39" s="119" t="n">
        <f aca="false">SUM(K40:K42)</f>
        <v>0</v>
      </c>
      <c r="L39" s="119" t="n">
        <f aca="false">SUM(L40:L42)</f>
        <v>0</v>
      </c>
      <c r="M39" s="119" t="n">
        <f aca="false">SUM(M40:M42)</f>
        <v>0</v>
      </c>
      <c r="N39" s="119" t="n">
        <f aca="false">SUM(N40:N42)</f>
        <v>0</v>
      </c>
      <c r="O39" s="119" t="n">
        <f aca="false">SUM(O40:O42)</f>
        <v>0</v>
      </c>
      <c r="P39" s="183" t="n">
        <f aca="false">SUM(P40:P42)</f>
        <v>0</v>
      </c>
    </row>
    <row r="40" customFormat="false" ht="15" hidden="false" customHeight="true" outlineLevel="0" collapsed="false">
      <c r="A40" s="185"/>
      <c r="B40" s="186" t="s">
        <v>176</v>
      </c>
      <c r="C40" s="68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291"/>
    </row>
    <row r="41" customFormat="false" ht="15" hidden="false" customHeight="true" outlineLevel="0" collapsed="false">
      <c r="A41" s="190"/>
      <c r="B41" s="191" t="s">
        <v>177</v>
      </c>
      <c r="C41" s="68"/>
      <c r="D41" s="144"/>
      <c r="E41" s="144"/>
      <c r="F41" s="144"/>
      <c r="G41" s="144"/>
      <c r="H41" s="144"/>
      <c r="I41" s="144"/>
      <c r="J41" s="144"/>
      <c r="K41" s="144"/>
      <c r="L41" s="144"/>
      <c r="M41" s="144"/>
      <c r="N41" s="144"/>
      <c r="O41" s="144"/>
      <c r="P41" s="283"/>
    </row>
    <row r="42" customFormat="false" ht="15" hidden="false" customHeight="true" outlineLevel="0" collapsed="false">
      <c r="A42" s="257"/>
      <c r="B42" s="258" t="s">
        <v>178</v>
      </c>
      <c r="C42" s="6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261"/>
    </row>
    <row r="43" customFormat="false" ht="8.25" hidden="false" customHeight="true" outlineLevel="0" collapsed="false"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s="105" customFormat="true" ht="12.75" hidden="false" customHeight="false" outlineLevel="0" collapsed="false"/>
    <row r="45" s="1" customFormat="true" ht="15" hidden="false" customHeight="true" outlineLevel="0" collapsed="false">
      <c r="A45" s="180" t="s">
        <v>179</v>
      </c>
      <c r="B45" s="181"/>
      <c r="C45" s="18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83" t="n">
        <f aca="false">SUM(D45:O45)</f>
        <v>0</v>
      </c>
    </row>
    <row r="46" s="105" customFormat="true" ht="12.75" hidden="false" customHeight="false" outlineLevel="0" collapsed="false"/>
    <row r="47" s="105" customFormat="true" ht="15" hidden="false" customHeight="true" outlineLevel="0" collapsed="false">
      <c r="F47" s="105" t="n">
        <v>0</v>
      </c>
      <c r="G47" s="105" t="n">
        <v>0</v>
      </c>
      <c r="H47" s="105" t="n">
        <v>0</v>
      </c>
      <c r="I47" s="105" t="n">
        <v>0</v>
      </c>
      <c r="J47" s="105" t="n">
        <v>0</v>
      </c>
      <c r="K47" s="105" t="n">
        <v>0</v>
      </c>
      <c r="L47" s="105" t="n">
        <v>0</v>
      </c>
      <c r="M47" s="105" t="n">
        <v>0</v>
      </c>
      <c r="N47" s="105" t="n">
        <v>0</v>
      </c>
      <c r="O47" s="105" t="n">
        <v>0</v>
      </c>
    </row>
    <row r="48" s="105" customFormat="true" ht="12.75" hidden="false" customHeight="false" outlineLevel="0" collapsed="false"/>
    <row r="49" s="105" customFormat="true" ht="12.75" hidden="false" customHeight="false" outlineLevel="0" collapsed="false"/>
    <row r="50" customFormat="false" ht="12.75" hidden="false" customHeight="false" outlineLevel="0" collapsed="false">
      <c r="C50" s="68"/>
      <c r="D50" s="68"/>
      <c r="E50" s="68"/>
    </row>
    <row r="51" customFormat="false" ht="12.75" hidden="false" customHeight="false" outlineLevel="0" collapsed="false">
      <c r="C51" s="68"/>
      <c r="D51" s="68"/>
      <c r="E51" s="68"/>
    </row>
    <row r="52" customFormat="false" ht="12.75" hidden="false" customHeight="false" outlineLevel="0" collapsed="false">
      <c r="C52" s="68"/>
      <c r="D52" s="68"/>
      <c r="E52" s="68"/>
    </row>
    <row r="53" customFormat="false" ht="12.75" hidden="false" customHeight="false" outlineLevel="0" collapsed="false">
      <c r="C53" s="68"/>
      <c r="D53" s="68"/>
      <c r="E53" s="68"/>
    </row>
    <row r="54" customFormat="false" ht="12.75" hidden="false" customHeight="false" outlineLevel="0" collapsed="false">
      <c r="C54" s="68"/>
      <c r="D54" s="68"/>
      <c r="E54" s="68"/>
    </row>
    <row r="55" customFormat="false" ht="12.75" hidden="false" customHeight="false" outlineLevel="0" collapsed="false">
      <c r="C55" s="68"/>
      <c r="D55" s="68"/>
      <c r="E55" s="68"/>
    </row>
    <row r="56" s="21" customFormat="true" ht="12.75" hidden="false" customHeight="false" outlineLevel="0" collapsed="false">
      <c r="C56" s="105"/>
      <c r="D56" s="105"/>
      <c r="E56" s="105"/>
    </row>
    <row r="57" s="21" customFormat="true" ht="12.75" hidden="false" customHeight="false" outlineLevel="0" collapsed="false">
      <c r="C57" s="105"/>
      <c r="D57" s="105"/>
      <c r="E57" s="105"/>
    </row>
    <row r="58" s="21" customFormat="true" ht="12.75" hidden="false" customHeight="false" outlineLevel="0" collapsed="false">
      <c r="C58" s="105"/>
      <c r="D58" s="105"/>
      <c r="E58" s="105"/>
    </row>
    <row r="59" s="21" customFormat="true" ht="12.75" hidden="false" customHeight="false" outlineLevel="0" collapsed="false">
      <c r="C59" s="105"/>
      <c r="D59" s="105"/>
      <c r="E59" s="105"/>
    </row>
    <row r="60" s="21" customFormat="true" ht="12.75" hidden="false" customHeight="false" outlineLevel="0" collapsed="false">
      <c r="C60" s="105"/>
      <c r="D60" s="105"/>
      <c r="E60" s="105"/>
    </row>
    <row r="61" s="21" customFormat="true" ht="12.75" hidden="false" customHeight="false" outlineLevel="0" collapsed="false">
      <c r="C61" s="105"/>
      <c r="D61" s="105"/>
      <c r="E61" s="105"/>
    </row>
    <row r="62" s="21" customFormat="true" ht="12.75" hidden="false" customHeight="false" outlineLevel="0" collapsed="false">
      <c r="C62" s="105"/>
      <c r="D62" s="105"/>
      <c r="E62" s="105"/>
    </row>
    <row r="63" s="21" customFormat="true" ht="12.75" hidden="false" customHeight="false" outlineLevel="0" collapsed="false"/>
    <row r="64" s="21" customFormat="true" ht="12.75" hidden="false" customHeight="false" outlineLevel="0" collapsed="false"/>
    <row r="65" s="21" customFormat="true" ht="12.75" hidden="false" customHeight="false" outlineLevel="0" collapsed="false"/>
    <row r="66" s="21" customFormat="true" ht="12.75" hidden="false" customHeight="false" outlineLevel="0" collapsed="false"/>
    <row r="67" s="21" customFormat="true" ht="12.75" hidden="false" customHeight="false" outlineLevel="0" collapsed="false"/>
    <row r="68" s="21" customFormat="true" ht="12.75" hidden="false" customHeight="false" outlineLevel="0" collapsed="false"/>
    <row r="69" s="21" customFormat="true" ht="12.75" hidden="false" customHeight="false" outlineLevel="0" collapsed="false"/>
    <row r="70" s="21" customFormat="true" ht="12.75" hidden="false" customHeight="false" outlineLevel="0" collapsed="false"/>
    <row r="71" s="21" customFormat="true" ht="12.75" hidden="false" customHeight="false" outlineLevel="0" collapsed="false"/>
    <row r="72" s="21" customFormat="true" ht="12.75" hidden="false" customHeight="false" outlineLevel="0" collapsed="false"/>
    <row r="73" s="21" customFormat="true" ht="12.75" hidden="false" customHeight="false" outlineLevel="0" collapsed="false"/>
    <row r="74" s="21" customFormat="true" ht="12.75" hidden="false" customHeight="false" outlineLevel="0" collapsed="false"/>
    <row r="75" s="21" customFormat="true" ht="12.75" hidden="false" customHeight="false" outlineLevel="0" collapsed="false"/>
    <row r="76" s="21" customFormat="true" ht="12.75" hidden="false" customHeight="false" outlineLevel="0" collapsed="false"/>
    <row r="77" s="21" customFormat="true" ht="12.75" hidden="false" customHeight="false" outlineLevel="0" collapsed="false"/>
    <row r="78" s="21" customFormat="true" ht="12.75" hidden="false" customHeight="false" outlineLevel="0" collapsed="false"/>
    <row r="79" s="21" customFormat="true" ht="12.75" hidden="false" customHeight="false" outlineLevel="0" collapsed="false"/>
    <row r="80" s="21" customFormat="true" ht="12.75" hidden="false" customHeight="false" outlineLevel="0" collapsed="false"/>
    <row r="81" s="21" customFormat="true" ht="12.75" hidden="false" customHeight="false" outlineLevel="0" collapsed="false"/>
    <row r="82" s="21" customFormat="true" ht="12.75" hidden="false" customHeight="false" outlineLevel="0" collapsed="false"/>
    <row r="83" s="21" customFormat="true" ht="12.75" hidden="false" customHeight="false" outlineLevel="0" collapsed="false"/>
    <row r="84" s="21" customFormat="true" ht="12.75" hidden="false" customHeight="false" outlineLevel="0" collapsed="false"/>
    <row r="85" s="21" customFormat="true" ht="12.75" hidden="false" customHeight="false" outlineLevel="0" collapsed="false"/>
    <row r="86" s="21" customFormat="true" ht="12.75" hidden="false" customHeight="false" outlineLevel="0" collapsed="false"/>
    <row r="87" s="21" customFormat="true" ht="12.75" hidden="false" customHeight="false" outlineLevel="0" collapsed="false"/>
    <row r="88" s="21" customFormat="true" ht="12.75" hidden="false" customHeight="false" outlineLevel="0" collapsed="false"/>
    <row r="89" s="21" customFormat="true" ht="12.75" hidden="false" customHeight="false" outlineLevel="0" collapsed="false"/>
    <row r="90" s="21" customFormat="true" ht="12.75" hidden="false" customHeight="false" outlineLevel="0" collapsed="false"/>
    <row r="91" s="21" customFormat="true" ht="12.75" hidden="false" customHeight="false" outlineLevel="0" collapsed="false"/>
    <row r="92" s="21" customFormat="true" ht="12.75" hidden="false" customHeight="false" outlineLevel="0" collapsed="false"/>
    <row r="93" s="21" customFormat="true" ht="12.75" hidden="false" customHeight="false" outlineLevel="0" collapsed="false"/>
    <row r="94" s="21" customFormat="true" ht="12.75" hidden="false" customHeight="false" outlineLevel="0" collapsed="false"/>
    <row r="95" s="21" customFormat="true" ht="12.75" hidden="false" customHeight="false" outlineLevel="0" collapsed="false"/>
    <row r="96" s="21" customFormat="true" ht="12.75" hidden="false" customHeight="false" outlineLevel="0" collapsed="false"/>
    <row r="97" s="21" customFormat="true" ht="12.75" hidden="false" customHeight="false" outlineLevel="0" collapsed="false"/>
    <row r="98" s="21" customFormat="true" ht="12.75" hidden="false" customHeight="false" outlineLevel="0" collapsed="false"/>
    <row r="99" s="21" customFormat="true" ht="12.75" hidden="false" customHeight="false" outlineLevel="0" collapsed="false"/>
    <row r="100" s="21" customFormat="true" ht="12.75" hidden="false" customHeight="false" outlineLevel="0" collapsed="false"/>
    <row r="101" s="21" customFormat="true" ht="12.75" hidden="false" customHeight="false" outlineLevel="0" collapsed="false"/>
    <row r="102" s="21" customFormat="true" ht="12.75" hidden="false" customHeight="false" outlineLevel="0" collapsed="false"/>
    <row r="103" s="21" customFormat="true" ht="12.75" hidden="false" customHeight="false" outlineLevel="0" collapsed="false"/>
    <row r="104" s="21" customFormat="true" ht="12.75" hidden="false" customHeight="false" outlineLevel="0" collapsed="false"/>
    <row r="105" s="21" customFormat="true" ht="12.75" hidden="false" customHeight="false" outlineLevel="0" collapsed="false"/>
    <row r="106" s="21" customFormat="true" ht="12.75" hidden="false" customHeight="false" outlineLevel="0" collapsed="false"/>
    <row r="107" s="21" customFormat="true" ht="12.75" hidden="false" customHeight="false" outlineLevel="0" collapsed="false"/>
    <row r="108" s="21" customFormat="true" ht="12.75" hidden="false" customHeight="false" outlineLevel="0" collapsed="false"/>
    <row r="109" s="21" customFormat="true" ht="12.75" hidden="false" customHeight="false" outlineLevel="0" collapsed="false"/>
    <row r="110" s="21" customFormat="true" ht="12.75" hidden="false" customHeight="false" outlineLevel="0" collapsed="false"/>
    <row r="111" s="21" customFormat="true" ht="12.75" hidden="false" customHeight="false" outlineLevel="0" collapsed="false"/>
    <row r="112" s="21" customFormat="true" ht="12.75" hidden="false" customHeight="false" outlineLevel="0" collapsed="false"/>
    <row r="113" s="21" customFormat="true" ht="12.75" hidden="false" customHeight="false" outlineLevel="0" collapsed="false"/>
    <row r="114" s="21" customFormat="true" ht="12.75" hidden="false" customHeight="false" outlineLevel="0" collapsed="false"/>
    <row r="115" s="21" customFormat="true" ht="12.75" hidden="false" customHeight="false" outlineLevel="0" collapsed="false"/>
    <row r="116" s="21" customFormat="true" ht="12.75" hidden="false" customHeight="false" outlineLevel="0" collapsed="false"/>
    <row r="117" s="21" customFormat="true" ht="12.75" hidden="false" customHeight="false" outlineLevel="0" collapsed="false"/>
    <row r="118" s="21" customFormat="true" ht="12.75" hidden="false" customHeight="false" outlineLevel="0" collapsed="false"/>
    <row r="119" s="21" customFormat="true" ht="12.75" hidden="false" customHeight="false" outlineLevel="0" collapsed="false"/>
    <row r="120" s="21" customFormat="true" ht="12.75" hidden="false" customHeight="false" outlineLevel="0" collapsed="false"/>
    <row r="121" s="21" customFormat="true" ht="12.75" hidden="false" customHeight="false" outlineLevel="0" collapsed="false"/>
    <row r="122" s="21" customFormat="true" ht="12.75" hidden="false" customHeight="false" outlineLevel="0" collapsed="false"/>
    <row r="123" s="21" customFormat="true" ht="12.75" hidden="false" customHeight="false" outlineLevel="0" collapsed="false"/>
    <row r="124" s="21" customFormat="true" ht="12.75" hidden="false" customHeight="false" outlineLevel="0" collapsed="false"/>
    <row r="125" s="21" customFormat="true" ht="12.75" hidden="false" customHeight="false" outlineLevel="0" collapsed="false"/>
    <row r="126" s="21" customFormat="true" ht="12.75" hidden="false" customHeight="false" outlineLevel="0" collapsed="false"/>
    <row r="127" s="21" customFormat="true" ht="12.75" hidden="false" customHeight="false" outlineLevel="0" collapsed="false"/>
    <row r="128" s="21" customFormat="true" ht="12.75" hidden="false" customHeight="false" outlineLevel="0" collapsed="false"/>
    <row r="129" s="21" customFormat="true" ht="12.75" hidden="false" customHeight="false" outlineLevel="0" collapsed="false"/>
    <row r="130" s="21" customFormat="true" ht="12.75" hidden="false" customHeight="false" outlineLevel="0" collapsed="false"/>
    <row r="131" s="21" customFormat="true" ht="12.75" hidden="false" customHeight="false" outlineLevel="0" collapsed="false"/>
    <row r="132" s="21" customFormat="true" ht="12.75" hidden="false" customHeight="false" outlineLevel="0" collapsed="false"/>
    <row r="133" s="21" customFormat="true" ht="12.75" hidden="false" customHeight="false" outlineLevel="0" collapsed="false"/>
    <row r="134" s="21" customFormat="true" ht="12.75" hidden="false" customHeight="false" outlineLevel="0" collapsed="false"/>
    <row r="135" s="21" customFormat="true" ht="12.75" hidden="false" customHeight="false" outlineLevel="0" collapsed="false"/>
    <row r="136" s="21" customFormat="true" ht="12.75" hidden="false" customHeight="false" outlineLevel="0" collapsed="false"/>
    <row r="137" s="21" customFormat="true" ht="12.75" hidden="false" customHeight="false" outlineLevel="0" collapsed="false"/>
    <row r="138" s="21" customFormat="true" ht="12.75" hidden="false" customHeight="false" outlineLevel="0" collapsed="false"/>
    <row r="139" s="21" customFormat="true" ht="12.75" hidden="false" customHeight="false" outlineLevel="0" collapsed="false"/>
    <row r="140" s="21" customFormat="true" ht="12.75" hidden="false" customHeight="false" outlineLevel="0" collapsed="false"/>
    <row r="141" s="21" customFormat="true" ht="12.75" hidden="false" customHeight="false" outlineLevel="0" collapsed="false"/>
    <row r="142" s="21" customFormat="true" ht="12.75" hidden="false" customHeight="false" outlineLevel="0" collapsed="false"/>
    <row r="143" s="21" customFormat="true" ht="12.75" hidden="false" customHeight="false" outlineLevel="0" collapsed="false"/>
    <row r="144" s="21" customFormat="true" ht="12.75" hidden="false" customHeight="false" outlineLevel="0" collapsed="false"/>
    <row r="145" s="21" customFormat="true" ht="12.75" hidden="false" customHeight="false" outlineLevel="0" collapsed="false"/>
    <row r="146" s="21" customFormat="true" ht="12.75" hidden="false" customHeight="false" outlineLevel="0" collapsed="false"/>
    <row r="147" s="21" customFormat="true" ht="12.75" hidden="false" customHeight="false" outlineLevel="0" collapsed="false"/>
    <row r="148" s="21" customFormat="true" ht="12.75" hidden="false" customHeight="false" outlineLevel="0" collapsed="false"/>
    <row r="149" s="21" customFormat="true" ht="12.75" hidden="false" customHeight="false" outlineLevel="0" collapsed="false"/>
    <row r="150" s="21" customFormat="true" ht="12.75" hidden="false" customHeight="false" outlineLevel="0" collapsed="false"/>
    <row r="151" s="21" customFormat="true" ht="12.75" hidden="false" customHeight="false" outlineLevel="0" collapsed="false"/>
    <row r="152" s="21" customFormat="true" ht="12.75" hidden="false" customHeight="false" outlineLevel="0" collapsed="false"/>
    <row r="153" s="21" customFormat="true" ht="12.75" hidden="false" customHeight="false" outlineLevel="0" collapsed="false"/>
    <row r="154" s="21" customFormat="true" ht="12.75" hidden="false" customHeight="false" outlineLevel="0" collapsed="false"/>
    <row r="155" s="21" customFormat="true" ht="12.75" hidden="false" customHeight="false" outlineLevel="0" collapsed="false"/>
    <row r="156" s="21" customFormat="true" ht="12.75" hidden="false" customHeight="false" outlineLevel="0" collapsed="false"/>
    <row r="157" s="21" customFormat="true" ht="12.75" hidden="false" customHeight="false" outlineLevel="0" collapsed="false"/>
    <row r="158" s="21" customFormat="true" ht="12.75" hidden="false" customHeight="false" outlineLevel="0" collapsed="false"/>
    <row r="159" s="21" customFormat="true" ht="12.75" hidden="false" customHeight="false" outlineLevel="0" collapsed="false"/>
    <row r="160" s="21" customFormat="true" ht="12.75" hidden="false" customHeight="false" outlineLevel="0" collapsed="false"/>
    <row r="161" s="21" customFormat="true" ht="12.75" hidden="false" customHeight="false" outlineLevel="0" collapsed="false"/>
    <row r="162" s="21" customFormat="true" ht="12.75" hidden="false" customHeight="false" outlineLevel="0" collapsed="false"/>
    <row r="163" s="21" customFormat="true" ht="12.75" hidden="false" customHeight="false" outlineLevel="0" collapsed="false"/>
    <row r="164" s="21" customFormat="true" ht="12.75" hidden="false" customHeight="false" outlineLevel="0" collapsed="false"/>
    <row r="165" s="21" customFormat="true" ht="12.75" hidden="false" customHeight="false" outlineLevel="0" collapsed="false"/>
    <row r="166" s="21" customFormat="true" ht="12.75" hidden="false" customHeight="false" outlineLevel="0" collapsed="false"/>
    <row r="167" s="21" customFormat="true" ht="12.75" hidden="false" customHeight="false" outlineLevel="0" collapsed="false"/>
    <row r="168" s="21" customFormat="true" ht="12.75" hidden="false" customHeight="false" outlineLevel="0" collapsed="false"/>
    <row r="169" s="21" customFormat="true" ht="12.75" hidden="false" customHeight="false" outlineLevel="0" collapsed="false"/>
    <row r="170" s="21" customFormat="true" ht="12.75" hidden="false" customHeight="false" outlineLevel="0" collapsed="false"/>
    <row r="171" s="21" customFormat="true" ht="12.75" hidden="false" customHeight="false" outlineLevel="0" collapsed="false"/>
    <row r="172" s="21" customFormat="true" ht="12.75" hidden="false" customHeight="false" outlineLevel="0" collapsed="false"/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B1:T127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81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F15" activeCellId="0" sqref="F15"/>
    </sheetView>
  </sheetViews>
  <sheetFormatPr defaultColWidth="11.43359375" defaultRowHeight="12.75" zeroHeight="false" outlineLevelRow="1" outlineLevelCol="1"/>
  <cols>
    <col collapsed="false" customWidth="true" hidden="false" outlineLevel="0" max="1" min="1" style="1" width="1.14"/>
    <col collapsed="false" customWidth="true" hidden="false" outlineLevel="0" max="2" min="2" style="1" width="31.57"/>
    <col collapsed="false" customWidth="true" hidden="false" outlineLevel="0" max="3" min="3" style="1" width="0.86"/>
    <col collapsed="false" customWidth="true" hidden="false" outlineLevel="1" max="5" min="4" style="1" width="11.57"/>
    <col collapsed="false" customWidth="true" hidden="false" outlineLevel="1" max="6" min="6" style="1" width="12.57"/>
    <col collapsed="false" customWidth="true" hidden="false" outlineLevel="1" max="9" min="7" style="1" width="11.57"/>
    <col collapsed="false" customWidth="true" hidden="false" outlineLevel="1" max="11" min="10" style="1" width="12.57"/>
    <col collapsed="false" customWidth="true" hidden="false" outlineLevel="1" max="12" min="12" style="1" width="15.86"/>
    <col collapsed="false" customWidth="true" hidden="false" outlineLevel="1" max="13" min="13" style="1" width="12.86"/>
    <col collapsed="false" customWidth="true" hidden="false" outlineLevel="1" max="14" min="14" style="1" width="11.57"/>
    <col collapsed="false" customWidth="true" hidden="false" outlineLevel="1" max="15" min="15" style="1" width="14.86"/>
    <col collapsed="false" customWidth="true" hidden="false" outlineLevel="0" max="16" min="16" style="2" width="9.14"/>
    <col collapsed="false" customWidth="false" hidden="false" outlineLevel="0" max="17" min="17" style="1" width="11.42"/>
    <col collapsed="false" customWidth="true" hidden="false" outlineLevel="0" max="18" min="18" style="1" width="19.14"/>
    <col collapsed="false" customWidth="true" hidden="false" outlineLevel="0" max="19" min="19" style="1" width="11.99"/>
    <col collapsed="false" customWidth="true" hidden="false" outlineLevel="0" max="20" min="20" style="1" width="17"/>
    <col collapsed="false" customWidth="false" hidden="false" outlineLevel="0" max="1024" min="21" style="1" width="11.42"/>
  </cols>
  <sheetData>
    <row r="1" s="4" customFormat="true" ht="23.25" hidden="false" customHeight="true" outlineLevel="0" collapsed="false">
      <c r="B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316"/>
    </row>
    <row r="2" s="8" customFormat="true" ht="24.75" hidden="false" customHeight="true" outlineLevel="0" collapsed="false"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8" t="s">
        <v>13</v>
      </c>
    </row>
    <row r="3" s="10" customFormat="true" ht="25.5" hidden="false" customHeight="false" outlineLevel="0" collapsed="false">
      <c r="B3" s="10" t="s">
        <v>23</v>
      </c>
      <c r="D3" s="11" t="s">
        <v>24</v>
      </c>
      <c r="E3" s="11" t="s">
        <v>24</v>
      </c>
      <c r="F3" s="11" t="s">
        <v>24</v>
      </c>
      <c r="G3" s="11" t="s">
        <v>24</v>
      </c>
      <c r="H3" s="11" t="s">
        <v>24</v>
      </c>
      <c r="I3" s="11" t="s">
        <v>24</v>
      </c>
      <c r="J3" s="11" t="s">
        <v>24</v>
      </c>
      <c r="K3" s="11" t="s">
        <v>24</v>
      </c>
      <c r="L3" s="11" t="s">
        <v>24</v>
      </c>
      <c r="M3" s="11" t="s">
        <v>24</v>
      </c>
      <c r="N3" s="11" t="s">
        <v>24</v>
      </c>
      <c r="O3" s="11" t="s">
        <v>24</v>
      </c>
      <c r="P3" s="317" t="n">
        <v>2018</v>
      </c>
    </row>
    <row r="4" customFormat="false" ht="3" hidden="false" customHeight="true" outlineLevel="0" collapsed="false"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318"/>
    </row>
    <row r="5" customFormat="false" ht="17.25" hidden="false" customHeight="true" outlineLevel="0" collapsed="false">
      <c r="B5" s="17" t="s">
        <v>29</v>
      </c>
      <c r="C5" s="18"/>
      <c r="D5" s="19" t="n">
        <f aca="false">'CA Mobile'!D8</f>
        <v>0</v>
      </c>
      <c r="E5" s="19" t="n">
        <f aca="false">'CA Mobile'!E8</f>
        <v>0</v>
      </c>
      <c r="F5" s="19" t="n">
        <f aca="false">'CA Mobile'!F8</f>
        <v>0</v>
      </c>
      <c r="G5" s="19" t="n">
        <f aca="false">'CA Mobile'!G8</f>
        <v>0</v>
      </c>
      <c r="H5" s="19" t="n">
        <f aca="false">'CA Mobile'!H8</f>
        <v>0</v>
      </c>
      <c r="I5" s="19" t="n">
        <f aca="false">'CA Mobile'!I8</f>
        <v>0</v>
      </c>
      <c r="J5" s="19" t="n">
        <f aca="false">'CA Mobile'!J8</f>
        <v>0</v>
      </c>
      <c r="K5" s="19" t="n">
        <f aca="false">'CA Mobile'!K8</f>
        <v>0</v>
      </c>
      <c r="L5" s="19" t="n">
        <f aca="false">'CA Mobile'!L8</f>
        <v>0</v>
      </c>
      <c r="M5" s="19" t="n">
        <f aca="false">'CA Mobile'!M8</f>
        <v>0</v>
      </c>
      <c r="N5" s="19" t="n">
        <f aca="false">'CA Mobile'!N8</f>
        <v>0</v>
      </c>
      <c r="O5" s="19" t="n">
        <f aca="false">'CA Mobile'!O8</f>
        <v>0</v>
      </c>
      <c r="P5" s="319" t="n">
        <f aca="false">SUM(D5:O5)</f>
        <v>0</v>
      </c>
      <c r="Q5" s="21"/>
    </row>
    <row r="6" s="22" customFormat="true" ht="18.75" hidden="true" customHeight="true" outlineLevel="1" collapsed="false">
      <c r="B6" s="23" t="s">
        <v>30</v>
      </c>
      <c r="C6" s="18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320"/>
      <c r="Q6" s="21"/>
    </row>
    <row r="7" s="27" customFormat="true" ht="18.75" hidden="true" customHeight="true" outlineLevel="1" collapsed="false">
      <c r="B7" s="28" t="s">
        <v>31</v>
      </c>
      <c r="C7" s="29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21"/>
      <c r="Q7" s="21"/>
    </row>
    <row r="8" s="22" customFormat="true" ht="20.25" hidden="true" customHeight="true" outlineLevel="1" collapsed="false">
      <c r="B8" s="33" t="s">
        <v>32</v>
      </c>
      <c r="C8" s="18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138"/>
      <c r="Q8" s="21"/>
    </row>
    <row r="9" s="27" customFormat="true" ht="15.75" hidden="true" customHeight="true" outlineLevel="1" collapsed="false">
      <c r="B9" s="28" t="s">
        <v>33</v>
      </c>
      <c r="C9" s="29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21"/>
      <c r="Q9" s="21"/>
    </row>
    <row r="10" s="35" customFormat="true" ht="6" hidden="true" customHeight="true" outlineLevel="1" collapsed="false">
      <c r="B10" s="36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124"/>
      <c r="Q10" s="21"/>
    </row>
    <row r="11" s="35" customFormat="true" ht="12.75" hidden="true" customHeight="true" outlineLevel="1" collapsed="false">
      <c r="B11" s="41" t="s">
        <v>34</v>
      </c>
      <c r="C11" s="37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124"/>
      <c r="Q11" s="21"/>
    </row>
    <row r="12" s="35" customFormat="true" ht="12.75" hidden="true" customHeight="true" outlineLevel="1" collapsed="false">
      <c r="B12" s="41" t="s">
        <v>35</v>
      </c>
      <c r="C12" s="37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124"/>
      <c r="Q12" s="21"/>
    </row>
    <row r="13" customFormat="false" ht="5.25" hidden="false" customHeight="true" outlineLevel="0" collapsed="false">
      <c r="B13" s="43"/>
      <c r="C13" s="37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124"/>
      <c r="Q13" s="21"/>
    </row>
    <row r="14" s="45" customFormat="true" ht="12.75" hidden="false" customHeight="false" outlineLevel="0" collapsed="false">
      <c r="B14" s="46" t="s">
        <v>36</v>
      </c>
      <c r="C14" s="18"/>
      <c r="D14" s="47" t="n">
        <f aca="false">-'Reclassement Marge Mobile'!D42</f>
        <v>0</v>
      </c>
      <c r="E14" s="47" t="n">
        <f aca="false">-'Reclassement Marge Mobile'!E42</f>
        <v>0</v>
      </c>
      <c r="F14" s="47" t="n">
        <f aca="false">-'Reclassement Marge Mobile'!F42</f>
        <v>0</v>
      </c>
      <c r="G14" s="47" t="n">
        <f aca="false">-'Reclassement Marge Mobile'!G42</f>
        <v>0</v>
      </c>
      <c r="H14" s="47" t="n">
        <f aca="false">-'Reclassement Marge Mobile'!H42</f>
        <v>0</v>
      </c>
      <c r="I14" s="47" t="n">
        <f aca="false">-'Reclassement Marge Mobile'!I42</f>
        <v>0</v>
      </c>
      <c r="J14" s="47" t="n">
        <f aca="false">-'Reclassement Marge Mobile'!J42</f>
        <v>0</v>
      </c>
      <c r="K14" s="47" t="n">
        <f aca="false">-'Reclassement Marge Mobile'!K42</f>
        <v>0</v>
      </c>
      <c r="L14" s="47" t="n">
        <f aca="false">-'Reclassement Marge Mobile'!L42</f>
        <v>0</v>
      </c>
      <c r="M14" s="47" t="n">
        <f aca="false">-'Reclassement Marge Mobile'!M42</f>
        <v>0</v>
      </c>
      <c r="N14" s="47" t="n">
        <f aca="false">-'Reclassement Marge Mobile'!N42</f>
        <v>0</v>
      </c>
      <c r="O14" s="47" t="n">
        <f aca="false">-'Reclassement Marge Mobile'!O42</f>
        <v>0</v>
      </c>
      <c r="P14" s="138" t="n">
        <f aca="false">SUM(D14:O14)</f>
        <v>0</v>
      </c>
      <c r="Q14" s="21"/>
    </row>
    <row r="15" customFormat="false" ht="12.75" hidden="true" customHeight="true" outlineLevel="1" collapsed="false">
      <c r="B15" s="50" t="s">
        <v>30</v>
      </c>
      <c r="C15" s="37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124"/>
      <c r="Q15" s="21"/>
    </row>
    <row r="16" s="27" customFormat="true" ht="18.75" hidden="true" customHeight="true" outlineLevel="1" collapsed="false">
      <c r="B16" s="28" t="s">
        <v>31</v>
      </c>
      <c r="C16" s="29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21"/>
      <c r="Q16" s="21"/>
    </row>
    <row r="17" customFormat="false" ht="12.75" hidden="true" customHeight="true" outlineLevel="1" collapsed="false">
      <c r="B17" s="50" t="s">
        <v>32</v>
      </c>
      <c r="C17" s="37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124"/>
      <c r="Q17" s="21"/>
    </row>
    <row r="18" s="27" customFormat="true" ht="15.75" hidden="true" customHeight="true" outlineLevel="1" collapsed="false">
      <c r="B18" s="28" t="s">
        <v>33</v>
      </c>
      <c r="C18" s="29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21"/>
      <c r="Q18" s="21"/>
    </row>
    <row r="19" customFormat="false" ht="12.75" hidden="false" customHeight="false" outlineLevel="0" collapsed="false">
      <c r="B19" s="43"/>
      <c r="C19" s="37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124"/>
      <c r="Q19" s="21"/>
    </row>
    <row r="20" s="45" customFormat="true" ht="12.75" hidden="false" customHeight="false" outlineLevel="0" collapsed="false">
      <c r="B20" s="46" t="s">
        <v>37</v>
      </c>
      <c r="C20" s="18"/>
      <c r="D20" s="47" t="n">
        <f aca="false">D5+D14</f>
        <v>0</v>
      </c>
      <c r="E20" s="47" t="n">
        <f aca="false">E5+E14</f>
        <v>0</v>
      </c>
      <c r="F20" s="47" t="n">
        <f aca="false">F5+F14</f>
        <v>0</v>
      </c>
      <c r="G20" s="47" t="n">
        <f aca="false">G5+G14</f>
        <v>0</v>
      </c>
      <c r="H20" s="47" t="n">
        <f aca="false">H5+H14</f>
        <v>0</v>
      </c>
      <c r="I20" s="47" t="n">
        <f aca="false">I5+I14</f>
        <v>0</v>
      </c>
      <c r="J20" s="47" t="n">
        <f aca="false">J5+J14</f>
        <v>0</v>
      </c>
      <c r="K20" s="47" t="n">
        <f aca="false">K5+K14</f>
        <v>0</v>
      </c>
      <c r="L20" s="47" t="n">
        <f aca="false">L5+L14</f>
        <v>0</v>
      </c>
      <c r="M20" s="47" t="n">
        <f aca="false">M5+M14</f>
        <v>0</v>
      </c>
      <c r="N20" s="47" t="n">
        <f aca="false">N5+N14</f>
        <v>0</v>
      </c>
      <c r="O20" s="47" t="n">
        <f aca="false">O5+O14</f>
        <v>0</v>
      </c>
      <c r="P20" s="138" t="n">
        <f aca="false">SUM(D20:O20)</f>
        <v>0</v>
      </c>
      <c r="Q20" s="21"/>
    </row>
    <row r="21" s="51" customFormat="true" ht="12.75" hidden="true" customHeight="false" outlineLevel="0" collapsed="false">
      <c r="B21" s="52" t="s">
        <v>38</v>
      </c>
      <c r="C21" s="53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322"/>
      <c r="Q21" s="21"/>
    </row>
    <row r="22" customFormat="false" ht="12.75" hidden="true" customHeight="true" outlineLevel="1" collapsed="false">
      <c r="B22" s="50" t="s">
        <v>30</v>
      </c>
      <c r="C22" s="37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124"/>
      <c r="Q22" s="21"/>
    </row>
    <row r="23" customFormat="false" ht="12.75" hidden="true" customHeight="true" outlineLevel="1" collapsed="false">
      <c r="B23" s="50" t="s">
        <v>32</v>
      </c>
      <c r="C23" s="37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124"/>
      <c r="Q23" s="21"/>
    </row>
    <row r="24" customFormat="false" ht="12.75" hidden="false" customHeight="false" outlineLevel="0" collapsed="false">
      <c r="B24" s="43"/>
      <c r="C24" s="37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124"/>
      <c r="Q24" s="21"/>
    </row>
    <row r="25" s="45" customFormat="true" ht="12.75" hidden="false" customHeight="false" outlineLevel="0" collapsed="false">
      <c r="B25" s="46" t="s">
        <v>39</v>
      </c>
      <c r="C25" s="18"/>
      <c r="D25" s="47" t="n">
        <f aca="false">-'Reclassement Opex Consolidés'!D7</f>
        <v>0</v>
      </c>
      <c r="E25" s="47" t="n">
        <f aca="false">-'Reclassement Opex Consolidés'!E7</f>
        <v>0</v>
      </c>
      <c r="F25" s="47" t="n">
        <f aca="false">-'Reclassement Opex Consolidés'!F7</f>
        <v>0</v>
      </c>
      <c r="G25" s="47" t="n">
        <f aca="false">-'Reclassement Opex Consolidés'!G7</f>
        <v>0</v>
      </c>
      <c r="H25" s="47" t="n">
        <f aca="false">-'Reclassement Opex Consolidés'!H7</f>
        <v>0</v>
      </c>
      <c r="I25" s="47" t="n">
        <f aca="false">-'Reclassement Opex Consolidés'!I7</f>
        <v>0</v>
      </c>
      <c r="J25" s="47" t="n">
        <f aca="false">-'Reclassement Opex Consolidés'!J7</f>
        <v>0</v>
      </c>
      <c r="K25" s="47" t="n">
        <f aca="false">-'Reclassement Opex Consolidés'!K7</f>
        <v>0</v>
      </c>
      <c r="L25" s="47" t="n">
        <f aca="false">-'Reclassement Opex Consolidés'!L7</f>
        <v>0</v>
      </c>
      <c r="M25" s="47" t="n">
        <f aca="false">-'Reclassement Opex Consolidés'!M7</f>
        <v>0</v>
      </c>
      <c r="N25" s="47" t="n">
        <f aca="false">-'Reclassement Opex Consolidés'!N7</f>
        <v>0</v>
      </c>
      <c r="O25" s="47" t="n">
        <f aca="false">-'Reclassement Opex Consolidés'!O7</f>
        <v>0</v>
      </c>
      <c r="P25" s="138" t="n">
        <f aca="false">SUM(D25:O25)</f>
        <v>0</v>
      </c>
      <c r="Q25" s="21"/>
    </row>
    <row r="26" customFormat="false" ht="12.75" hidden="true" customHeight="true" outlineLevel="1" collapsed="false">
      <c r="B26" s="50" t="s">
        <v>30</v>
      </c>
      <c r="C26" s="37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124"/>
      <c r="Q26" s="21"/>
    </row>
    <row r="27" s="27" customFormat="true" ht="18.75" hidden="true" customHeight="true" outlineLevel="1" collapsed="false">
      <c r="B27" s="28" t="s">
        <v>31</v>
      </c>
      <c r="C27" s="29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21"/>
      <c r="Q27" s="21"/>
    </row>
    <row r="28" customFormat="false" ht="12.75" hidden="true" customHeight="true" outlineLevel="1" collapsed="false">
      <c r="B28" s="50" t="s">
        <v>32</v>
      </c>
      <c r="C28" s="37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124"/>
      <c r="Q28" s="21"/>
    </row>
    <row r="29" s="27" customFormat="true" ht="15.75" hidden="true" customHeight="true" outlineLevel="1" collapsed="false">
      <c r="B29" s="28" t="s">
        <v>33</v>
      </c>
      <c r="C29" s="29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21"/>
      <c r="Q29" s="21"/>
    </row>
    <row r="30" customFormat="false" ht="7.5" hidden="false" customHeight="true" outlineLevel="0" collapsed="false">
      <c r="B30" s="50"/>
      <c r="C30" s="37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124"/>
      <c r="Q30" s="21"/>
    </row>
    <row r="31" s="45" customFormat="true" ht="12.75" hidden="false" customHeight="false" outlineLevel="0" collapsed="false">
      <c r="B31" s="46" t="s">
        <v>40</v>
      </c>
      <c r="C31" s="18"/>
      <c r="D31" s="47" t="n">
        <f aca="false">D20+D25</f>
        <v>0</v>
      </c>
      <c r="E31" s="47" t="n">
        <f aca="false">E20+E25</f>
        <v>0</v>
      </c>
      <c r="F31" s="47" t="n">
        <f aca="false">F20+F25</f>
        <v>0</v>
      </c>
      <c r="G31" s="47" t="n">
        <f aca="false">G20+G25</f>
        <v>0</v>
      </c>
      <c r="H31" s="47" t="n">
        <f aca="false">H20+H25</f>
        <v>0</v>
      </c>
      <c r="I31" s="47" t="n">
        <f aca="false">I20+I25</f>
        <v>0</v>
      </c>
      <c r="J31" s="47" t="n">
        <f aca="false">J20+J25</f>
        <v>0</v>
      </c>
      <c r="K31" s="47" t="n">
        <f aca="false">K20+K25</f>
        <v>0</v>
      </c>
      <c r="L31" s="47" t="n">
        <f aca="false">L20+L25</f>
        <v>0</v>
      </c>
      <c r="M31" s="47" t="n">
        <f aca="false">M20+M25</f>
        <v>0</v>
      </c>
      <c r="N31" s="47" t="n">
        <f aca="false">N20+N25</f>
        <v>0</v>
      </c>
      <c r="O31" s="47" t="n">
        <f aca="false">O20+O25</f>
        <v>0</v>
      </c>
      <c r="P31" s="138" t="n">
        <f aca="false">SUM(D31:O31)</f>
        <v>0</v>
      </c>
      <c r="Q31" s="21"/>
    </row>
    <row r="32" s="51" customFormat="true" ht="12.75" hidden="true" customHeight="false" outlineLevel="0" collapsed="false">
      <c r="B32" s="59" t="s">
        <v>38</v>
      </c>
      <c r="C32" s="53"/>
      <c r="D32" s="60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322"/>
      <c r="Q32" s="21"/>
    </row>
    <row r="33" customFormat="false" ht="12.75" hidden="true" customHeight="true" outlineLevel="1" collapsed="false">
      <c r="B33" s="50" t="s">
        <v>30</v>
      </c>
      <c r="C33" s="37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124"/>
      <c r="Q33" s="21"/>
    </row>
    <row r="34" customFormat="false" ht="12.75" hidden="true" customHeight="true" outlineLevel="1" collapsed="false">
      <c r="B34" s="50" t="s">
        <v>32</v>
      </c>
      <c r="C34" s="37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124"/>
      <c r="Q34" s="21"/>
    </row>
    <row r="35" customFormat="false" ht="12.75" hidden="false" customHeight="false" outlineLevel="0" collapsed="false">
      <c r="B35" s="43"/>
      <c r="C35" s="37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124"/>
      <c r="Q35" s="21"/>
    </row>
    <row r="36" customFormat="false" ht="12.75" hidden="false" customHeight="false" outlineLevel="0" collapsed="false">
      <c r="B36" s="43" t="s">
        <v>41</v>
      </c>
      <c r="C36" s="37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124" t="n">
        <f aca="false">SUM(D36:O36)</f>
        <v>0</v>
      </c>
      <c r="Q36" s="21"/>
      <c r="R36" s="63"/>
      <c r="S36" s="63"/>
      <c r="T36" s="64"/>
    </row>
    <row r="37" customFormat="false" ht="12.75" hidden="false" customHeight="true" outlineLevel="0" collapsed="false">
      <c r="B37" s="43" t="s">
        <v>42</v>
      </c>
      <c r="C37" s="37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124"/>
      <c r="Q37" s="21"/>
    </row>
    <row r="38" customFormat="false" ht="12.75" hidden="false" customHeight="true" outlineLevel="0" collapsed="false">
      <c r="B38" s="43" t="s">
        <v>43</v>
      </c>
      <c r="C38" s="37"/>
      <c r="D38" s="42" t="n">
        <f aca="false">-Source!D19</f>
        <v>0</v>
      </c>
      <c r="E38" s="42"/>
      <c r="F38" s="42"/>
      <c r="G38" s="42"/>
      <c r="H38" s="42"/>
      <c r="I38" s="42"/>
      <c r="J38" s="61"/>
      <c r="K38" s="42"/>
      <c r="L38" s="42"/>
      <c r="M38" s="42"/>
      <c r="N38" s="42"/>
      <c r="O38" s="42" t="n">
        <f aca="false">'Reclassement Opex Consolidés'!O26</f>
        <v>0</v>
      </c>
      <c r="P38" s="124" t="n">
        <f aca="false">SUM(D38:O38)</f>
        <v>0</v>
      </c>
      <c r="Q38" s="21"/>
    </row>
    <row r="39" customFormat="false" ht="12.75" hidden="false" customHeight="true" outlineLevel="0" collapsed="false">
      <c r="B39" s="43" t="s">
        <v>44</v>
      </c>
      <c r="C39" s="37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124"/>
      <c r="Q39" s="21"/>
    </row>
    <row r="40" customFormat="false" ht="12.75" hidden="false" customHeight="false" outlineLevel="0" collapsed="false">
      <c r="B40" s="43"/>
      <c r="C40" s="37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124"/>
      <c r="Q40" s="21"/>
    </row>
    <row r="41" s="45" customFormat="true" ht="12.75" hidden="false" customHeight="false" outlineLevel="0" collapsed="false">
      <c r="B41" s="46" t="s">
        <v>45</v>
      </c>
      <c r="C41" s="37"/>
      <c r="D41" s="47" t="n">
        <f aca="false">D31+D36+D37+D38+D39</f>
        <v>0</v>
      </c>
      <c r="E41" s="47" t="n">
        <f aca="false">E31+E36+E37+E38+E39</f>
        <v>0</v>
      </c>
      <c r="F41" s="47" t="n">
        <f aca="false">F31+F36+F37+F38+F39</f>
        <v>0</v>
      </c>
      <c r="G41" s="47" t="n">
        <f aca="false">G31+G36+G37+G38+G39</f>
        <v>0</v>
      </c>
      <c r="H41" s="47" t="n">
        <f aca="false">H31+H36+H37+H38+H39</f>
        <v>0</v>
      </c>
      <c r="I41" s="47" t="n">
        <f aca="false">I31+I36+I37+I38+I39</f>
        <v>0</v>
      </c>
      <c r="J41" s="47" t="n">
        <f aca="false">J31+J36+J37+J38+J39</f>
        <v>0</v>
      </c>
      <c r="K41" s="47" t="n">
        <f aca="false">K31+K36+K37+K38+K39</f>
        <v>0</v>
      </c>
      <c r="L41" s="47" t="n">
        <f aca="false">L31+L36+L37+L38+L39</f>
        <v>0</v>
      </c>
      <c r="M41" s="47" t="n">
        <f aca="false">M31+M36+M37+M38+M39</f>
        <v>0</v>
      </c>
      <c r="N41" s="47" t="n">
        <f aca="false">N31+N36+N37+N38+N39</f>
        <v>0</v>
      </c>
      <c r="O41" s="47" t="n">
        <f aca="false">O31+O36+O37+O38+O39</f>
        <v>0</v>
      </c>
      <c r="P41" s="138" t="n">
        <f aca="false">SUM(D41:O41)</f>
        <v>0</v>
      </c>
      <c r="Q41" s="21"/>
    </row>
    <row r="42" s="51" customFormat="true" ht="12.75" hidden="true" customHeight="false" outlineLevel="0" collapsed="false">
      <c r="B42" s="59" t="s">
        <v>38</v>
      </c>
      <c r="C42" s="37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5"/>
      <c r="P42" s="323"/>
      <c r="Q42" s="21"/>
    </row>
    <row r="43" s="51" customFormat="true" ht="12.75" hidden="true" customHeight="true" outlineLevel="1" collapsed="false">
      <c r="B43" s="50" t="s">
        <v>30</v>
      </c>
      <c r="C43" s="37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124"/>
      <c r="Q43" s="21"/>
    </row>
    <row r="44" s="51" customFormat="true" ht="12.75" hidden="true" customHeight="true" outlineLevel="1" collapsed="false">
      <c r="B44" s="50" t="s">
        <v>32</v>
      </c>
      <c r="C44" s="37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124"/>
      <c r="Q44" s="21"/>
    </row>
    <row r="45" s="51" customFormat="true" ht="12.75" hidden="true" customHeight="false" outlineLevel="0" collapsed="false">
      <c r="B45" s="59"/>
      <c r="C45" s="37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5"/>
      <c r="P45" s="323"/>
      <c r="Q45" s="21"/>
    </row>
    <row r="46" s="51" customFormat="true" ht="12.75" hidden="false" customHeight="false" outlineLevel="0" collapsed="false">
      <c r="B46" s="66"/>
      <c r="C46" s="37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124"/>
      <c r="Q46" s="21"/>
    </row>
    <row r="47" s="45" customFormat="true" ht="12.75" hidden="false" customHeight="false" outlineLevel="0" collapsed="false">
      <c r="B47" s="46" t="s">
        <v>46</v>
      </c>
      <c r="C47" s="37"/>
      <c r="D47" s="47" t="n">
        <f aca="false">-Source!D16</f>
        <v>0</v>
      </c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138" t="n">
        <f aca="false">SUM(D47:O47)</f>
        <v>0</v>
      </c>
      <c r="Q47" s="21"/>
    </row>
    <row r="48" customFormat="false" ht="12.75" hidden="true" customHeight="false" outlineLevel="0" collapsed="false">
      <c r="B48" s="67" t="s">
        <v>47</v>
      </c>
      <c r="C48" s="68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117"/>
      <c r="Q48" s="21"/>
    </row>
    <row r="49" customFormat="false" ht="12.75" hidden="false" customHeight="false" outlineLevel="0" collapsed="false">
      <c r="B49" s="43"/>
      <c r="C49" s="37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124"/>
      <c r="Q49" s="21"/>
    </row>
    <row r="50" s="45" customFormat="true" ht="12.75" hidden="false" customHeight="false" outlineLevel="0" collapsed="false">
      <c r="B50" s="46" t="s">
        <v>48</v>
      </c>
      <c r="C50" s="37"/>
      <c r="D50" s="47" t="n">
        <f aca="false">D41+D47</f>
        <v>0</v>
      </c>
      <c r="E50" s="47" t="n">
        <f aca="false">E41+E47</f>
        <v>0</v>
      </c>
      <c r="F50" s="47" t="n">
        <f aca="false">F41+F47</f>
        <v>0</v>
      </c>
      <c r="G50" s="47" t="n">
        <f aca="false">G41+G47</f>
        <v>0</v>
      </c>
      <c r="H50" s="47" t="n">
        <f aca="false">H41+H47</f>
        <v>0</v>
      </c>
      <c r="I50" s="47" t="n">
        <f aca="false">I41+I47</f>
        <v>0</v>
      </c>
      <c r="J50" s="47" t="n">
        <f aca="false">J41+J47</f>
        <v>0</v>
      </c>
      <c r="K50" s="47" t="n">
        <f aca="false">K41+K47</f>
        <v>0</v>
      </c>
      <c r="L50" s="47" t="n">
        <f aca="false">L41+L47</f>
        <v>0</v>
      </c>
      <c r="M50" s="47" t="n">
        <f aca="false">M41+M47</f>
        <v>0</v>
      </c>
      <c r="N50" s="47" t="n">
        <f aca="false">N41+N47</f>
        <v>0</v>
      </c>
      <c r="O50" s="47" t="n">
        <f aca="false">O41+O47</f>
        <v>0</v>
      </c>
      <c r="P50" s="138" t="n">
        <f aca="false">P41+P47</f>
        <v>0</v>
      </c>
      <c r="Q50" s="21"/>
    </row>
    <row r="51" customFormat="false" ht="12.75" hidden="false" customHeight="false" outlineLevel="0" collapsed="false">
      <c r="B51" s="43" t="s">
        <v>49</v>
      </c>
      <c r="C51" s="37"/>
      <c r="D51" s="42" t="n">
        <f aca="false">-D50*0.3</f>
        <v>0</v>
      </c>
      <c r="E51" s="42" t="n">
        <f aca="false">-E50*0.3</f>
        <v>0</v>
      </c>
      <c r="F51" s="42" t="n">
        <f aca="false">-F50*0.3</f>
        <v>0</v>
      </c>
      <c r="G51" s="42" t="n">
        <f aca="false">-G50*0.3</f>
        <v>0</v>
      </c>
      <c r="H51" s="42" t="n">
        <f aca="false">-H50*0.3</f>
        <v>0</v>
      </c>
      <c r="I51" s="42" t="n">
        <f aca="false">-I50*0.3</f>
        <v>-0</v>
      </c>
      <c r="J51" s="42" t="n">
        <f aca="false">-J50*0.3</f>
        <v>-0</v>
      </c>
      <c r="K51" s="42" t="n">
        <f aca="false">-K50*0.3</f>
        <v>-0</v>
      </c>
      <c r="L51" s="42" t="n">
        <f aca="false">-L50*0.3</f>
        <v>-0</v>
      </c>
      <c r="M51" s="42" t="n">
        <f aca="false">-M50*0.3</f>
        <v>-0</v>
      </c>
      <c r="N51" s="42" t="n">
        <f aca="false">-N50*0.3</f>
        <v>-0</v>
      </c>
      <c r="O51" s="42" t="n">
        <f aca="false">-O50*0.3</f>
        <v>-0</v>
      </c>
      <c r="P51" s="124" t="n">
        <f aca="false">SUM(D51:O51)</f>
        <v>0</v>
      </c>
      <c r="Q51" s="21"/>
      <c r="R51" s="142"/>
    </row>
    <row r="52" customFormat="false" ht="12.75" hidden="false" customHeight="false" outlineLevel="0" collapsed="false">
      <c r="B52" s="43" t="s">
        <v>50</v>
      </c>
      <c r="C52" s="37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130" t="n">
        <f aca="false">SUM(D52:O52)</f>
        <v>0</v>
      </c>
      <c r="Q52" s="21"/>
      <c r="R52" s="142"/>
    </row>
    <row r="53" customFormat="false" ht="3.75" hidden="false" customHeight="true" outlineLevel="0" collapsed="false">
      <c r="B53" s="75"/>
      <c r="C53" s="37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324"/>
      <c r="Q53" s="21"/>
    </row>
    <row r="54" customFormat="false" ht="12" hidden="false" customHeight="true" outlineLevel="0" collapsed="false">
      <c r="B54" s="77" t="s">
        <v>51</v>
      </c>
      <c r="C54" s="18"/>
      <c r="D54" s="78" t="n">
        <f aca="false">D50+D52+D51</f>
        <v>0</v>
      </c>
      <c r="E54" s="78" t="n">
        <f aca="false">E50+E52+E51</f>
        <v>0</v>
      </c>
      <c r="F54" s="78" t="n">
        <f aca="false">F50+F52+F51</f>
        <v>0</v>
      </c>
      <c r="G54" s="78" t="n">
        <f aca="false">G50+G52+G51</f>
        <v>0</v>
      </c>
      <c r="H54" s="78" t="n">
        <f aca="false">H50+H52+H51</f>
        <v>0</v>
      </c>
      <c r="I54" s="78" t="n">
        <f aca="false">I50+I52+I51</f>
        <v>0</v>
      </c>
      <c r="J54" s="78" t="n">
        <f aca="false">J50+J52+J51</f>
        <v>0</v>
      </c>
      <c r="K54" s="78" t="n">
        <f aca="false">K50+K52+K51</f>
        <v>0</v>
      </c>
      <c r="L54" s="78" t="n">
        <f aca="false">L50+L52+L51</f>
        <v>0</v>
      </c>
      <c r="M54" s="78" t="n">
        <f aca="false">M50+M52+M51</f>
        <v>0</v>
      </c>
      <c r="N54" s="78" t="n">
        <f aca="false">N50+N52+N51</f>
        <v>0</v>
      </c>
      <c r="O54" s="78" t="n">
        <f aca="false">O50+O52+O51</f>
        <v>0</v>
      </c>
      <c r="P54" s="325" t="n">
        <f aca="false">P50+P52+P51</f>
        <v>0</v>
      </c>
      <c r="Q54" s="21"/>
      <c r="R54" s="63"/>
    </row>
    <row r="55" s="2" customFormat="true" ht="12.75" hidden="false" customHeight="false" outlineLevel="0" collapsed="false">
      <c r="B55" s="50"/>
      <c r="C55" s="68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117"/>
      <c r="Q55" s="21"/>
    </row>
    <row r="56" s="82" customFormat="true" ht="12.75" hidden="false" customHeight="false" outlineLevel="0" collapsed="false">
      <c r="B56" s="59"/>
      <c r="C56" s="53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326"/>
    </row>
    <row r="57" s="84" customFormat="true" ht="12.75" hidden="false" customHeight="false" outlineLevel="0" collapsed="false">
      <c r="B57" s="85"/>
      <c r="C57" s="21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327"/>
    </row>
    <row r="58" s="84" customFormat="true" ht="4.5" hidden="false" customHeight="true" outlineLevel="0" collapsed="false">
      <c r="B58" s="21"/>
      <c r="C58" s="21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53"/>
    </row>
    <row r="59" s="84" customFormat="true" ht="12.75" hidden="false" customHeight="false" outlineLevel="0" collapsed="false">
      <c r="B59" s="21"/>
      <c r="C59" s="21"/>
      <c r="D59" s="51"/>
      <c r="E59" s="51"/>
      <c r="F59" s="51"/>
      <c r="G59" s="51"/>
      <c r="H59" s="51"/>
      <c r="I59" s="91"/>
      <c r="J59" s="91"/>
      <c r="K59" s="91"/>
      <c r="L59" s="91"/>
      <c r="M59" s="91"/>
      <c r="N59" s="91"/>
      <c r="O59" s="91"/>
      <c r="P59" s="53"/>
    </row>
    <row r="60" s="84" customFormat="true" ht="12.75" hidden="false" customHeight="false" outlineLevel="0" collapsed="false"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91"/>
      <c r="P60" s="53"/>
    </row>
    <row r="61" s="84" customFormat="true" ht="12.75" hidden="false" customHeight="false" outlineLevel="0" collapsed="false">
      <c r="B61" s="21"/>
      <c r="C61" s="21"/>
      <c r="D61" s="21"/>
      <c r="E61" s="21"/>
      <c r="F61" s="21"/>
      <c r="G61" s="21"/>
      <c r="H61" s="21"/>
      <c r="I61" s="63"/>
      <c r="J61" s="21"/>
      <c r="K61" s="21"/>
      <c r="L61" s="21"/>
      <c r="M61" s="21"/>
      <c r="N61" s="21"/>
      <c r="O61" s="21"/>
      <c r="P61" s="53"/>
    </row>
    <row r="62" s="84" customFormat="true" ht="12.75" hidden="false" customHeight="false" outlineLevel="0" collapsed="false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53"/>
    </row>
    <row r="63" s="84" customFormat="true" ht="12.75" hidden="false" customHeight="false" outlineLevel="0" collapsed="false"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53"/>
    </row>
    <row r="64" s="84" customFormat="true" ht="12.75" hidden="false" customHeight="false" outlineLevel="0" collapsed="false"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53"/>
    </row>
    <row r="65" s="84" customFormat="true" ht="12.75" hidden="false" customHeight="false" outlineLevel="0" collapsed="false"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53"/>
    </row>
    <row r="66" s="84" customFormat="true" ht="12.75" hidden="false" customHeight="false" outlineLevel="0" collapsed="false"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53"/>
    </row>
    <row r="67" s="84" customFormat="true" ht="12.75" hidden="false" customHeight="false" outlineLevel="0" collapsed="false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53"/>
    </row>
    <row r="68" s="84" customFormat="true" ht="12.75" hidden="false" customHeight="false" outlineLevel="0" collapsed="false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53"/>
    </row>
    <row r="69" s="84" customFormat="true" ht="12.75" hidden="false" customHeight="false" outlineLevel="0" collapsed="false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53"/>
    </row>
    <row r="70" s="84" customFormat="true" ht="12.75" hidden="false" customHeight="false" outlineLevel="0" collapsed="false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53"/>
    </row>
    <row r="71" s="84" customFormat="true" ht="12.75" hidden="false" customHeight="false" outlineLevel="0" collapsed="false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53"/>
    </row>
    <row r="72" s="84" customFormat="true" ht="12.75" hidden="false" customHeight="false" outlineLevel="0" collapsed="false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53"/>
    </row>
    <row r="73" s="84" customFormat="true" ht="12.75" hidden="false" customHeight="false" outlineLevel="0" collapsed="false"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53"/>
    </row>
    <row r="74" s="84" customFormat="true" ht="12.75" hidden="false" customHeight="false" outlineLevel="0" collapsed="false"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53"/>
    </row>
    <row r="75" s="84" customFormat="true" ht="12.75" hidden="false" customHeight="false" outlineLevel="0" collapsed="false"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53"/>
    </row>
    <row r="76" s="84" customFormat="true" ht="12.75" hidden="false" customHeight="false" outlineLevel="0" collapsed="false"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53"/>
    </row>
    <row r="77" s="84" customFormat="true" ht="12.75" hidden="false" customHeight="false" outlineLevel="0" collapsed="false"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53"/>
    </row>
    <row r="78" s="84" customFormat="true" ht="12.75" hidden="false" customHeight="false" outlineLevel="0" collapsed="false"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53"/>
    </row>
    <row r="79" s="84" customFormat="true" ht="12.75" hidden="false" customHeight="false" outlineLevel="0" collapsed="false"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53"/>
    </row>
    <row r="80" s="84" customFormat="true" ht="12.75" hidden="false" customHeight="false" outlineLevel="0" collapsed="false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53"/>
    </row>
    <row r="81" s="84" customFormat="true" ht="12.75" hidden="false" customHeight="false" outlineLevel="0" collapsed="false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53"/>
    </row>
    <row r="82" s="84" customFormat="true" ht="12.75" hidden="false" customHeight="false" outlineLevel="0" collapsed="false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53"/>
    </row>
    <row r="83" s="84" customFormat="true" ht="12.75" hidden="false" customHeight="false" outlineLevel="0" collapsed="false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53"/>
    </row>
    <row r="84" s="84" customFormat="true" ht="12.75" hidden="false" customHeight="false" outlineLevel="0" collapsed="false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53"/>
    </row>
    <row r="85" s="84" customFormat="true" ht="25.5" hidden="true" customHeight="true" outlineLevel="0" collapsed="false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="105" customFormat="true" ht="23.25" hidden="true" customHeight="true" outlineLevel="0" collapsed="false">
      <c r="B86" s="105" t="s">
        <v>58</v>
      </c>
      <c r="D86" s="105" t="n">
        <v>538819050</v>
      </c>
      <c r="E86" s="105" t="n">
        <v>538819050</v>
      </c>
    </row>
    <row r="87" s="105" customFormat="true" ht="29.25" hidden="true" customHeight="true" outlineLevel="0" collapsed="false">
      <c r="B87" s="105" t="s">
        <v>59</v>
      </c>
      <c r="D87" s="105" t="n">
        <v>-109581559</v>
      </c>
      <c r="E87" s="105" t="n">
        <v>-109581559</v>
      </c>
    </row>
    <row r="88" s="105" customFormat="true" ht="12.75" hidden="true" customHeight="true" outlineLevel="0" collapsed="false"/>
    <row r="89" s="105" customFormat="true" ht="12.75" hidden="true" customHeight="true" outlineLevel="0" collapsed="false"/>
    <row r="90" s="105" customFormat="true" ht="12.75" hidden="true" customHeight="true" outlineLevel="0" collapsed="false">
      <c r="B90" s="105" t="s">
        <v>60</v>
      </c>
      <c r="D90" s="105" t="n">
        <v>385261401</v>
      </c>
      <c r="E90" s="105" t="n">
        <v>385261401</v>
      </c>
    </row>
    <row r="91" s="105" customFormat="true" ht="12.75" hidden="true" customHeight="true" outlineLevel="0" collapsed="false"/>
    <row r="92" s="105" customFormat="true" ht="12.75" hidden="true" customHeight="true" outlineLevel="0" collapsed="false">
      <c r="B92" s="105" t="s">
        <v>61</v>
      </c>
      <c r="D92" s="105" t="n">
        <v>-490152329</v>
      </c>
      <c r="E92" s="105" t="n">
        <v>-490152329</v>
      </c>
    </row>
    <row r="93" s="105" customFormat="true" ht="12.75" hidden="true" customHeight="true" outlineLevel="0" collapsed="false"/>
    <row r="94" s="105" customFormat="true" ht="12.75" hidden="true" customHeight="true" outlineLevel="0" collapsed="false"/>
    <row r="95" s="105" customFormat="true" ht="12.75" hidden="true" customHeight="true" outlineLevel="0" collapsed="false"/>
    <row r="96" customFormat="false" ht="12.75" hidden="true" customHeight="true" outlineLevel="0" collapsed="false"/>
    <row r="97" customFormat="false" ht="12.75" hidden="true" customHeight="true" outlineLevel="0" collapsed="false"/>
    <row r="98" s="84" customFormat="true" ht="12.75" hidden="true" customHeight="true" outlineLevel="0" collapsed="false"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="21" customFormat="true" ht="12.75" hidden="true" customHeight="true" outlineLevel="0" collapsed="false">
      <c r="P99" s="84"/>
    </row>
    <row r="100" s="21" customFormat="true" ht="12.75" hidden="true" customHeight="true" outlineLevel="0" collapsed="false">
      <c r="P100" s="84"/>
    </row>
    <row r="101" s="21" customFormat="true" ht="12.75" hidden="true" customHeight="true" outlineLevel="0" collapsed="false">
      <c r="P101" s="84"/>
    </row>
    <row r="102" s="21" customFormat="true" ht="12.75" hidden="true" customHeight="true" outlineLevel="0" collapsed="false">
      <c r="P102" s="84"/>
    </row>
    <row r="103" s="21" customFormat="true" ht="12.75" hidden="false" customHeight="false" outlineLevel="0" collapsed="false">
      <c r="P103" s="84"/>
    </row>
    <row r="104" s="21" customFormat="true" ht="12.75" hidden="false" customHeight="false" outlineLevel="0" collapsed="false">
      <c r="P104" s="84"/>
    </row>
    <row r="105" s="21" customFormat="true" ht="12.75" hidden="false" customHeight="false" outlineLevel="0" collapsed="false">
      <c r="P105" s="84"/>
    </row>
    <row r="106" s="21" customFormat="true" ht="12.75" hidden="false" customHeight="false" outlineLevel="0" collapsed="false">
      <c r="P106" s="84"/>
    </row>
    <row r="107" s="21" customFormat="true" ht="12.75" hidden="false" customHeight="false" outlineLevel="0" collapsed="false">
      <c r="P107" s="84"/>
    </row>
    <row r="108" s="21" customFormat="true" ht="12.75" hidden="false" customHeight="false" outlineLevel="0" collapsed="false">
      <c r="P108" s="84"/>
    </row>
    <row r="109" s="21" customFormat="true" ht="12.75" hidden="false" customHeight="false" outlineLevel="0" collapsed="false">
      <c r="P109" s="84"/>
    </row>
    <row r="110" s="21" customFormat="true" ht="12.75" hidden="false" customHeight="false" outlineLevel="0" collapsed="false">
      <c r="P110" s="84"/>
    </row>
    <row r="111" s="21" customFormat="true" ht="12.75" hidden="false" customHeight="false" outlineLevel="0" collapsed="false">
      <c r="P111" s="84"/>
    </row>
    <row r="112" s="21" customFormat="true" ht="12.75" hidden="false" customHeight="false" outlineLevel="0" collapsed="false">
      <c r="P112" s="84"/>
    </row>
    <row r="113" s="21" customFormat="true" ht="12.75" hidden="false" customHeight="false" outlineLevel="0" collapsed="false">
      <c r="P113" s="84"/>
    </row>
    <row r="114" s="21" customFormat="true" ht="12.75" hidden="false" customHeight="false" outlineLevel="0" collapsed="false">
      <c r="P114" s="84"/>
    </row>
    <row r="115" s="21" customFormat="true" ht="12.75" hidden="false" customHeight="false" outlineLevel="0" collapsed="false">
      <c r="P115" s="84"/>
    </row>
    <row r="116" s="21" customFormat="true" ht="12.75" hidden="false" customHeight="false" outlineLevel="0" collapsed="false">
      <c r="P116" s="84"/>
    </row>
    <row r="117" s="21" customFormat="true" ht="12.75" hidden="false" customHeight="false" outlineLevel="0" collapsed="false">
      <c r="P117" s="84"/>
    </row>
    <row r="118" s="21" customFormat="true" ht="12.75" hidden="false" customHeight="false" outlineLevel="0" collapsed="false">
      <c r="P118" s="84"/>
    </row>
    <row r="119" s="21" customFormat="true" ht="12.75" hidden="false" customHeight="false" outlineLevel="0" collapsed="false">
      <c r="P119" s="84"/>
    </row>
    <row r="120" s="21" customFormat="true" ht="12.75" hidden="false" customHeight="false" outlineLevel="0" collapsed="false">
      <c r="P120" s="84"/>
    </row>
    <row r="121" s="21" customFormat="true" ht="12.75" hidden="false" customHeight="false" outlineLevel="0" collapsed="false">
      <c r="P121" s="84"/>
    </row>
    <row r="122" s="21" customFormat="true" ht="12.75" hidden="false" customHeight="false" outlineLevel="0" collapsed="false">
      <c r="P122" s="84"/>
    </row>
    <row r="123" s="21" customFormat="true" ht="12.75" hidden="false" customHeight="false" outlineLevel="0" collapsed="false">
      <c r="P123" s="84"/>
    </row>
    <row r="124" s="21" customFormat="true" ht="12.75" hidden="false" customHeight="false" outlineLevel="0" collapsed="false">
      <c r="P124" s="84"/>
    </row>
    <row r="125" s="21" customFormat="true" ht="12.75" hidden="false" customHeight="false" outlineLevel="0" collapsed="false">
      <c r="P125" s="84"/>
    </row>
    <row r="126" s="21" customFormat="true" ht="12.75" hidden="false" customHeight="false" outlineLevel="0" collapsed="false">
      <c r="P126" s="84"/>
    </row>
    <row r="127" s="21" customFormat="true" ht="12.75" hidden="false" customHeight="false" outlineLevel="0" collapsed="false">
      <c r="P127" s="84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A1:S4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8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F15" activeCellId="0" sqref="F15"/>
    </sheetView>
  </sheetViews>
  <sheetFormatPr defaultColWidth="11.43359375" defaultRowHeight="12.75" zeroHeight="false" outlineLevelRow="0" outlineLevelCol="0"/>
  <cols>
    <col collapsed="false" customWidth="true" hidden="false" outlineLevel="0" max="1" min="1" style="0" width="2.85"/>
    <col collapsed="false" customWidth="true" hidden="false" outlineLevel="0" max="2" min="2" style="0" width="40.86"/>
    <col collapsed="false" customWidth="true" hidden="false" outlineLevel="0" max="3" min="3" style="0" width="1"/>
    <col collapsed="false" customWidth="true" hidden="false" outlineLevel="0" max="15" min="4" style="0" width="9.14"/>
    <col collapsed="false" customWidth="true" hidden="false" outlineLevel="0" max="16" min="16" style="0" width="7.86"/>
    <col collapsed="false" customWidth="true" hidden="false" outlineLevel="0" max="17" min="17" style="0" width="20.86"/>
    <col collapsed="false" customWidth="true" hidden="false" outlineLevel="0" max="18" min="18" style="0" width="14.57"/>
    <col collapsed="false" customWidth="true" hidden="false" outlineLevel="0" max="19" min="19" style="0" width="16.57"/>
  </cols>
  <sheetData>
    <row r="1" s="21" customFormat="true" ht="12.75" hidden="false" customHeight="false" outlineLevel="0" collapsed="false"/>
    <row r="2" s="1" customFormat="true" ht="21" hidden="false" customHeight="false" outlineLevel="0" collapsed="false">
      <c r="A2" s="5" t="s">
        <v>62</v>
      </c>
      <c r="B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customFormat="false" ht="12.75" hidden="false" customHeight="true" outlineLevel="0" collapsed="false">
      <c r="D3" s="0" t="s">
        <v>63</v>
      </c>
      <c r="E3" s="0" t="s">
        <v>64</v>
      </c>
      <c r="F3" s="0" t="s">
        <v>65</v>
      </c>
      <c r="G3" s="0" t="s">
        <v>66</v>
      </c>
      <c r="H3" s="0" t="s">
        <v>67</v>
      </c>
      <c r="I3" s="0" t="s">
        <v>68</v>
      </c>
      <c r="J3" s="0" t="s">
        <v>69</v>
      </c>
      <c r="K3" s="0" t="s">
        <v>70</v>
      </c>
      <c r="L3" s="0" t="s">
        <v>71</v>
      </c>
      <c r="M3" s="0" t="s">
        <v>180</v>
      </c>
      <c r="N3" s="0" t="s">
        <v>72</v>
      </c>
      <c r="O3" s="0" t="s">
        <v>73</v>
      </c>
    </row>
    <row r="4" s="107" customFormat="true" ht="18" hidden="false" customHeight="true" outlineLevel="0" collapsed="false">
      <c r="D4" s="108" t="s">
        <v>2</v>
      </c>
      <c r="E4" s="8" t="s">
        <v>3</v>
      </c>
      <c r="F4" s="8" t="s">
        <v>4</v>
      </c>
      <c r="G4" s="8" t="s">
        <v>5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74</v>
      </c>
      <c r="M4" s="8" t="s">
        <v>181</v>
      </c>
      <c r="N4" s="8" t="s">
        <v>75</v>
      </c>
      <c r="O4" s="8" t="s">
        <v>19</v>
      </c>
      <c r="P4" s="8"/>
    </row>
    <row r="5" s="110" customFormat="true" ht="30" hidden="false" customHeight="true" outlineLevel="0" collapsed="false">
      <c r="B5" s="10" t="s">
        <v>23</v>
      </c>
      <c r="D5" s="11" t="s">
        <v>24</v>
      </c>
      <c r="E5" s="11" t="s">
        <v>24</v>
      </c>
      <c r="F5" s="11" t="s">
        <v>24</v>
      </c>
      <c r="G5" s="11" t="s">
        <v>24</v>
      </c>
      <c r="H5" s="11" t="s">
        <v>24</v>
      </c>
      <c r="I5" s="11" t="s">
        <v>24</v>
      </c>
      <c r="J5" s="11" t="s">
        <v>24</v>
      </c>
      <c r="K5" s="11" t="s">
        <v>24</v>
      </c>
      <c r="L5" s="11" t="s">
        <v>24</v>
      </c>
      <c r="M5" s="11" t="s">
        <v>24</v>
      </c>
      <c r="N5" s="11" t="s">
        <v>24</v>
      </c>
      <c r="O5" s="11" t="s">
        <v>24</v>
      </c>
      <c r="P5" s="113" t="n">
        <v>2018</v>
      </c>
    </row>
    <row r="6" customFormat="false" ht="6" hidden="false" customHeight="true" outlineLevel="0" collapsed="false">
      <c r="P6" s="114"/>
    </row>
    <row r="7" s="1" customFormat="true" ht="27" hidden="false" customHeight="true" outlineLevel="0" collapsed="false">
      <c r="B7" s="17" t="s">
        <v>78</v>
      </c>
      <c r="C7" s="18"/>
      <c r="D7" s="19" t="n">
        <f aca="false">D9+D11+D13+D21+D28+D33+D39</f>
        <v>0</v>
      </c>
      <c r="E7" s="19" t="n">
        <f aca="false">E9+E11+E13+E21+E28+E33+E39</f>
        <v>0</v>
      </c>
      <c r="F7" s="19" t="n">
        <f aca="false">F9+F11+F13+F21+F28+F33+F39</f>
        <v>0</v>
      </c>
      <c r="G7" s="19" t="n">
        <f aca="false">G9+G11+G13+G21+G28+G33+G39</f>
        <v>0</v>
      </c>
      <c r="H7" s="19" t="n">
        <f aca="false">H9+H11+H13+H21+H28+H33+H39</f>
        <v>0</v>
      </c>
      <c r="I7" s="19" t="n">
        <f aca="false">I9+I11+I13+I21+I28+I33+I39</f>
        <v>0</v>
      </c>
      <c r="J7" s="19" t="n">
        <f aca="false">J9+J11+J13+J21+J28+J33+J39</f>
        <v>0</v>
      </c>
      <c r="K7" s="19" t="n">
        <f aca="false">K9+K11+K13+K21+K28+K33+K39</f>
        <v>0</v>
      </c>
      <c r="L7" s="19" t="n">
        <f aca="false">L9+L11+L13+L21+L28+L33+L39</f>
        <v>0</v>
      </c>
      <c r="M7" s="19" t="n">
        <f aca="false">M9+M11+M13+M21+M28+M33+M39</f>
        <v>0</v>
      </c>
      <c r="N7" s="19" t="n">
        <f aca="false">N9+N11+N13+N21+N28+N33+N39</f>
        <v>0</v>
      </c>
      <c r="O7" s="19" t="n">
        <f aca="false">O9+O11+O13+O21+O28+O33+O39</f>
        <v>0</v>
      </c>
      <c r="P7" s="328" t="n">
        <f aca="false">P9+P11+P13+P21+P28+P33+P39</f>
        <v>0</v>
      </c>
      <c r="Q7" s="21"/>
    </row>
    <row r="8" customFormat="false" ht="6.75" hidden="false" customHeight="true" outlineLevel="0" collapsed="false">
      <c r="B8" s="116"/>
      <c r="C8" s="68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17"/>
      <c r="Q8" s="21"/>
    </row>
    <row r="9" s="1" customFormat="true" ht="22.5" hidden="false" customHeight="true" outlineLevel="0" collapsed="false">
      <c r="B9" s="118" t="s">
        <v>79</v>
      </c>
      <c r="C9" s="18"/>
      <c r="D9" s="119" t="n">
        <f aca="false">-D11</f>
        <v>0</v>
      </c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 t="n">
        <f aca="false">-O14-O22</f>
        <v>0</v>
      </c>
      <c r="P9" s="120" t="n">
        <f aca="false">SUM(D9:O9)</f>
        <v>0</v>
      </c>
      <c r="Q9" s="21"/>
    </row>
    <row r="10" customFormat="false" ht="6.75" hidden="false" customHeight="true" outlineLevel="0" collapsed="false">
      <c r="B10" s="116"/>
      <c r="C10" s="68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17"/>
      <c r="Q10" s="21"/>
    </row>
    <row r="11" s="1" customFormat="true" ht="17.25" hidden="false" customHeight="true" outlineLevel="0" collapsed="false">
      <c r="B11" s="118" t="s">
        <v>80</v>
      </c>
      <c r="C11" s="18"/>
      <c r="D11" s="119" t="n">
        <f aca="false">-Source!D8</f>
        <v>0</v>
      </c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20" t="n">
        <f aca="false">SUM(D11:O11)</f>
        <v>0</v>
      </c>
      <c r="Q11" s="21"/>
    </row>
    <row r="12" s="1" customFormat="true" ht="7.5" hidden="false" customHeight="true" outlineLevel="0" collapsed="false">
      <c r="B12" s="122"/>
      <c r="C12" s="37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4"/>
      <c r="Q12" s="21"/>
    </row>
    <row r="13" s="1" customFormat="true" ht="22.5" hidden="false" customHeight="true" outlineLevel="0" collapsed="false">
      <c r="B13" s="118" t="s">
        <v>81</v>
      </c>
      <c r="C13" s="18"/>
      <c r="D13" s="119" t="n">
        <f aca="false">+SUM(D14:D19)</f>
        <v>0</v>
      </c>
      <c r="E13" s="119" t="n">
        <f aca="false">+SUM(E14:E19)</f>
        <v>0</v>
      </c>
      <c r="F13" s="119" t="n">
        <f aca="false">+SUM(F14:F19)</f>
        <v>0</v>
      </c>
      <c r="G13" s="119" t="n">
        <f aca="false">+SUM(G14:G19)</f>
        <v>0</v>
      </c>
      <c r="H13" s="119" t="n">
        <f aca="false">+SUM(H14:H19)</f>
        <v>0</v>
      </c>
      <c r="I13" s="119" t="n">
        <f aca="false">+SUM(I14:I19)</f>
        <v>0</v>
      </c>
      <c r="J13" s="119" t="n">
        <f aca="false">+SUM(J14:J19)</f>
        <v>0</v>
      </c>
      <c r="K13" s="119" t="n">
        <f aca="false">+SUM(K14:K19)</f>
        <v>0</v>
      </c>
      <c r="L13" s="119" t="n">
        <f aca="false">+SUM(L14:L19)</f>
        <v>0</v>
      </c>
      <c r="M13" s="119" t="n">
        <f aca="false">+SUM(M14:M19)</f>
        <v>0</v>
      </c>
      <c r="N13" s="119" t="n">
        <f aca="false">+SUM(N14:N19)</f>
        <v>0</v>
      </c>
      <c r="O13" s="119" t="n">
        <f aca="false">+SUM(O14:O19)</f>
        <v>0</v>
      </c>
      <c r="P13" s="120" t="n">
        <f aca="false">+SUM(P14:P19)</f>
        <v>0</v>
      </c>
      <c r="Q13" s="21"/>
    </row>
    <row r="14" s="1" customFormat="true" ht="15.75" hidden="false" customHeight="true" outlineLevel="0" collapsed="false">
      <c r="B14" s="126" t="s">
        <v>82</v>
      </c>
      <c r="C14" s="37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124" t="n">
        <f aca="false">SUM(D14:O14)</f>
        <v>0</v>
      </c>
      <c r="Q14" s="21"/>
    </row>
    <row r="15" s="1" customFormat="true" ht="15.75" hidden="false" customHeight="true" outlineLevel="0" collapsed="false">
      <c r="B15" s="131" t="s">
        <v>83</v>
      </c>
      <c r="C15" s="37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124" t="n">
        <f aca="false">SUM(D15:O15)</f>
        <v>0</v>
      </c>
      <c r="Q15" s="21"/>
    </row>
    <row r="16" s="1" customFormat="true" ht="15.75" hidden="false" customHeight="true" outlineLevel="0" collapsed="false">
      <c r="B16" s="131" t="s">
        <v>84</v>
      </c>
      <c r="C16" s="37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124" t="n">
        <f aca="false">SUM(D16:O16)</f>
        <v>0</v>
      </c>
      <c r="Q16" s="21"/>
    </row>
    <row r="17" s="1" customFormat="true" ht="15.75" hidden="false" customHeight="true" outlineLevel="0" collapsed="false">
      <c r="B17" s="131" t="s">
        <v>85</v>
      </c>
      <c r="C17" s="37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124" t="n">
        <f aca="false">SUM(D17:O17)</f>
        <v>0</v>
      </c>
      <c r="Q17" s="21"/>
    </row>
    <row r="18" s="1" customFormat="true" ht="15.75" hidden="false" customHeight="true" outlineLevel="0" collapsed="false">
      <c r="B18" s="131" t="s">
        <v>86</v>
      </c>
      <c r="C18" s="37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124" t="n">
        <f aca="false">SUM(D18:O18)</f>
        <v>0</v>
      </c>
      <c r="Q18" s="21"/>
    </row>
    <row r="19" s="1" customFormat="true" ht="15.75" hidden="false" customHeight="true" outlineLevel="0" collapsed="false">
      <c r="B19" s="132" t="s">
        <v>87</v>
      </c>
      <c r="C19" s="37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4" t="n">
        <f aca="false">SUM(D19:O19)</f>
        <v>0</v>
      </c>
      <c r="Q19" s="21"/>
    </row>
    <row r="20" s="1" customFormat="true" ht="6.75" hidden="false" customHeight="true" outlineLevel="0" collapsed="false">
      <c r="B20" s="122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4"/>
      <c r="Q20" s="21"/>
    </row>
    <row r="21" s="1" customFormat="true" ht="18.75" hidden="false" customHeight="true" outlineLevel="0" collapsed="false">
      <c r="B21" s="118" t="s">
        <v>88</v>
      </c>
      <c r="C21" s="18"/>
      <c r="D21" s="119" t="n">
        <f aca="false">SUM(D22:D26)</f>
        <v>0</v>
      </c>
      <c r="E21" s="119" t="n">
        <f aca="false">SUM(E22:E26)</f>
        <v>0</v>
      </c>
      <c r="F21" s="119" t="n">
        <f aca="false">SUM(F22:F26)</f>
        <v>0</v>
      </c>
      <c r="G21" s="119" t="n">
        <f aca="false">SUM(G22:G26)</f>
        <v>0</v>
      </c>
      <c r="H21" s="119" t="n">
        <f aca="false">SUM(H22:H26)</f>
        <v>0</v>
      </c>
      <c r="I21" s="119" t="n">
        <f aca="false">SUM(I22:I26)</f>
        <v>0</v>
      </c>
      <c r="J21" s="119" t="n">
        <f aca="false">SUM(J22:J26)</f>
        <v>0</v>
      </c>
      <c r="K21" s="119" t="n">
        <f aca="false">SUM(K22:K26)</f>
        <v>0</v>
      </c>
      <c r="L21" s="119" t="n">
        <f aca="false">SUM(L22:L26)</f>
        <v>0</v>
      </c>
      <c r="M21" s="119" t="n">
        <f aca="false">SUM(M22:M26)</f>
        <v>0</v>
      </c>
      <c r="N21" s="119" t="n">
        <f aca="false">SUM(N22:N26)</f>
        <v>0</v>
      </c>
      <c r="O21" s="119" t="n">
        <f aca="false">SUM(O22:O26)</f>
        <v>0</v>
      </c>
      <c r="P21" s="120" t="n">
        <f aca="false">SUM(P22:P26)</f>
        <v>0</v>
      </c>
      <c r="Q21" s="21"/>
    </row>
    <row r="22" s="1" customFormat="true" ht="15.75" hidden="false" customHeight="true" outlineLevel="0" collapsed="false">
      <c r="B22" s="126" t="s">
        <v>89</v>
      </c>
      <c r="C22" s="37"/>
      <c r="D22" s="135"/>
      <c r="E22" s="135"/>
      <c r="F22" s="135"/>
      <c r="G22" s="135"/>
      <c r="H22" s="135"/>
      <c r="I22" s="135"/>
      <c r="J22" s="135"/>
      <c r="K22" s="135"/>
      <c r="L22" s="135"/>
      <c r="M22" s="135"/>
      <c r="N22" s="135"/>
      <c r="O22" s="135"/>
      <c r="P22" s="136" t="n">
        <f aca="false">SUM(D22:O22)</f>
        <v>0</v>
      </c>
      <c r="Q22" s="21"/>
    </row>
    <row r="23" s="1" customFormat="true" ht="15.75" hidden="false" customHeight="true" outlineLevel="0" collapsed="false">
      <c r="B23" s="131" t="s">
        <v>90</v>
      </c>
      <c r="C23" s="37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124" t="n">
        <f aca="false">SUM(D23:O23)</f>
        <v>0</v>
      </c>
      <c r="Q23" s="21"/>
    </row>
    <row r="24" s="1" customFormat="true" ht="15.75" hidden="false" customHeight="true" outlineLevel="0" collapsed="false">
      <c r="B24" s="131" t="s">
        <v>91</v>
      </c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124" t="n">
        <f aca="false">SUM(D24:O24)</f>
        <v>0</v>
      </c>
      <c r="Q24" s="21"/>
    </row>
    <row r="25" s="1" customFormat="true" ht="15.75" hidden="false" customHeight="true" outlineLevel="0" collapsed="false">
      <c r="B25" s="131" t="s">
        <v>92</v>
      </c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124" t="n">
        <f aca="false">SUM(D25:O25)</f>
        <v>0</v>
      </c>
      <c r="Q25" s="21"/>
    </row>
    <row r="26" s="1" customFormat="true" ht="15.75" hidden="false" customHeight="true" outlineLevel="0" collapsed="false">
      <c r="B26" s="132" t="s">
        <v>93</v>
      </c>
      <c r="C26" s="37"/>
      <c r="D26" s="133" t="n">
        <f aca="false">-Source!D19-Source!D16</f>
        <v>0</v>
      </c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4" t="n">
        <f aca="false">SUM(D26:O26)</f>
        <v>0</v>
      </c>
      <c r="Q26" s="21"/>
    </row>
    <row r="27" s="1" customFormat="true" ht="6.75" hidden="false" customHeight="true" outlineLevel="0" collapsed="false">
      <c r="B27" s="122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4"/>
      <c r="Q27" s="21"/>
    </row>
    <row r="28" s="1" customFormat="true" ht="22.5" hidden="false" customHeight="true" outlineLevel="0" collapsed="false">
      <c r="B28" s="118" t="s">
        <v>94</v>
      </c>
      <c r="C28" s="18"/>
      <c r="D28" s="119" t="n">
        <f aca="false">SUM(D29:D31)</f>
        <v>0</v>
      </c>
      <c r="E28" s="119" t="n">
        <f aca="false">SUM(E29:E31)</f>
        <v>0</v>
      </c>
      <c r="F28" s="119" t="n">
        <f aca="false">SUM(F29:F31)</f>
        <v>0</v>
      </c>
      <c r="G28" s="119" t="n">
        <f aca="false">SUM(G29:G31)</f>
        <v>0</v>
      </c>
      <c r="H28" s="119" t="n">
        <f aca="false">SUM(H29:H31)</f>
        <v>0</v>
      </c>
      <c r="I28" s="119" t="n">
        <f aca="false">SUM(I29:I31)</f>
        <v>0</v>
      </c>
      <c r="J28" s="119" t="n">
        <f aca="false">SUM(J29:J31)</f>
        <v>0</v>
      </c>
      <c r="K28" s="119" t="n">
        <f aca="false">SUM(K29:K31)</f>
        <v>0</v>
      </c>
      <c r="L28" s="119" t="n">
        <f aca="false">SUM(L29:L31)</f>
        <v>0</v>
      </c>
      <c r="M28" s="119" t="n">
        <f aca="false">SUM(M29:M31)</f>
        <v>0</v>
      </c>
      <c r="N28" s="119" t="n">
        <f aca="false">SUM(N29:N31)</f>
        <v>0</v>
      </c>
      <c r="O28" s="119" t="n">
        <f aca="false">SUM(O29:O31)</f>
        <v>0</v>
      </c>
      <c r="P28" s="120" t="n">
        <f aca="false">SUM(P29:P31)</f>
        <v>0</v>
      </c>
      <c r="Q28" s="21"/>
    </row>
    <row r="29" s="1" customFormat="true" ht="15.75" hidden="false" customHeight="true" outlineLevel="0" collapsed="false">
      <c r="B29" s="126" t="s">
        <v>95</v>
      </c>
      <c r="C29" s="37"/>
      <c r="D29" s="135"/>
      <c r="E29" s="135"/>
      <c r="F29" s="135"/>
      <c r="G29" s="135"/>
      <c r="H29" s="135"/>
      <c r="I29" s="135"/>
      <c r="J29" s="135"/>
      <c r="K29" s="135"/>
      <c r="L29" s="135"/>
      <c r="M29" s="135"/>
      <c r="N29" s="135"/>
      <c r="O29" s="135"/>
      <c r="P29" s="136" t="n">
        <f aca="false">SUM(D29:O29)</f>
        <v>0</v>
      </c>
      <c r="Q29" s="21"/>
    </row>
    <row r="30" s="1" customFormat="true" ht="15.75" hidden="false" customHeight="true" outlineLevel="0" collapsed="false">
      <c r="B30" s="131" t="s">
        <v>96</v>
      </c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124" t="n">
        <f aca="false">SUM(D30:O30)</f>
        <v>0</v>
      </c>
      <c r="Q30" s="21"/>
    </row>
    <row r="31" s="1" customFormat="true" ht="15.75" hidden="false" customHeight="true" outlineLevel="0" collapsed="false">
      <c r="B31" s="132" t="s">
        <v>97</v>
      </c>
      <c r="C31" s="37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4" t="n">
        <f aca="false">SUM(D31:O31)</f>
        <v>0</v>
      </c>
      <c r="Q31" s="21"/>
    </row>
    <row r="32" s="1" customFormat="true" ht="10.5" hidden="false" customHeight="true" outlineLevel="0" collapsed="false">
      <c r="B32" s="137"/>
      <c r="C32" s="18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138"/>
      <c r="Q32" s="21"/>
    </row>
    <row r="33" s="1" customFormat="true" ht="21" hidden="false" customHeight="true" outlineLevel="0" collapsed="false">
      <c r="B33" s="118" t="s">
        <v>98</v>
      </c>
      <c r="C33" s="18"/>
      <c r="D33" s="119" t="n">
        <f aca="false">SUM(D34:D37)</f>
        <v>0</v>
      </c>
      <c r="E33" s="119" t="n">
        <f aca="false">SUM(E34:E37)</f>
        <v>0</v>
      </c>
      <c r="F33" s="119" t="n">
        <f aca="false">SUM(F34:F37)</f>
        <v>0</v>
      </c>
      <c r="G33" s="119" t="n">
        <f aca="false">SUM(G34:G37)</f>
        <v>0</v>
      </c>
      <c r="H33" s="119" t="n">
        <f aca="false">SUM(H34:H37)</f>
        <v>0</v>
      </c>
      <c r="I33" s="119" t="n">
        <f aca="false">SUM(I34:I37)</f>
        <v>0</v>
      </c>
      <c r="J33" s="119" t="n">
        <f aca="false">SUM(J34:J37)</f>
        <v>0</v>
      </c>
      <c r="K33" s="119" t="n">
        <f aca="false">SUM(K34:K37)</f>
        <v>0</v>
      </c>
      <c r="L33" s="119" t="n">
        <f aca="false">SUM(L34:L37)</f>
        <v>0</v>
      </c>
      <c r="M33" s="119" t="n">
        <f aca="false">SUM(M34:M37)</f>
        <v>0</v>
      </c>
      <c r="N33" s="119" t="n">
        <f aca="false">SUM(N34:N37)</f>
        <v>0</v>
      </c>
      <c r="O33" s="119" t="n">
        <f aca="false">SUM(O34:O37)</f>
        <v>0</v>
      </c>
      <c r="P33" s="120" t="n">
        <f aca="false">SUM(P34:P37)</f>
        <v>0</v>
      </c>
      <c r="Q33" s="21"/>
      <c r="R33" s="21"/>
    </row>
    <row r="34" customFormat="false" ht="12.75" hidden="false" customHeight="false" outlineLevel="0" collapsed="false">
      <c r="B34" s="139" t="s">
        <v>99</v>
      </c>
      <c r="C34" s="68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1" t="n">
        <f aca="false">SUM(D34:O34)</f>
        <v>0</v>
      </c>
      <c r="Q34" s="21"/>
      <c r="R34" s="142"/>
      <c r="S34" s="91"/>
    </row>
    <row r="35" customFormat="false" ht="12.75" hidden="false" customHeight="false" outlineLevel="0" collapsed="false">
      <c r="B35" s="143" t="s">
        <v>100</v>
      </c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5" t="n">
        <f aca="false">SUM(D35:O35)</f>
        <v>0</v>
      </c>
      <c r="Q35" s="21"/>
      <c r="R35" s="142"/>
    </row>
    <row r="36" customFormat="false" ht="12.75" hidden="false" customHeight="false" outlineLevel="0" collapsed="false">
      <c r="B36" s="143" t="s">
        <v>101</v>
      </c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6" t="n">
        <f aca="false">SUM(D36:O36)</f>
        <v>0</v>
      </c>
      <c r="Q36" s="21"/>
      <c r="R36" s="142"/>
    </row>
    <row r="37" customFormat="false" ht="16.5" hidden="false" customHeight="true" outlineLevel="0" collapsed="false">
      <c r="B37" s="147" t="s">
        <v>102</v>
      </c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9" t="n">
        <f aca="false">SUM(D37:O37)</f>
        <v>0</v>
      </c>
      <c r="Q37" s="21"/>
      <c r="R37" s="142"/>
    </row>
    <row r="38" s="21" customFormat="true" ht="9.75" hidden="false" customHeight="true" outlineLevel="0" collapsed="false"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17"/>
    </row>
    <row r="39" s="1" customFormat="true" ht="21" hidden="false" customHeight="true" outlineLevel="0" collapsed="false">
      <c r="B39" s="118" t="s">
        <v>103</v>
      </c>
      <c r="C39" s="18"/>
      <c r="D39" s="119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329" t="n">
        <f aca="false">SUM(D39:O39)</f>
        <v>0</v>
      </c>
      <c r="R39" s="21" t="n">
        <f aca="false">+Q39-P39</f>
        <v>0</v>
      </c>
    </row>
    <row r="40" s="21" customFormat="true" ht="12.75" hidden="false" customHeight="false" outlineLevel="0" collapsed="false"/>
    <row r="42" customFormat="false" ht="12.75" hidden="false" customHeight="false" outlineLevel="0" collapsed="false">
      <c r="H42" s="152"/>
      <c r="I42" s="152"/>
      <c r="J42" s="152"/>
      <c r="K42" s="152"/>
      <c r="L42" s="152"/>
      <c r="M42" s="152"/>
      <c r="N42" s="152"/>
      <c r="O42" s="152"/>
      <c r="P42" s="169"/>
    </row>
    <row r="43" customFormat="false" ht="12.75" hidden="false" customHeight="false" outlineLevel="0" collapsed="false">
      <c r="H43" s="152"/>
      <c r="I43" s="152"/>
      <c r="J43" s="152"/>
      <c r="K43" s="152"/>
      <c r="L43" s="152"/>
      <c r="M43" s="152"/>
      <c r="N43" s="152"/>
      <c r="O43" s="152"/>
      <c r="P43" s="169"/>
    </row>
    <row r="44" customFormat="false" ht="12.75" hidden="false" customHeight="false" outlineLevel="0" collapsed="false">
      <c r="H44" s="152"/>
      <c r="I44" s="152"/>
      <c r="J44" s="152"/>
      <c r="K44" s="152"/>
      <c r="L44" s="152"/>
      <c r="M44" s="152"/>
      <c r="N44" s="152"/>
      <c r="O44" s="152"/>
      <c r="P44" s="169"/>
    </row>
    <row r="45" customFormat="false" ht="12.75" hidden="false" customHeight="false" outlineLevel="0" collapsed="false">
      <c r="H45" s="152"/>
      <c r="I45" s="152"/>
      <c r="J45" s="152"/>
      <c r="K45" s="152"/>
      <c r="L45" s="152"/>
      <c r="M45" s="152"/>
      <c r="N45" s="152"/>
      <c r="O45" s="152"/>
      <c r="P45" s="169"/>
    </row>
    <row r="46" customFormat="false" ht="12.75" hidden="false" customHeight="false" outlineLevel="0" collapsed="false">
      <c r="B46" s="45"/>
      <c r="C46" s="45"/>
      <c r="D46" s="45"/>
      <c r="E46" s="45"/>
      <c r="F46" s="45"/>
      <c r="G46" s="45"/>
      <c r="H46" s="158"/>
      <c r="I46" s="158"/>
      <c r="J46" s="158"/>
      <c r="K46" s="158"/>
      <c r="L46" s="158"/>
      <c r="M46" s="158"/>
      <c r="N46" s="158"/>
      <c r="O46" s="158"/>
      <c r="P46" s="169"/>
    </row>
  </sheetData>
  <dataValidations count="1">
    <dataValidation allowBlank="true" error="XLBVal:6=-426388837&#13;&#10;" errorStyle="information" operator="between" showDropDown="false" showErrorMessage="true" showInputMessage="true" sqref="J26" type="textLength">
      <formula1>0</formula1>
      <formula2>300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FFFE00"/>
    <pageSetUpPr fitToPage="true"/>
  </sheetPr>
  <dimension ref="A1:T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82" workbookViewId="0">
      <pane xSplit="2" ySplit="6" topLeftCell="C35" activePane="bottomRight" state="frozen"/>
      <selection pane="topLeft" activeCell="A1" activeCellId="0" sqref="A1"/>
      <selection pane="topRight" activeCell="C1" activeCellId="0" sqref="C1"/>
      <selection pane="bottomLeft" activeCell="A35" activeCellId="0" sqref="A35"/>
      <selection pane="bottomRight" activeCell="F15" activeCellId="0" sqref="F15"/>
    </sheetView>
  </sheetViews>
  <sheetFormatPr defaultColWidth="11.43359375" defaultRowHeight="12.75" zeroHeight="false" outlineLevelRow="0" outlineLevelCol="1"/>
  <cols>
    <col collapsed="false" customWidth="true" hidden="false" outlineLevel="0" max="1" min="1" style="0" width="2.85"/>
    <col collapsed="false" customWidth="true" hidden="false" outlineLevel="0" max="2" min="2" style="0" width="39.43"/>
    <col collapsed="false" customWidth="true" hidden="false" outlineLevel="0" max="3" min="3" style="0" width="1"/>
    <col collapsed="false" customWidth="true" hidden="false" outlineLevel="1" max="5" min="4" style="173" width="10.85"/>
    <col collapsed="false" customWidth="true" hidden="false" outlineLevel="1" max="11" min="6" style="0" width="10.85"/>
    <col collapsed="false" customWidth="true" hidden="false" outlineLevel="1" max="12" min="12" style="0" width="12.14"/>
    <col collapsed="false" customWidth="true" hidden="false" outlineLevel="1" max="13" min="13" style="0" width="10.85"/>
    <col collapsed="false" customWidth="false" hidden="false" outlineLevel="1" max="14" min="14" style="0" width="11.42"/>
    <col collapsed="false" customWidth="true" hidden="false" outlineLevel="1" max="15" min="15" style="0" width="11.14"/>
    <col collapsed="false" customWidth="true" hidden="false" outlineLevel="0" max="17" min="17" style="0" width="7.86"/>
    <col collapsed="false" customWidth="true" hidden="false" outlineLevel="0" max="18" min="18" style="0" width="7.15"/>
    <col collapsed="false" customWidth="true" hidden="false" outlineLevel="0" max="19" min="19" style="0" width="7"/>
    <col collapsed="false" customWidth="true" hidden="false" outlineLevel="0" max="20" min="20" style="0" width="6.15"/>
  </cols>
  <sheetData>
    <row r="1" customFormat="false" ht="9" hidden="false" customHeight="true" outlineLevel="0" collapsed="false"/>
    <row r="2" customFormat="false" ht="21" hidden="false" customHeight="false" outlineLevel="0" collapsed="false">
      <c r="A2" s="5" t="s">
        <v>130</v>
      </c>
      <c r="B2" s="174"/>
      <c r="C2" s="21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3"/>
    </row>
    <row r="3" customFormat="false" ht="4.5" hidden="false" customHeight="true" outlineLevel="0" collapsed="false"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</row>
    <row r="4" customFormat="false" ht="12" hidden="false" customHeight="true" outlineLevel="0" collapsed="false"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112"/>
    </row>
    <row r="5" s="108" customFormat="true" ht="12.75" hidden="false" customHeight="false" outlineLevel="0" collapsed="false">
      <c r="D5" s="10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12</v>
      </c>
      <c r="O5" s="8" t="s">
        <v>13</v>
      </c>
      <c r="P5" s="8"/>
      <c r="Q5" s="112"/>
    </row>
    <row r="6" s="176" customFormat="true" ht="27.75" hidden="false" customHeight="true" outlineLevel="0" collapsed="false">
      <c r="B6" s="176" t="s">
        <v>23</v>
      </c>
      <c r="D6" s="11" t="s">
        <v>24</v>
      </c>
      <c r="E6" s="11" t="s">
        <v>24</v>
      </c>
      <c r="F6" s="11" t="s">
        <v>24</v>
      </c>
      <c r="G6" s="11" t="s">
        <v>24</v>
      </c>
      <c r="H6" s="11" t="s">
        <v>24</v>
      </c>
      <c r="I6" s="11" t="s">
        <v>24</v>
      </c>
      <c r="J6" s="11" t="s">
        <v>24</v>
      </c>
      <c r="K6" s="11" t="s">
        <v>24</v>
      </c>
      <c r="L6" s="11" t="s">
        <v>24</v>
      </c>
      <c r="M6" s="11" t="s">
        <v>24</v>
      </c>
      <c r="N6" s="11" t="s">
        <v>24</v>
      </c>
      <c r="O6" s="11" t="s">
        <v>24</v>
      </c>
      <c r="P6" s="177" t="n">
        <v>2018</v>
      </c>
      <c r="Q6" s="10"/>
    </row>
    <row r="7" customFormat="false" ht="3.75" hidden="false" customHeight="true" outlineLevel="0" collapsed="false">
      <c r="F7" s="178"/>
      <c r="G7" s="178"/>
      <c r="H7" s="178"/>
      <c r="I7" s="178"/>
      <c r="J7" s="178"/>
      <c r="K7" s="178"/>
      <c r="L7" s="178"/>
      <c r="M7" s="178"/>
      <c r="N7" s="178"/>
      <c r="O7" s="173"/>
      <c r="P7" s="179"/>
      <c r="Q7" s="173"/>
    </row>
    <row r="8" s="1" customFormat="true" ht="19.5" hidden="false" customHeight="true" outlineLevel="0" collapsed="false">
      <c r="A8" s="180" t="s">
        <v>132</v>
      </c>
      <c r="B8" s="181"/>
      <c r="C8" s="18"/>
      <c r="D8" s="119" t="n">
        <f aca="false">'CA Mobile'!D8</f>
        <v>0</v>
      </c>
      <c r="E8" s="119" t="n">
        <f aca="false">'CA Mobile'!E8</f>
        <v>0</v>
      </c>
      <c r="F8" s="182" t="n">
        <f aca="false">'CA Mobile'!F8</f>
        <v>0</v>
      </c>
      <c r="G8" s="182" t="n">
        <f aca="false">'CA Mobile'!G8</f>
        <v>0</v>
      </c>
      <c r="H8" s="182" t="n">
        <f aca="false">'CA Mobile'!H8</f>
        <v>0</v>
      </c>
      <c r="I8" s="182" t="n">
        <f aca="false">'CA Mobile'!I8</f>
        <v>0</v>
      </c>
      <c r="J8" s="182" t="n">
        <f aca="false">'CA Mobile'!J8</f>
        <v>0</v>
      </c>
      <c r="K8" s="182" t="n">
        <f aca="false">'CA Mobile'!K8</f>
        <v>0</v>
      </c>
      <c r="L8" s="182" t="n">
        <f aca="false">'CA Mobile'!L8</f>
        <v>0</v>
      </c>
      <c r="M8" s="182" t="n">
        <f aca="false">'CA Mobile'!M8</f>
        <v>0</v>
      </c>
      <c r="N8" s="182" t="n">
        <f aca="false">'CA Mobile'!N8</f>
        <v>0</v>
      </c>
      <c r="O8" s="119" t="n">
        <f aca="false">'CA Mobile'!O8</f>
        <v>0</v>
      </c>
      <c r="P8" s="183" t="n">
        <f aca="false">'CA Mobile'!P8</f>
        <v>0</v>
      </c>
      <c r="Q8" s="184"/>
    </row>
    <row r="9" customFormat="false" ht="15" hidden="false" customHeight="true" outlineLevel="0" collapsed="false">
      <c r="A9" s="185"/>
      <c r="B9" s="186" t="s">
        <v>133</v>
      </c>
      <c r="C9" s="68"/>
      <c r="D9" s="187"/>
      <c r="E9" s="187"/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9"/>
      <c r="Q9" s="53"/>
    </row>
    <row r="10" customFormat="false" ht="15" hidden="false" customHeight="true" outlineLevel="0" collapsed="false">
      <c r="A10" s="190"/>
      <c r="B10" s="191" t="s">
        <v>134</v>
      </c>
      <c r="C10" s="68"/>
      <c r="D10" s="192"/>
      <c r="E10" s="192"/>
      <c r="F10" s="193"/>
      <c r="G10" s="193"/>
      <c r="H10" s="193"/>
      <c r="I10" s="193"/>
      <c r="J10" s="193"/>
      <c r="K10" s="193"/>
      <c r="L10" s="193"/>
      <c r="M10" s="193"/>
      <c r="N10" s="193"/>
      <c r="O10" s="192"/>
      <c r="P10" s="195"/>
      <c r="Q10" s="53"/>
    </row>
    <row r="11" customFormat="false" ht="15" hidden="false" customHeight="true" outlineLevel="0" collapsed="false">
      <c r="A11" s="196"/>
      <c r="B11" s="197" t="s">
        <v>135</v>
      </c>
      <c r="C11" s="18"/>
      <c r="D11" s="198"/>
      <c r="E11" s="198"/>
      <c r="F11" s="199"/>
      <c r="G11" s="199"/>
      <c r="H11" s="199"/>
      <c r="I11" s="199"/>
      <c r="J11" s="199"/>
      <c r="K11" s="199"/>
      <c r="L11" s="199"/>
      <c r="M11" s="199"/>
      <c r="N11" s="199"/>
      <c r="O11" s="198"/>
      <c r="P11" s="201"/>
      <c r="Q11" s="202"/>
      <c r="R11" s="51"/>
      <c r="S11" s="51"/>
      <c r="T11" s="51"/>
    </row>
    <row r="12" customFormat="false" ht="15" hidden="false" customHeight="true" outlineLevel="0" collapsed="false">
      <c r="A12" s="185"/>
      <c r="B12" s="186" t="s">
        <v>133</v>
      </c>
      <c r="C12" s="68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9"/>
      <c r="Q12" s="53"/>
    </row>
    <row r="13" customFormat="false" ht="15" hidden="false" customHeight="true" outlineLevel="0" collapsed="false">
      <c r="A13" s="190"/>
      <c r="B13" s="191" t="s">
        <v>134</v>
      </c>
      <c r="C13" s="68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5"/>
      <c r="Q13" s="53"/>
    </row>
    <row r="14" customFormat="false" ht="15" hidden="false" customHeight="true" outlineLevel="0" collapsed="false">
      <c r="A14" s="196"/>
      <c r="B14" s="197" t="s">
        <v>136</v>
      </c>
      <c r="C14" s="18"/>
      <c r="D14" s="198"/>
      <c r="E14" s="198"/>
      <c r="F14" s="199"/>
      <c r="G14" s="199"/>
      <c r="H14" s="199"/>
      <c r="I14" s="199"/>
      <c r="J14" s="199"/>
      <c r="K14" s="199"/>
      <c r="L14" s="199"/>
      <c r="M14" s="199"/>
      <c r="N14" s="199"/>
      <c r="O14" s="198"/>
      <c r="P14" s="201"/>
      <c r="Q14" s="202"/>
      <c r="R14" s="51"/>
      <c r="S14" s="51"/>
      <c r="T14" s="51"/>
    </row>
    <row r="15" customFormat="false" ht="15" hidden="false" customHeight="true" outlineLevel="0" collapsed="false">
      <c r="A15" s="185"/>
      <c r="B15" s="186" t="s">
        <v>133</v>
      </c>
      <c r="C15" s="68"/>
      <c r="D15" s="187"/>
      <c r="E15" s="187"/>
      <c r="F15" s="187"/>
      <c r="G15" s="187"/>
      <c r="H15" s="187"/>
      <c r="I15" s="187"/>
      <c r="J15" s="187"/>
      <c r="K15" s="187"/>
      <c r="L15" s="187"/>
      <c r="M15" s="187"/>
      <c r="N15" s="187"/>
      <c r="O15" s="187"/>
      <c r="P15" s="189"/>
      <c r="Q15" s="53"/>
    </row>
    <row r="16" customFormat="false" ht="15" hidden="false" customHeight="true" outlineLevel="0" collapsed="false">
      <c r="A16" s="190"/>
      <c r="B16" s="191" t="s">
        <v>134</v>
      </c>
      <c r="C16" s="68"/>
      <c r="D16" s="192"/>
      <c r="E16" s="192"/>
      <c r="F16" s="193"/>
      <c r="G16" s="193"/>
      <c r="H16" s="193"/>
      <c r="I16" s="193"/>
      <c r="J16" s="193"/>
      <c r="K16" s="193"/>
      <c r="L16" s="193"/>
      <c r="M16" s="193"/>
      <c r="N16" s="193"/>
      <c r="O16" s="192"/>
      <c r="P16" s="195"/>
      <c r="Q16" s="53"/>
    </row>
    <row r="17" customFormat="false" ht="15" hidden="false" customHeight="true" outlineLevel="0" collapsed="false">
      <c r="A17" s="196"/>
      <c r="B17" s="197" t="s">
        <v>137</v>
      </c>
      <c r="C17" s="18"/>
      <c r="D17" s="198"/>
      <c r="E17" s="198"/>
      <c r="F17" s="199"/>
      <c r="G17" s="199"/>
      <c r="H17" s="199"/>
      <c r="I17" s="199"/>
      <c r="J17" s="199"/>
      <c r="K17" s="199"/>
      <c r="L17" s="199"/>
      <c r="M17" s="199"/>
      <c r="N17" s="199"/>
      <c r="O17" s="198"/>
      <c r="P17" s="201"/>
      <c r="Q17" s="202"/>
      <c r="R17" s="51"/>
      <c r="S17" s="51"/>
      <c r="T17" s="51"/>
    </row>
    <row r="18" customFormat="false" ht="15" hidden="false" customHeight="true" outlineLevel="0" collapsed="false">
      <c r="A18" s="185"/>
      <c r="B18" s="186" t="s">
        <v>133</v>
      </c>
      <c r="C18" s="68"/>
      <c r="D18" s="187"/>
      <c r="E18" s="187"/>
      <c r="F18" s="187"/>
      <c r="G18" s="187"/>
      <c r="H18" s="187"/>
      <c r="I18" s="187"/>
      <c r="J18" s="187"/>
      <c r="K18" s="187"/>
      <c r="L18" s="187"/>
      <c r="M18" s="187"/>
      <c r="N18" s="187"/>
      <c r="O18" s="187"/>
      <c r="P18" s="189"/>
      <c r="Q18" s="53"/>
    </row>
    <row r="19" customFormat="false" ht="15" hidden="false" customHeight="true" outlineLevel="0" collapsed="false">
      <c r="A19" s="190"/>
      <c r="B19" s="191" t="s">
        <v>134</v>
      </c>
      <c r="C19" s="68"/>
      <c r="D19" s="192"/>
      <c r="E19" s="192"/>
      <c r="F19" s="193"/>
      <c r="G19" s="193"/>
      <c r="H19" s="193"/>
      <c r="I19" s="193"/>
      <c r="J19" s="193"/>
      <c r="K19" s="193"/>
      <c r="L19" s="193"/>
      <c r="M19" s="193"/>
      <c r="N19" s="193"/>
      <c r="O19" s="192"/>
      <c r="P19" s="195"/>
      <c r="Q19" s="53"/>
    </row>
    <row r="20" customFormat="false" ht="15" hidden="false" customHeight="true" outlineLevel="0" collapsed="false">
      <c r="A20" s="196"/>
      <c r="B20" s="197" t="s">
        <v>138</v>
      </c>
      <c r="C20" s="18"/>
      <c r="D20" s="198"/>
      <c r="E20" s="198"/>
      <c r="F20" s="199"/>
      <c r="G20" s="199"/>
      <c r="H20" s="199"/>
      <c r="I20" s="199"/>
      <c r="J20" s="199"/>
      <c r="K20" s="199"/>
      <c r="L20" s="199"/>
      <c r="M20" s="199"/>
      <c r="N20" s="199"/>
      <c r="O20" s="198"/>
      <c r="P20" s="201"/>
      <c r="Q20" s="202"/>
      <c r="R20" s="51"/>
      <c r="S20" s="51"/>
      <c r="T20" s="51"/>
    </row>
    <row r="21" customFormat="false" ht="15" hidden="false" customHeight="true" outlineLevel="0" collapsed="false">
      <c r="A21" s="185"/>
      <c r="B21" s="186" t="s">
        <v>139</v>
      </c>
      <c r="C21" s="68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5"/>
      <c r="Q21" s="53"/>
    </row>
    <row r="22" customFormat="false" ht="15" hidden="false" customHeight="true" outlineLevel="0" collapsed="false">
      <c r="A22" s="190"/>
      <c r="B22" s="191" t="s">
        <v>134</v>
      </c>
      <c r="C22" s="68"/>
      <c r="D22" s="192"/>
      <c r="E22" s="192"/>
      <c r="F22" s="193"/>
      <c r="G22" s="193"/>
      <c r="H22" s="193"/>
      <c r="I22" s="193"/>
      <c r="J22" s="193"/>
      <c r="K22" s="193"/>
      <c r="L22" s="193"/>
      <c r="M22" s="193"/>
      <c r="N22" s="193"/>
      <c r="O22" s="192"/>
      <c r="P22" s="195"/>
      <c r="Q22" s="53"/>
    </row>
    <row r="23" customFormat="false" ht="15" hidden="true" customHeight="true" outlineLevel="0" collapsed="false">
      <c r="A23" s="190"/>
      <c r="B23" s="191" t="s">
        <v>140</v>
      </c>
      <c r="C23" s="68"/>
      <c r="D23" s="207"/>
      <c r="E23" s="207"/>
      <c r="F23" s="208"/>
      <c r="G23" s="208"/>
      <c r="H23" s="208"/>
      <c r="I23" s="208"/>
      <c r="J23" s="208"/>
      <c r="K23" s="208"/>
      <c r="L23" s="208"/>
      <c r="M23" s="208"/>
      <c r="N23" s="208"/>
      <c r="O23" s="207"/>
      <c r="P23" s="210"/>
      <c r="Q23" s="53"/>
    </row>
    <row r="24" customFormat="false" ht="15" hidden="true" customHeight="true" outlineLevel="0" collapsed="false">
      <c r="A24" s="190"/>
      <c r="B24" s="191" t="s">
        <v>134</v>
      </c>
      <c r="C24" s="68"/>
      <c r="D24" s="192"/>
      <c r="E24" s="192"/>
      <c r="F24" s="193"/>
      <c r="G24" s="193"/>
      <c r="H24" s="193"/>
      <c r="I24" s="193"/>
      <c r="J24" s="193"/>
      <c r="K24" s="193"/>
      <c r="L24" s="193"/>
      <c r="M24" s="193"/>
      <c r="N24" s="193"/>
      <c r="O24" s="192"/>
      <c r="P24" s="195"/>
      <c r="Q24" s="53"/>
    </row>
    <row r="25" customFormat="false" ht="15" hidden="false" customHeight="true" outlineLevel="0" collapsed="false">
      <c r="A25" s="211"/>
      <c r="B25" s="197" t="s">
        <v>141</v>
      </c>
      <c r="C25" s="212"/>
      <c r="D25" s="198"/>
      <c r="E25" s="198"/>
      <c r="F25" s="199"/>
      <c r="G25" s="199"/>
      <c r="H25" s="199"/>
      <c r="I25" s="199"/>
      <c r="J25" s="199"/>
      <c r="K25" s="199"/>
      <c r="L25" s="199"/>
      <c r="M25" s="199"/>
      <c r="N25" s="199"/>
      <c r="O25" s="198"/>
      <c r="P25" s="201"/>
      <c r="Q25" s="202"/>
      <c r="R25" s="51"/>
      <c r="S25" s="51"/>
      <c r="T25" s="51"/>
    </row>
    <row r="26" customFormat="false" ht="15" hidden="false" customHeight="true" outlineLevel="0" collapsed="false">
      <c r="A26" s="185"/>
      <c r="B26" s="186" t="s">
        <v>142</v>
      </c>
      <c r="C26" s="68"/>
      <c r="D26" s="187"/>
      <c r="E26" s="187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189"/>
      <c r="Q26" s="53"/>
    </row>
    <row r="27" customFormat="false" ht="15" hidden="false" customHeight="true" outlineLevel="0" collapsed="false">
      <c r="A27" s="190"/>
      <c r="B27" s="191" t="s">
        <v>134</v>
      </c>
      <c r="C27" s="68"/>
      <c r="D27" s="192"/>
      <c r="E27" s="192"/>
      <c r="F27" s="193"/>
      <c r="G27" s="193"/>
      <c r="H27" s="193"/>
      <c r="I27" s="193"/>
      <c r="J27" s="193"/>
      <c r="K27" s="193"/>
      <c r="L27" s="193"/>
      <c r="M27" s="193"/>
      <c r="N27" s="193"/>
      <c r="O27" s="192"/>
      <c r="P27" s="195"/>
      <c r="Q27" s="53"/>
    </row>
    <row r="28" customFormat="false" ht="15" hidden="false" customHeight="true" outlineLevel="0" collapsed="false">
      <c r="A28" s="196"/>
      <c r="B28" s="197" t="s">
        <v>143</v>
      </c>
      <c r="C28" s="18"/>
      <c r="D28" s="198"/>
      <c r="E28" s="198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201"/>
      <c r="Q28" s="202"/>
      <c r="R28" s="51"/>
      <c r="S28" s="51"/>
      <c r="T28" s="51"/>
    </row>
    <row r="29" customFormat="false" ht="15" hidden="false" customHeight="true" outlineLevel="0" collapsed="false">
      <c r="A29" s="217"/>
      <c r="B29" s="218" t="s">
        <v>144</v>
      </c>
      <c r="C29" s="18"/>
      <c r="D29" s="219"/>
      <c r="E29" s="219"/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2"/>
      <c r="Q29" s="202"/>
      <c r="R29" s="51"/>
      <c r="S29" s="51"/>
      <c r="T29" s="51"/>
    </row>
    <row r="30" customFormat="false" ht="1.5" hidden="false" customHeight="true" outlineLevel="0" collapsed="false">
      <c r="A30" s="223"/>
      <c r="B30" s="224"/>
      <c r="C30" s="212"/>
      <c r="D30" s="225"/>
      <c r="E30" s="225"/>
      <c r="F30" s="226"/>
      <c r="G30" s="226"/>
      <c r="H30" s="226"/>
      <c r="I30" s="226"/>
      <c r="J30" s="226"/>
      <c r="K30" s="226"/>
      <c r="L30" s="226"/>
      <c r="M30" s="226"/>
      <c r="N30" s="226"/>
      <c r="O30" s="225"/>
      <c r="P30" s="228"/>
      <c r="Q30" s="229"/>
    </row>
    <row r="31" customFormat="false" ht="15" hidden="false" customHeight="true" outlineLevel="0" collapsed="false">
      <c r="A31" s="230"/>
      <c r="B31" s="231" t="s">
        <v>145</v>
      </c>
      <c r="C31" s="18"/>
      <c r="D31" s="34" t="n">
        <f aca="false">SUM(D32:D35)</f>
        <v>0</v>
      </c>
      <c r="E31" s="34" t="n">
        <f aca="false">SUM(E32:E35)</f>
        <v>0</v>
      </c>
      <c r="F31" s="232" t="n">
        <f aca="false">SUM(F32:F35)</f>
        <v>0</v>
      </c>
      <c r="G31" s="232" t="n">
        <f aca="false">SUM(G32:G35)</f>
        <v>0</v>
      </c>
      <c r="H31" s="232" t="n">
        <f aca="false">SUM(H32:H35)</f>
        <v>0</v>
      </c>
      <c r="I31" s="232" t="n">
        <f aca="false">SUM(I32:I35)</f>
        <v>0</v>
      </c>
      <c r="J31" s="232" t="n">
        <f aca="false">SUM(J32:J35)</f>
        <v>0</v>
      </c>
      <c r="K31" s="232" t="n">
        <f aca="false">SUM(K32:K35)</f>
        <v>0</v>
      </c>
      <c r="L31" s="232" t="n">
        <f aca="false">SUM(L32:L35)</f>
        <v>0</v>
      </c>
      <c r="M31" s="232" t="n">
        <f aca="false">SUM(M32:M35)</f>
        <v>0</v>
      </c>
      <c r="N31" s="232" t="n">
        <f aca="false">SUM(N32:N35)</f>
        <v>0</v>
      </c>
      <c r="O31" s="34" t="n">
        <f aca="false">SUM(O32:O35)</f>
        <v>0</v>
      </c>
      <c r="P31" s="233" t="n">
        <f aca="false">SUM(P32:P35)</f>
        <v>0</v>
      </c>
      <c r="Q31" s="202"/>
    </row>
    <row r="32" customFormat="false" ht="15" hidden="false" customHeight="true" outlineLevel="0" collapsed="false">
      <c r="A32" s="230"/>
      <c r="B32" s="234" t="s">
        <v>146</v>
      </c>
      <c r="C32" s="18"/>
      <c r="D32" s="241"/>
      <c r="E32" s="241"/>
      <c r="F32" s="241"/>
      <c r="G32" s="241"/>
      <c r="H32" s="241"/>
      <c r="I32" s="241"/>
      <c r="J32" s="241"/>
      <c r="K32" s="241"/>
      <c r="L32" s="241"/>
      <c r="M32" s="241"/>
      <c r="N32" s="241"/>
      <c r="O32" s="241"/>
      <c r="P32" s="237" t="n">
        <f aca="false">SUM(D32:O32)</f>
        <v>0</v>
      </c>
      <c r="Q32" s="53" t="s">
        <v>147</v>
      </c>
      <c r="S32" s="63"/>
    </row>
    <row r="33" s="246" customFormat="true" ht="15" hidden="false" customHeight="true" outlineLevel="0" collapsed="false">
      <c r="A33" s="239"/>
      <c r="B33" s="234" t="s">
        <v>148</v>
      </c>
      <c r="C33" s="240"/>
      <c r="D33" s="241"/>
      <c r="E33" s="241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4" t="n">
        <f aca="false">SUM(D33:O33)</f>
        <v>0</v>
      </c>
      <c r="Q33" s="245"/>
    </row>
    <row r="34" s="246" customFormat="true" ht="15" hidden="false" customHeight="true" outlineLevel="0" collapsed="false">
      <c r="A34" s="239"/>
      <c r="B34" s="234" t="s">
        <v>149</v>
      </c>
      <c r="C34" s="240"/>
      <c r="D34" s="241"/>
      <c r="E34" s="241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4" t="n">
        <f aca="false">SUM(D34:O34)</f>
        <v>0</v>
      </c>
      <c r="Q34" s="245"/>
    </row>
    <row r="35" s="246" customFormat="true" ht="15" hidden="false" customHeight="true" outlineLevel="0" collapsed="false">
      <c r="A35" s="239"/>
      <c r="B35" s="234" t="s">
        <v>150</v>
      </c>
      <c r="C35" s="240"/>
      <c r="D35" s="241"/>
      <c r="E35" s="241"/>
      <c r="F35" s="242"/>
      <c r="G35" s="242"/>
      <c r="H35" s="242"/>
      <c r="I35" s="242"/>
      <c r="J35" s="242"/>
      <c r="K35" s="242"/>
      <c r="L35" s="242"/>
      <c r="M35" s="242"/>
      <c r="N35" s="242"/>
      <c r="O35" s="241"/>
      <c r="P35" s="244" t="n">
        <f aca="false">SUM(D35:O35)</f>
        <v>0</v>
      </c>
      <c r="Q35" s="245"/>
    </row>
    <row r="36" s="246" customFormat="true" ht="15" hidden="false" customHeight="true" outlineLevel="0" collapsed="false">
      <c r="A36" s="239"/>
      <c r="B36" s="231" t="s">
        <v>151</v>
      </c>
      <c r="C36" s="240"/>
      <c r="D36" s="34"/>
      <c r="E36" s="249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2" t="n">
        <f aca="false">SUM(D36:O36)</f>
        <v>0</v>
      </c>
      <c r="Q36" s="253"/>
      <c r="R36" s="51"/>
      <c r="S36" s="51"/>
      <c r="T36" s="51"/>
    </row>
    <row r="37" s="246" customFormat="true" ht="15" hidden="false" customHeight="true" outlineLevel="0" collapsed="false">
      <c r="A37" s="239"/>
      <c r="B37" s="231" t="s">
        <v>152</v>
      </c>
      <c r="C37" s="240"/>
      <c r="D37" s="34"/>
      <c r="E37" s="249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2" t="n">
        <f aca="false">SUM(D37:O37)</f>
        <v>0</v>
      </c>
      <c r="Q37" s="253"/>
    </row>
    <row r="38" customFormat="false" ht="15" hidden="false" customHeight="true" outlineLevel="0" collapsed="false">
      <c r="A38" s="230"/>
      <c r="B38" s="231" t="s">
        <v>153</v>
      </c>
      <c r="C38" s="18"/>
      <c r="D38" s="34" t="n">
        <f aca="false">SUM(D39:D40)</f>
        <v>0</v>
      </c>
      <c r="E38" s="34" t="n">
        <f aca="false">SUM(E39:E40)</f>
        <v>0</v>
      </c>
      <c r="F38" s="232" t="n">
        <f aca="false">SUM(F39:F40)</f>
        <v>0</v>
      </c>
      <c r="G38" s="232" t="n">
        <f aca="false">SUM(G39:G40)</f>
        <v>0</v>
      </c>
      <c r="H38" s="232" t="n">
        <f aca="false">SUM(H39:H40)</f>
        <v>0</v>
      </c>
      <c r="I38" s="232" t="n">
        <f aca="false">SUM(I39:I40)</f>
        <v>0</v>
      </c>
      <c r="J38" s="232" t="n">
        <f aca="false">SUM(J39:J40)</f>
        <v>0</v>
      </c>
      <c r="K38" s="232" t="n">
        <f aca="false">SUM(K39:K40)</f>
        <v>0</v>
      </c>
      <c r="L38" s="232" t="n">
        <f aca="false">SUM(L39:L40)</f>
        <v>0</v>
      </c>
      <c r="M38" s="232" t="n">
        <f aca="false">SUM(M39:M40)</f>
        <v>0</v>
      </c>
      <c r="N38" s="232" t="n">
        <f aca="false">SUM(N39:N40)</f>
        <v>0</v>
      </c>
      <c r="O38" s="34" t="n">
        <f aca="false">SUM(O39:O40)</f>
        <v>0</v>
      </c>
      <c r="P38" s="233" t="n">
        <f aca="false">SUM(P39:P40)</f>
        <v>0</v>
      </c>
      <c r="Q38" s="202"/>
      <c r="R38" s="51"/>
      <c r="S38" s="51"/>
      <c r="T38" s="51"/>
    </row>
    <row r="39" customFormat="false" ht="15" hidden="false" customHeight="true" outlineLevel="0" collapsed="false">
      <c r="A39" s="190"/>
      <c r="B39" s="234" t="s">
        <v>154</v>
      </c>
      <c r="C39" s="68"/>
      <c r="D39" s="241"/>
      <c r="E39" s="254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237" t="n">
        <f aca="false">SUM(D39:O39)</f>
        <v>0</v>
      </c>
      <c r="Q39" s="53"/>
    </row>
    <row r="40" customFormat="false" ht="15" hidden="false" customHeight="true" outlineLevel="0" collapsed="false">
      <c r="A40" s="190"/>
      <c r="B40" s="234" t="s">
        <v>155</v>
      </c>
      <c r="C40" s="68"/>
      <c r="D40" s="241"/>
      <c r="E40" s="254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237" t="n">
        <f aca="false">SUM(D40:O40)</f>
        <v>0</v>
      </c>
      <c r="Q40" s="53"/>
    </row>
    <row r="41" customFormat="false" ht="6" hidden="false" customHeight="true" outlineLevel="0" collapsed="false">
      <c r="A41" s="257"/>
      <c r="B41" s="258"/>
      <c r="C41" s="68"/>
      <c r="D41" s="148"/>
      <c r="E41" s="148"/>
      <c r="F41" s="259"/>
      <c r="G41" s="259"/>
      <c r="H41" s="259"/>
      <c r="I41" s="259"/>
      <c r="J41" s="259"/>
      <c r="K41" s="259"/>
      <c r="L41" s="259"/>
      <c r="M41" s="259"/>
      <c r="N41" s="259"/>
      <c r="O41" s="148"/>
      <c r="P41" s="261"/>
      <c r="Q41" s="53"/>
    </row>
    <row r="42" s="1" customFormat="true" ht="15" hidden="false" customHeight="true" outlineLevel="0" collapsed="false">
      <c r="A42" s="180" t="s">
        <v>156</v>
      </c>
      <c r="B42" s="181"/>
      <c r="C42" s="18"/>
      <c r="D42" s="119" t="n">
        <f aca="false">D11+D14+D17+D20+D25+D28+D29+D31+D36+D37+D38</f>
        <v>0</v>
      </c>
      <c r="E42" s="119" t="n">
        <f aca="false">E11+E14+E17+E20+E25+E28+E29+E31+E36+E37+E38</f>
        <v>0</v>
      </c>
      <c r="F42" s="182" t="n">
        <f aca="false">F11+F14+F17+F20+F25+F28+F29+F31+F36+F37+F38</f>
        <v>0</v>
      </c>
      <c r="G42" s="182" t="n">
        <f aca="false">G11+G14+G17+G20+G25+G28+G29+G31+G36+G37+G38</f>
        <v>0</v>
      </c>
      <c r="H42" s="182" t="n">
        <f aca="false">H11+H14+H17+H20+H25+H28+H29+H31+H36+H37+H38</f>
        <v>0</v>
      </c>
      <c r="I42" s="182" t="n">
        <f aca="false">I11+I14+I17+I20+I25+I28+I29+I31+I36+I37+I38</f>
        <v>0</v>
      </c>
      <c r="J42" s="182" t="n">
        <f aca="false">J11+J14+J17+J20+J25+J28+J29+J31+J36+J37+J38</f>
        <v>0</v>
      </c>
      <c r="K42" s="182" t="n">
        <f aca="false">K11+K14+K17+K20+K25+K28+K29+K31+K36+K37+K38</f>
        <v>0</v>
      </c>
      <c r="L42" s="182" t="n">
        <f aca="false">L11+L14+L17+L20+L25+L28+L29+L31+L36+L37+L38</f>
        <v>0</v>
      </c>
      <c r="M42" s="182" t="n">
        <f aca="false">M11+M14+M17+M20+M25+M28+M29+M31+M36+M37+M38</f>
        <v>0</v>
      </c>
      <c r="N42" s="182" t="n">
        <f aca="false">N11+N14+N17+N20+N25+N28+N29+N31+N36+N37+N38</f>
        <v>0</v>
      </c>
      <c r="O42" s="119" t="n">
        <f aca="false">O11+O14+O17+O20+O25+O28+O29+O31+O36+O37+O38</f>
        <v>0</v>
      </c>
      <c r="P42" s="183" t="n">
        <f aca="false">P11+P14+P17+P20+P25+P28+P29+P31+P36+P37+P38</f>
        <v>0</v>
      </c>
      <c r="Q42" s="184"/>
      <c r="R42" s="91"/>
    </row>
    <row r="43" customFormat="false" ht="7.5" hidden="false" customHeight="true" outlineLevel="0" collapsed="false">
      <c r="C43" s="68"/>
      <c r="D43" s="105"/>
      <c r="E43" s="105"/>
      <c r="F43" s="256"/>
      <c r="G43" s="256"/>
      <c r="H43" s="256"/>
      <c r="I43" s="256"/>
      <c r="J43" s="256"/>
      <c r="K43" s="256"/>
      <c r="L43" s="256"/>
      <c r="M43" s="256"/>
      <c r="N43" s="256"/>
      <c r="O43" s="105"/>
      <c r="P43" s="237"/>
      <c r="Q43" s="53"/>
    </row>
    <row r="44" s="1" customFormat="true" ht="15" hidden="false" customHeight="true" outlineLevel="0" collapsed="false">
      <c r="A44" s="180" t="s">
        <v>37</v>
      </c>
      <c r="B44" s="181"/>
      <c r="C44" s="18"/>
      <c r="D44" s="19" t="n">
        <f aca="false">+D8-D42</f>
        <v>0</v>
      </c>
      <c r="E44" s="19" t="n">
        <f aca="false">+E8-E42</f>
        <v>0</v>
      </c>
      <c r="F44" s="262" t="n">
        <f aca="false">+F8-F42</f>
        <v>0</v>
      </c>
      <c r="G44" s="262" t="n">
        <f aca="false">+G8-G42</f>
        <v>0</v>
      </c>
      <c r="H44" s="262" t="n">
        <f aca="false">+H8-H42</f>
        <v>0</v>
      </c>
      <c r="I44" s="262" t="n">
        <f aca="false">+I8-I42</f>
        <v>0</v>
      </c>
      <c r="J44" s="262" t="n">
        <f aca="false">+J8-J42</f>
        <v>0</v>
      </c>
      <c r="K44" s="262" t="n">
        <f aca="false">+K8-K42</f>
        <v>0</v>
      </c>
      <c r="L44" s="262" t="n">
        <f aca="false">+L8-L42</f>
        <v>0</v>
      </c>
      <c r="M44" s="262" t="n">
        <f aca="false">+M8-M42</f>
        <v>0</v>
      </c>
      <c r="N44" s="262" t="n">
        <f aca="false">+N8-N42</f>
        <v>0</v>
      </c>
      <c r="O44" s="19" t="n">
        <f aca="false">+O8-O42</f>
        <v>0</v>
      </c>
      <c r="P44" s="263" t="n">
        <f aca="false">+P8-P42</f>
        <v>0</v>
      </c>
      <c r="Q44" s="184"/>
    </row>
    <row r="45" customFormat="false" ht="15" hidden="true" customHeight="true" outlineLevel="0" collapsed="false">
      <c r="A45" s="264" t="s">
        <v>157</v>
      </c>
      <c r="B45" s="265"/>
      <c r="C45" s="68"/>
      <c r="D45" s="266" t="e">
        <f aca="false">D44/D8</f>
        <v>#DIV/0!</v>
      </c>
      <c r="E45" s="266" t="e">
        <f aca="false">E44/E8</f>
        <v>#DIV/0!</v>
      </c>
      <c r="F45" s="267" t="e">
        <f aca="false">F44/F8</f>
        <v>#DIV/0!</v>
      </c>
      <c r="G45" s="267" t="e">
        <f aca="false">G44/G8</f>
        <v>#DIV/0!</v>
      </c>
      <c r="H45" s="267" t="e">
        <f aca="false">H44/H8</f>
        <v>#DIV/0!</v>
      </c>
      <c r="I45" s="267" t="e">
        <f aca="false">I44/I8</f>
        <v>#DIV/0!</v>
      </c>
      <c r="J45" s="267" t="e">
        <f aca="false">J44/J8</f>
        <v>#DIV/0!</v>
      </c>
      <c r="K45" s="267" t="e">
        <f aca="false">K44/K8</f>
        <v>#DIV/0!</v>
      </c>
      <c r="L45" s="267" t="e">
        <f aca="false">L44/L8</f>
        <v>#DIV/0!</v>
      </c>
      <c r="M45" s="267" t="e">
        <f aca="false">M44/M8</f>
        <v>#DIV/0!</v>
      </c>
      <c r="N45" s="267" t="e">
        <f aca="false">N44/N8</f>
        <v>#DIV/0!</v>
      </c>
      <c r="O45" s="266" t="e">
        <f aca="false">O44/O8</f>
        <v>#DIV/0!</v>
      </c>
      <c r="P45" s="269" t="e">
        <f aca="false">P44/P8</f>
        <v>#DIV/0!</v>
      </c>
      <c r="Q45" s="53"/>
    </row>
    <row r="46" customFormat="false" ht="6" hidden="false" customHeight="true" outlineLevel="0" collapsed="false">
      <c r="C46" s="68"/>
      <c r="D46" s="270"/>
      <c r="E46" s="270"/>
    </row>
    <row r="47" s="105" customFormat="true" ht="21.75" hidden="false" customHeight="true" outlineLevel="0" collapsed="false">
      <c r="A47" s="45"/>
      <c r="B47" s="22"/>
      <c r="C47" s="3"/>
      <c r="D47" s="271"/>
      <c r="E47" s="271"/>
      <c r="F47" s="271"/>
      <c r="G47" s="271"/>
      <c r="H47" s="271"/>
      <c r="I47" s="271"/>
      <c r="J47" s="271"/>
      <c r="K47" s="271"/>
      <c r="L47" s="271"/>
      <c r="M47" s="271"/>
      <c r="N47" s="271"/>
      <c r="O47" s="271"/>
      <c r="P47" s="271"/>
    </row>
    <row r="48" s="105" customFormat="true" ht="18" hidden="false" customHeight="true" outlineLevel="0" collapsed="false">
      <c r="B48" s="272" t="s">
        <v>182</v>
      </c>
    </row>
    <row r="49" customFormat="false" ht="11.25" hidden="false" customHeight="true" outlineLevel="0" collapsed="false">
      <c r="C49" s="68"/>
      <c r="D49" s="68"/>
      <c r="E49" s="68"/>
      <c r="F49" s="91"/>
      <c r="G49" s="91"/>
      <c r="H49" s="91"/>
      <c r="I49" s="91"/>
      <c r="J49" s="91"/>
      <c r="K49" s="91"/>
      <c r="L49" s="91"/>
      <c r="M49" s="91"/>
      <c r="N49" s="91"/>
      <c r="O49" s="91"/>
    </row>
    <row r="50" customFormat="false" ht="12.75" hidden="false" customHeight="true" outlineLevel="0" collapsed="false">
      <c r="C50" s="68"/>
      <c r="D50" s="68"/>
      <c r="E50" s="68"/>
      <c r="F50" s="273"/>
    </row>
    <row r="51" customFormat="false" ht="12.75" hidden="false" customHeight="false" outlineLevel="0" collapsed="false">
      <c r="C51" s="68"/>
      <c r="D51" s="68"/>
      <c r="E51" s="68"/>
    </row>
    <row r="52" customFormat="false" ht="12.75" hidden="false" customHeight="false" outlineLevel="0" collapsed="false">
      <c r="C52" s="68"/>
      <c r="D52" s="68"/>
      <c r="E52" s="68"/>
    </row>
    <row r="53" customFormat="false" ht="12.75" hidden="false" customHeight="false" outlineLevel="0" collapsed="false">
      <c r="C53" s="68"/>
      <c r="D53" s="68"/>
      <c r="E53" s="68"/>
    </row>
    <row r="54" customFormat="false" ht="12.75" hidden="false" customHeight="false" outlineLevel="0" collapsed="false">
      <c r="C54" s="68"/>
      <c r="D54" s="270"/>
      <c r="E54" s="270"/>
    </row>
    <row r="55" customFormat="false" ht="12.75" hidden="false" customHeight="false" outlineLevel="0" collapsed="false">
      <c r="C55" s="68"/>
      <c r="D55" s="270"/>
      <c r="E55" s="270"/>
    </row>
    <row r="56" customFormat="false" ht="12.75" hidden="false" customHeight="false" outlineLevel="0" collapsed="false">
      <c r="C56" s="68"/>
      <c r="D56" s="68"/>
      <c r="E56" s="68"/>
    </row>
    <row r="57" customFormat="false" ht="12.75" hidden="false" customHeight="false" outlineLevel="0" collapsed="false">
      <c r="C57" s="68"/>
      <c r="D57" s="68"/>
      <c r="E57" s="68"/>
    </row>
    <row r="58" customFormat="false" ht="12.75" hidden="false" customHeight="false" outlineLevel="0" collapsed="false">
      <c r="C58" s="68"/>
      <c r="D58" s="68"/>
      <c r="E58" s="68"/>
    </row>
    <row r="59" customFormat="false" ht="12.75" hidden="false" customHeight="false" outlineLevel="0" collapsed="false">
      <c r="C59" s="68"/>
      <c r="D59" s="68"/>
      <c r="E59" s="68"/>
    </row>
    <row r="60" customFormat="false" ht="12.75" hidden="false" customHeight="false" outlineLevel="0" collapsed="false">
      <c r="C60" s="68"/>
      <c r="D60" s="68"/>
      <c r="E60" s="68"/>
    </row>
    <row r="61" customFormat="false" ht="12.75" hidden="false" customHeight="false" outlineLevel="0" collapsed="false">
      <c r="C61" s="68"/>
      <c r="D61" s="68"/>
      <c r="E61" s="68"/>
    </row>
    <row r="62" customFormat="false" ht="12.75" hidden="false" customHeight="false" outlineLevel="0" collapsed="false">
      <c r="C62" s="68"/>
      <c r="D62" s="68"/>
      <c r="E62" s="68"/>
    </row>
    <row r="63" customFormat="false" ht="12.75" hidden="false" customHeight="false" outlineLevel="0" collapsed="false">
      <c r="C63" s="68"/>
      <c r="D63" s="68"/>
      <c r="E63" s="68"/>
    </row>
    <row r="64" customFormat="false" ht="12.75" hidden="false" customHeight="false" outlineLevel="0" collapsed="false">
      <c r="C64" s="68"/>
      <c r="D64" s="68"/>
      <c r="E64" s="68"/>
    </row>
    <row r="65" customFormat="false" ht="12.75" hidden="false" customHeight="false" outlineLevel="0" collapsed="false">
      <c r="C65" s="68"/>
      <c r="D65" s="68"/>
      <c r="E65" s="68"/>
    </row>
    <row r="66" customFormat="false" ht="12.75" hidden="false" customHeight="false" outlineLevel="0" collapsed="false">
      <c r="C66" s="68"/>
      <c r="D66" s="68"/>
      <c r="E66" s="68"/>
    </row>
    <row r="67" customFormat="false" ht="12.75" hidden="false" customHeight="false" outlineLevel="0" collapsed="false">
      <c r="C67" s="68"/>
      <c r="D67" s="68"/>
      <c r="E67" s="68"/>
    </row>
    <row r="68" customFormat="false" ht="12.75" hidden="false" customHeight="false" outlineLevel="0" collapsed="false">
      <c r="C68" s="68"/>
      <c r="D68" s="68"/>
      <c r="E68" s="68"/>
    </row>
    <row r="69" customFormat="false" ht="12.75" hidden="false" customHeight="false" outlineLevel="0" collapsed="false">
      <c r="C69" s="68"/>
      <c r="D69" s="68"/>
      <c r="E69" s="68"/>
    </row>
    <row r="70" customFormat="false" ht="12.75" hidden="false" customHeight="false" outlineLevel="0" collapsed="false">
      <c r="C70" s="68"/>
      <c r="D70" s="68"/>
      <c r="E70" s="68"/>
    </row>
    <row r="71" customFormat="false" ht="12.75" hidden="false" customHeight="false" outlineLevel="0" collapsed="false">
      <c r="C71" s="68"/>
      <c r="D71" s="68"/>
      <c r="E71" s="68"/>
    </row>
    <row r="72" customFormat="false" ht="12.75" hidden="false" customHeight="false" outlineLevel="0" collapsed="false">
      <c r="C72" s="68"/>
      <c r="D72" s="68"/>
      <c r="E72" s="68"/>
    </row>
    <row r="73" customFormat="false" ht="12.75" hidden="false" customHeight="false" outlineLevel="0" collapsed="false">
      <c r="C73" s="68"/>
      <c r="D73" s="68"/>
      <c r="E73" s="68"/>
    </row>
    <row r="74" customFormat="false" ht="12.75" hidden="false" customHeight="false" outlineLevel="0" collapsed="false">
      <c r="C74" s="68"/>
      <c r="D74" s="68"/>
      <c r="E74" s="68"/>
    </row>
    <row r="75" customFormat="false" ht="12.75" hidden="false" customHeight="false" outlineLevel="0" collapsed="false">
      <c r="C75" s="68"/>
      <c r="D75" s="68"/>
      <c r="E75" s="68"/>
    </row>
    <row r="76" customFormat="false" ht="12.75" hidden="false" customHeight="false" outlineLevel="0" collapsed="false">
      <c r="C76" s="68"/>
      <c r="D76" s="68"/>
      <c r="E76" s="68"/>
    </row>
    <row r="77" customFormat="false" ht="12.75" hidden="false" customHeight="false" outlineLevel="0" collapsed="false">
      <c r="C77" s="68"/>
      <c r="D77" s="68"/>
      <c r="E77" s="68"/>
    </row>
    <row r="78" customFormat="false" ht="12.75" hidden="false" customHeight="false" outlineLevel="0" collapsed="false">
      <c r="C78" s="68"/>
      <c r="D78" s="68"/>
      <c r="E78" s="68"/>
    </row>
    <row r="79" customFormat="false" ht="12.75" hidden="false" customHeight="false" outlineLevel="0" collapsed="false">
      <c r="C79" s="68"/>
      <c r="D79" s="68"/>
      <c r="E79" s="68"/>
    </row>
    <row r="80" customFormat="false" ht="12.75" hidden="false" customHeight="false" outlineLevel="0" collapsed="false">
      <c r="C80" s="68"/>
      <c r="D80" s="68"/>
      <c r="E80" s="68"/>
    </row>
    <row r="81" customFormat="false" ht="12.75" hidden="false" customHeight="false" outlineLevel="0" collapsed="false">
      <c r="C81" s="68"/>
      <c r="D81" s="68"/>
      <c r="E81" s="68"/>
    </row>
    <row r="82" customFormat="false" ht="12.75" hidden="false" customHeight="false" outlineLevel="0" collapsed="false">
      <c r="C82" s="68"/>
      <c r="D82" s="68"/>
      <c r="E82" s="68"/>
    </row>
    <row r="83" customFormat="false" ht="12.75" hidden="false" customHeight="false" outlineLevel="0" collapsed="false">
      <c r="C83" s="68"/>
      <c r="D83" s="68"/>
      <c r="E83" s="68"/>
    </row>
    <row r="84" customFormat="false" ht="12.75" hidden="false" customHeight="false" outlineLevel="0" collapsed="false">
      <c r="C84" s="68"/>
      <c r="D84" s="68"/>
      <c r="E84" s="68"/>
    </row>
    <row r="85" customFormat="false" ht="12.75" hidden="false" customHeight="false" outlineLevel="0" collapsed="false">
      <c r="C85" s="68"/>
      <c r="D85" s="68"/>
      <c r="E85" s="68"/>
    </row>
    <row r="86" customFormat="false" ht="12.75" hidden="false" customHeight="false" outlineLevel="0" collapsed="false">
      <c r="C86" s="68"/>
      <c r="D86" s="68"/>
      <c r="E86" s="68"/>
    </row>
    <row r="87" customFormat="false" ht="12.75" hidden="false" customHeight="false" outlineLevel="0" collapsed="false">
      <c r="C87" s="68"/>
      <c r="D87" s="68"/>
      <c r="E87" s="68"/>
    </row>
    <row r="88" customFormat="false" ht="12.75" hidden="false" customHeight="false" outlineLevel="0" collapsed="false">
      <c r="C88" s="68"/>
      <c r="D88" s="68"/>
      <c r="E88" s="68"/>
    </row>
    <row r="89" customFormat="false" ht="12.75" hidden="false" customHeight="false" outlineLevel="0" collapsed="false">
      <c r="C89" s="68"/>
      <c r="D89" s="68"/>
      <c r="E89" s="68"/>
    </row>
  </sheetData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43359375" defaultRowHeight="11.25" zeroHeight="false" outlineLevelRow="0" outlineLevelCol="0"/>
  <cols>
    <col collapsed="false" customWidth="true" hidden="false" outlineLevel="0" max="1" min="1" style="330" width="8.86"/>
    <col collapsed="false" customWidth="true" hidden="false" outlineLevel="0" max="3" min="2" style="330" width="26.42"/>
    <col collapsed="false" customWidth="true" hidden="false" outlineLevel="0" max="4" min="4" style="330" width="12.14"/>
    <col collapsed="false" customWidth="true" hidden="false" outlineLevel="0" max="5" min="5" style="330" width="12.57"/>
    <col collapsed="false" customWidth="true" hidden="false" outlineLevel="0" max="6" min="6" style="330" width="45.86"/>
    <col collapsed="false" customWidth="true" hidden="false" outlineLevel="0" max="7" min="7" style="330" width="21.57"/>
    <col collapsed="false" customWidth="true" hidden="false" outlineLevel="0" max="8" min="8" style="330" width="20.99"/>
    <col collapsed="false" customWidth="true" hidden="false" outlineLevel="0" max="9" min="9" style="330" width="17.86"/>
    <col collapsed="false" customWidth="true" hidden="false" outlineLevel="0" max="10" min="10" style="330" width="15.86"/>
    <col collapsed="false" customWidth="true" hidden="false" outlineLevel="0" max="11" min="11" style="330" width="25"/>
    <col collapsed="false" customWidth="false" hidden="false" outlineLevel="0" max="1024" min="12" style="330" width="11.42"/>
  </cols>
  <sheetData>
    <row r="1" customFormat="false" ht="11.25" hidden="false" customHeight="false" outlineLevel="0" collapsed="false">
      <c r="A1" s="330" t="n">
        <v>627700000</v>
      </c>
      <c r="B1" s="330" t="s">
        <v>183</v>
      </c>
    </row>
    <row r="2" customFormat="false" ht="11.25" hidden="false" customHeight="false" outlineLevel="0" collapsed="false">
      <c r="A2" s="330" t="n">
        <v>2018001</v>
      </c>
    </row>
    <row r="3" customFormat="false" ht="11.25" hidden="false" customHeight="false" outlineLevel="0" collapsed="false">
      <c r="A3" s="330" t="n">
        <v>2018001</v>
      </c>
    </row>
    <row r="4" customFormat="false" ht="12" hidden="false" customHeight="false" outlineLevel="0" collapsed="false"/>
    <row r="5" customFormat="false" ht="11.25" hidden="false" customHeight="false" outlineLevel="0" collapsed="false">
      <c r="A5" s="331" t="e">
        <f aca="false">[34]!AG_SMRT("0,Etat récapitulatif 1,1",A$1,A$1,A$2,A$3)</f>
        <v>#NAME?</v>
      </c>
      <c r="B5" s="332" t="s">
        <v>184</v>
      </c>
      <c r="C5" s="332" t="s">
        <v>185</v>
      </c>
      <c r="D5" s="332" t="s">
        <v>186</v>
      </c>
      <c r="E5" s="332" t="s">
        <v>187</v>
      </c>
      <c r="F5" s="332" t="s">
        <v>185</v>
      </c>
      <c r="G5" s="332" t="s">
        <v>188</v>
      </c>
    </row>
    <row r="6" customFormat="false" ht="11.25" hidden="false" customHeight="false" outlineLevel="0" collapsed="false">
      <c r="A6" s="330" t="s">
        <v>63</v>
      </c>
      <c r="B6" s="330" t="s">
        <v>189</v>
      </c>
      <c r="C6" s="330" t="s">
        <v>183</v>
      </c>
      <c r="D6" s="333"/>
      <c r="E6" s="330" t="s">
        <v>190</v>
      </c>
      <c r="F6" s="330" t="s">
        <v>191</v>
      </c>
      <c r="G6" s="330" t="s">
        <v>192</v>
      </c>
    </row>
    <row r="7" customFormat="false" ht="11.25" hidden="false" customHeight="false" outlineLevel="0" collapsed="false">
      <c r="A7" s="330" t="s">
        <v>63</v>
      </c>
      <c r="B7" s="330" t="s">
        <v>189</v>
      </c>
      <c r="C7" s="330" t="s">
        <v>183</v>
      </c>
      <c r="D7" s="333"/>
      <c r="E7" s="330" t="s">
        <v>190</v>
      </c>
      <c r="F7" s="330" t="s">
        <v>193</v>
      </c>
      <c r="G7" s="330" t="s">
        <v>194</v>
      </c>
    </row>
    <row r="8" customFormat="false" ht="12" hidden="false" customHeight="false" outlineLevel="0" collapsed="false">
      <c r="A8" s="334" t="s">
        <v>195</v>
      </c>
      <c r="B8" s="334"/>
      <c r="C8" s="334"/>
      <c r="D8" s="335" t="n">
        <f aca="false">SUBTOTAL(9,D6:D7)</f>
        <v>0</v>
      </c>
      <c r="E8" s="334"/>
      <c r="F8" s="334"/>
      <c r="G8" s="334"/>
    </row>
    <row r="11" customFormat="false" ht="11.25" hidden="false" customHeight="false" outlineLevel="0" collapsed="false">
      <c r="A11" s="330" t="n">
        <v>758400000</v>
      </c>
      <c r="B11" s="330" t="s">
        <v>196</v>
      </c>
    </row>
    <row r="12" customFormat="false" ht="11.25" hidden="false" customHeight="false" outlineLevel="0" collapsed="false">
      <c r="A12" s="330" t="n">
        <v>2018001</v>
      </c>
    </row>
    <row r="13" customFormat="false" ht="11.25" hidden="false" customHeight="false" outlineLevel="0" collapsed="false">
      <c r="A13" s="330" t="n">
        <v>2018001</v>
      </c>
    </row>
    <row r="14" customFormat="false" ht="12" hidden="false" customHeight="false" outlineLevel="0" collapsed="false"/>
    <row r="15" customFormat="false" ht="11.25" hidden="false" customHeight="false" outlineLevel="0" collapsed="false">
      <c r="A15" s="331" t="e">
        <f aca="false">[34]!AG_SMRT("0,Etat récapitulatif 1,1",A11,A11,A12,A13)</f>
        <v>#NAME?</v>
      </c>
      <c r="B15" s="332" t="s">
        <v>184</v>
      </c>
      <c r="C15" s="332" t="s">
        <v>185</v>
      </c>
      <c r="D15" s="332" t="s">
        <v>186</v>
      </c>
      <c r="E15" s="332" t="s">
        <v>187</v>
      </c>
      <c r="F15" s="332" t="s">
        <v>185</v>
      </c>
      <c r="G15" s="332" t="s">
        <v>188</v>
      </c>
    </row>
    <row r="16" customFormat="false" ht="11.25" hidden="false" customHeight="false" outlineLevel="0" collapsed="false">
      <c r="A16" s="330" t="s">
        <v>63</v>
      </c>
      <c r="B16" s="330" t="s">
        <v>197</v>
      </c>
      <c r="C16" s="330" t="s">
        <v>196</v>
      </c>
      <c r="D16" s="336"/>
      <c r="E16" s="330" t="s">
        <v>198</v>
      </c>
      <c r="F16" s="330" t="s">
        <v>199</v>
      </c>
      <c r="G16" s="330" t="s">
        <v>200</v>
      </c>
    </row>
    <row r="17" customFormat="false" ht="11.25" hidden="false" customHeight="false" outlineLevel="0" collapsed="false">
      <c r="A17" s="330" t="s">
        <v>63</v>
      </c>
      <c r="B17" s="330" t="s">
        <v>197</v>
      </c>
      <c r="C17" s="330" t="s">
        <v>196</v>
      </c>
      <c r="D17" s="333"/>
      <c r="E17" s="330" t="s">
        <v>198</v>
      </c>
      <c r="F17" s="330" t="s">
        <v>201</v>
      </c>
      <c r="G17" s="330" t="s">
        <v>202</v>
      </c>
    </row>
    <row r="18" customFormat="false" ht="11.25" hidden="false" customHeight="false" outlineLevel="0" collapsed="false">
      <c r="A18" s="330" t="s">
        <v>63</v>
      </c>
      <c r="B18" s="330" t="s">
        <v>197</v>
      </c>
      <c r="C18" s="330" t="s">
        <v>196</v>
      </c>
      <c r="D18" s="333"/>
      <c r="E18" s="330" t="s">
        <v>203</v>
      </c>
      <c r="F18" s="330" t="s">
        <v>204</v>
      </c>
      <c r="G18" s="330" t="s">
        <v>205</v>
      </c>
    </row>
    <row r="19" customFormat="false" ht="11.25" hidden="false" customHeight="false" outlineLevel="0" collapsed="false">
      <c r="A19" s="330" t="s">
        <v>63</v>
      </c>
      <c r="B19" s="330" t="s">
        <v>197</v>
      </c>
      <c r="C19" s="330" t="s">
        <v>196</v>
      </c>
      <c r="D19" s="336"/>
      <c r="E19" s="330" t="s">
        <v>206</v>
      </c>
      <c r="F19" s="330" t="s">
        <v>207</v>
      </c>
      <c r="G19" s="330" t="s">
        <v>208</v>
      </c>
    </row>
    <row r="20" customFormat="false" ht="11.25" hidden="false" customHeight="false" outlineLevel="0" collapsed="false">
      <c r="A20" s="330" t="s">
        <v>63</v>
      </c>
      <c r="B20" s="330" t="s">
        <v>197</v>
      </c>
      <c r="C20" s="330" t="s">
        <v>196</v>
      </c>
      <c r="D20" s="333"/>
      <c r="E20" s="330" t="s">
        <v>209</v>
      </c>
      <c r="F20" s="330" t="s">
        <v>210</v>
      </c>
      <c r="G20" s="330" t="s">
        <v>211</v>
      </c>
    </row>
    <row r="21" customFormat="false" ht="12" hidden="false" customHeight="false" outlineLevel="0" collapsed="false">
      <c r="A21" s="334" t="s">
        <v>195</v>
      </c>
      <c r="B21" s="334"/>
      <c r="C21" s="334"/>
      <c r="D21" s="337" t="n">
        <f aca="false">SUBTOTAL(9,D16:D20)</f>
        <v>0</v>
      </c>
      <c r="E21" s="334"/>
      <c r="F21" s="334"/>
      <c r="G21" s="334"/>
    </row>
  </sheetData>
  <dataValidations count="2">
    <dataValidation allowBlank="true" error="XLBVal:8=Période comptable&#13;&#10;XLBRowCount:3=4&#13;&#10;XLBColCount:3=7&#13;&#10;Style:2=1&#13;&#10;" errorStyle="information" operator="between" showDropDown="false" showErrorMessage="true" showInputMessage="true" sqref="A5" type="textLength">
      <formula1>0</formula1>
      <formula2>300</formula2>
    </dataValidation>
    <dataValidation allowBlank="true" error="XLBVal:8=Période comptable&#13;&#10;XLBRowCount:3=7&#13;&#10;XLBColCount:3=7&#13;&#10;Style:2=1&#13;&#10;" errorStyle="information" operator="between" showDropDown="false" showErrorMessage="true" showInputMessage="true" sqref="A15" type="textLength">
      <formula1>0</formula1>
      <formula2>300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3359375" defaultRowHeight="12.75" zeroHeight="false" outlineLevelRow="0" outlineLevelCol="0"/>
  <sheetData>
    <row r="1" customFormat="false" ht="409.5" hidden="false" customHeight="false" outlineLevel="0" collapsed="false">
      <c r="A1" s="0" t="s">
        <v>212</v>
      </c>
      <c r="B1" s="0" t="s">
        <v>213</v>
      </c>
      <c r="C1" s="338" t="s">
        <v>214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C948C6FA-B509-4B30-8876-CE1B906DF8B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2011-09-28T08:40:34Z</dcterms:created>
  <dc:creator>Oulad Jelloul Mohamed Said</dc:creator>
  <dc:description/>
  <dc:language>en-IN</dc:language>
  <cp:lastModifiedBy>Yuvraj Soni</cp:lastModifiedBy>
  <dcterms:modified xsi:type="dcterms:W3CDTF">2025-04-16T07:54:31Z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