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5\TBG WORK\02\REPORTING FILES\"/>
    </mc:Choice>
  </mc:AlternateContent>
  <bookViews>
    <workbookView xWindow="0" yWindow="0" windowWidth="20490" windowHeight="7770" activeTab="2"/>
  </bookViews>
  <sheets>
    <sheet name="Feuil2" sheetId="2" r:id="rId1"/>
    <sheet name="Feuil1" sheetId="1" r:id="rId2"/>
    <sheet name="TRAFIC" sheetId="4" r:id="rId3"/>
  </sheets>
  <externalReferences>
    <externalReference r:id="rId4"/>
    <externalReference r:id="rId5"/>
  </externalReferences>
  <definedNames>
    <definedName name="_xlnm._FilterDatabase" localSheetId="2" hidden="1">TRAFIC!$A$1:$D$85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2" l="1"/>
  <c r="B39" i="2"/>
  <c r="B33" i="2"/>
  <c r="B27" i="2"/>
  <c r="B46" i="2"/>
  <c r="B44" i="2"/>
  <c r="B47" i="2" s="1"/>
  <c r="B40" i="2"/>
  <c r="B38" i="2"/>
  <c r="B41" i="2" s="1"/>
  <c r="B34" i="2"/>
  <c r="B32" i="2"/>
  <c r="B35" i="2" s="1"/>
  <c r="B28" i="2"/>
  <c r="B26" i="2"/>
  <c r="B29" i="2" s="1"/>
  <c r="C22" i="2"/>
  <c r="J2" i="1" l="1"/>
  <c r="K2" i="1"/>
  <c r="L2" i="1"/>
  <c r="M2" i="1"/>
  <c r="N2" i="1"/>
  <c r="D20" i="4" l="1"/>
  <c r="D19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2" i="4"/>
  <c r="B64" i="4"/>
  <c r="B80" i="4"/>
  <c r="B73" i="4"/>
  <c r="B66" i="4"/>
  <c r="B63" i="4"/>
  <c r="B62" i="4"/>
  <c r="B61" i="4"/>
  <c r="B60" i="4"/>
  <c r="B59" i="4"/>
  <c r="B52" i="4"/>
  <c r="B40" i="4"/>
  <c r="B31" i="4"/>
  <c r="B22" i="4"/>
  <c r="B13" i="4" s="1"/>
  <c r="B2" i="4" s="1"/>
  <c r="B20" i="4"/>
  <c r="B19" i="4"/>
  <c r="B18" i="4"/>
  <c r="B17" i="4"/>
  <c r="B16" i="4"/>
  <c r="B15" i="4"/>
  <c r="B14" i="4"/>
  <c r="B4" i="4"/>
  <c r="B50" i="4" l="1"/>
  <c r="I2" i="1" l="1"/>
  <c r="C8" i="2"/>
  <c r="D7" i="4" s="1"/>
  <c r="O2" i="1" l="1"/>
  <c r="C9" i="2" l="1"/>
  <c r="C19" i="2" s="1"/>
  <c r="C10" i="2"/>
  <c r="C18" i="2"/>
  <c r="D43" i="4" s="1"/>
  <c r="C7" i="2"/>
  <c r="C6" i="2"/>
  <c r="C17" i="2" l="1"/>
  <c r="D42" i="4" s="1"/>
  <c r="D6" i="4"/>
  <c r="C16" i="2"/>
  <c r="D41" i="4" s="1"/>
  <c r="D5" i="4"/>
  <c r="C20" i="2"/>
  <c r="D45" i="4" s="1"/>
  <c r="D9" i="4"/>
  <c r="D44" i="4"/>
  <c r="D8" i="4"/>
  <c r="H3" i="2"/>
  <c r="D4" i="4" l="1"/>
  <c r="D40" i="4"/>
  <c r="H2" i="2"/>
  <c r="E6" i="1" l="1"/>
  <c r="D6" i="1" s="1"/>
  <c r="C6" i="1"/>
  <c r="C5" i="1" l="1"/>
  <c r="C4" i="1"/>
  <c r="C3" i="1"/>
  <c r="C2" i="1"/>
  <c r="C26" i="2" l="1"/>
  <c r="D53" i="4" s="1"/>
  <c r="E2" i="1" l="1"/>
  <c r="D2" i="1" s="1"/>
  <c r="B2" i="1" s="1"/>
  <c r="E3" i="1"/>
  <c r="B9" i="1" l="1"/>
  <c r="D32" i="4" s="1"/>
  <c r="D23" i="4"/>
  <c r="C28" i="2"/>
  <c r="D55" i="4" s="1"/>
  <c r="C29" i="2"/>
  <c r="D56" i="4" s="1"/>
  <c r="C30" i="2"/>
  <c r="C31" i="2"/>
  <c r="C32" i="2"/>
  <c r="D67" i="4" s="1"/>
  <c r="C34" i="2"/>
  <c r="D69" i="4" s="1"/>
  <c r="C35" i="2"/>
  <c r="D70" i="4" s="1"/>
  <c r="C36" i="2"/>
  <c r="D71" i="4" s="1"/>
  <c r="C37" i="2"/>
  <c r="C38" i="2"/>
  <c r="D74" i="4" s="1"/>
  <c r="C40" i="2"/>
  <c r="D76" i="4" s="1"/>
  <c r="C41" i="2"/>
  <c r="D77" i="4" s="1"/>
  <c r="C42" i="2"/>
  <c r="D78" i="4" s="1"/>
  <c r="C43" i="2"/>
  <c r="C44" i="2"/>
  <c r="D81" i="4" s="1"/>
  <c r="C46" i="2"/>
  <c r="D83" i="4" s="1"/>
  <c r="C47" i="2"/>
  <c r="D84" i="4" s="1"/>
  <c r="C48" i="2"/>
  <c r="E7" i="1"/>
  <c r="D7" i="1" s="1"/>
  <c r="B7" i="1" s="1"/>
  <c r="F8" i="1"/>
  <c r="H16" i="1"/>
  <c r="D3" i="1"/>
  <c r="B3" i="1" s="1"/>
  <c r="E5" i="1"/>
  <c r="D5" i="1" s="1"/>
  <c r="B5" i="1" s="1"/>
  <c r="E4" i="1"/>
  <c r="D4" i="1" s="1"/>
  <c r="D26" i="4" l="1"/>
  <c r="H13" i="1"/>
  <c r="D63" i="4"/>
  <c r="B4" i="1"/>
  <c r="B6" i="1"/>
  <c r="H14" i="1" s="1"/>
  <c r="F3" i="1"/>
  <c r="D24" i="4"/>
  <c r="D14" i="4"/>
  <c r="D64" i="4"/>
  <c r="D60" i="4"/>
  <c r="D62" i="4"/>
  <c r="H15" i="1"/>
  <c r="B14" i="1"/>
  <c r="F14" i="1" s="1"/>
  <c r="F7" i="1"/>
  <c r="B10" i="1"/>
  <c r="B12" i="1"/>
  <c r="F5" i="1"/>
  <c r="F2" i="1"/>
  <c r="H17" i="1"/>
  <c r="F9" i="1"/>
  <c r="C8" i="1"/>
  <c r="B11" i="1"/>
  <c r="D34" i="4" s="1"/>
  <c r="D25" i="4" l="1"/>
  <c r="D16" i="4" s="1"/>
  <c r="H12" i="1"/>
  <c r="F4" i="1"/>
  <c r="F12" i="1"/>
  <c r="D35" i="4"/>
  <c r="D17" i="4" s="1"/>
  <c r="H18" i="1"/>
  <c r="D33" i="4"/>
  <c r="D15" i="4" s="1"/>
  <c r="D27" i="4"/>
  <c r="D22" i="4" s="1"/>
  <c r="B13" i="1"/>
  <c r="F6" i="1"/>
  <c r="F10" i="1"/>
  <c r="H20" i="1"/>
  <c r="H19" i="1"/>
  <c r="F11" i="1"/>
  <c r="F13" i="1" l="1"/>
  <c r="D36" i="4"/>
  <c r="D18" i="4" s="1"/>
  <c r="C33" i="2"/>
  <c r="D68" i="4" s="1"/>
  <c r="C39" i="2"/>
  <c r="D75" i="4" s="1"/>
  <c r="D73" i="4" s="1"/>
  <c r="C27" i="2"/>
  <c r="D54" i="4" s="1"/>
  <c r="D52" i="4" s="1"/>
  <c r="C45" i="2"/>
  <c r="D82" i="4" s="1"/>
  <c r="D80" i="4" s="1"/>
  <c r="D31" i="4" l="1"/>
  <c r="D13" i="4" s="1"/>
  <c r="D2" i="4" s="1"/>
  <c r="D61" i="4"/>
  <c r="D59" i="4" s="1"/>
  <c r="D50" i="4" s="1"/>
  <c r="D66" i="4"/>
</calcChain>
</file>

<file path=xl/comments1.xml><?xml version="1.0" encoding="utf-8"?>
<comments xmlns="http://schemas.openxmlformats.org/spreadsheetml/2006/main">
  <authors>
    <author>Arnaud HOUMBIYE</author>
  </authors>
  <commentList>
    <comment ref="B27" authorId="0" shapeId="0">
      <text>
        <r>
          <rPr>
            <b/>
            <sz val="9"/>
            <color indexed="81"/>
            <rFont val="Tahoma"/>
            <family val="2"/>
          </rPr>
          <t>Arnaud HOUMBIYE:</t>
        </r>
        <r>
          <rPr>
            <sz val="9"/>
            <color indexed="81"/>
            <rFont val="Tahoma"/>
            <family val="2"/>
          </rPr>
          <t xml:space="preserve">
voir fichier transmis a la cpta  ( international carrier  et ..)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Arnaud HOUMBIYE:</t>
        </r>
        <r>
          <rPr>
            <sz val="9"/>
            <color indexed="81"/>
            <rFont val="Tahoma"/>
            <family val="2"/>
          </rPr>
          <t xml:space="preserve">
dans le mensuel  fichier transmis a la cpta</t>
        </r>
      </text>
    </comment>
  </commentList>
</comments>
</file>

<file path=xl/sharedStrings.xml><?xml version="1.0" encoding="utf-8"?>
<sst xmlns="http://schemas.openxmlformats.org/spreadsheetml/2006/main" count="186" uniqueCount="41">
  <si>
    <t xml:space="preserve">     vers le fixe</t>
  </si>
  <si>
    <t xml:space="preserve">     vers l'international</t>
  </si>
  <si>
    <t xml:space="preserve">     vers Mobile (on net)</t>
  </si>
  <si>
    <t xml:space="preserve">      vers MTN</t>
  </si>
  <si>
    <t xml:space="preserve">      vers BBCOM, LIBERCOM</t>
  </si>
  <si>
    <t>Consumer Postpaid</t>
  </si>
  <si>
    <t>Business Postpaid</t>
  </si>
  <si>
    <t>Stats trafic</t>
  </si>
  <si>
    <t>poids</t>
  </si>
  <si>
    <t>trend TBG</t>
  </si>
  <si>
    <t>SENS</t>
  </si>
  <si>
    <t>INTER</t>
  </si>
  <si>
    <t>MOOV</t>
  </si>
  <si>
    <t>MTN</t>
  </si>
  <si>
    <t>NON DETERMINE</t>
  </si>
  <si>
    <t>OPT</t>
  </si>
  <si>
    <t>Total général</t>
  </si>
  <si>
    <t>SORTANT</t>
  </si>
  <si>
    <t xml:space="preserve">      Outbound roaming</t>
  </si>
  <si>
    <t>Business Prepaid</t>
  </si>
  <si>
    <t>Trafic sortant prépayé (Consumer)</t>
  </si>
  <si>
    <t xml:space="preserve">    du fixe </t>
  </si>
  <si>
    <t xml:space="preserve">    de l'international </t>
  </si>
  <si>
    <t xml:space="preserve">    de MTN</t>
  </si>
  <si>
    <t xml:space="preserve">    de BBCOM, LIBERCOM</t>
  </si>
  <si>
    <t>Trafic entrant prépayé (Consumer)</t>
  </si>
  <si>
    <t>ENTRANT</t>
  </si>
  <si>
    <t>SBIN</t>
  </si>
  <si>
    <t xml:space="preserve">      vers SBIN</t>
  </si>
  <si>
    <t xml:space="preserve">    de SBIN</t>
  </si>
  <si>
    <t>Total  Trafic sortant</t>
  </si>
  <si>
    <t>Trafic sortant postpayé</t>
  </si>
  <si>
    <t>Total  Trafic entrant</t>
  </si>
  <si>
    <t>Trafic entrant postpayé</t>
  </si>
  <si>
    <t>ITEM</t>
  </si>
  <si>
    <t>TRAFIC</t>
  </si>
  <si>
    <t>M*10¨6</t>
  </si>
  <si>
    <t>CHECK</t>
  </si>
  <si>
    <t>TABLEAU 1</t>
  </si>
  <si>
    <t>TABLEAU 2</t>
  </si>
  <si>
    <t>NASUBA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</si>
</sst>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C_F_A_-;\-* #,##0\ _C_F_A_-;_-* &quot;-&quot;\ _C_F_A_-;_-@_-"/>
    <numFmt numFmtId="165" formatCode="_-* #,##0.00\ _C_F_A_-;\-* #,##0.00\ _C_F_A_-;_-* &quot;-&quot;??\ _C_F_A_-;_-@_-"/>
    <numFmt numFmtId="166" formatCode="_-* #,##0.00\ _€_-;\-* #,##0.00\ _€_-;_-* &quot;-&quot;??\ _€_-;_-@_-"/>
    <numFmt numFmtId="167" formatCode="_-* #,##0.000\ _€_-;\-* #,##0.000\ _€_-;_-* &quot;-&quot;??\ _€_-;_-@_-"/>
    <numFmt numFmtId="168" formatCode="_-* #,##0.000\ _€_-;\-* #,##0.000\ _€_-;_-* &quot;-&quot;???\ _€_-;_-@_-"/>
    <numFmt numFmtId="169" formatCode="_-* #,##0\ _€_-;\-* #,##0\ _€_-;_-* &quot;-&quot;??\ _€_-;_-@_-"/>
    <numFmt numFmtId="170" formatCode="_-* #,##0.00000000\ _C_F_A_-;\-* #,##0.00000000\ _C_F_A_-;_-* &quot;-&quot;\ _C_F_A_-;_-@_-"/>
    <numFmt numFmtId="171" formatCode="_-* #,##0.0000\ _C_F_A_-;\-* #,##0.0000\ _C_F_A_-;_-* &quot;-&quot;\ _C_F_A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double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9">
    <xf numFmtId="0" fontId="0" fillId="0" borderId="0" xfId="0"/>
    <xf numFmtId="167" fontId="0" fillId="0" borderId="0" xfId="1" applyNumberFormat="1" applyFont="1"/>
    <xf numFmtId="167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167" fontId="0" fillId="2" borderId="0" xfId="1" applyNumberFormat="1" applyFont="1" applyFill="1"/>
    <xf numFmtId="0" fontId="2" fillId="0" borderId="0" xfId="0" applyFont="1"/>
    <xf numFmtId="0" fontId="0" fillId="3" borderId="0" xfId="0" applyFill="1"/>
    <xf numFmtId="164" fontId="0" fillId="0" borderId="0" xfId="2" applyFont="1" applyFill="1"/>
    <xf numFmtId="0" fontId="0" fillId="0" borderId="0" xfId="0" applyAlignment="1">
      <alignment horizontal="right"/>
    </xf>
    <xf numFmtId="164" fontId="0" fillId="0" borderId="0" xfId="2" applyFont="1" applyBorder="1"/>
    <xf numFmtId="164" fontId="0" fillId="0" borderId="0" xfId="2" applyFont="1"/>
    <xf numFmtId="0" fontId="0" fillId="0" borderId="0" xfId="0" applyFill="1"/>
    <xf numFmtId="166" fontId="0" fillId="0" borderId="0" xfId="0" applyNumberFormat="1" applyFill="1"/>
    <xf numFmtId="165" fontId="0" fillId="0" borderId="0" xfId="0" applyNumberFormat="1" applyFill="1"/>
    <xf numFmtId="0" fontId="0" fillId="0" borderId="0" xfId="0" applyBorder="1"/>
    <xf numFmtId="170" fontId="0" fillId="0" borderId="0" xfId="2" applyNumberFormat="1" applyFont="1" applyFill="1"/>
    <xf numFmtId="3" fontId="0" fillId="0" borderId="0" xfId="0" applyNumberFormat="1" applyFill="1"/>
    <xf numFmtId="164" fontId="0" fillId="0" borderId="0" xfId="0" applyNumberFormat="1" applyFill="1"/>
    <xf numFmtId="164" fontId="4" fillId="0" borderId="3" xfId="2" applyFont="1" applyFill="1" applyBorder="1"/>
    <xf numFmtId="166" fontId="0" fillId="4" borderId="0" xfId="0" applyNumberFormat="1" applyFill="1"/>
    <xf numFmtId="165" fontId="0" fillId="5" borderId="0" xfId="0" applyNumberFormat="1" applyFill="1"/>
    <xf numFmtId="0" fontId="3" fillId="6" borderId="5" xfId="0" applyFont="1" applyFill="1" applyBorder="1"/>
    <xf numFmtId="0" fontId="3" fillId="6" borderId="6" xfId="0" applyFont="1" applyFill="1" applyBorder="1"/>
    <xf numFmtId="0" fontId="0" fillId="0" borderId="7" xfId="0" applyFont="1" applyBorder="1" applyAlignment="1">
      <alignment horizontal="left"/>
    </xf>
    <xf numFmtId="169" fontId="0" fillId="0" borderId="7" xfId="0" applyNumberFormat="1" applyFont="1" applyBorder="1"/>
    <xf numFmtId="0" fontId="0" fillId="0" borderId="4" xfId="0" applyFont="1" applyBorder="1" applyAlignment="1">
      <alignment horizontal="left"/>
    </xf>
    <xf numFmtId="169" fontId="0" fillId="0" borderId="4" xfId="0" applyNumberFormat="1" applyFont="1" applyBorder="1"/>
    <xf numFmtId="0" fontId="2" fillId="0" borderId="8" xfId="0" applyFont="1" applyBorder="1" applyAlignment="1">
      <alignment horizontal="left"/>
    </xf>
    <xf numFmtId="169" fontId="2" fillId="0" borderId="8" xfId="0" applyNumberFormat="1" applyFont="1" applyBorder="1"/>
    <xf numFmtId="171" fontId="0" fillId="0" borderId="0" xfId="2" applyNumberFormat="1" applyFont="1"/>
    <xf numFmtId="164" fontId="4" fillId="13" borderId="2" xfId="2" applyFont="1" applyFill="1" applyBorder="1" applyAlignment="1">
      <alignment horizontal="center" vertical="center"/>
    </xf>
    <xf numFmtId="164" fontId="9" fillId="7" borderId="9" xfId="2" applyFont="1" applyFill="1" applyBorder="1" applyAlignment="1">
      <alignment horizontal="center" vertical="center"/>
    </xf>
    <xf numFmtId="164" fontId="9" fillId="0" borderId="10" xfId="2" applyFont="1" applyFill="1" applyBorder="1" applyAlignment="1">
      <alignment horizontal="center" vertical="center"/>
    </xf>
    <xf numFmtId="164" fontId="10" fillId="9" borderId="9" xfId="2" applyFont="1" applyFill="1" applyBorder="1" applyAlignment="1">
      <alignment horizontal="center" vertical="center"/>
    </xf>
    <xf numFmtId="164" fontId="0" fillId="12" borderId="10" xfId="2" applyFont="1" applyFill="1" applyBorder="1" applyAlignment="1">
      <alignment horizontal="center" vertical="center"/>
    </xf>
    <xf numFmtId="164" fontId="0" fillId="12" borderId="11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11" borderId="10" xfId="2" applyFont="1" applyFill="1" applyBorder="1" applyAlignment="1">
      <alignment horizontal="center" vertical="center"/>
    </xf>
    <xf numFmtId="164" fontId="11" fillId="8" borderId="10" xfId="2" applyFont="1" applyFill="1" applyBorder="1" applyAlignment="1">
      <alignment horizontal="center" vertical="center"/>
    </xf>
    <xf numFmtId="164" fontId="8" fillId="12" borderId="10" xfId="2" applyFont="1" applyFill="1" applyBorder="1" applyAlignment="1">
      <alignment horizontal="center" vertical="center"/>
    </xf>
    <xf numFmtId="164" fontId="11" fillId="12" borderId="10" xfId="2" applyFont="1" applyFill="1" applyBorder="1" applyAlignment="1">
      <alignment horizontal="center" vertical="center"/>
    </xf>
    <xf numFmtId="164" fontId="8" fillId="0" borderId="11" xfId="2" applyFont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164" fontId="10" fillId="0" borderId="9" xfId="2" applyFont="1" applyFill="1" applyBorder="1" applyAlignment="1">
      <alignment horizontal="center" vertical="center"/>
    </xf>
    <xf numFmtId="164" fontId="8" fillId="12" borderId="12" xfId="2" applyFont="1" applyFill="1" applyBorder="1" applyAlignment="1">
      <alignment horizontal="center" vertical="center"/>
    </xf>
    <xf numFmtId="164" fontId="8" fillId="12" borderId="11" xfId="2" applyFont="1" applyFill="1" applyBorder="1" applyAlignment="1">
      <alignment horizontal="center" vertical="center"/>
    </xf>
    <xf numFmtId="164" fontId="11" fillId="0" borderId="10" xfId="2" applyFont="1" applyFill="1" applyBorder="1" applyAlignment="1">
      <alignment horizontal="center" vertical="center"/>
    </xf>
    <xf numFmtId="164" fontId="8" fillId="12" borderId="13" xfId="2" applyFont="1" applyFill="1" applyBorder="1" applyAlignment="1">
      <alignment horizontal="center" vertical="center"/>
    </xf>
    <xf numFmtId="171" fontId="4" fillId="13" borderId="2" xfId="2" applyNumberFormat="1" applyFont="1" applyFill="1" applyBorder="1" applyAlignment="1">
      <alignment horizontal="center" vertical="center"/>
    </xf>
    <xf numFmtId="171" fontId="9" fillId="7" borderId="9" xfId="2" applyNumberFormat="1" applyFont="1" applyFill="1" applyBorder="1" applyAlignment="1">
      <alignment horizontal="center" vertical="center"/>
    </xf>
    <xf numFmtId="171" fontId="9" fillId="0" borderId="10" xfId="2" applyNumberFormat="1" applyFont="1" applyFill="1" applyBorder="1" applyAlignment="1">
      <alignment horizontal="center" vertical="center"/>
    </xf>
    <xf numFmtId="171" fontId="10" fillId="9" borderId="9" xfId="2" applyNumberFormat="1" applyFont="1" applyFill="1" applyBorder="1" applyAlignment="1">
      <alignment horizontal="center" vertical="center"/>
    </xf>
    <xf numFmtId="171" fontId="0" fillId="12" borderId="10" xfId="2" applyNumberFormat="1" applyFont="1" applyFill="1" applyBorder="1" applyAlignment="1">
      <alignment horizontal="center" vertical="center"/>
    </xf>
    <xf numFmtId="171" fontId="0" fillId="12" borderId="11" xfId="2" applyNumberFormat="1" applyFont="1" applyFill="1" applyBorder="1" applyAlignment="1">
      <alignment horizontal="center" vertical="center"/>
    </xf>
    <xf numFmtId="171" fontId="8" fillId="0" borderId="10" xfId="2" applyNumberFormat="1" applyFont="1" applyFill="1" applyBorder="1" applyAlignment="1">
      <alignment horizontal="center" vertical="center"/>
    </xf>
    <xf numFmtId="171" fontId="0" fillId="11" borderId="10" xfId="2" applyNumberFormat="1" applyFont="1" applyFill="1" applyBorder="1" applyAlignment="1">
      <alignment horizontal="center" vertical="center"/>
    </xf>
    <xf numFmtId="171" fontId="11" fillId="8" borderId="10" xfId="2" applyNumberFormat="1" applyFont="1" applyFill="1" applyBorder="1" applyAlignment="1">
      <alignment horizontal="center" vertical="center"/>
    </xf>
    <xf numFmtId="171" fontId="8" fillId="12" borderId="10" xfId="2" applyNumberFormat="1" applyFont="1" applyFill="1" applyBorder="1" applyAlignment="1">
      <alignment horizontal="center" vertical="center"/>
    </xf>
    <xf numFmtId="171" fontId="11" fillId="12" borderId="10" xfId="2" applyNumberFormat="1" applyFont="1" applyFill="1" applyBorder="1" applyAlignment="1">
      <alignment horizontal="center" vertical="center"/>
    </xf>
    <xf numFmtId="171" fontId="8" fillId="0" borderId="11" xfId="2" applyNumberFormat="1" applyFont="1" applyBorder="1" applyAlignment="1">
      <alignment horizontal="center" vertical="center"/>
    </xf>
    <xf numFmtId="171" fontId="8" fillId="0" borderId="10" xfId="2" applyNumberFormat="1" applyFont="1" applyBorder="1" applyAlignment="1">
      <alignment horizontal="center" vertical="center"/>
    </xf>
    <xf numFmtId="171" fontId="10" fillId="0" borderId="9" xfId="2" applyNumberFormat="1" applyFont="1" applyFill="1" applyBorder="1" applyAlignment="1">
      <alignment horizontal="center" vertical="center"/>
    </xf>
    <xf numFmtId="171" fontId="8" fillId="12" borderId="12" xfId="2" applyNumberFormat="1" applyFont="1" applyFill="1" applyBorder="1" applyAlignment="1">
      <alignment horizontal="center" vertical="center"/>
    </xf>
    <xf numFmtId="171" fontId="8" fillId="12" borderId="11" xfId="2" applyNumberFormat="1" applyFont="1" applyFill="1" applyBorder="1" applyAlignment="1">
      <alignment horizontal="center" vertical="center"/>
    </xf>
    <xf numFmtId="171" fontId="11" fillId="0" borderId="10" xfId="2" applyNumberFormat="1" applyFont="1" applyFill="1" applyBorder="1" applyAlignment="1">
      <alignment horizontal="center" vertical="center"/>
    </xf>
    <xf numFmtId="171" fontId="8" fillId="12" borderId="13" xfId="2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10" fillId="9" borderId="9" xfId="0" applyFont="1" applyFill="1" applyBorder="1"/>
    <xf numFmtId="0" fontId="0" fillId="12" borderId="12" xfId="0" applyFont="1" applyFill="1" applyBorder="1"/>
    <xf numFmtId="0" fontId="0" fillId="12" borderId="10" xfId="0" applyFont="1" applyFill="1" applyBorder="1"/>
    <xf numFmtId="0" fontId="0" fillId="12" borderId="11" xfId="0" applyFont="1" applyFill="1" applyBorder="1"/>
    <xf numFmtId="0" fontId="8" fillId="0" borderId="10" xfId="0" applyFont="1" applyFill="1" applyBorder="1" applyAlignment="1"/>
    <xf numFmtId="0" fontId="0" fillId="11" borderId="10" xfId="0" applyFont="1" applyFill="1" applyBorder="1"/>
    <xf numFmtId="0" fontId="0" fillId="8" borderId="10" xfId="0" applyFill="1" applyBorder="1"/>
    <xf numFmtId="0" fontId="0" fillId="12" borderId="10" xfId="0" applyFill="1" applyBorder="1"/>
    <xf numFmtId="0" fontId="0" fillId="0" borderId="11" xfId="0" applyFont="1" applyBorder="1"/>
    <xf numFmtId="0" fontId="8" fillId="0" borderId="10" xfId="0" applyFont="1" applyBorder="1"/>
    <xf numFmtId="0" fontId="10" fillId="0" borderId="9" xfId="0" applyFont="1" applyBorder="1"/>
    <xf numFmtId="0" fontId="0" fillId="12" borderId="12" xfId="0" applyFill="1" applyBorder="1"/>
    <xf numFmtId="0" fontId="0" fillId="12" borderId="11" xfId="0" applyFill="1" applyBorder="1"/>
    <xf numFmtId="0" fontId="0" fillId="0" borderId="10" xfId="0" applyBorder="1"/>
    <xf numFmtId="0" fontId="0" fillId="12" borderId="13" xfId="0" applyFill="1" applyBorder="1"/>
    <xf numFmtId="0" fontId="4" fillId="14" borderId="0" xfId="0" applyFont="1" applyFill="1"/>
    <xf numFmtId="164" fontId="4" fillId="0" borderId="0" xfId="2" applyFont="1" applyFill="1" applyBorder="1"/>
    <xf numFmtId="0" fontId="0" fillId="0" borderId="14" xfId="0" applyBorder="1"/>
    <xf numFmtId="164" fontId="7" fillId="10" borderId="15" xfId="2" applyFont="1" applyFill="1" applyBorder="1" applyAlignment="1">
      <alignment horizontal="center"/>
    </xf>
    <xf numFmtId="169" fontId="0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169" fontId="0" fillId="0" borderId="18" xfId="0" applyNumberFormat="1" applyFont="1" applyBorder="1" applyAlignment="1">
      <alignment horizontal="center"/>
    </xf>
    <xf numFmtId="164" fontId="7" fillId="10" borderId="14" xfId="2" applyFont="1" applyFill="1" applyBorder="1" applyAlignment="1">
      <alignment horizontal="center"/>
    </xf>
    <xf numFmtId="164" fontId="7" fillId="10" borderId="16" xfId="2" applyFont="1" applyFill="1" applyBorder="1" applyAlignment="1">
      <alignment horizontal="center"/>
    </xf>
    <xf numFmtId="164" fontId="7" fillId="10" borderId="19" xfId="2" applyFont="1" applyFill="1" applyBorder="1" applyAlignment="1">
      <alignment horizontal="center"/>
    </xf>
    <xf numFmtId="164" fontId="7" fillId="10" borderId="1" xfId="2" applyFont="1" applyFill="1" applyBorder="1" applyAlignment="1">
      <alignment horizontal="center"/>
    </xf>
    <xf numFmtId="171" fontId="12" fillId="2" borderId="2" xfId="2" applyNumberFormat="1" applyFont="1" applyFill="1" applyBorder="1" applyAlignment="1">
      <alignment horizontal="center" vertical="center"/>
    </xf>
    <xf numFmtId="169" fontId="0" fillId="10" borderId="4" xfId="0" applyNumberFormat="1" applyFont="1" applyFill="1" applyBorder="1"/>
    <xf numFmtId="169" fontId="2" fillId="10" borderId="8" xfId="0" applyNumberFormat="1" applyFont="1" applyFill="1" applyBorder="1"/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/TBG%20WORK/02/TBG%20WORK/CA%20DOCUMENTS%2002%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RAFIC%20INTERNATIONAL%20PAR%20CARRIER%20FEVRIER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"/>
      <sheetName val="ESTIMATIONS"/>
      <sheetName val="CA Consumer"/>
      <sheetName val="CA Business"/>
      <sheetName val="."/>
      <sheetName val="ACTIVATIONS"/>
      <sheetName val="CHALLENGE AIRTIME FORFAIT"/>
      <sheetName val="FEES CREDIT SECOURS"/>
      <sheetName val="BTI"/>
      <sheetName val="ROAMING IN"/>
      <sheetName val="ROAMING OUT"/>
      <sheetName val="PROVISIONS DIOT"/>
      <sheetName val="NATIONAL"/>
      <sheetName val="--"/>
      <sheetName val="ACS AV ACS"/>
      <sheetName val="ACS AV CHNVS"/>
      <sheetName val="ACS REMB ACS"/>
      <sheetName val="ACS REMB CHNVS"/>
      <sheetName val="ACS CONSO"/>
      <sheetName val="-"/>
      <sheetName val="ROAMING SMS"/>
      <sheetName val="TRAFIC&amp;REVENU DETAILS"/>
      <sheetName val="CA DOCUMENTS 02 25"/>
    </sheetNames>
    <sheetDataSet>
      <sheetData sheetId="0"/>
      <sheetData sheetId="1"/>
      <sheetData sheetId="2">
        <row r="29">
          <cell r="D29">
            <v>17728839.0593221</v>
          </cell>
        </row>
      </sheetData>
      <sheetData sheetId="3">
        <row r="29">
          <cell r="D29">
            <v>52510219.372881398</v>
          </cell>
        </row>
      </sheetData>
      <sheetData sheetId="4"/>
      <sheetData sheetId="5">
        <row r="14">
          <cell r="B14">
            <v>710600</v>
          </cell>
        </row>
      </sheetData>
      <sheetData sheetId="6"/>
      <sheetData sheetId="7">
        <row r="4">
          <cell r="D4">
            <v>6160976.2711864412</v>
          </cell>
        </row>
      </sheetData>
      <sheetData sheetId="8">
        <row r="8">
          <cell r="B8">
            <v>63595.349654893071</v>
          </cell>
        </row>
        <row r="10">
          <cell r="C10"/>
        </row>
        <row r="11">
          <cell r="B11">
            <v>608319.13526693452</v>
          </cell>
          <cell r="N11">
            <v>776.51613455578365</v>
          </cell>
        </row>
        <row r="12">
          <cell r="B12">
            <v>0</v>
          </cell>
        </row>
        <row r="18">
          <cell r="B18">
            <v>7122.3766532265699</v>
          </cell>
        </row>
        <row r="21">
          <cell r="B21">
            <v>112598.80201295426</v>
          </cell>
          <cell r="N21">
            <v>143.73177075277152</v>
          </cell>
        </row>
        <row r="22">
          <cell r="B22">
            <v>0</v>
          </cell>
        </row>
        <row r="28">
          <cell r="B28">
            <v>770096.40486592869</v>
          </cell>
        </row>
        <row r="31">
          <cell r="B31">
            <v>7684022.3751756782</v>
          </cell>
          <cell r="N31">
            <v>9808.6136152750023</v>
          </cell>
        </row>
        <row r="32">
          <cell r="B32">
            <v>0</v>
          </cell>
        </row>
        <row r="38">
          <cell r="B38">
            <v>32166054.16882595</v>
          </cell>
        </row>
        <row r="41">
          <cell r="B41">
            <v>91024460.26696226</v>
          </cell>
          <cell r="N41">
            <v>116192.23847941645</v>
          </cell>
        </row>
        <row r="42">
          <cell r="B4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ink"/>
      <sheetName val="ASG"/>
      <sheetName val="DATE"/>
      <sheetName val="ORANGE BF"/>
      <sheetName val="FRANCE TELECOM"/>
      <sheetName val="TOGO TELECOM-"/>
      <sheetName val="MOOV TOGO"/>
      <sheetName val="MV-NIGER"/>
      <sheetName val="MATEL"/>
      <sheetName val="BELGACOM"/>
      <sheetName val="MRCI"/>
      <sheetName val="Onatel"/>
      <sheetName val="MOOV GAB"/>
      <sheetName val="LIBON"/>
      <sheetName val="MALITEL"/>
      <sheetName val="ZAMANI TELECOMS"/>
      <sheetName val="FREE SENEGAL"/>
      <sheetName val="Etisalat LTD"/>
      <sheetName val="Somme"/>
      <sheetName val="SOTELMA"/>
      <sheetName val="MOOV RCA"/>
      <sheetName val="MOOV GABON"/>
      <sheetName val="T ORANGE CI"/>
      <sheetName val="MAURITEL "/>
      <sheetName val="GT"/>
      <sheetName val="T ONATEL"/>
      <sheetName val="TRANSIT MOOV TOGO"/>
      <sheetName val="TCHAD"/>
      <sheetName val="T TOGO TELECOM"/>
      <sheetName val="MOOV NIGER"/>
      <sheetName val="ORANGE SENEGAL"/>
      <sheetName val="T MOOV CI "/>
      <sheetName val="Feuil1"/>
      <sheetName val="T MOOV CAF"/>
      <sheetName val="Esti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4">
          <cell r="B34">
            <v>16320.4853707687</v>
          </cell>
          <cell r="F34">
            <v>3271.7260629139196</v>
          </cell>
        </row>
        <row r="53">
          <cell r="B53">
            <v>1053760.4150512351</v>
          </cell>
          <cell r="F53">
            <v>211.7966001975239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Q48"/>
  <sheetViews>
    <sheetView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K6" sqref="K6"/>
    </sheetView>
  </sheetViews>
  <sheetFormatPr baseColWidth="10" defaultRowHeight="14.5" x14ac:dyDescent="0.35"/>
  <cols>
    <col min="1" max="1" width="30.1796875" bestFit="1" customWidth="1"/>
    <col min="2" max="2" width="21.54296875" style="12" bestFit="1" customWidth="1"/>
    <col min="3" max="4" width="17.1796875" style="12" customWidth="1"/>
    <col min="5" max="7" width="15.7265625" style="12" customWidth="1"/>
    <col min="8" max="8" width="15.7265625" customWidth="1"/>
    <col min="9" max="9" width="15.1796875" bestFit="1" customWidth="1"/>
    <col min="10" max="11" width="15.7265625" customWidth="1"/>
    <col min="12" max="13" width="16.26953125" bestFit="1" customWidth="1"/>
    <col min="14" max="14" width="15.26953125" bestFit="1" customWidth="1"/>
    <col min="15" max="15" width="16.1796875" bestFit="1" customWidth="1"/>
    <col min="16" max="17" width="13.7265625" bestFit="1" customWidth="1"/>
  </cols>
  <sheetData>
    <row r="1" spans="1:17" ht="15" thickBot="1" x14ac:dyDescent="0.4">
      <c r="A1" s="85" t="s">
        <v>34</v>
      </c>
      <c r="B1" s="85" t="s">
        <v>11</v>
      </c>
      <c r="C1" s="85" t="s">
        <v>12</v>
      </c>
      <c r="D1" s="85" t="s">
        <v>13</v>
      </c>
      <c r="E1" s="85" t="s">
        <v>27</v>
      </c>
      <c r="F1" s="85" t="s">
        <v>14</v>
      </c>
      <c r="G1" s="85" t="s">
        <v>15</v>
      </c>
      <c r="H1" s="85" t="s">
        <v>16</v>
      </c>
    </row>
    <row r="2" spans="1:17" ht="15" thickBot="1" x14ac:dyDescent="0.4">
      <c r="A2" s="87" t="s">
        <v>39</v>
      </c>
      <c r="B2" s="92">
        <v>1285426.3214330035</v>
      </c>
      <c r="C2" s="88">
        <v>44153131.988949232</v>
      </c>
      <c r="D2" s="88">
        <v>35569487.84828604</v>
      </c>
      <c r="E2" s="88">
        <v>20345379.917604048</v>
      </c>
      <c r="F2" s="88">
        <v>77090.258895999825</v>
      </c>
      <c r="G2" s="93">
        <v>25592.098082000022</v>
      </c>
      <c r="H2" s="89">
        <f t="shared" ref="H2:H3" si="0">SUM(B2:G2)</f>
        <v>101456108.43325032</v>
      </c>
      <c r="I2" s="18"/>
    </row>
    <row r="3" spans="1:17" s="9" customFormat="1" ht="15" thickBot="1" x14ac:dyDescent="0.4">
      <c r="A3" s="90" t="s">
        <v>38</v>
      </c>
      <c r="B3" s="92">
        <v>1308461.8185560082</v>
      </c>
      <c r="C3" s="88">
        <v>50395205.404044278</v>
      </c>
      <c r="D3" s="88">
        <v>37508277.860285088</v>
      </c>
      <c r="E3" s="88">
        <v>20939953.496019021</v>
      </c>
      <c r="F3" s="88">
        <v>78916.975111999898</v>
      </c>
      <c r="G3" s="93">
        <v>29196.730754000077</v>
      </c>
      <c r="H3" s="91">
        <f t="shared" si="0"/>
        <v>110260012.28477041</v>
      </c>
      <c r="I3" s="19"/>
      <c r="J3"/>
      <c r="K3"/>
      <c r="L3"/>
      <c r="M3"/>
      <c r="N3"/>
      <c r="O3"/>
      <c r="P3"/>
      <c r="Q3"/>
    </row>
    <row r="4" spans="1:17" s="9" customFormat="1" x14ac:dyDescent="0.35">
      <c r="A4"/>
      <c r="B4"/>
      <c r="C4"/>
      <c r="D4"/>
      <c r="E4"/>
      <c r="F4"/>
      <c r="G4"/>
      <c r="H4"/>
      <c r="I4" s="86"/>
      <c r="J4"/>
      <c r="K4"/>
      <c r="L4"/>
      <c r="M4"/>
      <c r="N4"/>
      <c r="O4"/>
      <c r="P4"/>
      <c r="Q4"/>
    </row>
    <row r="5" spans="1:17" x14ac:dyDescent="0.35">
      <c r="A5" s="6" t="s">
        <v>20</v>
      </c>
      <c r="B5"/>
      <c r="C5"/>
      <c r="D5"/>
      <c r="E5"/>
      <c r="F5"/>
      <c r="G5"/>
    </row>
    <row r="6" spans="1:17" x14ac:dyDescent="0.35">
      <c r="A6" s="7" t="s">
        <v>0</v>
      </c>
      <c r="C6" s="13">
        <f>+G2/10^6</f>
        <v>2.5592098082000022E-2</v>
      </c>
      <c r="D6"/>
      <c r="E6"/>
      <c r="F6"/>
      <c r="G6"/>
    </row>
    <row r="7" spans="1:17" x14ac:dyDescent="0.35">
      <c r="A7" s="7" t="s">
        <v>1</v>
      </c>
      <c r="C7" s="13">
        <f>+B2/10^6</f>
        <v>1.2854263214330035</v>
      </c>
      <c r="D7"/>
      <c r="E7"/>
      <c r="F7"/>
      <c r="G7"/>
    </row>
    <row r="8" spans="1:17" x14ac:dyDescent="0.35">
      <c r="A8" s="7" t="s">
        <v>2</v>
      </c>
      <c r="C8" s="20">
        <f>+C2/10^6</f>
        <v>44.153131988949234</v>
      </c>
      <c r="D8"/>
      <c r="E8"/>
      <c r="F8"/>
      <c r="G8"/>
    </row>
    <row r="9" spans="1:17" x14ac:dyDescent="0.35">
      <c r="A9" s="7" t="s">
        <v>3</v>
      </c>
      <c r="C9" s="20">
        <f>(D2+F2)/10^6</f>
        <v>35.646578107182037</v>
      </c>
      <c r="D9"/>
      <c r="E9"/>
      <c r="F9"/>
      <c r="G9"/>
    </row>
    <row r="10" spans="1:17" x14ac:dyDescent="0.35">
      <c r="A10" s="7" t="s">
        <v>28</v>
      </c>
      <c r="C10" s="13">
        <f>+E2/10^6</f>
        <v>20.345379917604049</v>
      </c>
      <c r="D10"/>
      <c r="E10"/>
      <c r="F10"/>
      <c r="G10"/>
    </row>
    <row r="11" spans="1:17" x14ac:dyDescent="0.35">
      <c r="A11" s="7" t="s">
        <v>4</v>
      </c>
      <c r="D11" s="8"/>
      <c r="E11"/>
      <c r="F11"/>
      <c r="G11"/>
    </row>
    <row r="12" spans="1:17" x14ac:dyDescent="0.35">
      <c r="A12" s="7" t="s">
        <v>18</v>
      </c>
      <c r="B12" s="8"/>
      <c r="C12" s="8"/>
      <c r="D12" s="8"/>
      <c r="E12"/>
      <c r="F12"/>
      <c r="G12"/>
    </row>
    <row r="13" spans="1:17" x14ac:dyDescent="0.35">
      <c r="B13" s="8"/>
      <c r="C13" s="8"/>
      <c r="D13" s="8"/>
      <c r="E13"/>
      <c r="F13"/>
      <c r="G13"/>
    </row>
    <row r="14" spans="1:17" x14ac:dyDescent="0.35">
      <c r="B14" s="8"/>
      <c r="C14" s="8"/>
      <c r="D14" s="8"/>
      <c r="E14"/>
      <c r="F14"/>
      <c r="G14"/>
    </row>
    <row r="15" spans="1:17" x14ac:dyDescent="0.35">
      <c r="A15" s="6" t="s">
        <v>19</v>
      </c>
      <c r="B15" s="8"/>
      <c r="C15" s="8"/>
      <c r="D15" s="8"/>
      <c r="E15"/>
      <c r="F15"/>
      <c r="G15"/>
    </row>
    <row r="16" spans="1:17" x14ac:dyDescent="0.35">
      <c r="A16" s="7" t="s">
        <v>0</v>
      </c>
      <c r="C16" s="14">
        <f>G3/10^6-C6</f>
        <v>3.6046326720000563E-3</v>
      </c>
      <c r="E16"/>
      <c r="F16"/>
      <c r="G16"/>
    </row>
    <row r="17" spans="1:7" x14ac:dyDescent="0.35">
      <c r="A17" s="7" t="s">
        <v>1</v>
      </c>
      <c r="C17" s="14">
        <f>B3/10^6-C7</f>
        <v>2.3035497123004678E-2</v>
      </c>
      <c r="E17"/>
      <c r="F17"/>
      <c r="G17"/>
    </row>
    <row r="18" spans="1:7" x14ac:dyDescent="0.35">
      <c r="A18" s="7" t="s">
        <v>2</v>
      </c>
      <c r="C18" s="21">
        <f>C3/10^6-C8</f>
        <v>6.2420734150950423</v>
      </c>
      <c r="E18" s="8"/>
      <c r="F18" s="8"/>
    </row>
    <row r="19" spans="1:7" x14ac:dyDescent="0.35">
      <c r="A19" s="7" t="s">
        <v>3</v>
      </c>
      <c r="C19" s="21">
        <f>(D3+F3)/10^6-C9</f>
        <v>1.9406167282150477</v>
      </c>
      <c r="E19" s="8"/>
      <c r="F19" s="8"/>
    </row>
    <row r="20" spans="1:7" x14ac:dyDescent="0.35">
      <c r="A20" s="7" t="s">
        <v>28</v>
      </c>
      <c r="C20" s="14">
        <f>E3/10^6-C10</f>
        <v>0.59457357841497327</v>
      </c>
    </row>
    <row r="21" spans="1:7" x14ac:dyDescent="0.35">
      <c r="A21" s="7" t="s">
        <v>4</v>
      </c>
    </row>
    <row r="22" spans="1:7" x14ac:dyDescent="0.35">
      <c r="A22" s="7" t="s">
        <v>18</v>
      </c>
      <c r="C22" s="12">
        <f>[1]BTI!$C$10</f>
        <v>0</v>
      </c>
    </row>
    <row r="25" spans="1:7" x14ac:dyDescent="0.35">
      <c r="A25" s="7" t="s">
        <v>25</v>
      </c>
    </row>
    <row r="26" spans="1:7" x14ac:dyDescent="0.35">
      <c r="A26" t="s">
        <v>21</v>
      </c>
      <c r="B26" s="8">
        <f>[1]BTI!$N$41</f>
        <v>116192.23847941645</v>
      </c>
      <c r="C26" s="12">
        <f>+B26/1000000</f>
        <v>0.11619223847941645</v>
      </c>
    </row>
    <row r="27" spans="1:7" x14ac:dyDescent="0.35">
      <c r="A27" t="s">
        <v>22</v>
      </c>
      <c r="B27" s="8">
        <f>[2]Somme!$B$53+[1]BTI!$B$42</f>
        <v>1053760.4150512351</v>
      </c>
      <c r="C27" s="12">
        <f t="shared" ref="C27:C48" si="1">+B27/1000000</f>
        <v>1.0537604150512352</v>
      </c>
      <c r="D27" s="12">
        <v>88074.413291683304</v>
      </c>
      <c r="E27" s="17"/>
    </row>
    <row r="28" spans="1:7" x14ac:dyDescent="0.35">
      <c r="A28" t="s">
        <v>23</v>
      </c>
      <c r="B28" s="8">
        <f>[1]BTI!$B$38</f>
        <v>32166054.16882595</v>
      </c>
      <c r="C28" s="12">
        <f t="shared" si="1"/>
        <v>32.166054168825951</v>
      </c>
      <c r="E28" s="17"/>
    </row>
    <row r="29" spans="1:7" x14ac:dyDescent="0.35">
      <c r="A29" t="s">
        <v>29</v>
      </c>
      <c r="B29" s="8">
        <f>[1]BTI!$B$41-B26</f>
        <v>90908268.028482839</v>
      </c>
      <c r="C29" s="12">
        <f t="shared" si="1"/>
        <v>90.908268028482837</v>
      </c>
    </row>
    <row r="30" spans="1:7" x14ac:dyDescent="0.35">
      <c r="A30" t="s">
        <v>24</v>
      </c>
      <c r="B30" s="8"/>
      <c r="C30" s="12">
        <f t="shared" si="1"/>
        <v>0</v>
      </c>
    </row>
    <row r="31" spans="1:7" x14ac:dyDescent="0.35">
      <c r="A31" s="7" t="s">
        <v>5</v>
      </c>
      <c r="B31" s="8"/>
      <c r="C31" s="12">
        <f t="shared" si="1"/>
        <v>0</v>
      </c>
    </row>
    <row r="32" spans="1:7" x14ac:dyDescent="0.35">
      <c r="A32" t="s">
        <v>21</v>
      </c>
      <c r="B32" s="8">
        <f>[1]BTI!$N$21</f>
        <v>143.73177075277152</v>
      </c>
      <c r="C32" s="16">
        <f t="shared" si="1"/>
        <v>1.4373177075277153E-4</v>
      </c>
    </row>
    <row r="33" spans="1:4" x14ac:dyDescent="0.35">
      <c r="A33" t="s">
        <v>22</v>
      </c>
      <c r="B33" s="8">
        <f>[2]Somme!$F$53+[1]BTI!$B$22</f>
        <v>211.7966001975239</v>
      </c>
      <c r="C33" s="16">
        <f t="shared" si="1"/>
        <v>2.1179660019752391E-4</v>
      </c>
      <c r="D33" s="12">
        <v>22.731482949114</v>
      </c>
    </row>
    <row r="34" spans="1:4" x14ac:dyDescent="0.35">
      <c r="A34" t="s">
        <v>23</v>
      </c>
      <c r="B34" s="8">
        <f>[1]BTI!$B$18</f>
        <v>7122.3766532265699</v>
      </c>
      <c r="C34" s="16">
        <f t="shared" si="1"/>
        <v>7.1223766532265698E-3</v>
      </c>
    </row>
    <row r="35" spans="1:4" x14ac:dyDescent="0.35">
      <c r="A35" t="s">
        <v>29</v>
      </c>
      <c r="B35" s="8">
        <f>[1]BTI!$B$21-B32</f>
        <v>112455.07024220149</v>
      </c>
      <c r="C35" s="12">
        <f t="shared" si="1"/>
        <v>0.11245507024220149</v>
      </c>
    </row>
    <row r="36" spans="1:4" x14ac:dyDescent="0.35">
      <c r="A36" t="s">
        <v>24</v>
      </c>
      <c r="B36" s="8"/>
      <c r="C36" s="12">
        <f t="shared" si="1"/>
        <v>0</v>
      </c>
    </row>
    <row r="37" spans="1:4" x14ac:dyDescent="0.35">
      <c r="A37" s="7" t="s">
        <v>6</v>
      </c>
      <c r="B37" s="8"/>
      <c r="C37" s="12">
        <f t="shared" si="1"/>
        <v>0</v>
      </c>
    </row>
    <row r="38" spans="1:4" x14ac:dyDescent="0.35">
      <c r="A38" t="s">
        <v>21</v>
      </c>
      <c r="B38" s="8">
        <f>[1]BTI!$N$11</f>
        <v>776.51613455578365</v>
      </c>
      <c r="C38" s="12">
        <f t="shared" si="1"/>
        <v>7.7651613455578361E-4</v>
      </c>
    </row>
    <row r="39" spans="1:4" x14ac:dyDescent="0.35">
      <c r="A39" t="s">
        <v>22</v>
      </c>
      <c r="B39" s="8">
        <f>[2]Somme!$F$34+[1]BTI!$B$12</f>
        <v>3271.7260629139196</v>
      </c>
      <c r="C39" s="12">
        <f t="shared" si="1"/>
        <v>3.2717260629139197E-3</v>
      </c>
      <c r="D39" s="12">
        <v>443.73611317318483</v>
      </c>
    </row>
    <row r="40" spans="1:4" x14ac:dyDescent="0.35">
      <c r="A40" t="s">
        <v>23</v>
      </c>
      <c r="B40" s="8">
        <f>[1]BTI!$B$8</f>
        <v>63595.349654893071</v>
      </c>
      <c r="C40" s="12">
        <f t="shared" si="1"/>
        <v>6.3595349654893066E-2</v>
      </c>
    </row>
    <row r="41" spans="1:4" x14ac:dyDescent="0.35">
      <c r="A41" t="s">
        <v>29</v>
      </c>
      <c r="B41" s="8">
        <f>[1]BTI!$B$11-B38</f>
        <v>607542.61913237872</v>
      </c>
      <c r="C41" s="12">
        <f t="shared" si="1"/>
        <v>0.60754261913237873</v>
      </c>
    </row>
    <row r="42" spans="1:4" x14ac:dyDescent="0.35">
      <c r="A42" t="s">
        <v>24</v>
      </c>
      <c r="B42" s="8"/>
      <c r="C42" s="12">
        <f t="shared" si="1"/>
        <v>0</v>
      </c>
    </row>
    <row r="43" spans="1:4" x14ac:dyDescent="0.35">
      <c r="A43" s="7" t="s">
        <v>19</v>
      </c>
      <c r="B43" s="8"/>
      <c r="C43" s="12">
        <f t="shared" si="1"/>
        <v>0</v>
      </c>
    </row>
    <row r="44" spans="1:4" x14ac:dyDescent="0.35">
      <c r="A44" t="s">
        <v>21</v>
      </c>
      <c r="B44" s="8">
        <f>[1]BTI!$N$31</f>
        <v>9808.6136152750023</v>
      </c>
      <c r="C44" s="12">
        <f t="shared" si="1"/>
        <v>9.8086136152750018E-3</v>
      </c>
    </row>
    <row r="45" spans="1:4" x14ac:dyDescent="0.35">
      <c r="A45" t="s">
        <v>22</v>
      </c>
      <c r="B45" s="8">
        <f>[2]Somme!$B$34+[1]BTI!$B$32</f>
        <v>16320.4853707687</v>
      </c>
      <c r="C45" s="12">
        <f t="shared" si="1"/>
        <v>1.63204853707687E-2</v>
      </c>
      <c r="D45" s="12">
        <v>1950.6857788624766</v>
      </c>
    </row>
    <row r="46" spans="1:4" x14ac:dyDescent="0.35">
      <c r="A46" t="s">
        <v>23</v>
      </c>
      <c r="B46" s="8">
        <f>[1]BTI!$B$28</f>
        <v>770096.40486592869</v>
      </c>
      <c r="C46" s="12">
        <f t="shared" si="1"/>
        <v>0.77009640486592867</v>
      </c>
    </row>
    <row r="47" spans="1:4" x14ac:dyDescent="0.35">
      <c r="A47" t="s">
        <v>29</v>
      </c>
      <c r="B47" s="8">
        <f>[1]BTI!$B$31-B44</f>
        <v>7674213.7615604028</v>
      </c>
      <c r="C47" s="12">
        <f t="shared" si="1"/>
        <v>7.6742137615604031</v>
      </c>
    </row>
    <row r="48" spans="1:4" x14ac:dyDescent="0.35">
      <c r="A48" t="s">
        <v>24</v>
      </c>
      <c r="C48" s="12">
        <f t="shared" si="1"/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S31"/>
  <sheetViews>
    <sheetView zoomScale="85" zoomScaleNormal="85" workbookViewId="0">
      <selection activeCell="B4" sqref="B4"/>
    </sheetView>
  </sheetViews>
  <sheetFormatPr baseColWidth="10" defaultRowHeight="14.5" x14ac:dyDescent="0.35"/>
  <cols>
    <col min="1" max="1" width="24.54296875" bestFit="1" customWidth="1"/>
    <col min="2" max="2" width="11.453125" style="1"/>
    <col min="8" max="8" width="14.453125" customWidth="1"/>
    <col min="9" max="9" width="14" customWidth="1"/>
    <col min="10" max="10" width="16" customWidth="1"/>
    <col min="11" max="11" width="15.26953125" bestFit="1" customWidth="1"/>
    <col min="12" max="12" width="15.54296875" bestFit="1" customWidth="1"/>
    <col min="13" max="13" width="16.7265625" bestFit="1" customWidth="1"/>
    <col min="14" max="14" width="15.81640625" customWidth="1"/>
    <col min="15" max="15" width="16.54296875" bestFit="1" customWidth="1"/>
    <col min="16" max="16" width="16.453125" bestFit="1" customWidth="1"/>
    <col min="17" max="17" width="12.7265625" bestFit="1" customWidth="1"/>
    <col min="18" max="19" width="16.453125" bestFit="1" customWidth="1"/>
  </cols>
  <sheetData>
    <row r="1" spans="1:19" ht="15" thickBot="1" x14ac:dyDescent="0.4">
      <c r="A1" t="s">
        <v>5</v>
      </c>
      <c r="C1" s="6" t="s">
        <v>7</v>
      </c>
      <c r="D1" s="6" t="s">
        <v>8</v>
      </c>
      <c r="E1" s="6" t="s">
        <v>9</v>
      </c>
      <c r="H1" s="85" t="s">
        <v>10</v>
      </c>
      <c r="I1" s="85" t="s">
        <v>11</v>
      </c>
      <c r="J1" s="85" t="s">
        <v>12</v>
      </c>
      <c r="K1" s="85" t="s">
        <v>13</v>
      </c>
      <c r="L1" s="85" t="s">
        <v>14</v>
      </c>
      <c r="M1" s="85" t="s">
        <v>15</v>
      </c>
      <c r="N1" s="85" t="s">
        <v>27</v>
      </c>
      <c r="O1" s="85" t="s">
        <v>16</v>
      </c>
    </row>
    <row r="2" spans="1:19" ht="15" thickBot="1" x14ac:dyDescent="0.4">
      <c r="A2" t="s">
        <v>0</v>
      </c>
      <c r="B2" s="5">
        <f>+C2*D2</f>
        <v>1.3603820204452799E-6</v>
      </c>
      <c r="C2" s="5">
        <f>+M2/1000000</f>
        <v>5.3499999800000008E-6</v>
      </c>
      <c r="D2" s="4">
        <f>+B19/E2</f>
        <v>0.25427701411791026</v>
      </c>
      <c r="E2" s="3">
        <f>SUM(B19,B26)</f>
        <v>7.9051722019000069E-4</v>
      </c>
      <c r="F2" s="4">
        <f>+$G$2*B2</f>
        <v>1.4057280877934561E-6</v>
      </c>
      <c r="G2">
        <v>1.0333333333333334</v>
      </c>
      <c r="H2" s="94" t="s">
        <v>17</v>
      </c>
      <c r="I2" s="94">
        <f>+I7</f>
        <v>7631.7333242799832</v>
      </c>
      <c r="J2" s="94">
        <f t="shared" ref="J2:N2" si="0">+J7</f>
        <v>105691.33313350001</v>
      </c>
      <c r="K2" s="94">
        <f t="shared" si="0"/>
        <v>94064.566496980042</v>
      </c>
      <c r="L2" s="94">
        <f t="shared" si="0"/>
        <v>14050.966640369999</v>
      </c>
      <c r="M2" s="94">
        <f t="shared" si="0"/>
        <v>5.3499999800000007</v>
      </c>
      <c r="N2" s="94">
        <f t="shared" si="0"/>
        <v>7498.0166541199951</v>
      </c>
      <c r="O2" s="95">
        <f>SUM(I2:N2)</f>
        <v>228941.96624923006</v>
      </c>
    </row>
    <row r="3" spans="1:19" x14ac:dyDescent="0.35">
      <c r="A3" t="s">
        <v>1</v>
      </c>
      <c r="B3" s="5">
        <f>+C3*D3</f>
        <v>1.0616950899979714E-3</v>
      </c>
      <c r="C3" s="1">
        <f>+I2/1000000</f>
        <v>7.631733324279983E-3</v>
      </c>
      <c r="D3" s="4">
        <f>+B20/E3</f>
        <v>0.13911585283257225</v>
      </c>
      <c r="E3" s="3">
        <f>SUM(B20,B27)</f>
        <v>1.9278572757644941E-2</v>
      </c>
      <c r="F3" s="4">
        <f t="shared" ref="F3:F14" si="1">+$G$2*B3</f>
        <v>1.0970849263312373E-3</v>
      </c>
      <c r="I3" s="11"/>
      <c r="J3" s="11"/>
      <c r="K3" s="11"/>
      <c r="L3" s="11"/>
      <c r="M3" s="11"/>
      <c r="N3" s="11"/>
      <c r="P3" s="10"/>
    </row>
    <row r="4" spans="1:19" x14ac:dyDescent="0.35">
      <c r="A4" t="s">
        <v>2</v>
      </c>
      <c r="B4" s="5">
        <f>+C4*D4</f>
        <v>1.0367177785880213E-2</v>
      </c>
      <c r="C4" s="1">
        <f>SUM(J2,L2)/1000000</f>
        <v>0.11974229977387001</v>
      </c>
      <c r="D4" s="4">
        <f t="shared" ref="D4:D7" si="2">+B21/E4</f>
        <v>8.6579076946562236E-2</v>
      </c>
      <c r="E4" s="3">
        <f t="shared" ref="E4:E7" si="3">SUM(B21,B28)</f>
        <v>0.18019304521357707</v>
      </c>
      <c r="F4" s="4">
        <f t="shared" si="1"/>
        <v>1.0712750378742888E-2</v>
      </c>
      <c r="J4" s="3"/>
      <c r="K4" s="3"/>
      <c r="L4" s="3"/>
      <c r="M4" s="3"/>
      <c r="N4" s="3"/>
      <c r="O4" s="3"/>
      <c r="P4" s="10"/>
    </row>
    <row r="5" spans="1:19" x14ac:dyDescent="0.35">
      <c r="A5" t="s">
        <v>3</v>
      </c>
      <c r="B5" s="5">
        <f t="shared" ref="B5:B7" si="4">+C5*D5</f>
        <v>1.1887480116110027E-2</v>
      </c>
      <c r="C5" s="1">
        <f>+K2/1000000</f>
        <v>9.4064566496980043E-2</v>
      </c>
      <c r="D5" s="4">
        <f t="shared" si="2"/>
        <v>0.1263757497515462</v>
      </c>
      <c r="E5" s="3">
        <f t="shared" si="3"/>
        <v>0.16507594692781821</v>
      </c>
      <c r="F5" s="4">
        <f t="shared" si="1"/>
        <v>1.2283729453313696E-2</v>
      </c>
      <c r="H5" s="22" t="s">
        <v>10</v>
      </c>
      <c r="I5" s="23" t="s">
        <v>11</v>
      </c>
      <c r="J5" s="23" t="s">
        <v>12</v>
      </c>
      <c r="K5" s="23" t="s">
        <v>13</v>
      </c>
      <c r="L5" s="23" t="s">
        <v>14</v>
      </c>
      <c r="M5" s="23" t="s">
        <v>15</v>
      </c>
      <c r="N5" s="23" t="s">
        <v>27</v>
      </c>
      <c r="O5" s="22" t="s">
        <v>16</v>
      </c>
      <c r="P5" s="10"/>
    </row>
    <row r="6" spans="1:19" x14ac:dyDescent="0.35">
      <c r="A6" t="s">
        <v>28</v>
      </c>
      <c r="B6" s="5">
        <f>+C6*D4</f>
        <v>6.4917136084366011E-4</v>
      </c>
      <c r="C6" s="1">
        <f>+N2/1000000</f>
        <v>7.4980166541199949E-3</v>
      </c>
      <c r="D6" s="4" t="e">
        <f t="shared" si="2"/>
        <v>#DIV/0!</v>
      </c>
      <c r="E6" s="3">
        <f t="shared" si="3"/>
        <v>0</v>
      </c>
      <c r="F6" s="4">
        <f t="shared" si="1"/>
        <v>6.7081040620511553E-4</v>
      </c>
      <c r="H6" s="24" t="s">
        <v>26</v>
      </c>
      <c r="I6" s="25">
        <v>2164.3833306000029</v>
      </c>
      <c r="J6" s="25">
        <v>61819.233187700083</v>
      </c>
      <c r="K6" s="25">
        <v>27479.466596680009</v>
      </c>
      <c r="L6" s="25">
        <v>10793.449971789983</v>
      </c>
      <c r="M6" s="25">
        <v>181.81666611999984</v>
      </c>
      <c r="N6" s="25">
        <v>6363.1333178500108</v>
      </c>
      <c r="O6" s="25">
        <v>108957.36640352008</v>
      </c>
      <c r="P6" s="10"/>
    </row>
    <row r="7" spans="1:19" ht="15" thickBot="1" x14ac:dyDescent="0.4">
      <c r="A7" t="s">
        <v>4</v>
      </c>
      <c r="B7" s="5" t="e">
        <f t="shared" si="4"/>
        <v>#DIV/0!</v>
      </c>
      <c r="C7" s="1">
        <v>0</v>
      </c>
      <c r="D7" s="4" t="e">
        <f t="shared" si="2"/>
        <v>#DIV/0!</v>
      </c>
      <c r="E7" s="3">
        <f t="shared" si="3"/>
        <v>0</v>
      </c>
      <c r="F7" s="4" t="e">
        <f t="shared" si="1"/>
        <v>#DIV/0!</v>
      </c>
      <c r="H7" s="26" t="s">
        <v>17</v>
      </c>
      <c r="I7" s="27">
        <v>7631.7333242799832</v>
      </c>
      <c r="J7" s="27">
        <v>105691.33313350001</v>
      </c>
      <c r="K7" s="27">
        <v>94064.566496980042</v>
      </c>
      <c r="L7" s="27">
        <v>14050.966640369999</v>
      </c>
      <c r="M7" s="27">
        <v>5.3499999800000007</v>
      </c>
      <c r="N7" s="27">
        <v>7498.0166541199951</v>
      </c>
      <c r="O7" s="27">
        <v>228941.96624923006</v>
      </c>
      <c r="P7" s="10"/>
    </row>
    <row r="8" spans="1:19" ht="15" thickTop="1" x14ac:dyDescent="0.35">
      <c r="A8" t="s">
        <v>6</v>
      </c>
      <c r="C8" s="2">
        <f>SUM(C2:C7)</f>
        <v>0.22894196624923005</v>
      </c>
      <c r="F8" s="4">
        <f t="shared" si="1"/>
        <v>0</v>
      </c>
      <c r="H8" s="28" t="s">
        <v>16</v>
      </c>
      <c r="I8" s="29">
        <v>9796.1166548799865</v>
      </c>
      <c r="J8" s="29">
        <v>167510.56632120011</v>
      </c>
      <c r="K8" s="29">
        <v>121544.03309366005</v>
      </c>
      <c r="L8" s="29">
        <v>24844.416612159985</v>
      </c>
      <c r="M8" s="29">
        <v>187.16666609999984</v>
      </c>
      <c r="N8" s="29">
        <v>13861.149971970006</v>
      </c>
      <c r="O8" s="29">
        <v>337899.33265275013</v>
      </c>
      <c r="P8" s="10"/>
    </row>
    <row r="9" spans="1:19" x14ac:dyDescent="0.35">
      <c r="A9" t="s">
        <v>0</v>
      </c>
      <c r="B9" s="5">
        <f>C2-B2</f>
        <v>3.9896179595547214E-6</v>
      </c>
      <c r="C9" s="2"/>
      <c r="F9" s="4">
        <f t="shared" si="1"/>
        <v>4.1226052248732126E-6</v>
      </c>
      <c r="H9" s="11"/>
      <c r="I9" s="15"/>
      <c r="J9" s="15"/>
      <c r="K9" s="15"/>
      <c r="L9" s="15"/>
      <c r="M9" s="15"/>
      <c r="N9" s="15"/>
      <c r="O9" s="15"/>
      <c r="P9" s="15"/>
    </row>
    <row r="10" spans="1:19" x14ac:dyDescent="0.35">
      <c r="A10" t="s">
        <v>1</v>
      </c>
      <c r="B10" s="5">
        <f t="shared" ref="B10:B14" si="5">C3-B3</f>
        <v>6.5700382342820116E-3</v>
      </c>
      <c r="C10" s="2"/>
      <c r="F10" s="4">
        <f t="shared" si="1"/>
        <v>6.7890395087580793E-3</v>
      </c>
      <c r="H10" s="11"/>
      <c r="I10" s="1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x14ac:dyDescent="0.35">
      <c r="A11" t="s">
        <v>2</v>
      </c>
      <c r="B11" s="5">
        <f t="shared" si="5"/>
        <v>0.10937512198798979</v>
      </c>
      <c r="C11" s="2"/>
      <c r="F11" s="4">
        <f t="shared" si="1"/>
        <v>0.11302095938758946</v>
      </c>
      <c r="H11" s="11"/>
      <c r="I11" s="22" t="s">
        <v>10</v>
      </c>
      <c r="J11" s="23" t="s">
        <v>12</v>
      </c>
      <c r="K11" s="23" t="s">
        <v>13</v>
      </c>
      <c r="L11" s="23" t="s">
        <v>40</v>
      </c>
      <c r="M11" s="23" t="s">
        <v>14</v>
      </c>
      <c r="N11" s="22" t="s">
        <v>16</v>
      </c>
      <c r="O11" s="15"/>
      <c r="P11" s="15"/>
      <c r="Q11" s="15"/>
      <c r="R11" s="10"/>
      <c r="S11" s="10"/>
    </row>
    <row r="12" spans="1:19" x14ac:dyDescent="0.35">
      <c r="A12" t="s">
        <v>3</v>
      </c>
      <c r="B12" s="5">
        <f t="shared" si="5"/>
        <v>8.2177086380870012E-2</v>
      </c>
      <c r="C12" s="2"/>
      <c r="F12" s="4">
        <f t="shared" si="1"/>
        <v>8.4916322593565685E-2</v>
      </c>
      <c r="H12">
        <f>+B4/30*31</f>
        <v>1.0712750378742886E-2</v>
      </c>
      <c r="I12" s="24" t="s">
        <v>26</v>
      </c>
      <c r="J12" s="25">
        <v>112635.08310323994</v>
      </c>
      <c r="K12" s="25">
        <v>2537.3499907300015</v>
      </c>
      <c r="L12" s="25">
        <v>76.849999870000005</v>
      </c>
      <c r="M12" s="25">
        <v>1009.7333305900006</v>
      </c>
      <c r="N12" s="25">
        <v>116259.01642442994</v>
      </c>
      <c r="O12" s="15"/>
      <c r="P12" s="15"/>
      <c r="Q12" s="15"/>
      <c r="R12" s="10"/>
      <c r="S12" s="10"/>
    </row>
    <row r="13" spans="1:19" ht="15" thickBot="1" x14ac:dyDescent="0.4">
      <c r="A13" t="s">
        <v>28</v>
      </c>
      <c r="B13" s="5">
        <f t="shared" si="5"/>
        <v>6.8488452932763347E-3</v>
      </c>
      <c r="C13" s="2"/>
      <c r="F13" s="4">
        <f t="shared" si="1"/>
        <v>7.0771401363855469E-3</v>
      </c>
      <c r="H13">
        <f>+B5/30*31</f>
        <v>1.2283729453313694E-2</v>
      </c>
      <c r="I13" s="26" t="s">
        <v>17</v>
      </c>
      <c r="J13" s="97">
        <v>51587.516543229969</v>
      </c>
      <c r="K13" s="97">
        <v>1035.16666235</v>
      </c>
      <c r="L13" s="97">
        <v>30.616666599999999</v>
      </c>
      <c r="M13" s="97">
        <v>540.43333182000003</v>
      </c>
      <c r="N13" s="97">
        <v>53193.733203999967</v>
      </c>
      <c r="O13" s="15"/>
      <c r="P13" s="15"/>
      <c r="Q13" s="15"/>
      <c r="R13" s="10"/>
      <c r="S13" s="15"/>
    </row>
    <row r="14" spans="1:19" ht="15" thickTop="1" x14ac:dyDescent="0.35">
      <c r="A14" t="s">
        <v>4</v>
      </c>
      <c r="B14" s="5" t="e">
        <f t="shared" si="5"/>
        <v>#DIV/0!</v>
      </c>
      <c r="C14" s="2"/>
      <c r="F14" s="4" t="e">
        <f t="shared" si="1"/>
        <v>#DIV/0!</v>
      </c>
      <c r="H14">
        <f t="shared" ref="H14" si="6">+B6/30*31</f>
        <v>6.7081040620511543E-4</v>
      </c>
      <c r="I14" s="28" t="s">
        <v>16</v>
      </c>
      <c r="J14" s="98">
        <v>164222.59964646993</v>
      </c>
      <c r="K14" s="98">
        <v>3572.5166530800016</v>
      </c>
      <c r="L14" s="98">
        <v>107.46666647000001</v>
      </c>
      <c r="M14" s="98">
        <v>1550.1666624100008</v>
      </c>
      <c r="N14" s="98">
        <v>169452.74962842991</v>
      </c>
      <c r="O14" s="15"/>
      <c r="P14" s="15"/>
      <c r="Q14" s="15"/>
      <c r="R14" s="10"/>
      <c r="S14" s="15"/>
    </row>
    <row r="15" spans="1:19" x14ac:dyDescent="0.35">
      <c r="C15" s="2"/>
      <c r="H15" t="e">
        <f t="shared" ref="H15:H16" si="7">+B7/30*31</f>
        <v>#DIV/0!</v>
      </c>
      <c r="J15" s="15"/>
      <c r="K15" s="15"/>
      <c r="L15" s="15"/>
      <c r="M15" s="15"/>
      <c r="N15" s="15"/>
      <c r="O15" s="15"/>
      <c r="P15" s="15"/>
      <c r="Q15" s="15"/>
      <c r="R15" s="10"/>
      <c r="S15" s="15"/>
    </row>
    <row r="16" spans="1:19" x14ac:dyDescent="0.35">
      <c r="H16">
        <f t="shared" si="7"/>
        <v>0</v>
      </c>
      <c r="J16" s="15"/>
      <c r="K16" s="15"/>
      <c r="L16" s="15"/>
      <c r="M16" s="15"/>
      <c r="N16" s="15"/>
      <c r="O16" s="15"/>
      <c r="P16" s="15"/>
      <c r="Q16" s="15"/>
      <c r="R16" s="10"/>
      <c r="S16" s="15"/>
    </row>
    <row r="17" spans="1:19" x14ac:dyDescent="0.35">
      <c r="H17">
        <f>+B9/30*31</f>
        <v>4.1226052248732126E-6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35">
      <c r="A18" t="s">
        <v>5</v>
      </c>
      <c r="H18">
        <f>+B10/30*31</f>
        <v>6.7890395087580793E-3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x14ac:dyDescent="0.35">
      <c r="A19" t="s">
        <v>0</v>
      </c>
      <c r="B19" s="1">
        <v>2.0101035835870399E-4</v>
      </c>
      <c r="H19">
        <f>+B11/30*31</f>
        <v>0.11302095938758945</v>
      </c>
    </row>
    <row r="20" spans="1:19" x14ac:dyDescent="0.35">
      <c r="A20" t="s">
        <v>1</v>
      </c>
      <c r="B20" s="1">
        <v>2.6819550905745702E-3</v>
      </c>
      <c r="H20">
        <f>+B12/30*31</f>
        <v>8.4916322593565671E-2</v>
      </c>
    </row>
    <row r="21" spans="1:19" x14ac:dyDescent="0.35">
      <c r="A21" t="s">
        <v>2</v>
      </c>
      <c r="B21" s="1">
        <v>1.5600947526781657E-2</v>
      </c>
    </row>
    <row r="22" spans="1:19" x14ac:dyDescent="0.35">
      <c r="A22" t="s">
        <v>3</v>
      </c>
      <c r="B22" s="1">
        <v>2.0861596558949477E-2</v>
      </c>
      <c r="H22" s="11"/>
      <c r="I22" s="11"/>
    </row>
    <row r="23" spans="1:19" x14ac:dyDescent="0.35">
      <c r="A23" t="s">
        <v>28</v>
      </c>
      <c r="B23" s="1">
        <v>0</v>
      </c>
      <c r="H23" s="11"/>
      <c r="I23" s="11"/>
    </row>
    <row r="24" spans="1:19" x14ac:dyDescent="0.35">
      <c r="A24" t="s">
        <v>4</v>
      </c>
      <c r="B24" s="1">
        <v>0</v>
      </c>
    </row>
    <row r="25" spans="1:19" x14ac:dyDescent="0.35">
      <c r="A25" t="s">
        <v>6</v>
      </c>
    </row>
    <row r="26" spans="1:19" x14ac:dyDescent="0.35">
      <c r="A26" t="s">
        <v>0</v>
      </c>
      <c r="B26" s="1">
        <v>5.8950686183129671E-4</v>
      </c>
    </row>
    <row r="27" spans="1:19" x14ac:dyDescent="0.35">
      <c r="A27" t="s">
        <v>1</v>
      </c>
      <c r="B27" s="1">
        <v>1.6596617667070372E-2</v>
      </c>
    </row>
    <row r="28" spans="1:19" x14ac:dyDescent="0.35">
      <c r="A28" t="s">
        <v>2</v>
      </c>
      <c r="B28" s="1">
        <v>0.16459209768679542</v>
      </c>
    </row>
    <row r="29" spans="1:19" x14ac:dyDescent="0.35">
      <c r="A29" t="s">
        <v>3</v>
      </c>
      <c r="B29" s="1">
        <v>0.14421435036886873</v>
      </c>
    </row>
    <row r="30" spans="1:19" x14ac:dyDescent="0.35">
      <c r="A30" t="s">
        <v>28</v>
      </c>
      <c r="B30" s="1">
        <v>0</v>
      </c>
    </row>
    <row r="31" spans="1:19" x14ac:dyDescent="0.35">
      <c r="A31" t="s">
        <v>4</v>
      </c>
      <c r="B3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topLeftCell="A64" workbookViewId="0">
      <selection activeCell="F72" sqref="F72"/>
    </sheetView>
  </sheetViews>
  <sheetFormatPr baseColWidth="10" defaultRowHeight="14.5" x14ac:dyDescent="0.35"/>
  <cols>
    <col min="1" max="1" width="34.54296875" customWidth="1"/>
    <col min="2" max="2" width="20.453125" style="30" hidden="1" customWidth="1"/>
    <col min="3" max="3" width="16.453125" style="11" hidden="1" customWidth="1"/>
    <col min="4" max="4" width="20.453125" style="30" customWidth="1"/>
  </cols>
  <sheetData>
    <row r="1" spans="1:4" ht="15.5" x14ac:dyDescent="0.35">
      <c r="A1" s="67" t="s">
        <v>34</v>
      </c>
      <c r="B1" s="49" t="s">
        <v>35</v>
      </c>
      <c r="C1" s="31" t="s">
        <v>36</v>
      </c>
      <c r="D1" s="96" t="s">
        <v>37</v>
      </c>
    </row>
    <row r="2" spans="1:4" x14ac:dyDescent="0.35">
      <c r="A2" s="68" t="s">
        <v>30</v>
      </c>
      <c r="B2" s="50">
        <f>+B4+B13</f>
        <v>155.92179344560711</v>
      </c>
      <c r="C2" s="32">
        <f>B2*10^6</f>
        <v>155921793.4456071</v>
      </c>
      <c r="D2" s="50">
        <f>+D4+D13</f>
        <v>110.48895425101962</v>
      </c>
    </row>
    <row r="3" spans="1:4" x14ac:dyDescent="0.35">
      <c r="A3" s="69"/>
      <c r="B3" s="51"/>
      <c r="C3" s="33">
        <f t="shared" ref="C3:C66" si="0">B3*10^6</f>
        <v>0</v>
      </c>
      <c r="D3" s="51"/>
    </row>
    <row r="4" spans="1:4" x14ac:dyDescent="0.35">
      <c r="A4" s="70" t="s">
        <v>20</v>
      </c>
      <c r="B4" s="52">
        <f>SUM(B5:B11)</f>
        <v>145.00683982477935</v>
      </c>
      <c r="C4" s="34">
        <f t="shared" si="0"/>
        <v>145006839.82477936</v>
      </c>
      <c r="D4" s="52">
        <f>SUM(D5:D11)</f>
        <v>101.45610843325032</v>
      </c>
    </row>
    <row r="5" spans="1:4" x14ac:dyDescent="0.35">
      <c r="A5" s="71" t="s">
        <v>0</v>
      </c>
      <c r="B5" s="53">
        <v>3.1407181644000026E-2</v>
      </c>
      <c r="C5" s="35">
        <f t="shared" si="0"/>
        <v>31407.181644000026</v>
      </c>
      <c r="D5" s="53">
        <f>Feuil2!C6</f>
        <v>2.5592098082000022E-2</v>
      </c>
    </row>
    <row r="6" spans="1:4" x14ac:dyDescent="0.35">
      <c r="A6" s="72" t="s">
        <v>1</v>
      </c>
      <c r="B6" s="53">
        <v>1.641086535854001</v>
      </c>
      <c r="C6" s="35">
        <f t="shared" si="0"/>
        <v>1641086.5358540011</v>
      </c>
      <c r="D6" s="53">
        <f>Feuil2!C7</f>
        <v>1.2854263214330035</v>
      </c>
    </row>
    <row r="7" spans="1:4" x14ac:dyDescent="0.35">
      <c r="A7" s="72" t="s">
        <v>2</v>
      </c>
      <c r="B7" s="53">
        <v>71.901199592834274</v>
      </c>
      <c r="C7" s="35">
        <f t="shared" si="0"/>
        <v>71901199.592834279</v>
      </c>
      <c r="D7" s="53">
        <f>Feuil2!C8</f>
        <v>44.153131988949234</v>
      </c>
    </row>
    <row r="8" spans="1:4" x14ac:dyDescent="0.35">
      <c r="A8" s="72" t="s">
        <v>3</v>
      </c>
      <c r="B8" s="53">
        <v>67.215836889689086</v>
      </c>
      <c r="C8" s="35">
        <f t="shared" si="0"/>
        <v>67215836.889689088</v>
      </c>
      <c r="D8" s="53">
        <f>Feuil2!C9</f>
        <v>35.646578107182037</v>
      </c>
    </row>
    <row r="9" spans="1:4" x14ac:dyDescent="0.35">
      <c r="A9" s="72" t="s">
        <v>28</v>
      </c>
      <c r="B9" s="53">
        <v>4.2173096247579824</v>
      </c>
      <c r="C9" s="35">
        <f t="shared" si="0"/>
        <v>4217309.6247579828</v>
      </c>
      <c r="D9" s="53">
        <f>Feuil2!C10</f>
        <v>20.345379917604049</v>
      </c>
    </row>
    <row r="10" spans="1:4" x14ac:dyDescent="0.35">
      <c r="A10" s="72" t="s">
        <v>4</v>
      </c>
      <c r="B10" s="53"/>
      <c r="C10" s="35">
        <f t="shared" si="0"/>
        <v>0</v>
      </c>
      <c r="D10" s="53"/>
    </row>
    <row r="11" spans="1:4" x14ac:dyDescent="0.35">
      <c r="A11" s="73" t="s">
        <v>18</v>
      </c>
      <c r="B11" s="54"/>
      <c r="C11" s="36">
        <f t="shared" si="0"/>
        <v>0</v>
      </c>
      <c r="D11" s="53"/>
    </row>
    <row r="12" spans="1:4" x14ac:dyDescent="0.35">
      <c r="A12" s="74"/>
      <c r="B12" s="55"/>
      <c r="C12" s="37">
        <f t="shared" si="0"/>
        <v>0</v>
      </c>
      <c r="D12" s="55"/>
    </row>
    <row r="13" spans="1:4" x14ac:dyDescent="0.35">
      <c r="A13" s="70" t="s">
        <v>31</v>
      </c>
      <c r="B13" s="52">
        <f>+B22+B31+B40</f>
        <v>10.914953620827758</v>
      </c>
      <c r="C13" s="34">
        <f t="shared" si="0"/>
        <v>10914953.620827759</v>
      </c>
      <c r="D13" s="52">
        <f>+D22+D31+D40</f>
        <v>9.0328458177692994</v>
      </c>
    </row>
    <row r="14" spans="1:4" x14ac:dyDescent="0.35">
      <c r="A14" s="75" t="s">
        <v>0</v>
      </c>
      <c r="B14" s="56">
        <f t="shared" ref="B14:D14" si="1">+B23+B32+B41</f>
        <v>4.3822660191300544E-3</v>
      </c>
      <c r="C14" s="38">
        <f t="shared" si="0"/>
        <v>4382.2660191300547</v>
      </c>
      <c r="D14" s="56">
        <f t="shared" si="1"/>
        <v>3.6099826719800561E-3</v>
      </c>
    </row>
    <row r="15" spans="1:4" x14ac:dyDescent="0.35">
      <c r="A15" s="75" t="s">
        <v>1</v>
      </c>
      <c r="B15" s="56">
        <f>+B24+B33+B42</f>
        <v>3.9062812952416218E-2</v>
      </c>
      <c r="C15" s="38">
        <f t="shared" si="0"/>
        <v>39062.812952416214</v>
      </c>
      <c r="D15" s="56">
        <f>+D24+D33+D42</f>
        <v>3.0667230447284661E-2</v>
      </c>
    </row>
    <row r="16" spans="1:4" x14ac:dyDescent="0.35">
      <c r="A16" s="75" t="s">
        <v>2</v>
      </c>
      <c r="B16" s="56">
        <f t="shared" ref="B16:D20" si="2">+B25+B34+B43</f>
        <v>8.0845899909094445</v>
      </c>
      <c r="C16" s="38">
        <f t="shared" si="0"/>
        <v>8084589.9909094442</v>
      </c>
      <c r="D16" s="56">
        <f t="shared" si="2"/>
        <v>6.3618157148689125</v>
      </c>
    </row>
    <row r="17" spans="1:4" x14ac:dyDescent="0.35">
      <c r="A17" s="75" t="s">
        <v>3</v>
      </c>
      <c r="B17" s="56">
        <f t="shared" si="2"/>
        <v>2.6658573261693665</v>
      </c>
      <c r="C17" s="38">
        <f t="shared" si="0"/>
        <v>2665857.3261693665</v>
      </c>
      <c r="D17" s="56">
        <f t="shared" si="2"/>
        <v>2.0346812947120276</v>
      </c>
    </row>
    <row r="18" spans="1:4" x14ac:dyDescent="0.35">
      <c r="A18" s="75" t="s">
        <v>28</v>
      </c>
      <c r="B18" s="56">
        <f t="shared" si="2"/>
        <v>0.12106122477739818</v>
      </c>
      <c r="C18" s="38">
        <f t="shared" si="0"/>
        <v>121061.22477739818</v>
      </c>
      <c r="D18" s="56">
        <f t="shared" si="2"/>
        <v>0.60207159506909325</v>
      </c>
    </row>
    <row r="19" spans="1:4" x14ac:dyDescent="0.35">
      <c r="A19" s="75" t="s">
        <v>4</v>
      </c>
      <c r="B19" s="56">
        <f t="shared" si="2"/>
        <v>0</v>
      </c>
      <c r="C19" s="38">
        <f t="shared" si="0"/>
        <v>0</v>
      </c>
      <c r="D19" s="56">
        <f t="shared" si="2"/>
        <v>0</v>
      </c>
    </row>
    <row r="20" spans="1:4" x14ac:dyDescent="0.35">
      <c r="A20" s="75" t="s">
        <v>18</v>
      </c>
      <c r="B20" s="56">
        <f t="shared" si="2"/>
        <v>0</v>
      </c>
      <c r="C20" s="38">
        <f t="shared" si="0"/>
        <v>0</v>
      </c>
      <c r="D20" s="56">
        <f t="shared" si="2"/>
        <v>0</v>
      </c>
    </row>
    <row r="21" spans="1:4" x14ac:dyDescent="0.35">
      <c r="A21" s="76"/>
      <c r="B21" s="57"/>
      <c r="C21" s="39">
        <f t="shared" si="0"/>
        <v>0</v>
      </c>
      <c r="D21" s="57"/>
    </row>
    <row r="22" spans="1:4" x14ac:dyDescent="0.35">
      <c r="A22" s="70" t="s">
        <v>5</v>
      </c>
      <c r="B22" s="52">
        <f>SUM(B23:B29)</f>
        <v>2.7358749934340842E-2</v>
      </c>
      <c r="C22" s="34">
        <f t="shared" si="0"/>
        <v>27358.749934340842</v>
      </c>
      <c r="D22" s="52">
        <f>SUM(D23:D29)</f>
        <v>2.3966884734852315E-2</v>
      </c>
    </row>
    <row r="23" spans="1:4" x14ac:dyDescent="0.35">
      <c r="A23" s="77" t="s">
        <v>0</v>
      </c>
      <c r="B23" s="58">
        <v>1.7114538191155581E-4</v>
      </c>
      <c r="C23" s="40">
        <f t="shared" si="0"/>
        <v>171.1453819115558</v>
      </c>
      <c r="D23" s="58">
        <f>Feuil1!B2</f>
        <v>1.3603820204452799E-6</v>
      </c>
    </row>
    <row r="24" spans="1:4" x14ac:dyDescent="0.35">
      <c r="A24" s="77" t="s">
        <v>1</v>
      </c>
      <c r="B24" s="58">
        <v>1.5170514177342029E-3</v>
      </c>
      <c r="C24" s="40">
        <f t="shared" si="0"/>
        <v>1517.0514177342029</v>
      </c>
      <c r="D24" s="58">
        <f>Feuil1!B3</f>
        <v>1.0616950899979714E-3</v>
      </c>
    </row>
    <row r="25" spans="1:4" x14ac:dyDescent="0.35">
      <c r="A25" s="77" t="s">
        <v>2</v>
      </c>
      <c r="B25" s="58">
        <v>1.088981526767779E-2</v>
      </c>
      <c r="C25" s="40">
        <f t="shared" si="0"/>
        <v>10889.81526767779</v>
      </c>
      <c r="D25" s="58">
        <f>Feuil1!B4</f>
        <v>1.0367177785880213E-2</v>
      </c>
    </row>
    <row r="26" spans="1:4" x14ac:dyDescent="0.35">
      <c r="A26" s="77" t="s">
        <v>3</v>
      </c>
      <c r="B26" s="58">
        <v>1.4433597615557132E-2</v>
      </c>
      <c r="C26" s="40">
        <f t="shared" si="0"/>
        <v>14433.597615557132</v>
      </c>
      <c r="D26" s="58">
        <f>Feuil1!B5</f>
        <v>1.1887480116110027E-2</v>
      </c>
    </row>
    <row r="27" spans="1:4" x14ac:dyDescent="0.35">
      <c r="A27" s="77" t="s">
        <v>28</v>
      </c>
      <c r="B27" s="58">
        <v>3.471402514601613E-4</v>
      </c>
      <c r="C27" s="40">
        <f t="shared" si="0"/>
        <v>347.14025146016132</v>
      </c>
      <c r="D27" s="58">
        <f>Feuil1!B6</f>
        <v>6.4917136084366011E-4</v>
      </c>
    </row>
    <row r="28" spans="1:4" x14ac:dyDescent="0.35">
      <c r="A28" s="77" t="s">
        <v>4</v>
      </c>
      <c r="B28" s="58"/>
      <c r="C28" s="40">
        <f t="shared" si="0"/>
        <v>0</v>
      </c>
      <c r="D28" s="58"/>
    </row>
    <row r="29" spans="1:4" x14ac:dyDescent="0.35">
      <c r="A29" s="77" t="s">
        <v>18</v>
      </c>
      <c r="B29" s="58"/>
      <c r="C29" s="40">
        <f t="shared" si="0"/>
        <v>0</v>
      </c>
      <c r="D29" s="58"/>
    </row>
    <row r="30" spans="1:4" x14ac:dyDescent="0.35">
      <c r="A30" s="77"/>
      <c r="B30" s="59"/>
      <c r="C30" s="41">
        <f t="shared" si="0"/>
        <v>0</v>
      </c>
      <c r="D30" s="59"/>
    </row>
    <row r="31" spans="1:4" x14ac:dyDescent="0.35">
      <c r="A31" s="70" t="s">
        <v>6</v>
      </c>
      <c r="B31" s="52">
        <f>SUM(B32:B38)</f>
        <v>0.22821938291178906</v>
      </c>
      <c r="C31" s="34">
        <f t="shared" si="0"/>
        <v>228219.38291178906</v>
      </c>
      <c r="D31" s="52">
        <f>SUM(D32:D38)</f>
        <v>0.20497508151437771</v>
      </c>
    </row>
    <row r="32" spans="1:4" x14ac:dyDescent="0.35">
      <c r="A32" s="77" t="s">
        <v>0</v>
      </c>
      <c r="B32" s="58">
        <v>5.0192128321844426E-4</v>
      </c>
      <c r="C32" s="40">
        <f t="shared" si="0"/>
        <v>501.92128321844427</v>
      </c>
      <c r="D32" s="58">
        <f>Feuil1!B9</f>
        <v>3.9896179595547214E-6</v>
      </c>
    </row>
    <row r="33" spans="1:4" x14ac:dyDescent="0.35">
      <c r="A33" s="77" t="s">
        <v>1</v>
      </c>
      <c r="B33" s="58">
        <v>9.3878985706757744E-3</v>
      </c>
      <c r="C33" s="40">
        <f t="shared" si="0"/>
        <v>9387.898570675774</v>
      </c>
      <c r="D33" s="58">
        <f>Feuil1!B10</f>
        <v>6.5700382342820116E-3</v>
      </c>
    </row>
    <row r="34" spans="1:4" x14ac:dyDescent="0.35">
      <c r="A34" s="77" t="s">
        <v>2</v>
      </c>
      <c r="B34" s="58">
        <v>0.11488901781458213</v>
      </c>
      <c r="C34" s="40">
        <f t="shared" si="0"/>
        <v>114889.01781458214</v>
      </c>
      <c r="D34" s="58">
        <f>Feuil1!B11</f>
        <v>0.10937512198798979</v>
      </c>
    </row>
    <row r="35" spans="1:4" x14ac:dyDescent="0.35">
      <c r="A35" s="77" t="s">
        <v>3</v>
      </c>
      <c r="B35" s="58">
        <v>9.9778168834362885E-2</v>
      </c>
      <c r="C35" s="40">
        <f t="shared" si="0"/>
        <v>99778.168834362878</v>
      </c>
      <c r="D35" s="58">
        <f>Feuil1!B12</f>
        <v>8.2177086380870012E-2</v>
      </c>
    </row>
    <row r="36" spans="1:4" x14ac:dyDescent="0.35">
      <c r="A36" s="77" t="s">
        <v>28</v>
      </c>
      <c r="B36" s="58">
        <v>3.6623764089498459E-3</v>
      </c>
      <c r="C36" s="40">
        <f t="shared" si="0"/>
        <v>3662.3764089498459</v>
      </c>
      <c r="D36" s="58">
        <f>Feuil1!B13</f>
        <v>6.8488452932763347E-3</v>
      </c>
    </row>
    <row r="37" spans="1:4" x14ac:dyDescent="0.35">
      <c r="A37" s="77" t="s">
        <v>4</v>
      </c>
      <c r="B37" s="58"/>
      <c r="C37" s="40">
        <f t="shared" si="0"/>
        <v>0</v>
      </c>
      <c r="D37" s="58"/>
    </row>
    <row r="38" spans="1:4" x14ac:dyDescent="0.35">
      <c r="A38" s="77" t="s">
        <v>18</v>
      </c>
      <c r="B38" s="58"/>
      <c r="C38" s="40">
        <f t="shared" si="0"/>
        <v>0</v>
      </c>
      <c r="D38" s="58"/>
    </row>
    <row r="39" spans="1:4" x14ac:dyDescent="0.35">
      <c r="A39" s="77"/>
      <c r="B39" s="58"/>
      <c r="C39" s="40">
        <f t="shared" si="0"/>
        <v>0</v>
      </c>
      <c r="D39" s="58"/>
    </row>
    <row r="40" spans="1:4" x14ac:dyDescent="0.35">
      <c r="A40" s="70" t="s">
        <v>19</v>
      </c>
      <c r="B40" s="52">
        <f>SUM(B41:B47)</f>
        <v>10.659375487981627</v>
      </c>
      <c r="C40" s="34">
        <f t="shared" si="0"/>
        <v>10659375.487981627</v>
      </c>
      <c r="D40" s="52">
        <f>SUM(D41:D47)</f>
        <v>8.8039038515200687</v>
      </c>
    </row>
    <row r="41" spans="1:4" x14ac:dyDescent="0.35">
      <c r="A41" s="77" t="s">
        <v>0</v>
      </c>
      <c r="B41" s="58">
        <v>3.7091993540000548E-3</v>
      </c>
      <c r="C41" s="40">
        <f t="shared" si="0"/>
        <v>3709.1993540000549</v>
      </c>
      <c r="D41" s="58">
        <f>Feuil2!C16</f>
        <v>3.6046326720000563E-3</v>
      </c>
    </row>
    <row r="42" spans="1:4" x14ac:dyDescent="0.35">
      <c r="A42" s="77" t="s">
        <v>1</v>
      </c>
      <c r="B42" s="58">
        <v>2.8157862964006242E-2</v>
      </c>
      <c r="C42" s="40">
        <f t="shared" si="0"/>
        <v>28157.862964006243</v>
      </c>
      <c r="D42" s="58">
        <f>Feuil2!C17</f>
        <v>2.3035497123004678E-2</v>
      </c>
    </row>
    <row r="43" spans="1:4" x14ac:dyDescent="0.35">
      <c r="A43" s="77" t="s">
        <v>2</v>
      </c>
      <c r="B43" s="58">
        <v>7.958811157827185</v>
      </c>
      <c r="C43" s="40">
        <f t="shared" si="0"/>
        <v>7958811.1578271845</v>
      </c>
      <c r="D43" s="58">
        <f>Feuil2!C18</f>
        <v>6.2420734150950423</v>
      </c>
    </row>
    <row r="44" spans="1:4" x14ac:dyDescent="0.35">
      <c r="A44" s="77" t="s">
        <v>3</v>
      </c>
      <c r="B44" s="58">
        <v>2.5516455597194465</v>
      </c>
      <c r="C44" s="40">
        <f t="shared" si="0"/>
        <v>2551645.5597194466</v>
      </c>
      <c r="D44" s="58">
        <f>Feuil2!C19</f>
        <v>1.9406167282150477</v>
      </c>
    </row>
    <row r="45" spans="1:4" x14ac:dyDescent="0.35">
      <c r="A45" s="77" t="s">
        <v>28</v>
      </c>
      <c r="B45" s="58">
        <v>0.11705170811698817</v>
      </c>
      <c r="C45" s="40">
        <f t="shared" si="0"/>
        <v>117051.70811698817</v>
      </c>
      <c r="D45" s="58">
        <f>Feuil2!C20</f>
        <v>0.59457357841497327</v>
      </c>
    </row>
    <row r="46" spans="1:4" x14ac:dyDescent="0.35">
      <c r="A46" s="77" t="s">
        <v>4</v>
      </c>
      <c r="B46" s="58"/>
      <c r="C46" s="40">
        <f t="shared" si="0"/>
        <v>0</v>
      </c>
      <c r="D46" s="58"/>
    </row>
    <row r="47" spans="1:4" x14ac:dyDescent="0.35">
      <c r="A47" s="77" t="s">
        <v>18</v>
      </c>
      <c r="B47" s="58"/>
      <c r="C47" s="40">
        <f t="shared" si="0"/>
        <v>0</v>
      </c>
      <c r="D47" s="58"/>
    </row>
    <row r="48" spans="1:4" x14ac:dyDescent="0.35">
      <c r="A48" s="78"/>
      <c r="B48" s="60"/>
      <c r="C48" s="42">
        <f t="shared" si="0"/>
        <v>0</v>
      </c>
      <c r="D48" s="60"/>
    </row>
    <row r="49" spans="1:4" x14ac:dyDescent="0.35">
      <c r="A49" s="74"/>
      <c r="B49" s="61"/>
      <c r="C49" s="43">
        <f t="shared" si="0"/>
        <v>0</v>
      </c>
      <c r="D49" s="61"/>
    </row>
    <row r="50" spans="1:4" x14ac:dyDescent="0.35">
      <c r="A50" s="68" t="s">
        <v>32</v>
      </c>
      <c r="B50" s="50">
        <f>+B52+B59</f>
        <v>94.279816402056937</v>
      </c>
      <c r="C50" s="32">
        <f t="shared" si="0"/>
        <v>94279816.402056932</v>
      </c>
      <c r="D50" s="50">
        <f>+D52+D59</f>
        <v>133.50983330250295</v>
      </c>
    </row>
    <row r="51" spans="1:4" x14ac:dyDescent="0.35">
      <c r="A51" s="79"/>
      <c r="B51" s="55"/>
      <c r="C51" s="37">
        <f t="shared" si="0"/>
        <v>0</v>
      </c>
      <c r="D51" s="55"/>
    </row>
    <row r="52" spans="1:4" x14ac:dyDescent="0.35">
      <c r="A52" s="80" t="s">
        <v>25</v>
      </c>
      <c r="B52" s="62">
        <f>SUM(B53:B57)</f>
        <v>90.005868218525762</v>
      </c>
      <c r="C52" s="44">
        <f t="shared" si="0"/>
        <v>90005868.218525767</v>
      </c>
      <c r="D52" s="62">
        <f>SUM(D53:D57)</f>
        <v>124.24427485083945</v>
      </c>
    </row>
    <row r="53" spans="1:4" x14ac:dyDescent="0.35">
      <c r="A53" s="81" t="s">
        <v>21</v>
      </c>
      <c r="B53" s="63">
        <v>4.5063688302673294E-2</v>
      </c>
      <c r="C53" s="45">
        <f t="shared" si="0"/>
        <v>45063.68830267329</v>
      </c>
      <c r="D53" s="63">
        <f>Feuil2!C26</f>
        <v>0.11619223847941645</v>
      </c>
    </row>
    <row r="54" spans="1:4" x14ac:dyDescent="0.35">
      <c r="A54" s="77" t="s">
        <v>22</v>
      </c>
      <c r="B54" s="58">
        <v>1.2711738279831868</v>
      </c>
      <c r="C54" s="40">
        <f t="shared" si="0"/>
        <v>1271173.8279831868</v>
      </c>
      <c r="D54" s="58">
        <f>Feuil2!C27</f>
        <v>1.0537604150512352</v>
      </c>
    </row>
    <row r="55" spans="1:4" x14ac:dyDescent="0.35">
      <c r="A55" s="77" t="s">
        <v>23</v>
      </c>
      <c r="B55" s="58">
        <v>59.588167257266228</v>
      </c>
      <c r="C55" s="40">
        <f t="shared" si="0"/>
        <v>59588167.257266231</v>
      </c>
      <c r="D55" s="58">
        <f>Feuil2!C28</f>
        <v>32.166054168825951</v>
      </c>
    </row>
    <row r="56" spans="1:4" x14ac:dyDescent="0.35">
      <c r="A56" s="77" t="s">
        <v>29</v>
      </c>
      <c r="B56" s="58">
        <v>29.101463444973671</v>
      </c>
      <c r="C56" s="40">
        <f t="shared" si="0"/>
        <v>29101463.44497367</v>
      </c>
      <c r="D56" s="58">
        <f>Feuil2!C29</f>
        <v>90.908268028482837</v>
      </c>
    </row>
    <row r="57" spans="1:4" x14ac:dyDescent="0.35">
      <c r="A57" s="82" t="s">
        <v>24</v>
      </c>
      <c r="B57" s="64"/>
      <c r="C57" s="46">
        <f t="shared" si="0"/>
        <v>0</v>
      </c>
      <c r="D57" s="64"/>
    </row>
    <row r="58" spans="1:4" x14ac:dyDescent="0.35">
      <c r="A58" s="74"/>
      <c r="B58" s="55"/>
      <c r="C58" s="37">
        <f t="shared" si="0"/>
        <v>0</v>
      </c>
      <c r="D58" s="55"/>
    </row>
    <row r="59" spans="1:4" x14ac:dyDescent="0.35">
      <c r="A59" s="70" t="s">
        <v>33</v>
      </c>
      <c r="B59" s="52">
        <f>SUM(B60:B65)</f>
        <v>4.273948183531175</v>
      </c>
      <c r="C59" s="34">
        <f t="shared" si="0"/>
        <v>4273948.1835311754</v>
      </c>
      <c r="D59" s="52">
        <f>SUM(D60:D65)</f>
        <v>9.2655584516634963</v>
      </c>
    </row>
    <row r="60" spans="1:4" x14ac:dyDescent="0.35">
      <c r="A60" s="75" t="s">
        <v>21</v>
      </c>
      <c r="B60" s="56">
        <f t="shared" ref="B60:D62" si="3">+B67+B74+B81</f>
        <v>4.16105307663706E-3</v>
      </c>
      <c r="C60" s="38">
        <f t="shared" si="0"/>
        <v>4161.0530766370603</v>
      </c>
      <c r="D60" s="56">
        <f t="shared" si="3"/>
        <v>1.0728861520583556E-2</v>
      </c>
    </row>
    <row r="61" spans="1:4" x14ac:dyDescent="0.35">
      <c r="A61" s="75" t="s">
        <v>22</v>
      </c>
      <c r="B61" s="56">
        <f t="shared" si="3"/>
        <v>2.501798786686673E-2</v>
      </c>
      <c r="C61" s="38">
        <f t="shared" si="0"/>
        <v>25017.98786686673</v>
      </c>
      <c r="D61" s="56">
        <f t="shared" si="3"/>
        <v>1.9804008033880143E-2</v>
      </c>
    </row>
    <row r="62" spans="1:4" x14ac:dyDescent="0.35">
      <c r="A62" s="75" t="s">
        <v>23</v>
      </c>
      <c r="B62" s="56">
        <f t="shared" si="3"/>
        <v>1.5576226048027233</v>
      </c>
      <c r="C62" s="38">
        <f t="shared" si="0"/>
        <v>1557622.6048027233</v>
      </c>
      <c r="D62" s="56">
        <f t="shared" si="3"/>
        <v>0.84081413117404835</v>
      </c>
    </row>
    <row r="63" spans="1:4" x14ac:dyDescent="0.35">
      <c r="A63" s="75" t="s">
        <v>29</v>
      </c>
      <c r="B63" s="56">
        <f>+B70+B77+B84</f>
        <v>2.6871465377849484</v>
      </c>
      <c r="C63" s="38">
        <f t="shared" si="0"/>
        <v>2687146.5377849485</v>
      </c>
      <c r="D63" s="56">
        <f>+D70+D77+D84</f>
        <v>8.3942114509349839</v>
      </c>
    </row>
    <row r="64" spans="1:4" x14ac:dyDescent="0.35">
      <c r="A64" s="75" t="s">
        <v>24</v>
      </c>
      <c r="B64" s="56">
        <f>+B71+B78+B85</f>
        <v>0</v>
      </c>
      <c r="C64" s="38">
        <f t="shared" si="0"/>
        <v>0</v>
      </c>
      <c r="D64" s="56">
        <f>+D71+D78+D85</f>
        <v>0</v>
      </c>
    </row>
    <row r="65" spans="1:4" x14ac:dyDescent="0.35">
      <c r="A65" s="83"/>
      <c r="B65" s="65"/>
      <c r="C65" s="47">
        <f t="shared" si="0"/>
        <v>0</v>
      </c>
      <c r="D65" s="65"/>
    </row>
    <row r="66" spans="1:4" x14ac:dyDescent="0.35">
      <c r="A66" s="70" t="s">
        <v>5</v>
      </c>
      <c r="B66" s="52">
        <f>SUM(B67:B71)</f>
        <v>4.9800725266124529E-2</v>
      </c>
      <c r="C66" s="34">
        <f t="shared" si="0"/>
        <v>49800.725266124529</v>
      </c>
      <c r="D66" s="52">
        <f>SUM(D67:D71)</f>
        <v>0.11993297526637835</v>
      </c>
    </row>
    <row r="67" spans="1:4" x14ac:dyDescent="0.35">
      <c r="A67" s="72" t="s">
        <v>21</v>
      </c>
      <c r="B67" s="58">
        <v>5.574454715012319E-5</v>
      </c>
      <c r="C67" s="40">
        <f t="shared" ref="C67:C85" si="4">B67*10^6</f>
        <v>55.744547150123189</v>
      </c>
      <c r="D67" s="58">
        <f>Feuil2!C32</f>
        <v>1.4373177075277153E-4</v>
      </c>
    </row>
    <row r="68" spans="1:4" x14ac:dyDescent="0.35">
      <c r="A68" s="72" t="s">
        <v>22</v>
      </c>
      <c r="B68" s="58">
        <v>5.516516360528688E-4</v>
      </c>
      <c r="C68" s="40">
        <f t="shared" si="4"/>
        <v>551.65163605286875</v>
      </c>
      <c r="D68" s="58">
        <f>Feuil2!C33</f>
        <v>2.1179660019752391E-4</v>
      </c>
    </row>
    <row r="69" spans="1:4" x14ac:dyDescent="0.35">
      <c r="A69" s="72" t="s">
        <v>23</v>
      </c>
      <c r="B69" s="58">
        <v>1.3194324956805972E-2</v>
      </c>
      <c r="C69" s="40">
        <f t="shared" si="4"/>
        <v>13194.324956805971</v>
      </c>
      <c r="D69" s="58">
        <f>Feuil2!C34</f>
        <v>7.1223766532265698E-3</v>
      </c>
    </row>
    <row r="70" spans="1:4" x14ac:dyDescent="0.35">
      <c r="A70" s="72" t="s">
        <v>29</v>
      </c>
      <c r="B70" s="59">
        <v>3.5999004126115564E-2</v>
      </c>
      <c r="C70" s="41">
        <f t="shared" si="4"/>
        <v>35999.004126115564</v>
      </c>
      <c r="D70" s="58">
        <f>Feuil2!C35</f>
        <v>0.11245507024220149</v>
      </c>
    </row>
    <row r="71" spans="1:4" x14ac:dyDescent="0.35">
      <c r="A71" s="72" t="s">
        <v>24</v>
      </c>
      <c r="B71" s="59"/>
      <c r="C71" s="41">
        <f t="shared" si="4"/>
        <v>0</v>
      </c>
      <c r="D71" s="58">
        <f>Feuil2!C36</f>
        <v>0</v>
      </c>
    </row>
    <row r="72" spans="1:4" x14ac:dyDescent="0.35">
      <c r="A72" s="77"/>
      <c r="B72" s="59"/>
      <c r="C72" s="41">
        <f t="shared" si="4"/>
        <v>0</v>
      </c>
      <c r="D72" s="59"/>
    </row>
    <row r="73" spans="1:4" x14ac:dyDescent="0.35">
      <c r="A73" s="70" t="s">
        <v>6</v>
      </c>
      <c r="B73" s="52">
        <f>SUM(B74:B78)</f>
        <v>0.31626423470521148</v>
      </c>
      <c r="C73" s="34">
        <f t="shared" si="4"/>
        <v>316264.23470521148</v>
      </c>
      <c r="D73" s="52">
        <f>SUM(D74:D78)</f>
        <v>0.67518621098474152</v>
      </c>
    </row>
    <row r="74" spans="1:4" x14ac:dyDescent="0.35">
      <c r="A74" s="72" t="s">
        <v>21</v>
      </c>
      <c r="B74" s="58">
        <v>3.0116194943449276E-4</v>
      </c>
      <c r="C74" s="40">
        <f t="shared" si="4"/>
        <v>301.16194943449278</v>
      </c>
      <c r="D74" s="58">
        <f>Feuil2!C38</f>
        <v>7.7651613455578361E-4</v>
      </c>
    </row>
    <row r="75" spans="1:4" x14ac:dyDescent="0.35">
      <c r="A75" s="72" t="s">
        <v>22</v>
      </c>
      <c r="B75" s="58">
        <v>3.665663375340686E-3</v>
      </c>
      <c r="C75" s="40">
        <f t="shared" si="4"/>
        <v>3665.6633753406859</v>
      </c>
      <c r="D75" s="58">
        <f>Feuil2!C39</f>
        <v>3.2717260629139197E-3</v>
      </c>
    </row>
    <row r="76" spans="1:4" x14ac:dyDescent="0.35">
      <c r="A76" s="72" t="s">
        <v>23</v>
      </c>
      <c r="B76" s="58">
        <v>0.11781147641331641</v>
      </c>
      <c r="C76" s="40">
        <f t="shared" si="4"/>
        <v>117811.47641331641</v>
      </c>
      <c r="D76" s="58">
        <f>Feuil2!C40</f>
        <v>6.3595349654893066E-2</v>
      </c>
    </row>
    <row r="77" spans="1:4" x14ac:dyDescent="0.35">
      <c r="A77" s="72" t="s">
        <v>29</v>
      </c>
      <c r="B77" s="59">
        <v>0.19448593296711988</v>
      </c>
      <c r="C77" s="41">
        <f t="shared" si="4"/>
        <v>194485.93296711988</v>
      </c>
      <c r="D77" s="58">
        <f>Feuil2!C41</f>
        <v>0.60754261913237873</v>
      </c>
    </row>
    <row r="78" spans="1:4" x14ac:dyDescent="0.35">
      <c r="A78" s="72" t="s">
        <v>24</v>
      </c>
      <c r="B78" s="59"/>
      <c r="C78" s="41">
        <f t="shared" si="4"/>
        <v>0</v>
      </c>
      <c r="D78" s="58">
        <f>Feuil2!C42</f>
        <v>0</v>
      </c>
    </row>
    <row r="79" spans="1:4" x14ac:dyDescent="0.35">
      <c r="A79" s="77"/>
      <c r="B79" s="59"/>
      <c r="C79" s="41">
        <f t="shared" si="4"/>
        <v>0</v>
      </c>
      <c r="D79" s="59"/>
    </row>
    <row r="80" spans="1:4" x14ac:dyDescent="0.35">
      <c r="A80" s="70" t="s">
        <v>19</v>
      </c>
      <c r="B80" s="52">
        <f>SUM(B81:B85)</f>
        <v>3.9078832235598395</v>
      </c>
      <c r="C80" s="34">
        <f t="shared" si="4"/>
        <v>3907883.2235598397</v>
      </c>
      <c r="D80" s="52">
        <f>SUM(D81:D85)</f>
        <v>8.4704392654123755</v>
      </c>
    </row>
    <row r="81" spans="1:4" x14ac:dyDescent="0.35">
      <c r="A81" s="77" t="s">
        <v>21</v>
      </c>
      <c r="B81" s="58">
        <v>3.804146580052444E-3</v>
      </c>
      <c r="C81" s="40">
        <f t="shared" si="4"/>
        <v>3804.1465800524438</v>
      </c>
      <c r="D81" s="58">
        <f>Feuil2!C44</f>
        <v>9.8086136152750018E-3</v>
      </c>
    </row>
    <row r="82" spans="1:4" x14ac:dyDescent="0.35">
      <c r="A82" s="77" t="s">
        <v>22</v>
      </c>
      <c r="B82" s="58">
        <v>2.0800672855473174E-2</v>
      </c>
      <c r="C82" s="40">
        <f t="shared" si="4"/>
        <v>20800.672855473174</v>
      </c>
      <c r="D82" s="58">
        <f>Feuil2!C45</f>
        <v>1.63204853707687E-2</v>
      </c>
    </row>
    <row r="83" spans="1:4" x14ac:dyDescent="0.35">
      <c r="A83" s="77" t="s">
        <v>23</v>
      </c>
      <c r="B83" s="58">
        <v>1.426616803432601</v>
      </c>
      <c r="C83" s="40">
        <f t="shared" si="4"/>
        <v>1426616.803432601</v>
      </c>
      <c r="D83" s="58">
        <f>Feuil2!C46</f>
        <v>0.77009640486592867</v>
      </c>
    </row>
    <row r="84" spans="1:4" x14ac:dyDescent="0.35">
      <c r="A84" s="77" t="s">
        <v>29</v>
      </c>
      <c r="B84" s="59">
        <v>2.4566616006917128</v>
      </c>
      <c r="C84" s="41">
        <f t="shared" si="4"/>
        <v>2456661.6006917129</v>
      </c>
      <c r="D84" s="58">
        <f>Feuil2!C47</f>
        <v>7.6742137615604031</v>
      </c>
    </row>
    <row r="85" spans="1:4" ht="15" thickBot="1" x14ac:dyDescent="0.4">
      <c r="A85" s="84" t="s">
        <v>24</v>
      </c>
      <c r="B85" s="66"/>
      <c r="C85" s="48">
        <f t="shared" si="4"/>
        <v>0</v>
      </c>
      <c r="D85" s="66"/>
    </row>
  </sheetData>
  <autoFilter ref="A1:D85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305E4087-1624-4A41-8760-A84F3AFE7D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TRAFIC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Aymar FAIZOUN</dc:creator>
  <cp:lastModifiedBy>Abdel Mouiz BACHABI</cp:lastModifiedBy>
  <dcterms:created xsi:type="dcterms:W3CDTF">2018-01-08T08:33:28Z</dcterms:created>
  <dcterms:modified xsi:type="dcterms:W3CDTF">2025-03-04T14:47:06Z</dcterms:modified>
</cp:coreProperties>
</file>