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/>
  <mc:AlternateContent xmlns:mc="http://schemas.openxmlformats.org/markup-compatibility/2006">
    <mc:Choice Requires="x15">
      <x15ac:absPath xmlns:x15ac="http://schemas.microsoft.com/office/spreadsheetml/2010/11/ac" url="/Users/atulks021/Downloads/"/>
    </mc:Choice>
  </mc:AlternateContent>
  <xr:revisionPtr revIDLastSave="27" documentId="13_ncr:1_{FDAA3638-5A1A-3845-9ABA-2BA6546ED65C}" xr6:coauthVersionLast="47" xr6:coauthVersionMax="47" xr10:uidLastSave="{EF6A3818-5881-4221-8020-289D8BA95519}"/>
  <bookViews>
    <workbookView xWindow="0" yWindow="760" windowWidth="30240" windowHeight="17480" tabRatio="451" firstSheet="3" activeTab="3" xr2:uid="{46759A72-0F1E-4E69-916C-5163EC03F7D1}"/>
  </bookViews>
  <sheets>
    <sheet name="Formule TDB" sheetId="6" r:id="rId1"/>
    <sheet name="PROD_CAMOBILE_2025M1" sheetId="1" r:id="rId2"/>
    <sheet name="Données MOOV 01-2025" sheetId="4" r:id="rId3"/>
    <sheet name="Analyse Réel 01-2025" sheetId="3" r:id="rId4"/>
    <sheet name="COMPTES" sheetId="9" r:id="rId5"/>
    <sheet name="CA Consumer" sheetId="7" r:id="rId6"/>
    <sheet name="CA Business" sheetId="8" r:id="rId7"/>
  </sheets>
  <definedNames>
    <definedName name="_xlnm._FilterDatabase" localSheetId="3" hidden="1">'Analyse Réel 01-2025'!$A$1:$L$154</definedName>
    <definedName name="_xlnm._FilterDatabase" localSheetId="0" hidden="1">'Formule TDB'!$A$1:$E$144</definedName>
    <definedName name="_xlnm._FilterDatabase" localSheetId="1" hidden="1">PROD_CAMOBILE_2025M1!$A$2:$E$145</definedName>
    <definedName name="_xlnm._FilterDatabase">#REF!</definedName>
    <definedName name="_xlnm.Print_Area" localSheetId="5">'CA Consumer'!$A$1:$F$15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3" i="3" l="1"/>
  <c r="P94" i="3"/>
  <c r="P89" i="3"/>
  <c r="P88" i="3"/>
  <c r="P14" i="3"/>
  <c r="P13" i="3"/>
  <c r="P9" i="3"/>
  <c r="P8" i="3"/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3" i="1"/>
  <c r="F15" i="1"/>
  <c r="F4" i="1"/>
  <c r="F5" i="1"/>
  <c r="F6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3" i="1"/>
  <c r="H154" i="3"/>
  <c r="L154" i="3" s="1"/>
  <c r="D154" i="3"/>
  <c r="D153" i="3"/>
  <c r="D152" i="3"/>
  <c r="D151" i="3"/>
  <c r="D150" i="3"/>
  <c r="D149" i="3"/>
  <c r="D143" i="3"/>
  <c r="E143" i="3" s="1"/>
  <c r="D142" i="3"/>
  <c r="E142" i="3" s="1"/>
  <c r="D141" i="3"/>
  <c r="D140" i="3"/>
  <c r="D139" i="3"/>
  <c r="D138" i="3"/>
  <c r="D137" i="3"/>
  <c r="E137" i="3" s="1"/>
  <c r="D136" i="3"/>
  <c r="E136" i="3" s="1"/>
  <c r="D135" i="3"/>
  <c r="E135" i="3" s="1"/>
  <c r="D134" i="3"/>
  <c r="E134" i="3" s="1"/>
  <c r="D133" i="3"/>
  <c r="D132" i="3"/>
  <c r="D131" i="3"/>
  <c r="D130" i="3"/>
  <c r="E130" i="3" s="1"/>
  <c r="D129" i="3"/>
  <c r="E129" i="3" s="1"/>
  <c r="D128" i="3"/>
  <c r="E128" i="3" s="1"/>
  <c r="D127" i="3"/>
  <c r="D126" i="3"/>
  <c r="E126" i="3" s="1"/>
  <c r="D125" i="3"/>
  <c r="E125" i="3" s="1"/>
  <c r="D124" i="3"/>
  <c r="D123" i="3"/>
  <c r="D120" i="3"/>
  <c r="D119" i="3"/>
  <c r="E119" i="3" s="1"/>
  <c r="D118" i="3"/>
  <c r="E118" i="3" s="1"/>
  <c r="D117" i="3"/>
  <c r="E117" i="3" s="1"/>
  <c r="D115" i="3"/>
  <c r="E115" i="3" s="1"/>
  <c r="D114" i="3"/>
  <c r="E114" i="3" s="1"/>
  <c r="D113" i="3"/>
  <c r="D112" i="3"/>
  <c r="D111" i="3"/>
  <c r="D110" i="3"/>
  <c r="D109" i="3"/>
  <c r="D108" i="3"/>
  <c r="E108" i="3" s="1"/>
  <c r="D107" i="3"/>
  <c r="E107" i="3" s="1"/>
  <c r="D106" i="3"/>
  <c r="D105" i="3"/>
  <c r="D104" i="3"/>
  <c r="D103" i="3"/>
  <c r="E103" i="3" s="1"/>
  <c r="D102" i="3"/>
  <c r="D101" i="3"/>
  <c r="E101" i="3" s="1"/>
  <c r="D100" i="3"/>
  <c r="E100" i="3" s="1"/>
  <c r="D99" i="3"/>
  <c r="E99" i="3" s="1"/>
  <c r="D98" i="3"/>
  <c r="E98" i="3" s="1"/>
  <c r="D97" i="3"/>
  <c r="D96" i="3"/>
  <c r="D95" i="3"/>
  <c r="D94" i="3"/>
  <c r="E94" i="3" s="1"/>
  <c r="D93" i="3"/>
  <c r="D92" i="3"/>
  <c r="E92" i="3" s="1"/>
  <c r="D91" i="3"/>
  <c r="E91" i="3" s="1"/>
  <c r="D90" i="3"/>
  <c r="E90" i="3" s="1"/>
  <c r="D89" i="3"/>
  <c r="D88" i="3"/>
  <c r="D87" i="3"/>
  <c r="E87" i="3" s="1"/>
  <c r="D86" i="3"/>
  <c r="E86" i="3" s="1"/>
  <c r="D85" i="3"/>
  <c r="D84" i="3"/>
  <c r="E84" i="3" s="1"/>
  <c r="D83" i="3"/>
  <c r="E83" i="3" s="1"/>
  <c r="D82" i="3"/>
  <c r="E82" i="3" s="1"/>
  <c r="D81" i="3"/>
  <c r="D80" i="3"/>
  <c r="D79" i="3"/>
  <c r="E79" i="3" s="1"/>
  <c r="D78" i="3"/>
  <c r="D77" i="3"/>
  <c r="D76" i="3"/>
  <c r="E76" i="3" s="1"/>
  <c r="D75" i="3"/>
  <c r="E75" i="3" s="1"/>
  <c r="D74" i="3"/>
  <c r="E74" i="3" s="1"/>
  <c r="D73" i="3"/>
  <c r="D72" i="3"/>
  <c r="D71" i="3"/>
  <c r="E71" i="3" s="1"/>
  <c r="D70" i="3"/>
  <c r="E70" i="3" s="1"/>
  <c r="D69" i="3"/>
  <c r="D68" i="3"/>
  <c r="E68" i="3" s="1"/>
  <c r="D67" i="3"/>
  <c r="E67" i="3" s="1"/>
  <c r="D66" i="3"/>
  <c r="E66" i="3" s="1"/>
  <c r="D65" i="3"/>
  <c r="D64" i="3"/>
  <c r="D63" i="3"/>
  <c r="E63" i="3" s="1"/>
  <c r="D62" i="3"/>
  <c r="E62" i="3" s="1"/>
  <c r="D61" i="3"/>
  <c r="D60" i="3"/>
  <c r="E60" i="3" s="1"/>
  <c r="D59" i="3"/>
  <c r="E59" i="3" s="1"/>
  <c r="D58" i="3"/>
  <c r="E58" i="3" s="1"/>
  <c r="D57" i="3"/>
  <c r="E57" i="3" s="1"/>
  <c r="D56" i="3"/>
  <c r="D55" i="3"/>
  <c r="D54" i="3"/>
  <c r="E54" i="3" s="1"/>
  <c r="D53" i="3"/>
  <c r="E53" i="3" s="1"/>
  <c r="D52" i="3"/>
  <c r="E52" i="3" s="1"/>
  <c r="D51" i="3"/>
  <c r="E51" i="3" s="1"/>
  <c r="D50" i="3"/>
  <c r="E50" i="3" s="1"/>
  <c r="D49" i="3"/>
  <c r="E49" i="3" s="1"/>
  <c r="D48" i="3"/>
  <c r="D47" i="3"/>
  <c r="D46" i="3"/>
  <c r="D45" i="3"/>
  <c r="E45" i="3" s="1"/>
  <c r="D44" i="3"/>
  <c r="E44" i="3" s="1"/>
  <c r="D43" i="3"/>
  <c r="E43" i="3" s="1"/>
  <c r="D42" i="3"/>
  <c r="D41" i="3"/>
  <c r="E41" i="3" s="1"/>
  <c r="D40" i="3"/>
  <c r="D39" i="3"/>
  <c r="E39" i="3" s="1"/>
  <c r="D38" i="3"/>
  <c r="E38" i="3" s="1"/>
  <c r="D37" i="3"/>
  <c r="D36" i="3"/>
  <c r="E36" i="3" s="1"/>
  <c r="D35" i="3"/>
  <c r="E35" i="3" s="1"/>
  <c r="D32" i="3"/>
  <c r="E32" i="3" s="1"/>
  <c r="D31" i="3"/>
  <c r="D30" i="3"/>
  <c r="D29" i="3"/>
  <c r="E29" i="3" s="1"/>
  <c r="D28" i="3"/>
  <c r="E28" i="3" s="1"/>
  <c r="D27" i="3"/>
  <c r="E27" i="3" s="1"/>
  <c r="D26" i="3"/>
  <c r="E26" i="3" s="1"/>
  <c r="D25" i="3"/>
  <c r="E25" i="3" s="1"/>
  <c r="D24" i="3"/>
  <c r="E24" i="3" s="1"/>
  <c r="D23" i="3"/>
  <c r="E23" i="3" s="1"/>
  <c r="D22" i="3"/>
  <c r="E22" i="3" s="1"/>
  <c r="D21" i="3"/>
  <c r="E21" i="3" s="1"/>
  <c r="D20" i="3"/>
  <c r="E20" i="3" s="1"/>
  <c r="D19" i="3"/>
  <c r="D18" i="3"/>
  <c r="E18" i="3" s="1"/>
  <c r="D17" i="3"/>
  <c r="E17" i="3" s="1"/>
  <c r="D16" i="3"/>
  <c r="E16" i="3" s="1"/>
  <c r="D15" i="3"/>
  <c r="D14" i="3"/>
  <c r="D13" i="3"/>
  <c r="D12" i="3"/>
  <c r="D11" i="3"/>
  <c r="E11" i="3" s="1"/>
  <c r="D10" i="3"/>
  <c r="E10" i="3" s="1"/>
  <c r="D9" i="3"/>
  <c r="E9" i="3" s="1"/>
  <c r="D8" i="3"/>
  <c r="E8" i="3" s="1"/>
  <c r="D7" i="3"/>
  <c r="E7" i="3" s="1"/>
  <c r="D6" i="3"/>
  <c r="D5" i="3"/>
  <c r="D4" i="3"/>
  <c r="E4" i="3" s="1"/>
  <c r="D3" i="3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2" i="6"/>
  <c r="C23" i="6"/>
  <c r="J28" i="3" s="1"/>
  <c r="H2" i="3"/>
  <c r="E144" i="6" s="1"/>
  <c r="D2" i="3"/>
  <c r="E2" i="3" s="1"/>
  <c r="J3" i="3"/>
  <c r="J4" i="3"/>
  <c r="J5" i="3"/>
  <c r="J6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2" i="3"/>
  <c r="C74" i="6"/>
  <c r="J82" i="3" s="1"/>
  <c r="J7" i="3"/>
  <c r="H10" i="3"/>
  <c r="E5" i="6" s="1"/>
  <c r="H3" i="3"/>
  <c r="E143" i="6" s="1"/>
  <c r="H4" i="3"/>
  <c r="E142" i="6" s="1"/>
  <c r="H5" i="3"/>
  <c r="E141" i="6" s="1"/>
  <c r="H6" i="3"/>
  <c r="E30" i="6" s="1"/>
  <c r="H7" i="3"/>
  <c r="E2" i="6" s="1"/>
  <c r="H8" i="3"/>
  <c r="E3" i="6" s="1"/>
  <c r="H9" i="3"/>
  <c r="E4" i="6" s="1"/>
  <c r="H11" i="3"/>
  <c r="E6" i="6" s="1"/>
  <c r="H12" i="3"/>
  <c r="E7" i="6" s="1"/>
  <c r="H13" i="3"/>
  <c r="E8" i="6" s="1"/>
  <c r="H14" i="3"/>
  <c r="E9" i="6" s="1"/>
  <c r="H15" i="3"/>
  <c r="E10" i="6" s="1"/>
  <c r="H16" i="3"/>
  <c r="E11" i="6" s="1"/>
  <c r="H17" i="3"/>
  <c r="E12" i="6" s="1"/>
  <c r="H18" i="3"/>
  <c r="E13" i="6" s="1"/>
  <c r="H19" i="3"/>
  <c r="E14" i="6" s="1"/>
  <c r="H20" i="3"/>
  <c r="E15" i="6" s="1"/>
  <c r="H21" i="3"/>
  <c r="E16" i="6" s="1"/>
  <c r="H22" i="3"/>
  <c r="E17" i="6" s="1"/>
  <c r="H23" i="3"/>
  <c r="E18" i="6" s="1"/>
  <c r="H24" i="3"/>
  <c r="E19" i="6" s="1"/>
  <c r="H25" i="3"/>
  <c r="E20" i="6" s="1"/>
  <c r="H26" i="3"/>
  <c r="E21" i="6" s="1"/>
  <c r="H27" i="3"/>
  <c r="E22" i="6" s="1"/>
  <c r="H28" i="3"/>
  <c r="E23" i="6" s="1"/>
  <c r="H29" i="3"/>
  <c r="E24" i="6" s="1"/>
  <c r="H30" i="3"/>
  <c r="E25" i="6" s="1"/>
  <c r="H31" i="3"/>
  <c r="E26" i="6" s="1"/>
  <c r="H32" i="3"/>
  <c r="E27" i="6" s="1"/>
  <c r="H33" i="3"/>
  <c r="H34" i="3"/>
  <c r="H35" i="3"/>
  <c r="E28" i="6" s="1"/>
  <c r="H36" i="3"/>
  <c r="E29" i="6" s="1"/>
  <c r="H37" i="3"/>
  <c r="E111" i="6" s="1"/>
  <c r="H38" i="3"/>
  <c r="E35" i="6" s="1"/>
  <c r="H39" i="3"/>
  <c r="E32" i="6" s="1"/>
  <c r="H40" i="3"/>
  <c r="E33" i="6" s="1"/>
  <c r="H41" i="3"/>
  <c r="E34" i="6" s="1"/>
  <c r="H42" i="3"/>
  <c r="E110" i="6" s="1"/>
  <c r="H43" i="3"/>
  <c r="E57" i="6" s="1"/>
  <c r="H44" i="3"/>
  <c r="E36" i="6" s="1"/>
  <c r="H45" i="3"/>
  <c r="E37" i="6" s="1"/>
  <c r="H46" i="3"/>
  <c r="E38" i="6" s="1"/>
  <c r="H47" i="3"/>
  <c r="E39" i="6" s="1"/>
  <c r="H48" i="3"/>
  <c r="E40" i="6" s="1"/>
  <c r="H49" i="3"/>
  <c r="E41" i="6" s="1"/>
  <c r="H50" i="3"/>
  <c r="E42" i="6" s="1"/>
  <c r="H51" i="3"/>
  <c r="E43" i="6" s="1"/>
  <c r="H52" i="3"/>
  <c r="E44" i="6" s="1"/>
  <c r="H53" i="3"/>
  <c r="E45" i="6" s="1"/>
  <c r="H54" i="3"/>
  <c r="E46" i="6" s="1"/>
  <c r="H55" i="3"/>
  <c r="E47" i="6" s="1"/>
  <c r="H56" i="3"/>
  <c r="E48" i="6" s="1"/>
  <c r="H57" i="3"/>
  <c r="E49" i="6" s="1"/>
  <c r="H58" i="3"/>
  <c r="E50" i="6" s="1"/>
  <c r="H59" i="3"/>
  <c r="E51" i="6" s="1"/>
  <c r="H60" i="3"/>
  <c r="E52" i="6" s="1"/>
  <c r="H61" i="3"/>
  <c r="E53" i="6" s="1"/>
  <c r="H62" i="3"/>
  <c r="E54" i="6" s="1"/>
  <c r="H63" i="3"/>
  <c r="E55" i="6" s="1"/>
  <c r="H64" i="3"/>
  <c r="E56" i="6" s="1"/>
  <c r="H65" i="3"/>
  <c r="E79" i="6" s="1"/>
  <c r="H66" i="3"/>
  <c r="E58" i="6" s="1"/>
  <c r="H67" i="3"/>
  <c r="E59" i="6" s="1"/>
  <c r="H68" i="3"/>
  <c r="E60" i="6" s="1"/>
  <c r="H69" i="3"/>
  <c r="E61" i="6" s="1"/>
  <c r="H70" i="3"/>
  <c r="E62" i="6" s="1"/>
  <c r="H71" i="3"/>
  <c r="E63" i="6" s="1"/>
  <c r="H72" i="3"/>
  <c r="E64" i="6" s="1"/>
  <c r="H73" i="3"/>
  <c r="E65" i="6" s="1"/>
  <c r="H74" i="3"/>
  <c r="E66" i="6" s="1"/>
  <c r="H75" i="3"/>
  <c r="E67" i="6" s="1"/>
  <c r="H76" i="3"/>
  <c r="E68" i="6" s="1"/>
  <c r="H77" i="3"/>
  <c r="E69" i="6" s="1"/>
  <c r="H78" i="3"/>
  <c r="E70" i="6" s="1"/>
  <c r="H79" i="3"/>
  <c r="E71" i="6" s="1"/>
  <c r="H80" i="3"/>
  <c r="E72" i="6" s="1"/>
  <c r="H81" i="3"/>
  <c r="E73" i="6" s="1"/>
  <c r="H82" i="3"/>
  <c r="E74" i="6" s="1"/>
  <c r="H83" i="3"/>
  <c r="E75" i="6" s="1"/>
  <c r="H84" i="3"/>
  <c r="E76" i="6" s="1"/>
  <c r="H85" i="3"/>
  <c r="E77" i="6" s="1"/>
  <c r="H86" i="3"/>
  <c r="E78" i="6" s="1"/>
  <c r="H87" i="3"/>
  <c r="E109" i="6" s="1"/>
  <c r="H88" i="3"/>
  <c r="E80" i="6" s="1"/>
  <c r="H89" i="3"/>
  <c r="E81" i="6" s="1"/>
  <c r="H90" i="3"/>
  <c r="E82" i="6" s="1"/>
  <c r="H91" i="3"/>
  <c r="E83" i="6" s="1"/>
  <c r="H92" i="3"/>
  <c r="E84" i="6" s="1"/>
  <c r="H93" i="3"/>
  <c r="E85" i="6" s="1"/>
  <c r="H94" i="3"/>
  <c r="E86" i="6" s="1"/>
  <c r="H95" i="3"/>
  <c r="E87" i="6" s="1"/>
  <c r="H96" i="3"/>
  <c r="E88" i="6" s="1"/>
  <c r="H97" i="3"/>
  <c r="E89" i="6" s="1"/>
  <c r="H98" i="3"/>
  <c r="E90" i="6" s="1"/>
  <c r="H99" i="3"/>
  <c r="E91" i="6" s="1"/>
  <c r="H100" i="3"/>
  <c r="E92" i="6" s="1"/>
  <c r="H101" i="3"/>
  <c r="E93" i="6" s="1"/>
  <c r="H102" i="3"/>
  <c r="E94" i="6" s="1"/>
  <c r="H103" i="3"/>
  <c r="E95" i="6" s="1"/>
  <c r="H104" i="3"/>
  <c r="E96" i="6" s="1"/>
  <c r="H105" i="3"/>
  <c r="E97" i="6" s="1"/>
  <c r="H106" i="3"/>
  <c r="E98" i="6" s="1"/>
  <c r="H107" i="3"/>
  <c r="E99" i="6" s="1"/>
  <c r="H108" i="3"/>
  <c r="E100" i="6" s="1"/>
  <c r="H109" i="3"/>
  <c r="E101" i="6" s="1"/>
  <c r="H110" i="3"/>
  <c r="E102" i="6" s="1"/>
  <c r="H111" i="3"/>
  <c r="E103" i="6" s="1"/>
  <c r="H112" i="3"/>
  <c r="E104" i="6" s="1"/>
  <c r="H113" i="3"/>
  <c r="E105" i="6" s="1"/>
  <c r="H114" i="3"/>
  <c r="E106" i="6" s="1"/>
  <c r="H115" i="3"/>
  <c r="E107" i="6" s="1"/>
  <c r="H116" i="3"/>
  <c r="H117" i="3"/>
  <c r="E108" i="6" s="1"/>
  <c r="H118" i="3"/>
  <c r="E112" i="6" s="1"/>
  <c r="H119" i="3"/>
  <c r="E113" i="6" s="1"/>
  <c r="H120" i="3"/>
  <c r="E114" i="6" s="1"/>
  <c r="H121" i="3"/>
  <c r="H122" i="3"/>
  <c r="H123" i="3"/>
  <c r="E135" i="6" s="1"/>
  <c r="H124" i="3"/>
  <c r="E119" i="6" s="1"/>
  <c r="H125" i="3"/>
  <c r="E115" i="6" s="1"/>
  <c r="H126" i="3"/>
  <c r="E116" i="6" s="1"/>
  <c r="H127" i="3"/>
  <c r="E117" i="6" s="1"/>
  <c r="H128" i="3"/>
  <c r="E118" i="6" s="1"/>
  <c r="H129" i="3"/>
  <c r="E124" i="6" s="1"/>
  <c r="H130" i="3"/>
  <c r="E120" i="6" s="1"/>
  <c r="H131" i="3"/>
  <c r="E121" i="6" s="1"/>
  <c r="H132" i="3"/>
  <c r="E122" i="6" s="1"/>
  <c r="H133" i="3"/>
  <c r="E123" i="6" s="1"/>
  <c r="H134" i="3"/>
  <c r="E129" i="6" s="1"/>
  <c r="H135" i="3"/>
  <c r="E125" i="6" s="1"/>
  <c r="H136" i="3"/>
  <c r="E126" i="6" s="1"/>
  <c r="H137" i="3"/>
  <c r="E127" i="6" s="1"/>
  <c r="H138" i="3"/>
  <c r="E128" i="6" s="1"/>
  <c r="H139" i="3"/>
  <c r="E134" i="6" s="1"/>
  <c r="H140" i="3"/>
  <c r="E130" i="6" s="1"/>
  <c r="H141" i="3"/>
  <c r="E131" i="6" s="1"/>
  <c r="H142" i="3"/>
  <c r="E132" i="6" s="1"/>
  <c r="H143" i="3"/>
  <c r="E133" i="6" s="1"/>
  <c r="H144" i="3"/>
  <c r="H145" i="3"/>
  <c r="H146" i="3"/>
  <c r="H147" i="3"/>
  <c r="H148" i="3"/>
  <c r="E136" i="6" s="1"/>
  <c r="H150" i="3"/>
  <c r="E140" i="6" s="1"/>
  <c r="H151" i="3"/>
  <c r="E137" i="6" s="1"/>
  <c r="H152" i="3"/>
  <c r="E138" i="6" s="1"/>
  <c r="H153" i="3"/>
  <c r="E139" i="6" s="1"/>
  <c r="E3" i="3"/>
  <c r="E5" i="3"/>
  <c r="E144" i="3"/>
  <c r="E145" i="3"/>
  <c r="E146" i="3"/>
  <c r="E147" i="3"/>
  <c r="E148" i="3"/>
  <c r="L148" i="3" s="1"/>
  <c r="E149" i="3"/>
  <c r="E150" i="3"/>
  <c r="E151" i="3"/>
  <c r="E152" i="3"/>
  <c r="E153" i="3"/>
  <c r="E131" i="3"/>
  <c r="E132" i="3"/>
  <c r="E133" i="3"/>
  <c r="E138" i="3"/>
  <c r="E139" i="3"/>
  <c r="E140" i="3"/>
  <c r="E141" i="3"/>
  <c r="E89" i="3"/>
  <c r="E93" i="3"/>
  <c r="E95" i="3"/>
  <c r="E96" i="3"/>
  <c r="E97" i="3"/>
  <c r="E102" i="3"/>
  <c r="E104" i="3"/>
  <c r="E105" i="3"/>
  <c r="E106" i="3"/>
  <c r="E109" i="3"/>
  <c r="E110" i="3"/>
  <c r="E111" i="3"/>
  <c r="E112" i="3"/>
  <c r="E113" i="3"/>
  <c r="E116" i="3"/>
  <c r="E120" i="3"/>
  <c r="E121" i="3"/>
  <c r="E122" i="3"/>
  <c r="E123" i="3"/>
  <c r="L123" i="3" s="1"/>
  <c r="E124" i="3"/>
  <c r="E127" i="3"/>
  <c r="E72" i="3"/>
  <c r="E73" i="3"/>
  <c r="E77" i="3"/>
  <c r="E78" i="3"/>
  <c r="E80" i="3"/>
  <c r="E81" i="3"/>
  <c r="E85" i="3"/>
  <c r="E88" i="3"/>
  <c r="E55" i="3"/>
  <c r="E56" i="3"/>
  <c r="E61" i="3"/>
  <c r="E64" i="3"/>
  <c r="E65" i="3"/>
  <c r="E37" i="3"/>
  <c r="E40" i="3"/>
  <c r="E42" i="3"/>
  <c r="E46" i="3"/>
  <c r="E47" i="3"/>
  <c r="E48" i="3"/>
  <c r="E69" i="3"/>
  <c r="E33" i="3"/>
  <c r="E34" i="3"/>
  <c r="E30" i="3"/>
  <c r="L30" i="3" s="1"/>
  <c r="E31" i="3"/>
  <c r="E12" i="3"/>
  <c r="E13" i="3"/>
  <c r="E14" i="3"/>
  <c r="L14" i="3" s="1"/>
  <c r="E15" i="3"/>
  <c r="E19" i="3"/>
  <c r="E6" i="3"/>
  <c r="L131" i="3" l="1"/>
  <c r="L13" i="3"/>
  <c r="L37" i="3"/>
  <c r="L42" i="3"/>
  <c r="E31" i="6"/>
  <c r="L19" i="3"/>
  <c r="L139" i="3"/>
  <c r="L35" i="3"/>
  <c r="L43" i="3"/>
  <c r="L51" i="3"/>
  <c r="L59" i="3"/>
  <c r="L67" i="3"/>
  <c r="L75" i="3"/>
  <c r="L83" i="3"/>
  <c r="L91" i="3"/>
  <c r="L99" i="3"/>
  <c r="L107" i="3"/>
  <c r="L115" i="3"/>
  <c r="L11" i="3"/>
  <c r="L6" i="3"/>
  <c r="L143" i="3"/>
  <c r="L50" i="3"/>
  <c r="L23" i="3"/>
  <c r="L74" i="3"/>
  <c r="L114" i="3"/>
  <c r="L106" i="3"/>
  <c r="L98" i="3"/>
  <c r="L90" i="3"/>
  <c r="L135" i="3"/>
  <c r="L82" i="3"/>
  <c r="L8" i="3"/>
  <c r="L29" i="3"/>
  <c r="L81" i="3"/>
  <c r="L73" i="3"/>
  <c r="L25" i="3"/>
  <c r="L17" i="3"/>
  <c r="L9" i="3"/>
  <c r="L136" i="3"/>
  <c r="L87" i="3"/>
  <c r="L79" i="3"/>
  <c r="L24" i="3"/>
  <c r="L88" i="3"/>
  <c r="L80" i="3"/>
  <c r="L72" i="3"/>
  <c r="L86" i="3"/>
  <c r="L78" i="3"/>
  <c r="L5" i="3"/>
  <c r="L7" i="3"/>
  <c r="L85" i="3"/>
  <c r="L77" i="3"/>
  <c r="L4" i="3"/>
  <c r="L16" i="3"/>
  <c r="L32" i="3"/>
  <c r="L84" i="3"/>
  <c r="L76" i="3"/>
  <c r="L3" i="3"/>
  <c r="L15" i="3"/>
  <c r="L31" i="3"/>
  <c r="L26" i="3"/>
  <c r="L18" i="3"/>
  <c r="L28" i="3"/>
  <c r="L27" i="3"/>
  <c r="L70" i="3"/>
  <c r="L46" i="3"/>
  <c r="L38" i="3"/>
  <c r="L62" i="3"/>
  <c r="L54" i="3"/>
  <c r="L142" i="3"/>
  <c r="L10" i="3"/>
  <c r="L34" i="3"/>
  <c r="L66" i="3"/>
  <c r="L58" i="3"/>
  <c r="L64" i="3"/>
  <c r="L56" i="3"/>
  <c r="L124" i="3"/>
  <c r="L71" i="3"/>
  <c r="L47" i="3"/>
  <c r="L39" i="3"/>
  <c r="L138" i="3"/>
  <c r="L140" i="3"/>
  <c r="L132" i="3"/>
  <c r="L63" i="3"/>
  <c r="L55" i="3"/>
  <c r="L137" i="3"/>
  <c r="L134" i="3"/>
  <c r="L2" i="3"/>
  <c r="L125" i="3"/>
  <c r="L117" i="3"/>
  <c r="L109" i="3"/>
  <c r="L101" i="3"/>
  <c r="L93" i="3"/>
  <c r="L69" i="3"/>
  <c r="L45" i="3"/>
  <c r="L61" i="3"/>
  <c r="L53" i="3"/>
  <c r="L133" i="3"/>
  <c r="L21" i="3"/>
  <c r="L126" i="3"/>
  <c r="L118" i="3"/>
  <c r="L110" i="3"/>
  <c r="L102" i="3"/>
  <c r="L94" i="3"/>
  <c r="L150" i="3"/>
  <c r="L22" i="3"/>
  <c r="L116" i="3"/>
  <c r="L108" i="3"/>
  <c r="L100" i="3"/>
  <c r="L92" i="3"/>
  <c r="L68" i="3"/>
  <c r="L60" i="3"/>
  <c r="L52" i="3"/>
  <c r="L44" i="3"/>
  <c r="L36" i="3"/>
  <c r="L20" i="3"/>
  <c r="L12" i="3"/>
  <c r="L128" i="3"/>
  <c r="L120" i="3"/>
  <c r="L112" i="3"/>
  <c r="L104" i="3"/>
  <c r="L96" i="3"/>
  <c r="L48" i="3"/>
  <c r="L40" i="3"/>
  <c r="L49" i="3"/>
  <c r="L41" i="3"/>
  <c r="L33" i="3"/>
  <c r="L65" i="3"/>
  <c r="L57" i="3"/>
  <c r="L129" i="3"/>
  <c r="L127" i="3"/>
  <c r="L119" i="3"/>
  <c r="L111" i="3"/>
  <c r="L103" i="3"/>
  <c r="L95" i="3"/>
  <c r="L146" i="3"/>
  <c r="L121" i="3"/>
  <c r="L113" i="3"/>
  <c r="L105" i="3"/>
  <c r="L97" i="3"/>
  <c r="L89" i="3"/>
  <c r="L153" i="3"/>
  <c r="L145" i="3"/>
  <c r="L152" i="3"/>
  <c r="L141" i="3"/>
  <c r="L144" i="3"/>
  <c r="L151" i="3"/>
  <c r="L147" i="3"/>
  <c r="L122" i="3"/>
  <c r="L13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tc={2ACCBD17-90BA-4999-9E5C-1A8FE5357CC0}</author>
    <author>tc={5D0FD73C-5AAC-4068-965D-E40B2F2F3EE0}</author>
    <author>Aymar FAIZOUN</author>
    <author>Abdel Mouiz BACHABI</author>
    <author>Arnaud HOUMBIYE</author>
  </authors>
  <commentList>
    <comment ref="N3" authorId="0" shapeId="0" xr:uid="{2ACCBD17-90BA-4999-9E5C-1A8FE5357CC0}">
      <text>
        <t>[Threaded comment]
Your version of Excel allows you to read this threaded comment; however, any edits to it will get removed if the file is opened in a newer version of Excel. Learn more: https://go.microsoft.com/fwlink/?linkid=870924
Comment:
    Aucune équivalence sur TDB X3</t>
      </text>
    </comment>
    <comment ref="F33" authorId="1" shapeId="0" xr:uid="{5D0FD73C-5AAC-4068-965D-E40B2F2F3EE0}">
      <text>
        <t>[Threaded comment]
Your version of Excel allows you to read this threaded comment; however, any edits to it will get removed if the file is opened in a newer version of Excel. Learn more: https://go.microsoft.com/fwlink/?linkid=870924
Comment:
    Aucune équivalence sur TDB X3</t>
      </text>
    </comment>
    <comment ref="D60" authorId="2" shapeId="0" xr:uid="{31B50106-6348-48A7-A598-2849FA4DFC7B}">
      <text>
        <r>
          <rPr>
            <b/>
            <sz val="9"/>
            <color indexed="81"/>
            <rFont val="Tahoma"/>
            <family val="2"/>
          </rPr>
          <t>Aymar FAIZOUN:</t>
        </r>
        <r>
          <rPr>
            <sz val="9"/>
            <color indexed="81"/>
            <rFont val="Tahoma"/>
            <family val="2"/>
          </rPr>
          <t xml:space="preserve">
Compte 706154
</t>
        </r>
      </text>
    </comment>
    <comment ref="D75" authorId="2" shapeId="0" xr:uid="{5C223010-75F8-4B5D-A133-B4B9DCE62EDF}">
      <text>
        <r>
          <rPr>
            <b/>
            <sz val="9"/>
            <color indexed="81"/>
            <rFont val="Tahoma"/>
            <family val="2"/>
          </rPr>
          <t>Aymar FAIZOUN:</t>
        </r>
        <r>
          <rPr>
            <sz val="9"/>
            <color indexed="81"/>
            <rFont val="Tahoma"/>
            <family val="2"/>
          </rPr>
          <t xml:space="preserve">
Comptes 706118 (sms psp) &amp; 706152 (SMPP)
SMPP de GIZ ( ponctuel : 12 M)</t>
        </r>
      </text>
    </comment>
    <comment ref="D82" authorId="2" shapeId="0" xr:uid="{8C033061-014F-493D-A601-9081027CB0AC}">
      <text>
        <r>
          <rPr>
            <sz val="9"/>
            <color indexed="81"/>
            <rFont val="Tahoma"/>
            <family val="2"/>
          </rPr>
          <t xml:space="preserve">Compte 706154  
</t>
        </r>
      </text>
    </comment>
    <comment ref="D119" authorId="3" shapeId="0" xr:uid="{74899E5B-42E5-4CD7-80B5-E313CF111602}">
      <text>
        <r>
          <rPr>
            <b/>
            <sz val="9"/>
            <color indexed="81"/>
            <rFont val="Tahoma"/>
            <family val="2"/>
          </rPr>
          <t>Abdel Mouiz BACHABI:</t>
        </r>
        <r>
          <rPr>
            <sz val="9"/>
            <color indexed="81"/>
            <rFont val="Tahoma"/>
            <family val="2"/>
          </rPr>
          <t xml:space="preserve">
Reprise de facture d'avoir, 32 milions</t>
        </r>
      </text>
    </comment>
    <comment ref="D144" authorId="4" shapeId="0" xr:uid="{D7E792B3-9C79-44D5-B72F-4D8754D31D96}">
      <text>
        <r>
          <rPr>
            <b/>
            <sz val="9"/>
            <color indexed="81"/>
            <rFont val="Tahoma"/>
            <family val="2"/>
          </rPr>
          <t>Arnaud HOUMBIYE:</t>
        </r>
        <r>
          <rPr>
            <sz val="9"/>
            <color indexed="81"/>
            <rFont val="Tahoma"/>
            <family val="2"/>
          </rPr>
          <t xml:space="preserve">
Refacturation coloc sbin Août à Nov : +30 M d'impact</t>
        </r>
      </text>
    </comment>
  </commentList>
</comments>
</file>

<file path=xl/sharedStrings.xml><?xml version="1.0" encoding="utf-8"?>
<sst xmlns="http://schemas.openxmlformats.org/spreadsheetml/2006/main" count="1615" uniqueCount="610">
  <si>
    <t>Ligne</t>
  </si>
  <si>
    <t>Intitulé</t>
  </si>
  <si>
    <t>Réalisé N</t>
  </si>
  <si>
    <t>Code</t>
  </si>
  <si>
    <t>CAM040-Frais d'activation &amp; Sim swap</t>
  </si>
  <si>
    <t xml:space="preserve"> -701120 -701130</t>
  </si>
  <si>
    <t>CAM045-Sortant voix on net</t>
  </si>
  <si>
    <t>-NM(706120,*,A61,*,*,*,*,*,*,*) -NM(706920,*,A58,*,*,*,*,*,*,*)</t>
  </si>
  <si>
    <t>CAM050-Sortant voix MTN</t>
  </si>
  <si>
    <t>-NM(706121,*,A48,*,*,*,*,*,*,*)</t>
  </si>
  <si>
    <t>CAM055-Sortant voix GLO</t>
  </si>
  <si>
    <t>-NM(706121,*,*A49,*,*,*,*,*,*,*)</t>
  </si>
  <si>
    <t>CAM060-Sortant voix BBCOM</t>
  </si>
  <si>
    <t>-NM(706121,*,*A50,*,*,*,*,*,*,*)</t>
  </si>
  <si>
    <t>CAM065-Sortant voix LIBERCOM</t>
  </si>
  <si>
    <t>-NM(706121,*,*A51,*,*,*,*,*,*,*)</t>
  </si>
  <si>
    <t>CAM070-Sortant voix BTSA</t>
  </si>
  <si>
    <t>-NM(706123,*,A52,*,*,*,*,*,*,*)</t>
  </si>
  <si>
    <t>CAM075-Sortant voix INTERNATIONAL</t>
  </si>
  <si>
    <t>-NM(706124,*,A53,*,*,*,*,*,*,*)</t>
  </si>
  <si>
    <t>CAM080-Sortant voix roaming</t>
  </si>
  <si>
    <t>-NM(706140,*,A54,*,*,*,*,*,*,*)</t>
  </si>
  <si>
    <t>CAM085-Total VOIX Sortant</t>
  </si>
  <si>
    <t>$CAMOBILE.#(L2:9)</t>
  </si>
  <si>
    <t>CAM090-Sortant sms on net</t>
  </si>
  <si>
    <t>-NM(706117,*,T21,*,*,*,*,*,*,*) -NM(706920,*,A59,*,*,*,*,*,*,*)</t>
  </si>
  <si>
    <t>CAM095-Sortant sms MTN</t>
  </si>
  <si>
    <t>-NM(706117,*,A48,*,*,*,*,*,*,*)</t>
  </si>
  <si>
    <t>CAM0100-Sortant sms GLO</t>
  </si>
  <si>
    <t>-NM(706117,*,A49,*,*,*,*,*,*,*)</t>
  </si>
  <si>
    <t>CAM105-Sortant sms BBCOM</t>
  </si>
  <si>
    <t>-NM(706117,*,A50,*,*,*,*,*,*,*)</t>
  </si>
  <si>
    <t>CAM110-Sortant sms LIBERCOM</t>
  </si>
  <si>
    <t>-NM(706117,*,A51,*,*,*,*,*,*,*)</t>
  </si>
  <si>
    <t>CAM115-Sortant sms INTERNATIONAL</t>
  </si>
  <si>
    <t>-NM(706117,*,A53,*,*,*,*,*,*,*)</t>
  </si>
  <si>
    <t>CAM120-Total SMS Sortant</t>
  </si>
  <si>
    <t>$CAMOBILE.#(L11:16)</t>
  </si>
  <si>
    <t>CAM125-Revenu Internet 3G</t>
  </si>
  <si>
    <t>-NM(706153,*,A55,*,*,*,*,*,*,*) -NM(706920,*,A60,*,*,*,*,*,*,*)</t>
  </si>
  <si>
    <t>CAM130-CRBT</t>
  </si>
  <si>
    <t>-NM(706151,*,A57,*,*,*,*,*,*,*)</t>
  </si>
  <si>
    <t>CAM135-Crédit secours</t>
  </si>
  <si>
    <t>-NM(706151,*,A56,*,*,*,*,*,*,*)</t>
  </si>
  <si>
    <t>CAM140-Story Box</t>
  </si>
  <si>
    <t>-0*NM(706151,*,*,*,*,*,*,*,*)</t>
  </si>
  <si>
    <t>CAM145-Phonebook STK</t>
  </si>
  <si>
    <t>CAM150-Gaming</t>
  </si>
  <si>
    <t>CAM155-Autres (VOICEALERT,MOOVKDO...)</t>
  </si>
  <si>
    <t>CAM160-Videos</t>
  </si>
  <si>
    <t>CAM165-Total Data</t>
  </si>
  <si>
    <t>$CAMOBILE.#(L19:25)</t>
  </si>
  <si>
    <t>CAM170-Dont CA SVA ( Sce à Val Ajoutéé)</t>
  </si>
  <si>
    <t>CAM185-dont CA Internet 3G</t>
  </si>
  <si>
    <t>L18</t>
  </si>
  <si>
    <t>CAM035-Consumer Prepaid</t>
  </si>
  <si>
    <t>R(L1+L10+L17+L26)</t>
  </si>
  <si>
    <t>CAM036-Prépayé (Y compris commissions)</t>
  </si>
  <si>
    <t>L29</t>
  </si>
  <si>
    <t>CAM200-Red Consumer Postpaid</t>
  </si>
  <si>
    <t>-706115 NM(706115,*,A27,*,*,*,*,*,*,*) NM(706115,*,A29,*,*,*,*,*,*,*) NM(706115,*,W99,*,*,*,*,*,*,*) NM(706115,*,V99,*,*,*,*,*,*,*) NM(706115,*,U99,*,*,*,*,*,*,*) NM(706115,*,T15,*,*,*,*,*,*,*) NM(706115,*,S99,*,*,*,*,*,*,*)</t>
  </si>
  <si>
    <t>CAM205-Red Business Postpaid</t>
  </si>
  <si>
    <t>-NM(706115,*,T15,*,*,*,*,*,*)</t>
  </si>
  <si>
    <t>CAM210-Red Business Prepaid</t>
  </si>
  <si>
    <t>-NM(706115,*,U99,*,*,*,*,*,*)</t>
  </si>
  <si>
    <t>CAM195-Redevance d'abonnement</t>
  </si>
  <si>
    <t>R(L31+L32+L33)</t>
  </si>
  <si>
    <t>CAM225-Sortant voix on net</t>
  </si>
  <si>
    <t>-NM(706125,*,A61,*,*,*,*,*,*,*) -NM(706900,*,A58,*,*,*,*,*,*,*) -NM(706900,*,A59,*,*,*,*,*,*,*)</t>
  </si>
  <si>
    <t>CAM230-Sortant voix MTN</t>
  </si>
  <si>
    <t>-NM(706126,*,A48,*,*,*,*,*,*)</t>
  </si>
  <si>
    <t>CAM235-Sortant voix GLO</t>
  </si>
  <si>
    <t>-NM(706126,*,A49,*,*,*,*,*,*)</t>
  </si>
  <si>
    <t>CAM240-Sortant voix BBCOM</t>
  </si>
  <si>
    <t>-NM(706126,*,A50,*,*,*,*,*,*)</t>
  </si>
  <si>
    <t>CAM245-Sortant voix LIBERCOM</t>
  </si>
  <si>
    <t>-NM(706126,*,A51,*,*,*,*,*,*)</t>
  </si>
  <si>
    <t>CAM250-Sortant voix BTSA</t>
  </si>
  <si>
    <t>-NM(706128,*,A52,*,*,*,*,*,*)</t>
  </si>
  <si>
    <t>CAM255-Sortant voix INTERNATIONAL</t>
  </si>
  <si>
    <t>-NM(706129,*,A53,*,*,*,*,*,*)</t>
  </si>
  <si>
    <t>CAM260-Sortant voix roaming</t>
  </si>
  <si>
    <t>-NM(706141,*,A54,*,*,*,*,*,*)</t>
  </si>
  <si>
    <t>CAM265-Total VOIX Sortant</t>
  </si>
  <si>
    <t>$CAMOBILE.#(L35:42)</t>
  </si>
  <si>
    <t>CAM270-Sortant sms on net</t>
  </si>
  <si>
    <t>-NM(706118,*,T21,*,*,*,*,*,*,*)</t>
  </si>
  <si>
    <t>CAM275-Sortant sms MTN</t>
  </si>
  <si>
    <t>-0*NM(706118,*,*,*,*,*,*,*,*)</t>
  </si>
  <si>
    <t>CAM280-Sortant sms GLO</t>
  </si>
  <si>
    <t>CAM285-Sortant sms BBCOM</t>
  </si>
  <si>
    <t>CAM290-Sortant sms LIBERCOM</t>
  </si>
  <si>
    <t>CAM295-Sortant sms INTERNATIONAL</t>
  </si>
  <si>
    <t>CAM300-Total SMS Sortant</t>
  </si>
  <si>
    <t>$CAMOBILE.#(L44:49)</t>
  </si>
  <si>
    <t>CAM305-Revenu Internet 3G</t>
  </si>
  <si>
    <t>-NM(706154,*,A55,*,*,*,*,*,*)</t>
  </si>
  <si>
    <t>CAM310-Transport and Automotive</t>
  </si>
  <si>
    <t>-NM(706115,*,G99,*,*,*,*,*,*)</t>
  </si>
  <si>
    <t>CAM315-Banking</t>
  </si>
  <si>
    <t>-NM(706115,*,B99,*,*,*,*,*,*) -NM(706115,*,I99,*,*,*,*,*,*,*)</t>
  </si>
  <si>
    <t>CAM320-Autres</t>
  </si>
  <si>
    <t>CAM325-Total Data</t>
  </si>
  <si>
    <t>$CAMOBILE.#(L52:54)</t>
  </si>
  <si>
    <t>CAM326-Consumer Postpaid</t>
  </si>
  <si>
    <t>R(L43+L50+L55)</t>
  </si>
  <si>
    <t>CAM335-Sortant voix on net</t>
  </si>
  <si>
    <t>-NM(706125,*,A99,*,*,*,*,*,*) -NM(706900,*,A99,*,*,*,*,*,*)</t>
  </si>
  <si>
    <t>CAM340-Sortant voix MTN</t>
  </si>
  <si>
    <t>-NM(706126,*,A43,*,*,*,*,*,*)</t>
  </si>
  <si>
    <t>CAM345-Sortant voix GLO</t>
  </si>
  <si>
    <t>CAM355-Sortant voix BBCOM</t>
  </si>
  <si>
    <t>CAM360-Sortant voix LIBERCOM</t>
  </si>
  <si>
    <t>CAM365-Sortant voix BTSA</t>
  </si>
  <si>
    <t>-NM(706128,*,A99,*,*,*,*,*,*)</t>
  </si>
  <si>
    <t>CAM370-Sortant voix INTERNATIONAL</t>
  </si>
  <si>
    <t>-NM(706129,*,A99,*,*,*,*,*,*,*)</t>
  </si>
  <si>
    <t>CAM375-Sortant voix roaming</t>
  </si>
  <si>
    <t>-NM(706141,*,A99,*,*,*,*,*,*)</t>
  </si>
  <si>
    <t>CAM380-Total VOIX Sortant</t>
  </si>
  <si>
    <t>$CAMOBILE.#(L57:64)</t>
  </si>
  <si>
    <t>CAM385-Sortant sms on net</t>
  </si>
  <si>
    <t>-NM(706118,*,T20,*,*,*,*,*,*) -706152</t>
  </si>
  <si>
    <t>CAM390-Sortant sms MTN</t>
  </si>
  <si>
    <t>CAM395-Sortant sms GLO</t>
  </si>
  <si>
    <t>CAM400-Sortant sms BBCOM</t>
  </si>
  <si>
    <t>CAM405-Sortant sms LIBERCOM</t>
  </si>
  <si>
    <t>CAM410-Sortant sms INTERNATIONAL</t>
  </si>
  <si>
    <t>CAM415-Total SMS Sortant</t>
  </si>
  <si>
    <t>$CAMOBILE.#(L66:71)</t>
  </si>
  <si>
    <t>CAM420-Revenu Internet 3G</t>
  </si>
  <si>
    <t>CAM425-Transport and Automotive</t>
  </si>
  <si>
    <t>CAM430-Banking</t>
  </si>
  <si>
    <t>-NM(706115,*,A27,*,*,*,*,*,*) -NM(706115,*,A29,*,*,*,*,*,*) -NM(706115,*,A28,*,*,*,*,*,*,*)</t>
  </si>
  <si>
    <t>CAM435-Autres</t>
  </si>
  <si>
    <t>CAM440-Total Data</t>
  </si>
  <si>
    <t>$CAMOBILE.#(L74:76)</t>
  </si>
  <si>
    <t>CAM330-Business Postpaid</t>
  </si>
  <si>
    <t>R(L65+L72+L77)</t>
  </si>
  <si>
    <t>CAM450-Sortant voix on net</t>
  </si>
  <si>
    <t>-NM(706120,*,A99,*,*,*,*,*,*,*) -NM(706920,*,A17,*,*,*,*,*,*)</t>
  </si>
  <si>
    <t>CAM455-Sortant voix MTN</t>
  </si>
  <si>
    <t>-NM(706121,*,A43,*,*,*,*,*,*)</t>
  </si>
  <si>
    <t>CAM460-Sortant voix GLO</t>
  </si>
  <si>
    <t>CAM465-Sortant voix BBCOM</t>
  </si>
  <si>
    <t>CAM470-Sortant voix LIBERCOM</t>
  </si>
  <si>
    <t>CAM475-Sortant voix BTSA</t>
  </si>
  <si>
    <t>-NM(706123,*,A99,*,*,*,*,*,*)</t>
  </si>
  <si>
    <t>CAM480-Sortant voix INTERNATIONAL</t>
  </si>
  <si>
    <t>-NM(706124,*,A99,*,*,*,*,*,*)</t>
  </si>
  <si>
    <t>CAM485-Sortant voix roaming</t>
  </si>
  <si>
    <t>-NM(706140,*,A99,*,*,*,*,*,*)</t>
  </si>
  <si>
    <t>CAM490-Total VOIX Sortant</t>
  </si>
  <si>
    <t>$CAMOBILE.#(L79:86)</t>
  </si>
  <si>
    <t>CAM495-Sortant sms on net</t>
  </si>
  <si>
    <t>-NM(706117,*,T16,*,*,*,*,*,*,*) -NM(706920,*,A22,*,*,*,*,*,*,*)</t>
  </si>
  <si>
    <t>CAM500-Sortant sms MTN</t>
  </si>
  <si>
    <t>-NM(706117,*,A43,*,*,*,*,*,*)</t>
  </si>
  <si>
    <t>CAM505-Sortant sms GLO</t>
  </si>
  <si>
    <t>-NM(706117,*,A45,*,*,*,*,*,*)</t>
  </si>
  <si>
    <t>CAM510-Sortant sms BBCOM</t>
  </si>
  <si>
    <t>-NM(706117,*,A44,*,*,*,*,*,*)</t>
  </si>
  <si>
    <t>CAM515-Sortant sms LIBERCOM</t>
  </si>
  <si>
    <t>-NM(706117,*,A42,*,*,*,*,*,*)</t>
  </si>
  <si>
    <t>CAM520-Sortant sms INTERNATIONAL</t>
  </si>
  <si>
    <t>-NM(706117,*,T18,*,*,*,*,*,*)</t>
  </si>
  <si>
    <t>CAM525-Total SMS Sortant</t>
  </si>
  <si>
    <t>$CAMOBILE.#(L88:93)</t>
  </si>
  <si>
    <t>CAM530-Revenu Internet 3G</t>
  </si>
  <si>
    <t>-NM(706153,*,A99,*,*,*,*,*,*) -NM(706920,*,A25,*,*,*,*,*,*)</t>
  </si>
  <si>
    <t>CAM535-Transport and Automotive</t>
  </si>
  <si>
    <t>-NM(706115,*,W99,*,*,*,*,*,*)</t>
  </si>
  <si>
    <t>CAM540-Banking (TPE)</t>
  </si>
  <si>
    <t>-NM(706115,*,V99,*,*,*,*,*,*) -NM(706115,*,S99,*,*,*,*,*,*)</t>
  </si>
  <si>
    <t>CAM545-Revenu VAS (call histury sim swap, sauvega</t>
  </si>
  <si>
    <t>-NM(706151,*,A47,*,*,*,*,*,*) -NM(706151,*,S99,*,*,*,*,*,*) -NM(706151,*,SCH,*,*,*,*,*,*)</t>
  </si>
  <si>
    <t>CAM550-Autres SVA (Sce Foot,M2U, Job etc)</t>
  </si>
  <si>
    <t>CAM555-CRBT</t>
  </si>
  <si>
    <t>-NM(706151,*,A99,*,*,*,*,*,*,*)</t>
  </si>
  <si>
    <t>CAM560-Story Box</t>
  </si>
  <si>
    <t>CAM565-Phonebook STK</t>
  </si>
  <si>
    <t>0*-NM(706151,*,*,*,*,*,*,*,*)</t>
  </si>
  <si>
    <t>CAM570-Gaming</t>
  </si>
  <si>
    <t>CAM575-Total Data</t>
  </si>
  <si>
    <t>$CAMOBILE.#(L96:103)</t>
  </si>
  <si>
    <t>CAM580-Dont CA voix</t>
  </si>
  <si>
    <t>CAM585-Dont CA SMS</t>
  </si>
  <si>
    <t>CAM587-dont CA Internet 3G</t>
  </si>
  <si>
    <t>R(L51+L73+L95)</t>
  </si>
  <si>
    <t>CAM445-Business Prepaid</t>
  </si>
  <si>
    <t>R(L87+L94+L104)</t>
  </si>
  <si>
    <t>CAM446-Trafic sortant</t>
  </si>
  <si>
    <t>R(L56+L78+L108)</t>
  </si>
  <si>
    <t xml:space="preserve">CAM447-Postpayé </t>
  </si>
  <si>
    <t>R(L34+L109)</t>
  </si>
  <si>
    <t>CAM600-Mobile money</t>
  </si>
  <si>
    <t>-NM(706150,*,ZZZ,*,*,*,*,*,*,*)</t>
  </si>
  <si>
    <t>CAM605-Liaisons Spécialisées</t>
  </si>
  <si>
    <t xml:space="preserve"> -707300 -706710</t>
  </si>
  <si>
    <t>CAM595-Internet Mobile (Prp +Pop)</t>
  </si>
  <si>
    <t>R(L28+L107)</t>
  </si>
  <si>
    <t>CAM635-Consumer Prepaid</t>
  </si>
  <si>
    <t>-NM(706130,*,A48,*,*,*,*,*,*) -NM(706133,*,A48,*,*,*,*,*,*)</t>
  </si>
  <si>
    <t>CAM640-Consumer Postpaid</t>
  </si>
  <si>
    <t>-NM(706135,*,A48,*,*,*,*,*,*) -NM(706139,*,A48,*,*,*,*,*,*)</t>
  </si>
  <si>
    <t>CAM645-Business Postpaid</t>
  </si>
  <si>
    <t>-NM(706139,*,A43,*,*,*,*,*,*) -NM(706135,*,A43,*,*,*,*,*,*)</t>
  </si>
  <si>
    <t>CAM650-Business Prepaid</t>
  </si>
  <si>
    <t>-NM(706130,*,A43,*,*,*,*,*,*) -NM(706133,*,A43,*,*,*,*,*,*)</t>
  </si>
  <si>
    <t>CAM655-Opérateur national MTN</t>
  </si>
  <si>
    <t>$CAMOBILE.#(L114:117)</t>
  </si>
  <si>
    <t>CAM660-Consumer Prepaid</t>
  </si>
  <si>
    <t>-NM(706130,*,A49,*,*,*,*,*,*) -NM(706133,*,A49,*,*,*,*,*,*)</t>
  </si>
  <si>
    <t>CAM665-Consumer Postpaid</t>
  </si>
  <si>
    <t>-NM(706135,*,A49,*,*,*,*,*,*) -NM(706139,*,A49,*,*,*,*,*,*)</t>
  </si>
  <si>
    <t>CAM670-Business Postpaid</t>
  </si>
  <si>
    <t>-NM(706135,*,A45,*,*,*,*,*,*) -NM(706139,*,A45,*,*,*,*,*,*)</t>
  </si>
  <si>
    <t>CAM680-Business Prepaid</t>
  </si>
  <si>
    <t>-NM(706130,*,A45,*,*,*,*,*,*) -NM(706133,*,A45,*,*,*,*,*,*)</t>
  </si>
  <si>
    <t xml:space="preserve">CAM686-Opérateur national GLO   </t>
  </si>
  <si>
    <t>$CAMOBILE.#(L119:122)</t>
  </si>
  <si>
    <t>CAM695-Consumer Prepaid</t>
  </si>
  <si>
    <t>-NM(706130,*,A50,*,*,*,*,*,*) -NM(706130,*,A51,*,*,*,*,*,*) -NM(706131,*,A52,*,*,*,*,*,*) -NM(706133,*,A50,*,*,*,*,*,*) -NM(706133,*,A51,*,*,*,*,*,*)</t>
  </si>
  <si>
    <t>CAM700-Consumer Postpaid</t>
  </si>
  <si>
    <t>-NM(706135,*,A50,*,*,*,*,*,*) -NM(706135,*,A51,*,*,*,*,*,*) -NM(706136,*,A52,*,*,*,*,*,*) -NM(706139,*,A50,*,*,*,*,*,*) -NM(706139,*,A51,*,*,*,*,*,*)</t>
  </si>
  <si>
    <t>CAM705-Business Postpaid</t>
  </si>
  <si>
    <t>-NM(706135,*,A44,*,*,*,*,*,*) -NM(706135,*,A42,*,*,*,*,*,*) -NM(706136,*,A99,*,*,*,*,*,*) -NM(706139,*,A44,*,*,*,*,*,*) -NM(706139,*,A42,*,*,*,*,*,*)</t>
  </si>
  <si>
    <t>CAM710-Business Prepaid</t>
  </si>
  <si>
    <t>-NM(706130,*,A44,*,*,*,*,*,*) -NM(706130,*,A42,*,*,*,*,*,*) -NM(706131,*,A99,*,*,*,*,*,*) -NM(706131,*,A44,*,*,*,*,*,*) -NM(706133,*,A42,*,*,*,*,*,*)</t>
  </si>
  <si>
    <t>CAM690-BTSA, BBCOM &amp; LIBERCOM</t>
  </si>
  <si>
    <t>$CAMOBILE.#(L124:127)</t>
  </si>
  <si>
    <t>CAM720-Consumer Prepaid</t>
  </si>
  <si>
    <t>-NM(706132,*,A53,*,*,*,*,*,*) -NM(706138,*,A51,*,*,*,*,*,*)</t>
  </si>
  <si>
    <t>CAM725-Consumer Postpaid</t>
  </si>
  <si>
    <t>-NM(706137,*,A53,*,*,*,*,*,*) -NM(706134,*,A51,*,*,*,*,*,*)</t>
  </si>
  <si>
    <t>CAM730-Business Postpaid</t>
  </si>
  <si>
    <t>-NM(706137,*,A99,*,*,*,*,*,*) -NM(706134,*,T10,*,*,*,*,*,*) -NM(706134,*,A42,*,*,*,*,*,*) -NM(706134,*,T10,*,*,*,*,*,*)</t>
  </si>
  <si>
    <t>CAM735-Business Prepaid</t>
  </si>
  <si>
    <t>-NM(706132,*,A99,*,*,*,*,*,*) -NM(706132,*,T10,*,*,*,*,*,*) -NM(706138,*,A42,*,*,*,*,*,*) -NM(706138,*,T10,*,*,*,*,*,*)</t>
  </si>
  <si>
    <t>CAM715- International</t>
  </si>
  <si>
    <t>$CAMOBILE.#(L129:132)</t>
  </si>
  <si>
    <t>CAM625-CA Entrant</t>
  </si>
  <si>
    <t>R(L118+L123+L128+L133)</t>
  </si>
  <si>
    <t>CAM760-Roaming in</t>
  </si>
  <si>
    <t xml:space="preserve">CAM770-vente de téléphones &amp; kits </t>
  </si>
  <si>
    <t>CAM775-Vente de clés &amp; modems usb</t>
  </si>
  <si>
    <t xml:space="preserve">CAM780-Autres </t>
  </si>
  <si>
    <t>CAM765-CA Non récurrent</t>
  </si>
  <si>
    <t>$CAMOBILE.#(L136:138)</t>
  </si>
  <si>
    <t>CAM025-CA Sortant</t>
  </si>
  <si>
    <t>R(L30+L110+L111+L112+L113)</t>
  </si>
  <si>
    <t>CAM020-CA récurrent</t>
  </si>
  <si>
    <t>R(L134+L140)</t>
  </si>
  <si>
    <t>CAM015-CA services Mobile</t>
  </si>
  <si>
    <t>R(L135+L141)</t>
  </si>
  <si>
    <t>CAM005-CA Global</t>
  </si>
  <si>
    <t>R(L139+L142)</t>
  </si>
  <si>
    <t>Correspondance</t>
  </si>
  <si>
    <t>Budget N</t>
  </si>
  <si>
    <t>Budget N Actualisé 3</t>
  </si>
  <si>
    <t>ECART</t>
  </si>
  <si>
    <t>Indicateur X3</t>
  </si>
  <si>
    <t>Indicateur MOOV</t>
  </si>
  <si>
    <t>CA Mobile</t>
  </si>
  <si>
    <t>(En Millions ML)</t>
  </si>
  <si>
    <t>2025
 Réel</t>
  </si>
  <si>
    <t>2025 
Budget</t>
  </si>
  <si>
    <t>Ecart /
Budget</t>
  </si>
  <si>
    <t>2024 
Réel</t>
  </si>
  <si>
    <t>Evol 
%</t>
  </si>
  <si>
    <t>CA Global</t>
  </si>
  <si>
    <t>CA1</t>
  </si>
  <si>
    <t>CA2</t>
  </si>
  <si>
    <t>dont CA Etat</t>
  </si>
  <si>
    <t>CA3</t>
  </si>
  <si>
    <t>CA4</t>
  </si>
  <si>
    <t>CA services Mobile</t>
  </si>
  <si>
    <t>CA5</t>
  </si>
  <si>
    <t>CA6</t>
  </si>
  <si>
    <t>CA récurrent</t>
  </si>
  <si>
    <t>CA7</t>
  </si>
  <si>
    <t>CA8</t>
  </si>
  <si>
    <t>CA sortant</t>
  </si>
  <si>
    <t>CA9</t>
  </si>
  <si>
    <t>Prépayé (yc commissions)</t>
  </si>
  <si>
    <t>CA10</t>
  </si>
  <si>
    <t>Consumer Prepaid</t>
  </si>
  <si>
    <t>CA11</t>
  </si>
  <si>
    <t xml:space="preserve">   Frais d'activation &amp; Sim swap</t>
  </si>
  <si>
    <t>CA12</t>
  </si>
  <si>
    <t xml:space="preserve">    Sortant voix on net</t>
  </si>
  <si>
    <t>CA13</t>
  </si>
  <si>
    <t xml:space="preserve">    Sortant voix MTN</t>
  </si>
  <si>
    <t>CA14</t>
  </si>
  <si>
    <t xml:space="preserve">    Sortant voix GLO</t>
  </si>
  <si>
    <t>CA15</t>
  </si>
  <si>
    <t xml:space="preserve">    Sortant voix BBCOM</t>
  </si>
  <si>
    <t>CA16</t>
  </si>
  <si>
    <t xml:space="preserve">    Sortant voix LIBERCOM</t>
  </si>
  <si>
    <t>CA17</t>
  </si>
  <si>
    <t xml:space="preserve">    Sortant voix BTSA</t>
  </si>
  <si>
    <t>CA18</t>
  </si>
  <si>
    <t xml:space="preserve">    Sortant voix INTERNATIONAL</t>
  </si>
  <si>
    <t>CA19</t>
  </si>
  <si>
    <t xml:space="preserve">    Sortant voix roaming</t>
  </si>
  <si>
    <t>CA20</t>
  </si>
  <si>
    <t>Total VOIX Sortant</t>
  </si>
  <si>
    <t>CA21</t>
  </si>
  <si>
    <t>CA22</t>
  </si>
  <si>
    <t xml:space="preserve">    Sortant sms on net</t>
  </si>
  <si>
    <t>CA23</t>
  </si>
  <si>
    <t xml:space="preserve">    Sortant sms MTN</t>
  </si>
  <si>
    <t>CA24</t>
  </si>
  <si>
    <t xml:space="preserve">    Sortant sms GLO</t>
  </si>
  <si>
    <t>CA25</t>
  </si>
  <si>
    <t xml:space="preserve">    Sortant sms BBCOM</t>
  </si>
  <si>
    <t>CA26</t>
  </si>
  <si>
    <t xml:space="preserve">    Sortant sms LIBERCOM</t>
  </si>
  <si>
    <t>CA27</t>
  </si>
  <si>
    <t xml:space="preserve">    Sortant sms INTERNATIONAL</t>
  </si>
  <si>
    <t>CA28</t>
  </si>
  <si>
    <t>Total SMS Sortant</t>
  </si>
  <si>
    <t>CA29</t>
  </si>
  <si>
    <t>CA30</t>
  </si>
  <si>
    <t xml:space="preserve">    Revenu Internet 3G</t>
  </si>
  <si>
    <t>CA31</t>
  </si>
  <si>
    <t>CA32</t>
  </si>
  <si>
    <t xml:space="preserve">    CRBT</t>
  </si>
  <si>
    <t>CA33</t>
  </si>
  <si>
    <t xml:space="preserve">    Crédit secours</t>
  </si>
  <si>
    <t>CA34</t>
  </si>
  <si>
    <t xml:space="preserve">    Story Box</t>
  </si>
  <si>
    <t>CA35</t>
  </si>
  <si>
    <t xml:space="preserve">    Phonebook STK</t>
  </si>
  <si>
    <t>CA36</t>
  </si>
  <si>
    <t xml:space="preserve">    Gaming</t>
  </si>
  <si>
    <t>CA37</t>
  </si>
  <si>
    <t xml:space="preserve">    Autres dont BAC17  (VOICEALERT,MOOVKDO...) &amp; SAV agences</t>
  </si>
  <si>
    <t>CA38</t>
  </si>
  <si>
    <t xml:space="preserve">    Videos</t>
  </si>
  <si>
    <t>CA39</t>
  </si>
  <si>
    <t>Total Data</t>
  </si>
  <si>
    <t>CA40</t>
  </si>
  <si>
    <t>CA41</t>
  </si>
  <si>
    <t>dont CA voix</t>
  </si>
  <si>
    <t>CA42</t>
  </si>
  <si>
    <t>dont CA SMS</t>
  </si>
  <si>
    <t>CA43</t>
  </si>
  <si>
    <t>dont SVA (Sce à Val. Ajoutée)</t>
  </si>
  <si>
    <t>CA44</t>
  </si>
  <si>
    <t>dont CA Internet 3G</t>
  </si>
  <si>
    <t>CA45</t>
  </si>
  <si>
    <t xml:space="preserve">Postpayé </t>
  </si>
  <si>
    <t>CA46</t>
  </si>
  <si>
    <t>Redevance d'abonnement</t>
  </si>
  <si>
    <t>CA47</t>
  </si>
  <si>
    <t>Consumer Postpaid</t>
  </si>
  <si>
    <t>CA48</t>
  </si>
  <si>
    <t>Business Postpaid</t>
  </si>
  <si>
    <t>CA49</t>
  </si>
  <si>
    <t>Business Prepaid</t>
  </si>
  <si>
    <t>CA50</t>
  </si>
  <si>
    <t>Trafic sortant</t>
  </si>
  <si>
    <t>CA51</t>
  </si>
  <si>
    <t>CA52</t>
  </si>
  <si>
    <t>CA53</t>
  </si>
  <si>
    <t>CA54</t>
  </si>
  <si>
    <t>CA55</t>
  </si>
  <si>
    <t>CA56</t>
  </si>
  <si>
    <t>CA57</t>
  </si>
  <si>
    <t>CA58</t>
  </si>
  <si>
    <t>CA59</t>
  </si>
  <si>
    <t>CA60</t>
  </si>
  <si>
    <t>CA61</t>
  </si>
  <si>
    <t>CA62</t>
  </si>
  <si>
    <t>CA63</t>
  </si>
  <si>
    <t>CA64</t>
  </si>
  <si>
    <t>CA65</t>
  </si>
  <si>
    <t>CA66</t>
  </si>
  <si>
    <t>CA67</t>
  </si>
  <si>
    <t>CA68</t>
  </si>
  <si>
    <t>CA69</t>
  </si>
  <si>
    <t>CA70</t>
  </si>
  <si>
    <t>CA71</t>
  </si>
  <si>
    <t xml:space="preserve">    Transport and Automotive (Traking)</t>
  </si>
  <si>
    <t>CA72</t>
  </si>
  <si>
    <t xml:space="preserve">    Banking</t>
  </si>
  <si>
    <t>CA73</t>
  </si>
  <si>
    <t xml:space="preserve">   TPE</t>
  </si>
  <si>
    <t>CA74</t>
  </si>
  <si>
    <t>CA75</t>
  </si>
  <si>
    <t>CA76</t>
  </si>
  <si>
    <t>CA77</t>
  </si>
  <si>
    <t>CA78</t>
  </si>
  <si>
    <t>CA79</t>
  </si>
  <si>
    <t>CA80</t>
  </si>
  <si>
    <t>CA81</t>
  </si>
  <si>
    <t>CA82</t>
  </si>
  <si>
    <t>CA83</t>
  </si>
  <si>
    <t>CA84</t>
  </si>
  <si>
    <t>CA85</t>
  </si>
  <si>
    <t>CA86</t>
  </si>
  <si>
    <t>CA87</t>
  </si>
  <si>
    <t>CA88</t>
  </si>
  <si>
    <t>CA89</t>
  </si>
  <si>
    <t>CA90</t>
  </si>
  <si>
    <t>CA91</t>
  </si>
  <si>
    <t>CA92</t>
  </si>
  <si>
    <t>CA93</t>
  </si>
  <si>
    <t>CA94</t>
  </si>
  <si>
    <t>CA95</t>
  </si>
  <si>
    <t>CA96</t>
  </si>
  <si>
    <t>CA97</t>
  </si>
  <si>
    <t>CA98</t>
  </si>
  <si>
    <t>CA99</t>
  </si>
  <si>
    <t>CA100</t>
  </si>
  <si>
    <t>CA101</t>
  </si>
  <si>
    <t>CA102</t>
  </si>
  <si>
    <t>CA103</t>
  </si>
  <si>
    <t>CA104</t>
  </si>
  <si>
    <t>CA105</t>
  </si>
  <si>
    <t>CA106</t>
  </si>
  <si>
    <t>CA107</t>
  </si>
  <si>
    <t>CA108</t>
  </si>
  <si>
    <t>CA109</t>
  </si>
  <si>
    <t>CA110</t>
  </si>
  <si>
    <t>CA111</t>
  </si>
  <si>
    <t>CA112</t>
  </si>
  <si>
    <t>CA113</t>
  </si>
  <si>
    <t>CA114</t>
  </si>
  <si>
    <t>CA115</t>
  </si>
  <si>
    <t>CA116</t>
  </si>
  <si>
    <t>CA117</t>
  </si>
  <si>
    <t>CA118</t>
  </si>
  <si>
    <t>CA119</t>
  </si>
  <si>
    <t>CA120</t>
  </si>
  <si>
    <t>CA121</t>
  </si>
  <si>
    <t>CA122</t>
  </si>
  <si>
    <t>CA123</t>
  </si>
  <si>
    <t xml:space="preserve">    Revenu SAV agences (Call Hystory, Sim swap, Sauvegarde répertoire)</t>
  </si>
  <si>
    <t>CA124</t>
  </si>
  <si>
    <t xml:space="preserve">   Autres vas: Service foot, M2u, Moov job, immatriculation, voice alert, parrainage epiq, migration, moov fun.</t>
  </si>
  <si>
    <t>CA125</t>
  </si>
  <si>
    <t>CA126</t>
  </si>
  <si>
    <t>CA127</t>
  </si>
  <si>
    <t>CA128</t>
  </si>
  <si>
    <t>CA129</t>
  </si>
  <si>
    <t>CA130</t>
  </si>
  <si>
    <t>CA131</t>
  </si>
  <si>
    <t>CA132</t>
  </si>
  <si>
    <t>CA133</t>
  </si>
  <si>
    <t>CA134</t>
  </si>
  <si>
    <t>CA135</t>
  </si>
  <si>
    <t>Mobile Money</t>
  </si>
  <si>
    <t>CA136</t>
  </si>
  <si>
    <t>Liaisons Spécialisées</t>
  </si>
  <si>
    <t>CA137</t>
  </si>
  <si>
    <t>Internet Mobile (PrP+PoP)</t>
  </si>
  <si>
    <t>CA138</t>
  </si>
  <si>
    <t>dont voix+data</t>
  </si>
  <si>
    <t>CA139</t>
  </si>
  <si>
    <t>dont data only</t>
  </si>
  <si>
    <t>CA140</t>
  </si>
  <si>
    <t>CA141</t>
  </si>
  <si>
    <t>CA entrant</t>
  </si>
  <si>
    <t>CA142</t>
  </si>
  <si>
    <t>Opérateur national MTN</t>
  </si>
  <si>
    <t>CA143</t>
  </si>
  <si>
    <t>CA144</t>
  </si>
  <si>
    <t>CA145</t>
  </si>
  <si>
    <t>CA146</t>
  </si>
  <si>
    <t>CA147</t>
  </si>
  <si>
    <t>Opérateur national GLO</t>
  </si>
  <si>
    <t>CA148</t>
  </si>
  <si>
    <t>CA149</t>
  </si>
  <si>
    <t>CA150</t>
  </si>
  <si>
    <t>CA151</t>
  </si>
  <si>
    <t>CA152</t>
  </si>
  <si>
    <t>BTSA, BBCOM &amp; LIBERCOM</t>
  </si>
  <si>
    <t>CA153</t>
  </si>
  <si>
    <t>CA154</t>
  </si>
  <si>
    <t>CA155</t>
  </si>
  <si>
    <t>CA156</t>
  </si>
  <si>
    <t>CA157</t>
  </si>
  <si>
    <t xml:space="preserve"> International</t>
  </si>
  <si>
    <t>CA158</t>
  </si>
  <si>
    <t>CA159</t>
  </si>
  <si>
    <t>CA160</t>
  </si>
  <si>
    <t>CA161</t>
  </si>
  <si>
    <t>CA162</t>
  </si>
  <si>
    <t>CA163</t>
  </si>
  <si>
    <t>Colocalisation</t>
  </si>
  <si>
    <t>CA164</t>
  </si>
  <si>
    <t>IHS</t>
  </si>
  <si>
    <t>CA165</t>
  </si>
  <si>
    <t>Autres</t>
  </si>
  <si>
    <t>CA166</t>
  </si>
  <si>
    <t>Opérateur national 3</t>
  </si>
  <si>
    <t>CA167</t>
  </si>
  <si>
    <t>CA168</t>
  </si>
  <si>
    <t>CA169</t>
  </si>
  <si>
    <t>Roaming in</t>
  </si>
  <si>
    <t>CA170</t>
  </si>
  <si>
    <t>Dont Roaming National</t>
  </si>
  <si>
    <t>CA171</t>
  </si>
  <si>
    <t>CA Non récurrent</t>
  </si>
  <si>
    <t>CA172</t>
  </si>
  <si>
    <t>Terminaux</t>
  </si>
  <si>
    <t>CA173</t>
  </si>
  <si>
    <t>Clé Internet Mobile</t>
  </si>
  <si>
    <t>CA174</t>
  </si>
  <si>
    <t>CA175</t>
  </si>
  <si>
    <t>CA176</t>
  </si>
  <si>
    <t>Réalisé 2025 - Données MOOV</t>
  </si>
  <si>
    <t>Réalisé 2025 - Données X3 Base PROD</t>
  </si>
  <si>
    <t>Données X3 - Test</t>
  </si>
  <si>
    <t>Formule indicateur</t>
  </si>
  <si>
    <t>Ecart</t>
  </si>
  <si>
    <t>actualisation des RG</t>
  </si>
  <si>
    <t>Calcul OK</t>
  </si>
  <si>
    <t>REMARQUES</t>
  </si>
  <si>
    <t>Calcul avec écart</t>
  </si>
  <si>
    <t>Aucun équivalence sur TDB X3</t>
  </si>
  <si>
    <t>Action correctives</t>
  </si>
  <si>
    <t>NM(706120,*,A61,*,*,*,*,*,*,*) -NM(706920,*,A58,*,*,*,*,*,*,*) + somme( CA consumer D29:D34)</t>
  </si>
  <si>
    <t>Besoin du ficher CA consumer + RG actualisées</t>
  </si>
  <si>
    <t>Cet écart provient des retraitements manuels effectués sur les bonus( voir feuille CA Consumer Somme L6 à11)</t>
  </si>
  <si>
    <t>NM(706121,*,A48,*,*,*,*,*,*,*) - CA consumer D29</t>
  </si>
  <si>
    <t>Cet écart provient des retraitements manuels effectués sur les bonus( voir feuille CA Consumer  L6)</t>
  </si>
  <si>
    <t>NM(706123,*,A52,*,*,*,*,*,*,*) - CA consumer D33</t>
  </si>
  <si>
    <t>Cet écart provient des retraitements manuels effectués sur les bonus( voir feuille CA Consumer L10)</t>
  </si>
  <si>
    <t>NM(706124,*,A53,*,*,*,*,*,*,*) - CA consumer D34</t>
  </si>
  <si>
    <t>Cet écart provient des retraitements manuels effectués sur les bonus( voir feuille CA Consumer L11)</t>
  </si>
  <si>
    <t>Somme des écarts L8-9-13-14</t>
  </si>
  <si>
    <t>Fichiers externe, Cellule D4 de la feuille crédits secours</t>
  </si>
  <si>
    <t>Besoin du fichier crédit Secour + RG actualisées</t>
  </si>
  <si>
    <t>Le montant des crédits secours est déterminé dans un fichier annexe</t>
  </si>
  <si>
    <t>-NM(706151,*,A56,*,*,*,*,*,*,*) oté du montant des crédits secours, ligne 26</t>
  </si>
  <si>
    <t>Cette ligne "autre" comporte le total des lignes précédentes oté du montant des crédits secours</t>
  </si>
  <si>
    <t xml:space="preserve">Cet ecart doit etre corrigé </t>
  </si>
  <si>
    <t>Ligne Total</t>
  </si>
  <si>
    <t>Investigations en cours, possible écart résiduel ajusté</t>
  </si>
  <si>
    <t>Source externe à fournir pour traitement (Fichier de reclassement analytique) + RG actualisée</t>
  </si>
  <si>
    <t>Ce ecart provient d'écritures passées automatiquement avec code analytique non pris en compte par la règle de gestion. On observe donc cet écart par rapport à la BG</t>
  </si>
  <si>
    <t>-NM(706141,*,A99,*,*,*,*,*,*) ajouter le montant en débit du compte 706141</t>
  </si>
  <si>
    <t>Source externe à fournir pour traitement (Fichier de reclassement analytique Roaming)  + RG actualisée (Custumer update Oracle DB)</t>
  </si>
  <si>
    <t>NM(706120,*,A99,*,*,*,*,*,*,*) -NM(706920,*,A17,*,*,*,*,*,*)+ somme( CA Business D29:D34)</t>
  </si>
  <si>
    <t>Besoin de la source externe CA Business  + RG actualisée</t>
  </si>
  <si>
    <t>Cet écart provient des retraitements manuels effectués sur les bonus( voir feuille CA Business Somme L6 à11)</t>
  </si>
  <si>
    <t>NM(706121,*,A43,*,*,*,*,*,*) - CA Business D29</t>
  </si>
  <si>
    <t>Cet écart provient des retraitements manuels effectués sur les bonus( voir feuille CA Business  L6)</t>
  </si>
  <si>
    <t>NM(706123,*,A52,*,*,*,*,*,*,*) - CA Business D33</t>
  </si>
  <si>
    <t>Cet écart provient des retraitements manuels effectués sur les bonus( voir feuille CA Business L10)</t>
  </si>
  <si>
    <t>NM(706124,*,A53,*,*,*,*,*,*,*) - CA Business D34</t>
  </si>
  <si>
    <t>Cet écart provient des retraitements manuels effectués sur les bonus( voir feuille CA Business L11)</t>
  </si>
  <si>
    <t>-NM(706161,*,ZZZ,*,*,*,*,*,*,*)-NM(706162,*,ZZZ,*,*,*,*,*,*,*)-NM(706163,*,ZZZ,*,*,*,*,*,*,*)-NM(706164,*,ZZZ,*,*,*,*,*,*,*)-NM(706165,*,ZZZ,*,*,*,*,*,*,*)</t>
  </si>
  <si>
    <t xml:space="preserve"> Accès à la balance Moov Money (SAGE) + RG actualisée (Custumer update Oracle DB)</t>
  </si>
  <si>
    <t>Les comptes Moov money ont évolué ( voir liste feuille "comptes") Ces comptes doivent être pris sur la balance moov money</t>
  </si>
  <si>
    <t>Rajouter le compte de la colocalisation (-707310)  + RG actualisée</t>
  </si>
  <si>
    <t>Cet écart provient d'un alignement à la BG (Soustraire la ligne 144 "Colocalisation" de la ligne 119</t>
  </si>
  <si>
    <t>fichier externe ajouté</t>
  </si>
  <si>
    <t>Rajouter la data a partir du fichier externe colocalisation</t>
  </si>
  <si>
    <t xml:space="preserve"> (706142 ;706143; 706144; 706145)</t>
  </si>
  <si>
    <t>Rajouter les comptes du roaming National (706143; 706144; 706145) (Custumer update Oracle DB)</t>
  </si>
  <si>
    <t xml:space="preserve"> (706143; 706144; 706145)</t>
  </si>
  <si>
    <t>COMPTES MOOV MONEY</t>
  </si>
  <si>
    <t>706161</t>
  </si>
  <si>
    <t>Revenu Moov Money Cash Out</t>
  </si>
  <si>
    <t>706162</t>
  </si>
  <si>
    <t>Revenu Moov Money P2P</t>
  </si>
  <si>
    <t>706163</t>
  </si>
  <si>
    <t>Revenu Moov Money Bank</t>
  </si>
  <si>
    <t>706164</t>
  </si>
  <si>
    <t>Revenu Moov Money internationa</t>
  </si>
  <si>
    <t>706165</t>
  </si>
  <si>
    <t>Revenu Moov Money Bill Paiemen</t>
  </si>
  <si>
    <t>ROAMING NATIONAL</t>
  </si>
  <si>
    <t>706143</t>
  </si>
  <si>
    <t>ROAMING NATIONAL VOIX</t>
  </si>
  <si>
    <t>706144</t>
  </si>
  <si>
    <t>ROAMING NATIONAL SMS</t>
  </si>
  <si>
    <t>706145</t>
  </si>
  <si>
    <t>ROAMING NATIONAL DATA</t>
  </si>
  <si>
    <t>ROAMING IN</t>
  </si>
  <si>
    <t>ROAMING VISITEURS</t>
  </si>
  <si>
    <t>CHIFFRE D'AFFAIRES CONSUMER AU 31 JANVIER 2025</t>
  </si>
  <si>
    <t>LIBELLE</t>
  </si>
  <si>
    <t>MONTANT EN HT</t>
  </si>
  <si>
    <t>COMPTES</t>
  </si>
  <si>
    <t xml:space="preserve">AXE 2 </t>
  </si>
  <si>
    <t>Gratuités</t>
  </si>
  <si>
    <t>Consommation Etisalat staff Pré paid (HT)</t>
  </si>
  <si>
    <t>628110</t>
  </si>
  <si>
    <t>Bonus sur Voix on net</t>
  </si>
  <si>
    <t>701920</t>
  </si>
  <si>
    <t>A17</t>
  </si>
  <si>
    <t>Bonus sur Voix off net national mtn</t>
  </si>
  <si>
    <t>Bonus sur Voix off net national glo</t>
  </si>
  <si>
    <t>Bonus sur Voix off net national bbcom</t>
  </si>
  <si>
    <t>Bonus sur Voix off net national libercom</t>
  </si>
  <si>
    <t>Bonus sur Voix off net national opt</t>
  </si>
  <si>
    <t>Bonus sur Voix off net international</t>
  </si>
  <si>
    <t>Bonus sur SMS</t>
  </si>
  <si>
    <t>A22</t>
  </si>
  <si>
    <t>Bonus sur Data</t>
  </si>
  <si>
    <t>A25</t>
  </si>
  <si>
    <t>Crédits donnés (Hors Cos Etisalat)</t>
  </si>
  <si>
    <t>658200</t>
  </si>
  <si>
    <t>TOTAL CA PRE PAID (Hors Consommation Cos Etisalat et Crédits donnés...)</t>
  </si>
  <si>
    <t>CHIFFRE D'AFFAIRES BUSINESS AU 31 JANVIER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</si>
</sst>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_C_F_A_-;\-* #,##0\ _C_F_A_-;_-* &quot;-&quot;\ _C_F_A_-;_-@_-"/>
    <numFmt numFmtId="165" formatCode="_-* #,##0_-;\-* #,##0_-;_-* &quot;-&quot;_-;_-@_-"/>
    <numFmt numFmtId="166" formatCode="_-* #,##0.00_-;\-* #,##0.00_-;_-* &quot;-&quot;??_-;_-@_-"/>
    <numFmt numFmtId="167" formatCode="_-* #,##0\ _F_-;\-* #,##0\ _F_-;_-* &quot;-&quot;??\ _F_-;_-@_-"/>
    <numFmt numFmtId="168" formatCode="#,##0,,"/>
    <numFmt numFmtId="169" formatCode="#,##0_ ;\-#,##0\ "/>
    <numFmt numFmtId="170" formatCode="#,##0.00_ ;\-#,##0.00\ "/>
  </numFmts>
  <fonts count="4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0"/>
      <color indexed="61"/>
      <name val="Arial"/>
      <family val="2"/>
    </font>
    <font>
      <b/>
      <sz val="9"/>
      <name val="Arial"/>
      <family val="2"/>
    </font>
    <font>
      <b/>
      <sz val="8"/>
      <color rgb="FF0000FF"/>
      <name val="Arial"/>
      <family val="2"/>
    </font>
    <font>
      <b/>
      <sz val="9"/>
      <color rgb="FF0000FF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10"/>
      <name val="Arial"/>
      <family val="2"/>
    </font>
    <font>
      <sz val="9"/>
      <color indexed="8"/>
      <name val="Book Antiqu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Arial"/>
      <family val="2"/>
    </font>
    <font>
      <sz val="11"/>
      <color rgb="FF0070C0"/>
      <name val="Aptos Narrow"/>
      <family val="2"/>
      <scheme val="minor"/>
    </font>
    <font>
      <sz val="9"/>
      <color rgb="FF333333"/>
      <name val="Arial"/>
      <family val="2"/>
    </font>
    <font>
      <b/>
      <sz val="14"/>
      <color rgb="FF333333"/>
      <name val="Arial"/>
      <family val="2"/>
    </font>
    <font>
      <b/>
      <sz val="9"/>
      <color rgb="FFFFFFFF"/>
      <name val="Arial"/>
      <family val="2"/>
    </font>
    <font>
      <b/>
      <sz val="9"/>
      <color rgb="FF333333"/>
      <name val="Arial"/>
      <family val="2"/>
    </font>
    <font>
      <sz val="11"/>
      <color theme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indexed="8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CE00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A787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C0C0"/>
        <bgColor rgb="FF000000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/>
      <right style="thin">
        <color rgb="FF000099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99"/>
      </bottom>
      <diagonal/>
    </border>
    <border>
      <left/>
      <right/>
      <top/>
      <bottom style="thin">
        <color rgb="FF3877A6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medium">
        <color indexed="64"/>
      </left>
      <right/>
      <top/>
      <bottom/>
      <diagonal/>
    </border>
  </borders>
  <cellStyleXfs count="47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4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167" fontId="19" fillId="33" borderId="11" xfId="1" applyNumberFormat="1" applyFont="1" applyFill="1" applyBorder="1" applyAlignment="1">
      <alignment horizontal="center" vertical="center"/>
    </xf>
    <xf numFmtId="0" fontId="19" fillId="33" borderId="12" xfId="0" applyFont="1" applyFill="1" applyBorder="1"/>
    <xf numFmtId="0" fontId="19" fillId="33" borderId="13" xfId="0" applyFont="1" applyFill="1" applyBorder="1"/>
    <xf numFmtId="0" fontId="19" fillId="33" borderId="12" xfId="0" applyFont="1" applyFill="1" applyBorder="1" applyAlignment="1">
      <alignment horizontal="left" indent="1"/>
    </xf>
    <xf numFmtId="0" fontId="21" fillId="33" borderId="14" xfId="0" applyFont="1" applyFill="1" applyBorder="1" applyAlignment="1">
      <alignment horizontal="left" indent="1"/>
    </xf>
    <xf numFmtId="0" fontId="21" fillId="33" borderId="15" xfId="0" applyFont="1" applyFill="1" applyBorder="1"/>
    <xf numFmtId="167" fontId="21" fillId="33" borderId="0" xfId="1" applyNumberFormat="1" applyFont="1" applyFill="1" applyBorder="1" applyAlignment="1">
      <alignment horizontal="center" vertical="center"/>
    </xf>
    <xf numFmtId="0" fontId="19" fillId="0" borderId="14" xfId="0" applyFont="1" applyBorder="1"/>
    <xf numFmtId="0" fontId="19" fillId="0" borderId="15" xfId="0" applyFont="1" applyBorder="1" applyAlignment="1">
      <alignment horizontal="left"/>
    </xf>
    <xf numFmtId="167" fontId="24" fillId="35" borderId="0" xfId="1" applyNumberFormat="1" applyFont="1" applyFill="1" applyBorder="1" applyAlignment="1">
      <alignment horizontal="center" vertical="center"/>
    </xf>
    <xf numFmtId="0" fontId="22" fillId="35" borderId="14" xfId="0" applyFont="1" applyFill="1" applyBorder="1"/>
    <xf numFmtId="0" fontId="22" fillId="35" borderId="15" xfId="0" applyFont="1" applyFill="1" applyBorder="1" applyAlignment="1">
      <alignment horizontal="left"/>
    </xf>
    <xf numFmtId="0" fontId="25" fillId="35" borderId="14" xfId="0" applyFont="1" applyFill="1" applyBorder="1"/>
    <xf numFmtId="0" fontId="25" fillId="35" borderId="15" xfId="0" applyFont="1" applyFill="1" applyBorder="1" applyAlignment="1">
      <alignment horizontal="left"/>
    </xf>
    <xf numFmtId="0" fontId="25" fillId="37" borderId="14" xfId="0" applyFont="1" applyFill="1" applyBorder="1"/>
    <xf numFmtId="0" fontId="25" fillId="37" borderId="15" xfId="0" applyFont="1" applyFill="1" applyBorder="1" applyAlignment="1">
      <alignment horizontal="left"/>
    </xf>
    <xf numFmtId="0" fontId="19" fillId="35" borderId="14" xfId="0" applyFont="1" applyFill="1" applyBorder="1"/>
    <xf numFmtId="167" fontId="19" fillId="35" borderId="0" xfId="1" applyNumberFormat="1" applyFont="1" applyFill="1" applyBorder="1" applyAlignment="1">
      <alignment horizontal="center" vertical="center"/>
    </xf>
    <xf numFmtId="0" fontId="26" fillId="35" borderId="14" xfId="0" applyFont="1" applyFill="1" applyBorder="1"/>
    <xf numFmtId="0" fontId="27" fillId="35" borderId="15" xfId="0" applyFont="1" applyFill="1" applyBorder="1" applyAlignment="1">
      <alignment horizontal="left"/>
    </xf>
    <xf numFmtId="167" fontId="26" fillId="35" borderId="0" xfId="1" applyNumberFormat="1" applyFont="1" applyFill="1" applyBorder="1" applyAlignment="1">
      <alignment horizontal="center" vertical="center"/>
    </xf>
    <xf numFmtId="0" fontId="0" fillId="0" borderId="14" xfId="0" applyBorder="1"/>
    <xf numFmtId="168" fontId="29" fillId="38" borderId="15" xfId="44" applyNumberFormat="1" applyFont="1" applyFill="1" applyBorder="1" applyAlignment="1">
      <alignment horizontal="left" indent="1"/>
    </xf>
    <xf numFmtId="0" fontId="0" fillId="35" borderId="14" xfId="0" applyFill="1" applyBorder="1"/>
    <xf numFmtId="0" fontId="0" fillId="37" borderId="14" xfId="0" applyFill="1" applyBorder="1"/>
    <xf numFmtId="167" fontId="0" fillId="35" borderId="0" xfId="1" applyNumberFormat="1" applyFont="1" applyFill="1" applyBorder="1" applyAlignment="1">
      <alignment horizontal="center" vertical="center"/>
    </xf>
    <xf numFmtId="0" fontId="19" fillId="39" borderId="14" xfId="0" applyFont="1" applyFill="1" applyBorder="1"/>
    <xf numFmtId="0" fontId="19" fillId="39" borderId="15" xfId="0" applyFont="1" applyFill="1" applyBorder="1" applyAlignment="1">
      <alignment horizontal="left"/>
    </xf>
    <xf numFmtId="0" fontId="0" fillId="0" borderId="15" xfId="0" applyBorder="1"/>
    <xf numFmtId="168" fontId="0" fillId="0" borderId="0" xfId="1" applyNumberFormat="1" applyFont="1" applyBorder="1" applyAlignment="1">
      <alignment horizontal="center" vertical="center"/>
    </xf>
    <xf numFmtId="0" fontId="19" fillId="33" borderId="12" xfId="0" applyFont="1" applyFill="1" applyBorder="1" applyAlignment="1">
      <alignment horizontal="left"/>
    </xf>
    <xf numFmtId="0" fontId="19" fillId="33" borderId="13" xfId="0" applyFont="1" applyFill="1" applyBorder="1" applyAlignment="1">
      <alignment horizontal="left"/>
    </xf>
    <xf numFmtId="166" fontId="0" fillId="0" borderId="0" xfId="1" applyFont="1"/>
    <xf numFmtId="0" fontId="25" fillId="40" borderId="15" xfId="0" applyFont="1" applyFill="1" applyBorder="1" applyAlignment="1">
      <alignment horizontal="left"/>
    </xf>
    <xf numFmtId="0" fontId="0" fillId="35" borderId="14" xfId="0" applyFill="1" applyBorder="1" applyAlignment="1">
      <alignment vertical="top"/>
    </xf>
    <xf numFmtId="0" fontId="25" fillId="35" borderId="15" xfId="0" applyFont="1" applyFill="1" applyBorder="1" applyAlignment="1">
      <alignment horizontal="left" vertical="top" wrapText="1"/>
    </xf>
    <xf numFmtId="0" fontId="20" fillId="0" borderId="10" xfId="0" applyFont="1" applyBorder="1" applyAlignment="1">
      <alignment horizontal="center" vertical="top"/>
    </xf>
    <xf numFmtId="167" fontId="24" fillId="35" borderId="0" xfId="1" applyNumberFormat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16" fillId="34" borderId="0" xfId="0" applyFont="1" applyFill="1" applyAlignment="1">
      <alignment horizontal="left"/>
    </xf>
    <xf numFmtId="0" fontId="16" fillId="42" borderId="0" xfId="0" applyFont="1" applyFill="1"/>
    <xf numFmtId="0" fontId="16" fillId="36" borderId="0" xfId="0" applyFont="1" applyFill="1" applyAlignment="1">
      <alignment horizontal="left"/>
    </xf>
    <xf numFmtId="0" fontId="16" fillId="0" borderId="0" xfId="0" applyFont="1"/>
    <xf numFmtId="166" fontId="16" fillId="0" borderId="0" xfId="1" applyFont="1"/>
    <xf numFmtId="0" fontId="19" fillId="33" borderId="17" xfId="0" applyFont="1" applyFill="1" applyBorder="1"/>
    <xf numFmtId="0" fontId="19" fillId="33" borderId="18" xfId="0" applyFont="1" applyFill="1" applyBorder="1"/>
    <xf numFmtId="0" fontId="20" fillId="0" borderId="0" xfId="0" applyFont="1" applyAlignment="1">
      <alignment horizontal="center" vertical="center"/>
    </xf>
    <xf numFmtId="167" fontId="19" fillId="33" borderId="23" xfId="1" applyNumberFormat="1" applyFont="1" applyFill="1" applyBorder="1" applyAlignment="1">
      <alignment horizontal="center" vertical="center"/>
    </xf>
    <xf numFmtId="0" fontId="0" fillId="41" borderId="22" xfId="0" applyFill="1" applyBorder="1"/>
    <xf numFmtId="0" fontId="16" fillId="34" borderId="22" xfId="0" applyFont="1" applyFill="1" applyBorder="1" applyAlignment="1">
      <alignment horizontal="center"/>
    </xf>
    <xf numFmtId="0" fontId="16" fillId="41" borderId="22" xfId="0" applyFont="1" applyFill="1" applyBorder="1"/>
    <xf numFmtId="166" fontId="0" fillId="41" borderId="22" xfId="1" applyFont="1" applyFill="1" applyBorder="1"/>
    <xf numFmtId="0" fontId="0" fillId="42" borderId="22" xfId="0" applyFill="1" applyBorder="1"/>
    <xf numFmtId="0" fontId="0" fillId="41" borderId="22" xfId="0" applyFill="1" applyBorder="1" applyAlignment="1">
      <alignment vertical="top"/>
    </xf>
    <xf numFmtId="166" fontId="0" fillId="41" borderId="22" xfId="1" applyFont="1" applyFill="1" applyBorder="1" applyAlignment="1">
      <alignment vertical="top"/>
    </xf>
    <xf numFmtId="166" fontId="0" fillId="42" borderId="22" xfId="1" applyFont="1" applyFill="1" applyBorder="1"/>
    <xf numFmtId="170" fontId="0" fillId="41" borderId="22" xfId="1" applyNumberFormat="1" applyFont="1" applyFill="1" applyBorder="1"/>
    <xf numFmtId="169" fontId="24" fillId="35" borderId="0" xfId="1" applyNumberFormat="1" applyFont="1" applyFill="1" applyBorder="1" applyAlignment="1">
      <alignment horizontal="center" vertical="center"/>
    </xf>
    <xf numFmtId="167" fontId="0" fillId="36" borderId="22" xfId="0" applyNumberFormat="1" applyFill="1" applyBorder="1"/>
    <xf numFmtId="166" fontId="16" fillId="41" borderId="22" xfId="1" applyFont="1" applyFill="1" applyBorder="1"/>
    <xf numFmtId="0" fontId="16" fillId="41" borderId="0" xfId="0" applyFont="1" applyFill="1"/>
    <xf numFmtId="0" fontId="0" fillId="37" borderId="0" xfId="0" applyFill="1"/>
    <xf numFmtId="0" fontId="0" fillId="0" borderId="0" xfId="0" applyAlignment="1">
      <alignment horizontal="left"/>
    </xf>
    <xf numFmtId="0" fontId="0" fillId="37" borderId="22" xfId="0" applyFill="1" applyBorder="1"/>
    <xf numFmtId="0" fontId="0" fillId="37" borderId="22" xfId="0" applyFill="1" applyBorder="1" applyAlignment="1">
      <alignment horizontal="left"/>
    </xf>
    <xf numFmtId="167" fontId="18" fillId="0" borderId="23" xfId="1" applyNumberFormat="1" applyFont="1" applyBorder="1" applyAlignment="1">
      <alignment horizontal="center" vertical="center" wrapText="1"/>
    </xf>
    <xf numFmtId="167" fontId="18" fillId="0" borderId="19" xfId="1" applyNumberFormat="1" applyFont="1" applyBorder="1" applyAlignment="1">
      <alignment horizontal="center" vertical="center" wrapText="1"/>
    </xf>
    <xf numFmtId="9" fontId="18" fillId="0" borderId="19" xfId="2" applyFont="1" applyBorder="1" applyAlignment="1">
      <alignment horizontal="center" vertical="center" wrapText="1"/>
    </xf>
    <xf numFmtId="0" fontId="14" fillId="37" borderId="22" xfId="0" applyFont="1" applyFill="1" applyBorder="1"/>
    <xf numFmtId="0" fontId="0" fillId="37" borderId="16" xfId="0" applyFill="1" applyBorder="1"/>
    <xf numFmtId="0" fontId="0" fillId="37" borderId="16" xfId="0" applyFill="1" applyBorder="1" applyAlignment="1">
      <alignment horizontal="left"/>
    </xf>
    <xf numFmtId="0" fontId="17" fillId="42" borderId="22" xfId="0" applyFont="1" applyFill="1" applyBorder="1"/>
    <xf numFmtId="166" fontId="17" fillId="42" borderId="22" xfId="1" applyFont="1" applyFill="1" applyBorder="1"/>
    <xf numFmtId="167" fontId="33" fillId="34" borderId="22" xfId="0" applyNumberFormat="1" applyFont="1" applyFill="1" applyBorder="1"/>
    <xf numFmtId="0" fontId="16" fillId="0" borderId="22" xfId="0" applyFont="1" applyBorder="1"/>
    <xf numFmtId="0" fontId="0" fillId="0" borderId="22" xfId="0" applyBorder="1"/>
    <xf numFmtId="166" fontId="0" fillId="0" borderId="22" xfId="1" applyFont="1" applyBorder="1"/>
    <xf numFmtId="0" fontId="16" fillId="40" borderId="22" xfId="0" applyFont="1" applyFill="1" applyBorder="1"/>
    <xf numFmtId="0" fontId="0" fillId="40" borderId="22" xfId="0" applyFill="1" applyBorder="1"/>
    <xf numFmtId="0" fontId="34" fillId="43" borderId="0" xfId="0" applyFont="1" applyFill="1" applyAlignment="1">
      <alignment horizontal="left"/>
    </xf>
    <xf numFmtId="165" fontId="34" fillId="43" borderId="0" xfId="46" applyFont="1" applyFill="1" applyAlignment="1">
      <alignment horizontal="left"/>
    </xf>
    <xf numFmtId="49" fontId="36" fillId="44" borderId="25" xfId="0" applyNumberFormat="1" applyFont="1" applyFill="1" applyBorder="1" applyAlignment="1">
      <alignment horizontal="left" vertical="center"/>
    </xf>
    <xf numFmtId="165" fontId="36" fillId="44" borderId="25" xfId="46" applyFont="1" applyFill="1" applyBorder="1" applyAlignment="1">
      <alignment horizontal="left" vertical="center"/>
    </xf>
    <xf numFmtId="49" fontId="34" fillId="46" borderId="26" xfId="0" applyNumberFormat="1" applyFont="1" applyFill="1" applyBorder="1" applyAlignment="1">
      <alignment horizontal="left"/>
    </xf>
    <xf numFmtId="165" fontId="34" fillId="43" borderId="26" xfId="46" applyFont="1" applyFill="1" applyBorder="1" applyAlignment="1">
      <alignment horizontal="right"/>
    </xf>
    <xf numFmtId="49" fontId="34" fillId="43" borderId="26" xfId="0" applyNumberFormat="1" applyFont="1" applyFill="1" applyBorder="1" applyAlignment="1">
      <alignment horizontal="center"/>
    </xf>
    <xf numFmtId="165" fontId="0" fillId="0" borderId="0" xfId="46" applyFont="1"/>
    <xf numFmtId="49" fontId="34" fillId="43" borderId="26" xfId="0" applyNumberFormat="1" applyFont="1" applyFill="1" applyBorder="1" applyAlignment="1">
      <alignment horizontal="left"/>
    </xf>
    <xf numFmtId="165" fontId="34" fillId="43" borderId="26" xfId="46" applyFont="1" applyFill="1" applyBorder="1" applyAlignment="1">
      <alignment horizontal="left"/>
    </xf>
    <xf numFmtId="165" fontId="34" fillId="47" borderId="26" xfId="46" applyFont="1" applyFill="1" applyBorder="1" applyAlignment="1">
      <alignment horizontal="right"/>
    </xf>
    <xf numFmtId="49" fontId="37" fillId="45" borderId="26" xfId="0" applyNumberFormat="1" applyFont="1" applyFill="1" applyBorder="1" applyAlignment="1">
      <alignment horizontal="center" vertical="center"/>
    </xf>
    <xf numFmtId="165" fontId="37" fillId="45" borderId="26" xfId="46" applyFont="1" applyFill="1" applyBorder="1" applyAlignment="1">
      <alignment horizontal="center" vertical="center"/>
    </xf>
    <xf numFmtId="165" fontId="38" fillId="40" borderId="0" xfId="46" applyFont="1" applyFill="1"/>
    <xf numFmtId="165" fontId="39" fillId="0" borderId="0" xfId="46" applyFont="1"/>
    <xf numFmtId="165" fontId="14" fillId="0" borderId="0" xfId="46" applyFont="1"/>
    <xf numFmtId="165" fontId="0" fillId="0" borderId="0" xfId="0" applyNumberFormat="1"/>
    <xf numFmtId="3" fontId="34" fillId="43" borderId="26" xfId="0" applyNumberFormat="1" applyFont="1" applyFill="1" applyBorder="1" applyAlignment="1">
      <alignment horizontal="right"/>
    </xf>
    <xf numFmtId="0" fontId="34" fillId="43" borderId="26" xfId="0" applyFont="1" applyFill="1" applyBorder="1" applyAlignment="1">
      <alignment horizontal="left"/>
    </xf>
    <xf numFmtId="164" fontId="0" fillId="0" borderId="0" xfId="45" applyFont="1"/>
    <xf numFmtId="0" fontId="0" fillId="0" borderId="27" xfId="0" applyBorder="1" applyAlignment="1">
      <alignment vertical="top"/>
    </xf>
    <xf numFmtId="0" fontId="0" fillId="48" borderId="0" xfId="0" applyFill="1" applyAlignment="1">
      <alignment vertical="top"/>
    </xf>
    <xf numFmtId="0" fontId="40" fillId="48" borderId="0" xfId="0" applyFont="1" applyFill="1" applyAlignment="1">
      <alignment vertical="top"/>
    </xf>
    <xf numFmtId="0" fontId="0" fillId="40" borderId="0" xfId="0" applyFill="1"/>
    <xf numFmtId="167" fontId="0" fillId="40" borderId="0" xfId="0" applyNumberFormat="1" applyFill="1"/>
    <xf numFmtId="0" fontId="0" fillId="49" borderId="0" xfId="0" applyFill="1"/>
    <xf numFmtId="0" fontId="0" fillId="39" borderId="0" xfId="0" applyFill="1"/>
    <xf numFmtId="0" fontId="16" fillId="50" borderId="0" xfId="0" applyFont="1" applyFill="1" applyAlignment="1">
      <alignment horizontal="center"/>
    </xf>
    <xf numFmtId="167" fontId="0" fillId="50" borderId="0" xfId="0" applyNumberFormat="1" applyFill="1"/>
    <xf numFmtId="0" fontId="0" fillId="50" borderId="0" xfId="0" applyFill="1"/>
    <xf numFmtId="167" fontId="0" fillId="51" borderId="0" xfId="0" quotePrefix="1" applyNumberFormat="1" applyFill="1"/>
    <xf numFmtId="167" fontId="0" fillId="52" borderId="0" xfId="0" applyNumberFormat="1" applyFill="1"/>
    <xf numFmtId="167" fontId="0" fillId="52" borderId="0" xfId="0" quotePrefix="1" applyNumberFormat="1" applyFill="1"/>
    <xf numFmtId="167" fontId="0" fillId="53" borderId="0" xfId="0" applyNumberFormat="1" applyFill="1"/>
    <xf numFmtId="167" fontId="0" fillId="51" borderId="0" xfId="0" quotePrefix="1" applyNumberFormat="1" applyFill="1" applyAlignment="1">
      <alignment wrapText="1"/>
    </xf>
    <xf numFmtId="167" fontId="0" fillId="51" borderId="0" xfId="0" applyNumberFormat="1" applyFill="1"/>
    <xf numFmtId="0" fontId="19" fillId="54" borderId="16" xfId="0" applyFont="1" applyFill="1" applyBorder="1"/>
    <xf numFmtId="0" fontId="16" fillId="40" borderId="16" xfId="0" applyFont="1" applyFill="1" applyBorder="1" applyAlignment="1">
      <alignment horizontal="center"/>
    </xf>
    <xf numFmtId="0" fontId="16" fillId="40" borderId="21" xfId="0" applyFont="1" applyFill="1" applyBorder="1" applyAlignment="1">
      <alignment horizontal="center"/>
    </xf>
    <xf numFmtId="0" fontId="32" fillId="41" borderId="16" xfId="0" applyFont="1" applyFill="1" applyBorder="1" applyAlignment="1">
      <alignment horizontal="center"/>
    </xf>
    <xf numFmtId="0" fontId="32" fillId="41" borderId="20" xfId="0" applyFont="1" applyFill="1" applyBorder="1" applyAlignment="1">
      <alignment horizontal="center"/>
    </xf>
    <xf numFmtId="0" fontId="32" fillId="41" borderId="21" xfId="0" applyFont="1" applyFill="1" applyBorder="1" applyAlignment="1">
      <alignment horizontal="center"/>
    </xf>
    <xf numFmtId="0" fontId="23" fillId="35" borderId="14" xfId="0" applyFont="1" applyFill="1" applyBorder="1" applyAlignment="1">
      <alignment horizontal="left" vertical="center"/>
    </xf>
    <xf numFmtId="0" fontId="23" fillId="35" borderId="15" xfId="0" applyFont="1" applyFill="1" applyBorder="1" applyAlignment="1">
      <alignment horizontal="left" vertical="center"/>
    </xf>
    <xf numFmtId="0" fontId="32" fillId="35" borderId="16" xfId="0" applyFont="1" applyFill="1" applyBorder="1" applyAlignment="1">
      <alignment horizontal="center"/>
    </xf>
    <xf numFmtId="0" fontId="32" fillId="35" borderId="20" xfId="0" applyFont="1" applyFill="1" applyBorder="1" applyAlignment="1">
      <alignment horizontal="center"/>
    </xf>
    <xf numFmtId="0" fontId="32" fillId="35" borderId="21" xfId="0" applyFont="1" applyFill="1" applyBorder="1" applyAlignment="1">
      <alignment horizontal="center"/>
    </xf>
    <xf numFmtId="0" fontId="37" fillId="45" borderId="26" xfId="0" applyFont="1" applyFill="1" applyBorder="1" applyAlignment="1">
      <alignment horizontal="left"/>
    </xf>
    <xf numFmtId="0" fontId="35" fillId="43" borderId="24" xfId="0" applyFont="1" applyFill="1" applyBorder="1" applyAlignment="1">
      <alignment horizontal="center"/>
    </xf>
    <xf numFmtId="49" fontId="36" fillId="44" borderId="25" xfId="0" applyNumberFormat="1" applyFont="1" applyFill="1" applyBorder="1" applyAlignment="1">
      <alignment horizontal="left" vertical="center"/>
    </xf>
    <xf numFmtId="0" fontId="0" fillId="40" borderId="0" xfId="0" applyFill="1" applyAlignment="1">
      <alignment wrapText="1"/>
    </xf>
  </cellXfs>
  <cellStyles count="47">
    <cellStyle name="20 % - Accent1" xfId="21" builtinId="30" customBuiltin="1"/>
    <cellStyle name="20 % - Accent2" xfId="25" builtinId="34" customBuiltin="1"/>
    <cellStyle name="20 % - Accent3" xfId="29" builtinId="38" customBuiltin="1"/>
    <cellStyle name="20 % - Accent4" xfId="33" builtinId="42" customBuiltin="1"/>
    <cellStyle name="20 % - Accent5" xfId="37" builtinId="46" customBuiltin="1"/>
    <cellStyle name="20 % - Accent6" xfId="41" builtinId="50" customBuiltin="1"/>
    <cellStyle name="40 % - Accent1" xfId="22" builtinId="31" customBuiltin="1"/>
    <cellStyle name="40 % - Accent2" xfId="26" builtinId="35" customBuiltin="1"/>
    <cellStyle name="40 % - Accent3" xfId="30" builtinId="39" customBuiltin="1"/>
    <cellStyle name="40 % - Accent4" xfId="34" builtinId="43" customBuiltin="1"/>
    <cellStyle name="40 % - Accent5" xfId="38" builtinId="47" customBuiltin="1"/>
    <cellStyle name="40 % - Accent6" xfId="42" builtinId="51" customBuiltin="1"/>
    <cellStyle name="60 % - Accent1" xfId="23" builtinId="32" customBuiltin="1"/>
    <cellStyle name="60 % - Accent2" xfId="27" builtinId="36" customBuiltin="1"/>
    <cellStyle name="60 % - Accent3" xfId="31" builtinId="40" customBuiltin="1"/>
    <cellStyle name="60 % - Accent4" xfId="35" builtinId="44" customBuiltin="1"/>
    <cellStyle name="60 % - Accent5" xfId="39" builtinId="48" customBuiltin="1"/>
    <cellStyle name="60 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Avertissement" xfId="16" builtinId="11" customBuiltin="1"/>
    <cellStyle name="Calcul" xfId="13" builtinId="22" customBuiltin="1"/>
    <cellStyle name="Cellule liée" xfId="14" builtinId="24" customBuiltin="1"/>
    <cellStyle name="Commentaire" xfId="17" builtinId="10" customBuiltin="1"/>
    <cellStyle name="Entrée" xfId="11" builtinId="20" customBuiltin="1"/>
    <cellStyle name="Insatisfaisant" xfId="9" builtinId="27" customBuiltin="1"/>
    <cellStyle name="Milliers" xfId="1" builtinId="3"/>
    <cellStyle name="Milliers [0]" xfId="45" builtinId="6"/>
    <cellStyle name="Milliers [0] 2" xfId="46" xr:uid="{5B975360-E859-4590-B266-76021E43E0FE}"/>
    <cellStyle name="Neutre" xfId="10" builtinId="28" customBuiltin="1"/>
    <cellStyle name="Normal" xfId="0" builtinId="0"/>
    <cellStyle name="Normal_Reporting Onatel Aout 2008-V1" xfId="44" xr:uid="{CB7E1AF6-15A9-4683-BBAC-DA655DB70E5E}"/>
    <cellStyle name="Pourcentage" xfId="2" builtinId="5"/>
    <cellStyle name="Satisfaisant" xfId="8" builtinId="26" customBuiltin="1"/>
    <cellStyle name="Sortie" xfId="12" builtinId="21" customBuiltin="1"/>
    <cellStyle name="Texte explicatif" xfId="18" builtinId="53" customBuiltin="1"/>
    <cellStyle name="Titre" xfId="3" builtinId="15" customBuiltin="1"/>
    <cellStyle name="Titre 1" xfId="4" builtinId="16" customBuiltin="1"/>
    <cellStyle name="Titre 2" xfId="5" builtinId="17" customBuiltin="1"/>
    <cellStyle name="Titre 3" xfId="6" builtinId="18" customBuiltin="1"/>
    <cellStyle name="Titre 4" xfId="7" builtinId="19" customBuiltin="1"/>
    <cellStyle name="Total" xfId="19" builtinId="25" customBuiltin="1"/>
    <cellStyle name="Vérification" xfId="15" builtinId="23" customBuiltin="1"/>
  </cellStyles>
  <dxfs count="0"/>
  <tableStyles count="0" defaultTableStyle="TableStyleMedium2" defaultPivotStyle="PivotStyleLight16"/>
  <colors>
    <mruColors>
      <color rgb="FFCA78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mane EL ANSARI" id="{1FBB715F-DCF0-4473-8857-22F53F12AB5F}" userId="4395b7a85c2abc97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" dT="2025-04-03T21:19:45.68" personId="{1FBB715F-DCF0-4473-8857-22F53F12AB5F}" id="{2ACCBD17-90BA-4999-9E5C-1A8FE5357CC0}">
    <text>Aucune équivalence sur TDB X3</text>
  </threadedComment>
  <threadedComment ref="F33" dT="2025-04-03T21:19:45.68" personId="{1FBB715F-DCF0-4473-8857-22F53F12AB5F}" id="{5D0FD73C-5AAC-4068-965D-E40B2F2F3EE0}">
    <text>Aucune équivalence sur TDB X3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F27B-F8EE-4F19-A0F6-4BF858D0E959}">
  <dimension ref="A1:E144"/>
  <sheetViews>
    <sheetView topLeftCell="A123" workbookViewId="0">
      <selection activeCell="C144" sqref="C144"/>
    </sheetView>
  </sheetViews>
  <sheetFormatPr defaultColWidth="11.42578125" defaultRowHeight="15"/>
  <cols>
    <col min="1" max="1" width="10" customWidth="1"/>
    <col min="2" max="2" width="43.28515625" bestFit="1" customWidth="1"/>
    <col min="3" max="3" width="38.7109375" customWidth="1"/>
    <col min="4" max="4" width="43.28515625" hidden="1" customWidth="1"/>
    <col min="5" max="5" width="15.7109375" style="36" bestFit="1" customWidth="1"/>
  </cols>
  <sheetData>
    <row r="1" spans="1:5" s="46" customFormat="1">
      <c r="A1" s="46" t="s">
        <v>0</v>
      </c>
      <c r="B1" s="46" t="s">
        <v>1</v>
      </c>
      <c r="C1" s="46" t="s">
        <v>2</v>
      </c>
      <c r="E1" s="47" t="s">
        <v>3</v>
      </c>
    </row>
    <row r="2" spans="1:5">
      <c r="A2">
        <v>1</v>
      </c>
      <c r="B2" t="s">
        <v>4</v>
      </c>
      <c r="C2" t="s">
        <v>5</v>
      </c>
      <c r="D2" t="str">
        <f>VLOOKUP(B2,'Analyse Réel 01-2025'!F:H,1,FALSE)</f>
        <v>CAM040-Frais d'activation &amp; Sim swap</v>
      </c>
      <c r="E2" s="36" t="str">
        <f>VLOOKUP(B2,'Analyse Réel 01-2025'!F:H,2,FALSE)</f>
        <v>CA12</v>
      </c>
    </row>
    <row r="3" spans="1:5">
      <c r="A3">
        <v>2</v>
      </c>
      <c r="B3" t="s">
        <v>6</v>
      </c>
      <c r="C3" t="s">
        <v>7</v>
      </c>
      <c r="D3" t="str">
        <f>VLOOKUP(B3,'Analyse Réel 01-2025'!F:H,1,FALSE)</f>
        <v>CAM045-Sortant voix on net</v>
      </c>
      <c r="E3" s="36" t="str">
        <f>VLOOKUP(B3,'Analyse Réel 01-2025'!F:H,2,FALSE)</f>
        <v>CA13</v>
      </c>
    </row>
    <row r="4" spans="1:5">
      <c r="A4">
        <v>3</v>
      </c>
      <c r="B4" t="s">
        <v>8</v>
      </c>
      <c r="C4" t="s">
        <v>9</v>
      </c>
      <c r="D4" t="str">
        <f>VLOOKUP(B4,'Analyse Réel 01-2025'!F:H,1,FALSE)</f>
        <v>CAM050-Sortant voix MTN</v>
      </c>
      <c r="E4" s="36" t="str">
        <f>VLOOKUP(B4,'Analyse Réel 01-2025'!F:H,2,FALSE)</f>
        <v>CA14</v>
      </c>
    </row>
    <row r="5" spans="1:5">
      <c r="A5">
        <v>4</v>
      </c>
      <c r="B5" t="s">
        <v>10</v>
      </c>
      <c r="C5" t="s">
        <v>11</v>
      </c>
      <c r="D5" t="str">
        <f>VLOOKUP(B5,'Analyse Réel 01-2025'!F:H,1,FALSE)</f>
        <v>CAM055-Sortant voix GLO</v>
      </c>
      <c r="E5" s="36" t="str">
        <f>VLOOKUP(B5,'Analyse Réel 01-2025'!F:H,2,FALSE)</f>
        <v>CA15</v>
      </c>
    </row>
    <row r="6" spans="1:5">
      <c r="A6">
        <v>5</v>
      </c>
      <c r="B6" t="s">
        <v>12</v>
      </c>
      <c r="C6" t="s">
        <v>13</v>
      </c>
      <c r="D6" t="str">
        <f>VLOOKUP(B6,'Analyse Réel 01-2025'!F:H,1,FALSE)</f>
        <v>CAM060-Sortant voix BBCOM</v>
      </c>
      <c r="E6" s="36" t="str">
        <f>VLOOKUP(B6,'Analyse Réel 01-2025'!F:H,2,FALSE)</f>
        <v>CA16</v>
      </c>
    </row>
    <row r="7" spans="1:5">
      <c r="A7">
        <v>6</v>
      </c>
      <c r="B7" t="s">
        <v>14</v>
      </c>
      <c r="C7" t="s">
        <v>15</v>
      </c>
      <c r="D7" t="str">
        <f>VLOOKUP(B7,'Analyse Réel 01-2025'!F:H,1,FALSE)</f>
        <v>CAM065-Sortant voix LIBERCOM</v>
      </c>
      <c r="E7" s="36" t="str">
        <f>VLOOKUP(B7,'Analyse Réel 01-2025'!F:H,2,FALSE)</f>
        <v>CA17</v>
      </c>
    </row>
    <row r="8" spans="1:5">
      <c r="A8">
        <v>7</v>
      </c>
      <c r="B8" t="s">
        <v>16</v>
      </c>
      <c r="C8" t="s">
        <v>17</v>
      </c>
      <c r="D8" t="str">
        <f>VLOOKUP(B8,'Analyse Réel 01-2025'!F:H,1,FALSE)</f>
        <v>CAM070-Sortant voix BTSA</v>
      </c>
      <c r="E8" s="36" t="str">
        <f>VLOOKUP(B8,'Analyse Réel 01-2025'!F:H,2,FALSE)</f>
        <v>CA18</v>
      </c>
    </row>
    <row r="9" spans="1:5">
      <c r="A9">
        <v>8</v>
      </c>
      <c r="B9" t="s">
        <v>18</v>
      </c>
      <c r="C9" t="s">
        <v>19</v>
      </c>
      <c r="D9" t="str">
        <f>VLOOKUP(B9,'Analyse Réel 01-2025'!F:H,1,FALSE)</f>
        <v>CAM075-Sortant voix INTERNATIONAL</v>
      </c>
      <c r="E9" s="36" t="str">
        <f>VLOOKUP(B9,'Analyse Réel 01-2025'!F:H,2,FALSE)</f>
        <v>CA19</v>
      </c>
    </row>
    <row r="10" spans="1:5">
      <c r="A10">
        <v>9</v>
      </c>
      <c r="B10" t="s">
        <v>20</v>
      </c>
      <c r="C10" t="s">
        <v>21</v>
      </c>
      <c r="D10" t="str">
        <f>VLOOKUP(B10,'Analyse Réel 01-2025'!F:H,1,FALSE)</f>
        <v>CAM080-Sortant voix roaming</v>
      </c>
      <c r="E10" s="36" t="str">
        <f>VLOOKUP(B10,'Analyse Réel 01-2025'!F:H,2,FALSE)</f>
        <v>CA20</v>
      </c>
    </row>
    <row r="11" spans="1:5">
      <c r="A11">
        <v>10</v>
      </c>
      <c r="B11" t="s">
        <v>22</v>
      </c>
      <c r="C11" t="s">
        <v>23</v>
      </c>
      <c r="D11" t="str">
        <f>VLOOKUP(B11,'Analyse Réel 01-2025'!F:H,1,FALSE)</f>
        <v>CAM085-Total VOIX Sortant</v>
      </c>
      <c r="E11" s="36" t="str">
        <f>VLOOKUP(B11,'Analyse Réel 01-2025'!F:H,2,FALSE)</f>
        <v>CA21</v>
      </c>
    </row>
    <row r="12" spans="1:5">
      <c r="A12">
        <v>11</v>
      </c>
      <c r="B12" t="s">
        <v>24</v>
      </c>
      <c r="C12" t="s">
        <v>25</v>
      </c>
      <c r="D12" t="str">
        <f>VLOOKUP(B12,'Analyse Réel 01-2025'!F:H,1,FALSE)</f>
        <v>CAM090-Sortant sms on net</v>
      </c>
      <c r="E12" s="36" t="str">
        <f>VLOOKUP(B12,'Analyse Réel 01-2025'!F:H,2,FALSE)</f>
        <v>CA23</v>
      </c>
    </row>
    <row r="13" spans="1:5">
      <c r="A13">
        <v>12</v>
      </c>
      <c r="B13" t="s">
        <v>26</v>
      </c>
      <c r="C13" t="s">
        <v>27</v>
      </c>
      <c r="D13" t="str">
        <f>VLOOKUP(B13,'Analyse Réel 01-2025'!F:H,1,FALSE)</f>
        <v>CAM095-Sortant sms MTN</v>
      </c>
      <c r="E13" s="36" t="str">
        <f>VLOOKUP(B13,'Analyse Réel 01-2025'!F:H,2,FALSE)</f>
        <v>CA24</v>
      </c>
    </row>
    <row r="14" spans="1:5">
      <c r="A14">
        <v>13</v>
      </c>
      <c r="B14" t="s">
        <v>28</v>
      </c>
      <c r="C14" t="s">
        <v>29</v>
      </c>
      <c r="D14" t="str">
        <f>VLOOKUP(B14,'Analyse Réel 01-2025'!F:H,1,FALSE)</f>
        <v>CAM0100-Sortant sms GLO</v>
      </c>
      <c r="E14" s="36" t="str">
        <f>VLOOKUP(B14,'Analyse Réel 01-2025'!F:H,2,FALSE)</f>
        <v>CA25</v>
      </c>
    </row>
    <row r="15" spans="1:5">
      <c r="A15">
        <v>14</v>
      </c>
      <c r="B15" t="s">
        <v>30</v>
      </c>
      <c r="C15" t="s">
        <v>31</v>
      </c>
      <c r="D15" t="str">
        <f>VLOOKUP(B15,'Analyse Réel 01-2025'!F:H,1,FALSE)</f>
        <v>CAM105-Sortant sms BBCOM</v>
      </c>
      <c r="E15" s="36" t="str">
        <f>VLOOKUP(B15,'Analyse Réel 01-2025'!F:H,2,FALSE)</f>
        <v>CA26</v>
      </c>
    </row>
    <row r="16" spans="1:5">
      <c r="A16">
        <v>15</v>
      </c>
      <c r="B16" t="s">
        <v>32</v>
      </c>
      <c r="C16" t="s">
        <v>33</v>
      </c>
      <c r="D16" t="str">
        <f>VLOOKUP(B16,'Analyse Réel 01-2025'!F:H,1,FALSE)</f>
        <v>CAM110-Sortant sms LIBERCOM</v>
      </c>
      <c r="E16" s="36" t="str">
        <f>VLOOKUP(B16,'Analyse Réel 01-2025'!F:H,2,FALSE)</f>
        <v>CA27</v>
      </c>
    </row>
    <row r="17" spans="1:5">
      <c r="A17">
        <v>16</v>
      </c>
      <c r="B17" t="s">
        <v>34</v>
      </c>
      <c r="C17" t="s">
        <v>35</v>
      </c>
      <c r="D17" t="str">
        <f>VLOOKUP(B17,'Analyse Réel 01-2025'!F:H,1,FALSE)</f>
        <v>CAM115-Sortant sms INTERNATIONAL</v>
      </c>
      <c r="E17" s="36" t="str">
        <f>VLOOKUP(B17,'Analyse Réel 01-2025'!F:H,2,FALSE)</f>
        <v>CA28</v>
      </c>
    </row>
    <row r="18" spans="1:5">
      <c r="A18">
        <v>17</v>
      </c>
      <c r="B18" t="s">
        <v>36</v>
      </c>
      <c r="C18" t="s">
        <v>37</v>
      </c>
      <c r="D18" t="str">
        <f>VLOOKUP(B18,'Analyse Réel 01-2025'!F:H,1,FALSE)</f>
        <v>CAM120-Total SMS Sortant</v>
      </c>
      <c r="E18" s="36" t="str">
        <f>VLOOKUP(B18,'Analyse Réel 01-2025'!F:H,2,FALSE)</f>
        <v>CA29</v>
      </c>
    </row>
    <row r="19" spans="1:5">
      <c r="A19">
        <v>18</v>
      </c>
      <c r="B19" t="s">
        <v>38</v>
      </c>
      <c r="C19" t="s">
        <v>39</v>
      </c>
      <c r="D19" t="str">
        <f>VLOOKUP(B19,'Analyse Réel 01-2025'!F:H,1,FALSE)</f>
        <v>CAM125-Revenu Internet 3G</v>
      </c>
      <c r="E19" s="36" t="str">
        <f>VLOOKUP(B19,'Analyse Réel 01-2025'!F:H,2,FALSE)</f>
        <v>CA31</v>
      </c>
    </row>
    <row r="20" spans="1:5">
      <c r="A20">
        <v>19</v>
      </c>
      <c r="B20" t="s">
        <v>40</v>
      </c>
      <c r="C20" t="s">
        <v>41</v>
      </c>
      <c r="D20" t="str">
        <f>VLOOKUP(B20,'Analyse Réel 01-2025'!F:H,1,FALSE)</f>
        <v>CAM130-CRBT</v>
      </c>
      <c r="E20" s="36" t="str">
        <f>VLOOKUP(B20,'Analyse Réel 01-2025'!F:H,2,FALSE)</f>
        <v>CA33</v>
      </c>
    </row>
    <row r="21" spans="1:5">
      <c r="A21">
        <v>20</v>
      </c>
      <c r="B21" t="s">
        <v>42</v>
      </c>
      <c r="C21" t="s">
        <v>43</v>
      </c>
      <c r="D21" t="str">
        <f>VLOOKUP(B21,'Analyse Réel 01-2025'!F:H,1,FALSE)</f>
        <v>CAM135-Crédit secours</v>
      </c>
      <c r="E21" s="36" t="str">
        <f>VLOOKUP(B21,'Analyse Réel 01-2025'!F:H,2,FALSE)</f>
        <v>CA34</v>
      </c>
    </row>
    <row r="22" spans="1:5">
      <c r="A22">
        <v>21</v>
      </c>
      <c r="B22" t="s">
        <v>44</v>
      </c>
      <c r="C22" t="s">
        <v>45</v>
      </c>
      <c r="D22" t="str">
        <f>VLOOKUP(B22,'Analyse Réel 01-2025'!F:H,1,FALSE)</f>
        <v>CAM140-Story Box</v>
      </c>
      <c r="E22" s="36" t="str">
        <f>VLOOKUP(B22,'Analyse Réel 01-2025'!F:H,2,FALSE)</f>
        <v>CA35</v>
      </c>
    </row>
    <row r="23" spans="1:5">
      <c r="A23">
        <v>22</v>
      </c>
      <c r="B23" t="s">
        <v>46</v>
      </c>
      <c r="C23" t="e">
        <f>-"0*NM(706151)"</f>
        <v>#VALUE!</v>
      </c>
      <c r="D23" t="str">
        <f>VLOOKUP(B23,'Analyse Réel 01-2025'!F:H,1,FALSE)</f>
        <v>CAM145-Phonebook STK</v>
      </c>
      <c r="E23" s="36" t="str">
        <f>VLOOKUP(B23,'Analyse Réel 01-2025'!F:H,2,FALSE)</f>
        <v>CA36</v>
      </c>
    </row>
    <row r="24" spans="1:5">
      <c r="A24">
        <v>23</v>
      </c>
      <c r="B24" t="s">
        <v>47</v>
      </c>
      <c r="C24" t="s">
        <v>45</v>
      </c>
      <c r="D24" t="str">
        <f>VLOOKUP(B24,'Analyse Réel 01-2025'!F:H,1,FALSE)</f>
        <v>CAM150-Gaming</v>
      </c>
      <c r="E24" s="36" t="str">
        <f>VLOOKUP(B24,'Analyse Réel 01-2025'!F:H,2,FALSE)</f>
        <v>CA37</v>
      </c>
    </row>
    <row r="25" spans="1:5">
      <c r="A25">
        <v>24</v>
      </c>
      <c r="B25" t="s">
        <v>48</v>
      </c>
      <c r="C25" t="s">
        <v>45</v>
      </c>
      <c r="D25" t="str">
        <f>VLOOKUP(B25,'Analyse Réel 01-2025'!F:H,1,FALSE)</f>
        <v>CAM155-Autres (VOICEALERT,MOOVKDO...)</v>
      </c>
      <c r="E25" s="36" t="str">
        <f>VLOOKUP(B25,'Analyse Réel 01-2025'!F:H,2,FALSE)</f>
        <v>CA38</v>
      </c>
    </row>
    <row r="26" spans="1:5">
      <c r="A26">
        <v>25</v>
      </c>
      <c r="B26" t="s">
        <v>49</v>
      </c>
      <c r="C26" t="s">
        <v>45</v>
      </c>
      <c r="D26" t="str">
        <f>VLOOKUP(B26,'Analyse Réel 01-2025'!F:H,1,FALSE)</f>
        <v>CAM160-Videos</v>
      </c>
      <c r="E26" s="36" t="str">
        <f>VLOOKUP(B26,'Analyse Réel 01-2025'!F:H,2,FALSE)</f>
        <v>CA39</v>
      </c>
    </row>
    <row r="27" spans="1:5">
      <c r="A27">
        <v>26</v>
      </c>
      <c r="B27" t="s">
        <v>50</v>
      </c>
      <c r="C27" t="s">
        <v>51</v>
      </c>
      <c r="D27" t="str">
        <f>VLOOKUP(B27,'Analyse Réel 01-2025'!F:H,1,FALSE)</f>
        <v>CAM165-Total Data</v>
      </c>
      <c r="E27" s="36" t="str">
        <f>VLOOKUP(B27,'Analyse Réel 01-2025'!F:H,2,FALSE)</f>
        <v>CA40</v>
      </c>
    </row>
    <row r="28" spans="1:5">
      <c r="A28">
        <v>27</v>
      </c>
      <c r="B28" t="s">
        <v>52</v>
      </c>
      <c r="C28">
        <v>0</v>
      </c>
      <c r="D28" t="str">
        <f>VLOOKUP(B28,'Analyse Réel 01-2025'!F:H,1,FALSE)</f>
        <v>CAM170-Dont CA SVA ( Sce à Val Ajoutéé)</v>
      </c>
      <c r="E28" s="36" t="str">
        <f>VLOOKUP(B28,'Analyse Réel 01-2025'!F:H,2,FALSE)</f>
        <v>CA44</v>
      </c>
    </row>
    <row r="29" spans="1:5">
      <c r="A29">
        <v>28</v>
      </c>
      <c r="B29" t="s">
        <v>53</v>
      </c>
      <c r="C29" t="s">
        <v>54</v>
      </c>
      <c r="D29" t="str">
        <f>VLOOKUP(B29,'Analyse Réel 01-2025'!F:H,1,FALSE)</f>
        <v>CAM185-dont CA Internet 3G</v>
      </c>
      <c r="E29" s="36" t="str">
        <f>VLOOKUP(B29,'Analyse Réel 01-2025'!F:H,2,FALSE)</f>
        <v>CA45</v>
      </c>
    </row>
    <row r="30" spans="1:5">
      <c r="A30">
        <v>29</v>
      </c>
      <c r="B30" t="s">
        <v>55</v>
      </c>
      <c r="C30" t="s">
        <v>56</v>
      </c>
      <c r="D30" t="str">
        <f>VLOOKUP(B30,'Analyse Réel 01-2025'!F:H,1,FALSE)</f>
        <v>CAM035-Consumer Prepaid</v>
      </c>
      <c r="E30" s="36" t="str">
        <f>VLOOKUP(B30,'Analyse Réel 01-2025'!F:H,2,FALSE)</f>
        <v>CA11</v>
      </c>
    </row>
    <row r="31" spans="1:5">
      <c r="A31">
        <v>30</v>
      </c>
      <c r="B31" t="s">
        <v>57</v>
      </c>
      <c r="C31" t="s">
        <v>58</v>
      </c>
      <c r="D31" t="str">
        <f>VLOOKUP(B31,'Analyse Réel 01-2025'!F:H,1,FALSE)</f>
        <v>CAM036-Prépayé (Y compris commissions)</v>
      </c>
      <c r="E31" s="36">
        <f>VLOOKUP(B31,'Analyse Réel 01-2025'!F:H,2,FALSE)</f>
        <v>0</v>
      </c>
    </row>
    <row r="32" spans="1:5">
      <c r="A32">
        <v>31</v>
      </c>
      <c r="B32" t="s">
        <v>59</v>
      </c>
      <c r="C32" t="s">
        <v>60</v>
      </c>
      <c r="D32" t="str">
        <f>VLOOKUP(B32,'Analyse Réel 01-2025'!F:H,1,FALSE)</f>
        <v>CAM200-Red Consumer Postpaid</v>
      </c>
      <c r="E32" s="36" t="str">
        <f>VLOOKUP(B32,'Analyse Réel 01-2025'!F:H,2,FALSE)</f>
        <v>CA48</v>
      </c>
    </row>
    <row r="33" spans="1:5">
      <c r="A33">
        <v>32</v>
      </c>
      <c r="B33" t="s">
        <v>61</v>
      </c>
      <c r="C33" t="s">
        <v>62</v>
      </c>
      <c r="D33" t="str">
        <f>VLOOKUP(B33,'Analyse Réel 01-2025'!F:H,1,FALSE)</f>
        <v>CAM205-Red Business Postpaid</v>
      </c>
      <c r="E33" s="36" t="str">
        <f>VLOOKUP(B33,'Analyse Réel 01-2025'!F:H,2,FALSE)</f>
        <v>CA49</v>
      </c>
    </row>
    <row r="34" spans="1:5">
      <c r="A34">
        <v>33</v>
      </c>
      <c r="B34" t="s">
        <v>63</v>
      </c>
      <c r="C34" t="s">
        <v>64</v>
      </c>
      <c r="D34" t="str">
        <f>VLOOKUP(B34,'Analyse Réel 01-2025'!F:H,1,FALSE)</f>
        <v>CAM210-Red Business Prepaid</v>
      </c>
      <c r="E34" s="36" t="str">
        <f>VLOOKUP(B34,'Analyse Réel 01-2025'!F:H,2,FALSE)</f>
        <v>CA50</v>
      </c>
    </row>
    <row r="35" spans="1:5">
      <c r="A35">
        <v>34</v>
      </c>
      <c r="B35" t="s">
        <v>65</v>
      </c>
      <c r="C35" t="s">
        <v>66</v>
      </c>
      <c r="D35" t="str">
        <f>VLOOKUP(B35,'Analyse Réel 01-2025'!F:H,1,FALSE)</f>
        <v>CAM195-Redevance d'abonnement</v>
      </c>
      <c r="E35" s="36" t="str">
        <f>VLOOKUP(B35,'Analyse Réel 01-2025'!F:H,2,FALSE)</f>
        <v>CA47</v>
      </c>
    </row>
    <row r="36" spans="1:5">
      <c r="A36">
        <v>35</v>
      </c>
      <c r="B36" t="s">
        <v>67</v>
      </c>
      <c r="C36" t="s">
        <v>68</v>
      </c>
      <c r="D36" t="str">
        <f>VLOOKUP(B36,'Analyse Réel 01-2025'!F:H,1,FALSE)</f>
        <v>CAM225-Sortant voix on net</v>
      </c>
      <c r="E36" s="36" t="str">
        <f>VLOOKUP(B36,'Analyse Réel 01-2025'!F:H,2,FALSE)</f>
        <v>CA53</v>
      </c>
    </row>
    <row r="37" spans="1:5">
      <c r="A37">
        <v>36</v>
      </c>
      <c r="B37" t="s">
        <v>69</v>
      </c>
      <c r="C37" t="s">
        <v>70</v>
      </c>
      <c r="D37" t="str">
        <f>VLOOKUP(B37,'Analyse Réel 01-2025'!F:H,1,FALSE)</f>
        <v>CAM230-Sortant voix MTN</v>
      </c>
      <c r="E37" s="36" t="str">
        <f>VLOOKUP(B37,'Analyse Réel 01-2025'!F:H,2,FALSE)</f>
        <v>CA54</v>
      </c>
    </row>
    <row r="38" spans="1:5">
      <c r="A38">
        <v>37</v>
      </c>
      <c r="B38" t="s">
        <v>71</v>
      </c>
      <c r="C38" t="s">
        <v>72</v>
      </c>
      <c r="D38" t="str">
        <f>VLOOKUP(B38,'Analyse Réel 01-2025'!F:H,1,FALSE)</f>
        <v>CAM235-Sortant voix GLO</v>
      </c>
      <c r="E38" s="36" t="str">
        <f>VLOOKUP(B38,'Analyse Réel 01-2025'!F:H,2,FALSE)</f>
        <v>CA55</v>
      </c>
    </row>
    <row r="39" spans="1:5">
      <c r="A39">
        <v>38</v>
      </c>
      <c r="B39" t="s">
        <v>73</v>
      </c>
      <c r="C39" t="s">
        <v>74</v>
      </c>
      <c r="D39" t="str">
        <f>VLOOKUP(B39,'Analyse Réel 01-2025'!F:H,1,FALSE)</f>
        <v>CAM240-Sortant voix BBCOM</v>
      </c>
      <c r="E39" s="36" t="str">
        <f>VLOOKUP(B39,'Analyse Réel 01-2025'!F:H,2,FALSE)</f>
        <v>CA56</v>
      </c>
    </row>
    <row r="40" spans="1:5">
      <c r="A40">
        <v>39</v>
      </c>
      <c r="B40" t="s">
        <v>75</v>
      </c>
      <c r="C40" t="s">
        <v>76</v>
      </c>
      <c r="D40" t="str">
        <f>VLOOKUP(B40,'Analyse Réel 01-2025'!F:H,1,FALSE)</f>
        <v>CAM245-Sortant voix LIBERCOM</v>
      </c>
      <c r="E40" s="36" t="str">
        <f>VLOOKUP(B40,'Analyse Réel 01-2025'!F:H,2,FALSE)</f>
        <v>CA57</v>
      </c>
    </row>
    <row r="41" spans="1:5">
      <c r="A41">
        <v>40</v>
      </c>
      <c r="B41" t="s">
        <v>77</v>
      </c>
      <c r="C41" t="s">
        <v>78</v>
      </c>
      <c r="D41" t="str">
        <f>VLOOKUP(B41,'Analyse Réel 01-2025'!F:H,1,FALSE)</f>
        <v>CAM250-Sortant voix BTSA</v>
      </c>
      <c r="E41" s="36" t="str">
        <f>VLOOKUP(B41,'Analyse Réel 01-2025'!F:H,2,FALSE)</f>
        <v>CA58</v>
      </c>
    </row>
    <row r="42" spans="1:5">
      <c r="A42">
        <v>41</v>
      </c>
      <c r="B42" t="s">
        <v>79</v>
      </c>
      <c r="C42" t="s">
        <v>80</v>
      </c>
      <c r="D42" t="str">
        <f>VLOOKUP(B42,'Analyse Réel 01-2025'!F:H,1,FALSE)</f>
        <v>CAM255-Sortant voix INTERNATIONAL</v>
      </c>
      <c r="E42" s="36" t="str">
        <f>VLOOKUP(B42,'Analyse Réel 01-2025'!F:H,2,FALSE)</f>
        <v>CA59</v>
      </c>
    </row>
    <row r="43" spans="1:5">
      <c r="A43">
        <v>42</v>
      </c>
      <c r="B43" t="s">
        <v>81</v>
      </c>
      <c r="C43" t="s">
        <v>82</v>
      </c>
      <c r="D43" t="str">
        <f>VLOOKUP(B43,'Analyse Réel 01-2025'!F:H,1,FALSE)</f>
        <v>CAM260-Sortant voix roaming</v>
      </c>
      <c r="E43" s="36" t="str">
        <f>VLOOKUP(B43,'Analyse Réel 01-2025'!F:H,2,FALSE)</f>
        <v>CA60</v>
      </c>
    </row>
    <row r="44" spans="1:5">
      <c r="A44">
        <v>43</v>
      </c>
      <c r="B44" t="s">
        <v>83</v>
      </c>
      <c r="C44" t="s">
        <v>84</v>
      </c>
      <c r="D44" t="str">
        <f>VLOOKUP(B44,'Analyse Réel 01-2025'!F:H,1,FALSE)</f>
        <v>CAM265-Total VOIX Sortant</v>
      </c>
      <c r="E44" s="36" t="str">
        <f>VLOOKUP(B44,'Analyse Réel 01-2025'!F:H,2,FALSE)</f>
        <v>CA61</v>
      </c>
    </row>
    <row r="45" spans="1:5">
      <c r="A45">
        <v>44</v>
      </c>
      <c r="B45" t="s">
        <v>85</v>
      </c>
      <c r="C45" t="s">
        <v>86</v>
      </c>
      <c r="D45" t="str">
        <f>VLOOKUP(B45,'Analyse Réel 01-2025'!F:H,1,FALSE)</f>
        <v>CAM270-Sortant sms on net</v>
      </c>
      <c r="E45" s="36" t="str">
        <f>VLOOKUP(B45,'Analyse Réel 01-2025'!F:H,2,FALSE)</f>
        <v>CA63</v>
      </c>
    </row>
    <row r="46" spans="1:5">
      <c r="A46">
        <v>45</v>
      </c>
      <c r="B46" t="s">
        <v>87</v>
      </c>
      <c r="C46" t="s">
        <v>88</v>
      </c>
      <c r="D46" t="str">
        <f>VLOOKUP(B46,'Analyse Réel 01-2025'!F:H,1,FALSE)</f>
        <v>CAM275-Sortant sms MTN</v>
      </c>
      <c r="E46" s="36" t="str">
        <f>VLOOKUP(B46,'Analyse Réel 01-2025'!F:H,2,FALSE)</f>
        <v>CA64</v>
      </c>
    </row>
    <row r="47" spans="1:5">
      <c r="A47">
        <v>46</v>
      </c>
      <c r="B47" t="s">
        <v>89</v>
      </c>
      <c r="C47" t="s">
        <v>88</v>
      </c>
      <c r="D47" t="str">
        <f>VLOOKUP(B47,'Analyse Réel 01-2025'!F:H,1,FALSE)</f>
        <v>CAM280-Sortant sms GLO</v>
      </c>
      <c r="E47" s="36" t="str">
        <f>VLOOKUP(B47,'Analyse Réel 01-2025'!F:H,2,FALSE)</f>
        <v>CA65</v>
      </c>
    </row>
    <row r="48" spans="1:5">
      <c r="A48">
        <v>47</v>
      </c>
      <c r="B48" t="s">
        <v>90</v>
      </c>
      <c r="C48" t="s">
        <v>88</v>
      </c>
      <c r="D48" t="str">
        <f>VLOOKUP(B48,'Analyse Réel 01-2025'!F:H,1,FALSE)</f>
        <v>CAM285-Sortant sms BBCOM</v>
      </c>
      <c r="E48" s="36" t="str">
        <f>VLOOKUP(B48,'Analyse Réel 01-2025'!F:H,2,FALSE)</f>
        <v>CA66</v>
      </c>
    </row>
    <row r="49" spans="1:5">
      <c r="A49">
        <v>48</v>
      </c>
      <c r="B49" t="s">
        <v>91</v>
      </c>
      <c r="C49" t="s">
        <v>88</v>
      </c>
      <c r="D49" t="str">
        <f>VLOOKUP(B49,'Analyse Réel 01-2025'!F:H,1,FALSE)</f>
        <v>CAM290-Sortant sms LIBERCOM</v>
      </c>
      <c r="E49" s="36" t="str">
        <f>VLOOKUP(B49,'Analyse Réel 01-2025'!F:H,2,FALSE)</f>
        <v>CA67</v>
      </c>
    </row>
    <row r="50" spans="1:5">
      <c r="A50">
        <v>49</v>
      </c>
      <c r="B50" t="s">
        <v>92</v>
      </c>
      <c r="C50" t="s">
        <v>88</v>
      </c>
      <c r="D50" t="str">
        <f>VLOOKUP(B50,'Analyse Réel 01-2025'!F:H,1,FALSE)</f>
        <v>CAM295-Sortant sms INTERNATIONAL</v>
      </c>
      <c r="E50" s="36" t="str">
        <f>VLOOKUP(B50,'Analyse Réel 01-2025'!F:H,2,FALSE)</f>
        <v>CA68</v>
      </c>
    </row>
    <row r="51" spans="1:5">
      <c r="A51">
        <v>50</v>
      </c>
      <c r="B51" t="s">
        <v>93</v>
      </c>
      <c r="C51" t="s">
        <v>94</v>
      </c>
      <c r="D51" t="str">
        <f>VLOOKUP(B51,'Analyse Réel 01-2025'!F:H,1,FALSE)</f>
        <v>CAM300-Total SMS Sortant</v>
      </c>
      <c r="E51" s="36" t="str">
        <f>VLOOKUP(B51,'Analyse Réel 01-2025'!F:H,2,FALSE)</f>
        <v>CA69</v>
      </c>
    </row>
    <row r="52" spans="1:5">
      <c r="A52">
        <v>51</v>
      </c>
      <c r="B52" t="s">
        <v>95</v>
      </c>
      <c r="C52" t="s">
        <v>96</v>
      </c>
      <c r="D52" t="str">
        <f>VLOOKUP(B52,'Analyse Réel 01-2025'!F:H,1,FALSE)</f>
        <v>CAM305-Revenu Internet 3G</v>
      </c>
      <c r="E52" s="36" t="str">
        <f>VLOOKUP(B52,'Analyse Réel 01-2025'!F:H,2,FALSE)</f>
        <v>CA71</v>
      </c>
    </row>
    <row r="53" spans="1:5">
      <c r="A53">
        <v>52</v>
      </c>
      <c r="B53" t="s">
        <v>97</v>
      </c>
      <c r="C53" t="s">
        <v>98</v>
      </c>
      <c r="D53" t="str">
        <f>VLOOKUP(B53,'Analyse Réel 01-2025'!F:H,1,FALSE)</f>
        <v>CAM310-Transport and Automotive</v>
      </c>
      <c r="E53" s="36" t="str">
        <f>VLOOKUP(B53,'Analyse Réel 01-2025'!F:H,2,FALSE)</f>
        <v>CA72</v>
      </c>
    </row>
    <row r="54" spans="1:5">
      <c r="A54">
        <v>53</v>
      </c>
      <c r="B54" t="s">
        <v>99</v>
      </c>
      <c r="C54" t="s">
        <v>100</v>
      </c>
      <c r="D54" t="str">
        <f>VLOOKUP(B54,'Analyse Réel 01-2025'!F:H,1,FALSE)</f>
        <v>CAM315-Banking</v>
      </c>
      <c r="E54" s="36" t="str">
        <f>VLOOKUP(B54,'Analyse Réel 01-2025'!F:H,2,FALSE)</f>
        <v>CA73</v>
      </c>
    </row>
    <row r="55" spans="1:5">
      <c r="A55">
        <v>54</v>
      </c>
      <c r="B55" t="s">
        <v>101</v>
      </c>
      <c r="C55">
        <v>0</v>
      </c>
      <c r="D55" t="str">
        <f>VLOOKUP(B55,'Analyse Réel 01-2025'!F:H,1,FALSE)</f>
        <v>CAM320-Autres</v>
      </c>
      <c r="E55" s="36" t="str">
        <f>VLOOKUP(B55,'Analyse Réel 01-2025'!F:H,2,FALSE)</f>
        <v>CA74</v>
      </c>
    </row>
    <row r="56" spans="1:5">
      <c r="A56">
        <v>55</v>
      </c>
      <c r="B56" t="s">
        <v>102</v>
      </c>
      <c r="C56" t="s">
        <v>103</v>
      </c>
      <c r="D56" t="str">
        <f>VLOOKUP(B56,'Analyse Réel 01-2025'!F:H,1,FALSE)</f>
        <v>CAM325-Total Data</v>
      </c>
      <c r="E56" s="36" t="str">
        <f>VLOOKUP(B56,'Analyse Réel 01-2025'!F:H,2,FALSE)</f>
        <v>CA75</v>
      </c>
    </row>
    <row r="57" spans="1:5">
      <c r="A57">
        <v>56</v>
      </c>
      <c r="B57" t="s">
        <v>104</v>
      </c>
      <c r="C57" t="s">
        <v>105</v>
      </c>
      <c r="D57" t="str">
        <f>VLOOKUP(B57,'Analyse Réel 01-2025'!F:H,1,FALSE)</f>
        <v>CAM326-Consumer Postpaid</v>
      </c>
      <c r="E57" s="36" t="str">
        <f>VLOOKUP(B57,'Analyse Réel 01-2025'!F:H,2,FALSE)</f>
        <v>CA52</v>
      </c>
    </row>
    <row r="58" spans="1:5">
      <c r="A58">
        <v>57</v>
      </c>
      <c r="B58" t="s">
        <v>106</v>
      </c>
      <c r="C58" t="s">
        <v>107</v>
      </c>
      <c r="D58" t="str">
        <f>VLOOKUP(B58,'Analyse Réel 01-2025'!F:H,1,FALSE)</f>
        <v>CAM335-Sortant voix on net</v>
      </c>
      <c r="E58" s="36" t="str">
        <f>VLOOKUP(B58,'Analyse Réel 01-2025'!F:H,2,FALSE)</f>
        <v>CA78</v>
      </c>
    </row>
    <row r="59" spans="1:5">
      <c r="A59">
        <v>58</v>
      </c>
      <c r="B59" t="s">
        <v>108</v>
      </c>
      <c r="C59" t="s">
        <v>109</v>
      </c>
      <c r="D59" t="str">
        <f>VLOOKUP(B59,'Analyse Réel 01-2025'!F:H,1,FALSE)</f>
        <v>CAM340-Sortant voix MTN</v>
      </c>
      <c r="E59" s="36" t="str">
        <f>VLOOKUP(B59,'Analyse Réel 01-2025'!F:H,2,FALSE)</f>
        <v>CA79</v>
      </c>
    </row>
    <row r="60" spans="1:5">
      <c r="A60">
        <v>59</v>
      </c>
      <c r="B60" t="s">
        <v>110</v>
      </c>
      <c r="D60" t="str">
        <f>VLOOKUP(B60,'Analyse Réel 01-2025'!F:H,1,FALSE)</f>
        <v>CAM345-Sortant voix GLO</v>
      </c>
      <c r="E60" s="36" t="str">
        <f>VLOOKUP(B60,'Analyse Réel 01-2025'!F:H,2,FALSE)</f>
        <v>CA80</v>
      </c>
    </row>
    <row r="61" spans="1:5">
      <c r="A61">
        <v>60</v>
      </c>
      <c r="B61" t="s">
        <v>111</v>
      </c>
      <c r="D61" t="str">
        <f>VLOOKUP(B61,'Analyse Réel 01-2025'!F:H,1,FALSE)</f>
        <v>CAM355-Sortant voix BBCOM</v>
      </c>
      <c r="E61" s="36" t="str">
        <f>VLOOKUP(B61,'Analyse Réel 01-2025'!F:H,2,FALSE)</f>
        <v>CA81</v>
      </c>
    </row>
    <row r="62" spans="1:5">
      <c r="A62">
        <v>61</v>
      </c>
      <c r="B62" t="s">
        <v>112</v>
      </c>
      <c r="D62" t="str">
        <f>VLOOKUP(B62,'Analyse Réel 01-2025'!F:H,1,FALSE)</f>
        <v>CAM360-Sortant voix LIBERCOM</v>
      </c>
      <c r="E62" s="36" t="str">
        <f>VLOOKUP(B62,'Analyse Réel 01-2025'!F:H,2,FALSE)</f>
        <v>CA82</v>
      </c>
    </row>
    <row r="63" spans="1:5">
      <c r="A63">
        <v>62</v>
      </c>
      <c r="B63" t="s">
        <v>113</v>
      </c>
      <c r="C63" t="s">
        <v>114</v>
      </c>
      <c r="D63" t="str">
        <f>VLOOKUP(B63,'Analyse Réel 01-2025'!F:H,1,FALSE)</f>
        <v>CAM365-Sortant voix BTSA</v>
      </c>
      <c r="E63" s="36" t="str">
        <f>VLOOKUP(B63,'Analyse Réel 01-2025'!F:H,2,FALSE)</f>
        <v>CA83</v>
      </c>
    </row>
    <row r="64" spans="1:5">
      <c r="A64">
        <v>63</v>
      </c>
      <c r="B64" t="s">
        <v>115</v>
      </c>
      <c r="C64" t="s">
        <v>116</v>
      </c>
      <c r="D64" t="str">
        <f>VLOOKUP(B64,'Analyse Réel 01-2025'!F:H,1,FALSE)</f>
        <v>CAM370-Sortant voix INTERNATIONAL</v>
      </c>
      <c r="E64" s="36" t="str">
        <f>VLOOKUP(B64,'Analyse Réel 01-2025'!F:H,2,FALSE)</f>
        <v>CA84</v>
      </c>
    </row>
    <row r="65" spans="1:5">
      <c r="A65">
        <v>64</v>
      </c>
      <c r="B65" t="s">
        <v>117</v>
      </c>
      <c r="C65" t="s">
        <v>118</v>
      </c>
      <c r="D65" t="str">
        <f>VLOOKUP(B65,'Analyse Réel 01-2025'!F:H,1,FALSE)</f>
        <v>CAM375-Sortant voix roaming</v>
      </c>
      <c r="E65" s="36" t="str">
        <f>VLOOKUP(B65,'Analyse Réel 01-2025'!F:H,2,FALSE)</f>
        <v>CA85</v>
      </c>
    </row>
    <row r="66" spans="1:5">
      <c r="A66">
        <v>65</v>
      </c>
      <c r="B66" t="s">
        <v>119</v>
      </c>
      <c r="C66" t="s">
        <v>120</v>
      </c>
      <c r="D66" t="str">
        <f>VLOOKUP(B66,'Analyse Réel 01-2025'!F:H,1,FALSE)</f>
        <v>CAM380-Total VOIX Sortant</v>
      </c>
      <c r="E66" s="36" t="str">
        <f>VLOOKUP(B66,'Analyse Réel 01-2025'!F:H,2,FALSE)</f>
        <v>CA86</v>
      </c>
    </row>
    <row r="67" spans="1:5">
      <c r="A67">
        <v>66</v>
      </c>
      <c r="B67" t="s">
        <v>121</v>
      </c>
      <c r="C67" t="s">
        <v>122</v>
      </c>
      <c r="D67" t="str">
        <f>VLOOKUP(B67,'Analyse Réel 01-2025'!F:H,1,FALSE)</f>
        <v>CAM385-Sortant sms on net</v>
      </c>
      <c r="E67" s="36" t="str">
        <f>VLOOKUP(B67,'Analyse Réel 01-2025'!F:H,2,FALSE)</f>
        <v>CA88</v>
      </c>
    </row>
    <row r="68" spans="1:5">
      <c r="A68">
        <v>67</v>
      </c>
      <c r="B68" t="s">
        <v>123</v>
      </c>
      <c r="C68" t="s">
        <v>88</v>
      </c>
      <c r="D68" t="str">
        <f>VLOOKUP(B68,'Analyse Réel 01-2025'!F:H,1,FALSE)</f>
        <v>CAM390-Sortant sms MTN</v>
      </c>
      <c r="E68" s="36" t="str">
        <f>VLOOKUP(B68,'Analyse Réel 01-2025'!F:H,2,FALSE)</f>
        <v>CA89</v>
      </c>
    </row>
    <row r="69" spans="1:5">
      <c r="A69">
        <v>68</v>
      </c>
      <c r="B69" t="s">
        <v>124</v>
      </c>
      <c r="C69" t="s">
        <v>88</v>
      </c>
      <c r="D69" t="str">
        <f>VLOOKUP(B69,'Analyse Réel 01-2025'!F:H,1,FALSE)</f>
        <v>CAM395-Sortant sms GLO</v>
      </c>
      <c r="E69" s="36" t="str">
        <f>VLOOKUP(B69,'Analyse Réel 01-2025'!F:H,2,FALSE)</f>
        <v>CA90</v>
      </c>
    </row>
    <row r="70" spans="1:5">
      <c r="A70">
        <v>69</v>
      </c>
      <c r="B70" t="s">
        <v>125</v>
      </c>
      <c r="C70" t="s">
        <v>88</v>
      </c>
      <c r="D70" t="str">
        <f>VLOOKUP(B70,'Analyse Réel 01-2025'!F:H,1,FALSE)</f>
        <v>CAM400-Sortant sms BBCOM</v>
      </c>
      <c r="E70" s="36" t="str">
        <f>VLOOKUP(B70,'Analyse Réel 01-2025'!F:H,2,FALSE)</f>
        <v>CA91</v>
      </c>
    </row>
    <row r="71" spans="1:5">
      <c r="A71">
        <v>70</v>
      </c>
      <c r="B71" t="s">
        <v>126</v>
      </c>
      <c r="C71" t="s">
        <v>88</v>
      </c>
      <c r="D71" t="str">
        <f>VLOOKUP(B71,'Analyse Réel 01-2025'!F:H,1,FALSE)</f>
        <v>CAM405-Sortant sms LIBERCOM</v>
      </c>
      <c r="E71" s="36" t="str">
        <f>VLOOKUP(B71,'Analyse Réel 01-2025'!F:H,2,FALSE)</f>
        <v>CA92</v>
      </c>
    </row>
    <row r="72" spans="1:5">
      <c r="A72">
        <v>71</v>
      </c>
      <c r="B72" t="s">
        <v>127</v>
      </c>
      <c r="C72" t="s">
        <v>88</v>
      </c>
      <c r="D72" t="str">
        <f>VLOOKUP(B72,'Analyse Réel 01-2025'!F:H,1,FALSE)</f>
        <v>CAM410-Sortant sms INTERNATIONAL</v>
      </c>
      <c r="E72" s="36" t="str">
        <f>VLOOKUP(B72,'Analyse Réel 01-2025'!F:H,2,FALSE)</f>
        <v>CA93</v>
      </c>
    </row>
    <row r="73" spans="1:5">
      <c r="A73">
        <v>72</v>
      </c>
      <c r="B73" t="s">
        <v>128</v>
      </c>
      <c r="C73" t="s">
        <v>129</v>
      </c>
      <c r="D73" t="str">
        <f>VLOOKUP(B73,'Analyse Réel 01-2025'!F:H,1,FALSE)</f>
        <v>CAM415-Total SMS Sortant</v>
      </c>
      <c r="E73" s="36" t="str">
        <f>VLOOKUP(B73,'Analyse Réel 01-2025'!F:H,2,FALSE)</f>
        <v>CA94</v>
      </c>
    </row>
    <row r="74" spans="1:5">
      <c r="A74">
        <v>73</v>
      </c>
      <c r="B74" t="s">
        <v>130</v>
      </c>
      <c r="C74">
        <f>-706154 -L3</f>
        <v>-706154</v>
      </c>
      <c r="D74" t="str">
        <f>VLOOKUP(B74,'Analyse Réel 01-2025'!F:H,1,FALSE)</f>
        <v>CAM420-Revenu Internet 3G</v>
      </c>
      <c r="E74" s="36" t="str">
        <f>VLOOKUP(B74,'Analyse Réel 01-2025'!F:H,2,FALSE)</f>
        <v>CA96</v>
      </c>
    </row>
    <row r="75" spans="1:5">
      <c r="A75">
        <v>74</v>
      </c>
      <c r="B75" t="s">
        <v>131</v>
      </c>
      <c r="C75">
        <v>0</v>
      </c>
      <c r="D75" t="str">
        <f>VLOOKUP(B75,'Analyse Réel 01-2025'!F:H,1,FALSE)</f>
        <v>CAM425-Transport and Automotive</v>
      </c>
      <c r="E75" s="36" t="str">
        <f>VLOOKUP(B75,'Analyse Réel 01-2025'!F:H,2,FALSE)</f>
        <v>CA97</v>
      </c>
    </row>
    <row r="76" spans="1:5">
      <c r="A76">
        <v>75</v>
      </c>
      <c r="B76" t="s">
        <v>132</v>
      </c>
      <c r="C76" t="s">
        <v>133</v>
      </c>
      <c r="D76" t="str">
        <f>VLOOKUP(B76,'Analyse Réel 01-2025'!F:H,1,FALSE)</f>
        <v>CAM430-Banking</v>
      </c>
      <c r="E76" s="36" t="str">
        <f>VLOOKUP(B76,'Analyse Réel 01-2025'!F:H,2,FALSE)</f>
        <v>CA98</v>
      </c>
    </row>
    <row r="77" spans="1:5">
      <c r="A77">
        <v>76</v>
      </c>
      <c r="B77" t="s">
        <v>134</v>
      </c>
      <c r="C77">
        <v>0</v>
      </c>
      <c r="D77" t="str">
        <f>VLOOKUP(B77,'Analyse Réel 01-2025'!F:H,1,FALSE)</f>
        <v>CAM435-Autres</v>
      </c>
      <c r="E77" s="36" t="str">
        <f>VLOOKUP(B77,'Analyse Réel 01-2025'!F:H,2,FALSE)</f>
        <v>CA99</v>
      </c>
    </row>
    <row r="78" spans="1:5">
      <c r="A78">
        <v>77</v>
      </c>
      <c r="B78" t="s">
        <v>135</v>
      </c>
      <c r="C78" t="s">
        <v>136</v>
      </c>
      <c r="D78" t="str">
        <f>VLOOKUP(B78,'Analyse Réel 01-2025'!F:H,1,FALSE)</f>
        <v>CAM440-Total Data</v>
      </c>
      <c r="E78" s="36" t="str">
        <f>VLOOKUP(B78,'Analyse Réel 01-2025'!F:H,2,FALSE)</f>
        <v>CA100</v>
      </c>
    </row>
    <row r="79" spans="1:5">
      <c r="A79">
        <v>78</v>
      </c>
      <c r="B79" t="s">
        <v>137</v>
      </c>
      <c r="C79" t="s">
        <v>138</v>
      </c>
      <c r="D79" t="str">
        <f>VLOOKUP(B79,'Analyse Réel 01-2025'!F:H,1,FALSE)</f>
        <v>CAM330-Business Postpaid</v>
      </c>
      <c r="E79" s="36" t="str">
        <f>VLOOKUP(B79,'Analyse Réel 01-2025'!F:H,2,FALSE)</f>
        <v>CA77</v>
      </c>
    </row>
    <row r="80" spans="1:5">
      <c r="A80">
        <v>79</v>
      </c>
      <c r="B80" t="s">
        <v>139</v>
      </c>
      <c r="C80" t="s">
        <v>140</v>
      </c>
      <c r="D80" t="str">
        <f>VLOOKUP(B80,'Analyse Réel 01-2025'!F:H,1,FALSE)</f>
        <v>CAM450-Sortant voix on net</v>
      </c>
      <c r="E80" s="36" t="str">
        <f>VLOOKUP(B80,'Analyse Réel 01-2025'!F:H,2,FALSE)</f>
        <v>CA103</v>
      </c>
    </row>
    <row r="81" spans="1:5">
      <c r="A81">
        <v>80</v>
      </c>
      <c r="B81" t="s">
        <v>141</v>
      </c>
      <c r="C81" t="s">
        <v>142</v>
      </c>
      <c r="D81" t="str">
        <f>VLOOKUP(B81,'Analyse Réel 01-2025'!F:H,1,FALSE)</f>
        <v>CAM455-Sortant voix MTN</v>
      </c>
      <c r="E81" s="36" t="str">
        <f>VLOOKUP(B81,'Analyse Réel 01-2025'!F:H,2,FALSE)</f>
        <v>CA104</v>
      </c>
    </row>
    <row r="82" spans="1:5">
      <c r="A82">
        <v>81</v>
      </c>
      <c r="B82" t="s">
        <v>143</v>
      </c>
      <c r="D82" t="str">
        <f>VLOOKUP(B82,'Analyse Réel 01-2025'!F:H,1,FALSE)</f>
        <v>CAM460-Sortant voix GLO</v>
      </c>
      <c r="E82" s="36" t="str">
        <f>VLOOKUP(B82,'Analyse Réel 01-2025'!F:H,2,FALSE)</f>
        <v>CA105</v>
      </c>
    </row>
    <row r="83" spans="1:5">
      <c r="A83">
        <v>82</v>
      </c>
      <c r="B83" t="s">
        <v>144</v>
      </c>
      <c r="D83" t="str">
        <f>VLOOKUP(B83,'Analyse Réel 01-2025'!F:H,1,FALSE)</f>
        <v>CAM465-Sortant voix BBCOM</v>
      </c>
      <c r="E83" s="36" t="str">
        <f>VLOOKUP(B83,'Analyse Réel 01-2025'!F:H,2,FALSE)</f>
        <v>CA106</v>
      </c>
    </row>
    <row r="84" spans="1:5">
      <c r="A84">
        <v>83</v>
      </c>
      <c r="B84" t="s">
        <v>145</v>
      </c>
      <c r="D84" t="str">
        <f>VLOOKUP(B84,'Analyse Réel 01-2025'!F:H,1,FALSE)</f>
        <v>CAM470-Sortant voix LIBERCOM</v>
      </c>
      <c r="E84" s="36" t="str">
        <f>VLOOKUP(B84,'Analyse Réel 01-2025'!F:H,2,FALSE)</f>
        <v>CA107</v>
      </c>
    </row>
    <row r="85" spans="1:5">
      <c r="A85">
        <v>84</v>
      </c>
      <c r="B85" t="s">
        <v>146</v>
      </c>
      <c r="C85" t="s">
        <v>147</v>
      </c>
      <c r="D85" t="str">
        <f>VLOOKUP(B85,'Analyse Réel 01-2025'!F:H,1,FALSE)</f>
        <v>CAM475-Sortant voix BTSA</v>
      </c>
      <c r="E85" s="36" t="str">
        <f>VLOOKUP(B85,'Analyse Réel 01-2025'!F:H,2,FALSE)</f>
        <v>CA108</v>
      </c>
    </row>
    <row r="86" spans="1:5">
      <c r="A86">
        <v>85</v>
      </c>
      <c r="B86" t="s">
        <v>148</v>
      </c>
      <c r="C86" t="s">
        <v>149</v>
      </c>
      <c r="D86" t="str">
        <f>VLOOKUP(B86,'Analyse Réel 01-2025'!F:H,1,FALSE)</f>
        <v>CAM480-Sortant voix INTERNATIONAL</v>
      </c>
      <c r="E86" s="36" t="str">
        <f>VLOOKUP(B86,'Analyse Réel 01-2025'!F:H,2,FALSE)</f>
        <v>CA109</v>
      </c>
    </row>
    <row r="87" spans="1:5">
      <c r="A87">
        <v>86</v>
      </c>
      <c r="B87" t="s">
        <v>150</v>
      </c>
      <c r="C87" t="s">
        <v>151</v>
      </c>
      <c r="D87" t="str">
        <f>VLOOKUP(B87,'Analyse Réel 01-2025'!F:H,1,FALSE)</f>
        <v>CAM485-Sortant voix roaming</v>
      </c>
      <c r="E87" s="36" t="str">
        <f>VLOOKUP(B87,'Analyse Réel 01-2025'!F:H,2,FALSE)</f>
        <v>CA110</v>
      </c>
    </row>
    <row r="88" spans="1:5">
      <c r="A88">
        <v>87</v>
      </c>
      <c r="B88" t="s">
        <v>152</v>
      </c>
      <c r="C88" t="s">
        <v>153</v>
      </c>
      <c r="D88" t="str">
        <f>VLOOKUP(B88,'Analyse Réel 01-2025'!F:H,1,FALSE)</f>
        <v>CAM490-Total VOIX Sortant</v>
      </c>
      <c r="E88" s="36" t="str">
        <f>VLOOKUP(B88,'Analyse Réel 01-2025'!F:H,2,FALSE)</f>
        <v>CA111</v>
      </c>
    </row>
    <row r="89" spans="1:5">
      <c r="A89">
        <v>88</v>
      </c>
      <c r="B89" t="s">
        <v>154</v>
      </c>
      <c r="C89" t="s">
        <v>155</v>
      </c>
      <c r="D89" t="str">
        <f>VLOOKUP(B89,'Analyse Réel 01-2025'!F:H,1,FALSE)</f>
        <v>CAM495-Sortant sms on net</v>
      </c>
      <c r="E89" s="36" t="str">
        <f>VLOOKUP(B89,'Analyse Réel 01-2025'!F:H,2,FALSE)</f>
        <v>CA113</v>
      </c>
    </row>
    <row r="90" spans="1:5">
      <c r="A90">
        <v>89</v>
      </c>
      <c r="B90" t="s">
        <v>156</v>
      </c>
      <c r="C90" t="s">
        <v>157</v>
      </c>
      <c r="D90" t="str">
        <f>VLOOKUP(B90,'Analyse Réel 01-2025'!F:H,1,FALSE)</f>
        <v>CAM500-Sortant sms MTN</v>
      </c>
      <c r="E90" s="36" t="str">
        <f>VLOOKUP(B90,'Analyse Réel 01-2025'!F:H,2,FALSE)</f>
        <v>CA114</v>
      </c>
    </row>
    <row r="91" spans="1:5">
      <c r="A91">
        <v>90</v>
      </c>
      <c r="B91" t="s">
        <v>158</v>
      </c>
      <c r="C91" t="s">
        <v>159</v>
      </c>
      <c r="D91" t="str">
        <f>VLOOKUP(B91,'Analyse Réel 01-2025'!F:H,1,FALSE)</f>
        <v>CAM505-Sortant sms GLO</v>
      </c>
      <c r="E91" s="36" t="str">
        <f>VLOOKUP(B91,'Analyse Réel 01-2025'!F:H,2,FALSE)</f>
        <v>CA115</v>
      </c>
    </row>
    <row r="92" spans="1:5">
      <c r="A92">
        <v>91</v>
      </c>
      <c r="B92" t="s">
        <v>160</v>
      </c>
      <c r="C92" t="s">
        <v>161</v>
      </c>
      <c r="D92" t="str">
        <f>VLOOKUP(B92,'Analyse Réel 01-2025'!F:H,1,FALSE)</f>
        <v>CAM510-Sortant sms BBCOM</v>
      </c>
      <c r="E92" s="36" t="str">
        <f>VLOOKUP(B92,'Analyse Réel 01-2025'!F:H,2,FALSE)</f>
        <v>CA116</v>
      </c>
    </row>
    <row r="93" spans="1:5">
      <c r="A93">
        <v>92</v>
      </c>
      <c r="B93" t="s">
        <v>162</v>
      </c>
      <c r="C93" t="s">
        <v>163</v>
      </c>
      <c r="D93" t="str">
        <f>VLOOKUP(B93,'Analyse Réel 01-2025'!F:H,1,FALSE)</f>
        <v>CAM515-Sortant sms LIBERCOM</v>
      </c>
      <c r="E93" s="36" t="str">
        <f>VLOOKUP(B93,'Analyse Réel 01-2025'!F:H,2,FALSE)</f>
        <v>CA117</v>
      </c>
    </row>
    <row r="94" spans="1:5">
      <c r="A94">
        <v>93</v>
      </c>
      <c r="B94" t="s">
        <v>164</v>
      </c>
      <c r="C94" t="s">
        <v>165</v>
      </c>
      <c r="D94" t="str">
        <f>VLOOKUP(B94,'Analyse Réel 01-2025'!F:H,1,FALSE)</f>
        <v>CAM520-Sortant sms INTERNATIONAL</v>
      </c>
      <c r="E94" s="36" t="str">
        <f>VLOOKUP(B94,'Analyse Réel 01-2025'!F:H,2,FALSE)</f>
        <v>CA118</v>
      </c>
    </row>
    <row r="95" spans="1:5">
      <c r="A95">
        <v>94</v>
      </c>
      <c r="B95" t="s">
        <v>166</v>
      </c>
      <c r="C95" t="s">
        <v>167</v>
      </c>
      <c r="D95" t="str">
        <f>VLOOKUP(B95,'Analyse Réel 01-2025'!F:H,1,FALSE)</f>
        <v>CAM525-Total SMS Sortant</v>
      </c>
      <c r="E95" s="36" t="str">
        <f>VLOOKUP(B95,'Analyse Réel 01-2025'!F:H,2,FALSE)</f>
        <v>CA119</v>
      </c>
    </row>
    <row r="96" spans="1:5">
      <c r="A96">
        <v>95</v>
      </c>
      <c r="B96" t="s">
        <v>168</v>
      </c>
      <c r="C96" t="s">
        <v>169</v>
      </c>
      <c r="D96" t="str">
        <f>VLOOKUP(B96,'Analyse Réel 01-2025'!F:H,1,FALSE)</f>
        <v>CAM530-Revenu Internet 3G</v>
      </c>
      <c r="E96" s="36" t="str">
        <f>VLOOKUP(B96,'Analyse Réel 01-2025'!F:H,2,FALSE)</f>
        <v>CA121</v>
      </c>
    </row>
    <row r="97" spans="1:5">
      <c r="A97">
        <v>96</v>
      </c>
      <c r="B97" t="s">
        <v>170</v>
      </c>
      <c r="C97" t="s">
        <v>171</v>
      </c>
      <c r="D97" t="str">
        <f>VLOOKUP(B97,'Analyse Réel 01-2025'!F:H,1,FALSE)</f>
        <v>CAM535-Transport and Automotive</v>
      </c>
      <c r="E97" s="36" t="str">
        <f>VLOOKUP(B97,'Analyse Réel 01-2025'!F:H,2,FALSE)</f>
        <v>CA122</v>
      </c>
    </row>
    <row r="98" spans="1:5">
      <c r="A98">
        <v>97</v>
      </c>
      <c r="B98" t="s">
        <v>172</v>
      </c>
      <c r="C98" t="s">
        <v>173</v>
      </c>
      <c r="D98" t="str">
        <f>VLOOKUP(B98,'Analyse Réel 01-2025'!F:H,1,FALSE)</f>
        <v>CAM540-Banking (TPE)</v>
      </c>
      <c r="E98" s="36" t="str">
        <f>VLOOKUP(B98,'Analyse Réel 01-2025'!F:H,2,FALSE)</f>
        <v>CA123</v>
      </c>
    </row>
    <row r="99" spans="1:5">
      <c r="A99">
        <v>98</v>
      </c>
      <c r="B99" t="s">
        <v>174</v>
      </c>
      <c r="C99" t="s">
        <v>175</v>
      </c>
      <c r="D99" t="str">
        <f>VLOOKUP(B99,'Analyse Réel 01-2025'!F:H,1,FALSE)</f>
        <v>CAM545-Revenu VAS (call histury sim swap, sauvega</v>
      </c>
      <c r="E99" s="36" t="str">
        <f>VLOOKUP(B99,'Analyse Réel 01-2025'!F:H,2,FALSE)</f>
        <v>CA124</v>
      </c>
    </row>
    <row r="100" spans="1:5">
      <c r="A100">
        <v>99</v>
      </c>
      <c r="B100" t="s">
        <v>176</v>
      </c>
      <c r="C100">
        <v>0</v>
      </c>
      <c r="D100" t="str">
        <f>VLOOKUP(B100,'Analyse Réel 01-2025'!F:H,1,FALSE)</f>
        <v>CAM550-Autres SVA (Sce Foot,M2U, Job etc)</v>
      </c>
      <c r="E100" s="36" t="str">
        <f>VLOOKUP(B100,'Analyse Réel 01-2025'!F:H,2,FALSE)</f>
        <v>CA125</v>
      </c>
    </row>
    <row r="101" spans="1:5">
      <c r="A101">
        <v>100</v>
      </c>
      <c r="B101" t="s">
        <v>177</v>
      </c>
      <c r="C101" t="s">
        <v>178</v>
      </c>
      <c r="D101" t="str">
        <f>VLOOKUP(B101,'Analyse Réel 01-2025'!F:H,1,FALSE)</f>
        <v>CAM555-CRBT</v>
      </c>
      <c r="E101" s="36" t="str">
        <f>VLOOKUP(B101,'Analyse Réel 01-2025'!F:H,2,FALSE)</f>
        <v>CA126</v>
      </c>
    </row>
    <row r="102" spans="1:5">
      <c r="A102">
        <v>101</v>
      </c>
      <c r="B102" t="s">
        <v>179</v>
      </c>
      <c r="C102" t="s">
        <v>45</v>
      </c>
      <c r="D102" t="str">
        <f>VLOOKUP(B102,'Analyse Réel 01-2025'!F:H,1,FALSE)</f>
        <v>CAM560-Story Box</v>
      </c>
      <c r="E102" s="36" t="str">
        <f>VLOOKUP(B102,'Analyse Réel 01-2025'!F:H,2,FALSE)</f>
        <v>CA127</v>
      </c>
    </row>
    <row r="103" spans="1:5">
      <c r="A103">
        <v>102</v>
      </c>
      <c r="B103" t="s">
        <v>180</v>
      </c>
      <c r="C103" t="s">
        <v>181</v>
      </c>
      <c r="D103" t="str">
        <f>VLOOKUP(B103,'Analyse Réel 01-2025'!F:H,1,FALSE)</f>
        <v>CAM565-Phonebook STK</v>
      </c>
      <c r="E103" s="36" t="str">
        <f>VLOOKUP(B103,'Analyse Réel 01-2025'!F:H,2,FALSE)</f>
        <v>CA128</v>
      </c>
    </row>
    <row r="104" spans="1:5">
      <c r="A104">
        <v>103</v>
      </c>
      <c r="B104" t="s">
        <v>182</v>
      </c>
      <c r="C104" t="s">
        <v>181</v>
      </c>
      <c r="D104" t="str">
        <f>VLOOKUP(B104,'Analyse Réel 01-2025'!F:H,1,FALSE)</f>
        <v>CAM570-Gaming</v>
      </c>
      <c r="E104" s="36" t="str">
        <f>VLOOKUP(B104,'Analyse Réel 01-2025'!F:H,2,FALSE)</f>
        <v>CA129</v>
      </c>
    </row>
    <row r="105" spans="1:5">
      <c r="A105">
        <v>104</v>
      </c>
      <c r="B105" t="s">
        <v>183</v>
      </c>
      <c r="C105" t="s">
        <v>184</v>
      </c>
      <c r="D105" t="str">
        <f>VLOOKUP(B105,'Analyse Réel 01-2025'!F:H,1,FALSE)</f>
        <v>CAM575-Total Data</v>
      </c>
      <c r="E105" s="36" t="str">
        <f>VLOOKUP(B105,'Analyse Réel 01-2025'!F:H,2,FALSE)</f>
        <v>CA130</v>
      </c>
    </row>
    <row r="106" spans="1:5">
      <c r="A106">
        <v>105</v>
      </c>
      <c r="B106" t="s">
        <v>185</v>
      </c>
      <c r="C106">
        <v>0</v>
      </c>
      <c r="D106" t="str">
        <f>VLOOKUP(B106,'Analyse Réel 01-2025'!F:H,1,FALSE)</f>
        <v>CAM580-Dont CA voix</v>
      </c>
      <c r="E106" s="36" t="str">
        <f>VLOOKUP(B106,'Analyse Réel 01-2025'!F:H,2,FALSE)</f>
        <v>CA132</v>
      </c>
    </row>
    <row r="107" spans="1:5">
      <c r="A107">
        <v>106</v>
      </c>
      <c r="B107" t="s">
        <v>186</v>
      </c>
      <c r="C107">
        <v>0</v>
      </c>
      <c r="D107" t="str">
        <f>VLOOKUP(B107,'Analyse Réel 01-2025'!F:H,1,FALSE)</f>
        <v>CAM585-Dont CA SMS</v>
      </c>
      <c r="E107" s="36" t="str">
        <f>VLOOKUP(B107,'Analyse Réel 01-2025'!F:H,2,FALSE)</f>
        <v>CA133</v>
      </c>
    </row>
    <row r="108" spans="1:5">
      <c r="A108">
        <v>107</v>
      </c>
      <c r="B108" t="s">
        <v>187</v>
      </c>
      <c r="C108" t="s">
        <v>188</v>
      </c>
      <c r="D108" t="str">
        <f>VLOOKUP(B108,'Analyse Réel 01-2025'!F:H,1,FALSE)</f>
        <v>CAM587-dont CA Internet 3G</v>
      </c>
      <c r="E108" s="36" t="str">
        <f>VLOOKUP(B108,'Analyse Réel 01-2025'!F:H,2,FALSE)</f>
        <v>CA135</v>
      </c>
    </row>
    <row r="109" spans="1:5">
      <c r="A109">
        <v>108</v>
      </c>
      <c r="B109" t="s">
        <v>189</v>
      </c>
      <c r="C109" t="s">
        <v>190</v>
      </c>
      <c r="D109" t="str">
        <f>VLOOKUP(B109,'Analyse Réel 01-2025'!F:H,1,FALSE)</f>
        <v>CAM445-Business Prepaid</v>
      </c>
      <c r="E109" s="36" t="str">
        <f>VLOOKUP(B109,'Analyse Réel 01-2025'!F:H,2,FALSE)</f>
        <v>CA102</v>
      </c>
    </row>
    <row r="110" spans="1:5">
      <c r="A110">
        <v>109</v>
      </c>
      <c r="B110" t="s">
        <v>191</v>
      </c>
      <c r="C110" t="s">
        <v>192</v>
      </c>
      <c r="D110" t="str">
        <f>VLOOKUP(B110,'Analyse Réel 01-2025'!F:H,1,FALSE)</f>
        <v>CAM446-Trafic sortant</v>
      </c>
      <c r="E110" s="36" t="str">
        <f>VLOOKUP(B110,'Analyse Réel 01-2025'!F:H,2,FALSE)</f>
        <v>CA51</v>
      </c>
    </row>
    <row r="111" spans="1:5">
      <c r="A111">
        <v>110</v>
      </c>
      <c r="B111" t="s">
        <v>193</v>
      </c>
      <c r="C111" t="s">
        <v>194</v>
      </c>
      <c r="D111" t="str">
        <f>VLOOKUP(B111,'Analyse Réel 01-2025'!F:H,1,FALSE)</f>
        <v xml:space="preserve">CAM447-Postpayé </v>
      </c>
      <c r="E111" s="36" t="str">
        <f>VLOOKUP(B111,'Analyse Réel 01-2025'!F:H,2,FALSE)</f>
        <v>CA46</v>
      </c>
    </row>
    <row r="112" spans="1:5">
      <c r="A112">
        <v>111</v>
      </c>
      <c r="B112" t="s">
        <v>195</v>
      </c>
      <c r="C112" t="s">
        <v>196</v>
      </c>
      <c r="D112" t="str">
        <f>VLOOKUP(B112,'Analyse Réel 01-2025'!F:H,1,FALSE)</f>
        <v>CAM600-Mobile money</v>
      </c>
      <c r="E112" s="36" t="str">
        <f>VLOOKUP(B112,'Analyse Réel 01-2025'!F:H,2,FALSE)</f>
        <v>CA136</v>
      </c>
    </row>
    <row r="113" spans="1:5">
      <c r="A113">
        <v>112</v>
      </c>
      <c r="B113" t="s">
        <v>197</v>
      </c>
      <c r="C113" s="66" t="s">
        <v>198</v>
      </c>
      <c r="D113" t="str">
        <f>VLOOKUP(B113,'Analyse Réel 01-2025'!F:H,1,FALSE)</f>
        <v>CAM605-Liaisons Spécialisées</v>
      </c>
      <c r="E113" s="36" t="str">
        <f>VLOOKUP(B113,'Analyse Réel 01-2025'!F:H,2,FALSE)</f>
        <v>CA137</v>
      </c>
    </row>
    <row r="114" spans="1:5">
      <c r="A114">
        <v>113</v>
      </c>
      <c r="B114" t="s">
        <v>199</v>
      </c>
      <c r="C114" t="s">
        <v>200</v>
      </c>
      <c r="D114" t="str">
        <f>VLOOKUP(B114,'Analyse Réel 01-2025'!F:H,1,FALSE)</f>
        <v>CAM595-Internet Mobile (Prp +Pop)</v>
      </c>
      <c r="E114" s="36" t="str">
        <f>VLOOKUP(B114,'Analyse Réel 01-2025'!F:H,2,FALSE)</f>
        <v>CA138</v>
      </c>
    </row>
    <row r="115" spans="1:5">
      <c r="A115">
        <v>114</v>
      </c>
      <c r="B115" t="s">
        <v>201</v>
      </c>
      <c r="C115" t="s">
        <v>202</v>
      </c>
      <c r="D115" t="str">
        <f>VLOOKUP(B115,'Analyse Réel 01-2025'!F:H,1,FALSE)</f>
        <v>CAM635-Consumer Prepaid</v>
      </c>
      <c r="E115" s="36" t="str">
        <f>VLOOKUP(B115,'Analyse Réel 01-2025'!F:H,2,FALSE)</f>
        <v>CA144</v>
      </c>
    </row>
    <row r="116" spans="1:5">
      <c r="A116">
        <v>115</v>
      </c>
      <c r="B116" t="s">
        <v>203</v>
      </c>
      <c r="C116" t="s">
        <v>204</v>
      </c>
      <c r="D116" t="str">
        <f>VLOOKUP(B116,'Analyse Réel 01-2025'!F:H,1,FALSE)</f>
        <v>CAM640-Consumer Postpaid</v>
      </c>
      <c r="E116" s="36" t="str">
        <f>VLOOKUP(B116,'Analyse Réel 01-2025'!F:H,2,FALSE)</f>
        <v>CA145</v>
      </c>
    </row>
    <row r="117" spans="1:5">
      <c r="A117">
        <v>116</v>
      </c>
      <c r="B117" t="s">
        <v>205</v>
      </c>
      <c r="C117" t="s">
        <v>206</v>
      </c>
      <c r="D117" t="str">
        <f>VLOOKUP(B117,'Analyse Réel 01-2025'!F:H,1,FALSE)</f>
        <v>CAM645-Business Postpaid</v>
      </c>
      <c r="E117" s="36" t="str">
        <f>VLOOKUP(B117,'Analyse Réel 01-2025'!F:H,2,FALSE)</f>
        <v>CA146</v>
      </c>
    </row>
    <row r="118" spans="1:5">
      <c r="A118">
        <v>117</v>
      </c>
      <c r="B118" t="s">
        <v>207</v>
      </c>
      <c r="C118" t="s">
        <v>208</v>
      </c>
      <c r="D118" t="str">
        <f>VLOOKUP(B118,'Analyse Réel 01-2025'!F:H,1,FALSE)</f>
        <v>CAM650-Business Prepaid</v>
      </c>
      <c r="E118" s="36" t="str">
        <f>VLOOKUP(B118,'Analyse Réel 01-2025'!F:H,2,FALSE)</f>
        <v>CA147</v>
      </c>
    </row>
    <row r="119" spans="1:5">
      <c r="A119">
        <v>118</v>
      </c>
      <c r="B119" t="s">
        <v>209</v>
      </c>
      <c r="C119" t="s">
        <v>210</v>
      </c>
      <c r="D119" t="str">
        <f>VLOOKUP(B119,'Analyse Réel 01-2025'!F:H,1,FALSE)</f>
        <v>CAM655-Opérateur national MTN</v>
      </c>
      <c r="E119" s="36" t="str">
        <f>VLOOKUP(B119,'Analyse Réel 01-2025'!F:H,2,FALSE)</f>
        <v>CA143</v>
      </c>
    </row>
    <row r="120" spans="1:5">
      <c r="A120">
        <v>119</v>
      </c>
      <c r="B120" t="s">
        <v>211</v>
      </c>
      <c r="C120" t="s">
        <v>212</v>
      </c>
      <c r="D120" t="str">
        <f>VLOOKUP(B120,'Analyse Réel 01-2025'!F:H,1,FALSE)</f>
        <v>CAM660-Consumer Prepaid</v>
      </c>
      <c r="E120" s="36" t="str">
        <f>VLOOKUP(B120,'Analyse Réel 01-2025'!F:H,2,FALSE)</f>
        <v>CA149</v>
      </c>
    </row>
    <row r="121" spans="1:5">
      <c r="A121">
        <v>120</v>
      </c>
      <c r="B121" t="s">
        <v>213</v>
      </c>
      <c r="C121" t="s">
        <v>214</v>
      </c>
      <c r="D121" t="str">
        <f>VLOOKUP(B121,'Analyse Réel 01-2025'!F:H,1,FALSE)</f>
        <v>CAM665-Consumer Postpaid</v>
      </c>
      <c r="E121" s="36" t="str">
        <f>VLOOKUP(B121,'Analyse Réel 01-2025'!F:H,2,FALSE)</f>
        <v>CA150</v>
      </c>
    </row>
    <row r="122" spans="1:5">
      <c r="A122">
        <v>121</v>
      </c>
      <c r="B122" t="s">
        <v>215</v>
      </c>
      <c r="C122" t="s">
        <v>216</v>
      </c>
      <c r="D122" t="str">
        <f>VLOOKUP(B122,'Analyse Réel 01-2025'!F:H,1,FALSE)</f>
        <v>CAM670-Business Postpaid</v>
      </c>
      <c r="E122" s="36" t="str">
        <f>VLOOKUP(B122,'Analyse Réel 01-2025'!F:H,2,FALSE)</f>
        <v>CA151</v>
      </c>
    </row>
    <row r="123" spans="1:5">
      <c r="A123">
        <v>122</v>
      </c>
      <c r="B123" t="s">
        <v>217</v>
      </c>
      <c r="C123" t="s">
        <v>218</v>
      </c>
      <c r="D123" t="str">
        <f>VLOOKUP(B123,'Analyse Réel 01-2025'!F:H,1,FALSE)</f>
        <v>CAM680-Business Prepaid</v>
      </c>
      <c r="E123" s="36" t="str">
        <f>VLOOKUP(B123,'Analyse Réel 01-2025'!F:H,2,FALSE)</f>
        <v>CA152</v>
      </c>
    </row>
    <row r="124" spans="1:5">
      <c r="A124">
        <v>123</v>
      </c>
      <c r="B124" t="s">
        <v>219</v>
      </c>
      <c r="C124" t="s">
        <v>220</v>
      </c>
      <c r="D124" t="str">
        <f>VLOOKUP(B124,'Analyse Réel 01-2025'!F:H,1,FALSE)</f>
        <v xml:space="preserve">CAM686-Opérateur national GLO   </v>
      </c>
      <c r="E124" s="36" t="str">
        <f>VLOOKUP(B124,'Analyse Réel 01-2025'!F:H,2,FALSE)</f>
        <v>CA148</v>
      </c>
    </row>
    <row r="125" spans="1:5">
      <c r="A125">
        <v>124</v>
      </c>
      <c r="B125" t="s">
        <v>221</v>
      </c>
      <c r="C125" t="s">
        <v>222</v>
      </c>
      <c r="D125" t="str">
        <f>VLOOKUP(B125,'Analyse Réel 01-2025'!F:H,1,FALSE)</f>
        <v>CAM695-Consumer Prepaid</v>
      </c>
      <c r="E125" s="36" t="str">
        <f>VLOOKUP(B125,'Analyse Réel 01-2025'!F:H,2,FALSE)</f>
        <v>CA154</v>
      </c>
    </row>
    <row r="126" spans="1:5">
      <c r="A126">
        <v>125</v>
      </c>
      <c r="B126" t="s">
        <v>223</v>
      </c>
      <c r="C126" t="s">
        <v>224</v>
      </c>
      <c r="D126" t="str">
        <f>VLOOKUP(B126,'Analyse Réel 01-2025'!F:H,1,FALSE)</f>
        <v>CAM700-Consumer Postpaid</v>
      </c>
      <c r="E126" s="36" t="str">
        <f>VLOOKUP(B126,'Analyse Réel 01-2025'!F:H,2,FALSE)</f>
        <v>CA155</v>
      </c>
    </row>
    <row r="127" spans="1:5">
      <c r="A127">
        <v>126</v>
      </c>
      <c r="B127" t="s">
        <v>225</v>
      </c>
      <c r="C127" t="s">
        <v>226</v>
      </c>
      <c r="D127" t="str">
        <f>VLOOKUP(B127,'Analyse Réel 01-2025'!F:H,1,FALSE)</f>
        <v>CAM705-Business Postpaid</v>
      </c>
      <c r="E127" s="36" t="str">
        <f>VLOOKUP(B127,'Analyse Réel 01-2025'!F:H,2,FALSE)</f>
        <v>CA156</v>
      </c>
    </row>
    <row r="128" spans="1:5">
      <c r="A128">
        <v>127</v>
      </c>
      <c r="B128" t="s">
        <v>227</v>
      </c>
      <c r="C128" t="s">
        <v>228</v>
      </c>
      <c r="D128" t="str">
        <f>VLOOKUP(B128,'Analyse Réel 01-2025'!F:H,1,FALSE)</f>
        <v>CAM710-Business Prepaid</v>
      </c>
      <c r="E128" s="36" t="str">
        <f>VLOOKUP(B128,'Analyse Réel 01-2025'!F:H,2,FALSE)</f>
        <v>CA157</v>
      </c>
    </row>
    <row r="129" spans="1:5">
      <c r="A129">
        <v>128</v>
      </c>
      <c r="B129" t="s">
        <v>229</v>
      </c>
      <c r="C129" t="s">
        <v>230</v>
      </c>
      <c r="D129" t="str">
        <f>VLOOKUP(B129,'Analyse Réel 01-2025'!F:H,1,FALSE)</f>
        <v>CAM690-BTSA, BBCOM &amp; LIBERCOM</v>
      </c>
      <c r="E129" s="36" t="str">
        <f>VLOOKUP(B129,'Analyse Réel 01-2025'!F:H,2,FALSE)</f>
        <v>CA153</v>
      </c>
    </row>
    <row r="130" spans="1:5">
      <c r="A130">
        <v>129</v>
      </c>
      <c r="B130" t="s">
        <v>231</v>
      </c>
      <c r="C130" t="s">
        <v>232</v>
      </c>
      <c r="D130" t="str">
        <f>VLOOKUP(B130,'Analyse Réel 01-2025'!F:H,1,FALSE)</f>
        <v>CAM720-Consumer Prepaid</v>
      </c>
      <c r="E130" s="36" t="str">
        <f>VLOOKUP(B130,'Analyse Réel 01-2025'!F:H,2,FALSE)</f>
        <v>CA159</v>
      </c>
    </row>
    <row r="131" spans="1:5">
      <c r="A131">
        <v>130</v>
      </c>
      <c r="B131" t="s">
        <v>233</v>
      </c>
      <c r="C131" t="s">
        <v>234</v>
      </c>
      <c r="D131" t="str">
        <f>VLOOKUP(B131,'Analyse Réel 01-2025'!F:H,1,FALSE)</f>
        <v>CAM725-Consumer Postpaid</v>
      </c>
      <c r="E131" s="36" t="str">
        <f>VLOOKUP(B131,'Analyse Réel 01-2025'!F:H,2,FALSE)</f>
        <v>CA160</v>
      </c>
    </row>
    <row r="132" spans="1:5">
      <c r="A132">
        <v>131</v>
      </c>
      <c r="B132" t="s">
        <v>235</v>
      </c>
      <c r="C132" t="s">
        <v>236</v>
      </c>
      <c r="D132" t="str">
        <f>VLOOKUP(B132,'Analyse Réel 01-2025'!F:H,1,FALSE)</f>
        <v>CAM730-Business Postpaid</v>
      </c>
      <c r="E132" s="36" t="str">
        <f>VLOOKUP(B132,'Analyse Réel 01-2025'!F:H,2,FALSE)</f>
        <v>CA161</v>
      </c>
    </row>
    <row r="133" spans="1:5">
      <c r="A133">
        <v>132</v>
      </c>
      <c r="B133" t="s">
        <v>237</v>
      </c>
      <c r="C133" t="s">
        <v>238</v>
      </c>
      <c r="D133" t="str">
        <f>VLOOKUP(B133,'Analyse Réel 01-2025'!F:H,1,FALSE)</f>
        <v>CAM735-Business Prepaid</v>
      </c>
      <c r="E133" s="36" t="str">
        <f>VLOOKUP(B133,'Analyse Réel 01-2025'!F:H,2,FALSE)</f>
        <v>CA162</v>
      </c>
    </row>
    <row r="134" spans="1:5">
      <c r="A134">
        <v>133</v>
      </c>
      <c r="B134" t="s">
        <v>239</v>
      </c>
      <c r="C134" t="s">
        <v>240</v>
      </c>
      <c r="D134" t="str">
        <f>VLOOKUP(B134,'Analyse Réel 01-2025'!F:H,1,FALSE)</f>
        <v>CAM715- International</v>
      </c>
      <c r="E134" s="36" t="str">
        <f>VLOOKUP(B134,'Analyse Réel 01-2025'!F:H,2,FALSE)</f>
        <v>CA158</v>
      </c>
    </row>
    <row r="135" spans="1:5">
      <c r="A135">
        <v>134</v>
      </c>
      <c r="B135" t="s">
        <v>241</v>
      </c>
      <c r="C135" t="s">
        <v>242</v>
      </c>
      <c r="D135" t="str">
        <f>VLOOKUP(B135,'Analyse Réel 01-2025'!F:H,1,FALSE)</f>
        <v>CAM625-CA Entrant</v>
      </c>
      <c r="E135" s="36" t="str">
        <f>VLOOKUP(B135,'Analyse Réel 01-2025'!F:H,2,FALSE)</f>
        <v>CA142</v>
      </c>
    </row>
    <row r="136" spans="1:5">
      <c r="A136">
        <v>135</v>
      </c>
      <c r="B136" t="s">
        <v>243</v>
      </c>
      <c r="C136" s="66">
        <v>-706142</v>
      </c>
      <c r="D136" t="str">
        <f>VLOOKUP(B136,'Analyse Réel 01-2025'!F:H,1,FALSE)</f>
        <v>CAM760-Roaming in</v>
      </c>
      <c r="E136" s="36" t="str">
        <f>VLOOKUP(B136,'Analyse Réel 01-2025'!F:H,2,FALSE)</f>
        <v>CA171</v>
      </c>
    </row>
    <row r="137" spans="1:5">
      <c r="A137">
        <v>136</v>
      </c>
      <c r="B137" t="s">
        <v>244</v>
      </c>
      <c r="C137" s="66">
        <v>-701110</v>
      </c>
      <c r="D137" t="str">
        <f>VLOOKUP(B137,'Analyse Réel 01-2025'!F:H,1,FALSE)</f>
        <v xml:space="preserve">CAM770-vente de téléphones &amp; kits </v>
      </c>
      <c r="E137" s="36" t="str">
        <f>VLOOKUP(B137,'Analyse Réel 01-2025'!F:H,2,FALSE)</f>
        <v>CA173</v>
      </c>
    </row>
    <row r="138" spans="1:5">
      <c r="A138">
        <v>137</v>
      </c>
      <c r="B138" t="s">
        <v>245</v>
      </c>
      <c r="C138" s="66">
        <v>-701115</v>
      </c>
      <c r="D138" t="str">
        <f>VLOOKUP(B138,'Analyse Réel 01-2025'!F:H,1,FALSE)</f>
        <v>CAM775-Vente de clés &amp; modems usb</v>
      </c>
      <c r="E138" s="36" t="str">
        <f>VLOOKUP(B138,'Analyse Réel 01-2025'!F:H,2,FALSE)</f>
        <v>CA174</v>
      </c>
    </row>
    <row r="139" spans="1:5">
      <c r="A139">
        <v>138</v>
      </c>
      <c r="B139" t="s">
        <v>246</v>
      </c>
      <c r="C139" s="66">
        <v>-706160</v>
      </c>
      <c r="D139" t="str">
        <f>VLOOKUP(B139,'Analyse Réel 01-2025'!F:H,1,FALSE)</f>
        <v xml:space="preserve">CAM780-Autres </v>
      </c>
      <c r="E139" s="36" t="str">
        <f>VLOOKUP(B139,'Analyse Réel 01-2025'!F:H,2,FALSE)</f>
        <v>CA175</v>
      </c>
    </row>
    <row r="140" spans="1:5">
      <c r="A140">
        <v>139</v>
      </c>
      <c r="B140" t="s">
        <v>247</v>
      </c>
      <c r="C140" t="s">
        <v>248</v>
      </c>
      <c r="D140" t="str">
        <f>VLOOKUP(B140,'Analyse Réel 01-2025'!F:H,1,FALSE)</f>
        <v>CAM765-CA Non récurrent</v>
      </c>
      <c r="E140" s="36" t="str">
        <f>VLOOKUP(B140,'Analyse Réel 01-2025'!F:H,2,FALSE)</f>
        <v>CA172</v>
      </c>
    </row>
    <row r="141" spans="1:5">
      <c r="A141">
        <v>140</v>
      </c>
      <c r="B141" t="s">
        <v>249</v>
      </c>
      <c r="C141" t="s">
        <v>250</v>
      </c>
      <c r="D141" t="str">
        <f>VLOOKUP(B141,'Analyse Réel 01-2025'!F:H,1,FALSE)</f>
        <v>CAM025-CA Sortant</v>
      </c>
      <c r="E141" s="36" t="str">
        <f>VLOOKUP(B141,'Analyse Réel 01-2025'!F:H,2,FALSE)</f>
        <v>CA9</v>
      </c>
    </row>
    <row r="142" spans="1:5">
      <c r="A142">
        <v>141</v>
      </c>
      <c r="B142" t="s">
        <v>251</v>
      </c>
      <c r="C142" t="s">
        <v>252</v>
      </c>
      <c r="D142" t="str">
        <f>VLOOKUP(B142,'Analyse Réel 01-2025'!F:H,1,FALSE)</f>
        <v>CAM020-CA récurrent</v>
      </c>
      <c r="E142" s="36" t="str">
        <f>VLOOKUP(B142,'Analyse Réel 01-2025'!F:H,2,FALSE)</f>
        <v>CA7</v>
      </c>
    </row>
    <row r="143" spans="1:5">
      <c r="A143">
        <v>142</v>
      </c>
      <c r="B143" t="s">
        <v>253</v>
      </c>
      <c r="C143" t="s">
        <v>254</v>
      </c>
      <c r="D143" t="str">
        <f>VLOOKUP(B143,'Analyse Réel 01-2025'!F:H,1,FALSE)</f>
        <v>CAM015-CA services Mobile</v>
      </c>
      <c r="E143" s="36" t="str">
        <f>VLOOKUP(B143,'Analyse Réel 01-2025'!F:H,2,FALSE)</f>
        <v>CA5</v>
      </c>
    </row>
    <row r="144" spans="1:5">
      <c r="A144">
        <v>143</v>
      </c>
      <c r="B144" t="s">
        <v>255</v>
      </c>
      <c r="C144" t="s">
        <v>256</v>
      </c>
      <c r="D144" t="str">
        <f>VLOOKUP(B144,'Analyse Réel 01-2025'!F:H,1,FALSE)</f>
        <v>CAM005-CA Global</v>
      </c>
      <c r="E144" s="36" t="str">
        <f>VLOOKUP(B144,'Analyse Réel 01-2025'!F:H,2,FALSE)</f>
        <v>CA1</v>
      </c>
    </row>
  </sheetData>
  <autoFilter ref="A1:E144" xr:uid="{5E0EF27B-F8EE-4F19-A0F6-4BF858D0E95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9818-B6A1-4EA2-AE27-1D8F976E79A0}">
  <sheetPr>
    <tabColor rgb="FFFFC000"/>
  </sheetPr>
  <dimension ref="A1:G145"/>
  <sheetViews>
    <sheetView workbookViewId="0">
      <selection activeCell="C2" sqref="C2"/>
    </sheetView>
  </sheetViews>
  <sheetFormatPr defaultColWidth="11.42578125" defaultRowHeight="15"/>
  <cols>
    <col min="1" max="1" width="43.28515625" bestFit="1" customWidth="1"/>
    <col min="2" max="3" width="15.7109375" bestFit="1" customWidth="1"/>
    <col min="4" max="4" width="17.7109375" bestFit="1" customWidth="1"/>
    <col min="5" max="5" width="24.28515625" customWidth="1"/>
    <col min="6" max="6" width="14.28515625" bestFit="1" customWidth="1"/>
    <col min="7" max="7" width="14.85546875" bestFit="1" customWidth="1"/>
  </cols>
  <sheetData>
    <row r="1" spans="1:7">
      <c r="F1" s="120" t="s">
        <v>257</v>
      </c>
      <c r="G1" s="121"/>
    </row>
    <row r="2" spans="1:7">
      <c r="A2" s="78" t="s">
        <v>1</v>
      </c>
      <c r="B2" s="78" t="s">
        <v>2</v>
      </c>
      <c r="C2" s="78" t="s">
        <v>258</v>
      </c>
      <c r="D2" s="78" t="s">
        <v>259</v>
      </c>
      <c r="E2" s="78" t="s">
        <v>260</v>
      </c>
      <c r="F2" s="81" t="s">
        <v>261</v>
      </c>
      <c r="G2" s="81" t="s">
        <v>262</v>
      </c>
    </row>
    <row r="3" spans="1:7">
      <c r="A3" s="79" t="s">
        <v>4</v>
      </c>
      <c r="B3" s="80">
        <v>-9204763</v>
      </c>
      <c r="C3" s="80">
        <v>-9204763</v>
      </c>
      <c r="D3" s="80">
        <v>9204763</v>
      </c>
      <c r="E3" s="80">
        <v>0</v>
      </c>
      <c r="F3" s="82" t="str">
        <f>LEFT(A3,6)</f>
        <v>CAM040</v>
      </c>
      <c r="G3" s="82" t="str">
        <f>VLOOKUP(PROD_CAMOBILE_2025M1!A3,'Analyse Réel 01-2025'!F:G,2,FALSE)</f>
        <v>CA12</v>
      </c>
    </row>
    <row r="4" spans="1:7">
      <c r="A4" s="79" t="s">
        <v>6</v>
      </c>
      <c r="B4" s="80">
        <v>1295717222</v>
      </c>
      <c r="C4" s="80">
        <v>1295717222</v>
      </c>
      <c r="D4" s="80">
        <v>-1355614210</v>
      </c>
      <c r="E4" s="80">
        <v>0</v>
      </c>
      <c r="F4" s="82" t="str">
        <f t="shared" ref="F4:F67" si="0">LEFT(A4,6)</f>
        <v>CAM045</v>
      </c>
      <c r="G4" s="82" t="str">
        <f>VLOOKUP(PROD_CAMOBILE_2025M1!A4,'Analyse Réel 01-2025'!F:G,2,FALSE)</f>
        <v>CA13</v>
      </c>
    </row>
    <row r="5" spans="1:7">
      <c r="A5" s="79" t="s">
        <v>8</v>
      </c>
      <c r="B5" s="80">
        <v>1123059001</v>
      </c>
      <c r="C5" s="80">
        <v>1123059001</v>
      </c>
      <c r="D5" s="80">
        <v>-1123059001</v>
      </c>
      <c r="E5" s="80">
        <v>0</v>
      </c>
      <c r="F5" s="82" t="str">
        <f t="shared" si="0"/>
        <v>CAM050</v>
      </c>
      <c r="G5" s="82" t="str">
        <f>VLOOKUP(PROD_CAMOBILE_2025M1!A5,'Analyse Réel 01-2025'!F:G,2,FALSE)</f>
        <v>CA14</v>
      </c>
    </row>
    <row r="6" spans="1:7">
      <c r="A6" s="79" t="s">
        <v>10</v>
      </c>
      <c r="B6" s="80">
        <v>0</v>
      </c>
      <c r="C6" s="80">
        <v>0</v>
      </c>
      <c r="D6" s="80">
        <v>0</v>
      </c>
      <c r="E6" s="80">
        <v>0</v>
      </c>
      <c r="F6" s="82" t="str">
        <f t="shared" si="0"/>
        <v>CAM055</v>
      </c>
      <c r="G6" s="82" t="str">
        <f>VLOOKUP(PROD_CAMOBILE_2025M1!A6,'Analyse Réel 01-2025'!F:G,2,FALSE)</f>
        <v>CA15</v>
      </c>
    </row>
    <row r="7" spans="1:7">
      <c r="A7" s="79" t="s">
        <v>12</v>
      </c>
      <c r="B7" s="80">
        <v>0</v>
      </c>
      <c r="C7" s="80">
        <v>0</v>
      </c>
      <c r="D7" s="80">
        <v>0</v>
      </c>
      <c r="E7" s="80">
        <v>0</v>
      </c>
      <c r="F7" s="82" t="str">
        <f t="shared" si="0"/>
        <v>CAM060</v>
      </c>
      <c r="G7" s="82" t="str">
        <f>VLOOKUP(PROD_CAMOBILE_2025M1!A7,'Analyse Réel 01-2025'!F:G,2,FALSE)</f>
        <v>CA16</v>
      </c>
    </row>
    <row r="8" spans="1:7">
      <c r="A8" s="79" t="s">
        <v>14</v>
      </c>
      <c r="B8" s="80">
        <v>0</v>
      </c>
      <c r="C8" s="80">
        <v>0</v>
      </c>
      <c r="D8" s="80">
        <v>0</v>
      </c>
      <c r="E8" s="80">
        <v>0</v>
      </c>
      <c r="F8" s="82" t="str">
        <f t="shared" si="0"/>
        <v>CAM065</v>
      </c>
      <c r="G8" s="82" t="str">
        <f>VLOOKUP(PROD_CAMOBILE_2025M1!A8,'Analyse Réel 01-2025'!F:G,2,FALSE)</f>
        <v>CA17</v>
      </c>
    </row>
    <row r="9" spans="1:7">
      <c r="A9" s="79" t="s">
        <v>16</v>
      </c>
      <c r="B9" s="80">
        <v>477346316</v>
      </c>
      <c r="C9" s="80">
        <v>477346316</v>
      </c>
      <c r="D9" s="80">
        <v>0</v>
      </c>
      <c r="E9" s="80">
        <v>0</v>
      </c>
      <c r="F9" s="82" t="str">
        <f t="shared" si="0"/>
        <v>CAM070</v>
      </c>
      <c r="G9" s="82" t="str">
        <f>VLOOKUP(PROD_CAMOBILE_2025M1!A9,'Analyse Réel 01-2025'!F:G,2,FALSE)</f>
        <v>CA18</v>
      </c>
    </row>
    <row r="10" spans="1:7">
      <c r="A10" s="79" t="s">
        <v>18</v>
      </c>
      <c r="B10" s="80">
        <v>159932592</v>
      </c>
      <c r="C10" s="80">
        <v>159932592</v>
      </c>
      <c r="D10" s="80">
        <v>-159932592</v>
      </c>
      <c r="E10" s="80">
        <v>0</v>
      </c>
      <c r="F10" s="82" t="str">
        <f t="shared" si="0"/>
        <v>CAM075</v>
      </c>
      <c r="G10" s="82" t="str">
        <f>VLOOKUP(PROD_CAMOBILE_2025M1!A10,'Analyse Réel 01-2025'!F:G,2,FALSE)</f>
        <v>CA19</v>
      </c>
    </row>
    <row r="11" spans="1:7">
      <c r="A11" s="79" t="s">
        <v>20</v>
      </c>
      <c r="B11" s="80">
        <v>10567860</v>
      </c>
      <c r="C11" s="80">
        <v>10567860</v>
      </c>
      <c r="D11" s="80">
        <v>-10567860</v>
      </c>
      <c r="E11" s="80">
        <v>0</v>
      </c>
      <c r="F11" s="82" t="str">
        <f t="shared" si="0"/>
        <v>CAM080</v>
      </c>
      <c r="G11" s="82" t="str">
        <f>VLOOKUP(PROD_CAMOBILE_2025M1!A11,'Analyse Réel 01-2025'!F:G,2,FALSE)</f>
        <v>CA20</v>
      </c>
    </row>
    <row r="12" spans="1:7">
      <c r="A12" s="79" t="s">
        <v>22</v>
      </c>
      <c r="B12" s="80">
        <v>3066622991</v>
      </c>
      <c r="C12" s="80">
        <v>3066622991</v>
      </c>
      <c r="D12" s="80">
        <v>-2649173663</v>
      </c>
      <c r="E12" s="80">
        <v>0</v>
      </c>
      <c r="F12" s="82" t="str">
        <f t="shared" si="0"/>
        <v>CAM085</v>
      </c>
      <c r="G12" s="82" t="str">
        <f>VLOOKUP(PROD_CAMOBILE_2025M1!A12,'Analyse Réel 01-2025'!F:G,2,FALSE)</f>
        <v>CA21</v>
      </c>
    </row>
    <row r="13" spans="1:7">
      <c r="A13" s="79" t="s">
        <v>24</v>
      </c>
      <c r="B13" s="80">
        <v>1236479</v>
      </c>
      <c r="C13" s="80">
        <v>1236479</v>
      </c>
      <c r="D13" s="80">
        <v>-1296066</v>
      </c>
      <c r="E13" s="80">
        <v>0</v>
      </c>
      <c r="F13" s="82" t="str">
        <f t="shared" si="0"/>
        <v>CAM090</v>
      </c>
      <c r="G13" s="82" t="str">
        <f>VLOOKUP(PROD_CAMOBILE_2025M1!A13,'Analyse Réel 01-2025'!F:G,2,FALSE)</f>
        <v>CA23</v>
      </c>
    </row>
    <row r="14" spans="1:7">
      <c r="A14" s="79" t="s">
        <v>26</v>
      </c>
      <c r="B14" s="80">
        <v>1231451</v>
      </c>
      <c r="C14" s="80">
        <v>1231451</v>
      </c>
      <c r="D14" s="80">
        <v>0</v>
      </c>
      <c r="E14" s="80">
        <v>0</v>
      </c>
      <c r="F14" s="82" t="str">
        <f t="shared" si="0"/>
        <v>CAM095</v>
      </c>
      <c r="G14" s="82" t="str">
        <f>VLOOKUP(PROD_CAMOBILE_2025M1!A14,'Analyse Réel 01-2025'!F:G,2,FALSE)</f>
        <v>CA24</v>
      </c>
    </row>
    <row r="15" spans="1:7">
      <c r="A15" s="79" t="s">
        <v>28</v>
      </c>
      <c r="B15" s="80">
        <v>0</v>
      </c>
      <c r="C15" s="80">
        <v>0</v>
      </c>
      <c r="D15" s="80">
        <v>0</v>
      </c>
      <c r="E15" s="80">
        <v>0</v>
      </c>
      <c r="F15" s="82" t="str">
        <f>LEFT(A15,7)</f>
        <v>CAM0100</v>
      </c>
      <c r="G15" s="82" t="str">
        <f>VLOOKUP(PROD_CAMOBILE_2025M1!A15,'Analyse Réel 01-2025'!F:G,2,FALSE)</f>
        <v>CA25</v>
      </c>
    </row>
    <row r="16" spans="1:7">
      <c r="A16" s="79" t="s">
        <v>30</v>
      </c>
      <c r="B16" s="80">
        <v>1381</v>
      </c>
      <c r="C16" s="80">
        <v>1381</v>
      </c>
      <c r="D16" s="80">
        <v>-1381</v>
      </c>
      <c r="E16" s="80">
        <v>0</v>
      </c>
      <c r="F16" s="82" t="str">
        <f t="shared" si="0"/>
        <v>CAM105</v>
      </c>
      <c r="G16" s="82" t="str">
        <f>VLOOKUP(PROD_CAMOBILE_2025M1!A16,'Analyse Réel 01-2025'!F:G,2,FALSE)</f>
        <v>CA26</v>
      </c>
    </row>
    <row r="17" spans="1:7">
      <c r="A17" s="79" t="s">
        <v>32</v>
      </c>
      <c r="B17" s="80">
        <v>232047</v>
      </c>
      <c r="C17" s="80">
        <v>232047</v>
      </c>
      <c r="D17" s="80">
        <v>-232047</v>
      </c>
      <c r="E17" s="80">
        <v>0</v>
      </c>
      <c r="F17" s="82" t="str">
        <f t="shared" si="0"/>
        <v>CAM110</v>
      </c>
      <c r="G17" s="82" t="str">
        <f>VLOOKUP(PROD_CAMOBILE_2025M1!A17,'Analyse Réel 01-2025'!F:G,2,FALSE)</f>
        <v>CA27</v>
      </c>
    </row>
    <row r="18" spans="1:7">
      <c r="A18" s="79" t="s">
        <v>34</v>
      </c>
      <c r="B18" s="80">
        <v>2620917</v>
      </c>
      <c r="C18" s="80">
        <v>-2620917</v>
      </c>
      <c r="D18" s="80">
        <v>-2620917</v>
      </c>
      <c r="E18" s="80">
        <v>5241834</v>
      </c>
      <c r="F18" s="82" t="str">
        <f t="shared" si="0"/>
        <v>CAM115</v>
      </c>
      <c r="G18" s="82" t="str">
        <f>VLOOKUP(PROD_CAMOBILE_2025M1!A18,'Analyse Réel 01-2025'!F:G,2,FALSE)</f>
        <v>CA28</v>
      </c>
    </row>
    <row r="19" spans="1:7">
      <c r="A19" s="79" t="s">
        <v>36</v>
      </c>
      <c r="B19" s="80">
        <v>5322275</v>
      </c>
      <c r="C19" s="80">
        <v>80441</v>
      </c>
      <c r="D19" s="80">
        <v>-4150411</v>
      </c>
      <c r="E19" s="80">
        <v>5241834</v>
      </c>
      <c r="F19" s="82" t="str">
        <f t="shared" si="0"/>
        <v>CAM120</v>
      </c>
      <c r="G19" s="82" t="str">
        <f>VLOOKUP(PROD_CAMOBILE_2025M1!A19,'Analyse Réel 01-2025'!F:G,2,FALSE)</f>
        <v>CA29</v>
      </c>
    </row>
    <row r="20" spans="1:7">
      <c r="A20" s="79" t="s">
        <v>38</v>
      </c>
      <c r="B20" s="80">
        <v>3391819301</v>
      </c>
      <c r="C20" s="80">
        <v>0</v>
      </c>
      <c r="D20" s="80">
        <v>0</v>
      </c>
      <c r="E20" s="80">
        <v>3391819301</v>
      </c>
      <c r="F20" s="82" t="str">
        <f t="shared" si="0"/>
        <v>CAM125</v>
      </c>
      <c r="G20" s="82" t="str">
        <f>VLOOKUP(PROD_CAMOBILE_2025M1!A20,'Analyse Réel 01-2025'!F:G,2,FALSE)</f>
        <v>CA31</v>
      </c>
    </row>
    <row r="21" spans="1:7">
      <c r="A21" s="79" t="s">
        <v>40</v>
      </c>
      <c r="B21" s="80">
        <v>132797</v>
      </c>
      <c r="C21" s="80">
        <v>-132797</v>
      </c>
      <c r="D21" s="80">
        <v>-132797</v>
      </c>
      <c r="E21" s="80">
        <v>265594</v>
      </c>
      <c r="F21" s="82" t="str">
        <f t="shared" si="0"/>
        <v>CAM130</v>
      </c>
      <c r="G21" s="82" t="str">
        <f>VLOOKUP(PROD_CAMOBILE_2025M1!A21,'Analyse Réel 01-2025'!F:G,2,FALSE)</f>
        <v>CA33</v>
      </c>
    </row>
    <row r="22" spans="1:7">
      <c r="A22" s="79" t="s">
        <v>42</v>
      </c>
      <c r="B22" s="80">
        <v>117373380</v>
      </c>
      <c r="C22" s="80">
        <v>-117373380</v>
      </c>
      <c r="D22" s="80">
        <v>-117373380</v>
      </c>
      <c r="E22" s="80">
        <v>234746760</v>
      </c>
      <c r="F22" s="82" t="str">
        <f t="shared" si="0"/>
        <v>CAM135</v>
      </c>
      <c r="G22" s="82" t="str">
        <f>VLOOKUP(PROD_CAMOBILE_2025M1!A22,'Analyse Réel 01-2025'!F:G,2,FALSE)</f>
        <v>CA34</v>
      </c>
    </row>
    <row r="23" spans="1:7">
      <c r="A23" s="79" t="s">
        <v>44</v>
      </c>
      <c r="B23" s="80">
        <v>0</v>
      </c>
      <c r="C23" s="80">
        <v>-129418045</v>
      </c>
      <c r="D23" s="80">
        <v>-129418045</v>
      </c>
      <c r="E23" s="80">
        <v>129418045</v>
      </c>
      <c r="F23" s="82" t="str">
        <f t="shared" si="0"/>
        <v>CAM140</v>
      </c>
      <c r="G23" s="82" t="str">
        <f>VLOOKUP(PROD_CAMOBILE_2025M1!A23,'Analyse Réel 01-2025'!F:G,2,FALSE)</f>
        <v>CA35</v>
      </c>
    </row>
    <row r="24" spans="1:7">
      <c r="A24" s="79" t="s">
        <v>46</v>
      </c>
      <c r="B24" s="80">
        <v>0</v>
      </c>
      <c r="C24" s="80">
        <v>-129418045</v>
      </c>
      <c r="D24" s="80">
        <v>-129418045</v>
      </c>
      <c r="E24" s="80">
        <v>129418045</v>
      </c>
      <c r="F24" s="82" t="str">
        <f t="shared" si="0"/>
        <v>CAM145</v>
      </c>
      <c r="G24" s="82" t="str">
        <f>VLOOKUP(PROD_CAMOBILE_2025M1!A24,'Analyse Réel 01-2025'!F:G,2,FALSE)</f>
        <v>CA36</v>
      </c>
    </row>
    <row r="25" spans="1:7">
      <c r="A25" s="79" t="s">
        <v>47</v>
      </c>
      <c r="B25" s="80">
        <v>0</v>
      </c>
      <c r="C25" s="80">
        <v>-129418045</v>
      </c>
      <c r="D25" s="80">
        <v>-129418045</v>
      </c>
      <c r="E25" s="80">
        <v>129418045</v>
      </c>
      <c r="F25" s="82" t="str">
        <f t="shared" si="0"/>
        <v>CAM150</v>
      </c>
      <c r="G25" s="82" t="str">
        <f>VLOOKUP(PROD_CAMOBILE_2025M1!A25,'Analyse Réel 01-2025'!F:G,2,FALSE)</f>
        <v>CA37</v>
      </c>
    </row>
    <row r="26" spans="1:7">
      <c r="A26" s="79" t="s">
        <v>48</v>
      </c>
      <c r="B26" s="80">
        <v>0</v>
      </c>
      <c r="C26" s="80">
        <v>-129418045</v>
      </c>
      <c r="D26" s="80">
        <v>-129418045</v>
      </c>
      <c r="E26" s="80">
        <v>129418045</v>
      </c>
      <c r="F26" s="82" t="str">
        <f t="shared" si="0"/>
        <v>CAM155</v>
      </c>
      <c r="G26" s="82" t="str">
        <f>VLOOKUP(PROD_CAMOBILE_2025M1!A26,'Analyse Réel 01-2025'!F:G,2,FALSE)</f>
        <v>CA38</v>
      </c>
    </row>
    <row r="27" spans="1:7">
      <c r="A27" s="79" t="s">
        <v>49</v>
      </c>
      <c r="B27" s="80">
        <v>0</v>
      </c>
      <c r="C27" s="80">
        <v>-129418045</v>
      </c>
      <c r="D27" s="80">
        <v>-129418045</v>
      </c>
      <c r="E27" s="80">
        <v>129418045</v>
      </c>
      <c r="F27" s="82" t="str">
        <f t="shared" si="0"/>
        <v>CAM160</v>
      </c>
      <c r="G27" s="82" t="str">
        <f>VLOOKUP(PROD_CAMOBILE_2025M1!A27,'Analyse Réel 01-2025'!F:G,2,FALSE)</f>
        <v>CA39</v>
      </c>
    </row>
    <row r="28" spans="1:7">
      <c r="A28" s="79" t="s">
        <v>50</v>
      </c>
      <c r="B28" s="80">
        <v>117506177</v>
      </c>
      <c r="C28" s="80">
        <v>-764596402</v>
      </c>
      <c r="D28" s="80">
        <v>-764596402</v>
      </c>
      <c r="E28" s="80">
        <v>882102579</v>
      </c>
      <c r="F28" s="82" t="str">
        <f t="shared" si="0"/>
        <v>CAM165</v>
      </c>
      <c r="G28" s="82" t="str">
        <f>VLOOKUP(PROD_CAMOBILE_2025M1!A28,'Analyse Réel 01-2025'!F:G,2,FALSE)</f>
        <v>CA40</v>
      </c>
    </row>
    <row r="29" spans="1:7">
      <c r="A29" s="79" t="s">
        <v>52</v>
      </c>
      <c r="B29" s="80">
        <v>0</v>
      </c>
      <c r="C29" s="80">
        <v>0</v>
      </c>
      <c r="D29" s="80">
        <v>0</v>
      </c>
      <c r="E29" s="80">
        <v>0</v>
      </c>
      <c r="F29" s="82" t="str">
        <f t="shared" si="0"/>
        <v>CAM170</v>
      </c>
      <c r="G29" s="82" t="str">
        <f>VLOOKUP(PROD_CAMOBILE_2025M1!A29,'Analyse Réel 01-2025'!F:G,2,FALSE)</f>
        <v>CA44</v>
      </c>
    </row>
    <row r="30" spans="1:7">
      <c r="A30" s="79" t="s">
        <v>53</v>
      </c>
      <c r="B30" s="80">
        <v>3391819301</v>
      </c>
      <c r="C30" s="80">
        <v>0</v>
      </c>
      <c r="D30" s="80">
        <v>0</v>
      </c>
      <c r="E30" s="80">
        <v>3391819301</v>
      </c>
      <c r="F30" s="82" t="str">
        <f t="shared" si="0"/>
        <v>CAM185</v>
      </c>
      <c r="G30" s="82" t="str">
        <f>VLOOKUP(PROD_CAMOBILE_2025M1!A30,'Analyse Réel 01-2025'!F:G,2,FALSE)</f>
        <v>CA45</v>
      </c>
    </row>
    <row r="31" spans="1:7">
      <c r="A31" s="79" t="s">
        <v>55</v>
      </c>
      <c r="B31" s="80">
        <v>3180246680</v>
      </c>
      <c r="C31" s="80">
        <v>2292902267</v>
      </c>
      <c r="D31" s="80">
        <v>-3408715713</v>
      </c>
      <c r="E31" s="80">
        <v>887344413</v>
      </c>
      <c r="F31" s="82" t="str">
        <f t="shared" si="0"/>
        <v>CAM035</v>
      </c>
      <c r="G31" s="82" t="str">
        <f>VLOOKUP(PROD_CAMOBILE_2025M1!A31,'Analyse Réel 01-2025'!F:G,2,FALSE)</f>
        <v>CA11</v>
      </c>
    </row>
    <row r="32" spans="1:7">
      <c r="A32" s="79" t="s">
        <v>57</v>
      </c>
      <c r="B32" s="80">
        <v>3180246680</v>
      </c>
      <c r="C32" s="80">
        <v>2292902267</v>
      </c>
      <c r="D32" s="80">
        <v>-3408715713</v>
      </c>
      <c r="E32" s="80">
        <v>887344413</v>
      </c>
      <c r="F32" s="82" t="str">
        <f t="shared" si="0"/>
        <v>CAM036</v>
      </c>
      <c r="G32" s="82">
        <f>VLOOKUP(PROD_CAMOBILE_2025M1!A32,'Analyse Réel 01-2025'!F:G,2,FALSE)</f>
        <v>0</v>
      </c>
    </row>
    <row r="33" spans="1:7">
      <c r="A33" s="79" t="s">
        <v>59</v>
      </c>
      <c r="B33" s="80">
        <v>10744112</v>
      </c>
      <c r="C33" s="80">
        <v>187756887</v>
      </c>
      <c r="D33" s="80">
        <v>187756887</v>
      </c>
      <c r="E33" s="80">
        <v>-177012775</v>
      </c>
      <c r="F33" s="82" t="str">
        <f t="shared" si="0"/>
        <v>CAM200</v>
      </c>
      <c r="G33" s="82" t="str">
        <f>VLOOKUP(PROD_CAMOBILE_2025M1!A33,'Analyse Réel 01-2025'!F:G,2,FALSE)</f>
        <v>CA48</v>
      </c>
    </row>
    <row r="34" spans="1:7">
      <c r="A34" s="79" t="s">
        <v>61</v>
      </c>
      <c r="B34" s="80">
        <v>14508871</v>
      </c>
      <c r="C34" s="80">
        <v>-14508871</v>
      </c>
      <c r="D34" s="80">
        <v>-14508871</v>
      </c>
      <c r="E34" s="80">
        <v>29017742</v>
      </c>
      <c r="F34" s="82" t="str">
        <f t="shared" si="0"/>
        <v>CAM205</v>
      </c>
      <c r="G34" s="82" t="str">
        <f>VLOOKUP(PROD_CAMOBILE_2025M1!A34,'Analyse Réel 01-2025'!F:G,2,FALSE)</f>
        <v>CA49</v>
      </c>
    </row>
    <row r="35" spans="1:7">
      <c r="A35" s="79" t="s">
        <v>63</v>
      </c>
      <c r="B35" s="80">
        <v>185476983</v>
      </c>
      <c r="C35" s="80">
        <v>-5599000058</v>
      </c>
      <c r="D35" s="80">
        <v>-5599000058</v>
      </c>
      <c r="E35" s="80">
        <v>5784477041</v>
      </c>
      <c r="F35" s="82" t="str">
        <f t="shared" si="0"/>
        <v>CAM210</v>
      </c>
      <c r="G35" s="82" t="str">
        <f>VLOOKUP(PROD_CAMOBILE_2025M1!A35,'Analyse Réel 01-2025'!F:G,2,FALSE)</f>
        <v>CA50</v>
      </c>
    </row>
    <row r="36" spans="1:7">
      <c r="A36" s="79" t="s">
        <v>65</v>
      </c>
      <c r="B36" s="80">
        <v>210729966</v>
      </c>
      <c r="C36" s="80">
        <v>-5425752042</v>
      </c>
      <c r="D36" s="80">
        <v>-5425752042</v>
      </c>
      <c r="E36" s="80">
        <v>5636482008</v>
      </c>
      <c r="F36" s="82" t="str">
        <f t="shared" si="0"/>
        <v>CAM195</v>
      </c>
      <c r="G36" s="82" t="str">
        <f>VLOOKUP(PROD_CAMOBILE_2025M1!A36,'Analyse Réel 01-2025'!F:G,2,FALSE)</f>
        <v>CA47</v>
      </c>
    </row>
    <row r="37" spans="1:7">
      <c r="A37" s="79" t="s">
        <v>67</v>
      </c>
      <c r="B37" s="80">
        <v>150395</v>
      </c>
      <c r="C37" s="80">
        <v>-150395</v>
      </c>
      <c r="D37" s="80">
        <v>-150395</v>
      </c>
      <c r="E37" s="80">
        <v>300790</v>
      </c>
      <c r="F37" s="82" t="str">
        <f t="shared" si="0"/>
        <v>CAM225</v>
      </c>
      <c r="G37" s="82" t="str">
        <f>VLOOKUP(PROD_CAMOBILE_2025M1!A37,'Analyse Réel 01-2025'!F:G,2,FALSE)</f>
        <v>CA53</v>
      </c>
    </row>
    <row r="38" spans="1:7">
      <c r="A38" s="79" t="s">
        <v>69</v>
      </c>
      <c r="B38" s="80">
        <v>314893</v>
      </c>
      <c r="C38" s="80">
        <v>0</v>
      </c>
      <c r="D38" s="80">
        <v>0</v>
      </c>
      <c r="E38" s="80">
        <v>314893</v>
      </c>
      <c r="F38" s="82" t="str">
        <f t="shared" si="0"/>
        <v>CAM230</v>
      </c>
      <c r="G38" s="82" t="str">
        <f>VLOOKUP(PROD_CAMOBILE_2025M1!A38,'Analyse Réel 01-2025'!F:G,2,FALSE)</f>
        <v>CA54</v>
      </c>
    </row>
    <row r="39" spans="1:7">
      <c r="A39" s="79" t="s">
        <v>71</v>
      </c>
      <c r="B39" s="80">
        <v>0</v>
      </c>
      <c r="C39" s="80">
        <v>0</v>
      </c>
      <c r="D39" s="80">
        <v>0</v>
      </c>
      <c r="E39" s="80">
        <v>0</v>
      </c>
      <c r="F39" s="82" t="str">
        <f t="shared" si="0"/>
        <v>CAM235</v>
      </c>
      <c r="G39" s="82" t="str">
        <f>VLOOKUP(PROD_CAMOBILE_2025M1!A39,'Analyse Réel 01-2025'!F:G,2,FALSE)</f>
        <v>CA55</v>
      </c>
    </row>
    <row r="40" spans="1:7">
      <c r="A40" s="79" t="s">
        <v>73</v>
      </c>
      <c r="B40" s="80">
        <v>0</v>
      </c>
      <c r="C40" s="80">
        <v>0</v>
      </c>
      <c r="D40" s="80">
        <v>0</v>
      </c>
      <c r="E40" s="80">
        <v>0</v>
      </c>
      <c r="F40" s="82" t="str">
        <f t="shared" si="0"/>
        <v>CAM240</v>
      </c>
      <c r="G40" s="82" t="str">
        <f>VLOOKUP(PROD_CAMOBILE_2025M1!A40,'Analyse Réel 01-2025'!F:G,2,FALSE)</f>
        <v>CA56</v>
      </c>
    </row>
    <row r="41" spans="1:7">
      <c r="A41" s="79" t="s">
        <v>75</v>
      </c>
      <c r="B41" s="80">
        <v>44706</v>
      </c>
      <c r="C41" s="80">
        <v>0</v>
      </c>
      <c r="D41" s="80">
        <v>0</v>
      </c>
      <c r="E41" s="80">
        <v>44706</v>
      </c>
      <c r="F41" s="82" t="str">
        <f t="shared" si="0"/>
        <v>CAM245</v>
      </c>
      <c r="G41" s="82" t="str">
        <f>VLOOKUP(PROD_CAMOBILE_2025M1!A41,'Analyse Réel 01-2025'!F:G,2,FALSE)</f>
        <v>CA57</v>
      </c>
    </row>
    <row r="42" spans="1:7">
      <c r="A42" s="79" t="s">
        <v>77</v>
      </c>
      <c r="B42" s="80">
        <v>-1938</v>
      </c>
      <c r="C42" s="80">
        <v>1938</v>
      </c>
      <c r="D42" s="80">
        <v>1938</v>
      </c>
      <c r="E42" s="80">
        <v>-3876</v>
      </c>
      <c r="F42" s="82" t="str">
        <f t="shared" si="0"/>
        <v>CAM250</v>
      </c>
      <c r="G42" s="82" t="str">
        <f>VLOOKUP(PROD_CAMOBILE_2025M1!A42,'Analyse Réel 01-2025'!F:G,2,FALSE)</f>
        <v>CA58</v>
      </c>
    </row>
    <row r="43" spans="1:7">
      <c r="A43" s="79" t="s">
        <v>79</v>
      </c>
      <c r="B43" s="80">
        <v>46205</v>
      </c>
      <c r="C43" s="80">
        <v>-46205</v>
      </c>
      <c r="D43" s="80">
        <v>-46205</v>
      </c>
      <c r="E43" s="80">
        <v>92410</v>
      </c>
      <c r="F43" s="82" t="str">
        <f t="shared" si="0"/>
        <v>CAM255</v>
      </c>
      <c r="G43" s="82" t="str">
        <f>VLOOKUP(PROD_CAMOBILE_2025M1!A43,'Analyse Réel 01-2025'!F:G,2,FALSE)</f>
        <v>CA59</v>
      </c>
    </row>
    <row r="44" spans="1:7">
      <c r="A44" s="79" t="s">
        <v>81</v>
      </c>
      <c r="B44" s="80">
        <v>24176</v>
      </c>
      <c r="C44" s="80">
        <v>-24176</v>
      </c>
      <c r="D44" s="80">
        <v>-24176</v>
      </c>
      <c r="E44" s="80">
        <v>48352</v>
      </c>
      <c r="F44" s="82" t="str">
        <f t="shared" si="0"/>
        <v>CAM260</v>
      </c>
      <c r="G44" s="82" t="str">
        <f>VLOOKUP(PROD_CAMOBILE_2025M1!A44,'Analyse Réel 01-2025'!F:G,2,FALSE)</f>
        <v>CA60</v>
      </c>
    </row>
    <row r="45" spans="1:7">
      <c r="A45" s="79" t="s">
        <v>83</v>
      </c>
      <c r="B45" s="80">
        <v>578437</v>
      </c>
      <c r="C45" s="80">
        <v>-218838</v>
      </c>
      <c r="D45" s="80">
        <v>-218838</v>
      </c>
      <c r="E45" s="80">
        <v>797275</v>
      </c>
      <c r="F45" s="82" t="str">
        <f t="shared" si="0"/>
        <v>CAM265</v>
      </c>
      <c r="G45" s="82" t="str">
        <f>VLOOKUP(PROD_CAMOBILE_2025M1!A45,'Analyse Réel 01-2025'!F:G,2,FALSE)</f>
        <v>CA61</v>
      </c>
    </row>
    <row r="46" spans="1:7">
      <c r="A46" s="79" t="s">
        <v>85</v>
      </c>
      <c r="B46" s="80">
        <v>18734</v>
      </c>
      <c r="C46" s="80">
        <v>-18734</v>
      </c>
      <c r="D46" s="80">
        <v>-18734</v>
      </c>
      <c r="E46" s="80">
        <v>37468</v>
      </c>
      <c r="F46" s="82" t="str">
        <f t="shared" si="0"/>
        <v>CAM270</v>
      </c>
      <c r="G46" s="82" t="str">
        <f>VLOOKUP(PROD_CAMOBILE_2025M1!A46,'Analyse Réel 01-2025'!F:G,2,FALSE)</f>
        <v>CA63</v>
      </c>
    </row>
    <row r="47" spans="1:7">
      <c r="A47" s="79" t="s">
        <v>87</v>
      </c>
      <c r="B47" s="80">
        <v>0</v>
      </c>
      <c r="C47" s="80">
        <v>-52749</v>
      </c>
      <c r="D47" s="80">
        <v>-52749</v>
      </c>
      <c r="E47" s="80">
        <v>52749</v>
      </c>
      <c r="F47" s="82" t="str">
        <f t="shared" si="0"/>
        <v>CAM275</v>
      </c>
      <c r="G47" s="82" t="str">
        <f>VLOOKUP(PROD_CAMOBILE_2025M1!A47,'Analyse Réel 01-2025'!F:G,2,FALSE)</f>
        <v>CA64</v>
      </c>
    </row>
    <row r="48" spans="1:7">
      <c r="A48" s="79" t="s">
        <v>89</v>
      </c>
      <c r="B48" s="80">
        <v>0</v>
      </c>
      <c r="C48" s="80">
        <v>-52749</v>
      </c>
      <c r="D48" s="80">
        <v>-52749</v>
      </c>
      <c r="E48" s="80">
        <v>52749</v>
      </c>
      <c r="F48" s="82" t="str">
        <f t="shared" si="0"/>
        <v>CAM280</v>
      </c>
      <c r="G48" s="82" t="str">
        <f>VLOOKUP(PROD_CAMOBILE_2025M1!A48,'Analyse Réel 01-2025'!F:G,2,FALSE)</f>
        <v>CA65</v>
      </c>
    </row>
    <row r="49" spans="1:7">
      <c r="A49" s="79" t="s">
        <v>90</v>
      </c>
      <c r="B49" s="80">
        <v>0</v>
      </c>
      <c r="C49" s="80">
        <v>-52749</v>
      </c>
      <c r="D49" s="80">
        <v>-52749</v>
      </c>
      <c r="E49" s="80">
        <v>52749</v>
      </c>
      <c r="F49" s="82" t="str">
        <f t="shared" si="0"/>
        <v>CAM285</v>
      </c>
      <c r="G49" s="82" t="str">
        <f>VLOOKUP(PROD_CAMOBILE_2025M1!A49,'Analyse Réel 01-2025'!F:G,2,FALSE)</f>
        <v>CA66</v>
      </c>
    </row>
    <row r="50" spans="1:7">
      <c r="A50" s="79" t="s">
        <v>91</v>
      </c>
      <c r="B50" s="80">
        <v>0</v>
      </c>
      <c r="C50" s="80">
        <v>-52749</v>
      </c>
      <c r="D50" s="80">
        <v>-52749</v>
      </c>
      <c r="E50" s="80">
        <v>52749</v>
      </c>
      <c r="F50" s="82" t="str">
        <f t="shared" si="0"/>
        <v>CAM290</v>
      </c>
      <c r="G50" s="82" t="str">
        <f>VLOOKUP(PROD_CAMOBILE_2025M1!A50,'Analyse Réel 01-2025'!F:G,2,FALSE)</f>
        <v>CA67</v>
      </c>
    </row>
    <row r="51" spans="1:7">
      <c r="A51" s="79" t="s">
        <v>92</v>
      </c>
      <c r="B51" s="80">
        <v>0</v>
      </c>
      <c r="C51" s="80">
        <v>-52749</v>
      </c>
      <c r="D51" s="80">
        <v>-52749</v>
      </c>
      <c r="E51" s="80">
        <v>52749</v>
      </c>
      <c r="F51" s="82" t="str">
        <f t="shared" si="0"/>
        <v>CAM295</v>
      </c>
      <c r="G51" s="82" t="str">
        <f>VLOOKUP(PROD_CAMOBILE_2025M1!A51,'Analyse Réel 01-2025'!F:G,2,FALSE)</f>
        <v>CA68</v>
      </c>
    </row>
    <row r="52" spans="1:7">
      <c r="A52" s="79" t="s">
        <v>93</v>
      </c>
      <c r="B52" s="80">
        <v>18734</v>
      </c>
      <c r="C52" s="80">
        <v>-282479</v>
      </c>
      <c r="D52" s="80">
        <v>-282479</v>
      </c>
      <c r="E52" s="80">
        <v>301213</v>
      </c>
      <c r="F52" s="82" t="str">
        <f t="shared" si="0"/>
        <v>CAM300</v>
      </c>
      <c r="G52" s="82" t="str">
        <f>VLOOKUP(PROD_CAMOBILE_2025M1!A52,'Analyse Réel 01-2025'!F:G,2,FALSE)</f>
        <v>CA69</v>
      </c>
    </row>
    <row r="53" spans="1:7">
      <c r="A53" s="79" t="s">
        <v>95</v>
      </c>
      <c r="B53" s="80">
        <v>-2612012</v>
      </c>
      <c r="C53" s="80">
        <v>2612012</v>
      </c>
      <c r="D53" s="80">
        <v>2612012</v>
      </c>
      <c r="E53" s="80">
        <v>-5224024</v>
      </c>
      <c r="F53" s="82" t="str">
        <f t="shared" si="0"/>
        <v>CAM305</v>
      </c>
      <c r="G53" s="82" t="str">
        <f>VLOOKUP(PROD_CAMOBILE_2025M1!A53,'Analyse Réel 01-2025'!F:G,2,FALSE)</f>
        <v>CA71</v>
      </c>
    </row>
    <row r="54" spans="1:7">
      <c r="A54" s="79" t="s">
        <v>97</v>
      </c>
      <c r="B54" s="80">
        <v>0</v>
      </c>
      <c r="C54" s="80">
        <v>0</v>
      </c>
      <c r="D54" s="80">
        <v>0</v>
      </c>
      <c r="E54" s="80">
        <v>0</v>
      </c>
      <c r="F54" s="82" t="str">
        <f t="shared" si="0"/>
        <v>CAM310</v>
      </c>
      <c r="G54" s="82" t="str">
        <f>VLOOKUP(PROD_CAMOBILE_2025M1!A54,'Analyse Réel 01-2025'!F:G,2,FALSE)</f>
        <v>CA72</v>
      </c>
    </row>
    <row r="55" spans="1:7">
      <c r="A55" s="79" t="s">
        <v>99</v>
      </c>
      <c r="B55" s="80">
        <v>0</v>
      </c>
      <c r="C55" s="80">
        <v>3421181213</v>
      </c>
      <c r="D55" s="80">
        <v>3421181213</v>
      </c>
      <c r="E55" s="80">
        <v>-3421181213</v>
      </c>
      <c r="F55" s="82" t="str">
        <f t="shared" si="0"/>
        <v>CAM315</v>
      </c>
      <c r="G55" s="82" t="str">
        <f>VLOOKUP(PROD_CAMOBILE_2025M1!A55,'Analyse Réel 01-2025'!F:G,2,FALSE)</f>
        <v>CA73</v>
      </c>
    </row>
    <row r="56" spans="1:7">
      <c r="A56" s="79" t="s">
        <v>101</v>
      </c>
      <c r="B56" s="80">
        <v>0</v>
      </c>
      <c r="C56" s="80">
        <v>0</v>
      </c>
      <c r="D56" s="80">
        <v>0</v>
      </c>
      <c r="E56" s="80">
        <v>0</v>
      </c>
      <c r="F56" s="82" t="str">
        <f t="shared" si="0"/>
        <v>CAM320</v>
      </c>
      <c r="G56" s="82" t="str">
        <f>VLOOKUP(PROD_CAMOBILE_2025M1!A56,'Analyse Réel 01-2025'!F:G,2,FALSE)</f>
        <v>CA74</v>
      </c>
    </row>
    <row r="57" spans="1:7">
      <c r="A57" s="79" t="s">
        <v>102</v>
      </c>
      <c r="B57" s="80">
        <v>0</v>
      </c>
      <c r="C57" s="80">
        <v>3423793225</v>
      </c>
      <c r="D57" s="80">
        <v>3423793225</v>
      </c>
      <c r="E57" s="80">
        <v>-3423793225</v>
      </c>
      <c r="F57" s="82" t="str">
        <f t="shared" si="0"/>
        <v>CAM325</v>
      </c>
      <c r="G57" s="82" t="str">
        <f>VLOOKUP(PROD_CAMOBILE_2025M1!A57,'Analyse Réel 01-2025'!F:G,2,FALSE)</f>
        <v>CA75</v>
      </c>
    </row>
    <row r="58" spans="1:7">
      <c r="A58" s="79" t="s">
        <v>104</v>
      </c>
      <c r="B58" s="80">
        <v>597171</v>
      </c>
      <c r="C58" s="80">
        <v>3423291908</v>
      </c>
      <c r="D58" s="80">
        <v>3423291908</v>
      </c>
      <c r="E58" s="80">
        <v>-3422694737</v>
      </c>
      <c r="F58" s="82" t="str">
        <f t="shared" si="0"/>
        <v>CAM326</v>
      </c>
      <c r="G58" s="82" t="str">
        <f>VLOOKUP(PROD_CAMOBILE_2025M1!A58,'Analyse Réel 01-2025'!F:G,2,FALSE)</f>
        <v>CA52</v>
      </c>
    </row>
    <row r="59" spans="1:7">
      <c r="A59" s="79" t="s">
        <v>106</v>
      </c>
      <c r="B59" s="80">
        <v>2479334</v>
      </c>
      <c r="C59" s="80">
        <v>-4958668</v>
      </c>
      <c r="D59" s="80">
        <v>-4958668</v>
      </c>
      <c r="E59" s="80">
        <v>7438002</v>
      </c>
      <c r="F59" s="82" t="str">
        <f t="shared" si="0"/>
        <v>CAM335</v>
      </c>
      <c r="G59" s="82" t="str">
        <f>VLOOKUP(PROD_CAMOBILE_2025M1!A59,'Analyse Réel 01-2025'!F:G,2,FALSE)</f>
        <v>CA78</v>
      </c>
    </row>
    <row r="60" spans="1:7">
      <c r="A60" s="79" t="s">
        <v>108</v>
      </c>
      <c r="B60" s="80">
        <v>5122948</v>
      </c>
      <c r="C60" s="80">
        <v>-5122948</v>
      </c>
      <c r="D60" s="80">
        <v>-5122948</v>
      </c>
      <c r="E60" s="80">
        <v>10245896</v>
      </c>
      <c r="F60" s="82" t="str">
        <f t="shared" si="0"/>
        <v>CAM340</v>
      </c>
      <c r="G60" s="82" t="str">
        <f>VLOOKUP(PROD_CAMOBILE_2025M1!A60,'Analyse Réel 01-2025'!F:G,2,FALSE)</f>
        <v>CA79</v>
      </c>
    </row>
    <row r="61" spans="1:7">
      <c r="A61" s="79" t="s">
        <v>110</v>
      </c>
      <c r="B61" s="80">
        <v>0</v>
      </c>
      <c r="C61" s="80">
        <v>0</v>
      </c>
      <c r="D61" s="80">
        <v>0</v>
      </c>
      <c r="E61" s="80">
        <v>0</v>
      </c>
      <c r="F61" s="82" t="str">
        <f t="shared" si="0"/>
        <v>CAM345</v>
      </c>
      <c r="G61" s="82" t="str">
        <f>VLOOKUP(PROD_CAMOBILE_2025M1!A61,'Analyse Réel 01-2025'!F:G,2,FALSE)</f>
        <v>CA80</v>
      </c>
    </row>
    <row r="62" spans="1:7">
      <c r="A62" s="79" t="s">
        <v>111</v>
      </c>
      <c r="B62" s="80">
        <v>0</v>
      </c>
      <c r="C62" s="80">
        <v>5711637</v>
      </c>
      <c r="D62" s="80">
        <v>5711637</v>
      </c>
      <c r="E62" s="80">
        <v>-5711637</v>
      </c>
      <c r="F62" s="82" t="str">
        <f t="shared" si="0"/>
        <v>CAM355</v>
      </c>
      <c r="G62" s="82" t="str">
        <f>VLOOKUP(PROD_CAMOBILE_2025M1!A62,'Analyse Réel 01-2025'!F:G,2,FALSE)</f>
        <v>CA81</v>
      </c>
    </row>
    <row r="63" spans="1:7">
      <c r="A63" s="79" t="s">
        <v>112</v>
      </c>
      <c r="B63" s="80">
        <v>0</v>
      </c>
      <c r="C63" s="80">
        <v>-796885</v>
      </c>
      <c r="D63" s="80">
        <v>-796885</v>
      </c>
      <c r="E63" s="80">
        <v>796885</v>
      </c>
      <c r="F63" s="82" t="str">
        <f t="shared" si="0"/>
        <v>CAM360</v>
      </c>
      <c r="G63" s="82" t="str">
        <f>VLOOKUP(PROD_CAMOBILE_2025M1!A63,'Analyse Réel 01-2025'!F:G,2,FALSE)</f>
        <v>CA82</v>
      </c>
    </row>
    <row r="64" spans="1:7">
      <c r="A64" s="79" t="s">
        <v>113</v>
      </c>
      <c r="B64" s="80">
        <v>22573</v>
      </c>
      <c r="C64" s="80">
        <v>-22573</v>
      </c>
      <c r="D64" s="80">
        <v>-22573</v>
      </c>
      <c r="E64" s="80">
        <v>45146</v>
      </c>
      <c r="F64" s="82" t="str">
        <f t="shared" si="0"/>
        <v>CAM365</v>
      </c>
      <c r="G64" s="82" t="str">
        <f>VLOOKUP(PROD_CAMOBILE_2025M1!A64,'Analyse Réel 01-2025'!F:G,2,FALSE)</f>
        <v>CA83</v>
      </c>
    </row>
    <row r="65" spans="1:7">
      <c r="A65" s="79" t="s">
        <v>115</v>
      </c>
      <c r="B65" s="80">
        <v>1075680</v>
      </c>
      <c r="C65" s="80">
        <v>-1075680</v>
      </c>
      <c r="D65" s="80">
        <v>-1075680</v>
      </c>
      <c r="E65" s="80">
        <v>2151360</v>
      </c>
      <c r="F65" s="82" t="str">
        <f t="shared" si="0"/>
        <v>CAM370</v>
      </c>
      <c r="G65" s="82" t="str">
        <f>VLOOKUP(PROD_CAMOBILE_2025M1!A65,'Analyse Réel 01-2025'!F:G,2,FALSE)</f>
        <v>CA84</v>
      </c>
    </row>
    <row r="66" spans="1:7">
      <c r="A66" s="79" t="s">
        <v>117</v>
      </c>
      <c r="B66" s="80">
        <v>-872338</v>
      </c>
      <c r="C66" s="80">
        <v>872338</v>
      </c>
      <c r="D66" s="80">
        <v>872338</v>
      </c>
      <c r="E66" s="80">
        <v>-1744676</v>
      </c>
      <c r="F66" s="82" t="str">
        <f t="shared" si="0"/>
        <v>CAM375</v>
      </c>
      <c r="G66" s="82" t="str">
        <f>VLOOKUP(PROD_CAMOBILE_2025M1!A66,'Analyse Réel 01-2025'!F:G,2,FALSE)</f>
        <v>CA85</v>
      </c>
    </row>
    <row r="67" spans="1:7">
      <c r="A67" s="79" t="s">
        <v>119</v>
      </c>
      <c r="B67" s="80">
        <v>7828197</v>
      </c>
      <c r="C67" s="80">
        <v>-5392779</v>
      </c>
      <c r="D67" s="80">
        <v>-5392779</v>
      </c>
      <c r="E67" s="80">
        <v>13220976</v>
      </c>
      <c r="F67" s="82" t="str">
        <f t="shared" si="0"/>
        <v>CAM380</v>
      </c>
      <c r="G67" s="82" t="str">
        <f>VLOOKUP(PROD_CAMOBILE_2025M1!A67,'Analyse Réel 01-2025'!F:G,2,FALSE)</f>
        <v>CA86</v>
      </c>
    </row>
    <row r="68" spans="1:7">
      <c r="A68" s="79" t="s">
        <v>121</v>
      </c>
      <c r="B68" s="80">
        <v>22126457</v>
      </c>
      <c r="C68" s="80">
        <v>0</v>
      </c>
      <c r="D68" s="80">
        <v>0</v>
      </c>
      <c r="E68" s="80">
        <v>22126457</v>
      </c>
      <c r="F68" s="82" t="str">
        <f t="shared" ref="F68:F131" si="1">LEFT(A68,6)</f>
        <v>CAM385</v>
      </c>
      <c r="G68" s="82" t="str">
        <f>VLOOKUP(PROD_CAMOBILE_2025M1!A68,'Analyse Réel 01-2025'!F:G,2,FALSE)</f>
        <v>CA88</v>
      </c>
    </row>
    <row r="69" spans="1:7">
      <c r="A69" s="79" t="s">
        <v>123</v>
      </c>
      <c r="B69" s="80">
        <v>0</v>
      </c>
      <c r="C69" s="80">
        <v>-52749</v>
      </c>
      <c r="D69" s="80">
        <v>-52749</v>
      </c>
      <c r="E69" s="80">
        <v>52749</v>
      </c>
      <c r="F69" s="82" t="str">
        <f t="shared" si="1"/>
        <v>CAM390</v>
      </c>
      <c r="G69" s="82" t="str">
        <f>VLOOKUP(PROD_CAMOBILE_2025M1!A69,'Analyse Réel 01-2025'!F:G,2,FALSE)</f>
        <v>CA89</v>
      </c>
    </row>
    <row r="70" spans="1:7">
      <c r="A70" s="79" t="s">
        <v>124</v>
      </c>
      <c r="B70" s="80">
        <v>0</v>
      </c>
      <c r="C70" s="80">
        <v>-52749</v>
      </c>
      <c r="D70" s="80">
        <v>-52749</v>
      </c>
      <c r="E70" s="80">
        <v>52749</v>
      </c>
      <c r="F70" s="82" t="str">
        <f t="shared" si="1"/>
        <v>CAM395</v>
      </c>
      <c r="G70" s="82" t="str">
        <f>VLOOKUP(PROD_CAMOBILE_2025M1!A70,'Analyse Réel 01-2025'!F:G,2,FALSE)</f>
        <v>CA90</v>
      </c>
    </row>
    <row r="71" spans="1:7">
      <c r="A71" s="79" t="s">
        <v>125</v>
      </c>
      <c r="B71" s="80">
        <v>0</v>
      </c>
      <c r="C71" s="80">
        <v>-52749</v>
      </c>
      <c r="D71" s="80">
        <v>-52749</v>
      </c>
      <c r="E71" s="80">
        <v>52749</v>
      </c>
      <c r="F71" s="82" t="str">
        <f t="shared" si="1"/>
        <v>CAM400</v>
      </c>
      <c r="G71" s="82" t="str">
        <f>VLOOKUP(PROD_CAMOBILE_2025M1!A71,'Analyse Réel 01-2025'!F:G,2,FALSE)</f>
        <v>CA91</v>
      </c>
    </row>
    <row r="72" spans="1:7">
      <c r="A72" s="79" t="s">
        <v>126</v>
      </c>
      <c r="B72" s="80">
        <v>0</v>
      </c>
      <c r="C72" s="80">
        <v>-52749</v>
      </c>
      <c r="D72" s="80">
        <v>-52749</v>
      </c>
      <c r="E72" s="80">
        <v>52749</v>
      </c>
      <c r="F72" s="82" t="str">
        <f t="shared" si="1"/>
        <v>CAM405</v>
      </c>
      <c r="G72" s="82" t="str">
        <f>VLOOKUP(PROD_CAMOBILE_2025M1!A72,'Analyse Réel 01-2025'!F:G,2,FALSE)</f>
        <v>CA92</v>
      </c>
    </row>
    <row r="73" spans="1:7">
      <c r="A73" s="79" t="s">
        <v>127</v>
      </c>
      <c r="B73" s="80">
        <v>0</v>
      </c>
      <c r="C73" s="80">
        <v>-52749</v>
      </c>
      <c r="D73" s="80">
        <v>-52749</v>
      </c>
      <c r="E73" s="80">
        <v>52749</v>
      </c>
      <c r="F73" s="82" t="str">
        <f t="shared" si="1"/>
        <v>CAM410</v>
      </c>
      <c r="G73" s="82" t="str">
        <f>VLOOKUP(PROD_CAMOBILE_2025M1!A73,'Analyse Réel 01-2025'!F:G,2,FALSE)</f>
        <v>CA93</v>
      </c>
    </row>
    <row r="74" spans="1:7">
      <c r="A74" s="79" t="s">
        <v>128</v>
      </c>
      <c r="B74" s="80">
        <v>22126457</v>
      </c>
      <c r="C74" s="80">
        <v>-263745</v>
      </c>
      <c r="D74" s="80">
        <v>-263745</v>
      </c>
      <c r="E74" s="80">
        <v>22390202</v>
      </c>
      <c r="F74" s="82" t="str">
        <f t="shared" si="1"/>
        <v>CAM415</v>
      </c>
      <c r="G74" s="82" t="str">
        <f>VLOOKUP(PROD_CAMOBILE_2025M1!A74,'Analyse Réel 01-2025'!F:G,2,FALSE)</f>
        <v>CA94</v>
      </c>
    </row>
    <row r="75" spans="1:7">
      <c r="A75" s="79" t="s">
        <v>130</v>
      </c>
      <c r="B75" s="80">
        <v>43765311</v>
      </c>
      <c r="C75" s="80">
        <v>-8204179</v>
      </c>
      <c r="D75" s="80">
        <v>-8204179</v>
      </c>
      <c r="E75" s="80">
        <v>51969490</v>
      </c>
      <c r="F75" s="82" t="str">
        <f t="shared" si="1"/>
        <v>CAM420</v>
      </c>
      <c r="G75" s="82" t="str">
        <f>VLOOKUP(PROD_CAMOBILE_2025M1!A75,'Analyse Réel 01-2025'!F:G,2,FALSE)</f>
        <v>CA96</v>
      </c>
    </row>
    <row r="76" spans="1:7">
      <c r="A76" s="79" t="s">
        <v>131</v>
      </c>
      <c r="B76" s="80">
        <v>0</v>
      </c>
      <c r="C76" s="80">
        <v>0</v>
      </c>
      <c r="D76" s="80">
        <v>0</v>
      </c>
      <c r="E76" s="80">
        <v>0</v>
      </c>
      <c r="F76" s="82" t="str">
        <f t="shared" si="1"/>
        <v>CAM425</v>
      </c>
      <c r="G76" s="82" t="str">
        <f>VLOOKUP(PROD_CAMOBILE_2025M1!A76,'Analyse Réel 01-2025'!F:G,2,FALSE)</f>
        <v>CA97</v>
      </c>
    </row>
    <row r="77" spans="1:7">
      <c r="A77" s="79" t="s">
        <v>132</v>
      </c>
      <c r="B77" s="80">
        <v>1662363</v>
      </c>
      <c r="C77" s="80">
        <v>-1662363</v>
      </c>
      <c r="D77" s="80">
        <v>-1662363</v>
      </c>
      <c r="E77" s="80">
        <v>3324726</v>
      </c>
      <c r="F77" s="82" t="str">
        <f t="shared" si="1"/>
        <v>CAM430</v>
      </c>
      <c r="G77" s="82" t="str">
        <f>VLOOKUP(PROD_CAMOBILE_2025M1!A77,'Analyse Réel 01-2025'!F:G,2,FALSE)</f>
        <v>CA98</v>
      </c>
    </row>
    <row r="78" spans="1:7">
      <c r="A78" s="79" t="s">
        <v>134</v>
      </c>
      <c r="B78" s="80">
        <v>0</v>
      </c>
      <c r="C78" s="80">
        <v>0</v>
      </c>
      <c r="D78" s="80">
        <v>0</v>
      </c>
      <c r="E78" s="80">
        <v>0</v>
      </c>
      <c r="F78" s="82" t="str">
        <f t="shared" si="1"/>
        <v>CAM435</v>
      </c>
      <c r="G78" s="82" t="str">
        <f>VLOOKUP(PROD_CAMOBILE_2025M1!A78,'Analyse Réel 01-2025'!F:G,2,FALSE)</f>
        <v>CA99</v>
      </c>
    </row>
    <row r="79" spans="1:7">
      <c r="A79" s="79" t="s">
        <v>135</v>
      </c>
      <c r="B79" s="80">
        <v>1662363</v>
      </c>
      <c r="C79" s="80">
        <v>-9866542</v>
      </c>
      <c r="D79" s="80">
        <v>-9866542</v>
      </c>
      <c r="E79" s="80">
        <v>11528905</v>
      </c>
      <c r="F79" s="82" t="str">
        <f t="shared" si="1"/>
        <v>CAM440</v>
      </c>
      <c r="G79" s="82" t="str">
        <f>VLOOKUP(PROD_CAMOBILE_2025M1!A79,'Analyse Réel 01-2025'!F:G,2,FALSE)</f>
        <v>CA100</v>
      </c>
    </row>
    <row r="80" spans="1:7">
      <c r="A80" s="79" t="s">
        <v>137</v>
      </c>
      <c r="B80" s="80">
        <v>31617017</v>
      </c>
      <c r="C80" s="80">
        <v>3423291908</v>
      </c>
      <c r="D80" s="80">
        <v>3423291908</v>
      </c>
      <c r="E80" s="80">
        <v>-3391674891</v>
      </c>
      <c r="F80" s="82" t="str">
        <f t="shared" si="1"/>
        <v>CAM330</v>
      </c>
      <c r="G80" s="82" t="str">
        <f>VLOOKUP(PROD_CAMOBILE_2025M1!A80,'Analyse Réel 01-2025'!F:G,2,FALSE)</f>
        <v>CA77</v>
      </c>
    </row>
    <row r="81" spans="1:7">
      <c r="A81" s="79" t="s">
        <v>139</v>
      </c>
      <c r="B81" s="80">
        <v>-49158729</v>
      </c>
      <c r="C81" s="80">
        <v>-31117351</v>
      </c>
      <c r="D81" s="80">
        <v>-31117351</v>
      </c>
      <c r="E81" s="80">
        <v>-18041378</v>
      </c>
      <c r="F81" s="82" t="str">
        <f t="shared" si="1"/>
        <v>CAM450</v>
      </c>
      <c r="G81" s="82" t="str">
        <f>VLOOKUP(PROD_CAMOBILE_2025M1!A81,'Analyse Réel 01-2025'!F:G,2,FALSE)</f>
        <v>CA103</v>
      </c>
    </row>
    <row r="82" spans="1:7">
      <c r="A82" s="79" t="s">
        <v>141</v>
      </c>
      <c r="B82" s="80">
        <v>66434200</v>
      </c>
      <c r="C82" s="80">
        <v>-66434200</v>
      </c>
      <c r="D82" s="80">
        <v>-66434200</v>
      </c>
      <c r="E82" s="80">
        <v>132868400</v>
      </c>
      <c r="F82" s="82" t="str">
        <f t="shared" si="1"/>
        <v>CAM455</v>
      </c>
      <c r="G82" s="82" t="str">
        <f>VLOOKUP(PROD_CAMOBILE_2025M1!A82,'Analyse Réel 01-2025'!F:G,2,FALSE)</f>
        <v>CA104</v>
      </c>
    </row>
    <row r="83" spans="1:7">
      <c r="A83" s="79" t="s">
        <v>143</v>
      </c>
      <c r="B83" s="80">
        <v>0</v>
      </c>
      <c r="C83" s="80">
        <v>0</v>
      </c>
      <c r="D83" s="80">
        <v>0</v>
      </c>
      <c r="E83" s="80">
        <v>0</v>
      </c>
      <c r="F83" s="82" t="str">
        <f t="shared" si="1"/>
        <v>CAM460</v>
      </c>
      <c r="G83" s="82" t="str">
        <f>VLOOKUP(PROD_CAMOBILE_2025M1!A83,'Analyse Réel 01-2025'!F:G,2,FALSE)</f>
        <v>CA105</v>
      </c>
    </row>
    <row r="84" spans="1:7">
      <c r="A84" s="79" t="s">
        <v>144</v>
      </c>
      <c r="B84" s="80">
        <v>0</v>
      </c>
      <c r="C84" s="80">
        <v>0</v>
      </c>
      <c r="D84" s="80">
        <v>0</v>
      </c>
      <c r="E84" s="80">
        <v>0</v>
      </c>
      <c r="F84" s="82" t="str">
        <f t="shared" si="1"/>
        <v>CAM465</v>
      </c>
      <c r="G84" s="82" t="str">
        <f>VLOOKUP(PROD_CAMOBILE_2025M1!A84,'Analyse Réel 01-2025'!F:G,2,FALSE)</f>
        <v>CA106</v>
      </c>
    </row>
    <row r="85" spans="1:7">
      <c r="A85" s="79" t="s">
        <v>145</v>
      </c>
      <c r="B85" s="80">
        <v>0</v>
      </c>
      <c r="C85" s="80">
        <v>20796</v>
      </c>
      <c r="D85" s="80">
        <v>20796</v>
      </c>
      <c r="E85" s="80">
        <v>-20796</v>
      </c>
      <c r="F85" s="82" t="str">
        <f t="shared" si="1"/>
        <v>CAM470</v>
      </c>
      <c r="G85" s="82" t="str">
        <f>VLOOKUP(PROD_CAMOBILE_2025M1!A85,'Analyse Réel 01-2025'!F:G,2,FALSE)</f>
        <v>CA107</v>
      </c>
    </row>
    <row r="86" spans="1:7">
      <c r="A86" s="79" t="s">
        <v>146</v>
      </c>
      <c r="B86" s="80">
        <v>2476508</v>
      </c>
      <c r="C86" s="80">
        <v>-2476508</v>
      </c>
      <c r="D86" s="80">
        <v>-2476508</v>
      </c>
      <c r="E86" s="80">
        <v>4953016</v>
      </c>
      <c r="F86" s="82" t="str">
        <f t="shared" si="1"/>
        <v>CAM475</v>
      </c>
      <c r="G86" s="82" t="str">
        <f>VLOOKUP(PROD_CAMOBILE_2025M1!A86,'Analyse Réel 01-2025'!F:G,2,FALSE)</f>
        <v>CA108</v>
      </c>
    </row>
    <row r="87" spans="1:7">
      <c r="A87" s="79" t="s">
        <v>148</v>
      </c>
      <c r="B87" s="80">
        <v>3073879</v>
      </c>
      <c r="C87" s="80">
        <v>-3073879</v>
      </c>
      <c r="D87" s="80">
        <v>-3073879</v>
      </c>
      <c r="E87" s="80">
        <v>6147758</v>
      </c>
      <c r="F87" s="82" t="str">
        <f t="shared" si="1"/>
        <v>CAM480</v>
      </c>
      <c r="G87" s="82" t="str">
        <f>VLOOKUP(PROD_CAMOBILE_2025M1!A87,'Analyse Réel 01-2025'!F:G,2,FALSE)</f>
        <v>CA109</v>
      </c>
    </row>
    <row r="88" spans="1:7">
      <c r="A88" s="79" t="s">
        <v>150</v>
      </c>
      <c r="B88" s="80">
        <v>515021</v>
      </c>
      <c r="C88" s="80">
        <v>-515021</v>
      </c>
      <c r="D88" s="80">
        <v>-515021</v>
      </c>
      <c r="E88" s="80">
        <v>1030042</v>
      </c>
      <c r="F88" s="82" t="str">
        <f t="shared" si="1"/>
        <v>CAM485</v>
      </c>
      <c r="G88" s="82" t="str">
        <f>VLOOKUP(PROD_CAMOBILE_2025M1!A88,'Analyse Réel 01-2025'!F:G,2,FALSE)</f>
        <v>CA110</v>
      </c>
    </row>
    <row r="89" spans="1:7">
      <c r="A89" s="79" t="s">
        <v>152</v>
      </c>
      <c r="B89" s="80">
        <v>23340879</v>
      </c>
      <c r="C89" s="80">
        <v>-103596163</v>
      </c>
      <c r="D89" s="80">
        <v>-103596163</v>
      </c>
      <c r="E89" s="80">
        <v>126937042</v>
      </c>
      <c r="F89" s="82" t="str">
        <f t="shared" si="1"/>
        <v>CAM490</v>
      </c>
      <c r="G89" s="82" t="str">
        <f>VLOOKUP(PROD_CAMOBILE_2025M1!A89,'Analyse Réel 01-2025'!F:G,2,FALSE)</f>
        <v>CA111</v>
      </c>
    </row>
    <row r="90" spans="1:7">
      <c r="A90" s="79" t="s">
        <v>154</v>
      </c>
      <c r="B90" s="80">
        <v>-169497</v>
      </c>
      <c r="C90" s="80">
        <v>-46494</v>
      </c>
      <c r="D90" s="80">
        <v>-46494</v>
      </c>
      <c r="E90" s="80">
        <v>-123003</v>
      </c>
      <c r="F90" s="82" t="str">
        <f t="shared" si="1"/>
        <v>CAM495</v>
      </c>
      <c r="G90" s="82" t="str">
        <f>VLOOKUP(PROD_CAMOBILE_2025M1!A90,'Analyse Réel 01-2025'!F:G,2,FALSE)</f>
        <v>CA113</v>
      </c>
    </row>
    <row r="91" spans="1:7">
      <c r="A91" s="79" t="s">
        <v>156</v>
      </c>
      <c r="B91" s="80">
        <v>132518</v>
      </c>
      <c r="C91" s="80">
        <v>-132518</v>
      </c>
      <c r="D91" s="80">
        <v>-132518</v>
      </c>
      <c r="E91" s="80">
        <v>265036</v>
      </c>
      <c r="F91" s="82" t="str">
        <f t="shared" si="1"/>
        <v>CAM500</v>
      </c>
      <c r="G91" s="82" t="str">
        <f>VLOOKUP(PROD_CAMOBILE_2025M1!A91,'Analyse Réel 01-2025'!F:G,2,FALSE)</f>
        <v>CA114</v>
      </c>
    </row>
    <row r="92" spans="1:7">
      <c r="A92" s="79" t="s">
        <v>158</v>
      </c>
      <c r="B92" s="80">
        <v>0</v>
      </c>
      <c r="C92" s="80">
        <v>0</v>
      </c>
      <c r="D92" s="80">
        <v>0</v>
      </c>
      <c r="E92" s="80">
        <v>0</v>
      </c>
      <c r="F92" s="82" t="str">
        <f t="shared" si="1"/>
        <v>CAM505</v>
      </c>
      <c r="G92" s="82" t="str">
        <f>VLOOKUP(PROD_CAMOBILE_2025M1!A92,'Analyse Réel 01-2025'!F:G,2,FALSE)</f>
        <v>CA115</v>
      </c>
    </row>
    <row r="93" spans="1:7">
      <c r="A93" s="79" t="s">
        <v>160</v>
      </c>
      <c r="B93" s="80">
        <v>45</v>
      </c>
      <c r="C93" s="80">
        <v>-45</v>
      </c>
      <c r="D93" s="80">
        <v>-45</v>
      </c>
      <c r="E93" s="80">
        <v>90</v>
      </c>
      <c r="F93" s="82" t="str">
        <f t="shared" si="1"/>
        <v>CAM510</v>
      </c>
      <c r="G93" s="82" t="str">
        <f>VLOOKUP(PROD_CAMOBILE_2025M1!A93,'Analyse Réel 01-2025'!F:G,2,FALSE)</f>
        <v>CA116</v>
      </c>
    </row>
    <row r="94" spans="1:7">
      <c r="A94" s="79" t="s">
        <v>162</v>
      </c>
      <c r="B94" s="80">
        <v>26471</v>
      </c>
      <c r="C94" s="80">
        <v>-26471</v>
      </c>
      <c r="D94" s="80">
        <v>-26471</v>
      </c>
      <c r="E94" s="80">
        <v>52942</v>
      </c>
      <c r="F94" s="82" t="str">
        <f t="shared" si="1"/>
        <v>CAM515</v>
      </c>
      <c r="G94" s="82" t="str">
        <f>VLOOKUP(PROD_CAMOBILE_2025M1!A94,'Analyse Réel 01-2025'!F:G,2,FALSE)</f>
        <v>CA117</v>
      </c>
    </row>
    <row r="95" spans="1:7">
      <c r="A95" s="79" t="s">
        <v>164</v>
      </c>
      <c r="B95" s="80">
        <v>105890</v>
      </c>
      <c r="C95" s="80">
        <v>-105890</v>
      </c>
      <c r="D95" s="80">
        <v>-105890</v>
      </c>
      <c r="E95" s="80">
        <v>211780</v>
      </c>
      <c r="F95" s="82" t="str">
        <f t="shared" si="1"/>
        <v>CAM520</v>
      </c>
      <c r="G95" s="82" t="str">
        <f>VLOOKUP(PROD_CAMOBILE_2025M1!A95,'Analyse Réel 01-2025'!F:G,2,FALSE)</f>
        <v>CA118</v>
      </c>
    </row>
    <row r="96" spans="1:7">
      <c r="A96" s="79" t="s">
        <v>166</v>
      </c>
      <c r="B96" s="80">
        <v>95427</v>
      </c>
      <c r="C96" s="80">
        <v>-311418</v>
      </c>
      <c r="D96" s="80">
        <v>-311418</v>
      </c>
      <c r="E96" s="80">
        <v>406845</v>
      </c>
      <c r="F96" s="82" t="str">
        <f t="shared" si="1"/>
        <v>CAM525</v>
      </c>
      <c r="G96" s="82" t="str">
        <f>VLOOKUP(PROD_CAMOBILE_2025M1!A96,'Analyse Réel 01-2025'!F:G,2,FALSE)</f>
        <v>CA119</v>
      </c>
    </row>
    <row r="97" spans="1:7">
      <c r="A97" s="79" t="s">
        <v>168</v>
      </c>
      <c r="B97" s="80">
        <v>98567353</v>
      </c>
      <c r="C97" s="80">
        <v>-162400466</v>
      </c>
      <c r="D97" s="80">
        <v>-162400466</v>
      </c>
      <c r="E97" s="80">
        <v>260967819</v>
      </c>
      <c r="F97" s="82" t="str">
        <f t="shared" si="1"/>
        <v>CAM530</v>
      </c>
      <c r="G97" s="82" t="str">
        <f>VLOOKUP(PROD_CAMOBILE_2025M1!A97,'Analyse Réel 01-2025'!F:G,2,FALSE)</f>
        <v>CA121</v>
      </c>
    </row>
    <row r="98" spans="1:7">
      <c r="A98" s="79" t="s">
        <v>170</v>
      </c>
      <c r="B98" s="80">
        <v>0</v>
      </c>
      <c r="C98" s="80">
        <v>0</v>
      </c>
      <c r="D98" s="80">
        <v>0</v>
      </c>
      <c r="E98" s="80">
        <v>0</v>
      </c>
      <c r="F98" s="82" t="str">
        <f t="shared" si="1"/>
        <v>CAM535</v>
      </c>
      <c r="G98" s="82" t="str">
        <f>VLOOKUP(PROD_CAMOBILE_2025M1!A98,'Analyse Réel 01-2025'!F:G,2,FALSE)</f>
        <v>CA122</v>
      </c>
    </row>
    <row r="99" spans="1:7">
      <c r="A99" s="79" t="s">
        <v>172</v>
      </c>
      <c r="B99" s="80">
        <v>1519495</v>
      </c>
      <c r="C99" s="80">
        <v>-1166952</v>
      </c>
      <c r="D99" s="80">
        <v>-1166952</v>
      </c>
      <c r="E99" s="80">
        <v>2686447</v>
      </c>
      <c r="F99" s="82" t="str">
        <f t="shared" si="1"/>
        <v>CAM540</v>
      </c>
      <c r="G99" s="82" t="str">
        <f>VLOOKUP(PROD_CAMOBILE_2025M1!A99,'Analyse Réel 01-2025'!F:G,2,FALSE)</f>
        <v>CA123</v>
      </c>
    </row>
    <row r="100" spans="1:7">
      <c r="A100" s="79" t="s">
        <v>174</v>
      </c>
      <c r="B100" s="80">
        <v>11905025</v>
      </c>
      <c r="C100" s="80">
        <v>-11905025</v>
      </c>
      <c r="D100" s="80">
        <v>-11905025</v>
      </c>
      <c r="E100" s="80">
        <v>23810050</v>
      </c>
      <c r="F100" s="82" t="str">
        <f t="shared" si="1"/>
        <v>CAM545</v>
      </c>
      <c r="G100" s="82" t="str">
        <f>VLOOKUP(PROD_CAMOBILE_2025M1!A100,'Analyse Réel 01-2025'!F:G,2,FALSE)</f>
        <v>CA124</v>
      </c>
    </row>
    <row r="101" spans="1:7">
      <c r="A101" s="79" t="s">
        <v>176</v>
      </c>
      <c r="B101" s="80">
        <v>0</v>
      </c>
      <c r="C101" s="80">
        <v>0</v>
      </c>
      <c r="D101" s="80">
        <v>0</v>
      </c>
      <c r="E101" s="80">
        <v>0</v>
      </c>
      <c r="F101" s="82" t="str">
        <f t="shared" si="1"/>
        <v>CAM550</v>
      </c>
      <c r="G101" s="82" t="str">
        <f>VLOOKUP(PROD_CAMOBILE_2025M1!A101,'Analyse Réel 01-2025'!F:G,2,FALSE)</f>
        <v>CA125</v>
      </c>
    </row>
    <row r="102" spans="1:7">
      <c r="A102" s="79" t="s">
        <v>177</v>
      </c>
      <c r="B102" s="80">
        <v>6843</v>
      </c>
      <c r="C102" s="80">
        <v>-6843</v>
      </c>
      <c r="D102" s="80">
        <v>-6843</v>
      </c>
      <c r="E102" s="80">
        <v>13686</v>
      </c>
      <c r="F102" s="82" t="str">
        <f t="shared" si="1"/>
        <v>CAM555</v>
      </c>
      <c r="G102" s="82" t="str">
        <f>VLOOKUP(PROD_CAMOBILE_2025M1!A102,'Analyse Réel 01-2025'!F:G,2,FALSE)</f>
        <v>CA126</v>
      </c>
    </row>
    <row r="103" spans="1:7">
      <c r="A103" s="79" t="s">
        <v>179</v>
      </c>
      <c r="B103" s="80">
        <v>0</v>
      </c>
      <c r="C103" s="80">
        <v>-129418045</v>
      </c>
      <c r="D103" s="80">
        <v>-129418045</v>
      </c>
      <c r="E103" s="80">
        <v>129418045</v>
      </c>
      <c r="F103" s="82" t="str">
        <f t="shared" si="1"/>
        <v>CAM560</v>
      </c>
      <c r="G103" s="82" t="str">
        <f>VLOOKUP(PROD_CAMOBILE_2025M1!A103,'Analyse Réel 01-2025'!F:G,2,FALSE)</f>
        <v>CA127</v>
      </c>
    </row>
    <row r="104" spans="1:7">
      <c r="A104" s="79" t="s">
        <v>180</v>
      </c>
      <c r="B104" s="80">
        <v>0</v>
      </c>
      <c r="C104" s="80">
        <v>-129418045</v>
      </c>
      <c r="D104" s="80">
        <v>-129418045</v>
      </c>
      <c r="E104" s="80">
        <v>129418045</v>
      </c>
      <c r="F104" s="82" t="str">
        <f t="shared" si="1"/>
        <v>CAM565</v>
      </c>
      <c r="G104" s="82" t="str">
        <f>VLOOKUP(PROD_CAMOBILE_2025M1!A104,'Analyse Réel 01-2025'!F:G,2,FALSE)</f>
        <v>CA128</v>
      </c>
    </row>
    <row r="105" spans="1:7">
      <c r="A105" s="79" t="s">
        <v>182</v>
      </c>
      <c r="B105" s="80">
        <v>0</v>
      </c>
      <c r="C105" s="80">
        <v>-129418045</v>
      </c>
      <c r="D105" s="80">
        <v>-129418045</v>
      </c>
      <c r="E105" s="80">
        <v>129418045</v>
      </c>
      <c r="F105" s="82" t="str">
        <f t="shared" si="1"/>
        <v>CAM570</v>
      </c>
      <c r="G105" s="82" t="str">
        <f>VLOOKUP(PROD_CAMOBILE_2025M1!A105,'Analyse Réel 01-2025'!F:G,2,FALSE)</f>
        <v>CA129</v>
      </c>
    </row>
    <row r="106" spans="1:7">
      <c r="A106" s="79" t="s">
        <v>183</v>
      </c>
      <c r="B106" s="80">
        <v>13431363</v>
      </c>
      <c r="C106" s="80">
        <v>-563733421</v>
      </c>
      <c r="D106" s="80">
        <v>-563733421</v>
      </c>
      <c r="E106" s="80">
        <v>577164784</v>
      </c>
      <c r="F106" s="82" t="str">
        <f t="shared" si="1"/>
        <v>CAM575</v>
      </c>
      <c r="G106" s="82" t="str">
        <f>VLOOKUP(PROD_CAMOBILE_2025M1!A106,'Analyse Réel 01-2025'!F:G,2,FALSE)</f>
        <v>CA130</v>
      </c>
    </row>
    <row r="107" spans="1:7">
      <c r="A107" s="79" t="s">
        <v>185</v>
      </c>
      <c r="B107" s="80">
        <v>0</v>
      </c>
      <c r="C107" s="80">
        <v>0</v>
      </c>
      <c r="D107" s="80">
        <v>0</v>
      </c>
      <c r="E107" s="80">
        <v>0</v>
      </c>
      <c r="F107" s="82" t="str">
        <f t="shared" si="1"/>
        <v>CAM580</v>
      </c>
      <c r="G107" s="82" t="str">
        <f>VLOOKUP(PROD_CAMOBILE_2025M1!A107,'Analyse Réel 01-2025'!F:G,2,FALSE)</f>
        <v>CA132</v>
      </c>
    </row>
    <row r="108" spans="1:7">
      <c r="A108" s="79" t="s">
        <v>186</v>
      </c>
      <c r="B108" s="80">
        <v>0</v>
      </c>
      <c r="C108" s="80">
        <v>0</v>
      </c>
      <c r="D108" s="80">
        <v>0</v>
      </c>
      <c r="E108" s="80">
        <v>0</v>
      </c>
      <c r="F108" s="82" t="str">
        <f t="shared" si="1"/>
        <v>CAM585</v>
      </c>
      <c r="G108" s="82" t="str">
        <f>VLOOKUP(PROD_CAMOBILE_2025M1!A108,'Analyse Réel 01-2025'!F:G,2,FALSE)</f>
        <v>CA133</v>
      </c>
    </row>
    <row r="109" spans="1:7">
      <c r="A109" s="79" t="s">
        <v>187</v>
      </c>
      <c r="B109" s="80">
        <v>139720652</v>
      </c>
      <c r="C109" s="80">
        <v>0</v>
      </c>
      <c r="D109" s="80">
        <v>0</v>
      </c>
      <c r="E109" s="80">
        <v>139720652</v>
      </c>
      <c r="F109" s="82" t="str">
        <f t="shared" si="1"/>
        <v>CAM587</v>
      </c>
      <c r="G109" s="82" t="str">
        <f>VLOOKUP(PROD_CAMOBILE_2025M1!A109,'Analyse Réel 01-2025'!F:G,2,FALSE)</f>
        <v>CA135</v>
      </c>
    </row>
    <row r="110" spans="1:7">
      <c r="A110" s="79" t="s">
        <v>189</v>
      </c>
      <c r="B110" s="80">
        <v>36867669</v>
      </c>
      <c r="C110" s="80">
        <v>-667641002</v>
      </c>
      <c r="D110" s="80">
        <v>-667641002</v>
      </c>
      <c r="E110" s="80">
        <v>704508671</v>
      </c>
      <c r="F110" s="82" t="str">
        <f t="shared" si="1"/>
        <v>CAM445</v>
      </c>
      <c r="G110" s="82" t="str">
        <f>VLOOKUP(PROD_CAMOBILE_2025M1!A110,'Analyse Réel 01-2025'!F:G,2,FALSE)</f>
        <v>CA102</v>
      </c>
    </row>
    <row r="111" spans="1:7">
      <c r="A111" s="79" t="s">
        <v>191</v>
      </c>
      <c r="B111" s="80">
        <v>69081857</v>
      </c>
      <c r="C111" s="80">
        <v>2724533555</v>
      </c>
      <c r="D111" s="80">
        <v>2724533555</v>
      </c>
      <c r="E111" s="80">
        <v>-2655451698</v>
      </c>
      <c r="F111" s="82" t="str">
        <f t="shared" si="1"/>
        <v>CAM446</v>
      </c>
      <c r="G111" s="82" t="str">
        <f>VLOOKUP(PROD_CAMOBILE_2025M1!A111,'Analyse Réel 01-2025'!F:G,2,FALSE)</f>
        <v>CA51</v>
      </c>
    </row>
    <row r="112" spans="1:7">
      <c r="A112" s="79" t="s">
        <v>193</v>
      </c>
      <c r="B112" s="80">
        <v>279811823</v>
      </c>
      <c r="C112" s="80">
        <v>-2701218487</v>
      </c>
      <c r="D112" s="80">
        <v>-2701218487</v>
      </c>
      <c r="E112" s="80">
        <v>2981030310</v>
      </c>
      <c r="F112" s="82" t="str">
        <f t="shared" si="1"/>
        <v>CAM447</v>
      </c>
      <c r="G112" s="82" t="str">
        <f>VLOOKUP(PROD_CAMOBILE_2025M1!A112,'Analyse Réel 01-2025'!F:G,2,FALSE)</f>
        <v>CA46</v>
      </c>
    </row>
    <row r="113" spans="1:7">
      <c r="A113" s="79" t="s">
        <v>195</v>
      </c>
      <c r="B113" s="80">
        <v>0</v>
      </c>
      <c r="C113" s="80">
        <v>0</v>
      </c>
      <c r="D113" s="80">
        <v>0</v>
      </c>
      <c r="E113" s="80">
        <v>0</v>
      </c>
      <c r="F113" s="82" t="str">
        <f t="shared" si="1"/>
        <v>CAM600</v>
      </c>
      <c r="G113" s="82" t="str">
        <f>VLOOKUP(PROD_CAMOBILE_2025M1!A113,'Analyse Réel 01-2025'!F:G,2,FALSE)</f>
        <v>CA136</v>
      </c>
    </row>
    <row r="114" spans="1:7">
      <c r="A114" s="79" t="s">
        <v>197</v>
      </c>
      <c r="B114" s="80">
        <v>141014283</v>
      </c>
      <c r="C114" s="80">
        <v>141014283</v>
      </c>
      <c r="D114" s="80">
        <v>141014283</v>
      </c>
      <c r="E114" s="80">
        <v>0</v>
      </c>
      <c r="F114" s="82" t="str">
        <f t="shared" si="1"/>
        <v>CAM605</v>
      </c>
      <c r="G114" s="82" t="str">
        <f>VLOOKUP(PROD_CAMOBILE_2025M1!A114,'Analyse Réel 01-2025'!F:G,2,FALSE)</f>
        <v>CA137</v>
      </c>
    </row>
    <row r="115" spans="1:7">
      <c r="A115" s="79" t="s">
        <v>199</v>
      </c>
      <c r="B115" s="80">
        <v>3531539953</v>
      </c>
      <c r="C115" s="80">
        <v>0</v>
      </c>
      <c r="D115" s="80">
        <v>0</v>
      </c>
      <c r="E115" s="80">
        <v>3531539953</v>
      </c>
      <c r="F115" s="82" t="str">
        <f t="shared" si="1"/>
        <v>CAM595</v>
      </c>
      <c r="G115" s="82" t="str">
        <f>VLOOKUP(PROD_CAMOBILE_2025M1!A115,'Analyse Réel 01-2025'!F:G,2,FALSE)</f>
        <v>CA138</v>
      </c>
    </row>
    <row r="116" spans="1:7">
      <c r="A116" s="79" t="s">
        <v>201</v>
      </c>
      <c r="B116" s="80">
        <v>0</v>
      </c>
      <c r="C116" s="80">
        <v>0</v>
      </c>
      <c r="D116" s="80">
        <v>0</v>
      </c>
      <c r="E116" s="80">
        <v>0</v>
      </c>
      <c r="F116" s="82" t="str">
        <f t="shared" si="1"/>
        <v>CAM635</v>
      </c>
      <c r="G116" s="82" t="str">
        <f>VLOOKUP(PROD_CAMOBILE_2025M1!A116,'Analyse Réel 01-2025'!F:G,2,FALSE)</f>
        <v>CA144</v>
      </c>
    </row>
    <row r="117" spans="1:7">
      <c r="A117" s="79" t="s">
        <v>203</v>
      </c>
      <c r="B117" s="80">
        <v>0</v>
      </c>
      <c r="C117" s="80">
        <v>0</v>
      </c>
      <c r="D117" s="80">
        <v>0</v>
      </c>
      <c r="E117" s="80">
        <v>0</v>
      </c>
      <c r="F117" s="82" t="str">
        <f t="shared" si="1"/>
        <v>CAM640</v>
      </c>
      <c r="G117" s="82" t="str">
        <f>VLOOKUP(PROD_CAMOBILE_2025M1!A117,'Analyse Réel 01-2025'!F:G,2,FALSE)</f>
        <v>CA145</v>
      </c>
    </row>
    <row r="118" spans="1:7">
      <c r="A118" s="79" t="s">
        <v>205</v>
      </c>
      <c r="B118" s="80">
        <v>0</v>
      </c>
      <c r="C118" s="80">
        <v>0</v>
      </c>
      <c r="D118" s="80">
        <v>0</v>
      </c>
      <c r="E118" s="80">
        <v>0</v>
      </c>
      <c r="F118" s="82" t="str">
        <f t="shared" si="1"/>
        <v>CAM645</v>
      </c>
      <c r="G118" s="82" t="str">
        <f>VLOOKUP(PROD_CAMOBILE_2025M1!A118,'Analyse Réel 01-2025'!F:G,2,FALSE)</f>
        <v>CA146</v>
      </c>
    </row>
    <row r="119" spans="1:7">
      <c r="A119" s="79" t="s">
        <v>207</v>
      </c>
      <c r="B119" s="80">
        <v>0</v>
      </c>
      <c r="C119" s="80">
        <v>0</v>
      </c>
      <c r="D119" s="80">
        <v>0</v>
      </c>
      <c r="E119" s="80">
        <v>0</v>
      </c>
      <c r="F119" s="82" t="str">
        <f t="shared" si="1"/>
        <v>CAM650</v>
      </c>
      <c r="G119" s="82" t="str">
        <f>VLOOKUP(PROD_CAMOBILE_2025M1!A119,'Analyse Réel 01-2025'!F:G,2,FALSE)</f>
        <v>CA147</v>
      </c>
    </row>
    <row r="120" spans="1:7">
      <c r="A120" s="79" t="s">
        <v>209</v>
      </c>
      <c r="B120" s="80">
        <v>0</v>
      </c>
      <c r="C120" s="80">
        <v>0</v>
      </c>
      <c r="D120" s="80">
        <v>0</v>
      </c>
      <c r="E120" s="80">
        <v>0</v>
      </c>
      <c r="F120" s="82" t="str">
        <f t="shared" si="1"/>
        <v>CAM655</v>
      </c>
      <c r="G120" s="82" t="str">
        <f>VLOOKUP(PROD_CAMOBILE_2025M1!A120,'Analyse Réel 01-2025'!F:G,2,FALSE)</f>
        <v>CA143</v>
      </c>
    </row>
    <row r="121" spans="1:7">
      <c r="A121" s="79" t="s">
        <v>211</v>
      </c>
      <c r="B121" s="80">
        <v>0</v>
      </c>
      <c r="C121" s="80">
        <v>0</v>
      </c>
      <c r="D121" s="80">
        <v>0</v>
      </c>
      <c r="E121" s="80">
        <v>0</v>
      </c>
      <c r="F121" s="82" t="str">
        <f t="shared" si="1"/>
        <v>CAM660</v>
      </c>
      <c r="G121" s="82" t="str">
        <f>VLOOKUP(PROD_CAMOBILE_2025M1!A121,'Analyse Réel 01-2025'!F:G,2,FALSE)</f>
        <v>CA149</v>
      </c>
    </row>
    <row r="122" spans="1:7">
      <c r="A122" s="79" t="s">
        <v>213</v>
      </c>
      <c r="B122" s="80">
        <v>0</v>
      </c>
      <c r="C122" s="80">
        <v>0</v>
      </c>
      <c r="D122" s="80">
        <v>0</v>
      </c>
      <c r="E122" s="80">
        <v>0</v>
      </c>
      <c r="F122" s="82" t="str">
        <f t="shared" si="1"/>
        <v>CAM665</v>
      </c>
      <c r="G122" s="82" t="str">
        <f>VLOOKUP(PROD_CAMOBILE_2025M1!A122,'Analyse Réel 01-2025'!F:G,2,FALSE)</f>
        <v>CA150</v>
      </c>
    </row>
    <row r="123" spans="1:7">
      <c r="A123" s="79" t="s">
        <v>215</v>
      </c>
      <c r="B123" s="80">
        <v>0</v>
      </c>
      <c r="C123" s="80">
        <v>0</v>
      </c>
      <c r="D123" s="80">
        <v>0</v>
      </c>
      <c r="E123" s="80">
        <v>0</v>
      </c>
      <c r="F123" s="82" t="str">
        <f t="shared" si="1"/>
        <v>CAM670</v>
      </c>
      <c r="G123" s="82" t="str">
        <f>VLOOKUP(PROD_CAMOBILE_2025M1!A123,'Analyse Réel 01-2025'!F:G,2,FALSE)</f>
        <v>CA151</v>
      </c>
    </row>
    <row r="124" spans="1:7">
      <c r="A124" s="79" t="s">
        <v>217</v>
      </c>
      <c r="B124" s="80">
        <v>0</v>
      </c>
      <c r="C124" s="80">
        <v>0</v>
      </c>
      <c r="D124" s="80">
        <v>0</v>
      </c>
      <c r="E124" s="80">
        <v>0</v>
      </c>
      <c r="F124" s="82" t="str">
        <f t="shared" si="1"/>
        <v>CAM680</v>
      </c>
      <c r="G124" s="82" t="str">
        <f>VLOOKUP(PROD_CAMOBILE_2025M1!A124,'Analyse Réel 01-2025'!F:G,2,FALSE)</f>
        <v>CA152</v>
      </c>
    </row>
    <row r="125" spans="1:7">
      <c r="A125" s="79" t="s">
        <v>219</v>
      </c>
      <c r="B125" s="80">
        <v>0</v>
      </c>
      <c r="C125" s="80">
        <v>0</v>
      </c>
      <c r="D125" s="80">
        <v>0</v>
      </c>
      <c r="E125" s="80">
        <v>0</v>
      </c>
      <c r="F125" s="82" t="str">
        <f t="shared" si="1"/>
        <v>CAM686</v>
      </c>
      <c r="G125" s="82" t="str">
        <f>VLOOKUP(PROD_CAMOBILE_2025M1!A125,'Analyse Réel 01-2025'!F:G,2,FALSE)</f>
        <v>CA148</v>
      </c>
    </row>
    <row r="126" spans="1:7">
      <c r="A126" s="79" t="s">
        <v>221</v>
      </c>
      <c r="B126" s="80">
        <v>0</v>
      </c>
      <c r="C126" s="80">
        <v>0</v>
      </c>
      <c r="D126" s="80">
        <v>0</v>
      </c>
      <c r="E126" s="80">
        <v>0</v>
      </c>
      <c r="F126" s="82" t="str">
        <f t="shared" si="1"/>
        <v>CAM695</v>
      </c>
      <c r="G126" s="82" t="str">
        <f>VLOOKUP(PROD_CAMOBILE_2025M1!A126,'Analyse Réel 01-2025'!F:G,2,FALSE)</f>
        <v>CA154</v>
      </c>
    </row>
    <row r="127" spans="1:7">
      <c r="A127" s="79" t="s">
        <v>223</v>
      </c>
      <c r="B127" s="80">
        <v>0</v>
      </c>
      <c r="C127" s="80">
        <v>0</v>
      </c>
      <c r="D127" s="80">
        <v>0</v>
      </c>
      <c r="E127" s="80">
        <v>0</v>
      </c>
      <c r="F127" s="82" t="str">
        <f t="shared" si="1"/>
        <v>CAM700</v>
      </c>
      <c r="G127" s="82" t="str">
        <f>VLOOKUP(PROD_CAMOBILE_2025M1!A127,'Analyse Réel 01-2025'!F:G,2,FALSE)</f>
        <v>CA155</v>
      </c>
    </row>
    <row r="128" spans="1:7">
      <c r="A128" s="79" t="s">
        <v>225</v>
      </c>
      <c r="B128" s="80">
        <v>0</v>
      </c>
      <c r="C128" s="80">
        <v>0</v>
      </c>
      <c r="D128" s="80">
        <v>0</v>
      </c>
      <c r="E128" s="80">
        <v>0</v>
      </c>
      <c r="F128" s="82" t="str">
        <f t="shared" si="1"/>
        <v>CAM705</v>
      </c>
      <c r="G128" s="82" t="str">
        <f>VLOOKUP(PROD_CAMOBILE_2025M1!A128,'Analyse Réel 01-2025'!F:G,2,FALSE)</f>
        <v>CA156</v>
      </c>
    </row>
    <row r="129" spans="1:7">
      <c r="A129" s="79" t="s">
        <v>227</v>
      </c>
      <c r="B129" s="80">
        <v>0</v>
      </c>
      <c r="C129" s="80">
        <v>0</v>
      </c>
      <c r="D129" s="80">
        <v>0</v>
      </c>
      <c r="E129" s="80">
        <v>0</v>
      </c>
      <c r="F129" s="82" t="str">
        <f t="shared" si="1"/>
        <v>CAM710</v>
      </c>
      <c r="G129" s="82" t="str">
        <f>VLOOKUP(PROD_CAMOBILE_2025M1!A129,'Analyse Réel 01-2025'!F:G,2,FALSE)</f>
        <v>CA157</v>
      </c>
    </row>
    <row r="130" spans="1:7">
      <c r="A130" s="79" t="s">
        <v>229</v>
      </c>
      <c r="B130" s="80">
        <v>0</v>
      </c>
      <c r="C130" s="80">
        <v>0</v>
      </c>
      <c r="D130" s="80">
        <v>0</v>
      </c>
      <c r="E130" s="80">
        <v>0</v>
      </c>
      <c r="F130" s="82" t="str">
        <f t="shared" si="1"/>
        <v>CAM690</v>
      </c>
      <c r="G130" s="82" t="str">
        <f>VLOOKUP(PROD_CAMOBILE_2025M1!A130,'Analyse Réel 01-2025'!F:G,2,FALSE)</f>
        <v>CA153</v>
      </c>
    </row>
    <row r="131" spans="1:7">
      <c r="A131" s="79" t="s">
        <v>231</v>
      </c>
      <c r="B131" s="80">
        <v>179563017</v>
      </c>
      <c r="C131" s="80">
        <v>-179563017</v>
      </c>
      <c r="D131" s="80">
        <v>-179563017</v>
      </c>
      <c r="E131" s="80">
        <v>359126034</v>
      </c>
      <c r="F131" s="82" t="str">
        <f t="shared" si="1"/>
        <v>CAM720</v>
      </c>
      <c r="G131" s="82" t="str">
        <f>VLOOKUP(PROD_CAMOBILE_2025M1!A131,'Analyse Réel 01-2025'!F:G,2,FALSE)</f>
        <v>CA159</v>
      </c>
    </row>
    <row r="132" spans="1:7">
      <c r="A132" s="79" t="s">
        <v>233</v>
      </c>
      <c r="B132" s="80">
        <v>22380</v>
      </c>
      <c r="C132" s="80">
        <v>-22380</v>
      </c>
      <c r="D132" s="80">
        <v>-22380</v>
      </c>
      <c r="E132" s="80">
        <v>44760</v>
      </c>
      <c r="F132" s="82" t="str">
        <f t="shared" ref="F132:F145" si="2">LEFT(A132,6)</f>
        <v>CAM725</v>
      </c>
      <c r="G132" s="82" t="str">
        <f>VLOOKUP(PROD_CAMOBILE_2025M1!A132,'Analyse Réel 01-2025'!F:G,2,FALSE)</f>
        <v>CA160</v>
      </c>
    </row>
    <row r="133" spans="1:7">
      <c r="A133" s="79" t="s">
        <v>235</v>
      </c>
      <c r="B133" s="80">
        <v>482620</v>
      </c>
      <c r="C133" s="80">
        <v>-482620</v>
      </c>
      <c r="D133" s="80">
        <v>-482620</v>
      </c>
      <c r="E133" s="80">
        <v>965240</v>
      </c>
      <c r="F133" s="82" t="str">
        <f t="shared" si="2"/>
        <v>CAM730</v>
      </c>
      <c r="G133" s="82" t="str">
        <f>VLOOKUP(PROD_CAMOBILE_2025M1!A133,'Analyse Réel 01-2025'!F:G,2,FALSE)</f>
        <v>CA161</v>
      </c>
    </row>
    <row r="134" spans="1:7">
      <c r="A134" s="79" t="s">
        <v>237</v>
      </c>
      <c r="B134" s="80">
        <v>2922189</v>
      </c>
      <c r="C134" s="80">
        <v>-1974212</v>
      </c>
      <c r="D134" s="80">
        <v>-1974212</v>
      </c>
      <c r="E134" s="80">
        <v>4896401</v>
      </c>
      <c r="F134" s="82" t="str">
        <f t="shared" si="2"/>
        <v>CAM735</v>
      </c>
      <c r="G134" s="82" t="str">
        <f>VLOOKUP(PROD_CAMOBILE_2025M1!A134,'Analyse Réel 01-2025'!F:G,2,FALSE)</f>
        <v>CA162</v>
      </c>
    </row>
    <row r="135" spans="1:7">
      <c r="A135" s="79" t="s">
        <v>239</v>
      </c>
      <c r="B135" s="80">
        <v>182990206</v>
      </c>
      <c r="C135" s="80">
        <v>-182042229</v>
      </c>
      <c r="D135" s="80">
        <v>-182042229</v>
      </c>
      <c r="E135" s="80">
        <v>365032435</v>
      </c>
      <c r="F135" s="82" t="str">
        <f t="shared" si="2"/>
        <v>CAM715</v>
      </c>
      <c r="G135" s="82" t="str">
        <f>VLOOKUP(PROD_CAMOBILE_2025M1!A135,'Analyse Réel 01-2025'!F:G,2,FALSE)</f>
        <v>CA158</v>
      </c>
    </row>
    <row r="136" spans="1:7">
      <c r="A136" s="79" t="s">
        <v>241</v>
      </c>
      <c r="B136" s="80">
        <v>182990206</v>
      </c>
      <c r="C136" s="80">
        <v>-182042229</v>
      </c>
      <c r="D136" s="80">
        <v>-182042229</v>
      </c>
      <c r="E136" s="80">
        <v>365032435</v>
      </c>
      <c r="F136" s="82" t="str">
        <f t="shared" si="2"/>
        <v>CAM625</v>
      </c>
      <c r="G136" s="82" t="str">
        <f>VLOOKUP(PROD_CAMOBILE_2025M1!A136,'Analyse Réel 01-2025'!F:G,2,FALSE)</f>
        <v>CA142</v>
      </c>
    </row>
    <row r="137" spans="1:7">
      <c r="A137" s="79" t="s">
        <v>243</v>
      </c>
      <c r="B137" s="80">
        <v>34270058</v>
      </c>
      <c r="C137" s="80">
        <v>34270058</v>
      </c>
      <c r="D137" s="80">
        <v>34270058</v>
      </c>
      <c r="E137" s="80">
        <v>0</v>
      </c>
      <c r="F137" s="82" t="str">
        <f t="shared" si="2"/>
        <v>CAM760</v>
      </c>
      <c r="G137" s="82" t="str">
        <f>VLOOKUP(PROD_CAMOBILE_2025M1!A137,'Analyse Réel 01-2025'!F:G,2,FALSE)</f>
        <v>CA171</v>
      </c>
    </row>
    <row r="138" spans="1:7">
      <c r="A138" s="79" t="s">
        <v>244</v>
      </c>
      <c r="B138" s="80">
        <v>198264067</v>
      </c>
      <c r="C138" s="80">
        <v>198264067</v>
      </c>
      <c r="D138" s="80">
        <v>198264067</v>
      </c>
      <c r="E138" s="80">
        <v>0</v>
      </c>
      <c r="F138" s="82" t="str">
        <f t="shared" si="2"/>
        <v>CAM770</v>
      </c>
      <c r="G138" s="82" t="str">
        <f>VLOOKUP(PROD_CAMOBILE_2025M1!A138,'Analyse Réel 01-2025'!F:G,2,FALSE)</f>
        <v>CA173</v>
      </c>
    </row>
    <row r="139" spans="1:7">
      <c r="A139" s="79" t="s">
        <v>245</v>
      </c>
      <c r="B139" s="80">
        <v>8290269</v>
      </c>
      <c r="C139" s="80">
        <v>8290269</v>
      </c>
      <c r="D139" s="80">
        <v>8290269</v>
      </c>
      <c r="E139" s="80">
        <v>0</v>
      </c>
      <c r="F139" s="82" t="str">
        <f t="shared" si="2"/>
        <v>CAM775</v>
      </c>
      <c r="G139" s="82" t="str">
        <f>VLOOKUP(PROD_CAMOBILE_2025M1!A139,'Analyse Réel 01-2025'!F:G,2,FALSE)</f>
        <v>CA174</v>
      </c>
    </row>
    <row r="140" spans="1:7">
      <c r="A140" s="79" t="s">
        <v>246</v>
      </c>
      <c r="B140" s="80">
        <v>0</v>
      </c>
      <c r="C140" s="80">
        <v>0</v>
      </c>
      <c r="D140" s="80">
        <v>0</v>
      </c>
      <c r="E140" s="80">
        <v>0</v>
      </c>
      <c r="F140" s="82" t="str">
        <f t="shared" si="2"/>
        <v>CAM780</v>
      </c>
      <c r="G140" s="82" t="str">
        <f>VLOOKUP(PROD_CAMOBILE_2025M1!A140,'Analyse Réel 01-2025'!F:G,2,FALSE)</f>
        <v>CA175</v>
      </c>
    </row>
    <row r="141" spans="1:7">
      <c r="A141" s="79" t="s">
        <v>247</v>
      </c>
      <c r="B141" s="80">
        <v>206554336</v>
      </c>
      <c r="C141" s="80">
        <v>206554336</v>
      </c>
      <c r="D141" s="80">
        <v>206554336</v>
      </c>
      <c r="E141" s="80">
        <v>0</v>
      </c>
      <c r="F141" s="82" t="str">
        <f t="shared" si="2"/>
        <v>CAM765</v>
      </c>
      <c r="G141" s="82" t="str">
        <f>VLOOKUP(PROD_CAMOBILE_2025M1!A141,'Analyse Réel 01-2025'!F:G,2,FALSE)</f>
        <v>CA172</v>
      </c>
    </row>
    <row r="142" spans="1:7">
      <c r="A142" s="79" t="s">
        <v>249</v>
      </c>
      <c r="B142" s="80">
        <v>7132612739</v>
      </c>
      <c r="C142" s="80">
        <v>-267301937</v>
      </c>
      <c r="D142" s="80">
        <v>-5968919917</v>
      </c>
      <c r="E142" s="80">
        <v>7399914676</v>
      </c>
      <c r="F142" s="82" t="str">
        <f t="shared" si="2"/>
        <v>CAM025</v>
      </c>
      <c r="G142" s="82" t="str">
        <f>VLOOKUP(PROD_CAMOBILE_2025M1!A142,'Analyse Réel 01-2025'!F:G,2,FALSE)</f>
        <v>CA9</v>
      </c>
    </row>
    <row r="143" spans="1:7">
      <c r="A143" s="79" t="s">
        <v>251</v>
      </c>
      <c r="B143" s="80">
        <v>7315602945</v>
      </c>
      <c r="C143" s="80">
        <v>-449344166</v>
      </c>
      <c r="D143" s="80">
        <v>-6150962146</v>
      </c>
      <c r="E143" s="80">
        <v>7764947111</v>
      </c>
      <c r="F143" s="82" t="str">
        <f t="shared" si="2"/>
        <v>CAM020</v>
      </c>
      <c r="G143" s="82" t="str">
        <f>VLOOKUP(PROD_CAMOBILE_2025M1!A143,'Analyse Réel 01-2025'!F:G,2,FALSE)</f>
        <v>CA7</v>
      </c>
    </row>
    <row r="144" spans="1:7">
      <c r="A144" s="79" t="s">
        <v>253</v>
      </c>
      <c r="B144" s="80">
        <v>7349873003</v>
      </c>
      <c r="C144" s="80">
        <v>-415074108</v>
      </c>
      <c r="D144" s="80">
        <v>-6116692088</v>
      </c>
      <c r="E144" s="80">
        <v>7764947111</v>
      </c>
      <c r="F144" s="82" t="str">
        <f t="shared" si="2"/>
        <v>CAM015</v>
      </c>
      <c r="G144" s="82" t="str">
        <f>VLOOKUP(PROD_CAMOBILE_2025M1!A144,'Analyse Réel 01-2025'!F:G,2,FALSE)</f>
        <v>CA5</v>
      </c>
    </row>
    <row r="145" spans="1:7">
      <c r="A145" s="79" t="s">
        <v>255</v>
      </c>
      <c r="B145" s="80">
        <v>7556427339</v>
      </c>
      <c r="C145" s="80">
        <v>-208519772</v>
      </c>
      <c r="D145" s="80">
        <v>-5910137752</v>
      </c>
      <c r="E145" s="80">
        <v>7764947111</v>
      </c>
      <c r="F145" s="82" t="str">
        <f t="shared" si="2"/>
        <v>CAM005</v>
      </c>
      <c r="G145" s="82" t="str">
        <f>VLOOKUP(PROD_CAMOBILE_2025M1!A145,'Analyse Réel 01-2025'!F:G,2,FALSE)</f>
        <v>CA1</v>
      </c>
    </row>
  </sheetData>
  <autoFilter ref="A2:E145" xr:uid="{33A59818-B6A1-4EA2-AE27-1D8F976E79A0}"/>
  <mergeCells count="1"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220C-1154-4BCF-B990-B4C068368F58}">
  <sheetPr>
    <tabColor rgb="FFFFC000"/>
  </sheetPr>
  <dimension ref="A1:H183"/>
  <sheetViews>
    <sheetView topLeftCell="A5" workbookViewId="0">
      <selection activeCell="C8" sqref="C8"/>
    </sheetView>
  </sheetViews>
  <sheetFormatPr defaultColWidth="11.42578125" defaultRowHeight="15"/>
  <cols>
    <col min="1" max="1" width="16.7109375" bestFit="1" customWidth="1"/>
    <col min="2" max="2" width="88" bestFit="1" customWidth="1"/>
    <col min="3" max="3" width="6.140625" bestFit="1" customWidth="1"/>
  </cols>
  <sheetData>
    <row r="1" spans="1:8" hidden="1">
      <c r="E1">
        <v>0</v>
      </c>
    </row>
    <row r="2" spans="1:8" hidden="1">
      <c r="A2" t="s">
        <v>263</v>
      </c>
    </row>
    <row r="3" spans="1:8" hidden="1"/>
    <row r="4" spans="1:8" hidden="1">
      <c r="D4">
        <v>45658</v>
      </c>
    </row>
    <row r="5" spans="1:8" ht="27.95">
      <c r="A5" s="1"/>
      <c r="B5" s="2" t="s">
        <v>264</v>
      </c>
      <c r="C5" s="1"/>
      <c r="D5" s="69" t="s">
        <v>265</v>
      </c>
      <c r="E5" s="70" t="s">
        <v>266</v>
      </c>
      <c r="F5" s="70" t="s">
        <v>267</v>
      </c>
      <c r="G5" s="70" t="s">
        <v>268</v>
      </c>
      <c r="H5" s="71" t="s">
        <v>269</v>
      </c>
    </row>
    <row r="6" spans="1:8">
      <c r="D6" s="36"/>
      <c r="E6" s="36"/>
      <c r="F6" s="36"/>
      <c r="G6" s="36"/>
      <c r="H6" s="36"/>
    </row>
    <row r="7" spans="1:8">
      <c r="D7" s="36"/>
      <c r="E7" s="36"/>
      <c r="F7" s="36"/>
      <c r="G7" s="36"/>
      <c r="H7" s="36"/>
    </row>
    <row r="8" spans="1:8">
      <c r="A8" t="s">
        <v>270</v>
      </c>
      <c r="C8" t="s">
        <v>271</v>
      </c>
      <c r="D8" s="36">
        <v>8324.9027745431358</v>
      </c>
      <c r="E8" s="36">
        <v>9527.0890678901524</v>
      </c>
      <c r="F8" s="36">
        <v>-1202.1862933470165</v>
      </c>
      <c r="G8" s="36">
        <v>9480.8077089999988</v>
      </c>
      <c r="H8" s="36">
        <v>-0.12192051246431024</v>
      </c>
    </row>
    <row r="9" spans="1:8">
      <c r="C9" t="s">
        <v>272</v>
      </c>
      <c r="D9" s="36"/>
      <c r="E9" s="36"/>
      <c r="F9" s="36"/>
      <c r="G9" s="36"/>
      <c r="H9" s="36"/>
    </row>
    <row r="10" spans="1:8">
      <c r="B10" t="s">
        <v>273</v>
      </c>
      <c r="C10" t="s">
        <v>274</v>
      </c>
      <c r="D10" s="36"/>
      <c r="E10" s="36"/>
      <c r="F10" s="36"/>
      <c r="G10" s="36"/>
      <c r="H10" s="36"/>
    </row>
    <row r="11" spans="1:8">
      <c r="C11" t="s">
        <v>275</v>
      </c>
      <c r="D11" s="36"/>
      <c r="E11" s="36"/>
      <c r="F11" s="36"/>
      <c r="G11" s="36"/>
      <c r="H11" s="36"/>
    </row>
    <row r="12" spans="1:8">
      <c r="A12" t="s">
        <v>276</v>
      </c>
      <c r="C12" t="s">
        <v>277</v>
      </c>
      <c r="D12" s="36">
        <v>8118.3484385431366</v>
      </c>
      <c r="E12" s="36">
        <v>9340.1170062824967</v>
      </c>
      <c r="F12" s="36">
        <v>-1221.7685677393602</v>
      </c>
      <c r="G12" s="36">
        <v>9400.2690549999988</v>
      </c>
      <c r="H12" s="36">
        <v>-0.13637063034648023</v>
      </c>
    </row>
    <row r="13" spans="1:8">
      <c r="C13" t="s">
        <v>278</v>
      </c>
      <c r="D13" s="36"/>
      <c r="E13" s="36"/>
      <c r="F13" s="36"/>
      <c r="G13" s="36">
        <v>0</v>
      </c>
      <c r="H13" s="36"/>
    </row>
    <row r="14" spans="1:8">
      <c r="A14" t="s">
        <v>279</v>
      </c>
      <c r="C14" t="s">
        <v>280</v>
      </c>
      <c r="D14" s="36">
        <v>7983.1451325431362</v>
      </c>
      <c r="E14" s="36">
        <v>9190.3208539131356</v>
      </c>
      <c r="F14" s="36">
        <v>-1207.1757213699993</v>
      </c>
      <c r="G14" s="36">
        <v>9314.5767989999986</v>
      </c>
      <c r="H14" s="36">
        <v>-0.14294065046517235</v>
      </c>
    </row>
    <row r="15" spans="1:8">
      <c r="C15" t="s">
        <v>281</v>
      </c>
      <c r="D15" s="36"/>
      <c r="E15" s="36"/>
      <c r="F15" s="36"/>
      <c r="G15" s="36">
        <v>0</v>
      </c>
      <c r="H15" s="36"/>
    </row>
    <row r="16" spans="1:8">
      <c r="A16" t="s">
        <v>282</v>
      </c>
      <c r="C16" t="s">
        <v>283</v>
      </c>
      <c r="D16" s="36">
        <v>7739.2918045092374</v>
      </c>
      <c r="E16" s="36">
        <v>8900.1168874810737</v>
      </c>
      <c r="F16" s="36">
        <v>-1160.8250829718363</v>
      </c>
      <c r="G16" s="36">
        <v>9000.8893735423717</v>
      </c>
      <c r="H16" s="36">
        <v>-0.14016365679835285</v>
      </c>
    </row>
    <row r="17" spans="1:8">
      <c r="B17" t="s">
        <v>284</v>
      </c>
      <c r="C17" t="s">
        <v>285</v>
      </c>
      <c r="D17" s="36">
        <v>3180.3320310000004</v>
      </c>
      <c r="E17" s="36">
        <v>3844.6975251025651</v>
      </c>
      <c r="F17" s="36">
        <v>-664.36549410256475</v>
      </c>
      <c r="G17" s="36">
        <v>4134.0606069999994</v>
      </c>
      <c r="H17" s="36">
        <v>-0.23070019205453784</v>
      </c>
    </row>
    <row r="18" spans="1:8">
      <c r="A18" t="s">
        <v>286</v>
      </c>
      <c r="C18" t="s">
        <v>287</v>
      </c>
      <c r="D18" s="36">
        <v>3180.3320310000004</v>
      </c>
      <c r="E18" s="36">
        <v>3844.6975251025651</v>
      </c>
      <c r="F18" s="36">
        <v>-664.36549410256475</v>
      </c>
      <c r="G18" s="36">
        <v>4134.0606070000003</v>
      </c>
      <c r="H18" s="36">
        <v>-0.23070019205453796</v>
      </c>
    </row>
    <row r="19" spans="1:8">
      <c r="B19" t="s">
        <v>288</v>
      </c>
      <c r="C19" t="s">
        <v>289</v>
      </c>
      <c r="D19" s="36">
        <v>-9.2047629999999998</v>
      </c>
      <c r="E19" s="36">
        <v>-22.461806333333332</v>
      </c>
      <c r="F19" s="36">
        <v>13.257043333333332</v>
      </c>
      <c r="G19" s="36">
        <v>-34.062213999999997</v>
      </c>
      <c r="H19" s="36">
        <v>-0.72976615671547362</v>
      </c>
    </row>
    <row r="20" spans="1:8">
      <c r="B20" t="s">
        <v>290</v>
      </c>
      <c r="C20" t="s">
        <v>291</v>
      </c>
      <c r="D20" s="36">
        <v>1325.2424781440679</v>
      </c>
      <c r="E20" s="36">
        <v>1532.0022738183907</v>
      </c>
      <c r="F20" s="36">
        <v>-206.75979567432273</v>
      </c>
      <c r="G20" s="36">
        <v>1925.913700720339</v>
      </c>
      <c r="H20" s="36">
        <v>-0.31188896073152461</v>
      </c>
    </row>
    <row r="21" spans="1:8">
      <c r="B21" t="s">
        <v>292</v>
      </c>
      <c r="C21" t="s">
        <v>293</v>
      </c>
      <c r="D21" s="36">
        <v>1093.7670940423729</v>
      </c>
      <c r="E21" s="36">
        <v>1964.2889233861813</v>
      </c>
      <c r="F21" s="36">
        <v>-870.52182934380835</v>
      </c>
      <c r="G21" s="36">
        <v>1821.5084833983049</v>
      </c>
      <c r="H21" s="36">
        <v>-0.39952676366251016</v>
      </c>
    </row>
    <row r="22" spans="1:8">
      <c r="B22" t="s">
        <v>294</v>
      </c>
      <c r="C22" t="s">
        <v>295</v>
      </c>
      <c r="D22" s="36">
        <v>0</v>
      </c>
      <c r="E22" s="36">
        <v>0</v>
      </c>
      <c r="F22" s="36">
        <v>0</v>
      </c>
      <c r="G22" s="36">
        <v>0</v>
      </c>
      <c r="H22" s="36"/>
    </row>
    <row r="23" spans="1:8">
      <c r="B23" t="s">
        <v>296</v>
      </c>
      <c r="C23" t="s">
        <v>297</v>
      </c>
      <c r="D23" s="36">
        <v>0</v>
      </c>
      <c r="E23" s="36">
        <v>0</v>
      </c>
      <c r="F23" s="36"/>
      <c r="G23" s="36">
        <v>0</v>
      </c>
      <c r="H23" s="36"/>
    </row>
    <row r="24" spans="1:8">
      <c r="B24" t="s">
        <v>298</v>
      </c>
      <c r="C24" t="s">
        <v>299</v>
      </c>
      <c r="D24" s="36">
        <v>0</v>
      </c>
      <c r="E24" s="36">
        <v>134.85752233042621</v>
      </c>
      <c r="F24" s="36">
        <v>-134.85752233042621</v>
      </c>
      <c r="G24" s="36">
        <v>0</v>
      </c>
      <c r="H24" s="36"/>
    </row>
    <row r="25" spans="1:8">
      <c r="B25" t="s">
        <v>300</v>
      </c>
      <c r="C25" t="s">
        <v>301</v>
      </c>
      <c r="D25" s="36">
        <v>477.33819115254238</v>
      </c>
      <c r="E25" s="36">
        <v>0.26963616227166609</v>
      </c>
      <c r="F25" s="36">
        <v>477.06855499027074</v>
      </c>
      <c r="G25" s="36">
        <v>72.348987635593218</v>
      </c>
      <c r="H25" s="36">
        <v>5.5977176288463832</v>
      </c>
    </row>
    <row r="26" spans="1:8">
      <c r="B26" t="s">
        <v>302</v>
      </c>
      <c r="C26" t="s">
        <v>303</v>
      </c>
      <c r="D26" s="36">
        <v>159.65992166101694</v>
      </c>
      <c r="E26" s="36">
        <v>134.97915181666167</v>
      </c>
      <c r="F26" s="36">
        <v>24.680769844355268</v>
      </c>
      <c r="G26" s="36">
        <v>206.80958924576271</v>
      </c>
      <c r="H26" s="36">
        <v>-0.22798588671202935</v>
      </c>
    </row>
    <row r="27" spans="1:8">
      <c r="B27" t="s">
        <v>304</v>
      </c>
      <c r="C27" t="s">
        <v>305</v>
      </c>
      <c r="D27" s="36">
        <v>10.56786</v>
      </c>
      <c r="E27" s="36">
        <v>16.595850531648814</v>
      </c>
      <c r="F27" s="36">
        <v>-6.0279905316488147</v>
      </c>
      <c r="G27" s="36">
        <v>12.727779999999999</v>
      </c>
      <c r="H27" s="36">
        <v>-0.16970123619358601</v>
      </c>
    </row>
    <row r="28" spans="1:8">
      <c r="B28" t="s">
        <v>306</v>
      </c>
      <c r="C28" t="s">
        <v>307</v>
      </c>
      <c r="D28" s="36">
        <v>3066.5755450000006</v>
      </c>
      <c r="E28" s="36">
        <v>3782.9933580455804</v>
      </c>
      <c r="F28" s="36">
        <v>-716.41781304557981</v>
      </c>
      <c r="G28" s="36">
        <v>4039.3085409999999</v>
      </c>
      <c r="H28" s="36">
        <v>-0.24081671061433263</v>
      </c>
    </row>
    <row r="29" spans="1:8">
      <c r="C29" t="s">
        <v>308</v>
      </c>
      <c r="D29" s="36"/>
      <c r="E29" s="36">
        <v>0</v>
      </c>
      <c r="F29" s="36"/>
      <c r="G29" s="36">
        <v>0</v>
      </c>
      <c r="H29" s="36"/>
    </row>
    <row r="30" spans="1:8">
      <c r="B30" t="s">
        <v>309</v>
      </c>
      <c r="C30" t="s">
        <v>310</v>
      </c>
      <c r="D30" s="36">
        <v>1.2364790000000001</v>
      </c>
      <c r="E30" s="36">
        <v>1.2104351132667925</v>
      </c>
      <c r="F30" s="36">
        <v>2.6043886733207566E-2</v>
      </c>
      <c r="G30" s="36">
        <v>1.899627</v>
      </c>
      <c r="H30" s="36">
        <v>-0.34909379578201394</v>
      </c>
    </row>
    <row r="31" spans="1:8">
      <c r="B31" t="s">
        <v>311</v>
      </c>
      <c r="C31" t="s">
        <v>312</v>
      </c>
      <c r="D31" s="36">
        <v>1.2314510000000001</v>
      </c>
      <c r="E31" s="36">
        <v>1.3495968465732242</v>
      </c>
      <c r="F31" s="36">
        <v>-0.11814584657322413</v>
      </c>
      <c r="G31" s="36">
        <v>1.7658750000000001</v>
      </c>
      <c r="H31" s="36">
        <v>-0.30263976782048563</v>
      </c>
    </row>
    <row r="32" spans="1:8">
      <c r="B32" t="s">
        <v>313</v>
      </c>
      <c r="C32" t="s">
        <v>314</v>
      </c>
      <c r="D32" s="36">
        <v>0</v>
      </c>
      <c r="E32" s="36">
        <v>0</v>
      </c>
      <c r="F32" s="36">
        <v>0</v>
      </c>
      <c r="G32" s="36">
        <v>0</v>
      </c>
      <c r="H32" s="36"/>
    </row>
    <row r="33" spans="2:8">
      <c r="B33" t="s">
        <v>315</v>
      </c>
      <c r="C33" t="s">
        <v>316</v>
      </c>
      <c r="D33" s="36">
        <v>1.3810000000000001E-3</v>
      </c>
      <c r="E33" s="36">
        <v>2.010427386639463E-3</v>
      </c>
      <c r="F33" s="36">
        <v>-6.2942738663946296E-4</v>
      </c>
      <c r="G33" s="36">
        <v>1.7290000000000001E-3</v>
      </c>
      <c r="H33" s="36"/>
    </row>
    <row r="34" spans="2:8">
      <c r="B34" t="s">
        <v>317</v>
      </c>
      <c r="C34" t="s">
        <v>318</v>
      </c>
      <c r="D34" s="36">
        <v>0.232047</v>
      </c>
      <c r="E34" s="36">
        <v>0.40805876439936628</v>
      </c>
      <c r="F34" s="36">
        <v>-0.17601176439936628</v>
      </c>
      <c r="G34" s="36">
        <v>0.44431599999999999</v>
      </c>
      <c r="H34" s="36"/>
    </row>
    <row r="35" spans="2:8">
      <c r="B35" t="s">
        <v>319</v>
      </c>
      <c r="C35" t="s">
        <v>320</v>
      </c>
      <c r="D35" s="36">
        <v>2.6209169999999999</v>
      </c>
      <c r="E35" s="36">
        <v>1.7264834384672227</v>
      </c>
      <c r="F35" s="36">
        <v>0.8944335615327772</v>
      </c>
      <c r="G35" s="36">
        <v>2.6101070000000002</v>
      </c>
      <c r="H35" s="36">
        <v>4.1415926626762189E-3</v>
      </c>
    </row>
    <row r="36" spans="2:8">
      <c r="B36" t="s">
        <v>321</v>
      </c>
      <c r="C36" t="s">
        <v>322</v>
      </c>
      <c r="D36" s="36">
        <v>5.3222749999999994</v>
      </c>
      <c r="E36" s="36">
        <v>4.696584590093245</v>
      </c>
      <c r="F36" s="36">
        <v>0.6256904099067544</v>
      </c>
      <c r="G36" s="36">
        <v>6.721654</v>
      </c>
      <c r="H36" s="36">
        <v>-0.20818968069466248</v>
      </c>
    </row>
    <row r="37" spans="2:8">
      <c r="C37" t="s">
        <v>323</v>
      </c>
      <c r="D37" s="36"/>
      <c r="E37" s="36"/>
      <c r="F37" s="36"/>
      <c r="G37" s="36">
        <v>0</v>
      </c>
      <c r="H37" s="36"/>
    </row>
    <row r="38" spans="2:8">
      <c r="B38" t="s">
        <v>324</v>
      </c>
      <c r="C38" t="s">
        <v>325</v>
      </c>
      <c r="D38" s="36">
        <v>3391.819301</v>
      </c>
      <c r="E38" s="36">
        <v>3972.9579176343623</v>
      </c>
      <c r="F38" s="36">
        <v>-581.13861663436228</v>
      </c>
      <c r="G38" s="36">
        <v>3929.111582</v>
      </c>
      <c r="H38" s="36">
        <v>-0.13674650612149497</v>
      </c>
    </row>
    <row r="39" spans="2:8">
      <c r="C39" t="s">
        <v>326</v>
      </c>
      <c r="D39" s="36"/>
      <c r="E39" s="36"/>
      <c r="F39" s="36"/>
      <c r="G39" s="36">
        <v>0</v>
      </c>
      <c r="H39" s="36"/>
    </row>
    <row r="40" spans="2:8">
      <c r="B40" t="s">
        <v>327</v>
      </c>
      <c r="C40" t="s">
        <v>328</v>
      </c>
      <c r="D40" s="36">
        <v>0.132797</v>
      </c>
      <c r="E40" s="36">
        <v>0.28909890429301127</v>
      </c>
      <c r="F40" s="36">
        <v>-0.15630190429301127</v>
      </c>
      <c r="G40" s="36">
        <v>0.56557199999999996</v>
      </c>
      <c r="H40" s="36">
        <v>-0.76519877221644639</v>
      </c>
    </row>
    <row r="41" spans="2:8">
      <c r="B41" t="s">
        <v>329</v>
      </c>
      <c r="C41" t="s">
        <v>330</v>
      </c>
      <c r="D41" s="36">
        <v>7.7828593220338993</v>
      </c>
      <c r="E41" s="36">
        <v>6.5450632963003015</v>
      </c>
      <c r="F41" s="36">
        <v>1.2377960257335978</v>
      </c>
      <c r="G41" s="36">
        <v>11.089769090910011</v>
      </c>
      <c r="H41" s="36">
        <v>-0.29819464605324353</v>
      </c>
    </row>
    <row r="42" spans="2:8">
      <c r="B42" t="s">
        <v>331</v>
      </c>
      <c r="C42" t="s">
        <v>332</v>
      </c>
      <c r="D42" s="36">
        <v>0</v>
      </c>
      <c r="E42" s="36">
        <v>0</v>
      </c>
      <c r="F42" s="36">
        <v>0</v>
      </c>
      <c r="G42" s="36">
        <v>0</v>
      </c>
      <c r="H42" s="36"/>
    </row>
    <row r="43" spans="2:8">
      <c r="B43" t="s">
        <v>333</v>
      </c>
      <c r="C43" t="s">
        <v>334</v>
      </c>
      <c r="D43" s="36">
        <v>0</v>
      </c>
      <c r="E43" s="36">
        <v>0</v>
      </c>
      <c r="F43" s="36">
        <v>0</v>
      </c>
      <c r="G43" s="36">
        <v>0</v>
      </c>
      <c r="H43" s="36"/>
    </row>
    <row r="44" spans="2:8">
      <c r="B44" t="s">
        <v>335</v>
      </c>
      <c r="C44" t="s">
        <v>336</v>
      </c>
      <c r="D44" s="36">
        <v>0</v>
      </c>
      <c r="E44" s="36">
        <v>0</v>
      </c>
      <c r="F44" s="36">
        <v>0</v>
      </c>
      <c r="G44" s="36">
        <v>0</v>
      </c>
      <c r="H44" s="36"/>
    </row>
    <row r="45" spans="2:8">
      <c r="B45" t="s">
        <v>337</v>
      </c>
      <c r="C45" t="s">
        <v>338</v>
      </c>
      <c r="D45" s="36">
        <v>109.72331767796609</v>
      </c>
      <c r="E45" s="36">
        <v>72.635226599631594</v>
      </c>
      <c r="F45" s="36">
        <v>37.0880910783345</v>
      </c>
      <c r="G45" s="36">
        <v>110.43728490909</v>
      </c>
      <c r="H45" s="36"/>
    </row>
    <row r="46" spans="2:8">
      <c r="B46" t="s">
        <v>339</v>
      </c>
      <c r="C46" t="s">
        <v>340</v>
      </c>
      <c r="D46" s="36">
        <v>0</v>
      </c>
      <c r="E46" s="36">
        <v>0</v>
      </c>
      <c r="F46" s="36">
        <v>0</v>
      </c>
      <c r="G46" s="36">
        <v>0</v>
      </c>
      <c r="H46" s="36"/>
    </row>
    <row r="47" spans="2:8">
      <c r="B47" t="s">
        <v>341</v>
      </c>
      <c r="C47" t="s">
        <v>342</v>
      </c>
      <c r="D47" s="36">
        <v>117.63897399999999</v>
      </c>
      <c r="E47" s="36">
        <v>79.469388800224905</v>
      </c>
      <c r="F47" s="36">
        <v>38.169585199775085</v>
      </c>
      <c r="G47" s="36">
        <v>122.09262600000001</v>
      </c>
      <c r="H47" s="36">
        <v>-3.6477649354515584E-2</v>
      </c>
    </row>
    <row r="48" spans="2:8">
      <c r="C48" t="s">
        <v>343</v>
      </c>
      <c r="D48" s="36"/>
      <c r="E48" s="36"/>
      <c r="F48" s="36"/>
      <c r="G48" s="36">
        <v>0</v>
      </c>
      <c r="H48" s="36"/>
    </row>
    <row r="49" spans="1:8">
      <c r="B49" t="s">
        <v>344</v>
      </c>
      <c r="C49" t="s">
        <v>345</v>
      </c>
      <c r="D49" s="36"/>
      <c r="E49" s="36"/>
      <c r="F49" s="36"/>
      <c r="G49" s="36">
        <v>0</v>
      </c>
      <c r="H49" s="36"/>
    </row>
    <row r="50" spans="1:8">
      <c r="B50" t="s">
        <v>346</v>
      </c>
      <c r="C50" t="s">
        <v>347</v>
      </c>
      <c r="D50" s="36"/>
      <c r="E50" s="36"/>
      <c r="F50" s="36"/>
      <c r="G50" s="36">
        <v>0</v>
      </c>
      <c r="H50" s="36"/>
    </row>
    <row r="51" spans="1:8">
      <c r="B51" t="s">
        <v>348</v>
      </c>
      <c r="C51" t="s">
        <v>349</v>
      </c>
      <c r="D51" s="36"/>
      <c r="E51" s="36"/>
      <c r="F51" s="36"/>
      <c r="G51" s="36">
        <v>0</v>
      </c>
      <c r="H51" s="36"/>
    </row>
    <row r="52" spans="1:8">
      <c r="B52" t="s">
        <v>350</v>
      </c>
      <c r="C52" t="s">
        <v>351</v>
      </c>
      <c r="D52" s="36">
        <v>3391.819301</v>
      </c>
      <c r="E52" s="36">
        <v>3972.9579176343623</v>
      </c>
      <c r="F52" s="36">
        <v>-581.13861663436228</v>
      </c>
      <c r="G52" s="36">
        <v>3929.111582</v>
      </c>
      <c r="H52" s="36">
        <v>-0.13674650612149497</v>
      </c>
    </row>
    <row r="53" spans="1:8">
      <c r="B53" t="s">
        <v>352</v>
      </c>
      <c r="C53" t="s">
        <v>353</v>
      </c>
      <c r="D53" s="36">
        <v>283.30239799999998</v>
      </c>
      <c r="E53" s="36">
        <v>292.50936088488936</v>
      </c>
      <c r="F53" s="36">
        <v>-9.2069628848893643</v>
      </c>
      <c r="G53" s="36">
        <v>286.374594</v>
      </c>
      <c r="H53" s="36">
        <v>-1.0727892991792443E-2</v>
      </c>
    </row>
    <row r="54" spans="1:8">
      <c r="B54" t="s">
        <v>354</v>
      </c>
      <c r="C54" t="s">
        <v>355</v>
      </c>
      <c r="D54" s="36">
        <v>210.72996599999999</v>
      </c>
      <c r="E54" s="36">
        <v>216.24376122561068</v>
      </c>
      <c r="F54" s="36">
        <v>-5.5137952256106928</v>
      </c>
      <c r="G54" s="36">
        <v>201.05485900000002</v>
      </c>
      <c r="H54" s="36">
        <v>4.8121726816858335E-2</v>
      </c>
    </row>
    <row r="55" spans="1:8">
      <c r="A55" t="s">
        <v>356</v>
      </c>
      <c r="C55" t="s">
        <v>357</v>
      </c>
      <c r="D55" s="36">
        <v>10.744111999999999</v>
      </c>
      <c r="E55" s="36">
        <v>9.6670394627552447</v>
      </c>
      <c r="F55" s="36">
        <v>1.0770725372447547</v>
      </c>
      <c r="G55" s="36">
        <v>-10.210921000000001</v>
      </c>
      <c r="H55" s="36">
        <v>-2.0522177186563288</v>
      </c>
    </row>
    <row r="56" spans="1:8">
      <c r="A56" t="s">
        <v>358</v>
      </c>
      <c r="C56" t="s">
        <v>359</v>
      </c>
      <c r="D56" s="36">
        <v>14.508870999999999</v>
      </c>
      <c r="E56" s="36">
        <v>18.503260855654418</v>
      </c>
      <c r="F56" s="36">
        <v>-3.9943898556544184</v>
      </c>
      <c r="G56" s="36">
        <v>20.653504999999999</v>
      </c>
      <c r="H56" s="36">
        <v>-0.29751047098301231</v>
      </c>
    </row>
    <row r="57" spans="1:8">
      <c r="A57" t="s">
        <v>360</v>
      </c>
      <c r="C57" t="s">
        <v>361</v>
      </c>
      <c r="D57" s="36">
        <v>185.47698299999999</v>
      </c>
      <c r="E57" s="36">
        <v>188.07346090720102</v>
      </c>
      <c r="F57" s="36">
        <v>-2.5964779072010344</v>
      </c>
      <c r="G57" s="36">
        <v>190.61227500000001</v>
      </c>
      <c r="H57" s="36">
        <v>-2.694103514582169E-2</v>
      </c>
    </row>
    <row r="58" spans="1:8">
      <c r="B58" t="s">
        <v>362</v>
      </c>
      <c r="C58" t="s">
        <v>363</v>
      </c>
      <c r="D58" s="36">
        <v>72.572432000000006</v>
      </c>
      <c r="E58" s="36">
        <v>76.265599659278678</v>
      </c>
      <c r="F58" s="36">
        <v>-3.6931676592786715</v>
      </c>
      <c r="G58" s="36">
        <v>85.31973499999998</v>
      </c>
      <c r="H58" s="36">
        <v>-0.14940626573676041</v>
      </c>
    </row>
    <row r="59" spans="1:8">
      <c r="A59" t="s">
        <v>356</v>
      </c>
      <c r="C59" t="s">
        <v>364</v>
      </c>
      <c r="D59" s="36">
        <v>0.59717100000000001</v>
      </c>
      <c r="E59" s="36">
        <v>1.7686927584379142</v>
      </c>
      <c r="F59" s="36">
        <v>-1.1715217584379141</v>
      </c>
      <c r="G59" s="36">
        <v>1.5559800000000001</v>
      </c>
      <c r="H59" s="36">
        <v>-0.61620907723749663</v>
      </c>
    </row>
    <row r="60" spans="1:8">
      <c r="B60" t="s">
        <v>290</v>
      </c>
      <c r="C60" t="s">
        <v>365</v>
      </c>
      <c r="D60" s="36">
        <v>0.150395</v>
      </c>
      <c r="E60" s="36">
        <v>0.12043360019164955</v>
      </c>
      <c r="F60" s="36">
        <v>2.9961399808350456E-2</v>
      </c>
      <c r="G60" s="36">
        <v>0.293624</v>
      </c>
      <c r="H60" s="36">
        <v>-0.48779731902024359</v>
      </c>
    </row>
    <row r="61" spans="1:8">
      <c r="B61" t="s">
        <v>292</v>
      </c>
      <c r="C61" t="s">
        <v>366</v>
      </c>
      <c r="D61" s="36">
        <v>0.31489299999999998</v>
      </c>
      <c r="E61" s="36">
        <v>0.26936534275088991</v>
      </c>
      <c r="F61" s="36">
        <v>4.5527657249110065E-2</v>
      </c>
      <c r="G61" s="36">
        <v>0.58873900000000001</v>
      </c>
      <c r="H61" s="36">
        <v>-0.46513990070302802</v>
      </c>
    </row>
    <row r="62" spans="1:8">
      <c r="B62" t="s">
        <v>294</v>
      </c>
      <c r="C62" t="s">
        <v>367</v>
      </c>
      <c r="D62" s="36">
        <v>0</v>
      </c>
      <c r="E62" s="36">
        <v>0</v>
      </c>
      <c r="F62" s="36">
        <v>0</v>
      </c>
      <c r="G62" s="36">
        <v>0</v>
      </c>
      <c r="H62" s="36"/>
    </row>
    <row r="63" spans="1:8">
      <c r="B63" t="s">
        <v>296</v>
      </c>
      <c r="C63" t="s">
        <v>368</v>
      </c>
      <c r="D63" s="36">
        <v>0</v>
      </c>
      <c r="E63" s="36">
        <v>0</v>
      </c>
      <c r="F63" s="36">
        <v>0</v>
      </c>
      <c r="G63" s="36">
        <v>0</v>
      </c>
      <c r="H63" s="36"/>
    </row>
    <row r="64" spans="1:8">
      <c r="B64" t="s">
        <v>298</v>
      </c>
      <c r="C64" t="s">
        <v>369</v>
      </c>
      <c r="D64" s="36">
        <v>4.4706000000000003E-2</v>
      </c>
      <c r="E64" s="36">
        <v>3.0927460484344273E-2</v>
      </c>
      <c r="F64" s="36">
        <v>1.3778539515655729E-2</v>
      </c>
      <c r="G64" s="36">
        <v>1.9446000000000001E-2</v>
      </c>
      <c r="H64" s="36"/>
    </row>
    <row r="65" spans="2:8">
      <c r="B65" t="s">
        <v>300</v>
      </c>
      <c r="C65" t="s">
        <v>370</v>
      </c>
      <c r="D65" s="36">
        <v>-1.9380000000000001E-3</v>
      </c>
      <c r="E65" s="36">
        <v>4.5030739555807749E-3</v>
      </c>
      <c r="F65" s="36">
        <v>-6.4410739555807745E-3</v>
      </c>
      <c r="G65" s="36">
        <v>3.2160000000000001E-3</v>
      </c>
      <c r="H65" s="36">
        <v>-1.6026119402985075</v>
      </c>
    </row>
    <row r="66" spans="2:8">
      <c r="B66" t="s">
        <v>302</v>
      </c>
      <c r="C66" t="s">
        <v>371</v>
      </c>
      <c r="D66" s="36">
        <v>4.6205000000000003E-2</v>
      </c>
      <c r="E66" s="36">
        <v>6.3212938263455337E-2</v>
      </c>
      <c r="F66" s="36">
        <v>-1.7007938263455334E-2</v>
      </c>
      <c r="G66" s="36">
        <v>0.27166200000000001</v>
      </c>
      <c r="H66" s="36">
        <v>-0.8299173237331684</v>
      </c>
    </row>
    <row r="67" spans="2:8">
      <c r="B67" t="s">
        <v>304</v>
      </c>
      <c r="C67" t="s">
        <v>372</v>
      </c>
      <c r="D67" s="36">
        <v>2.4176E-2</v>
      </c>
      <c r="E67" s="36">
        <v>0.38755426669940246</v>
      </c>
      <c r="F67" s="36">
        <v>-0.36337826669940249</v>
      </c>
      <c r="G67" s="36">
        <v>0.37518600000000002</v>
      </c>
      <c r="H67" s="36"/>
    </row>
    <row r="68" spans="2:8">
      <c r="B68" t="s">
        <v>306</v>
      </c>
      <c r="C68" t="s">
        <v>373</v>
      </c>
      <c r="D68" s="36">
        <v>0.57843699999999998</v>
      </c>
      <c r="E68" s="36">
        <v>0.87599668234532224</v>
      </c>
      <c r="F68" s="36">
        <v>-0.29755968234532226</v>
      </c>
      <c r="G68" s="36">
        <v>1.5518730000000001</v>
      </c>
      <c r="H68" s="36">
        <v>-0.62726524657623406</v>
      </c>
    </row>
    <row r="69" spans="2:8">
      <c r="C69" t="s">
        <v>374</v>
      </c>
      <c r="D69" s="36"/>
      <c r="E69" s="36"/>
      <c r="F69" s="36">
        <v>0</v>
      </c>
      <c r="G69" s="36">
        <v>0</v>
      </c>
      <c r="H69" s="36"/>
    </row>
    <row r="70" spans="2:8">
      <c r="B70" t="s">
        <v>309</v>
      </c>
      <c r="C70" t="s">
        <v>375</v>
      </c>
      <c r="D70" s="36">
        <v>1.8734000000000001E-2</v>
      </c>
      <c r="E70" s="36">
        <v>5.2030414463513962E-3</v>
      </c>
      <c r="F70" s="36">
        <v>1.3530958553648605E-2</v>
      </c>
      <c r="G70" s="36">
        <v>4.1070000000000004E-3</v>
      </c>
      <c r="H70" s="36">
        <v>3.5614803993182367</v>
      </c>
    </row>
    <row r="71" spans="2:8">
      <c r="B71" t="s">
        <v>311</v>
      </c>
      <c r="C71" t="s">
        <v>376</v>
      </c>
      <c r="D71" s="36">
        <v>0</v>
      </c>
      <c r="E71" s="36">
        <v>0</v>
      </c>
      <c r="F71" s="36">
        <v>0</v>
      </c>
      <c r="G71" s="36">
        <v>0</v>
      </c>
      <c r="H71" s="36" t="e">
        <v>#DIV/0!</v>
      </c>
    </row>
    <row r="72" spans="2:8">
      <c r="B72" t="s">
        <v>313</v>
      </c>
      <c r="C72" t="s">
        <v>377</v>
      </c>
      <c r="D72" s="36">
        <v>0</v>
      </c>
      <c r="E72" s="36">
        <v>0</v>
      </c>
      <c r="F72" s="36">
        <v>0</v>
      </c>
      <c r="G72" s="36">
        <v>0</v>
      </c>
      <c r="H72" s="36"/>
    </row>
    <row r="73" spans="2:8">
      <c r="B73" t="s">
        <v>315</v>
      </c>
      <c r="C73" t="s">
        <v>378</v>
      </c>
      <c r="D73" s="36">
        <v>0</v>
      </c>
      <c r="E73" s="36">
        <v>0</v>
      </c>
      <c r="F73" s="36">
        <v>0</v>
      </c>
      <c r="G73" s="36">
        <v>0</v>
      </c>
      <c r="H73" s="36"/>
    </row>
    <row r="74" spans="2:8">
      <c r="B74" t="s">
        <v>317</v>
      </c>
      <c r="C74" t="s">
        <v>379</v>
      </c>
      <c r="D74" s="36">
        <v>0</v>
      </c>
      <c r="E74" s="36">
        <v>0</v>
      </c>
      <c r="F74" s="36">
        <v>0</v>
      </c>
      <c r="G74" s="36">
        <v>0</v>
      </c>
      <c r="H74" s="36"/>
    </row>
    <row r="75" spans="2:8">
      <c r="B75" t="s">
        <v>319</v>
      </c>
      <c r="C75" t="s">
        <v>380</v>
      </c>
      <c r="D75" s="36">
        <v>0</v>
      </c>
      <c r="E75" s="36">
        <v>4.0258679807530527E-2</v>
      </c>
      <c r="F75" s="36">
        <v>-4.0258679807530527E-2</v>
      </c>
      <c r="G75" s="36">
        <v>0</v>
      </c>
      <c r="H75" s="36" t="e">
        <v>#DIV/0!</v>
      </c>
    </row>
    <row r="76" spans="2:8">
      <c r="B76" t="s">
        <v>321</v>
      </c>
      <c r="C76" t="s">
        <v>381</v>
      </c>
      <c r="D76" s="36">
        <v>1.8734000000000001E-2</v>
      </c>
      <c r="E76" s="36">
        <v>4.5461721253881926E-2</v>
      </c>
      <c r="F76" s="36">
        <v>-2.6727721253881925E-2</v>
      </c>
      <c r="G76" s="36">
        <v>4.1070000000000004E-3</v>
      </c>
      <c r="H76" s="36">
        <v>3.5614803993182367</v>
      </c>
    </row>
    <row r="77" spans="2:8">
      <c r="C77" t="s">
        <v>382</v>
      </c>
      <c r="D77" s="36"/>
      <c r="E77" s="36"/>
      <c r="F77" s="36"/>
      <c r="G77" s="36">
        <v>0</v>
      </c>
      <c r="H77" s="36"/>
    </row>
    <row r="78" spans="2:8">
      <c r="B78" t="s">
        <v>324</v>
      </c>
      <c r="C78" t="s">
        <v>383</v>
      </c>
      <c r="D78" s="36">
        <v>-2.612012</v>
      </c>
      <c r="E78" s="36">
        <v>1.1029799112380301</v>
      </c>
      <c r="F78" s="36">
        <v>-3.7149919112380303</v>
      </c>
      <c r="G78" s="36">
        <v>1.6369100000000001</v>
      </c>
      <c r="H78" s="36">
        <v>-2.5956967701339719</v>
      </c>
    </row>
    <row r="79" spans="2:8">
      <c r="B79" t="s">
        <v>384</v>
      </c>
      <c r="C79" t="s">
        <v>385</v>
      </c>
      <c r="D79" s="36"/>
      <c r="E79" s="36">
        <v>0</v>
      </c>
      <c r="F79" s="36"/>
      <c r="G79" s="36">
        <v>0</v>
      </c>
      <c r="H79" s="36"/>
    </row>
    <row r="80" spans="2:8">
      <c r="B80" t="s">
        <v>386</v>
      </c>
      <c r="C80" t="s">
        <v>387</v>
      </c>
      <c r="D80" s="36"/>
      <c r="E80" s="36">
        <v>0.84723435483871001</v>
      </c>
      <c r="F80" s="36">
        <v>-0.84723435483871001</v>
      </c>
      <c r="G80" s="36">
        <v>0</v>
      </c>
      <c r="H80" s="36"/>
    </row>
    <row r="81" spans="1:8">
      <c r="B81" t="s">
        <v>388</v>
      </c>
      <c r="C81" t="s">
        <v>389</v>
      </c>
      <c r="D81" s="36"/>
      <c r="E81" s="36">
        <v>0</v>
      </c>
      <c r="F81" s="36">
        <v>0</v>
      </c>
      <c r="G81" s="36">
        <v>0</v>
      </c>
      <c r="H81" s="36"/>
    </row>
    <row r="82" spans="1:8">
      <c r="B82" t="s">
        <v>341</v>
      </c>
      <c r="C82" t="s">
        <v>390</v>
      </c>
      <c r="D82" s="36">
        <v>0</v>
      </c>
      <c r="E82" s="36">
        <v>0.84723435483871001</v>
      </c>
      <c r="F82" s="36">
        <v>-0.84723435483871001</v>
      </c>
      <c r="G82" s="36">
        <v>0</v>
      </c>
      <c r="H82" s="36"/>
    </row>
    <row r="83" spans="1:8">
      <c r="C83" t="s">
        <v>391</v>
      </c>
      <c r="D83" s="36"/>
      <c r="E83" s="36"/>
      <c r="F83" s="36"/>
      <c r="G83" s="36">
        <v>0</v>
      </c>
      <c r="H83" s="36"/>
    </row>
    <row r="84" spans="1:8">
      <c r="A84" t="s">
        <v>358</v>
      </c>
      <c r="C84" t="s">
        <v>392</v>
      </c>
      <c r="D84" s="36">
        <v>35.107591999999997</v>
      </c>
      <c r="E84" s="36">
        <v>31.633660622676825</v>
      </c>
      <c r="F84" s="36">
        <v>3.4739313773231721</v>
      </c>
      <c r="G84" s="36">
        <v>30.596927999999998</v>
      </c>
      <c r="H84" s="36">
        <v>0.14742212028606261</v>
      </c>
    </row>
    <row r="85" spans="1:8">
      <c r="B85" t="s">
        <v>290</v>
      </c>
      <c r="C85" t="s">
        <v>393</v>
      </c>
      <c r="D85" s="36">
        <v>2.4793340000000001</v>
      </c>
      <c r="E85" s="36">
        <v>2.6185885086096667</v>
      </c>
      <c r="F85" s="36">
        <v>-0.13925450860966659</v>
      </c>
      <c r="G85" s="36">
        <v>3.180434</v>
      </c>
      <c r="H85" s="36">
        <v>-0.22044161268556428</v>
      </c>
    </row>
    <row r="86" spans="1:8">
      <c r="B86" t="s">
        <v>292</v>
      </c>
      <c r="C86" t="s">
        <v>394</v>
      </c>
      <c r="D86" s="36">
        <v>5.9198329999999997</v>
      </c>
      <c r="E86" s="36">
        <v>4.9611982444854146</v>
      </c>
      <c r="F86" s="36">
        <v>0.9586347555145851</v>
      </c>
      <c r="G86" s="36">
        <v>7.0714110000000003</v>
      </c>
      <c r="H86" s="36">
        <v>-0.16284981879853977</v>
      </c>
    </row>
    <row r="87" spans="1:8">
      <c r="B87" t="s">
        <v>294</v>
      </c>
      <c r="C87" t="s">
        <v>395</v>
      </c>
      <c r="D87" s="36">
        <v>0</v>
      </c>
      <c r="E87" s="36">
        <v>0</v>
      </c>
      <c r="F87" s="36">
        <v>0</v>
      </c>
      <c r="G87" s="36">
        <v>0</v>
      </c>
      <c r="H87" s="36"/>
    </row>
    <row r="88" spans="1:8">
      <c r="B88" t="s">
        <v>296</v>
      </c>
      <c r="C88" t="s">
        <v>396</v>
      </c>
      <c r="D88" s="36">
        <v>0</v>
      </c>
      <c r="E88" s="36">
        <v>0</v>
      </c>
      <c r="F88" s="36">
        <v>0</v>
      </c>
      <c r="G88" s="36">
        <v>0</v>
      </c>
      <c r="H88" s="36"/>
    </row>
    <row r="89" spans="1:8">
      <c r="B89" t="s">
        <v>298</v>
      </c>
      <c r="C89" t="s">
        <v>397</v>
      </c>
      <c r="D89" s="36">
        <v>0</v>
      </c>
      <c r="E89" s="36">
        <v>0</v>
      </c>
      <c r="F89" s="36">
        <v>0</v>
      </c>
      <c r="G89" s="36">
        <v>0</v>
      </c>
      <c r="H89" s="36"/>
    </row>
    <row r="90" spans="1:8">
      <c r="B90" t="s">
        <v>300</v>
      </c>
      <c r="C90" t="s">
        <v>398</v>
      </c>
      <c r="D90" s="36">
        <v>2.2572999999999999E-2</v>
      </c>
      <c r="E90" s="36">
        <v>3.2492996040603218E-2</v>
      </c>
      <c r="F90" s="36">
        <v>-9.9199960406032191E-3</v>
      </c>
      <c r="G90" s="36">
        <v>3.2085000000000002E-2</v>
      </c>
      <c r="H90" s="36">
        <v>-0.29646252142745844</v>
      </c>
    </row>
    <row r="91" spans="1:8">
      <c r="B91" t="s">
        <v>302</v>
      </c>
      <c r="C91" t="s">
        <v>399</v>
      </c>
      <c r="D91" s="36">
        <v>1.07568</v>
      </c>
      <c r="E91" s="36">
        <v>1.2571811754759883</v>
      </c>
      <c r="F91" s="36">
        <v>-0.18150117547598832</v>
      </c>
      <c r="G91" s="36">
        <v>1.4012389999999999</v>
      </c>
      <c r="H91" s="36">
        <v>-0.23233652503248903</v>
      </c>
    </row>
    <row r="92" spans="1:8">
      <c r="B92" t="s">
        <v>304</v>
      </c>
      <c r="C92" t="s">
        <v>400</v>
      </c>
      <c r="D92" s="36">
        <v>1.8213520000000001</v>
      </c>
      <c r="E92" s="36">
        <v>1.2182790081337795</v>
      </c>
      <c r="F92" s="36">
        <v>0.60307299186622054</v>
      </c>
      <c r="G92" s="36">
        <v>-0.23603499999999999</v>
      </c>
      <c r="H92" s="36">
        <v>-8.7164488317410562</v>
      </c>
    </row>
    <row r="93" spans="1:8">
      <c r="B93" t="s">
        <v>306</v>
      </c>
      <c r="C93" t="s">
        <v>401</v>
      </c>
      <c r="D93" s="36">
        <v>11.318771999999999</v>
      </c>
      <c r="E93" s="36">
        <v>10.087739932745452</v>
      </c>
      <c r="F93" s="36">
        <v>1.2310320672545476</v>
      </c>
      <c r="G93" s="36">
        <v>11.449134000000001</v>
      </c>
      <c r="H93" s="36">
        <v>-1.1386188684664011E-2</v>
      </c>
    </row>
    <row r="94" spans="1:8">
      <c r="C94" t="s">
        <v>402</v>
      </c>
      <c r="D94" s="36"/>
      <c r="E94" s="36"/>
      <c r="F94" s="36"/>
      <c r="G94" s="36">
        <v>0</v>
      </c>
      <c r="H94" s="36"/>
    </row>
    <row r="95" spans="1:8">
      <c r="B95" t="s">
        <v>309</v>
      </c>
      <c r="C95" t="s">
        <v>403</v>
      </c>
      <c r="D95" s="36">
        <v>22.126456999999998</v>
      </c>
      <c r="E95" s="36">
        <v>20.77030968993137</v>
      </c>
      <c r="F95" s="36">
        <v>1.3561473100686285</v>
      </c>
      <c r="G95" s="36">
        <v>18.338000999999998</v>
      </c>
      <c r="H95" s="36">
        <v>0.20659045661520037</v>
      </c>
    </row>
    <row r="96" spans="1:8">
      <c r="B96" t="s">
        <v>311</v>
      </c>
      <c r="C96" t="s">
        <v>404</v>
      </c>
      <c r="D96" s="36">
        <v>0</v>
      </c>
      <c r="E96" s="36">
        <v>0</v>
      </c>
      <c r="F96" s="36">
        <v>0</v>
      </c>
      <c r="G96" s="36">
        <v>0</v>
      </c>
      <c r="H96" s="36" t="e">
        <v>#DIV/0!</v>
      </c>
    </row>
    <row r="97" spans="1:8">
      <c r="B97" t="s">
        <v>313</v>
      </c>
      <c r="C97" t="s">
        <v>405</v>
      </c>
      <c r="D97" s="36">
        <v>0</v>
      </c>
      <c r="E97" s="36">
        <v>0</v>
      </c>
      <c r="F97" s="36">
        <v>0</v>
      </c>
      <c r="G97" s="36">
        <v>0</v>
      </c>
      <c r="H97" s="36"/>
    </row>
    <row r="98" spans="1:8">
      <c r="B98" t="s">
        <v>315</v>
      </c>
      <c r="C98" t="s">
        <v>406</v>
      </c>
      <c r="D98" s="36">
        <v>0</v>
      </c>
      <c r="E98" s="36">
        <v>0</v>
      </c>
      <c r="F98" s="36">
        <v>0</v>
      </c>
      <c r="G98" s="36">
        <v>0</v>
      </c>
      <c r="H98" s="36"/>
    </row>
    <row r="99" spans="1:8">
      <c r="B99" t="s">
        <v>317</v>
      </c>
      <c r="C99" t="s">
        <v>407</v>
      </c>
      <c r="D99" s="36">
        <v>0</v>
      </c>
      <c r="E99" s="36">
        <v>0</v>
      </c>
      <c r="F99" s="36">
        <v>0</v>
      </c>
      <c r="G99" s="36">
        <v>0</v>
      </c>
      <c r="H99" s="36"/>
    </row>
    <row r="100" spans="1:8">
      <c r="B100" t="s">
        <v>319</v>
      </c>
      <c r="C100" t="s">
        <v>408</v>
      </c>
      <c r="D100" s="36">
        <v>0</v>
      </c>
      <c r="E100" s="36">
        <v>0</v>
      </c>
      <c r="F100" s="36">
        <v>0</v>
      </c>
      <c r="G100" s="36">
        <v>0</v>
      </c>
      <c r="H100" s="36" t="e">
        <v>#DIV/0!</v>
      </c>
    </row>
    <row r="101" spans="1:8">
      <c r="B101" t="s">
        <v>321</v>
      </c>
      <c r="C101" t="s">
        <v>409</v>
      </c>
      <c r="D101" s="36">
        <v>22.126456999999998</v>
      </c>
      <c r="E101" s="36">
        <v>20.77030968993137</v>
      </c>
      <c r="F101" s="36">
        <v>1.3561473100686285</v>
      </c>
      <c r="G101" s="36">
        <v>18.338000999999998</v>
      </c>
      <c r="H101" s="36">
        <v>0.20659045661520037</v>
      </c>
    </row>
    <row r="102" spans="1:8">
      <c r="C102" t="s">
        <v>410</v>
      </c>
      <c r="D102" s="36"/>
      <c r="E102" s="36"/>
      <c r="F102" s="36">
        <v>0</v>
      </c>
      <c r="G102" s="36">
        <v>0</v>
      </c>
      <c r="H102" s="36"/>
    </row>
    <row r="103" spans="1:8">
      <c r="B103" t="s">
        <v>324</v>
      </c>
      <c r="C103" t="s">
        <v>411</v>
      </c>
      <c r="D103" s="36">
        <v>43.765310999999997</v>
      </c>
      <c r="E103" s="36">
        <v>30.94034373703154</v>
      </c>
      <c r="F103" s="36">
        <v>12.824967262968457</v>
      </c>
      <c r="G103" s="36">
        <v>9.3923039999999993</v>
      </c>
      <c r="H103" s="36">
        <v>3.6596991536900854</v>
      </c>
    </row>
    <row r="104" spans="1:8">
      <c r="B104" t="s">
        <v>384</v>
      </c>
      <c r="C104" t="s">
        <v>412</v>
      </c>
      <c r="D104" s="36">
        <v>0</v>
      </c>
      <c r="E104" s="36">
        <v>0</v>
      </c>
      <c r="F104" s="36">
        <v>0</v>
      </c>
      <c r="G104" s="36">
        <v>0</v>
      </c>
      <c r="H104" s="36"/>
    </row>
    <row r="105" spans="1:8">
      <c r="B105" t="s">
        <v>386</v>
      </c>
      <c r="C105" t="s">
        <v>413</v>
      </c>
      <c r="D105" s="36">
        <v>1.662363</v>
      </c>
      <c r="E105" s="36">
        <v>0.77561100000000005</v>
      </c>
      <c r="F105" s="36">
        <v>0.88675199999999998</v>
      </c>
      <c r="G105" s="36">
        <v>0.80979299999999999</v>
      </c>
      <c r="H105" s="36"/>
    </row>
    <row r="106" spans="1:8">
      <c r="B106" t="s">
        <v>388</v>
      </c>
      <c r="C106" t="s">
        <v>414</v>
      </c>
      <c r="D106" s="36">
        <v>0</v>
      </c>
      <c r="E106" s="36">
        <v>0</v>
      </c>
      <c r="F106" s="36">
        <v>0</v>
      </c>
      <c r="G106" s="36">
        <v>0</v>
      </c>
      <c r="H106" s="36"/>
    </row>
    <row r="107" spans="1:8">
      <c r="B107" t="s">
        <v>341</v>
      </c>
      <c r="C107" t="s">
        <v>415</v>
      </c>
      <c r="D107" s="36">
        <v>1.662363</v>
      </c>
      <c r="E107" s="36">
        <v>0.77561100000000005</v>
      </c>
      <c r="F107" s="36">
        <v>0.88675199999999998</v>
      </c>
      <c r="G107" s="36">
        <v>0.80979299999999999</v>
      </c>
      <c r="H107" s="36"/>
    </row>
    <row r="108" spans="1:8">
      <c r="C108" t="s">
        <v>416</v>
      </c>
      <c r="D108" s="36"/>
      <c r="E108" s="36"/>
      <c r="F108" s="36"/>
      <c r="G108" s="36">
        <v>0</v>
      </c>
      <c r="H108" s="36"/>
    </row>
    <row r="109" spans="1:8">
      <c r="A109" t="s">
        <v>360</v>
      </c>
      <c r="C109" t="s">
        <v>417</v>
      </c>
      <c r="D109" s="36">
        <v>36.867669000000006</v>
      </c>
      <c r="E109" s="36">
        <v>42.863246278163942</v>
      </c>
      <c r="F109" s="36">
        <v>-5.9955772781639354</v>
      </c>
      <c r="G109" s="36">
        <v>53.166826999999991</v>
      </c>
      <c r="H109" s="36">
        <v>-0.30656631060567119</v>
      </c>
    </row>
    <row r="110" spans="1:8">
      <c r="B110" t="s">
        <v>290</v>
      </c>
      <c r="C110" t="s">
        <v>418</v>
      </c>
      <c r="D110" s="36">
        <v>8.2984465593219099</v>
      </c>
      <c r="E110" s="36">
        <v>15.494212117300485</v>
      </c>
      <c r="F110" s="36">
        <v>-7.1957655579785751</v>
      </c>
      <c r="G110" s="36">
        <v>15.545727754237213</v>
      </c>
      <c r="H110" s="36">
        <v>-0.46619118187888964</v>
      </c>
    </row>
    <row r="111" spans="1:8">
      <c r="B111" t="s">
        <v>292</v>
      </c>
      <c r="C111" t="s">
        <v>419</v>
      </c>
      <c r="D111" s="36">
        <v>10.548946830508598</v>
      </c>
      <c r="E111" s="36">
        <v>13.777584400691305</v>
      </c>
      <c r="F111" s="36">
        <v>-3.2286375701827073</v>
      </c>
      <c r="G111" s="36">
        <v>20.473459381355994</v>
      </c>
      <c r="H111" s="36">
        <v>-0.48475015218410433</v>
      </c>
    </row>
    <row r="112" spans="1:8">
      <c r="B112" t="s">
        <v>294</v>
      </c>
      <c r="C112" t="s">
        <v>420</v>
      </c>
      <c r="D112" s="36">
        <v>0</v>
      </c>
      <c r="E112" s="36">
        <v>0</v>
      </c>
      <c r="F112" s="36">
        <v>0</v>
      </c>
      <c r="G112" s="36">
        <v>0</v>
      </c>
      <c r="H112" s="36"/>
    </row>
    <row r="113" spans="2:8">
      <c r="B113" t="s">
        <v>296</v>
      </c>
      <c r="C113" t="s">
        <v>421</v>
      </c>
      <c r="D113" s="36">
        <v>0</v>
      </c>
      <c r="E113" s="36">
        <v>0</v>
      </c>
      <c r="F113" s="36">
        <v>0</v>
      </c>
      <c r="G113" s="36">
        <v>0</v>
      </c>
      <c r="H113" s="36"/>
    </row>
    <row r="114" spans="2:8">
      <c r="B114" t="s">
        <v>298</v>
      </c>
      <c r="C114" t="s">
        <v>422</v>
      </c>
      <c r="D114" s="36">
        <v>0</v>
      </c>
      <c r="E114" s="36">
        <v>0</v>
      </c>
      <c r="F114" s="36">
        <v>0</v>
      </c>
      <c r="G114" s="36">
        <v>0</v>
      </c>
      <c r="H114" s="36"/>
    </row>
    <row r="115" spans="2:8">
      <c r="B115" t="s">
        <v>300</v>
      </c>
      <c r="C115" t="s">
        <v>423</v>
      </c>
      <c r="D115" s="36">
        <v>2.3791871694915252</v>
      </c>
      <c r="E115" s="36">
        <v>0.4852630057380673</v>
      </c>
      <c r="F115" s="36">
        <v>1.8939241637534578</v>
      </c>
      <c r="G115" s="36">
        <v>0.48717851694915254</v>
      </c>
      <c r="H115" s="36">
        <v>3.8836044421471154</v>
      </c>
    </row>
    <row r="116" spans="2:8">
      <c r="B116" t="s">
        <v>302</v>
      </c>
      <c r="C116" t="s">
        <v>424</v>
      </c>
      <c r="D116" s="36">
        <v>1.5992774406779697</v>
      </c>
      <c r="E116" s="36">
        <v>2.1755097549378504</v>
      </c>
      <c r="F116" s="36">
        <v>-0.57623231425988064</v>
      </c>
      <c r="G116" s="36">
        <v>2.2399483474576298</v>
      </c>
      <c r="H116" s="36">
        <v>-0.28602039306255866</v>
      </c>
    </row>
    <row r="117" spans="2:8">
      <c r="B117" t="s">
        <v>304</v>
      </c>
      <c r="C117" t="s">
        <v>425</v>
      </c>
      <c r="D117" s="36">
        <v>0.51502099999999995</v>
      </c>
      <c r="E117" s="36">
        <v>8.1251135563123272E-2</v>
      </c>
      <c r="F117" s="36">
        <v>0.43376986443687671</v>
      </c>
      <c r="G117" s="36">
        <v>0.76777499999999999</v>
      </c>
      <c r="H117" s="36">
        <v>-0.32920321708833977</v>
      </c>
    </row>
    <row r="118" spans="2:8">
      <c r="B118" t="s">
        <v>306</v>
      </c>
      <c r="C118" t="s">
        <v>426</v>
      </c>
      <c r="D118" s="36">
        <v>23.340879000000005</v>
      </c>
      <c r="E118" s="36">
        <v>32.013820414230828</v>
      </c>
      <c r="F118" s="36">
        <v>-8.6729414142308237</v>
      </c>
      <c r="G118" s="36">
        <v>39.514088999999984</v>
      </c>
      <c r="H118" s="36">
        <v>-0.40930236301284806</v>
      </c>
    </row>
    <row r="119" spans="2:8">
      <c r="C119" t="s">
        <v>427</v>
      </c>
      <c r="D119" s="36"/>
      <c r="E119" s="36"/>
      <c r="F119" s="36"/>
      <c r="G119" s="36">
        <v>0</v>
      </c>
      <c r="H119" s="36"/>
    </row>
    <row r="120" spans="2:8">
      <c r="B120" t="s">
        <v>309</v>
      </c>
      <c r="C120" t="s">
        <v>428</v>
      </c>
      <c r="D120" s="36">
        <v>-0.16949700000000001</v>
      </c>
      <c r="E120" s="36">
        <v>-0.35199127068735264</v>
      </c>
      <c r="F120" s="36">
        <v>0.18249427068735263</v>
      </c>
      <c r="G120" s="36">
        <v>-0.12757099999999999</v>
      </c>
      <c r="H120" s="36">
        <v>0.32864836052080815</v>
      </c>
    </row>
    <row r="121" spans="2:8">
      <c r="B121" t="s">
        <v>311</v>
      </c>
      <c r="C121" t="s">
        <v>429</v>
      </c>
      <c r="D121" s="36">
        <v>0.132518</v>
      </c>
      <c r="E121" s="36">
        <v>0.35672423782454532</v>
      </c>
      <c r="F121" s="36">
        <v>-0.22420623782454532</v>
      </c>
      <c r="G121" s="36">
        <v>0.15276600000000001</v>
      </c>
      <c r="H121" s="36">
        <v>-0.13254258146446207</v>
      </c>
    </row>
    <row r="122" spans="2:8">
      <c r="B122" t="s">
        <v>313</v>
      </c>
      <c r="C122" t="s">
        <v>430</v>
      </c>
      <c r="D122" s="36">
        <v>0</v>
      </c>
      <c r="E122" s="36">
        <v>0</v>
      </c>
      <c r="F122" s="36">
        <v>0</v>
      </c>
      <c r="G122" s="36">
        <v>0</v>
      </c>
      <c r="H122" s="36"/>
    </row>
    <row r="123" spans="2:8">
      <c r="B123" t="s">
        <v>315</v>
      </c>
      <c r="C123" t="s">
        <v>431</v>
      </c>
      <c r="D123" s="36">
        <v>4.5000000000000003E-5</v>
      </c>
      <c r="E123" s="36">
        <v>2.2567855885747984E-4</v>
      </c>
      <c r="F123" s="36">
        <v>-1.8067855885747983E-4</v>
      </c>
      <c r="G123" s="36">
        <v>1.2999999999999999E-5</v>
      </c>
      <c r="H123" s="36"/>
    </row>
    <row r="124" spans="2:8">
      <c r="B124" t="s">
        <v>317</v>
      </c>
      <c r="C124" t="s">
        <v>432</v>
      </c>
      <c r="D124" s="36">
        <v>2.6471000000000001E-2</v>
      </c>
      <c r="E124" s="36">
        <v>0.17033120400839954</v>
      </c>
      <c r="F124" s="36">
        <v>-0.14386020400839955</v>
      </c>
      <c r="G124" s="36">
        <v>3.1857000000000003E-2</v>
      </c>
      <c r="H124" s="36"/>
    </row>
    <row r="125" spans="2:8">
      <c r="B125" t="s">
        <v>319</v>
      </c>
      <c r="C125" t="s">
        <v>433</v>
      </c>
      <c r="D125" s="36">
        <v>0.10589</v>
      </c>
      <c r="E125" s="36">
        <v>0.18013801422866338</v>
      </c>
      <c r="F125" s="36">
        <v>-7.4248014228663381E-2</v>
      </c>
      <c r="G125" s="36">
        <v>0.111347</v>
      </c>
      <c r="H125" s="36">
        <v>-4.9008953990677839E-2</v>
      </c>
    </row>
    <row r="126" spans="2:8">
      <c r="B126" t="s">
        <v>321</v>
      </c>
      <c r="C126" t="s">
        <v>434</v>
      </c>
      <c r="D126" s="36">
        <v>9.5426999999999984E-2</v>
      </c>
      <c r="E126" s="36">
        <v>0.3554278639331131</v>
      </c>
      <c r="F126" s="36">
        <v>-0.26000086393311311</v>
      </c>
      <c r="G126" s="36">
        <v>0.16841200000000003</v>
      </c>
      <c r="H126" s="36">
        <v>-0.43337173123055384</v>
      </c>
    </row>
    <row r="127" spans="2:8">
      <c r="C127" t="s">
        <v>435</v>
      </c>
      <c r="D127" s="36"/>
      <c r="E127" s="36"/>
      <c r="F127" s="36"/>
      <c r="G127" s="36">
        <v>0</v>
      </c>
      <c r="H127" s="36"/>
    </row>
    <row r="128" spans="2:8">
      <c r="B128" t="s">
        <v>324</v>
      </c>
      <c r="C128" t="s">
        <v>436</v>
      </c>
      <c r="D128" s="36">
        <v>98.567352999999997</v>
      </c>
      <c r="E128" s="36">
        <v>107.97036802637427</v>
      </c>
      <c r="F128" s="36">
        <v>-9.4030150263742769</v>
      </c>
      <c r="G128" s="36">
        <v>101.751932</v>
      </c>
      <c r="H128" s="36">
        <v>-3.1297479442454201E-2</v>
      </c>
    </row>
    <row r="129" spans="2:8">
      <c r="B129" t="s">
        <v>384</v>
      </c>
      <c r="C129" t="s">
        <v>437</v>
      </c>
      <c r="D129" s="36">
        <v>0</v>
      </c>
      <c r="E129" s="36">
        <v>0</v>
      </c>
      <c r="F129" s="36">
        <v>0</v>
      </c>
      <c r="G129" s="36">
        <v>0</v>
      </c>
      <c r="H129" s="36"/>
    </row>
    <row r="130" spans="2:8">
      <c r="B130" t="s">
        <v>386</v>
      </c>
      <c r="C130" t="s">
        <v>438</v>
      </c>
      <c r="D130" s="36">
        <v>1.519495</v>
      </c>
      <c r="E130" s="36">
        <v>1.2627139999999999</v>
      </c>
      <c r="F130" s="36">
        <v>0.25678100000000015</v>
      </c>
      <c r="G130" s="36">
        <v>1.1864440000000001</v>
      </c>
      <c r="H130" s="36"/>
    </row>
    <row r="131" spans="2:8" ht="35.450000000000003" customHeight="1">
      <c r="B131" t="s">
        <v>439</v>
      </c>
      <c r="C131" t="s">
        <v>440</v>
      </c>
      <c r="D131" s="36">
        <v>11.905025</v>
      </c>
      <c r="E131" s="36">
        <v>9.2312840000000005</v>
      </c>
      <c r="F131" s="36">
        <v>2.6737409999999997</v>
      </c>
      <c r="G131" s="36">
        <v>12.280551000000001</v>
      </c>
      <c r="H131" s="36"/>
    </row>
    <row r="132" spans="2:8" ht="47.1" customHeight="1">
      <c r="B132" t="s">
        <v>441</v>
      </c>
      <c r="C132" t="s">
        <v>442</v>
      </c>
      <c r="D132" s="36">
        <v>0</v>
      </c>
      <c r="E132" s="36">
        <v>0</v>
      </c>
      <c r="F132" s="36">
        <v>0</v>
      </c>
      <c r="G132" s="36">
        <v>0</v>
      </c>
      <c r="H132" s="36"/>
    </row>
    <row r="133" spans="2:8">
      <c r="B133" t="s">
        <v>327</v>
      </c>
      <c r="C133" t="s">
        <v>443</v>
      </c>
      <c r="D133" s="36">
        <v>6.8430000000000001E-3</v>
      </c>
      <c r="E133" s="36">
        <v>0</v>
      </c>
      <c r="F133" s="36">
        <v>6.8430000000000001E-3</v>
      </c>
      <c r="G133" s="36">
        <v>1.7330999999999999E-2</v>
      </c>
      <c r="H133" s="36"/>
    </row>
    <row r="134" spans="2:8">
      <c r="B134" t="s">
        <v>331</v>
      </c>
      <c r="C134" t="s">
        <v>444</v>
      </c>
      <c r="D134" s="36">
        <v>0</v>
      </c>
      <c r="E134" s="36">
        <v>0</v>
      </c>
      <c r="F134" s="36">
        <v>0</v>
      </c>
      <c r="G134" s="36">
        <v>0</v>
      </c>
      <c r="H134" s="36"/>
    </row>
    <row r="135" spans="2:8">
      <c r="B135" t="s">
        <v>333</v>
      </c>
      <c r="C135" t="s">
        <v>445</v>
      </c>
      <c r="D135" s="36">
        <v>0</v>
      </c>
      <c r="E135" s="36">
        <v>0</v>
      </c>
      <c r="F135" s="36">
        <v>0</v>
      </c>
      <c r="G135" s="36">
        <v>0</v>
      </c>
      <c r="H135" s="36"/>
    </row>
    <row r="136" spans="2:8">
      <c r="B136" t="s">
        <v>335</v>
      </c>
      <c r="C136" t="s">
        <v>446</v>
      </c>
      <c r="D136" s="36">
        <v>0</v>
      </c>
      <c r="E136" s="36">
        <v>0</v>
      </c>
      <c r="F136" s="36">
        <v>0</v>
      </c>
      <c r="G136" s="36">
        <v>0</v>
      </c>
      <c r="H136" s="36"/>
    </row>
    <row r="137" spans="2:8">
      <c r="B137" t="s">
        <v>341</v>
      </c>
      <c r="C137" t="s">
        <v>447</v>
      </c>
      <c r="D137" s="36">
        <v>13.431363000000001</v>
      </c>
      <c r="E137" s="36">
        <v>10.493998000000001</v>
      </c>
      <c r="F137" s="36">
        <v>2.9373649999999998</v>
      </c>
      <c r="G137" s="36">
        <v>13.484326000000001</v>
      </c>
      <c r="H137" s="36"/>
    </row>
    <row r="138" spans="2:8">
      <c r="C138" t="s">
        <v>448</v>
      </c>
      <c r="D138" s="36"/>
      <c r="E138" s="36">
        <v>0</v>
      </c>
      <c r="F138" s="36"/>
      <c r="G138" s="36">
        <v>0</v>
      </c>
      <c r="H138" s="36"/>
    </row>
    <row r="139" spans="2:8">
      <c r="B139" t="s">
        <v>344</v>
      </c>
      <c r="C139" t="s">
        <v>449</v>
      </c>
      <c r="D139" s="36"/>
      <c r="E139" s="36">
        <v>0</v>
      </c>
      <c r="F139" s="36"/>
      <c r="G139" s="36">
        <v>0</v>
      </c>
      <c r="H139" s="36"/>
    </row>
    <row r="140" spans="2:8">
      <c r="B140" t="s">
        <v>346</v>
      </c>
      <c r="C140" t="s">
        <v>450</v>
      </c>
      <c r="D140" s="36"/>
      <c r="E140" s="36">
        <v>0</v>
      </c>
      <c r="F140" s="36"/>
      <c r="G140" s="36">
        <v>0</v>
      </c>
      <c r="H140" s="36"/>
    </row>
    <row r="141" spans="2:8">
      <c r="B141" t="s">
        <v>348</v>
      </c>
      <c r="C141" t="s">
        <v>451</v>
      </c>
      <c r="D141" s="36"/>
      <c r="E141" s="36">
        <v>0</v>
      </c>
      <c r="F141" s="36"/>
      <c r="G141" s="36">
        <v>0</v>
      </c>
      <c r="H141" s="36"/>
    </row>
    <row r="142" spans="2:8">
      <c r="B142" t="s">
        <v>350</v>
      </c>
      <c r="C142" t="s">
        <v>452</v>
      </c>
      <c r="D142" s="36">
        <v>139.720652</v>
      </c>
      <c r="E142" s="36">
        <v>140.01369167464384</v>
      </c>
      <c r="F142" s="36">
        <v>-0.29303967464383618</v>
      </c>
      <c r="G142" s="36">
        <v>112.78114599999999</v>
      </c>
      <c r="H142" s="36">
        <v>0.23886533304068402</v>
      </c>
    </row>
    <row r="143" spans="2:8">
      <c r="B143" t="s">
        <v>453</v>
      </c>
      <c r="C143" t="s">
        <v>454</v>
      </c>
      <c r="D143" s="36">
        <v>605.57178254313601</v>
      </c>
      <c r="E143" s="36">
        <v>500.40912718461271</v>
      </c>
      <c r="F143" s="36">
        <v>105.1626553585233</v>
      </c>
      <c r="G143" s="36">
        <v>434.95081399999998</v>
      </c>
      <c r="H143" s="36">
        <v>0.39227646678949779</v>
      </c>
    </row>
    <row r="144" spans="2:8">
      <c r="B144" t="s">
        <v>455</v>
      </c>
      <c r="C144" t="s">
        <v>456</v>
      </c>
      <c r="D144" s="36">
        <v>138.5456399661017</v>
      </c>
      <c r="E144" s="36">
        <v>149.52926500000001</v>
      </c>
      <c r="F144" s="36">
        <v>-10.983625033898306</v>
      </c>
      <c r="G144" s="36">
        <v>103.61063054237289</v>
      </c>
      <c r="H144" s="36">
        <v>0.33717591757577137</v>
      </c>
    </row>
    <row r="145" spans="1:8">
      <c r="B145" t="s">
        <v>457</v>
      </c>
      <c r="C145" t="s">
        <v>458</v>
      </c>
      <c r="D145" s="36">
        <v>3531.539953</v>
      </c>
      <c r="E145" s="36">
        <v>4112.9716093090065</v>
      </c>
      <c r="F145" s="36">
        <v>-581.43165630900614</v>
      </c>
      <c r="G145" s="36">
        <v>4041.8927279999998</v>
      </c>
      <c r="H145" s="36">
        <v>-0.12626578915975617</v>
      </c>
    </row>
    <row r="146" spans="1:8">
      <c r="B146" t="s">
        <v>459</v>
      </c>
      <c r="C146" t="s">
        <v>460</v>
      </c>
      <c r="D146" s="36"/>
      <c r="E146" s="36"/>
      <c r="F146" s="36"/>
      <c r="G146" s="36">
        <v>0</v>
      </c>
      <c r="H146" s="36"/>
    </row>
    <row r="147" spans="1:8">
      <c r="B147" t="s">
        <v>461</v>
      </c>
      <c r="C147" t="s">
        <v>462</v>
      </c>
      <c r="D147" s="36"/>
      <c r="E147" s="36"/>
      <c r="F147" s="36"/>
      <c r="G147" s="36">
        <v>0</v>
      </c>
      <c r="H147" s="36"/>
    </row>
    <row r="148" spans="1:8">
      <c r="C148" t="s">
        <v>463</v>
      </c>
      <c r="D148" s="36"/>
      <c r="E148" s="36"/>
      <c r="F148" s="36"/>
      <c r="G148" s="36">
        <v>0</v>
      </c>
      <c r="H148" s="36"/>
    </row>
    <row r="149" spans="1:8">
      <c r="A149" t="s">
        <v>464</v>
      </c>
      <c r="C149" t="s">
        <v>465</v>
      </c>
      <c r="D149" s="36">
        <v>182.990206</v>
      </c>
      <c r="E149" s="36">
        <v>218.18988161285196</v>
      </c>
      <c r="F149" s="36">
        <v>-35.199675612851962</v>
      </c>
      <c r="G149" s="36">
        <v>241.69942799999998</v>
      </c>
      <c r="H149" s="36">
        <v>-0.24290178295332987</v>
      </c>
    </row>
    <row r="150" spans="1:8">
      <c r="B150" t="s">
        <v>466</v>
      </c>
      <c r="C150" t="s">
        <v>467</v>
      </c>
      <c r="D150" s="36">
        <v>0</v>
      </c>
      <c r="E150" s="36"/>
      <c r="F150" s="36">
        <v>0</v>
      </c>
      <c r="G150" s="36">
        <v>0</v>
      </c>
      <c r="H150" s="36" t="e">
        <v>#DIV/0!</v>
      </c>
    </row>
    <row r="151" spans="1:8">
      <c r="B151" t="s">
        <v>286</v>
      </c>
      <c r="C151" t="s">
        <v>468</v>
      </c>
      <c r="D151" s="36">
        <v>0</v>
      </c>
      <c r="E151" s="36">
        <v>0</v>
      </c>
      <c r="F151" s="36">
        <v>0</v>
      </c>
      <c r="G151" s="36">
        <v>0</v>
      </c>
      <c r="H151" s="36" t="e">
        <v>#DIV/0!</v>
      </c>
    </row>
    <row r="152" spans="1:8">
      <c r="B152" t="s">
        <v>356</v>
      </c>
      <c r="C152" t="s">
        <v>469</v>
      </c>
      <c r="D152" s="36">
        <v>0</v>
      </c>
      <c r="E152" s="36">
        <v>0</v>
      </c>
      <c r="F152" s="36">
        <v>0</v>
      </c>
      <c r="G152" s="36">
        <v>0</v>
      </c>
      <c r="H152" s="36" t="e">
        <v>#DIV/0!</v>
      </c>
    </row>
    <row r="153" spans="1:8">
      <c r="B153" t="s">
        <v>358</v>
      </c>
      <c r="C153" t="s">
        <v>470</v>
      </c>
      <c r="D153" s="36">
        <v>0</v>
      </c>
      <c r="E153" s="36">
        <v>0</v>
      </c>
      <c r="F153" s="36">
        <v>0</v>
      </c>
      <c r="G153" s="36">
        <v>0</v>
      </c>
      <c r="H153" s="36" t="e">
        <v>#DIV/0!</v>
      </c>
    </row>
    <row r="154" spans="1:8">
      <c r="B154" t="s">
        <v>360</v>
      </c>
      <c r="C154" t="s">
        <v>471</v>
      </c>
      <c r="D154" s="36">
        <v>0</v>
      </c>
      <c r="E154" s="36">
        <v>0</v>
      </c>
      <c r="F154" s="36">
        <v>0</v>
      </c>
      <c r="G154" s="36">
        <v>0</v>
      </c>
      <c r="H154" s="36" t="e">
        <v>#DIV/0!</v>
      </c>
    </row>
    <row r="155" spans="1:8">
      <c r="B155" t="s">
        <v>472</v>
      </c>
      <c r="C155" t="s">
        <v>473</v>
      </c>
      <c r="D155" s="36">
        <v>0</v>
      </c>
      <c r="E155" s="36">
        <v>0</v>
      </c>
      <c r="F155" s="36">
        <v>0</v>
      </c>
      <c r="G155" s="36">
        <v>0</v>
      </c>
      <c r="H155" s="36"/>
    </row>
    <row r="156" spans="1:8">
      <c r="B156" t="s">
        <v>286</v>
      </c>
      <c r="C156" t="s">
        <v>474</v>
      </c>
      <c r="D156" s="36">
        <v>0</v>
      </c>
      <c r="E156" s="36">
        <v>0</v>
      </c>
      <c r="F156" s="36">
        <v>0</v>
      </c>
      <c r="G156" s="36">
        <v>0</v>
      </c>
      <c r="H156" s="36"/>
    </row>
    <row r="157" spans="1:8">
      <c r="B157" t="s">
        <v>356</v>
      </c>
      <c r="C157" t="s">
        <v>475</v>
      </c>
      <c r="D157" s="36">
        <v>0</v>
      </c>
      <c r="E157" s="36">
        <v>0</v>
      </c>
      <c r="F157" s="36">
        <v>0</v>
      </c>
      <c r="G157" s="36">
        <v>0</v>
      </c>
      <c r="H157" s="36"/>
    </row>
    <row r="158" spans="1:8">
      <c r="B158" t="s">
        <v>358</v>
      </c>
      <c r="C158" t="s">
        <v>476</v>
      </c>
      <c r="D158" s="36">
        <v>0</v>
      </c>
      <c r="E158" s="36">
        <v>0</v>
      </c>
      <c r="F158" s="36">
        <v>0</v>
      </c>
      <c r="G158" s="36">
        <v>0</v>
      </c>
      <c r="H158" s="36"/>
    </row>
    <row r="159" spans="1:8">
      <c r="B159" t="s">
        <v>360</v>
      </c>
      <c r="C159" t="s">
        <v>477</v>
      </c>
      <c r="D159" s="36">
        <v>0</v>
      </c>
      <c r="E159" s="36">
        <v>0</v>
      </c>
      <c r="F159" s="36">
        <v>0</v>
      </c>
      <c r="G159" s="36">
        <v>0</v>
      </c>
      <c r="H159" s="36"/>
    </row>
    <row r="160" spans="1:8">
      <c r="B160" t="s">
        <v>478</v>
      </c>
      <c r="C160" t="s">
        <v>479</v>
      </c>
      <c r="D160" s="36">
        <v>0</v>
      </c>
      <c r="E160" s="36">
        <v>0</v>
      </c>
      <c r="F160" s="36">
        <v>0</v>
      </c>
      <c r="G160" s="36">
        <v>0</v>
      </c>
      <c r="H160" s="36" t="e">
        <v>#DIV/0!</v>
      </c>
    </row>
    <row r="161" spans="1:8">
      <c r="B161" t="s">
        <v>286</v>
      </c>
      <c r="C161" t="s">
        <v>480</v>
      </c>
      <c r="D161" s="36">
        <v>0</v>
      </c>
      <c r="E161" s="36">
        <v>0</v>
      </c>
      <c r="F161" s="36">
        <v>0</v>
      </c>
      <c r="G161" s="36">
        <v>0</v>
      </c>
      <c r="H161" s="36" t="e">
        <v>#DIV/0!</v>
      </c>
    </row>
    <row r="162" spans="1:8">
      <c r="B162" t="s">
        <v>356</v>
      </c>
      <c r="C162" t="s">
        <v>481</v>
      </c>
      <c r="D162" s="36">
        <v>0</v>
      </c>
      <c r="E162" s="36">
        <v>0</v>
      </c>
      <c r="F162" s="36">
        <v>0</v>
      </c>
      <c r="G162" s="36">
        <v>0</v>
      </c>
      <c r="H162" s="36" t="e">
        <v>#DIV/0!</v>
      </c>
    </row>
    <row r="163" spans="1:8">
      <c r="B163" t="s">
        <v>358</v>
      </c>
      <c r="C163" t="s">
        <v>482</v>
      </c>
      <c r="D163" s="36">
        <v>0</v>
      </c>
      <c r="E163" s="36">
        <v>0</v>
      </c>
      <c r="F163" s="36">
        <v>0</v>
      </c>
      <c r="G163" s="36">
        <v>0</v>
      </c>
      <c r="H163" s="36" t="e">
        <v>#DIV/0!</v>
      </c>
    </row>
    <row r="164" spans="1:8">
      <c r="B164" t="s">
        <v>360</v>
      </c>
      <c r="C164" t="s">
        <v>483</v>
      </c>
      <c r="D164" s="36">
        <v>0</v>
      </c>
      <c r="E164" s="36">
        <v>0</v>
      </c>
      <c r="F164" s="36">
        <v>0</v>
      </c>
      <c r="G164" s="36">
        <v>0</v>
      </c>
      <c r="H164" s="36" t="e">
        <v>#DIV/0!</v>
      </c>
    </row>
    <row r="165" spans="1:8">
      <c r="B165" t="s">
        <v>484</v>
      </c>
      <c r="C165" t="s">
        <v>485</v>
      </c>
      <c r="D165" s="36">
        <v>182.990206</v>
      </c>
      <c r="E165" s="36">
        <v>218.18988161285196</v>
      </c>
      <c r="F165" s="36">
        <v>-35.199675612851962</v>
      </c>
      <c r="G165" s="36">
        <v>241.69942799999998</v>
      </c>
      <c r="H165" s="36">
        <v>-0.24290178295332987</v>
      </c>
    </row>
    <row r="166" spans="1:8">
      <c r="B166" t="s">
        <v>286</v>
      </c>
      <c r="C166" t="s">
        <v>486</v>
      </c>
      <c r="D166" s="36">
        <v>179.563017</v>
      </c>
      <c r="E166" s="36">
        <v>214.05597478657472</v>
      </c>
      <c r="F166" s="36">
        <v>-34.492957786574721</v>
      </c>
      <c r="G166" s="36">
        <v>237.253128</v>
      </c>
      <c r="H166" s="36">
        <v>-0.24315848430036291</v>
      </c>
    </row>
    <row r="167" spans="1:8">
      <c r="B167" t="s">
        <v>356</v>
      </c>
      <c r="C167" t="s">
        <v>487</v>
      </c>
      <c r="D167" s="36">
        <v>2.2380000000000001E-2</v>
      </c>
      <c r="E167" s="36">
        <v>9.0995201097929163E-2</v>
      </c>
      <c r="F167" s="36">
        <v>-6.8615201097929165E-2</v>
      </c>
      <c r="G167" s="36">
        <v>5.5365999999999999E-2</v>
      </c>
      <c r="H167" s="36">
        <v>-0.59578080410360146</v>
      </c>
    </row>
    <row r="168" spans="1:8">
      <c r="B168" t="s">
        <v>358</v>
      </c>
      <c r="C168" t="s">
        <v>488</v>
      </c>
      <c r="D168" s="36">
        <v>0.48261999999999999</v>
      </c>
      <c r="E168" s="36">
        <v>0.44665372312456503</v>
      </c>
      <c r="F168" s="36">
        <v>3.5966276875434966E-2</v>
      </c>
      <c r="G168" s="36">
        <v>0.57901800000000003</v>
      </c>
      <c r="H168" s="36">
        <v>-0.16648532515396763</v>
      </c>
    </row>
    <row r="169" spans="1:8">
      <c r="B169" t="s">
        <v>360</v>
      </c>
      <c r="C169" t="s">
        <v>489</v>
      </c>
      <c r="D169" s="36">
        <v>2.9221889999999999</v>
      </c>
      <c r="E169" s="36">
        <v>3.5962579020547278</v>
      </c>
      <c r="F169" s="36">
        <v>-0.67406890205472791</v>
      </c>
      <c r="G169" s="36">
        <v>3.8119160000000001</v>
      </c>
      <c r="H169" s="36">
        <v>-0.23340676971895502</v>
      </c>
    </row>
    <row r="170" spans="1:8">
      <c r="C170" t="s">
        <v>490</v>
      </c>
      <c r="D170" s="36"/>
      <c r="E170" s="36"/>
      <c r="F170" s="36"/>
      <c r="G170" s="36">
        <v>0</v>
      </c>
      <c r="H170" s="36"/>
    </row>
    <row r="171" spans="1:8">
      <c r="A171" t="s">
        <v>491</v>
      </c>
      <c r="C171" t="s">
        <v>492</v>
      </c>
      <c r="D171" s="36">
        <v>60.8631220338983</v>
      </c>
      <c r="E171" s="36">
        <v>72.014084819209003</v>
      </c>
      <c r="F171" s="36"/>
      <c r="G171" s="36">
        <v>71.987997457627102</v>
      </c>
      <c r="H171" s="36"/>
    </row>
    <row r="172" spans="1:8">
      <c r="B172" t="s">
        <v>493</v>
      </c>
      <c r="C172" t="s">
        <v>494</v>
      </c>
      <c r="D172" s="36"/>
      <c r="E172" s="36"/>
      <c r="F172" s="36"/>
      <c r="G172" s="36"/>
      <c r="H172" s="36"/>
    </row>
    <row r="173" spans="1:8">
      <c r="B173" t="s">
        <v>495</v>
      </c>
      <c r="C173" t="s">
        <v>496</v>
      </c>
      <c r="D173" s="36"/>
      <c r="E173" s="36"/>
      <c r="F173" s="36"/>
      <c r="G173" s="36"/>
      <c r="H173" s="36"/>
    </row>
    <row r="174" spans="1:8">
      <c r="B174" t="s">
        <v>497</v>
      </c>
      <c r="C174" t="s">
        <v>498</v>
      </c>
      <c r="D174" s="36"/>
      <c r="E174" s="36"/>
      <c r="F174" s="36"/>
      <c r="G174" s="36"/>
      <c r="H174" s="36"/>
    </row>
    <row r="175" spans="1:8">
      <c r="C175" t="s">
        <v>499</v>
      </c>
      <c r="D175" s="36"/>
      <c r="E175" s="36"/>
      <c r="F175" s="36"/>
      <c r="G175" s="36"/>
      <c r="H175" s="36"/>
    </row>
    <row r="176" spans="1:8">
      <c r="C176" t="s">
        <v>500</v>
      </c>
      <c r="D176" s="36"/>
      <c r="E176" s="36"/>
      <c r="F176" s="36"/>
      <c r="G176" s="36"/>
      <c r="H176" s="36"/>
    </row>
    <row r="177" spans="1:8">
      <c r="A177" t="s">
        <v>501</v>
      </c>
      <c r="C177" t="s">
        <v>502</v>
      </c>
      <c r="D177" s="36">
        <v>135.203306</v>
      </c>
      <c r="E177" s="36">
        <v>149.7961523693609</v>
      </c>
      <c r="F177" s="36">
        <v>-14.592846369360899</v>
      </c>
      <c r="G177" s="36">
        <v>85.692256</v>
      </c>
      <c r="H177" s="36">
        <v>0.57777741316554909</v>
      </c>
    </row>
    <row r="178" spans="1:8">
      <c r="B178" t="s">
        <v>503</v>
      </c>
      <c r="C178" t="s">
        <v>504</v>
      </c>
      <c r="D178" s="36">
        <v>100.93324800000001</v>
      </c>
      <c r="E178" s="36">
        <v>112.95804310809464</v>
      </c>
      <c r="F178" s="36"/>
      <c r="G178" s="36">
        <v>37.207255000000004</v>
      </c>
      <c r="H178" s="36">
        <v>1.7127302995074483</v>
      </c>
    </row>
    <row r="179" spans="1:8">
      <c r="A179" t="s">
        <v>505</v>
      </c>
      <c r="C179" t="s">
        <v>506</v>
      </c>
      <c r="D179" s="36">
        <v>206.55433600000001</v>
      </c>
      <c r="E179" s="36">
        <v>186.97206160765609</v>
      </c>
      <c r="F179" s="36">
        <v>19.582274392343919</v>
      </c>
      <c r="G179" s="36">
        <v>80.538653999999994</v>
      </c>
      <c r="H179" s="36">
        <v>1.5646608894159075</v>
      </c>
    </row>
    <row r="180" spans="1:8">
      <c r="B180" t="s">
        <v>507</v>
      </c>
      <c r="C180" t="s">
        <v>508</v>
      </c>
      <c r="D180" s="36">
        <v>198.26406700000001</v>
      </c>
      <c r="E180" s="36">
        <v>74.2</v>
      </c>
      <c r="F180" s="36">
        <v>124.06406700000001</v>
      </c>
      <c r="G180" s="36">
        <v>30.808122999999998</v>
      </c>
      <c r="H180" s="36">
        <v>5.4354477875851126</v>
      </c>
    </row>
    <row r="181" spans="1:8">
      <c r="B181" t="s">
        <v>509</v>
      </c>
      <c r="C181" t="s">
        <v>510</v>
      </c>
      <c r="D181" s="36">
        <v>8.2902690000000003</v>
      </c>
      <c r="E181" s="36">
        <v>112.77206160765607</v>
      </c>
      <c r="F181" s="36">
        <v>-104.48179260765608</v>
      </c>
      <c r="G181" s="36">
        <v>49.730530999999999</v>
      </c>
      <c r="H181" s="36">
        <v>-0.83329618981948939</v>
      </c>
    </row>
    <row r="182" spans="1:8">
      <c r="B182" t="s">
        <v>495</v>
      </c>
      <c r="C182" t="s">
        <v>511</v>
      </c>
      <c r="D182" s="36">
        <v>0</v>
      </c>
      <c r="E182" s="36"/>
      <c r="F182" s="36">
        <v>0</v>
      </c>
      <c r="G182" s="36">
        <v>0</v>
      </c>
      <c r="H182" s="36"/>
    </row>
    <row r="183" spans="1:8">
      <c r="C183" t="s">
        <v>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6B89-432E-46ED-94D8-8D89F2F981F9}">
  <sheetPr>
    <tabColor rgb="FFFFC000"/>
  </sheetPr>
  <dimension ref="A1:P154"/>
  <sheetViews>
    <sheetView tabSelected="1" topLeftCell="M59" zoomScale="125" workbookViewId="0">
      <selection activeCell="N78" sqref="N78"/>
    </sheetView>
  </sheetViews>
  <sheetFormatPr defaultColWidth="11.42578125" defaultRowHeight="15"/>
  <cols>
    <col min="2" max="2" width="34.7109375" customWidth="1"/>
    <col min="3" max="3" width="6.28515625" bestFit="1" customWidth="1"/>
    <col min="4" max="4" width="8.28515625" bestFit="1" customWidth="1"/>
    <col min="5" max="5" width="13.85546875" bestFit="1" customWidth="1"/>
    <col min="6" max="6" width="37.7109375" customWidth="1"/>
    <col min="7" max="7" width="6.28515625" hidden="1" customWidth="1"/>
    <col min="8" max="8" width="18.7109375" style="36" customWidth="1"/>
    <col min="9" max="9" width="25.85546875" hidden="1" customWidth="1"/>
    <col min="10" max="10" width="89.42578125" hidden="1" customWidth="1"/>
    <col min="11" max="11" width="31.28515625" customWidth="1"/>
    <col min="12" max="12" width="19.42578125" customWidth="1"/>
    <col min="13" max="13" width="81.28515625" style="112" customWidth="1"/>
    <col min="14" max="14" width="84.28515625" bestFit="1" customWidth="1"/>
    <col min="15" max="15" width="135.7109375" bestFit="1" customWidth="1"/>
    <col min="16" max="16" width="15.140625" bestFit="1" customWidth="1"/>
  </cols>
  <sheetData>
    <row r="1" spans="1:16" ht="15.95">
      <c r="A1" s="127" t="s">
        <v>513</v>
      </c>
      <c r="B1" s="128"/>
      <c r="C1" s="128"/>
      <c r="D1" s="128"/>
      <c r="E1" s="129"/>
      <c r="F1" s="122" t="s">
        <v>514</v>
      </c>
      <c r="G1" s="123"/>
      <c r="H1" s="124"/>
      <c r="I1" s="54" t="s">
        <v>515</v>
      </c>
      <c r="J1" s="64" t="s">
        <v>516</v>
      </c>
      <c r="K1" s="64" t="s">
        <v>516</v>
      </c>
      <c r="L1" s="53" t="s">
        <v>517</v>
      </c>
      <c r="M1" s="110" t="s">
        <v>518</v>
      </c>
      <c r="N1" s="45" t="s">
        <v>519</v>
      </c>
      <c r="O1" s="106" t="s">
        <v>520</v>
      </c>
      <c r="P1" s="106"/>
    </row>
    <row r="2" spans="1:16">
      <c r="A2" s="48" t="s">
        <v>270</v>
      </c>
      <c r="B2" s="49"/>
      <c r="C2" s="50" t="s">
        <v>271</v>
      </c>
      <c r="D2" s="51">
        <f>VLOOKUP(C2,'Données MOOV 01-2025'!C:D,2,FALSE)</f>
        <v>8324.9027745431358</v>
      </c>
      <c r="E2" s="13">
        <f t="shared" ref="E2:E4" si="0">D2*1000000</f>
        <v>8324902774.5431356</v>
      </c>
      <c r="F2" s="54" t="s">
        <v>255</v>
      </c>
      <c r="G2" s="50" t="s">
        <v>271</v>
      </c>
      <c r="H2" s="63">
        <f>VLOOKUP(F2,PROD_CAMOBILE_2025M1!A:B,2,FALSE)</f>
        <v>7556427339</v>
      </c>
      <c r="I2" s="55">
        <v>9882621663</v>
      </c>
      <c r="J2" s="67" t="str">
        <f>VLOOKUP(F2,'Formule TDB'!B:C,2,FALSE)</f>
        <v>R(L139+L142)</v>
      </c>
      <c r="K2" s="73" t="s">
        <v>256</v>
      </c>
      <c r="L2" s="77">
        <f t="shared" ref="L2:L33" si="1">E2-H2</f>
        <v>768475435.54313564</v>
      </c>
      <c r="M2" s="111"/>
      <c r="N2" s="43" t="s">
        <v>521</v>
      </c>
    </row>
    <row r="3" spans="1:16">
      <c r="A3" s="5" t="s">
        <v>276</v>
      </c>
      <c r="B3" s="6"/>
      <c r="C3" s="3" t="s">
        <v>277</v>
      </c>
      <c r="D3" s="51">
        <f>VLOOKUP(C3,'Données MOOV 01-2025'!C:D,2,FALSE)</f>
        <v>8118.3484385431366</v>
      </c>
      <c r="E3" s="13">
        <f t="shared" si="0"/>
        <v>8118348438.5431366</v>
      </c>
      <c r="F3" s="54" t="s">
        <v>253</v>
      </c>
      <c r="G3" s="3" t="s">
        <v>277</v>
      </c>
      <c r="H3" s="63">
        <f>VLOOKUP(F3,PROD_CAMOBILE_2025M1!A:B,2,FALSE)</f>
        <v>7349873003</v>
      </c>
      <c r="I3" s="55">
        <v>9802083009</v>
      </c>
      <c r="J3" s="67" t="str">
        <f>VLOOKUP(F3,'Formule TDB'!B:C,2,FALSE)</f>
        <v>R(L135+L141)</v>
      </c>
      <c r="K3" s="73" t="s">
        <v>254</v>
      </c>
      <c r="L3" s="77">
        <f t="shared" si="1"/>
        <v>768475435.5431366</v>
      </c>
      <c r="M3" s="111"/>
      <c r="N3" s="44" t="s">
        <v>522</v>
      </c>
    </row>
    <row r="4" spans="1:16">
      <c r="A4" s="7" t="s">
        <v>279</v>
      </c>
      <c r="B4" s="6"/>
      <c r="C4" s="3" t="s">
        <v>280</v>
      </c>
      <c r="D4" s="51">
        <f>VLOOKUP(C4,'Données MOOV 01-2025'!C:D,2,FALSE)</f>
        <v>7983.1451325431362</v>
      </c>
      <c r="E4" s="13">
        <f t="shared" si="0"/>
        <v>7983145132.5431366</v>
      </c>
      <c r="F4" s="54" t="s">
        <v>251</v>
      </c>
      <c r="G4" s="3" t="s">
        <v>280</v>
      </c>
      <c r="H4" s="63">
        <f>VLOOKUP(F4,PROD_CAMOBILE_2025M1!A:B,2,FALSE)</f>
        <v>7315602945</v>
      </c>
      <c r="I4" s="55">
        <v>9753598008</v>
      </c>
      <c r="J4" s="67" t="str">
        <f>VLOOKUP(F4,'Formule TDB'!B:C,2,FALSE)</f>
        <v>R(L134+L140)</v>
      </c>
      <c r="K4" s="73" t="s">
        <v>252</v>
      </c>
      <c r="L4" s="77">
        <f t="shared" si="1"/>
        <v>667542187.5431366</v>
      </c>
      <c r="M4" s="111"/>
    </row>
    <row r="5" spans="1:16">
      <c r="A5" s="8" t="s">
        <v>282</v>
      </c>
      <c r="B5" s="9"/>
      <c r="C5" s="3" t="s">
        <v>283</v>
      </c>
      <c r="D5" s="51">
        <f>VLOOKUP(C5,'Données MOOV 01-2025'!C:D,2,FALSE)</f>
        <v>7739.2918045092374</v>
      </c>
      <c r="E5" s="13">
        <f>D5*1000000</f>
        <v>7739291804.5092373</v>
      </c>
      <c r="F5" s="54" t="s">
        <v>249</v>
      </c>
      <c r="G5" s="3" t="s">
        <v>283</v>
      </c>
      <c r="H5" s="63">
        <f>VLOOKUP(F5,PROD_CAMOBILE_2025M1!A:B,2,FALSE)</f>
        <v>7132612739</v>
      </c>
      <c r="I5" s="55">
        <v>9511898580</v>
      </c>
      <c r="J5" s="67" t="str">
        <f>VLOOKUP(F5,'Formule TDB'!B:C,2,FALSE)</f>
        <v>R(L30+L110+L111+L112+L113)</v>
      </c>
      <c r="K5" s="73" t="s">
        <v>250</v>
      </c>
      <c r="L5" s="77">
        <f t="shared" si="1"/>
        <v>606679065.50923729</v>
      </c>
      <c r="M5" s="111"/>
    </row>
    <row r="6" spans="1:16">
      <c r="A6" s="125" t="s">
        <v>286</v>
      </c>
      <c r="B6" s="126"/>
      <c r="C6" s="3" t="s">
        <v>287</v>
      </c>
      <c r="D6" s="51">
        <f>VLOOKUP(C6,'Données MOOV 01-2025'!C:D,2,FALSE)</f>
        <v>3180.3320310000004</v>
      </c>
      <c r="E6" s="13">
        <f>D6*1000000</f>
        <v>3180332031.0000005</v>
      </c>
      <c r="F6" s="52" t="s">
        <v>55</v>
      </c>
      <c r="G6" s="3" t="s">
        <v>287</v>
      </c>
      <c r="H6" s="55">
        <f>VLOOKUP(F6,PROD_CAMOBILE_2025M1!A:B,2,FALSE)</f>
        <v>3180246680</v>
      </c>
      <c r="I6" s="55">
        <v>4671622639</v>
      </c>
      <c r="J6" s="65" t="str">
        <f>VLOOKUP(F6,'Formule TDB'!B:C,2,FALSE)</f>
        <v>R(L1+L10+L17+L26)</v>
      </c>
      <c r="K6" s="65" t="s">
        <v>56</v>
      </c>
      <c r="L6" s="77">
        <f t="shared" si="1"/>
        <v>85351.000000476837</v>
      </c>
      <c r="M6" s="111"/>
      <c r="N6" s="108" t="s">
        <v>523</v>
      </c>
    </row>
    <row r="7" spans="1:16">
      <c r="A7" s="14"/>
      <c r="B7" s="15" t="s">
        <v>288</v>
      </c>
      <c r="C7" s="3" t="s">
        <v>289</v>
      </c>
      <c r="D7" s="51">
        <f>VLOOKUP(C7,'Données MOOV 01-2025'!C:D,2,FALSE)</f>
        <v>-9.2047629999999998</v>
      </c>
      <c r="E7" s="13">
        <f t="shared" ref="E7:E68" si="2">D7*1000000</f>
        <v>-9204763</v>
      </c>
      <c r="F7" s="52" t="s">
        <v>4</v>
      </c>
      <c r="G7" s="3" t="s">
        <v>289</v>
      </c>
      <c r="H7" s="55">
        <f>VLOOKUP(F7,PROD_CAMOBILE_2025M1!A:B,2,FALSE)</f>
        <v>-9204763</v>
      </c>
      <c r="I7" s="55">
        <v>-34062214</v>
      </c>
      <c r="J7" s="65" t="str">
        <f>VLOOKUP(F7,'Formule TDB'!B:C,2,FALSE)</f>
        <v xml:space="preserve"> -701120 -701130</v>
      </c>
      <c r="K7" s="65" t="s">
        <v>5</v>
      </c>
      <c r="L7" s="62">
        <f t="shared" si="1"/>
        <v>0</v>
      </c>
      <c r="M7" s="111"/>
    </row>
    <row r="8" spans="1:16">
      <c r="A8" s="16"/>
      <c r="B8" s="17" t="s">
        <v>290</v>
      </c>
      <c r="C8" s="3" t="s">
        <v>291</v>
      </c>
      <c r="D8" s="51">
        <f>VLOOKUP(C8,'Données MOOV 01-2025'!C:D,2,FALSE)</f>
        <v>1325.2424781440679</v>
      </c>
      <c r="E8" s="13">
        <f t="shared" si="2"/>
        <v>1325242478.144068</v>
      </c>
      <c r="F8" s="52" t="s">
        <v>6</v>
      </c>
      <c r="G8" s="3" t="s">
        <v>291</v>
      </c>
      <c r="H8" s="55">
        <f>VLOOKUP(F8,PROD_CAMOBILE_2025M1!A:B,2,FALSE)</f>
        <v>1295717222</v>
      </c>
      <c r="I8" s="55">
        <v>1891504933</v>
      </c>
      <c r="J8" s="67" t="str">
        <f>VLOOKUP(F8,'Formule TDB'!B:C,2,FALSE)</f>
        <v>-NM(706120,*,A61,*,*,*,*,*,*,*) -NM(706920,*,A58,*,*,*,*,*,*,*)</v>
      </c>
      <c r="K8" s="73" t="s">
        <v>7</v>
      </c>
      <c r="L8" s="77">
        <f t="shared" si="1"/>
        <v>29525256.144068003</v>
      </c>
      <c r="M8" s="117" t="s">
        <v>524</v>
      </c>
      <c r="N8" s="107" t="s">
        <v>525</v>
      </c>
      <c r="O8" t="s">
        <v>526</v>
      </c>
      <c r="P8" s="102">
        <f>SUM('CA Consumer'!D6:D11)</f>
        <v>29572702.14406788</v>
      </c>
    </row>
    <row r="9" spans="1:16">
      <c r="A9" s="16"/>
      <c r="B9" s="17" t="s">
        <v>292</v>
      </c>
      <c r="C9" s="3" t="s">
        <v>293</v>
      </c>
      <c r="D9" s="51">
        <f>VLOOKUP(C9,'Données MOOV 01-2025'!C:D,2,FALSE)</f>
        <v>1093.7670940423729</v>
      </c>
      <c r="E9" s="13">
        <f t="shared" si="2"/>
        <v>1093767094.0423729</v>
      </c>
      <c r="F9" s="52" t="s">
        <v>8</v>
      </c>
      <c r="G9" s="3" t="s">
        <v>293</v>
      </c>
      <c r="H9" s="55">
        <f>VLOOKUP(F9,PROD_CAMOBILE_2025M1!A:B,2,FALSE)</f>
        <v>1123059001</v>
      </c>
      <c r="I9" s="55">
        <v>1855699449</v>
      </c>
      <c r="J9" s="67" t="str">
        <f>VLOOKUP(F9,'Formule TDB'!B:C,2,FALSE)</f>
        <v>-NM(706121,*,A48,*,*,*,*,*,*,*)</v>
      </c>
      <c r="K9" s="73" t="s">
        <v>9</v>
      </c>
      <c r="L9" s="77">
        <f t="shared" si="1"/>
        <v>-29291906.957627058</v>
      </c>
      <c r="M9" s="113" t="s">
        <v>527</v>
      </c>
      <c r="O9" t="s">
        <v>528</v>
      </c>
      <c r="P9" s="102">
        <f>'CA Consumer'!D6</f>
        <v>29291906.9576272</v>
      </c>
    </row>
    <row r="10" spans="1:16">
      <c r="A10" s="16"/>
      <c r="B10" s="17" t="s">
        <v>294</v>
      </c>
      <c r="C10" s="3" t="s">
        <v>295</v>
      </c>
      <c r="D10" s="51">
        <f>VLOOKUP(C10,'Données MOOV 01-2025'!C:D,2,FALSE)</f>
        <v>0</v>
      </c>
      <c r="E10" s="61">
        <f>D10*1000000</f>
        <v>0</v>
      </c>
      <c r="F10" s="52" t="s">
        <v>10</v>
      </c>
      <c r="G10" s="3" t="s">
        <v>295</v>
      </c>
      <c r="H10" s="60">
        <f>VLOOKUP(F10,PROD_CAMOBILE_2025M1!A:B,2,FALSE)</f>
        <v>0</v>
      </c>
      <c r="I10" s="55">
        <v>0</v>
      </c>
      <c r="J10" s="65" t="str">
        <f>VLOOKUP(F10,'Formule TDB'!B:C,2,FALSE)</f>
        <v>-NM(706121,*,*A49,*,*,*,*,*,*,*)</v>
      </c>
      <c r="K10" s="65" t="s">
        <v>11</v>
      </c>
      <c r="L10" s="62">
        <f t="shared" si="1"/>
        <v>0</v>
      </c>
      <c r="M10" s="111"/>
      <c r="P10" s="102"/>
    </row>
    <row r="11" spans="1:16">
      <c r="A11" s="16"/>
      <c r="B11" s="17" t="s">
        <v>296</v>
      </c>
      <c r="C11" s="3" t="s">
        <v>297</v>
      </c>
      <c r="D11" s="51">
        <f>VLOOKUP(C11,'Données MOOV 01-2025'!C:D,2,FALSE)</f>
        <v>0</v>
      </c>
      <c r="E11" s="13">
        <f t="shared" si="2"/>
        <v>0</v>
      </c>
      <c r="F11" s="52" t="s">
        <v>12</v>
      </c>
      <c r="G11" s="3" t="s">
        <v>297</v>
      </c>
      <c r="H11" s="55">
        <f>VLOOKUP(F11,PROD_CAMOBILE_2025M1!A:B,2,FALSE)</f>
        <v>0</v>
      </c>
      <c r="I11" s="55">
        <v>0</v>
      </c>
      <c r="J11" s="65" t="str">
        <f>VLOOKUP(F11,'Formule TDB'!B:C,2,FALSE)</f>
        <v>-NM(706121,*,*A50,*,*,*,*,*,*,*)</v>
      </c>
      <c r="K11" s="65" t="s">
        <v>13</v>
      </c>
      <c r="L11" s="62">
        <f t="shared" si="1"/>
        <v>0</v>
      </c>
      <c r="M11" s="111"/>
      <c r="P11" s="102"/>
    </row>
    <row r="12" spans="1:16">
      <c r="A12" s="16"/>
      <c r="B12" s="17" t="s">
        <v>298</v>
      </c>
      <c r="C12" s="3" t="s">
        <v>299</v>
      </c>
      <c r="D12" s="51">
        <f>VLOOKUP(C12,'Données MOOV 01-2025'!C:D,2,FALSE)</f>
        <v>0</v>
      </c>
      <c r="E12" s="13">
        <f t="shared" si="2"/>
        <v>0</v>
      </c>
      <c r="F12" s="52" t="s">
        <v>14</v>
      </c>
      <c r="G12" s="3" t="s">
        <v>299</v>
      </c>
      <c r="H12" s="55">
        <f>VLOOKUP(F12,PROD_CAMOBILE_2025M1!A:B,2,FALSE)</f>
        <v>0</v>
      </c>
      <c r="I12" s="55">
        <v>0</v>
      </c>
      <c r="J12" s="65" t="str">
        <f>VLOOKUP(F12,'Formule TDB'!B:C,2,FALSE)</f>
        <v>-NM(706121,*,*A51,*,*,*,*,*,*,*)</v>
      </c>
      <c r="K12" s="65" t="s">
        <v>15</v>
      </c>
      <c r="L12" s="62">
        <f t="shared" si="1"/>
        <v>0</v>
      </c>
      <c r="M12" s="111"/>
    </row>
    <row r="13" spans="1:16">
      <c r="A13" s="16"/>
      <c r="B13" s="17" t="s">
        <v>300</v>
      </c>
      <c r="C13" s="3" t="s">
        <v>301</v>
      </c>
      <c r="D13" s="51">
        <f>VLOOKUP(C13,'Données MOOV 01-2025'!C:D,2,FALSE)</f>
        <v>477.33819115254238</v>
      </c>
      <c r="E13" s="13">
        <f t="shared" si="2"/>
        <v>477338191.15254235</v>
      </c>
      <c r="F13" s="52" t="s">
        <v>16</v>
      </c>
      <c r="G13" s="3" t="s">
        <v>301</v>
      </c>
      <c r="H13" s="55">
        <f>VLOOKUP(F13,PROD_CAMOBILE_2025M1!A:B,2,FALSE)</f>
        <v>477346316</v>
      </c>
      <c r="I13" s="55">
        <v>72356625</v>
      </c>
      <c r="J13" s="67" t="str">
        <f>VLOOKUP(F13,'Formule TDB'!B:C,2,FALSE)</f>
        <v>-NM(706123,*,A52,*,*,*,*,*,*,*)</v>
      </c>
      <c r="K13" s="73" t="s">
        <v>17</v>
      </c>
      <c r="L13" s="77">
        <f t="shared" si="1"/>
        <v>-8124.8474576473236</v>
      </c>
      <c r="M13" s="113" t="s">
        <v>529</v>
      </c>
      <c r="O13" t="s">
        <v>530</v>
      </c>
      <c r="P13" s="102">
        <f>'CA Consumer'!D10</f>
        <v>8124.8474576271201</v>
      </c>
    </row>
    <row r="14" spans="1:16">
      <c r="A14" s="16"/>
      <c r="B14" s="17" t="s">
        <v>302</v>
      </c>
      <c r="C14" s="3" t="s">
        <v>303</v>
      </c>
      <c r="D14" s="51">
        <f>VLOOKUP(C14,'Données MOOV 01-2025'!C:D,2,FALSE)</f>
        <v>159.65992166101694</v>
      </c>
      <c r="E14" s="13">
        <f t="shared" si="2"/>
        <v>159659921.66101694</v>
      </c>
      <c r="F14" s="52" t="s">
        <v>18</v>
      </c>
      <c r="G14" s="3" t="s">
        <v>303</v>
      </c>
      <c r="H14" s="55">
        <f>VLOOKUP(F14,PROD_CAMOBILE_2025M1!A:B,2,FALSE)</f>
        <v>159932592</v>
      </c>
      <c r="I14" s="55">
        <v>207019754</v>
      </c>
      <c r="J14" s="67" t="str">
        <f>VLOOKUP(F14,'Formule TDB'!B:C,2,FALSE)</f>
        <v>-NM(706124,*,A53,*,*,*,*,*,*,*)</v>
      </c>
      <c r="K14" s="73" t="s">
        <v>19</v>
      </c>
      <c r="L14" s="77">
        <f t="shared" si="1"/>
        <v>-272670.33898305893</v>
      </c>
      <c r="M14" s="113" t="s">
        <v>531</v>
      </c>
      <c r="O14" t="s">
        <v>532</v>
      </c>
      <c r="P14" s="102">
        <f>'CA Consumer'!D11</f>
        <v>272670.33898305101</v>
      </c>
    </row>
    <row r="15" spans="1:16">
      <c r="A15" s="16"/>
      <c r="B15" s="17" t="s">
        <v>304</v>
      </c>
      <c r="C15" s="3" t="s">
        <v>305</v>
      </c>
      <c r="D15" s="51">
        <f>VLOOKUP(C15,'Données MOOV 01-2025'!C:D,2,FALSE)</f>
        <v>10.56786</v>
      </c>
      <c r="E15" s="13">
        <f t="shared" si="2"/>
        <v>10567860</v>
      </c>
      <c r="F15" s="52" t="s">
        <v>20</v>
      </c>
      <c r="G15" s="3" t="s">
        <v>305</v>
      </c>
      <c r="H15" s="55">
        <f>VLOOKUP(F15,PROD_CAMOBILE_2025M1!A:B,2,FALSE)</f>
        <v>10567860</v>
      </c>
      <c r="I15" s="55">
        <v>12727780</v>
      </c>
      <c r="J15" s="65" t="str">
        <f>VLOOKUP(F15,'Formule TDB'!B:C,2,FALSE)</f>
        <v>-NM(706140,*,A54,*,*,*,*,*,*,*)</v>
      </c>
      <c r="K15" s="65" t="s">
        <v>21</v>
      </c>
      <c r="L15" s="62">
        <f t="shared" si="1"/>
        <v>0</v>
      </c>
      <c r="M15" s="111"/>
    </row>
    <row r="16" spans="1:16">
      <c r="A16" s="14"/>
      <c r="B16" s="15" t="s">
        <v>306</v>
      </c>
      <c r="C16" s="3" t="s">
        <v>307</v>
      </c>
      <c r="D16" s="51">
        <f>VLOOKUP(C16,'Données MOOV 01-2025'!C:D,2,FALSE)</f>
        <v>3066.5755450000006</v>
      </c>
      <c r="E16" s="13">
        <f t="shared" si="2"/>
        <v>3066575545.0000005</v>
      </c>
      <c r="F16" s="52" t="s">
        <v>22</v>
      </c>
      <c r="G16" s="3" t="s">
        <v>307</v>
      </c>
      <c r="H16" s="55">
        <f>VLOOKUP(F16,PROD_CAMOBILE_2025M1!A:B,2,FALSE)</f>
        <v>3066622991</v>
      </c>
      <c r="I16" s="55">
        <v>4039308541</v>
      </c>
      <c r="J16" s="65" t="str">
        <f>VLOOKUP(F16,'Formule TDB'!B:C,2,FALSE)</f>
        <v>$CAMOBILE.#(L2:9)</v>
      </c>
      <c r="K16" s="65" t="s">
        <v>23</v>
      </c>
      <c r="L16" s="77">
        <f t="shared" si="1"/>
        <v>-47445.999999523163</v>
      </c>
      <c r="M16" s="111"/>
      <c r="O16" s="109" t="s">
        <v>533</v>
      </c>
    </row>
    <row r="17" spans="1:15">
      <c r="A17" s="16"/>
      <c r="B17" s="17" t="s">
        <v>309</v>
      </c>
      <c r="C17" s="3" t="s">
        <v>310</v>
      </c>
      <c r="D17" s="51">
        <f>VLOOKUP(C17,'Données MOOV 01-2025'!C:D,2,FALSE)</f>
        <v>1.2364790000000001</v>
      </c>
      <c r="E17" s="13">
        <f t="shared" si="2"/>
        <v>1236479</v>
      </c>
      <c r="F17" s="52" t="s">
        <v>24</v>
      </c>
      <c r="G17" s="3" t="s">
        <v>310</v>
      </c>
      <c r="H17" s="55">
        <f>VLOOKUP(F17,PROD_CAMOBILE_2025M1!A:B,2,FALSE)</f>
        <v>1236479</v>
      </c>
      <c r="I17" s="55">
        <v>1899627</v>
      </c>
      <c r="J17" s="65" t="str">
        <f>VLOOKUP(F17,'Formule TDB'!B:C,2,FALSE)</f>
        <v>-NM(706117,*,T21,*,*,*,*,*,*,*) -NM(706920,*,A59,*,*,*,*,*,*,*)</v>
      </c>
      <c r="K17" s="65" t="s">
        <v>25</v>
      </c>
      <c r="L17" s="62">
        <f t="shared" si="1"/>
        <v>0</v>
      </c>
      <c r="M17" s="111"/>
    </row>
    <row r="18" spans="1:15">
      <c r="A18" s="16"/>
      <c r="B18" s="17" t="s">
        <v>311</v>
      </c>
      <c r="C18" s="3" t="s">
        <v>312</v>
      </c>
      <c r="D18" s="51">
        <f>VLOOKUP(C18,'Données MOOV 01-2025'!C:D,2,FALSE)</f>
        <v>1.2314510000000001</v>
      </c>
      <c r="E18" s="13">
        <f t="shared" si="2"/>
        <v>1231451</v>
      </c>
      <c r="F18" s="52" t="s">
        <v>26</v>
      </c>
      <c r="G18" s="3" t="s">
        <v>312</v>
      </c>
      <c r="H18" s="55">
        <f>VLOOKUP(F18,PROD_CAMOBILE_2025M1!A:B,2,FALSE)</f>
        <v>1231451</v>
      </c>
      <c r="I18" s="55">
        <v>1765875</v>
      </c>
      <c r="J18" s="65" t="str">
        <f>VLOOKUP(F18,'Formule TDB'!B:C,2,FALSE)</f>
        <v>-NM(706117,*,A48,*,*,*,*,*,*,*)</v>
      </c>
      <c r="K18" s="65" t="s">
        <v>27</v>
      </c>
      <c r="L18" s="62">
        <f t="shared" si="1"/>
        <v>0</v>
      </c>
      <c r="M18" s="111"/>
    </row>
    <row r="19" spans="1:15">
      <c r="A19" s="16"/>
      <c r="B19" s="17" t="s">
        <v>313</v>
      </c>
      <c r="C19" s="3" t="s">
        <v>314</v>
      </c>
      <c r="D19" s="51">
        <f>VLOOKUP(C19,'Données MOOV 01-2025'!C:D,2,FALSE)</f>
        <v>0</v>
      </c>
      <c r="E19" s="13">
        <f t="shared" si="2"/>
        <v>0</v>
      </c>
      <c r="F19" s="52" t="s">
        <v>28</v>
      </c>
      <c r="G19" s="3" t="s">
        <v>314</v>
      </c>
      <c r="H19" s="55">
        <f>VLOOKUP(F19,PROD_CAMOBILE_2025M1!A:B,2,FALSE)</f>
        <v>0</v>
      </c>
      <c r="I19" s="55">
        <v>0</v>
      </c>
      <c r="J19" s="65" t="str">
        <f>VLOOKUP(F19,'Formule TDB'!B:C,2,FALSE)</f>
        <v>-NM(706117,*,A49,*,*,*,*,*,*,*)</v>
      </c>
      <c r="K19" s="65" t="s">
        <v>29</v>
      </c>
      <c r="L19" s="62">
        <f t="shared" si="1"/>
        <v>0</v>
      </c>
      <c r="M19" s="111"/>
    </row>
    <row r="20" spans="1:15">
      <c r="A20" s="16"/>
      <c r="B20" s="17" t="s">
        <v>315</v>
      </c>
      <c r="C20" s="3" t="s">
        <v>316</v>
      </c>
      <c r="D20" s="51">
        <f>VLOOKUP(C20,'Données MOOV 01-2025'!C:D,2,FALSE)</f>
        <v>1.3810000000000001E-3</v>
      </c>
      <c r="E20" s="13">
        <f t="shared" si="2"/>
        <v>1381</v>
      </c>
      <c r="F20" s="52" t="s">
        <v>30</v>
      </c>
      <c r="G20" s="3" t="s">
        <v>316</v>
      </c>
      <c r="H20" s="55">
        <f>VLOOKUP(F20,PROD_CAMOBILE_2025M1!A:B,2,FALSE)</f>
        <v>1381</v>
      </c>
      <c r="I20" s="55">
        <v>1729</v>
      </c>
      <c r="J20" s="65" t="str">
        <f>VLOOKUP(F20,'Formule TDB'!B:C,2,FALSE)</f>
        <v>-NM(706117,*,A50,*,*,*,*,*,*,*)</v>
      </c>
      <c r="K20" s="65" t="s">
        <v>31</v>
      </c>
      <c r="L20" s="62">
        <f t="shared" si="1"/>
        <v>0</v>
      </c>
      <c r="M20" s="111"/>
    </row>
    <row r="21" spans="1:15">
      <c r="A21" s="16"/>
      <c r="B21" s="17" t="s">
        <v>317</v>
      </c>
      <c r="C21" s="3" t="s">
        <v>318</v>
      </c>
      <c r="D21" s="51">
        <f>VLOOKUP(C21,'Données MOOV 01-2025'!C:D,2,FALSE)</f>
        <v>0.232047</v>
      </c>
      <c r="E21" s="13">
        <f t="shared" si="2"/>
        <v>232047</v>
      </c>
      <c r="F21" s="52" t="s">
        <v>32</v>
      </c>
      <c r="G21" s="3" t="s">
        <v>318</v>
      </c>
      <c r="H21" s="55">
        <f>VLOOKUP(F21,PROD_CAMOBILE_2025M1!A:B,2,FALSE)</f>
        <v>232047</v>
      </c>
      <c r="I21" s="55">
        <v>444316</v>
      </c>
      <c r="J21" s="65" t="str">
        <f>VLOOKUP(F21,'Formule TDB'!B:C,2,FALSE)</f>
        <v>-NM(706117,*,A51,*,*,*,*,*,*,*)</v>
      </c>
      <c r="K21" s="65" t="s">
        <v>33</v>
      </c>
      <c r="L21" s="62">
        <f t="shared" si="1"/>
        <v>0</v>
      </c>
      <c r="M21" s="111"/>
    </row>
    <row r="22" spans="1:15">
      <c r="A22" s="16"/>
      <c r="B22" s="17" t="s">
        <v>319</v>
      </c>
      <c r="C22" s="3" t="s">
        <v>320</v>
      </c>
      <c r="D22" s="51">
        <f>VLOOKUP(C22,'Données MOOV 01-2025'!C:D,2,FALSE)</f>
        <v>2.6209169999999999</v>
      </c>
      <c r="E22" s="13">
        <f t="shared" si="2"/>
        <v>2620917</v>
      </c>
      <c r="F22" s="52" t="s">
        <v>34</v>
      </c>
      <c r="G22" s="3" t="s">
        <v>320</v>
      </c>
      <c r="H22" s="55">
        <f>VLOOKUP(F22,PROD_CAMOBILE_2025M1!A:B,2,FALSE)</f>
        <v>2620917</v>
      </c>
      <c r="I22" s="55">
        <v>2610107</v>
      </c>
      <c r="J22" s="65" t="str">
        <f>VLOOKUP(F22,'Formule TDB'!B:C,2,FALSE)</f>
        <v>-NM(706117,*,A53,*,*,*,*,*,*,*)</v>
      </c>
      <c r="K22" s="65" t="s">
        <v>35</v>
      </c>
      <c r="L22" s="62">
        <f t="shared" si="1"/>
        <v>0</v>
      </c>
      <c r="M22" s="111"/>
    </row>
    <row r="23" spans="1:15">
      <c r="A23" s="14"/>
      <c r="B23" s="15" t="s">
        <v>321</v>
      </c>
      <c r="C23" s="3" t="s">
        <v>322</v>
      </c>
      <c r="D23" s="51">
        <f>VLOOKUP(C23,'Données MOOV 01-2025'!C:D,2,FALSE)</f>
        <v>5.3222749999999994</v>
      </c>
      <c r="E23" s="13">
        <f t="shared" si="2"/>
        <v>5322274.9999999991</v>
      </c>
      <c r="F23" s="52" t="s">
        <v>36</v>
      </c>
      <c r="G23" s="3" t="s">
        <v>322</v>
      </c>
      <c r="H23" s="55">
        <f>VLOOKUP(F23,PROD_CAMOBILE_2025M1!A:B,2,FALSE)</f>
        <v>5322275</v>
      </c>
      <c r="I23" s="55">
        <v>6721654</v>
      </c>
      <c r="J23" s="65" t="str">
        <f>VLOOKUP(F23,'Formule TDB'!B:C,2,FALSE)</f>
        <v>$CAMOBILE.#(L11:16)</v>
      </c>
      <c r="K23" s="65" t="s">
        <v>37</v>
      </c>
      <c r="L23" s="62">
        <f t="shared" si="1"/>
        <v>0</v>
      </c>
      <c r="M23" s="111"/>
    </row>
    <row r="24" spans="1:15">
      <c r="A24" s="18"/>
      <c r="B24" s="19" t="s">
        <v>324</v>
      </c>
      <c r="C24" s="3" t="s">
        <v>325</v>
      </c>
      <c r="D24" s="51">
        <f>VLOOKUP(C24,'Données MOOV 01-2025'!C:D,2,FALSE)</f>
        <v>3391.819301</v>
      </c>
      <c r="E24" s="13">
        <f t="shared" si="2"/>
        <v>3391819301</v>
      </c>
      <c r="F24" s="52" t="s">
        <v>38</v>
      </c>
      <c r="G24" s="3" t="s">
        <v>325</v>
      </c>
      <c r="H24" s="55">
        <f>VLOOKUP(F24,PROD_CAMOBILE_2025M1!A:B,2,FALSE)</f>
        <v>3391819301</v>
      </c>
      <c r="I24" s="55">
        <v>3929111582</v>
      </c>
      <c r="J24" s="65" t="str">
        <f>VLOOKUP(F24,'Formule TDB'!B:C,2,FALSE)</f>
        <v>-NM(706153,*,A55,*,*,*,*,*,*,*) -NM(706920,*,A60,*,*,*,*,*,*,*)</v>
      </c>
      <c r="K24" s="65" t="s">
        <v>39</v>
      </c>
      <c r="L24" s="62">
        <f t="shared" si="1"/>
        <v>0</v>
      </c>
      <c r="M24" s="111"/>
    </row>
    <row r="25" spans="1:15">
      <c r="A25" s="16"/>
      <c r="B25" s="17" t="s">
        <v>327</v>
      </c>
      <c r="C25" s="3" t="s">
        <v>328</v>
      </c>
      <c r="D25" s="51">
        <f>VLOOKUP(C25,'Données MOOV 01-2025'!C:D,2,FALSE)</f>
        <v>0.132797</v>
      </c>
      <c r="E25" s="13">
        <f t="shared" si="2"/>
        <v>132797</v>
      </c>
      <c r="F25" s="52" t="s">
        <v>40</v>
      </c>
      <c r="G25" s="3" t="s">
        <v>328</v>
      </c>
      <c r="H25" s="55">
        <f>VLOOKUP(F25,PROD_CAMOBILE_2025M1!A:B,2,FALSE)</f>
        <v>132797</v>
      </c>
      <c r="I25" s="55">
        <v>565572</v>
      </c>
      <c r="J25" s="65" t="str">
        <f>VLOOKUP(F25,'Formule TDB'!B:C,2,FALSE)</f>
        <v>-NM(706151,*,A57,*,*,*,*,*,*,*)</v>
      </c>
      <c r="K25" s="65" t="s">
        <v>41</v>
      </c>
      <c r="L25" s="62">
        <f t="shared" si="1"/>
        <v>0</v>
      </c>
      <c r="M25" s="111"/>
    </row>
    <row r="26" spans="1:15">
      <c r="A26" s="16"/>
      <c r="B26" s="17" t="s">
        <v>329</v>
      </c>
      <c r="C26" s="3" t="s">
        <v>330</v>
      </c>
      <c r="D26" s="51">
        <f>VLOOKUP(C26,'Données MOOV 01-2025'!C:D,2,FALSE)</f>
        <v>7.7828593220338993</v>
      </c>
      <c r="E26" s="13">
        <f t="shared" si="2"/>
        <v>7782859.3220338989</v>
      </c>
      <c r="F26" s="52" t="s">
        <v>42</v>
      </c>
      <c r="G26" s="3" t="s">
        <v>330</v>
      </c>
      <c r="H26" s="55">
        <f>VLOOKUP(F26,PROD_CAMOBILE_2025M1!A:B,2,FALSE)</f>
        <v>117373380</v>
      </c>
      <c r="I26" s="55">
        <v>121527054</v>
      </c>
      <c r="J26" s="67" t="str">
        <f>VLOOKUP(F26,'Formule TDB'!B:C,2,FALSE)</f>
        <v>-NM(706151,*,A56,*,*,*,*,*,*,*)</v>
      </c>
      <c r="K26" s="73" t="s">
        <v>43</v>
      </c>
      <c r="L26" s="77">
        <f t="shared" si="1"/>
        <v>-109590520.6779661</v>
      </c>
      <c r="M26" s="118" t="s">
        <v>534</v>
      </c>
      <c r="N26" s="106" t="s">
        <v>535</v>
      </c>
      <c r="O26" t="s">
        <v>536</v>
      </c>
    </row>
    <row r="27" spans="1:15">
      <c r="A27" s="16"/>
      <c r="B27" s="17" t="s">
        <v>331</v>
      </c>
      <c r="C27" s="3" t="s">
        <v>332</v>
      </c>
      <c r="D27" s="51">
        <f>VLOOKUP(C27,'Données MOOV 01-2025'!C:D,2,FALSE)</f>
        <v>0</v>
      </c>
      <c r="E27" s="13">
        <f t="shared" si="2"/>
        <v>0</v>
      </c>
      <c r="F27" s="52" t="s">
        <v>44</v>
      </c>
      <c r="G27" s="3" t="s">
        <v>332</v>
      </c>
      <c r="H27" s="55">
        <f>VLOOKUP(F27,PROD_CAMOBILE_2025M1!A:B,2,FALSE)</f>
        <v>0</v>
      </c>
      <c r="I27" s="55">
        <v>134390508</v>
      </c>
      <c r="J27" s="65" t="str">
        <f>VLOOKUP(F27,'Formule TDB'!B:C,2,FALSE)</f>
        <v>-0*NM(706151,*,*,*,*,*,*,*,*)</v>
      </c>
      <c r="K27" s="65" t="s">
        <v>45</v>
      </c>
      <c r="L27" s="62">
        <f t="shared" si="1"/>
        <v>0</v>
      </c>
      <c r="M27" s="111"/>
    </row>
    <row r="28" spans="1:15">
      <c r="A28" s="16"/>
      <c r="B28" s="17" t="s">
        <v>333</v>
      </c>
      <c r="C28" s="3" t="s">
        <v>334</v>
      </c>
      <c r="D28" s="51">
        <f>VLOOKUP(C28,'Données MOOV 01-2025'!C:D,2,FALSE)</f>
        <v>0</v>
      </c>
      <c r="E28" s="13">
        <f t="shared" si="2"/>
        <v>0</v>
      </c>
      <c r="F28" s="52" t="s">
        <v>46</v>
      </c>
      <c r="G28" s="3" t="s">
        <v>334</v>
      </c>
      <c r="H28" s="55">
        <f>VLOOKUP(F28,PROD_CAMOBILE_2025M1!A:B,2,FALSE)</f>
        <v>0</v>
      </c>
      <c r="I28" s="55">
        <v>0</v>
      </c>
      <c r="J28" s="65" t="e">
        <f>VLOOKUP(F28,'Formule TDB'!B:C,2,FALSE)</f>
        <v>#VALUE!</v>
      </c>
      <c r="K28" s="65" t="e">
        <v>#VALUE!</v>
      </c>
      <c r="L28" s="62">
        <f t="shared" si="1"/>
        <v>0</v>
      </c>
      <c r="M28" s="111"/>
    </row>
    <row r="29" spans="1:15">
      <c r="A29" s="16"/>
      <c r="B29" s="17" t="s">
        <v>335</v>
      </c>
      <c r="C29" s="3" t="s">
        <v>336</v>
      </c>
      <c r="D29" s="51">
        <f>VLOOKUP(C29,'Données MOOV 01-2025'!C:D,2,FALSE)</f>
        <v>0</v>
      </c>
      <c r="E29" s="13">
        <f t="shared" si="2"/>
        <v>0</v>
      </c>
      <c r="F29" s="52" t="s">
        <v>47</v>
      </c>
      <c r="G29" s="3" t="s">
        <v>336</v>
      </c>
      <c r="H29" s="55">
        <f>VLOOKUP(F29,PROD_CAMOBILE_2025M1!A:B,2,FALSE)</f>
        <v>0</v>
      </c>
      <c r="I29" s="55">
        <v>134390508</v>
      </c>
      <c r="J29" s="65" t="str">
        <f>VLOOKUP(F29,'Formule TDB'!B:C,2,FALSE)</f>
        <v>-0*NM(706151,*,*,*,*,*,*,*,*)</v>
      </c>
      <c r="K29" s="65" t="s">
        <v>45</v>
      </c>
      <c r="L29" s="62">
        <f t="shared" si="1"/>
        <v>0</v>
      </c>
      <c r="M29" s="111"/>
    </row>
    <row r="30" spans="1:15">
      <c r="A30" s="16"/>
      <c r="B30" s="17" t="s">
        <v>337</v>
      </c>
      <c r="C30" s="3" t="s">
        <v>338</v>
      </c>
      <c r="D30" s="51">
        <f>VLOOKUP(C30,'Données MOOV 01-2025'!C:D,2,FALSE)</f>
        <v>109.72331767796609</v>
      </c>
      <c r="E30" s="13">
        <f t="shared" si="2"/>
        <v>109723317.67796609</v>
      </c>
      <c r="F30" s="52" t="s">
        <v>48</v>
      </c>
      <c r="G30" s="3" t="s">
        <v>338</v>
      </c>
      <c r="H30" s="55">
        <f>VLOOKUP(F30,PROD_CAMOBILE_2025M1!A:B,2,FALSE)</f>
        <v>0</v>
      </c>
      <c r="I30" s="55">
        <v>134390508</v>
      </c>
      <c r="J30" s="67" t="str">
        <f>VLOOKUP(F30,'Formule TDB'!B:C,2,FALSE)</f>
        <v>-0*NM(706151,*,*,*,*,*,*,*,*)</v>
      </c>
      <c r="K30" s="73" t="s">
        <v>45</v>
      </c>
      <c r="L30" s="77">
        <f t="shared" si="1"/>
        <v>109723317.67796609</v>
      </c>
      <c r="M30" s="113" t="s">
        <v>537</v>
      </c>
      <c r="O30" t="s">
        <v>538</v>
      </c>
    </row>
    <row r="31" spans="1:15">
      <c r="A31" s="16"/>
      <c r="B31" s="17" t="s">
        <v>339</v>
      </c>
      <c r="C31" s="3" t="s">
        <v>340</v>
      </c>
      <c r="D31" s="51">
        <f>VLOOKUP(C31,'Données MOOV 01-2025'!C:D,2,FALSE)</f>
        <v>0</v>
      </c>
      <c r="E31" s="13">
        <f t="shared" si="2"/>
        <v>0</v>
      </c>
      <c r="F31" s="52" t="s">
        <v>49</v>
      </c>
      <c r="G31" s="3" t="s">
        <v>340</v>
      </c>
      <c r="H31" s="55">
        <f>VLOOKUP(F31,PROD_CAMOBILE_2025M1!A:B,2,FALSE)</f>
        <v>0</v>
      </c>
      <c r="I31" s="55">
        <v>134390508</v>
      </c>
      <c r="J31" s="65" t="str">
        <f>VLOOKUP(F31,'Formule TDB'!B:C,2,FALSE)</f>
        <v>-0*NM(706151,*,*,*,*,*,*,*,*)</v>
      </c>
      <c r="K31" s="65" t="s">
        <v>45</v>
      </c>
      <c r="L31" s="62">
        <f t="shared" si="1"/>
        <v>0</v>
      </c>
      <c r="M31" s="111"/>
    </row>
    <row r="32" spans="1:15">
      <c r="A32" s="14"/>
      <c r="B32" s="15" t="s">
        <v>341</v>
      </c>
      <c r="C32" s="3" t="s">
        <v>342</v>
      </c>
      <c r="D32" s="51">
        <f>VLOOKUP(C32,'Données MOOV 01-2025'!C:D,2,FALSE)</f>
        <v>117.63897399999999</v>
      </c>
      <c r="E32" s="13">
        <f t="shared" si="2"/>
        <v>117638973.99999999</v>
      </c>
      <c r="F32" s="52" t="s">
        <v>50</v>
      </c>
      <c r="G32" s="3" t="s">
        <v>342</v>
      </c>
      <c r="H32" s="55">
        <f>VLOOKUP(F32,PROD_CAMOBILE_2025M1!A:B,2,FALSE)</f>
        <v>117506177</v>
      </c>
      <c r="I32" s="55">
        <v>659654658</v>
      </c>
      <c r="J32" s="65" t="str">
        <f>VLOOKUP(F32,'Formule TDB'!B:C,2,FALSE)</f>
        <v>$CAMOBILE.#(L19:25)</v>
      </c>
      <c r="K32" s="65" t="s">
        <v>51</v>
      </c>
      <c r="L32" s="77">
        <f t="shared" si="1"/>
        <v>132796.9999999851</v>
      </c>
      <c r="M32" s="111"/>
      <c r="O32" t="s">
        <v>539</v>
      </c>
    </row>
    <row r="33" spans="1:15">
      <c r="A33" s="22"/>
      <c r="B33" s="23" t="s">
        <v>344</v>
      </c>
      <c r="C33" s="3" t="s">
        <v>345</v>
      </c>
      <c r="D33" s="21"/>
      <c r="E33" s="13">
        <f t="shared" si="2"/>
        <v>0</v>
      </c>
      <c r="F33" s="56"/>
      <c r="G33" s="3" t="s">
        <v>345</v>
      </c>
      <c r="H33" s="75" t="e">
        <f>VLOOKUP(F33,PROD_CAMOBILE_2025M1!A:B,2,FALSE)</f>
        <v>#N/A</v>
      </c>
      <c r="I33" s="56"/>
      <c r="J33" s="65" t="e">
        <f>VLOOKUP(F33,'Formule TDB'!B:C,2,FALSE)</f>
        <v>#N/A</v>
      </c>
      <c r="K33" s="65" t="e">
        <v>#N/A</v>
      </c>
      <c r="L33" s="75" t="e">
        <f t="shared" si="1"/>
        <v>#N/A</v>
      </c>
      <c r="M33" s="111"/>
    </row>
    <row r="34" spans="1:15">
      <c r="A34" s="22"/>
      <c r="B34" s="23" t="s">
        <v>346</v>
      </c>
      <c r="C34" s="3" t="s">
        <v>347</v>
      </c>
      <c r="D34" s="21"/>
      <c r="E34" s="13">
        <f t="shared" si="2"/>
        <v>0</v>
      </c>
      <c r="F34" s="56"/>
      <c r="G34" s="3" t="s">
        <v>347</v>
      </c>
      <c r="H34" s="75" t="e">
        <f>VLOOKUP(F34,PROD_CAMOBILE_2025M1!A:B,2,FALSE)</f>
        <v>#N/A</v>
      </c>
      <c r="I34" s="56"/>
      <c r="J34" s="65" t="e">
        <f>VLOOKUP(F34,'Formule TDB'!B:C,2,FALSE)</f>
        <v>#N/A</v>
      </c>
      <c r="K34" s="65" t="e">
        <v>#N/A</v>
      </c>
      <c r="L34" s="75" t="e">
        <f t="shared" ref="L34:L66" si="3">E34-H34</f>
        <v>#N/A</v>
      </c>
      <c r="M34" s="111"/>
    </row>
    <row r="35" spans="1:15">
      <c r="A35" s="22"/>
      <c r="B35" s="23" t="s">
        <v>348</v>
      </c>
      <c r="C35" s="3" t="s">
        <v>349</v>
      </c>
      <c r="D35" s="51">
        <f>VLOOKUP(C35,'Données MOOV 01-2025'!C:D,2,FALSE)</f>
        <v>0</v>
      </c>
      <c r="E35" s="13">
        <f t="shared" si="2"/>
        <v>0</v>
      </c>
      <c r="F35" s="52" t="s">
        <v>52</v>
      </c>
      <c r="G35" s="3" t="s">
        <v>349</v>
      </c>
      <c r="H35" s="55">
        <f>VLOOKUP(F35,PROD_CAMOBILE_2025M1!A:B,2,FALSE)</f>
        <v>0</v>
      </c>
      <c r="I35" s="55">
        <v>0</v>
      </c>
      <c r="J35" s="65">
        <f>VLOOKUP(F35,'Formule TDB'!B:C,2,FALSE)</f>
        <v>0</v>
      </c>
      <c r="K35" s="65">
        <v>0</v>
      </c>
      <c r="L35" s="62">
        <f t="shared" si="3"/>
        <v>0</v>
      </c>
      <c r="M35" s="111"/>
    </row>
    <row r="36" spans="1:15">
      <c r="A36" s="22"/>
      <c r="B36" s="23" t="s">
        <v>350</v>
      </c>
      <c r="C36" s="3" t="s">
        <v>351</v>
      </c>
      <c r="D36" s="51">
        <f>VLOOKUP(C36,'Données MOOV 01-2025'!C:D,2,FALSE)</f>
        <v>3391.819301</v>
      </c>
      <c r="E36" s="13">
        <f t="shared" si="2"/>
        <v>3391819301</v>
      </c>
      <c r="F36" s="52" t="s">
        <v>53</v>
      </c>
      <c r="G36" s="3" t="s">
        <v>351</v>
      </c>
      <c r="H36" s="55">
        <f>VLOOKUP(F36,PROD_CAMOBILE_2025M1!A:B,2,FALSE)</f>
        <v>3391819301</v>
      </c>
      <c r="I36" s="55">
        <v>3929111582</v>
      </c>
      <c r="J36" s="65" t="str">
        <f>VLOOKUP(F36,'Formule TDB'!B:C,2,FALSE)</f>
        <v>L18</v>
      </c>
      <c r="K36" s="65" t="s">
        <v>54</v>
      </c>
      <c r="L36" s="62">
        <f t="shared" si="3"/>
        <v>0</v>
      </c>
      <c r="M36" s="111"/>
    </row>
    <row r="37" spans="1:15">
      <c r="A37" s="11"/>
      <c r="B37" s="12" t="s">
        <v>352</v>
      </c>
      <c r="C37" s="3" t="s">
        <v>353</v>
      </c>
      <c r="D37" s="51">
        <f>VLOOKUP(C37,'Données MOOV 01-2025'!C:D,2,FALSE)</f>
        <v>283.30239799999998</v>
      </c>
      <c r="E37" s="13">
        <f t="shared" si="2"/>
        <v>283302398</v>
      </c>
      <c r="F37" s="52" t="s">
        <v>193</v>
      </c>
      <c r="G37" s="3" t="s">
        <v>353</v>
      </c>
      <c r="H37" s="55">
        <f>VLOOKUP(F37,PROD_CAMOBILE_2025M1!A:B,2,FALSE)</f>
        <v>279811823</v>
      </c>
      <c r="I37" s="55">
        <v>689925758</v>
      </c>
      <c r="J37" s="65" t="str">
        <f>VLOOKUP(F37,'Formule TDB'!B:C,2,FALSE)</f>
        <v>R(L34+L109)</v>
      </c>
      <c r="K37" s="65" t="s">
        <v>194</v>
      </c>
      <c r="L37" s="77">
        <f t="shared" si="3"/>
        <v>3490575</v>
      </c>
      <c r="M37" s="111"/>
      <c r="O37" t="s">
        <v>540</v>
      </c>
    </row>
    <row r="38" spans="1:15">
      <c r="A38" s="11"/>
      <c r="B38" s="26" t="s">
        <v>354</v>
      </c>
      <c r="C38" s="3" t="s">
        <v>355</v>
      </c>
      <c r="D38" s="51">
        <f>VLOOKUP(C38,'Données MOOV 01-2025'!C:D,2,FALSE)</f>
        <v>210.72996599999999</v>
      </c>
      <c r="E38" s="13">
        <f t="shared" si="2"/>
        <v>210729966</v>
      </c>
      <c r="F38" s="52" t="s">
        <v>65</v>
      </c>
      <c r="G38" s="3" t="s">
        <v>355</v>
      </c>
      <c r="H38" s="55">
        <f>VLOOKUP(F38,PROD_CAMOBILE_2025M1!A:B,2,FALSE)</f>
        <v>210729966</v>
      </c>
      <c r="I38" s="55">
        <v>201054859</v>
      </c>
      <c r="J38" s="65" t="str">
        <f>VLOOKUP(F38,'Formule TDB'!B:C,2,FALSE)</f>
        <v>R(L31+L32+L33)</v>
      </c>
      <c r="K38" s="65" t="s">
        <v>66</v>
      </c>
      <c r="L38" s="62">
        <f t="shared" si="3"/>
        <v>0</v>
      </c>
      <c r="M38" s="111"/>
    </row>
    <row r="39" spans="1:15">
      <c r="A39" s="125" t="s">
        <v>356</v>
      </c>
      <c r="B39" s="126"/>
      <c r="C39" s="3" t="s">
        <v>357</v>
      </c>
      <c r="D39" s="51">
        <f>VLOOKUP(C39,'Données MOOV 01-2025'!C:D,2,FALSE)</f>
        <v>10.744111999999999</v>
      </c>
      <c r="E39" s="13">
        <f t="shared" si="2"/>
        <v>10744112</v>
      </c>
      <c r="F39" s="52" t="s">
        <v>59</v>
      </c>
      <c r="G39" s="3" t="s">
        <v>357</v>
      </c>
      <c r="H39" s="55">
        <f>VLOOKUP(F39,PROD_CAMOBILE_2025M1!A:B,2,FALSE)</f>
        <v>10744112</v>
      </c>
      <c r="I39" s="55">
        <v>-10210921</v>
      </c>
      <c r="J39" s="65" t="str">
        <f>VLOOKUP(F39,'Formule TDB'!B:C,2,FALSE)</f>
        <v>-706115 NM(706115,*,A27,*,*,*,*,*,*,*) NM(706115,*,A29,*,*,*,*,*,*,*) NM(706115,*,W99,*,*,*,*,*,*,*) NM(706115,*,V99,*,*,*,*,*,*,*) NM(706115,*,U99,*,*,*,*,*,*,*) NM(706115,*,T15,*,*,*,*,*,*,*) NM(706115,*,S99,*,*,*,*,*,*,*)</v>
      </c>
      <c r="K39" s="65" t="s">
        <v>60</v>
      </c>
      <c r="L39" s="62">
        <f t="shared" si="3"/>
        <v>0</v>
      </c>
      <c r="M39" s="111"/>
    </row>
    <row r="40" spans="1:15">
      <c r="A40" s="125" t="s">
        <v>358</v>
      </c>
      <c r="B40" s="126"/>
      <c r="C40" s="3" t="s">
        <v>359</v>
      </c>
      <c r="D40" s="51">
        <f>VLOOKUP(C40,'Données MOOV 01-2025'!C:D,2,FALSE)</f>
        <v>14.508870999999999</v>
      </c>
      <c r="E40" s="13">
        <f t="shared" si="2"/>
        <v>14508871</v>
      </c>
      <c r="F40" s="52" t="s">
        <v>61</v>
      </c>
      <c r="G40" s="3" t="s">
        <v>359</v>
      </c>
      <c r="H40" s="55">
        <f>VLOOKUP(F40,PROD_CAMOBILE_2025M1!A:B,2,FALSE)</f>
        <v>14508871</v>
      </c>
      <c r="I40" s="55">
        <v>20653505</v>
      </c>
      <c r="J40" s="65" t="str">
        <f>VLOOKUP(F40,'Formule TDB'!B:C,2,FALSE)</f>
        <v>-NM(706115,*,T15,*,*,*,*,*,*)</v>
      </c>
      <c r="K40" s="65" t="s">
        <v>62</v>
      </c>
      <c r="L40" s="62">
        <f t="shared" si="3"/>
        <v>0</v>
      </c>
      <c r="M40" s="111"/>
    </row>
    <row r="41" spans="1:15">
      <c r="A41" s="125" t="s">
        <v>360</v>
      </c>
      <c r="B41" s="126"/>
      <c r="C41" s="3" t="s">
        <v>361</v>
      </c>
      <c r="D41" s="51">
        <f>VLOOKUP(C41,'Données MOOV 01-2025'!C:D,2,FALSE)</f>
        <v>185.47698299999999</v>
      </c>
      <c r="E41" s="13">
        <f t="shared" si="2"/>
        <v>185476983</v>
      </c>
      <c r="F41" s="52" t="s">
        <v>63</v>
      </c>
      <c r="G41" s="3" t="s">
        <v>361</v>
      </c>
      <c r="H41" s="55">
        <f>VLOOKUP(F41,PROD_CAMOBILE_2025M1!A:B,2,FALSE)</f>
        <v>185476983</v>
      </c>
      <c r="I41" s="55">
        <v>190612275</v>
      </c>
      <c r="J41" s="65" t="str">
        <f>VLOOKUP(F41,'Formule TDB'!B:C,2,FALSE)</f>
        <v>-NM(706115,*,U99,*,*,*,*,*,*)</v>
      </c>
      <c r="K41" s="65" t="s">
        <v>64</v>
      </c>
      <c r="L41" s="62">
        <f t="shared" si="3"/>
        <v>0</v>
      </c>
      <c r="M41" s="111"/>
    </row>
    <row r="42" spans="1:15">
      <c r="A42" s="25"/>
      <c r="B42" s="26" t="s">
        <v>362</v>
      </c>
      <c r="C42" s="3" t="s">
        <v>363</v>
      </c>
      <c r="D42" s="51">
        <f>VLOOKUP(C42,'Données MOOV 01-2025'!C:D,2,FALSE)</f>
        <v>72.572432000000006</v>
      </c>
      <c r="E42" s="13">
        <f t="shared" si="2"/>
        <v>72572432</v>
      </c>
      <c r="F42" s="52" t="s">
        <v>191</v>
      </c>
      <c r="G42" s="3" t="s">
        <v>363</v>
      </c>
      <c r="H42" s="55">
        <f>VLOOKUP(F42,PROD_CAMOBILE_2025M1!A:B,2,FALSE)</f>
        <v>69081857</v>
      </c>
      <c r="I42" s="55">
        <v>488870899</v>
      </c>
      <c r="J42" s="65" t="str">
        <f>VLOOKUP(F42,'Formule TDB'!B:C,2,FALSE)</f>
        <v>R(L56+L78+L108)</v>
      </c>
      <c r="K42" s="65" t="s">
        <v>192</v>
      </c>
      <c r="L42" s="77">
        <f t="shared" si="3"/>
        <v>3490575</v>
      </c>
      <c r="M42" s="111"/>
      <c r="O42" t="s">
        <v>540</v>
      </c>
    </row>
    <row r="43" spans="1:15">
      <c r="A43" s="125" t="s">
        <v>356</v>
      </c>
      <c r="B43" s="126"/>
      <c r="C43" s="3" t="s">
        <v>364</v>
      </c>
      <c r="D43" s="51">
        <f>VLOOKUP(C43,'Données MOOV 01-2025'!C:D,2,FALSE)</f>
        <v>0.59717100000000001</v>
      </c>
      <c r="E43" s="13">
        <f t="shared" si="2"/>
        <v>597171</v>
      </c>
      <c r="F43" s="52" t="s">
        <v>104</v>
      </c>
      <c r="G43" s="3" t="s">
        <v>364</v>
      </c>
      <c r="H43" s="55">
        <f>VLOOKUP(F43,PROD_CAMOBILE_2025M1!A:B,2,FALSE)</f>
        <v>597171</v>
      </c>
      <c r="I43" s="55">
        <v>1745800</v>
      </c>
      <c r="J43" s="65" t="str">
        <f>VLOOKUP(F43,'Formule TDB'!B:C,2,FALSE)</f>
        <v>R(L43+L50+L55)</v>
      </c>
      <c r="K43" s="65" t="s">
        <v>105</v>
      </c>
      <c r="L43" s="62">
        <f t="shared" si="3"/>
        <v>0</v>
      </c>
      <c r="M43" s="111"/>
    </row>
    <row r="44" spans="1:15">
      <c r="A44" s="16"/>
      <c r="B44" s="17" t="s">
        <v>290</v>
      </c>
      <c r="C44" s="3" t="s">
        <v>365</v>
      </c>
      <c r="D44" s="51">
        <f>VLOOKUP(C44,'Données MOOV 01-2025'!C:D,2,FALSE)</f>
        <v>0.150395</v>
      </c>
      <c r="E44" s="13">
        <f t="shared" si="2"/>
        <v>150395</v>
      </c>
      <c r="F44" s="52" t="s">
        <v>67</v>
      </c>
      <c r="G44" s="3" t="s">
        <v>365</v>
      </c>
      <c r="H44" s="55">
        <f>VLOOKUP(F44,PROD_CAMOBILE_2025M1!A:B,2,FALSE)</f>
        <v>150395</v>
      </c>
      <c r="I44" s="55">
        <v>293624</v>
      </c>
      <c r="J44" s="65" t="str">
        <f>VLOOKUP(F44,'Formule TDB'!B:C,2,FALSE)</f>
        <v>-NM(706125,*,A61,*,*,*,*,*,*,*) -NM(706900,*,A58,*,*,*,*,*,*,*) -NM(706900,*,A59,*,*,*,*,*,*,*)</v>
      </c>
      <c r="K44" s="65" t="s">
        <v>68</v>
      </c>
      <c r="L44" s="62">
        <f t="shared" si="3"/>
        <v>0</v>
      </c>
      <c r="M44" s="111"/>
    </row>
    <row r="45" spans="1:15">
      <c r="A45" s="16"/>
      <c r="B45" s="17" t="s">
        <v>292</v>
      </c>
      <c r="C45" s="3" t="s">
        <v>366</v>
      </c>
      <c r="D45" s="51">
        <f>VLOOKUP(C45,'Données MOOV 01-2025'!C:D,2,FALSE)</f>
        <v>0.31489299999999998</v>
      </c>
      <c r="E45" s="13">
        <f t="shared" si="2"/>
        <v>314893</v>
      </c>
      <c r="F45" s="52" t="s">
        <v>69</v>
      </c>
      <c r="G45" s="3" t="s">
        <v>366</v>
      </c>
      <c r="H45" s="55">
        <f>VLOOKUP(F45,PROD_CAMOBILE_2025M1!A:B,2,FALSE)</f>
        <v>314893</v>
      </c>
      <c r="I45" s="55">
        <v>588739</v>
      </c>
      <c r="J45" s="65" t="str">
        <f>VLOOKUP(F45,'Formule TDB'!B:C,2,FALSE)</f>
        <v>-NM(706126,*,A48,*,*,*,*,*,*)</v>
      </c>
      <c r="K45" s="65" t="s">
        <v>70</v>
      </c>
      <c r="L45" s="62">
        <f t="shared" si="3"/>
        <v>0</v>
      </c>
      <c r="M45" s="111"/>
    </row>
    <row r="46" spans="1:15">
      <c r="A46" s="16"/>
      <c r="B46" s="17" t="s">
        <v>294</v>
      </c>
      <c r="C46" s="3" t="s">
        <v>367</v>
      </c>
      <c r="D46" s="51">
        <f>VLOOKUP(C46,'Données MOOV 01-2025'!C:D,2,FALSE)</f>
        <v>0</v>
      </c>
      <c r="E46" s="13">
        <f t="shared" si="2"/>
        <v>0</v>
      </c>
      <c r="F46" s="52" t="s">
        <v>71</v>
      </c>
      <c r="G46" s="3" t="s">
        <v>367</v>
      </c>
      <c r="H46" s="55">
        <f>VLOOKUP(F46,PROD_CAMOBILE_2025M1!A:B,2,FALSE)</f>
        <v>0</v>
      </c>
      <c r="I46" s="55">
        <v>0</v>
      </c>
      <c r="J46" s="65" t="str">
        <f>VLOOKUP(F46,'Formule TDB'!B:C,2,FALSE)</f>
        <v>-NM(706126,*,A49,*,*,*,*,*,*)</v>
      </c>
      <c r="K46" s="65" t="s">
        <v>72</v>
      </c>
      <c r="L46" s="62">
        <f t="shared" si="3"/>
        <v>0</v>
      </c>
      <c r="M46" s="111"/>
    </row>
    <row r="47" spans="1:15">
      <c r="A47" s="16"/>
      <c r="B47" s="17" t="s">
        <v>296</v>
      </c>
      <c r="C47" s="3" t="s">
        <v>368</v>
      </c>
      <c r="D47" s="51">
        <f>VLOOKUP(C47,'Données MOOV 01-2025'!C:D,2,FALSE)</f>
        <v>0</v>
      </c>
      <c r="E47" s="13">
        <f t="shared" si="2"/>
        <v>0</v>
      </c>
      <c r="F47" s="52" t="s">
        <v>73</v>
      </c>
      <c r="G47" s="3" t="s">
        <v>368</v>
      </c>
      <c r="H47" s="55">
        <f>VLOOKUP(F47,PROD_CAMOBILE_2025M1!A:B,2,FALSE)</f>
        <v>0</v>
      </c>
      <c r="I47" s="55">
        <v>0</v>
      </c>
      <c r="J47" s="65" t="str">
        <f>VLOOKUP(F47,'Formule TDB'!B:C,2,FALSE)</f>
        <v>-NM(706126,*,A50,*,*,*,*,*,*)</v>
      </c>
      <c r="K47" s="65" t="s">
        <v>74</v>
      </c>
      <c r="L47" s="62">
        <f t="shared" si="3"/>
        <v>0</v>
      </c>
      <c r="M47" s="111"/>
    </row>
    <row r="48" spans="1:15">
      <c r="A48" s="16"/>
      <c r="B48" s="17" t="s">
        <v>298</v>
      </c>
      <c r="C48" s="3" t="s">
        <v>369</v>
      </c>
      <c r="D48" s="51">
        <f>VLOOKUP(C48,'Données MOOV 01-2025'!C:D,2,FALSE)</f>
        <v>4.4706000000000003E-2</v>
      </c>
      <c r="E48" s="13">
        <f t="shared" si="2"/>
        <v>44706</v>
      </c>
      <c r="F48" s="52" t="s">
        <v>75</v>
      </c>
      <c r="G48" s="3" t="s">
        <v>369</v>
      </c>
      <c r="H48" s="55">
        <f>VLOOKUP(F48,PROD_CAMOBILE_2025M1!A:B,2,FALSE)</f>
        <v>44706</v>
      </c>
      <c r="I48" s="55">
        <v>19446</v>
      </c>
      <c r="J48" s="65" t="str">
        <f>VLOOKUP(F48,'Formule TDB'!B:C,2,FALSE)</f>
        <v>-NM(706126,*,A51,*,*,*,*,*,*)</v>
      </c>
      <c r="K48" s="65" t="s">
        <v>76</v>
      </c>
      <c r="L48" s="62">
        <f t="shared" si="3"/>
        <v>0</v>
      </c>
      <c r="M48" s="111"/>
    </row>
    <row r="49" spans="1:13">
      <c r="A49" s="16"/>
      <c r="B49" s="17" t="s">
        <v>300</v>
      </c>
      <c r="C49" s="3" t="s">
        <v>370</v>
      </c>
      <c r="D49" s="51">
        <f>VLOOKUP(C49,'Données MOOV 01-2025'!C:D,2,FALSE)</f>
        <v>-1.9380000000000001E-3</v>
      </c>
      <c r="E49" s="13">
        <f t="shared" si="2"/>
        <v>-1938</v>
      </c>
      <c r="F49" s="52" t="s">
        <v>77</v>
      </c>
      <c r="G49" s="3" t="s">
        <v>370</v>
      </c>
      <c r="H49" s="55">
        <f>VLOOKUP(F49,PROD_CAMOBILE_2025M1!A:B,2,FALSE)</f>
        <v>-1938</v>
      </c>
      <c r="I49" s="55">
        <v>3216</v>
      </c>
      <c r="J49" s="65" t="str">
        <f>VLOOKUP(F49,'Formule TDB'!B:C,2,FALSE)</f>
        <v>-NM(706128,*,A52,*,*,*,*,*,*)</v>
      </c>
      <c r="K49" s="65" t="s">
        <v>78</v>
      </c>
      <c r="L49" s="62">
        <f t="shared" si="3"/>
        <v>0</v>
      </c>
      <c r="M49" s="111"/>
    </row>
    <row r="50" spans="1:13">
      <c r="A50" s="16"/>
      <c r="B50" s="17" t="s">
        <v>302</v>
      </c>
      <c r="C50" s="3" t="s">
        <v>371</v>
      </c>
      <c r="D50" s="51">
        <f>VLOOKUP(C50,'Données MOOV 01-2025'!C:D,2,FALSE)</f>
        <v>4.6205000000000003E-2</v>
      </c>
      <c r="E50" s="13">
        <f t="shared" si="2"/>
        <v>46205</v>
      </c>
      <c r="F50" s="52" t="s">
        <v>79</v>
      </c>
      <c r="G50" s="3" t="s">
        <v>371</v>
      </c>
      <c r="H50" s="55">
        <f>VLOOKUP(F50,PROD_CAMOBILE_2025M1!A:B,2,FALSE)</f>
        <v>46205</v>
      </c>
      <c r="I50" s="55">
        <v>271662</v>
      </c>
      <c r="J50" s="65" t="str">
        <f>VLOOKUP(F50,'Formule TDB'!B:C,2,FALSE)</f>
        <v>-NM(706129,*,A53,*,*,*,*,*,*)</v>
      </c>
      <c r="K50" s="65" t="s">
        <v>80</v>
      </c>
      <c r="L50" s="62">
        <f t="shared" si="3"/>
        <v>0</v>
      </c>
      <c r="M50" s="111"/>
    </row>
    <row r="51" spans="1:13">
      <c r="A51" s="16"/>
      <c r="B51" s="17" t="s">
        <v>304</v>
      </c>
      <c r="C51" s="3" t="s">
        <v>372</v>
      </c>
      <c r="D51" s="51">
        <f>VLOOKUP(C51,'Données MOOV 01-2025'!C:D,2,FALSE)</f>
        <v>2.4176E-2</v>
      </c>
      <c r="E51" s="13">
        <f t="shared" si="2"/>
        <v>24176</v>
      </c>
      <c r="F51" s="52" t="s">
        <v>81</v>
      </c>
      <c r="G51" s="3" t="s">
        <v>372</v>
      </c>
      <c r="H51" s="55">
        <f>VLOOKUP(F51,PROD_CAMOBILE_2025M1!A:B,2,FALSE)</f>
        <v>24176</v>
      </c>
      <c r="I51" s="55">
        <v>375186</v>
      </c>
      <c r="J51" s="65" t="str">
        <f>VLOOKUP(F51,'Formule TDB'!B:C,2,FALSE)</f>
        <v>-NM(706141,*,A54,*,*,*,*,*,*)</v>
      </c>
      <c r="K51" s="65" t="s">
        <v>82</v>
      </c>
      <c r="L51" s="62">
        <f t="shared" si="3"/>
        <v>0</v>
      </c>
      <c r="M51" s="111"/>
    </row>
    <row r="52" spans="1:13">
      <c r="A52" s="14"/>
      <c r="B52" s="15" t="s">
        <v>306</v>
      </c>
      <c r="C52" s="3" t="s">
        <v>373</v>
      </c>
      <c r="D52" s="51">
        <f>VLOOKUP(C52,'Données MOOV 01-2025'!C:D,2,FALSE)</f>
        <v>0.57843699999999998</v>
      </c>
      <c r="E52" s="13">
        <f t="shared" si="2"/>
        <v>578437</v>
      </c>
      <c r="F52" s="52" t="s">
        <v>83</v>
      </c>
      <c r="G52" s="3" t="s">
        <v>373</v>
      </c>
      <c r="H52" s="55">
        <f>VLOOKUP(F52,PROD_CAMOBILE_2025M1!A:B,2,FALSE)</f>
        <v>578437</v>
      </c>
      <c r="I52" s="55">
        <v>1551873</v>
      </c>
      <c r="J52" s="65" t="str">
        <f>VLOOKUP(F52,'Formule TDB'!B:C,2,FALSE)</f>
        <v>$CAMOBILE.#(L35:42)</v>
      </c>
      <c r="K52" s="65" t="s">
        <v>84</v>
      </c>
      <c r="L52" s="62">
        <f t="shared" si="3"/>
        <v>0</v>
      </c>
      <c r="M52" s="111"/>
    </row>
    <row r="53" spans="1:13">
      <c r="A53" s="27"/>
      <c r="B53" s="17" t="s">
        <v>309</v>
      </c>
      <c r="C53" s="3" t="s">
        <v>375</v>
      </c>
      <c r="D53" s="51">
        <f>VLOOKUP(C53,'Données MOOV 01-2025'!C:D,2,FALSE)</f>
        <v>1.8734000000000001E-2</v>
      </c>
      <c r="E53" s="13">
        <f t="shared" si="2"/>
        <v>18734</v>
      </c>
      <c r="F53" s="52" t="s">
        <v>85</v>
      </c>
      <c r="G53" s="3" t="s">
        <v>375</v>
      </c>
      <c r="H53" s="55">
        <f>VLOOKUP(F53,PROD_CAMOBILE_2025M1!A:B,2,FALSE)</f>
        <v>18734</v>
      </c>
      <c r="I53" s="55">
        <v>4107</v>
      </c>
      <c r="J53" s="65" t="str">
        <f>VLOOKUP(F53,'Formule TDB'!B:C,2,FALSE)</f>
        <v>-NM(706118,*,T21,*,*,*,*,*,*,*)</v>
      </c>
      <c r="K53" s="65" t="s">
        <v>86</v>
      </c>
      <c r="L53" s="62">
        <f t="shared" si="3"/>
        <v>0</v>
      </c>
      <c r="M53" s="111"/>
    </row>
    <row r="54" spans="1:13">
      <c r="A54" s="27"/>
      <c r="B54" s="17" t="s">
        <v>311</v>
      </c>
      <c r="C54" s="3" t="s">
        <v>376</v>
      </c>
      <c r="D54" s="51">
        <f>VLOOKUP(C54,'Données MOOV 01-2025'!C:D,2,FALSE)</f>
        <v>0</v>
      </c>
      <c r="E54" s="13">
        <f t="shared" si="2"/>
        <v>0</v>
      </c>
      <c r="F54" s="52" t="s">
        <v>87</v>
      </c>
      <c r="G54" s="3" t="s">
        <v>376</v>
      </c>
      <c r="H54" s="55">
        <f>VLOOKUP(F54,PROD_CAMOBILE_2025M1!A:B,2,FALSE)</f>
        <v>0</v>
      </c>
      <c r="I54" s="55">
        <v>37964</v>
      </c>
      <c r="J54" s="65" t="str">
        <f>VLOOKUP(F54,'Formule TDB'!B:C,2,FALSE)</f>
        <v>-0*NM(706118,*,*,*,*,*,*,*,*)</v>
      </c>
      <c r="K54" s="65" t="s">
        <v>88</v>
      </c>
      <c r="L54" s="62">
        <f t="shared" si="3"/>
        <v>0</v>
      </c>
      <c r="M54" s="111"/>
    </row>
    <row r="55" spans="1:13">
      <c r="A55" s="27"/>
      <c r="B55" s="17" t="s">
        <v>313</v>
      </c>
      <c r="C55" s="3" t="s">
        <v>377</v>
      </c>
      <c r="D55" s="51">
        <f>VLOOKUP(C55,'Données MOOV 01-2025'!C:D,2,FALSE)</f>
        <v>0</v>
      </c>
      <c r="E55" s="13">
        <f t="shared" si="2"/>
        <v>0</v>
      </c>
      <c r="F55" s="52" t="s">
        <v>89</v>
      </c>
      <c r="G55" s="3" t="s">
        <v>377</v>
      </c>
      <c r="H55" s="55">
        <f>VLOOKUP(F55,PROD_CAMOBILE_2025M1!A:B,2,FALSE)</f>
        <v>0</v>
      </c>
      <c r="I55" s="55">
        <v>37964</v>
      </c>
      <c r="J55" s="65" t="str">
        <f>VLOOKUP(F55,'Formule TDB'!B:C,2,FALSE)</f>
        <v>-0*NM(706118,*,*,*,*,*,*,*,*)</v>
      </c>
      <c r="K55" s="65" t="s">
        <v>88</v>
      </c>
      <c r="L55" s="62">
        <f t="shared" si="3"/>
        <v>0</v>
      </c>
      <c r="M55" s="111"/>
    </row>
    <row r="56" spans="1:13">
      <c r="A56" s="27"/>
      <c r="B56" s="17" t="s">
        <v>315</v>
      </c>
      <c r="C56" s="3" t="s">
        <v>378</v>
      </c>
      <c r="D56" s="51">
        <f>VLOOKUP(C56,'Données MOOV 01-2025'!C:D,2,FALSE)</f>
        <v>0</v>
      </c>
      <c r="E56" s="13">
        <f t="shared" si="2"/>
        <v>0</v>
      </c>
      <c r="F56" s="52" t="s">
        <v>90</v>
      </c>
      <c r="G56" s="3" t="s">
        <v>378</v>
      </c>
      <c r="H56" s="55">
        <f>VLOOKUP(F56,PROD_CAMOBILE_2025M1!A:B,2,FALSE)</f>
        <v>0</v>
      </c>
      <c r="I56" s="55">
        <v>37964</v>
      </c>
      <c r="J56" s="65" t="str">
        <f>VLOOKUP(F56,'Formule TDB'!B:C,2,FALSE)</f>
        <v>-0*NM(706118,*,*,*,*,*,*,*,*)</v>
      </c>
      <c r="K56" s="65" t="s">
        <v>88</v>
      </c>
      <c r="L56" s="62">
        <f t="shared" si="3"/>
        <v>0</v>
      </c>
      <c r="M56" s="111"/>
    </row>
    <row r="57" spans="1:13">
      <c r="A57" s="27"/>
      <c r="B57" s="17" t="s">
        <v>317</v>
      </c>
      <c r="C57" s="3" t="s">
        <v>379</v>
      </c>
      <c r="D57" s="51">
        <f>VLOOKUP(C57,'Données MOOV 01-2025'!C:D,2,FALSE)</f>
        <v>0</v>
      </c>
      <c r="E57" s="13">
        <f t="shared" si="2"/>
        <v>0</v>
      </c>
      <c r="F57" s="52" t="s">
        <v>91</v>
      </c>
      <c r="G57" s="3" t="s">
        <v>379</v>
      </c>
      <c r="H57" s="55">
        <f>VLOOKUP(F57,PROD_CAMOBILE_2025M1!A:B,2,FALSE)</f>
        <v>0</v>
      </c>
      <c r="I57" s="55">
        <v>37964</v>
      </c>
      <c r="J57" s="65" t="str">
        <f>VLOOKUP(F57,'Formule TDB'!B:C,2,FALSE)</f>
        <v>-0*NM(706118,*,*,*,*,*,*,*,*)</v>
      </c>
      <c r="K57" s="65" t="s">
        <v>88</v>
      </c>
      <c r="L57" s="62">
        <f t="shared" si="3"/>
        <v>0</v>
      </c>
      <c r="M57" s="111"/>
    </row>
    <row r="58" spans="1:13">
      <c r="A58" s="27"/>
      <c r="B58" s="17" t="s">
        <v>319</v>
      </c>
      <c r="C58" s="3" t="s">
        <v>380</v>
      </c>
      <c r="D58" s="51">
        <f>VLOOKUP(C58,'Données MOOV 01-2025'!C:D,2,FALSE)</f>
        <v>0</v>
      </c>
      <c r="E58" s="13">
        <f t="shared" si="2"/>
        <v>0</v>
      </c>
      <c r="F58" s="52" t="s">
        <v>92</v>
      </c>
      <c r="G58" s="3" t="s">
        <v>380</v>
      </c>
      <c r="H58" s="55">
        <f>VLOOKUP(F58,PROD_CAMOBILE_2025M1!A:B,2,FALSE)</f>
        <v>0</v>
      </c>
      <c r="I58" s="55">
        <v>37964</v>
      </c>
      <c r="J58" s="65" t="str">
        <f>VLOOKUP(F58,'Formule TDB'!B:C,2,FALSE)</f>
        <v>-0*NM(706118,*,*,*,*,*,*,*,*)</v>
      </c>
      <c r="K58" s="65" t="s">
        <v>88</v>
      </c>
      <c r="L58" s="62">
        <f t="shared" si="3"/>
        <v>0</v>
      </c>
      <c r="M58" s="111"/>
    </row>
    <row r="59" spans="1:13">
      <c r="A59" s="20"/>
      <c r="B59" s="15" t="s">
        <v>321</v>
      </c>
      <c r="C59" s="3" t="s">
        <v>381</v>
      </c>
      <c r="D59" s="51">
        <f>VLOOKUP(C59,'Données MOOV 01-2025'!C:D,2,FALSE)</f>
        <v>1.8734000000000001E-2</v>
      </c>
      <c r="E59" s="13">
        <f t="shared" si="2"/>
        <v>18734</v>
      </c>
      <c r="F59" s="52" t="s">
        <v>93</v>
      </c>
      <c r="G59" s="3" t="s">
        <v>381</v>
      </c>
      <c r="H59" s="55">
        <f>VLOOKUP(F59,PROD_CAMOBILE_2025M1!A:B,2,FALSE)</f>
        <v>18734</v>
      </c>
      <c r="I59" s="55">
        <v>193927</v>
      </c>
      <c r="J59" s="65" t="str">
        <f>VLOOKUP(F59,'Formule TDB'!B:C,2,FALSE)</f>
        <v>$CAMOBILE.#(L44:49)</v>
      </c>
      <c r="K59" s="65" t="s">
        <v>94</v>
      </c>
      <c r="L59" s="62">
        <f t="shared" si="3"/>
        <v>0</v>
      </c>
      <c r="M59" s="111"/>
    </row>
    <row r="60" spans="1:13">
      <c r="A60" s="28"/>
      <c r="B60" s="19" t="s">
        <v>324</v>
      </c>
      <c r="C60" s="3" t="s">
        <v>383</v>
      </c>
      <c r="D60" s="51">
        <f>VLOOKUP(C60,'Données MOOV 01-2025'!C:D,2,FALSE)</f>
        <v>-2.612012</v>
      </c>
      <c r="E60" s="13">
        <f t="shared" si="2"/>
        <v>-2612012</v>
      </c>
      <c r="F60" s="52" t="s">
        <v>95</v>
      </c>
      <c r="G60" s="3" t="s">
        <v>383</v>
      </c>
      <c r="H60" s="55">
        <f>VLOOKUP(F60,PROD_CAMOBILE_2025M1!A:B,2,FALSE)</f>
        <v>-2612012</v>
      </c>
      <c r="I60" s="55">
        <v>1636910</v>
      </c>
      <c r="J60" s="65" t="str">
        <f>VLOOKUP(F60,'Formule TDB'!B:C,2,FALSE)</f>
        <v>-NM(706154,*,A55,*,*,*,*,*,*)</v>
      </c>
      <c r="K60" s="65" t="s">
        <v>96</v>
      </c>
      <c r="L60" s="62">
        <f t="shared" si="3"/>
        <v>0</v>
      </c>
      <c r="M60" s="111"/>
    </row>
    <row r="61" spans="1:13">
      <c r="A61" s="27"/>
      <c r="B61" s="17" t="s">
        <v>384</v>
      </c>
      <c r="C61" s="3" t="s">
        <v>385</v>
      </c>
      <c r="D61" s="51">
        <f>VLOOKUP(C61,'Données MOOV 01-2025'!C:D,2,FALSE)</f>
        <v>0</v>
      </c>
      <c r="E61" s="13">
        <f t="shared" si="2"/>
        <v>0</v>
      </c>
      <c r="F61" s="52" t="s">
        <v>97</v>
      </c>
      <c r="G61" s="3" t="s">
        <v>385</v>
      </c>
      <c r="H61" s="55">
        <f>VLOOKUP(F61,PROD_CAMOBILE_2025M1!A:B,2,FALSE)</f>
        <v>0</v>
      </c>
      <c r="I61" s="55">
        <v>0</v>
      </c>
      <c r="J61" s="65" t="str">
        <f>VLOOKUP(F61,'Formule TDB'!B:C,2,FALSE)</f>
        <v>-NM(706115,*,G99,*,*,*,*,*,*)</v>
      </c>
      <c r="K61" s="65" t="s">
        <v>98</v>
      </c>
      <c r="L61" s="62">
        <f t="shared" si="3"/>
        <v>0</v>
      </c>
      <c r="M61" s="111"/>
    </row>
    <row r="62" spans="1:13">
      <c r="A62" s="27"/>
      <c r="B62" s="17" t="s">
        <v>386</v>
      </c>
      <c r="C62" s="3" t="s">
        <v>387</v>
      </c>
      <c r="D62" s="51">
        <f>VLOOKUP(C62,'Données MOOV 01-2025'!C:D,2,FALSE)</f>
        <v>0</v>
      </c>
      <c r="E62" s="13">
        <f t="shared" si="2"/>
        <v>0</v>
      </c>
      <c r="F62" s="52" t="s">
        <v>99</v>
      </c>
      <c r="G62" s="3" t="s">
        <v>387</v>
      </c>
      <c r="H62" s="55">
        <f>VLOOKUP(F62,PROD_CAMOBILE_2025M1!A:B,2,FALSE)</f>
        <v>0</v>
      </c>
      <c r="I62" s="55">
        <v>0</v>
      </c>
      <c r="J62" s="65" t="str">
        <f>VLOOKUP(F62,'Formule TDB'!B:C,2,FALSE)</f>
        <v>-NM(706115,*,B99,*,*,*,*,*,*) -NM(706115,*,I99,*,*,*,*,*,*,*)</v>
      </c>
      <c r="K62" s="65" t="s">
        <v>100</v>
      </c>
      <c r="L62" s="62">
        <f t="shared" si="3"/>
        <v>0</v>
      </c>
      <c r="M62" s="111"/>
    </row>
    <row r="63" spans="1:13">
      <c r="A63" s="27"/>
      <c r="B63" s="17" t="s">
        <v>388</v>
      </c>
      <c r="C63" s="3" t="s">
        <v>389</v>
      </c>
      <c r="D63" s="51">
        <f>VLOOKUP(C63,'Données MOOV 01-2025'!C:D,2,FALSE)</f>
        <v>0</v>
      </c>
      <c r="E63" s="13">
        <f t="shared" si="2"/>
        <v>0</v>
      </c>
      <c r="F63" s="52" t="s">
        <v>101</v>
      </c>
      <c r="G63" s="3" t="s">
        <v>389</v>
      </c>
      <c r="H63" s="55">
        <f>VLOOKUP(F63,PROD_CAMOBILE_2025M1!A:B,2,FALSE)</f>
        <v>0</v>
      </c>
      <c r="I63" s="55">
        <v>0</v>
      </c>
      <c r="J63" s="65">
        <f>VLOOKUP(F63,'Formule TDB'!B:C,2,FALSE)</f>
        <v>0</v>
      </c>
      <c r="K63" s="65">
        <v>0</v>
      </c>
      <c r="L63" s="62">
        <f t="shared" si="3"/>
        <v>0</v>
      </c>
      <c r="M63" s="111"/>
    </row>
    <row r="64" spans="1:13">
      <c r="A64" s="20"/>
      <c r="B64" s="15" t="s">
        <v>341</v>
      </c>
      <c r="C64" s="3" t="s">
        <v>390</v>
      </c>
      <c r="D64" s="51">
        <f>VLOOKUP(C64,'Données MOOV 01-2025'!C:D,2,FALSE)</f>
        <v>0</v>
      </c>
      <c r="E64" s="13">
        <f t="shared" si="2"/>
        <v>0</v>
      </c>
      <c r="F64" s="52" t="s">
        <v>102</v>
      </c>
      <c r="G64" s="3" t="s">
        <v>390</v>
      </c>
      <c r="H64" s="55">
        <f>VLOOKUP(F64,PROD_CAMOBILE_2025M1!A:B,2,FALSE)</f>
        <v>0</v>
      </c>
      <c r="I64" s="55">
        <v>0</v>
      </c>
      <c r="J64" s="65" t="str">
        <f>VLOOKUP(F64,'Formule TDB'!B:C,2,FALSE)</f>
        <v>$CAMOBILE.#(L52:54)</v>
      </c>
      <c r="K64" s="65" t="s">
        <v>103</v>
      </c>
      <c r="L64" s="62">
        <f t="shared" si="3"/>
        <v>0</v>
      </c>
      <c r="M64" s="111"/>
    </row>
    <row r="65" spans="1:15">
      <c r="A65" s="125" t="s">
        <v>358</v>
      </c>
      <c r="B65" s="126"/>
      <c r="C65" s="3" t="s">
        <v>392</v>
      </c>
      <c r="D65" s="51">
        <f>VLOOKUP(C65,'Données MOOV 01-2025'!C:D,2,FALSE)</f>
        <v>35.107591999999997</v>
      </c>
      <c r="E65" s="13">
        <f t="shared" si="2"/>
        <v>35107592</v>
      </c>
      <c r="F65" s="52" t="s">
        <v>137</v>
      </c>
      <c r="G65" s="3" t="s">
        <v>392</v>
      </c>
      <c r="H65" s="55">
        <f>VLOOKUP(F65,PROD_CAMOBILE_2025M1!A:B,2,FALSE)</f>
        <v>31617017</v>
      </c>
      <c r="I65" s="55">
        <v>30786748</v>
      </c>
      <c r="J65" s="65" t="str">
        <f>VLOOKUP(F65,'Formule TDB'!B:C,2,FALSE)</f>
        <v>R(L65+L72+L77)</v>
      </c>
      <c r="K65" s="65" t="s">
        <v>138</v>
      </c>
      <c r="L65" s="77">
        <f t="shared" si="3"/>
        <v>3490575</v>
      </c>
      <c r="M65" s="111"/>
      <c r="O65" t="s">
        <v>540</v>
      </c>
    </row>
    <row r="66" spans="1:15">
      <c r="A66" s="16"/>
      <c r="B66" s="17" t="s">
        <v>290</v>
      </c>
      <c r="C66" s="3" t="s">
        <v>393</v>
      </c>
      <c r="D66" s="51">
        <f>VLOOKUP(C66,'Données MOOV 01-2025'!C:D,2,FALSE)</f>
        <v>2.4793340000000001</v>
      </c>
      <c r="E66" s="13">
        <f t="shared" si="2"/>
        <v>2479334</v>
      </c>
      <c r="F66" s="52" t="s">
        <v>106</v>
      </c>
      <c r="G66" s="3" t="s">
        <v>393</v>
      </c>
      <c r="H66" s="55">
        <f>VLOOKUP(F66,PROD_CAMOBILE_2025M1!A:B,2,FALSE)</f>
        <v>2479334</v>
      </c>
      <c r="I66" s="55">
        <v>3180434</v>
      </c>
      <c r="J66" s="65" t="str">
        <f>VLOOKUP(F66,'Formule TDB'!B:C,2,FALSE)</f>
        <v>-NM(706125,*,A99,*,*,*,*,*,*) -NM(706900,*,A99,*,*,*,*,*,*)</v>
      </c>
      <c r="K66" s="65" t="s">
        <v>107</v>
      </c>
      <c r="L66" s="62">
        <f t="shared" si="3"/>
        <v>0</v>
      </c>
      <c r="M66" s="111"/>
    </row>
    <row r="67" spans="1:15">
      <c r="A67" s="16"/>
      <c r="B67" s="17" t="s">
        <v>292</v>
      </c>
      <c r="C67" s="3" t="s">
        <v>394</v>
      </c>
      <c r="D67" s="51">
        <f>VLOOKUP(C67,'Données MOOV 01-2025'!C:D,2,FALSE)</f>
        <v>5.9198329999999997</v>
      </c>
      <c r="E67" s="13">
        <f t="shared" si="2"/>
        <v>5919833</v>
      </c>
      <c r="F67" s="52" t="s">
        <v>108</v>
      </c>
      <c r="G67" s="3" t="s">
        <v>394</v>
      </c>
      <c r="H67" s="55">
        <f>VLOOKUP(F67,PROD_CAMOBILE_2025M1!A:B,2,FALSE)</f>
        <v>5122948</v>
      </c>
      <c r="I67" s="55">
        <v>7071411</v>
      </c>
      <c r="J67" s="65" t="str">
        <f>VLOOKUP(F67,'Formule TDB'!B:C,2,FALSE)</f>
        <v>-NM(706126,*,A43,*,*,*,*,*,*)</v>
      </c>
      <c r="K67" s="65" t="s">
        <v>109</v>
      </c>
      <c r="L67" s="77">
        <f t="shared" ref="L67:L130" si="4">E67-H67</f>
        <v>796885</v>
      </c>
      <c r="M67" s="116" t="s">
        <v>541</v>
      </c>
      <c r="N67" s="106" t="s">
        <v>542</v>
      </c>
      <c r="O67" s="109" t="s">
        <v>543</v>
      </c>
    </row>
    <row r="68" spans="1:15">
      <c r="A68" s="16"/>
      <c r="B68" s="17" t="s">
        <v>294</v>
      </c>
      <c r="C68" s="3" t="s">
        <v>395</v>
      </c>
      <c r="D68" s="51">
        <f>VLOOKUP(C68,'Données MOOV 01-2025'!C:D,2,FALSE)</f>
        <v>0</v>
      </c>
      <c r="E68" s="13">
        <f t="shared" si="2"/>
        <v>0</v>
      </c>
      <c r="F68" s="52" t="s">
        <v>110</v>
      </c>
      <c r="G68" s="3" t="s">
        <v>395</v>
      </c>
      <c r="H68" s="55">
        <f>VLOOKUP(F68,PROD_CAMOBILE_2025M1!A:B,2,FALSE)</f>
        <v>0</v>
      </c>
      <c r="I68" s="55">
        <v>0</v>
      </c>
      <c r="J68" s="65">
        <f>VLOOKUP(F68,'Formule TDB'!B:C,2,FALSE)</f>
        <v>0</v>
      </c>
      <c r="K68" s="65">
        <v>0</v>
      </c>
      <c r="L68" s="62">
        <f t="shared" si="4"/>
        <v>0</v>
      </c>
      <c r="M68" s="111"/>
      <c r="O68" s="109"/>
    </row>
    <row r="69" spans="1:15">
      <c r="A69" s="16"/>
      <c r="B69" s="17" t="s">
        <v>296</v>
      </c>
      <c r="C69" s="3" t="s">
        <v>396</v>
      </c>
      <c r="D69" s="51">
        <f>VLOOKUP(C69,'Données MOOV 01-2025'!C:D,2,FALSE)</f>
        <v>0</v>
      </c>
      <c r="E69" s="13">
        <f t="shared" ref="E69:E132" si="5">D69*1000000</f>
        <v>0</v>
      </c>
      <c r="F69" s="52" t="s">
        <v>111</v>
      </c>
      <c r="G69" s="3" t="s">
        <v>396</v>
      </c>
      <c r="H69" s="55">
        <f>VLOOKUP(F69,PROD_CAMOBILE_2025M1!A:B,2,FALSE)</f>
        <v>0</v>
      </c>
      <c r="I69" s="55">
        <v>0</v>
      </c>
      <c r="J69" s="65">
        <f>VLOOKUP(F69,'Formule TDB'!B:C,2,FALSE)</f>
        <v>0</v>
      </c>
      <c r="K69" s="65">
        <v>0</v>
      </c>
      <c r="L69" s="62">
        <f t="shared" si="4"/>
        <v>0</v>
      </c>
      <c r="M69" s="111"/>
      <c r="O69" s="109"/>
    </row>
    <row r="70" spans="1:15">
      <c r="A70" s="16"/>
      <c r="B70" s="17" t="s">
        <v>298</v>
      </c>
      <c r="C70" s="3" t="s">
        <v>397</v>
      </c>
      <c r="D70" s="51">
        <f>VLOOKUP(C70,'Données MOOV 01-2025'!C:D,2,FALSE)</f>
        <v>0</v>
      </c>
      <c r="E70" s="13">
        <f t="shared" si="5"/>
        <v>0</v>
      </c>
      <c r="F70" s="52" t="s">
        <v>112</v>
      </c>
      <c r="G70" s="3" t="s">
        <v>397</v>
      </c>
      <c r="H70" s="55">
        <f>VLOOKUP(F70,PROD_CAMOBILE_2025M1!A:B,2,FALSE)</f>
        <v>0</v>
      </c>
      <c r="I70" s="55">
        <v>0</v>
      </c>
      <c r="J70" s="65">
        <f>VLOOKUP(F70,'Formule TDB'!B:C,2,FALSE)</f>
        <v>0</v>
      </c>
      <c r="K70" s="65">
        <v>0</v>
      </c>
      <c r="L70" s="62">
        <f t="shared" si="4"/>
        <v>0</v>
      </c>
      <c r="M70" s="111"/>
      <c r="O70" s="109"/>
    </row>
    <row r="71" spans="1:15">
      <c r="A71" s="16"/>
      <c r="B71" s="17" t="s">
        <v>300</v>
      </c>
      <c r="C71" s="3" t="s">
        <v>398</v>
      </c>
      <c r="D71" s="51">
        <f>VLOOKUP(C71,'Données MOOV 01-2025'!C:D,2,FALSE)</f>
        <v>2.2572999999999999E-2</v>
      </c>
      <c r="E71" s="13">
        <f t="shared" si="5"/>
        <v>22573</v>
      </c>
      <c r="F71" s="52" t="s">
        <v>113</v>
      </c>
      <c r="G71" s="3" t="s">
        <v>398</v>
      </c>
      <c r="H71" s="55">
        <f>VLOOKUP(F71,PROD_CAMOBILE_2025M1!A:B,2,FALSE)</f>
        <v>22573</v>
      </c>
      <c r="I71" s="55">
        <v>32085</v>
      </c>
      <c r="J71" s="65" t="str">
        <f>VLOOKUP(F71,'Formule TDB'!B:C,2,FALSE)</f>
        <v>-NM(706128,*,A99,*,*,*,*,*,*)</v>
      </c>
      <c r="K71" s="65" t="s">
        <v>114</v>
      </c>
      <c r="L71" s="62">
        <f t="shared" si="4"/>
        <v>0</v>
      </c>
      <c r="M71" s="111"/>
      <c r="O71" s="109"/>
    </row>
    <row r="72" spans="1:15">
      <c r="A72" s="16"/>
      <c r="B72" s="17" t="s">
        <v>302</v>
      </c>
      <c r="C72" s="3" t="s">
        <v>399</v>
      </c>
      <c r="D72" s="51">
        <f>VLOOKUP(C72,'Données MOOV 01-2025'!C:D,2,FALSE)</f>
        <v>1.07568</v>
      </c>
      <c r="E72" s="13">
        <f t="shared" si="5"/>
        <v>1075680</v>
      </c>
      <c r="F72" s="52" t="s">
        <v>115</v>
      </c>
      <c r="G72" s="3" t="s">
        <v>399</v>
      </c>
      <c r="H72" s="55">
        <f>VLOOKUP(F72,PROD_CAMOBILE_2025M1!A:B,2,FALSE)</f>
        <v>1075680</v>
      </c>
      <c r="I72" s="55">
        <v>1401239</v>
      </c>
      <c r="J72" s="65" t="str">
        <f>VLOOKUP(F72,'Formule TDB'!B:C,2,FALSE)</f>
        <v>-NM(706129,*,A99,*,*,*,*,*,*,*)</v>
      </c>
      <c r="K72" s="65" t="s">
        <v>116</v>
      </c>
      <c r="L72" s="62">
        <f t="shared" si="4"/>
        <v>0</v>
      </c>
      <c r="M72" s="111"/>
      <c r="O72" s="109"/>
    </row>
    <row r="73" spans="1:15" ht="29.25">
      <c r="A73" s="16"/>
      <c r="B73" s="17" t="s">
        <v>304</v>
      </c>
      <c r="C73" s="3" t="s">
        <v>400</v>
      </c>
      <c r="D73" s="51">
        <f>VLOOKUP(C73,'Données MOOV 01-2025'!C:D,2,FALSE)</f>
        <v>1.8213520000000001</v>
      </c>
      <c r="E73" s="13">
        <f t="shared" si="5"/>
        <v>1821352</v>
      </c>
      <c r="F73" s="52" t="s">
        <v>117</v>
      </c>
      <c r="G73" s="3" t="s">
        <v>400</v>
      </c>
      <c r="H73" s="55">
        <f>VLOOKUP(F73,PROD_CAMOBILE_2025M1!A:B,2,FALSE)</f>
        <v>-872338</v>
      </c>
      <c r="I73" s="55">
        <v>-236035</v>
      </c>
      <c r="J73" s="65" t="str">
        <f>VLOOKUP(F73,'Formule TDB'!B:C,2,FALSE)</f>
        <v>-NM(706141,*,A99,*,*,*,*,*,*)</v>
      </c>
      <c r="K73" s="65" t="s">
        <v>118</v>
      </c>
      <c r="L73" s="77">
        <f t="shared" si="4"/>
        <v>2693690</v>
      </c>
      <c r="M73" s="115" t="s">
        <v>544</v>
      </c>
      <c r="N73" s="133" t="s">
        <v>545</v>
      </c>
      <c r="O73" s="109" t="s">
        <v>543</v>
      </c>
    </row>
    <row r="74" spans="1:15">
      <c r="A74" s="14"/>
      <c r="B74" s="15" t="s">
        <v>306</v>
      </c>
      <c r="C74" s="3" t="s">
        <v>401</v>
      </c>
      <c r="D74" s="51">
        <f>VLOOKUP(C74,'Données MOOV 01-2025'!C:D,2,FALSE)</f>
        <v>11.318771999999999</v>
      </c>
      <c r="E74" s="13">
        <f t="shared" si="5"/>
        <v>11318772</v>
      </c>
      <c r="F74" s="52" t="s">
        <v>119</v>
      </c>
      <c r="G74" s="3" t="s">
        <v>401</v>
      </c>
      <c r="H74" s="55">
        <f>VLOOKUP(F74,PROD_CAMOBILE_2025M1!A:B,2,FALSE)</f>
        <v>7828197</v>
      </c>
      <c r="I74" s="55">
        <v>11449134</v>
      </c>
      <c r="J74" s="65" t="str">
        <f>VLOOKUP(F74,'Formule TDB'!B:C,2,FALSE)</f>
        <v>$CAMOBILE.#(L57:64)</v>
      </c>
      <c r="K74" s="65" t="s">
        <v>120</v>
      </c>
      <c r="L74" s="77">
        <f t="shared" si="4"/>
        <v>3490575</v>
      </c>
      <c r="M74" s="111"/>
      <c r="O74" s="109"/>
    </row>
    <row r="75" spans="1:15">
      <c r="A75" s="27"/>
      <c r="B75" s="17" t="s">
        <v>309</v>
      </c>
      <c r="C75" s="3" t="s">
        <v>403</v>
      </c>
      <c r="D75" s="51">
        <f>VLOOKUP(C75,'Données MOOV 01-2025'!C:D,2,FALSE)</f>
        <v>22.126456999999998</v>
      </c>
      <c r="E75" s="13">
        <f t="shared" si="5"/>
        <v>22126457</v>
      </c>
      <c r="F75" s="52" t="s">
        <v>121</v>
      </c>
      <c r="G75" s="3" t="s">
        <v>403</v>
      </c>
      <c r="H75" s="55">
        <f>VLOOKUP(F75,PROD_CAMOBILE_2025M1!A:B,2,FALSE)</f>
        <v>22126457</v>
      </c>
      <c r="I75" s="55">
        <v>18338001</v>
      </c>
      <c r="J75" s="65" t="str">
        <f>VLOOKUP(F75,'Formule TDB'!B:C,2,FALSE)</f>
        <v>-NM(706118,*,T20,*,*,*,*,*,*) -706152</v>
      </c>
      <c r="K75" s="65" t="s">
        <v>122</v>
      </c>
      <c r="L75" s="62">
        <f t="shared" si="4"/>
        <v>0</v>
      </c>
      <c r="M75" s="111"/>
    </row>
    <row r="76" spans="1:15">
      <c r="A76" s="27"/>
      <c r="B76" s="17" t="s">
        <v>311</v>
      </c>
      <c r="C76" s="3" t="s">
        <v>404</v>
      </c>
      <c r="D76" s="51">
        <f>VLOOKUP(C76,'Données MOOV 01-2025'!C:D,2,FALSE)</f>
        <v>0</v>
      </c>
      <c r="E76" s="13">
        <f t="shared" si="5"/>
        <v>0</v>
      </c>
      <c r="F76" s="52" t="s">
        <v>123</v>
      </c>
      <c r="G76" s="3" t="s">
        <v>404</v>
      </c>
      <c r="H76" s="55">
        <f>VLOOKUP(F76,PROD_CAMOBILE_2025M1!A:B,2,FALSE)</f>
        <v>0</v>
      </c>
      <c r="I76" s="55">
        <v>37964</v>
      </c>
      <c r="J76" s="65" t="str">
        <f>VLOOKUP(F76,'Formule TDB'!B:C,2,FALSE)</f>
        <v>-0*NM(706118,*,*,*,*,*,*,*,*)</v>
      </c>
      <c r="K76" s="65" t="s">
        <v>88</v>
      </c>
      <c r="L76" s="62">
        <f t="shared" si="4"/>
        <v>0</v>
      </c>
      <c r="M76" s="111"/>
    </row>
    <row r="77" spans="1:15">
      <c r="A77" s="27"/>
      <c r="B77" s="17" t="s">
        <v>313</v>
      </c>
      <c r="C77" s="3" t="s">
        <v>405</v>
      </c>
      <c r="D77" s="51">
        <f>VLOOKUP(C77,'Données MOOV 01-2025'!C:D,2,FALSE)</f>
        <v>0</v>
      </c>
      <c r="E77" s="13">
        <f t="shared" si="5"/>
        <v>0</v>
      </c>
      <c r="F77" s="52" t="s">
        <v>124</v>
      </c>
      <c r="G77" s="3" t="s">
        <v>405</v>
      </c>
      <c r="H77" s="55">
        <f>VLOOKUP(F77,PROD_CAMOBILE_2025M1!A:B,2,FALSE)</f>
        <v>0</v>
      </c>
      <c r="I77" s="55">
        <v>37964</v>
      </c>
      <c r="J77" s="65" t="str">
        <f>VLOOKUP(F77,'Formule TDB'!B:C,2,FALSE)</f>
        <v>-0*NM(706118,*,*,*,*,*,*,*,*)</v>
      </c>
      <c r="K77" s="65" t="s">
        <v>88</v>
      </c>
      <c r="L77" s="62">
        <f t="shared" si="4"/>
        <v>0</v>
      </c>
      <c r="M77" s="111"/>
    </row>
    <row r="78" spans="1:15">
      <c r="A78" s="27"/>
      <c r="B78" s="17" t="s">
        <v>315</v>
      </c>
      <c r="C78" s="3" t="s">
        <v>406</v>
      </c>
      <c r="D78" s="51">
        <f>VLOOKUP(C78,'Données MOOV 01-2025'!C:D,2,FALSE)</f>
        <v>0</v>
      </c>
      <c r="E78" s="13">
        <f t="shared" si="5"/>
        <v>0</v>
      </c>
      <c r="F78" s="52" t="s">
        <v>125</v>
      </c>
      <c r="G78" s="3" t="s">
        <v>406</v>
      </c>
      <c r="H78" s="55">
        <f>VLOOKUP(F78,PROD_CAMOBILE_2025M1!A:B,2,FALSE)</f>
        <v>0</v>
      </c>
      <c r="I78" s="55">
        <v>37964</v>
      </c>
      <c r="J78" s="65" t="str">
        <f>VLOOKUP(F78,'Formule TDB'!B:C,2,FALSE)</f>
        <v>-0*NM(706118,*,*,*,*,*,*,*,*)</v>
      </c>
      <c r="K78" s="65" t="s">
        <v>88</v>
      </c>
      <c r="L78" s="62">
        <f t="shared" si="4"/>
        <v>0</v>
      </c>
      <c r="M78" s="111"/>
    </row>
    <row r="79" spans="1:15">
      <c r="A79" s="27"/>
      <c r="B79" s="17" t="s">
        <v>317</v>
      </c>
      <c r="C79" s="3" t="s">
        <v>407</v>
      </c>
      <c r="D79" s="51">
        <f>VLOOKUP(C79,'Données MOOV 01-2025'!C:D,2,FALSE)</f>
        <v>0</v>
      </c>
      <c r="E79" s="13">
        <f t="shared" si="5"/>
        <v>0</v>
      </c>
      <c r="F79" s="52" t="s">
        <v>126</v>
      </c>
      <c r="G79" s="3" t="s">
        <v>407</v>
      </c>
      <c r="H79" s="55">
        <f>VLOOKUP(F79,PROD_CAMOBILE_2025M1!A:B,2,FALSE)</f>
        <v>0</v>
      </c>
      <c r="I79" s="55">
        <v>37964</v>
      </c>
      <c r="J79" s="65" t="str">
        <f>VLOOKUP(F79,'Formule TDB'!B:C,2,FALSE)</f>
        <v>-0*NM(706118,*,*,*,*,*,*,*,*)</v>
      </c>
      <c r="K79" s="65" t="s">
        <v>88</v>
      </c>
      <c r="L79" s="62">
        <f t="shared" si="4"/>
        <v>0</v>
      </c>
      <c r="M79" s="111"/>
    </row>
    <row r="80" spans="1:15">
      <c r="A80" s="27"/>
      <c r="B80" s="17" t="s">
        <v>319</v>
      </c>
      <c r="C80" s="3" t="s">
        <v>408</v>
      </c>
      <c r="D80" s="51">
        <f>VLOOKUP(C80,'Données MOOV 01-2025'!C:D,2,FALSE)</f>
        <v>0</v>
      </c>
      <c r="E80" s="13">
        <f t="shared" si="5"/>
        <v>0</v>
      </c>
      <c r="F80" s="52" t="s">
        <v>127</v>
      </c>
      <c r="G80" s="3" t="s">
        <v>408</v>
      </c>
      <c r="H80" s="55">
        <f>VLOOKUP(F80,PROD_CAMOBILE_2025M1!A:B,2,FALSE)</f>
        <v>0</v>
      </c>
      <c r="I80" s="55">
        <v>37964</v>
      </c>
      <c r="J80" s="65" t="str">
        <f>VLOOKUP(F80,'Formule TDB'!B:C,2,FALSE)</f>
        <v>-0*NM(706118,*,*,*,*,*,*,*,*)</v>
      </c>
      <c r="K80" s="65" t="s">
        <v>88</v>
      </c>
      <c r="L80" s="62">
        <f t="shared" si="4"/>
        <v>0</v>
      </c>
      <c r="M80" s="111"/>
    </row>
    <row r="81" spans="1:16">
      <c r="A81" s="20"/>
      <c r="B81" s="15" t="s">
        <v>321</v>
      </c>
      <c r="C81" s="3" t="s">
        <v>409</v>
      </c>
      <c r="D81" s="51">
        <f>VLOOKUP(C81,'Données MOOV 01-2025'!C:D,2,FALSE)</f>
        <v>22.126456999999998</v>
      </c>
      <c r="E81" s="13">
        <f t="shared" si="5"/>
        <v>22126457</v>
      </c>
      <c r="F81" s="52" t="s">
        <v>128</v>
      </c>
      <c r="G81" s="3" t="s">
        <v>409</v>
      </c>
      <c r="H81" s="55">
        <f>VLOOKUP(F81,PROD_CAMOBILE_2025M1!A:B,2,FALSE)</f>
        <v>22126457</v>
      </c>
      <c r="I81" s="55">
        <v>18527821</v>
      </c>
      <c r="J81" s="65" t="str">
        <f>VLOOKUP(F81,'Formule TDB'!B:C,2,FALSE)</f>
        <v>$CAMOBILE.#(L66:71)</v>
      </c>
      <c r="K81" s="65" t="s">
        <v>129</v>
      </c>
      <c r="L81" s="62">
        <f t="shared" si="4"/>
        <v>0</v>
      </c>
      <c r="M81" s="111"/>
    </row>
    <row r="82" spans="1:16">
      <c r="A82" s="28"/>
      <c r="B82" s="19" t="s">
        <v>324</v>
      </c>
      <c r="C82" s="3" t="s">
        <v>411</v>
      </c>
      <c r="D82" s="51">
        <f>VLOOKUP(C82,'Données MOOV 01-2025'!C:D,2,FALSE)</f>
        <v>43.765310999999997</v>
      </c>
      <c r="E82" s="13">
        <f t="shared" si="5"/>
        <v>43765311</v>
      </c>
      <c r="F82" s="52" t="s">
        <v>130</v>
      </c>
      <c r="G82" s="3" t="s">
        <v>411</v>
      </c>
      <c r="H82" s="55">
        <f>VLOOKUP(F82,PROD_CAMOBILE_2025M1!A:B,2,FALSE)</f>
        <v>43765311</v>
      </c>
      <c r="I82" s="55">
        <v>9392304</v>
      </c>
      <c r="J82" s="65">
        <f>VLOOKUP(F82,'Formule TDB'!B:C,2,FALSE)</f>
        <v>-706154</v>
      </c>
      <c r="K82" s="65">
        <v>-706154</v>
      </c>
      <c r="L82" s="62">
        <f t="shared" si="4"/>
        <v>0</v>
      </c>
      <c r="M82" s="111"/>
    </row>
    <row r="83" spans="1:16">
      <c r="A83" s="27"/>
      <c r="B83" s="17" t="s">
        <v>384</v>
      </c>
      <c r="C83" s="3" t="s">
        <v>412</v>
      </c>
      <c r="D83" s="51">
        <f>VLOOKUP(C83,'Données MOOV 01-2025'!C:D,2,FALSE)</f>
        <v>0</v>
      </c>
      <c r="E83" s="13">
        <f t="shared" si="5"/>
        <v>0</v>
      </c>
      <c r="F83" s="52" t="s">
        <v>131</v>
      </c>
      <c r="G83" s="3" t="s">
        <v>412</v>
      </c>
      <c r="H83" s="55">
        <f>VLOOKUP(F83,PROD_CAMOBILE_2025M1!A:B,2,FALSE)</f>
        <v>0</v>
      </c>
      <c r="I83" s="55">
        <v>0</v>
      </c>
      <c r="J83" s="65">
        <f>VLOOKUP(F83,'Formule TDB'!B:C,2,FALSE)</f>
        <v>0</v>
      </c>
      <c r="K83" s="65">
        <v>0</v>
      </c>
      <c r="L83" s="62">
        <f t="shared" si="4"/>
        <v>0</v>
      </c>
      <c r="M83" s="111"/>
    </row>
    <row r="84" spans="1:16">
      <c r="A84" s="27"/>
      <c r="B84" s="17" t="s">
        <v>386</v>
      </c>
      <c r="C84" s="3" t="s">
        <v>413</v>
      </c>
      <c r="D84" s="51">
        <f>VLOOKUP(C84,'Données MOOV 01-2025'!C:D,2,FALSE)</f>
        <v>1.662363</v>
      </c>
      <c r="E84" s="13">
        <f t="shared" si="5"/>
        <v>1662363</v>
      </c>
      <c r="F84" s="52" t="s">
        <v>132</v>
      </c>
      <c r="G84" s="3" t="s">
        <v>413</v>
      </c>
      <c r="H84" s="55">
        <f>VLOOKUP(F84,PROD_CAMOBILE_2025M1!A:B,2,FALSE)</f>
        <v>1662363</v>
      </c>
      <c r="I84" s="55">
        <v>809793</v>
      </c>
      <c r="J84" s="65" t="str">
        <f>VLOOKUP(F84,'Formule TDB'!B:C,2,FALSE)</f>
        <v>-NM(706115,*,A27,*,*,*,*,*,*) -NM(706115,*,A29,*,*,*,*,*,*) -NM(706115,*,A28,*,*,*,*,*,*,*)</v>
      </c>
      <c r="K84" s="65" t="s">
        <v>133</v>
      </c>
      <c r="L84" s="62">
        <f t="shared" si="4"/>
        <v>0</v>
      </c>
      <c r="M84" s="111"/>
    </row>
    <row r="85" spans="1:16">
      <c r="A85" s="27"/>
      <c r="B85" s="17" t="s">
        <v>388</v>
      </c>
      <c r="C85" s="3" t="s">
        <v>414</v>
      </c>
      <c r="D85" s="51">
        <f>VLOOKUP(C85,'Données MOOV 01-2025'!C:D,2,FALSE)</f>
        <v>0</v>
      </c>
      <c r="E85" s="13">
        <f t="shared" si="5"/>
        <v>0</v>
      </c>
      <c r="F85" s="52" t="s">
        <v>134</v>
      </c>
      <c r="G85" s="3" t="s">
        <v>414</v>
      </c>
      <c r="H85" s="55">
        <f>VLOOKUP(F85,PROD_CAMOBILE_2025M1!A:B,2,FALSE)</f>
        <v>0</v>
      </c>
      <c r="I85" s="55">
        <v>0</v>
      </c>
      <c r="J85" s="65">
        <f>VLOOKUP(F85,'Formule TDB'!B:C,2,FALSE)</f>
        <v>0</v>
      </c>
      <c r="K85" s="65">
        <v>0</v>
      </c>
      <c r="L85" s="62">
        <f t="shared" si="4"/>
        <v>0</v>
      </c>
      <c r="M85" s="111"/>
    </row>
    <row r="86" spans="1:16">
      <c r="A86" s="20"/>
      <c r="B86" s="15" t="s">
        <v>341</v>
      </c>
      <c r="C86" s="3" t="s">
        <v>415</v>
      </c>
      <c r="D86" s="51">
        <f>VLOOKUP(C86,'Données MOOV 01-2025'!C:D,2,FALSE)</f>
        <v>1.662363</v>
      </c>
      <c r="E86" s="13">
        <f t="shared" si="5"/>
        <v>1662363</v>
      </c>
      <c r="F86" s="52" t="s">
        <v>135</v>
      </c>
      <c r="G86" s="3" t="s">
        <v>415</v>
      </c>
      <c r="H86" s="55">
        <f>VLOOKUP(F86,PROD_CAMOBILE_2025M1!A:B,2,FALSE)</f>
        <v>1662363</v>
      </c>
      <c r="I86" s="55">
        <v>809793</v>
      </c>
      <c r="J86" s="65" t="str">
        <f>VLOOKUP(F86,'Formule TDB'!B:C,2,FALSE)</f>
        <v>$CAMOBILE.#(L74:76)</v>
      </c>
      <c r="K86" s="65" t="s">
        <v>136</v>
      </c>
      <c r="L86" s="62">
        <f t="shared" si="4"/>
        <v>0</v>
      </c>
      <c r="M86" s="111"/>
    </row>
    <row r="87" spans="1:16">
      <c r="A87" s="125" t="s">
        <v>360</v>
      </c>
      <c r="B87" s="126"/>
      <c r="C87" s="3" t="s">
        <v>417</v>
      </c>
      <c r="D87" s="51">
        <f>VLOOKUP(C87,'Données MOOV 01-2025'!C:D,2,FALSE)</f>
        <v>36.867669000000006</v>
      </c>
      <c r="E87" s="13">
        <f t="shared" si="5"/>
        <v>36867669.000000007</v>
      </c>
      <c r="F87" s="52" t="s">
        <v>189</v>
      </c>
      <c r="G87" s="3" t="s">
        <v>417</v>
      </c>
      <c r="H87" s="55">
        <f>VLOOKUP(F87,PROD_CAMOBILE_2025M1!A:B,2,FALSE)</f>
        <v>36867669</v>
      </c>
      <c r="I87" s="55">
        <v>456338351</v>
      </c>
      <c r="J87" s="65" t="str">
        <f>VLOOKUP(F87,'Formule TDB'!B:C,2,FALSE)</f>
        <v>R(L87+L94+L104)</v>
      </c>
      <c r="K87" s="65" t="s">
        <v>190</v>
      </c>
      <c r="L87" s="62">
        <f t="shared" si="4"/>
        <v>0</v>
      </c>
      <c r="M87" s="111"/>
    </row>
    <row r="88" spans="1:16">
      <c r="A88" s="16"/>
      <c r="B88" s="17" t="s">
        <v>290</v>
      </c>
      <c r="C88" s="3" t="s">
        <v>418</v>
      </c>
      <c r="D88" s="51">
        <f>VLOOKUP(C88,'Données MOOV 01-2025'!C:D,2,FALSE)</f>
        <v>8.2984465593219099</v>
      </c>
      <c r="E88" s="13">
        <f t="shared" si="5"/>
        <v>8298446.5593219101</v>
      </c>
      <c r="F88" s="52" t="s">
        <v>139</v>
      </c>
      <c r="G88" s="3" t="s">
        <v>418</v>
      </c>
      <c r="H88" s="55">
        <f>VLOOKUP(F88,PROD_CAMOBILE_2025M1!A:B,2,FALSE)</f>
        <v>-49158729</v>
      </c>
      <c r="I88" s="55">
        <v>-29543050</v>
      </c>
      <c r="J88" s="67" t="str">
        <f>VLOOKUP(F88,'Formule TDB'!B:C,2,FALSE)</f>
        <v>-NM(706120,*,A99,*,*,*,*,*,*,*) -NM(706920,*,A17,*,*,*,*,*,*)</v>
      </c>
      <c r="K88" s="73" t="s">
        <v>140</v>
      </c>
      <c r="L88" s="77">
        <f t="shared" si="4"/>
        <v>57457175.55932191</v>
      </c>
      <c r="M88" s="117" t="s">
        <v>546</v>
      </c>
      <c r="N88" s="106" t="s">
        <v>547</v>
      </c>
      <c r="O88" t="s">
        <v>548</v>
      </c>
      <c r="P88" s="102">
        <f>SUM('CA Business'!D6:D11)</f>
        <v>57457175.55932191</v>
      </c>
    </row>
    <row r="89" spans="1:16">
      <c r="A89" s="16"/>
      <c r="B89" s="17" t="s">
        <v>292</v>
      </c>
      <c r="C89" s="3" t="s">
        <v>419</v>
      </c>
      <c r="D89" s="51">
        <f>VLOOKUP(C89,'Données MOOV 01-2025'!C:D,2,FALSE)</f>
        <v>10.548946830508598</v>
      </c>
      <c r="E89" s="13">
        <f t="shared" si="5"/>
        <v>10548946.830508597</v>
      </c>
      <c r="F89" s="52" t="s">
        <v>141</v>
      </c>
      <c r="G89" s="3" t="s">
        <v>419</v>
      </c>
      <c r="H89" s="55">
        <f>VLOOKUP(F89,PROD_CAMOBILE_2025M1!A:B,2,FALSE)</f>
        <v>66434200</v>
      </c>
      <c r="I89" s="55">
        <v>64041147</v>
      </c>
      <c r="J89" s="67" t="str">
        <f>VLOOKUP(F89,'Formule TDB'!B:C,2,FALSE)</f>
        <v>-NM(706121,*,A43,*,*,*,*,*,*)</v>
      </c>
      <c r="K89" s="73" t="s">
        <v>142</v>
      </c>
      <c r="L89" s="77">
        <f t="shared" si="4"/>
        <v>-55885253.169491403</v>
      </c>
      <c r="M89" s="113" t="s">
        <v>549</v>
      </c>
      <c r="O89" t="s">
        <v>550</v>
      </c>
      <c r="P89" s="102">
        <f>'CA Business'!D6</f>
        <v>55885253.169491403</v>
      </c>
    </row>
    <row r="90" spans="1:16">
      <c r="A90" s="16"/>
      <c r="B90" s="17" t="s">
        <v>294</v>
      </c>
      <c r="C90" s="3" t="s">
        <v>420</v>
      </c>
      <c r="D90" s="51">
        <f>VLOOKUP(C90,'Données MOOV 01-2025'!C:D,2,FALSE)</f>
        <v>0</v>
      </c>
      <c r="E90" s="13">
        <f t="shared" si="5"/>
        <v>0</v>
      </c>
      <c r="F90" s="52" t="s">
        <v>143</v>
      </c>
      <c r="G90" s="3" t="s">
        <v>420</v>
      </c>
      <c r="H90" s="55">
        <f>VLOOKUP(F90,PROD_CAMOBILE_2025M1!A:B,2,FALSE)</f>
        <v>0</v>
      </c>
      <c r="I90" s="55">
        <v>0</v>
      </c>
      <c r="J90" s="65">
        <f>VLOOKUP(F90,'Formule TDB'!B:C,2,FALSE)</f>
        <v>0</v>
      </c>
      <c r="K90" s="65">
        <v>0</v>
      </c>
      <c r="L90" s="62">
        <f t="shared" si="4"/>
        <v>0</v>
      </c>
      <c r="M90" s="111"/>
      <c r="P90" s="102"/>
    </row>
    <row r="91" spans="1:16">
      <c r="A91" s="16"/>
      <c r="B91" s="17" t="s">
        <v>296</v>
      </c>
      <c r="C91" s="3" t="s">
        <v>421</v>
      </c>
      <c r="D91" s="51">
        <f>VLOOKUP(C91,'Données MOOV 01-2025'!C:D,2,FALSE)</f>
        <v>0</v>
      </c>
      <c r="E91" s="13">
        <f t="shared" si="5"/>
        <v>0</v>
      </c>
      <c r="F91" s="52" t="s">
        <v>144</v>
      </c>
      <c r="G91" s="3" t="s">
        <v>421</v>
      </c>
      <c r="H91" s="55">
        <f>VLOOKUP(F91,PROD_CAMOBILE_2025M1!A:B,2,FALSE)</f>
        <v>0</v>
      </c>
      <c r="I91" s="55">
        <v>0</v>
      </c>
      <c r="J91" s="65">
        <f>VLOOKUP(F91,'Formule TDB'!B:C,2,FALSE)</f>
        <v>0</v>
      </c>
      <c r="K91" s="65">
        <v>0</v>
      </c>
      <c r="L91" s="62">
        <f t="shared" si="4"/>
        <v>0</v>
      </c>
      <c r="M91" s="111"/>
      <c r="P91" s="102"/>
    </row>
    <row r="92" spans="1:16">
      <c r="A92" s="16"/>
      <c r="B92" s="17" t="s">
        <v>298</v>
      </c>
      <c r="C92" s="3" t="s">
        <v>422</v>
      </c>
      <c r="D92" s="51">
        <f>VLOOKUP(C92,'Données MOOV 01-2025'!C:D,2,FALSE)</f>
        <v>0</v>
      </c>
      <c r="E92" s="13">
        <f t="shared" si="5"/>
        <v>0</v>
      </c>
      <c r="F92" s="52" t="s">
        <v>145</v>
      </c>
      <c r="G92" s="3" t="s">
        <v>422</v>
      </c>
      <c r="H92" s="55">
        <f>VLOOKUP(F92,PROD_CAMOBILE_2025M1!A:B,2,FALSE)</f>
        <v>0</v>
      </c>
      <c r="I92" s="55">
        <v>0</v>
      </c>
      <c r="J92" s="65">
        <f>VLOOKUP(F92,'Formule TDB'!B:C,2,FALSE)</f>
        <v>0</v>
      </c>
      <c r="K92" s="65">
        <v>0</v>
      </c>
      <c r="L92" s="62">
        <f t="shared" si="4"/>
        <v>0</v>
      </c>
      <c r="M92" s="111"/>
      <c r="P92" s="102"/>
    </row>
    <row r="93" spans="1:16">
      <c r="A93" s="16"/>
      <c r="B93" s="17" t="s">
        <v>300</v>
      </c>
      <c r="C93" s="3" t="s">
        <v>423</v>
      </c>
      <c r="D93" s="51">
        <f>VLOOKUP(C93,'Données MOOV 01-2025'!C:D,2,FALSE)</f>
        <v>2.3791871694915252</v>
      </c>
      <c r="E93" s="13">
        <f t="shared" si="5"/>
        <v>2379187.1694915253</v>
      </c>
      <c r="F93" s="52" t="s">
        <v>146</v>
      </c>
      <c r="G93" s="3" t="s">
        <v>423</v>
      </c>
      <c r="H93" s="55">
        <f>VLOOKUP(F93,PROD_CAMOBILE_2025M1!A:B,2,FALSE)</f>
        <v>2476508</v>
      </c>
      <c r="I93" s="55">
        <v>548142</v>
      </c>
      <c r="J93" s="72" t="str">
        <f>VLOOKUP(F93,'Formule TDB'!B:C,2,FALSE)</f>
        <v>-NM(706123,*,A99,*,*,*,*,*,*)</v>
      </c>
      <c r="K93" s="73" t="s">
        <v>147</v>
      </c>
      <c r="L93" s="77">
        <f t="shared" si="4"/>
        <v>-97320.830508474726</v>
      </c>
      <c r="M93" s="113" t="s">
        <v>551</v>
      </c>
      <c r="O93" t="s">
        <v>552</v>
      </c>
      <c r="P93" s="102">
        <f>'CA Business'!D10</f>
        <v>97320.830508474595</v>
      </c>
    </row>
    <row r="94" spans="1:16">
      <c r="A94" s="16"/>
      <c r="B94" s="17" t="s">
        <v>302</v>
      </c>
      <c r="C94" s="3" t="s">
        <v>424</v>
      </c>
      <c r="D94" s="51">
        <f>VLOOKUP(C94,'Données MOOV 01-2025'!C:D,2,FALSE)</f>
        <v>1.5992774406779697</v>
      </c>
      <c r="E94" s="13">
        <f t="shared" si="5"/>
        <v>1599277.4406779697</v>
      </c>
      <c r="F94" s="52" t="s">
        <v>148</v>
      </c>
      <c r="G94" s="3" t="s">
        <v>424</v>
      </c>
      <c r="H94" s="55">
        <f>VLOOKUP(F94,PROD_CAMOBILE_2025M1!A:B,2,FALSE)</f>
        <v>3073879</v>
      </c>
      <c r="I94" s="55">
        <v>3700075</v>
      </c>
      <c r="J94" s="67" t="str">
        <f>VLOOKUP(F94,'Formule TDB'!B:C,2,FALSE)</f>
        <v>-NM(706124,*,A99,*,*,*,*,*,*)</v>
      </c>
      <c r="K94" s="73" t="s">
        <v>149</v>
      </c>
      <c r="L94" s="77">
        <f t="shared" si="4"/>
        <v>-1474601.5593220303</v>
      </c>
      <c r="M94" s="113" t="s">
        <v>553</v>
      </c>
      <c r="O94" t="s">
        <v>554</v>
      </c>
      <c r="P94" s="102">
        <f>'CA Business'!D11</f>
        <v>1474601.5593220301</v>
      </c>
    </row>
    <row r="95" spans="1:16">
      <c r="A95" s="16"/>
      <c r="B95" s="17" t="s">
        <v>304</v>
      </c>
      <c r="C95" s="3" t="s">
        <v>425</v>
      </c>
      <c r="D95" s="51">
        <f>VLOOKUP(C95,'Données MOOV 01-2025'!C:D,2,FALSE)</f>
        <v>0.51502099999999995</v>
      </c>
      <c r="E95" s="13">
        <f t="shared" si="5"/>
        <v>515020.99999999994</v>
      </c>
      <c r="F95" s="52" t="s">
        <v>150</v>
      </c>
      <c r="G95" s="3" t="s">
        <v>425</v>
      </c>
      <c r="H95" s="55">
        <f>VLOOKUP(F95,PROD_CAMOBILE_2025M1!A:B,2,FALSE)</f>
        <v>515021</v>
      </c>
      <c r="I95" s="55">
        <v>767775</v>
      </c>
      <c r="J95" s="65" t="str">
        <f>VLOOKUP(F95,'Formule TDB'!B:C,2,FALSE)</f>
        <v>-NM(706140,*,A99,*,*,*,*,*,*)</v>
      </c>
      <c r="K95" s="65" t="s">
        <v>151</v>
      </c>
      <c r="L95" s="62">
        <f t="shared" si="4"/>
        <v>0</v>
      </c>
      <c r="M95" s="111"/>
    </row>
    <row r="96" spans="1:16">
      <c r="A96" s="14"/>
      <c r="B96" s="15" t="s">
        <v>306</v>
      </c>
      <c r="C96" s="3" t="s">
        <v>426</v>
      </c>
      <c r="D96" s="51">
        <f>VLOOKUP(C96,'Données MOOV 01-2025'!C:D,2,FALSE)</f>
        <v>23.340879000000005</v>
      </c>
      <c r="E96" s="13">
        <f t="shared" si="5"/>
        <v>23340879.000000004</v>
      </c>
      <c r="F96" s="52" t="s">
        <v>152</v>
      </c>
      <c r="G96" s="3" t="s">
        <v>426</v>
      </c>
      <c r="H96" s="55">
        <f>VLOOKUP(F96,PROD_CAMOBILE_2025M1!A:B,2,FALSE)</f>
        <v>23340879</v>
      </c>
      <c r="I96" s="55">
        <v>39514089</v>
      </c>
      <c r="J96" s="65" t="str">
        <f>VLOOKUP(F96,'Formule TDB'!B:C,2,FALSE)</f>
        <v>$CAMOBILE.#(L79:86)</v>
      </c>
      <c r="K96" s="65" t="s">
        <v>153</v>
      </c>
      <c r="L96" s="62">
        <f t="shared" si="4"/>
        <v>0</v>
      </c>
      <c r="M96" s="111"/>
    </row>
    <row r="97" spans="1:13">
      <c r="A97" s="27"/>
      <c r="B97" s="17" t="s">
        <v>309</v>
      </c>
      <c r="C97" s="3" t="s">
        <v>428</v>
      </c>
      <c r="D97" s="51">
        <f>VLOOKUP(C97,'Données MOOV 01-2025'!C:D,2,FALSE)</f>
        <v>-0.16949700000000001</v>
      </c>
      <c r="E97" s="13">
        <f t="shared" si="5"/>
        <v>-169497</v>
      </c>
      <c r="F97" s="52" t="s">
        <v>154</v>
      </c>
      <c r="G97" s="3" t="s">
        <v>428</v>
      </c>
      <c r="H97" s="55">
        <f>VLOOKUP(F97,PROD_CAMOBILE_2025M1!A:B,2,FALSE)</f>
        <v>-169497</v>
      </c>
      <c r="I97" s="55">
        <v>-127571</v>
      </c>
      <c r="J97" s="65" t="str">
        <f>VLOOKUP(F97,'Formule TDB'!B:C,2,FALSE)</f>
        <v>-NM(706117,*,T16,*,*,*,*,*,*,*) -NM(706920,*,A22,*,*,*,*,*,*,*)</v>
      </c>
      <c r="K97" s="65" t="s">
        <v>155</v>
      </c>
      <c r="L97" s="62">
        <f t="shared" si="4"/>
        <v>0</v>
      </c>
      <c r="M97" s="111"/>
    </row>
    <row r="98" spans="1:13">
      <c r="A98" s="27"/>
      <c r="B98" s="17" t="s">
        <v>311</v>
      </c>
      <c r="C98" s="3" t="s">
        <v>429</v>
      </c>
      <c r="D98" s="51">
        <f>VLOOKUP(C98,'Données MOOV 01-2025'!C:D,2,FALSE)</f>
        <v>0.132518</v>
      </c>
      <c r="E98" s="13">
        <f t="shared" si="5"/>
        <v>132518</v>
      </c>
      <c r="F98" s="52" t="s">
        <v>156</v>
      </c>
      <c r="G98" s="3" t="s">
        <v>429</v>
      </c>
      <c r="H98" s="55">
        <f>VLOOKUP(F98,PROD_CAMOBILE_2025M1!A:B,2,FALSE)</f>
        <v>132518</v>
      </c>
      <c r="I98" s="55">
        <v>152766</v>
      </c>
      <c r="J98" s="65" t="str">
        <f>VLOOKUP(F98,'Formule TDB'!B:C,2,FALSE)</f>
        <v>-NM(706117,*,A43,*,*,*,*,*,*)</v>
      </c>
      <c r="K98" s="65" t="s">
        <v>157</v>
      </c>
      <c r="L98" s="62">
        <f t="shared" si="4"/>
        <v>0</v>
      </c>
      <c r="M98" s="111"/>
    </row>
    <row r="99" spans="1:13">
      <c r="A99" s="27"/>
      <c r="B99" s="17" t="s">
        <v>313</v>
      </c>
      <c r="C99" s="3" t="s">
        <v>430</v>
      </c>
      <c r="D99" s="51">
        <f>VLOOKUP(C99,'Données MOOV 01-2025'!C:D,2,FALSE)</f>
        <v>0</v>
      </c>
      <c r="E99" s="13">
        <f t="shared" si="5"/>
        <v>0</v>
      </c>
      <c r="F99" s="52" t="s">
        <v>158</v>
      </c>
      <c r="G99" s="3" t="s">
        <v>430</v>
      </c>
      <c r="H99" s="55">
        <f>VLOOKUP(F99,PROD_CAMOBILE_2025M1!A:B,2,FALSE)</f>
        <v>0</v>
      </c>
      <c r="I99" s="55">
        <v>0</v>
      </c>
      <c r="J99" s="65" t="str">
        <f>VLOOKUP(F99,'Formule TDB'!B:C,2,FALSE)</f>
        <v>-NM(706117,*,A45,*,*,*,*,*,*)</v>
      </c>
      <c r="K99" s="65" t="s">
        <v>159</v>
      </c>
      <c r="L99" s="62">
        <f t="shared" si="4"/>
        <v>0</v>
      </c>
      <c r="M99" s="111"/>
    </row>
    <row r="100" spans="1:13">
      <c r="A100" s="27"/>
      <c r="B100" s="17" t="s">
        <v>315</v>
      </c>
      <c r="C100" s="3" t="s">
        <v>431</v>
      </c>
      <c r="D100" s="51">
        <f>VLOOKUP(C100,'Données MOOV 01-2025'!C:D,2,FALSE)</f>
        <v>4.5000000000000003E-5</v>
      </c>
      <c r="E100" s="13">
        <f t="shared" si="5"/>
        <v>45</v>
      </c>
      <c r="F100" s="52" t="s">
        <v>160</v>
      </c>
      <c r="G100" s="3" t="s">
        <v>431</v>
      </c>
      <c r="H100" s="55">
        <f>VLOOKUP(F100,PROD_CAMOBILE_2025M1!A:B,2,FALSE)</f>
        <v>45</v>
      </c>
      <c r="I100" s="55">
        <v>13</v>
      </c>
      <c r="J100" s="65" t="str">
        <f>VLOOKUP(F100,'Formule TDB'!B:C,2,FALSE)</f>
        <v>-NM(706117,*,A44,*,*,*,*,*,*)</v>
      </c>
      <c r="K100" s="65" t="s">
        <v>161</v>
      </c>
      <c r="L100" s="62">
        <f t="shared" si="4"/>
        <v>0</v>
      </c>
      <c r="M100" s="111"/>
    </row>
    <row r="101" spans="1:13">
      <c r="A101" s="27"/>
      <c r="B101" s="17" t="s">
        <v>317</v>
      </c>
      <c r="C101" s="3" t="s">
        <v>432</v>
      </c>
      <c r="D101" s="51">
        <f>VLOOKUP(C101,'Données MOOV 01-2025'!C:D,2,FALSE)</f>
        <v>2.6471000000000001E-2</v>
      </c>
      <c r="E101" s="13">
        <f t="shared" si="5"/>
        <v>26471</v>
      </c>
      <c r="F101" s="52" t="s">
        <v>162</v>
      </c>
      <c r="G101" s="3" t="s">
        <v>432</v>
      </c>
      <c r="H101" s="55">
        <f>VLOOKUP(F101,PROD_CAMOBILE_2025M1!A:B,2,FALSE)</f>
        <v>26471</v>
      </c>
      <c r="I101" s="55">
        <v>31857</v>
      </c>
      <c r="J101" s="65" t="str">
        <f>VLOOKUP(F101,'Formule TDB'!B:C,2,FALSE)</f>
        <v>-NM(706117,*,A42,*,*,*,*,*,*)</v>
      </c>
      <c r="K101" s="65" t="s">
        <v>163</v>
      </c>
      <c r="L101" s="62">
        <f t="shared" si="4"/>
        <v>0</v>
      </c>
      <c r="M101" s="111"/>
    </row>
    <row r="102" spans="1:13">
      <c r="A102" s="27"/>
      <c r="B102" s="17" t="s">
        <v>319</v>
      </c>
      <c r="C102" s="3" t="s">
        <v>433</v>
      </c>
      <c r="D102" s="51">
        <f>VLOOKUP(C102,'Données MOOV 01-2025'!C:D,2,FALSE)</f>
        <v>0.10589</v>
      </c>
      <c r="E102" s="13">
        <f t="shared" si="5"/>
        <v>105890</v>
      </c>
      <c r="F102" s="52" t="s">
        <v>164</v>
      </c>
      <c r="G102" s="3" t="s">
        <v>433</v>
      </c>
      <c r="H102" s="55">
        <f>VLOOKUP(F102,PROD_CAMOBILE_2025M1!A:B,2,FALSE)</f>
        <v>105890</v>
      </c>
      <c r="I102" s="55">
        <v>111347</v>
      </c>
      <c r="J102" s="65" t="str">
        <f>VLOOKUP(F102,'Formule TDB'!B:C,2,FALSE)</f>
        <v>-NM(706117,*,T18,*,*,*,*,*,*)</v>
      </c>
      <c r="K102" s="65" t="s">
        <v>165</v>
      </c>
      <c r="L102" s="62">
        <f t="shared" si="4"/>
        <v>0</v>
      </c>
      <c r="M102" s="111"/>
    </row>
    <row r="103" spans="1:13">
      <c r="A103" s="20"/>
      <c r="B103" s="15" t="s">
        <v>321</v>
      </c>
      <c r="C103" s="3" t="s">
        <v>434</v>
      </c>
      <c r="D103" s="51">
        <f>VLOOKUP(C103,'Données MOOV 01-2025'!C:D,2,FALSE)</f>
        <v>9.5426999999999984E-2</v>
      </c>
      <c r="E103" s="13">
        <f t="shared" si="5"/>
        <v>95426.999999999985</v>
      </c>
      <c r="F103" s="52" t="s">
        <v>166</v>
      </c>
      <c r="G103" s="3" t="s">
        <v>434</v>
      </c>
      <c r="H103" s="55">
        <f>VLOOKUP(F103,PROD_CAMOBILE_2025M1!A:B,2,FALSE)</f>
        <v>95427</v>
      </c>
      <c r="I103" s="55">
        <v>168412</v>
      </c>
      <c r="J103" s="65" t="str">
        <f>VLOOKUP(F103,'Formule TDB'!B:C,2,FALSE)</f>
        <v>$CAMOBILE.#(L88:93)</v>
      </c>
      <c r="K103" s="65" t="s">
        <v>167</v>
      </c>
      <c r="L103" s="62">
        <f t="shared" si="4"/>
        <v>0</v>
      </c>
      <c r="M103" s="111"/>
    </row>
    <row r="104" spans="1:13">
      <c r="A104" s="28"/>
      <c r="B104" s="19" t="s">
        <v>324</v>
      </c>
      <c r="C104" s="3" t="s">
        <v>436</v>
      </c>
      <c r="D104" s="51">
        <f>VLOOKUP(C104,'Données MOOV 01-2025'!C:D,2,FALSE)</f>
        <v>98.567352999999997</v>
      </c>
      <c r="E104" s="13">
        <f t="shared" si="5"/>
        <v>98567353</v>
      </c>
      <c r="F104" s="52" t="s">
        <v>168</v>
      </c>
      <c r="G104" s="3" t="s">
        <v>436</v>
      </c>
      <c r="H104" s="55">
        <f>VLOOKUP(F104,PROD_CAMOBILE_2025M1!A:B,2,FALSE)</f>
        <v>98567353</v>
      </c>
      <c r="I104" s="55">
        <v>101751932</v>
      </c>
      <c r="J104" s="65" t="str">
        <f>VLOOKUP(F104,'Formule TDB'!B:C,2,FALSE)</f>
        <v>-NM(706153,*,A99,*,*,*,*,*,*) -NM(706920,*,A25,*,*,*,*,*,*)</v>
      </c>
      <c r="K104" s="65" t="s">
        <v>169</v>
      </c>
      <c r="L104" s="62">
        <f t="shared" si="4"/>
        <v>0</v>
      </c>
      <c r="M104" s="111"/>
    </row>
    <row r="105" spans="1:13">
      <c r="A105" s="27"/>
      <c r="B105" s="17" t="s">
        <v>384</v>
      </c>
      <c r="C105" s="3" t="s">
        <v>437</v>
      </c>
      <c r="D105" s="51">
        <f>VLOOKUP(C105,'Données MOOV 01-2025'!C:D,2,FALSE)</f>
        <v>0</v>
      </c>
      <c r="E105" s="13">
        <f t="shared" si="5"/>
        <v>0</v>
      </c>
      <c r="F105" s="52" t="s">
        <v>170</v>
      </c>
      <c r="G105" s="3" t="s">
        <v>437</v>
      </c>
      <c r="H105" s="55">
        <f>VLOOKUP(F105,PROD_CAMOBILE_2025M1!A:B,2,FALSE)</f>
        <v>0</v>
      </c>
      <c r="I105" s="55">
        <v>0</v>
      </c>
      <c r="J105" s="65" t="str">
        <f>VLOOKUP(F105,'Formule TDB'!B:C,2,FALSE)</f>
        <v>-NM(706115,*,W99,*,*,*,*,*,*)</v>
      </c>
      <c r="K105" s="65" t="s">
        <v>171</v>
      </c>
      <c r="L105" s="62">
        <f t="shared" si="4"/>
        <v>0</v>
      </c>
      <c r="M105" s="111"/>
    </row>
    <row r="106" spans="1:13">
      <c r="A106" s="27"/>
      <c r="B106" s="17" t="s">
        <v>386</v>
      </c>
      <c r="C106" s="3" t="s">
        <v>438</v>
      </c>
      <c r="D106" s="51">
        <f>VLOOKUP(C106,'Données MOOV 01-2025'!C:D,2,FALSE)</f>
        <v>1.519495</v>
      </c>
      <c r="E106" s="13">
        <f t="shared" si="5"/>
        <v>1519495</v>
      </c>
      <c r="F106" s="52" t="s">
        <v>172</v>
      </c>
      <c r="G106" s="3" t="s">
        <v>438</v>
      </c>
      <c r="H106" s="55">
        <f>VLOOKUP(F106,PROD_CAMOBILE_2025M1!A:B,2,FALSE)</f>
        <v>1519495</v>
      </c>
      <c r="I106" s="55">
        <v>1186444</v>
      </c>
      <c r="J106" s="65" t="str">
        <f>VLOOKUP(F106,'Formule TDB'!B:C,2,FALSE)</f>
        <v>-NM(706115,*,V99,*,*,*,*,*,*) -NM(706115,*,S99,*,*,*,*,*,*)</v>
      </c>
      <c r="K106" s="65" t="s">
        <v>173</v>
      </c>
      <c r="L106" s="62">
        <f t="shared" si="4"/>
        <v>0</v>
      </c>
      <c r="M106" s="111"/>
    </row>
    <row r="107" spans="1:13" s="42" customFormat="1" ht="26.1">
      <c r="A107" s="38"/>
      <c r="B107" s="39" t="s">
        <v>439</v>
      </c>
      <c r="C107" s="40" t="s">
        <v>440</v>
      </c>
      <c r="D107" s="51">
        <f>VLOOKUP(C107,'Données MOOV 01-2025'!C:D,2,FALSE)</f>
        <v>11.905025</v>
      </c>
      <c r="E107" s="41">
        <f t="shared" si="5"/>
        <v>11905025</v>
      </c>
      <c r="F107" s="57" t="s">
        <v>174</v>
      </c>
      <c r="G107" s="40" t="s">
        <v>440</v>
      </c>
      <c r="H107" s="55">
        <f>VLOOKUP(F107,PROD_CAMOBILE_2025M1!A:B,2,FALSE)</f>
        <v>11905025</v>
      </c>
      <c r="I107" s="58">
        <v>12280551</v>
      </c>
      <c r="J107" s="65" t="str">
        <f>VLOOKUP(F107,'Formule TDB'!B:C,2,FALSE)</f>
        <v>-NM(706151,*,A47,*,*,*,*,*,*) -NM(706151,*,S99,*,*,*,*,*,*) -NM(706151,*,SCH,*,*,*,*,*,*)</v>
      </c>
      <c r="K107" s="65" t="s">
        <v>175</v>
      </c>
      <c r="L107" s="62">
        <f t="shared" si="4"/>
        <v>0</v>
      </c>
      <c r="M107" s="111"/>
    </row>
    <row r="108" spans="1:13" s="42" customFormat="1" ht="39">
      <c r="A108" s="38"/>
      <c r="B108" s="39" t="s">
        <v>441</v>
      </c>
      <c r="C108" s="40" t="s">
        <v>442</v>
      </c>
      <c r="D108" s="51">
        <f>VLOOKUP(C108,'Données MOOV 01-2025'!C:D,2,FALSE)</f>
        <v>0</v>
      </c>
      <c r="E108" s="41">
        <f t="shared" si="5"/>
        <v>0</v>
      </c>
      <c r="F108" s="57" t="s">
        <v>176</v>
      </c>
      <c r="G108" s="40" t="s">
        <v>442</v>
      </c>
      <c r="H108" s="55">
        <f>VLOOKUP(F108,PROD_CAMOBILE_2025M1!A:B,2,FALSE)</f>
        <v>0</v>
      </c>
      <c r="I108" s="58">
        <v>0</v>
      </c>
      <c r="J108" s="65">
        <f>VLOOKUP(F108,'Formule TDB'!B:C,2,FALSE)</f>
        <v>0</v>
      </c>
      <c r="K108" s="65">
        <v>0</v>
      </c>
      <c r="L108" s="62">
        <f t="shared" si="4"/>
        <v>0</v>
      </c>
      <c r="M108" s="111"/>
    </row>
    <row r="109" spans="1:13">
      <c r="A109" s="27"/>
      <c r="B109" s="17" t="s">
        <v>327</v>
      </c>
      <c r="C109" s="3" t="s">
        <v>443</v>
      </c>
      <c r="D109" s="51">
        <f>VLOOKUP(C109,'Données MOOV 01-2025'!C:D,2,FALSE)</f>
        <v>6.8430000000000001E-3</v>
      </c>
      <c r="E109" s="13">
        <f t="shared" si="5"/>
        <v>6843</v>
      </c>
      <c r="F109" s="52" t="s">
        <v>177</v>
      </c>
      <c r="G109" s="3" t="s">
        <v>443</v>
      </c>
      <c r="H109" s="55">
        <f>VLOOKUP(F109,PROD_CAMOBILE_2025M1!A:B,2,FALSE)</f>
        <v>6843</v>
      </c>
      <c r="I109" s="55">
        <v>17331</v>
      </c>
      <c r="J109" s="65" t="str">
        <f>VLOOKUP(F109,'Formule TDB'!B:C,2,FALSE)</f>
        <v>-NM(706151,*,A99,*,*,*,*,*,*,*)</v>
      </c>
      <c r="K109" s="65" t="s">
        <v>178</v>
      </c>
      <c r="L109" s="62">
        <f t="shared" si="4"/>
        <v>0</v>
      </c>
      <c r="M109" s="111"/>
    </row>
    <row r="110" spans="1:13">
      <c r="A110" s="27"/>
      <c r="B110" s="17" t="s">
        <v>331</v>
      </c>
      <c r="C110" s="3" t="s">
        <v>444</v>
      </c>
      <c r="D110" s="51">
        <f>VLOOKUP(C110,'Données MOOV 01-2025'!C:D,2,FALSE)</f>
        <v>0</v>
      </c>
      <c r="E110" s="13">
        <f t="shared" si="5"/>
        <v>0</v>
      </c>
      <c r="F110" s="52" t="s">
        <v>179</v>
      </c>
      <c r="G110" s="3" t="s">
        <v>444</v>
      </c>
      <c r="H110" s="55">
        <f>VLOOKUP(F110,PROD_CAMOBILE_2025M1!A:B,2,FALSE)</f>
        <v>0</v>
      </c>
      <c r="I110" s="55">
        <v>134390508</v>
      </c>
      <c r="J110" s="65" t="str">
        <f>VLOOKUP(F110,'Formule TDB'!B:C,2,FALSE)</f>
        <v>-0*NM(706151,*,*,*,*,*,*,*,*)</v>
      </c>
      <c r="K110" s="65" t="s">
        <v>45</v>
      </c>
      <c r="L110" s="62">
        <f t="shared" si="4"/>
        <v>0</v>
      </c>
      <c r="M110" s="111"/>
    </row>
    <row r="111" spans="1:13">
      <c r="A111" s="27"/>
      <c r="B111" s="17" t="s">
        <v>333</v>
      </c>
      <c r="C111" s="3" t="s">
        <v>445</v>
      </c>
      <c r="D111" s="51">
        <f>VLOOKUP(C111,'Données MOOV 01-2025'!C:D,2,FALSE)</f>
        <v>0</v>
      </c>
      <c r="E111" s="13">
        <f t="shared" si="5"/>
        <v>0</v>
      </c>
      <c r="F111" s="52" t="s">
        <v>180</v>
      </c>
      <c r="G111" s="3" t="s">
        <v>445</v>
      </c>
      <c r="H111" s="55">
        <f>VLOOKUP(F111,PROD_CAMOBILE_2025M1!A:B,2,FALSE)</f>
        <v>0</v>
      </c>
      <c r="I111" s="55">
        <v>134390508</v>
      </c>
      <c r="J111" s="65" t="str">
        <f>VLOOKUP(F111,'Formule TDB'!B:C,2,FALSE)</f>
        <v>0*-NM(706151,*,*,*,*,*,*,*,*)</v>
      </c>
      <c r="K111" s="65" t="s">
        <v>181</v>
      </c>
      <c r="L111" s="62">
        <f t="shared" si="4"/>
        <v>0</v>
      </c>
      <c r="M111" s="111"/>
    </row>
    <row r="112" spans="1:13">
      <c r="A112" s="27"/>
      <c r="B112" s="17" t="s">
        <v>335</v>
      </c>
      <c r="C112" s="3" t="s">
        <v>446</v>
      </c>
      <c r="D112" s="51">
        <f>VLOOKUP(C112,'Données MOOV 01-2025'!C:D,2,FALSE)</f>
        <v>0</v>
      </c>
      <c r="E112" s="13">
        <f t="shared" si="5"/>
        <v>0</v>
      </c>
      <c r="F112" s="52" t="s">
        <v>182</v>
      </c>
      <c r="G112" s="3" t="s">
        <v>446</v>
      </c>
      <c r="H112" s="55">
        <f>VLOOKUP(F112,PROD_CAMOBILE_2025M1!A:B,2,FALSE)</f>
        <v>0</v>
      </c>
      <c r="I112" s="55">
        <v>134390508</v>
      </c>
      <c r="J112" s="65" t="str">
        <f>VLOOKUP(F112,'Formule TDB'!B:C,2,FALSE)</f>
        <v>0*-NM(706151,*,*,*,*,*,*,*,*)</v>
      </c>
      <c r="K112" s="65" t="s">
        <v>181</v>
      </c>
      <c r="L112" s="62">
        <f t="shared" si="4"/>
        <v>0</v>
      </c>
      <c r="M112" s="111"/>
    </row>
    <row r="113" spans="1:15">
      <c r="A113" s="20"/>
      <c r="B113" s="15" t="s">
        <v>341</v>
      </c>
      <c r="C113" s="3" t="s">
        <v>447</v>
      </c>
      <c r="D113" s="51">
        <f>VLOOKUP(C113,'Données MOOV 01-2025'!C:D,2,FALSE)</f>
        <v>13.431363000000001</v>
      </c>
      <c r="E113" s="13">
        <f t="shared" si="5"/>
        <v>13431363.000000002</v>
      </c>
      <c r="F113" s="52" t="s">
        <v>183</v>
      </c>
      <c r="G113" s="3" t="s">
        <v>447</v>
      </c>
      <c r="H113" s="55">
        <f>VLOOKUP(F113,PROD_CAMOBILE_2025M1!A:B,2,FALSE)</f>
        <v>13431363</v>
      </c>
      <c r="I113" s="55">
        <v>416655850</v>
      </c>
      <c r="J113" s="65" t="str">
        <f>VLOOKUP(F113,'Formule TDB'!B:C,2,FALSE)</f>
        <v>$CAMOBILE.#(L96:103)</v>
      </c>
      <c r="K113" s="65" t="s">
        <v>184</v>
      </c>
      <c r="L113" s="62">
        <f t="shared" si="4"/>
        <v>0</v>
      </c>
      <c r="M113" s="111"/>
    </row>
    <row r="114" spans="1:15">
      <c r="A114" s="22"/>
      <c r="B114" s="23" t="s">
        <v>344</v>
      </c>
      <c r="C114" s="3" t="s">
        <v>449</v>
      </c>
      <c r="D114" s="51">
        <f>VLOOKUP(C114,'Données MOOV 01-2025'!C:D,2,FALSE)</f>
        <v>0</v>
      </c>
      <c r="E114" s="13">
        <f t="shared" si="5"/>
        <v>0</v>
      </c>
      <c r="F114" s="52" t="s">
        <v>185</v>
      </c>
      <c r="G114" s="3" t="s">
        <v>449</v>
      </c>
      <c r="H114" s="55">
        <f>VLOOKUP(F114,PROD_CAMOBILE_2025M1!A:B,2,FALSE)</f>
        <v>0</v>
      </c>
      <c r="I114" s="55">
        <v>0</v>
      </c>
      <c r="J114" s="65">
        <f>VLOOKUP(F114,'Formule TDB'!B:C,2,FALSE)</f>
        <v>0</v>
      </c>
      <c r="K114" s="65">
        <v>0</v>
      </c>
      <c r="L114" s="62">
        <f t="shared" si="4"/>
        <v>0</v>
      </c>
      <c r="M114" s="111"/>
    </row>
    <row r="115" spans="1:15">
      <c r="A115" s="22"/>
      <c r="B115" s="23" t="s">
        <v>346</v>
      </c>
      <c r="C115" s="3" t="s">
        <v>450</v>
      </c>
      <c r="D115" s="51">
        <f>VLOOKUP(C115,'Données MOOV 01-2025'!C:D,2,FALSE)</f>
        <v>0</v>
      </c>
      <c r="E115" s="13">
        <f t="shared" si="5"/>
        <v>0</v>
      </c>
      <c r="F115" s="52" t="s">
        <v>186</v>
      </c>
      <c r="G115" s="3" t="s">
        <v>450</v>
      </c>
      <c r="H115" s="55">
        <f>VLOOKUP(F115,PROD_CAMOBILE_2025M1!A:B,2,FALSE)</f>
        <v>0</v>
      </c>
      <c r="I115" s="55">
        <v>0</v>
      </c>
      <c r="J115" s="65">
        <f>VLOOKUP(F115,'Formule TDB'!B:C,2,FALSE)</f>
        <v>0</v>
      </c>
      <c r="K115" s="65">
        <v>0</v>
      </c>
      <c r="L115" s="62">
        <f t="shared" si="4"/>
        <v>0</v>
      </c>
      <c r="M115" s="111"/>
    </row>
    <row r="116" spans="1:15">
      <c r="A116" s="22"/>
      <c r="B116" s="23" t="s">
        <v>348</v>
      </c>
      <c r="C116" s="3" t="s">
        <v>451</v>
      </c>
      <c r="D116" s="24"/>
      <c r="E116" s="13">
        <f t="shared" si="5"/>
        <v>0</v>
      </c>
      <c r="F116" s="56"/>
      <c r="G116" s="3" t="s">
        <v>451</v>
      </c>
      <c r="H116" s="75" t="e">
        <f>VLOOKUP(F116,PROD_CAMOBILE_2025M1!A:B,2,FALSE)</f>
        <v>#N/A</v>
      </c>
      <c r="I116" s="75"/>
      <c r="J116" s="75" t="e">
        <f>VLOOKUP(F116,'Formule TDB'!B:C,2,FALSE)</f>
        <v>#N/A</v>
      </c>
      <c r="K116" s="75" t="e">
        <v>#N/A</v>
      </c>
      <c r="L116" s="75" t="e">
        <f t="shared" si="4"/>
        <v>#N/A</v>
      </c>
      <c r="M116" s="111"/>
    </row>
    <row r="117" spans="1:15">
      <c r="A117" s="22"/>
      <c r="B117" s="23" t="s">
        <v>350</v>
      </c>
      <c r="C117" s="3" t="s">
        <v>452</v>
      </c>
      <c r="D117" s="51">
        <f>VLOOKUP(C117,'Données MOOV 01-2025'!C:D,2,FALSE)</f>
        <v>139.720652</v>
      </c>
      <c r="E117" s="13">
        <f t="shared" si="5"/>
        <v>139720652</v>
      </c>
      <c r="F117" s="52" t="s">
        <v>187</v>
      </c>
      <c r="G117" s="3" t="s">
        <v>452</v>
      </c>
      <c r="H117" s="55">
        <f>VLOOKUP(F117,PROD_CAMOBILE_2025M1!A:B,2,FALSE)</f>
        <v>139720652</v>
      </c>
      <c r="I117" s="55">
        <v>112781146</v>
      </c>
      <c r="J117" s="65" t="str">
        <f>VLOOKUP(F117,'Formule TDB'!B:C,2,FALSE)</f>
        <v>R(L51+L73+L95)</v>
      </c>
      <c r="K117" s="65" t="s">
        <v>188</v>
      </c>
      <c r="L117" s="62">
        <f t="shared" si="4"/>
        <v>0</v>
      </c>
      <c r="M117" s="111"/>
    </row>
    <row r="118" spans="1:15">
      <c r="A118" s="30"/>
      <c r="B118" s="31" t="s">
        <v>453</v>
      </c>
      <c r="C118" s="3" t="s">
        <v>454</v>
      </c>
      <c r="D118" s="51">
        <f>VLOOKUP(C118,'Données MOOV 01-2025'!C:D,2,FALSE)</f>
        <v>605.57178254313601</v>
      </c>
      <c r="E118" s="13">
        <f t="shared" si="5"/>
        <v>605571782.543136</v>
      </c>
      <c r="F118" s="52" t="s">
        <v>195</v>
      </c>
      <c r="G118" s="3" t="s">
        <v>454</v>
      </c>
      <c r="H118" s="55">
        <f>VLOOKUP(F118,PROD_CAMOBILE_2025M1!A:B,2,FALSE)</f>
        <v>0</v>
      </c>
      <c r="I118" s="55">
        <v>0</v>
      </c>
      <c r="J118" s="67" t="str">
        <f>VLOOKUP(F118,'Formule TDB'!B:C,2,FALSE)</f>
        <v>-NM(706150,*,ZZZ,*,*,*,*,*,*,*)</v>
      </c>
      <c r="K118" s="73" t="s">
        <v>196</v>
      </c>
      <c r="L118" s="77">
        <f t="shared" si="4"/>
        <v>605571782.543136</v>
      </c>
      <c r="M118" s="115" t="s">
        <v>555</v>
      </c>
      <c r="N118" s="106" t="s">
        <v>556</v>
      </c>
      <c r="O118" t="s">
        <v>557</v>
      </c>
    </row>
    <row r="119" spans="1:15">
      <c r="A119" s="11"/>
      <c r="B119" s="12" t="s">
        <v>455</v>
      </c>
      <c r="C119" s="3" t="s">
        <v>456</v>
      </c>
      <c r="D119" s="51">
        <f>VLOOKUP(C119,'Données MOOV 01-2025'!C:D,2,FALSE)</f>
        <v>138.5456399661017</v>
      </c>
      <c r="E119" s="13">
        <f t="shared" si="5"/>
        <v>138545639.96610171</v>
      </c>
      <c r="F119" s="52" t="s">
        <v>197</v>
      </c>
      <c r="G119" s="3" t="s">
        <v>456</v>
      </c>
      <c r="H119" s="55">
        <f>VLOOKUP(F119,PROD_CAMOBILE_2025M1!A:B,2,FALSE)</f>
        <v>141014283</v>
      </c>
      <c r="I119" s="55">
        <v>108457455</v>
      </c>
      <c r="J119" s="68" t="str">
        <f>VLOOKUP(F119,'Formule TDB'!B:C,2,FALSE)</f>
        <v xml:space="preserve"> -707300 -706710</v>
      </c>
      <c r="K119" s="74" t="s">
        <v>198</v>
      </c>
      <c r="L119" s="77">
        <f t="shared" si="4"/>
        <v>-2468643.033898294</v>
      </c>
      <c r="M119" s="111"/>
      <c r="N119" s="106" t="s">
        <v>558</v>
      </c>
      <c r="O119" t="s">
        <v>559</v>
      </c>
    </row>
    <row r="120" spans="1:15">
      <c r="A120" s="11"/>
      <c r="B120" s="12" t="s">
        <v>457</v>
      </c>
      <c r="C120" s="3" t="s">
        <v>458</v>
      </c>
      <c r="D120" s="51">
        <f>VLOOKUP(C120,'Données MOOV 01-2025'!C:D,2,FALSE)</f>
        <v>3531.539953</v>
      </c>
      <c r="E120" s="13">
        <f t="shared" si="5"/>
        <v>3531539953</v>
      </c>
      <c r="F120" s="52" t="s">
        <v>199</v>
      </c>
      <c r="G120" s="3" t="s">
        <v>458</v>
      </c>
      <c r="H120" s="55">
        <f>VLOOKUP(F120,PROD_CAMOBILE_2025M1!A:B,2,FALSE)</f>
        <v>3531539953</v>
      </c>
      <c r="I120" s="55">
        <v>4041892728</v>
      </c>
      <c r="J120" s="65" t="str">
        <f>VLOOKUP(F120,'Formule TDB'!B:C,2,FALSE)</f>
        <v>R(L28+L107)</v>
      </c>
      <c r="K120" s="65" t="s">
        <v>200</v>
      </c>
      <c r="L120" s="62">
        <f t="shared" si="4"/>
        <v>0</v>
      </c>
      <c r="M120" s="111"/>
    </row>
    <row r="121" spans="1:15">
      <c r="A121" s="22"/>
      <c r="B121" s="23" t="s">
        <v>459</v>
      </c>
      <c r="C121" s="3" t="s">
        <v>460</v>
      </c>
      <c r="D121" s="24"/>
      <c r="E121" s="13">
        <f t="shared" si="5"/>
        <v>0</v>
      </c>
      <c r="F121" s="56"/>
      <c r="G121" s="3" t="s">
        <v>460</v>
      </c>
      <c r="H121" s="75" t="e">
        <f>VLOOKUP(F121,PROD_CAMOBILE_2025M1!A:B,2,FALSE)</f>
        <v>#N/A</v>
      </c>
      <c r="I121" s="75"/>
      <c r="J121" s="75" t="e">
        <f>VLOOKUP(F121,'Formule TDB'!B:C,2,FALSE)</f>
        <v>#N/A</v>
      </c>
      <c r="K121" s="75" t="e">
        <v>#N/A</v>
      </c>
      <c r="L121" s="75" t="e">
        <f t="shared" si="4"/>
        <v>#N/A</v>
      </c>
      <c r="M121" s="111"/>
    </row>
    <row r="122" spans="1:15">
      <c r="A122" s="22"/>
      <c r="B122" s="23" t="s">
        <v>461</v>
      </c>
      <c r="C122" s="3" t="s">
        <v>462</v>
      </c>
      <c r="D122" s="24"/>
      <c r="E122" s="13">
        <f t="shared" si="5"/>
        <v>0</v>
      </c>
      <c r="F122" s="56"/>
      <c r="G122" s="3" t="s">
        <v>462</v>
      </c>
      <c r="H122" s="75" t="e">
        <f>VLOOKUP(F122,PROD_CAMOBILE_2025M1!A:B,2,FALSE)</f>
        <v>#N/A</v>
      </c>
      <c r="I122" s="75"/>
      <c r="J122" s="75" t="e">
        <f>VLOOKUP(F122,'Formule TDB'!B:C,2,FALSE)</f>
        <v>#N/A</v>
      </c>
      <c r="K122" s="75" t="e">
        <v>#N/A</v>
      </c>
      <c r="L122" s="75" t="e">
        <f t="shared" si="4"/>
        <v>#N/A</v>
      </c>
      <c r="M122" s="111"/>
    </row>
    <row r="123" spans="1:15">
      <c r="A123" s="8" t="s">
        <v>464</v>
      </c>
      <c r="B123" s="9"/>
      <c r="C123" s="3" t="s">
        <v>465</v>
      </c>
      <c r="D123" s="51">
        <f>VLOOKUP(C123,'Données MOOV 01-2025'!C:D,2,FALSE)</f>
        <v>182.990206</v>
      </c>
      <c r="E123" s="13">
        <f t="shared" si="5"/>
        <v>182990206</v>
      </c>
      <c r="F123" s="52" t="s">
        <v>241</v>
      </c>
      <c r="G123" s="3" t="s">
        <v>465</v>
      </c>
      <c r="H123" s="55">
        <f>VLOOKUP(F123,PROD_CAMOBILE_2025M1!A:B,2,FALSE)</f>
        <v>182990206</v>
      </c>
      <c r="I123" s="55">
        <v>241699428</v>
      </c>
      <c r="J123" s="65" t="str">
        <f>VLOOKUP(F123,'Formule TDB'!B:C,2,FALSE)</f>
        <v>R(L118+L123+L128+L133)</v>
      </c>
      <c r="K123" s="65" t="s">
        <v>242</v>
      </c>
      <c r="L123" s="62">
        <f t="shared" si="4"/>
        <v>0</v>
      </c>
      <c r="M123" s="111"/>
    </row>
    <row r="124" spans="1:15">
      <c r="A124" s="25"/>
      <c r="B124" s="32" t="s">
        <v>466</v>
      </c>
      <c r="C124" s="3" t="s">
        <v>467</v>
      </c>
      <c r="D124" s="51">
        <f>VLOOKUP(C124,'Données MOOV 01-2025'!C:D,2,FALSE)</f>
        <v>0</v>
      </c>
      <c r="E124" s="13">
        <f t="shared" si="5"/>
        <v>0</v>
      </c>
      <c r="F124" s="52" t="s">
        <v>209</v>
      </c>
      <c r="G124" s="3" t="s">
        <v>467</v>
      </c>
      <c r="H124" s="55">
        <f>VLOOKUP(F124,PROD_CAMOBILE_2025M1!A:B,2,FALSE)</f>
        <v>0</v>
      </c>
      <c r="I124" s="55">
        <v>0</v>
      </c>
      <c r="J124" s="65" t="str">
        <f>VLOOKUP(F124,'Formule TDB'!B:C,2,FALSE)</f>
        <v>$CAMOBILE.#(L114:117)</v>
      </c>
      <c r="K124" s="65" t="s">
        <v>210</v>
      </c>
      <c r="L124" s="62">
        <f t="shared" si="4"/>
        <v>0</v>
      </c>
      <c r="M124" s="111"/>
    </row>
    <row r="125" spans="1:15">
      <c r="A125" s="27"/>
      <c r="B125" s="17" t="s">
        <v>286</v>
      </c>
      <c r="C125" s="3" t="s">
        <v>468</v>
      </c>
      <c r="D125" s="51">
        <f>VLOOKUP(C125,'Données MOOV 01-2025'!C:D,2,FALSE)</f>
        <v>0</v>
      </c>
      <c r="E125" s="13">
        <f t="shared" si="5"/>
        <v>0</v>
      </c>
      <c r="F125" s="52" t="s">
        <v>201</v>
      </c>
      <c r="G125" s="3" t="s">
        <v>468</v>
      </c>
      <c r="H125" s="55">
        <f>VLOOKUP(F125,PROD_CAMOBILE_2025M1!A:B,2,FALSE)</f>
        <v>0</v>
      </c>
      <c r="I125" s="55">
        <v>0</v>
      </c>
      <c r="J125" s="65" t="str">
        <f>VLOOKUP(F125,'Formule TDB'!B:C,2,FALSE)</f>
        <v>-NM(706130,*,A48,*,*,*,*,*,*) -NM(706133,*,A48,*,*,*,*,*,*)</v>
      </c>
      <c r="K125" s="65" t="s">
        <v>202</v>
      </c>
      <c r="L125" s="62">
        <f t="shared" si="4"/>
        <v>0</v>
      </c>
      <c r="M125" s="111"/>
    </row>
    <row r="126" spans="1:15">
      <c r="A126" s="27"/>
      <c r="B126" s="17" t="s">
        <v>356</v>
      </c>
      <c r="C126" s="3" t="s">
        <v>469</v>
      </c>
      <c r="D126" s="51">
        <f>VLOOKUP(C126,'Données MOOV 01-2025'!C:D,2,FALSE)</f>
        <v>0</v>
      </c>
      <c r="E126" s="13">
        <f t="shared" si="5"/>
        <v>0</v>
      </c>
      <c r="F126" s="52" t="s">
        <v>203</v>
      </c>
      <c r="G126" s="3" t="s">
        <v>469</v>
      </c>
      <c r="H126" s="55">
        <f>VLOOKUP(F126,PROD_CAMOBILE_2025M1!A:B,2,FALSE)</f>
        <v>0</v>
      </c>
      <c r="I126" s="55">
        <v>0</v>
      </c>
      <c r="J126" s="65" t="str">
        <f>VLOOKUP(F126,'Formule TDB'!B:C,2,FALSE)</f>
        <v>-NM(706135,*,A48,*,*,*,*,*,*) -NM(706139,*,A48,*,*,*,*,*,*)</v>
      </c>
      <c r="K126" s="65" t="s">
        <v>204</v>
      </c>
      <c r="L126" s="62">
        <f t="shared" si="4"/>
        <v>0</v>
      </c>
      <c r="M126" s="111"/>
    </row>
    <row r="127" spans="1:15">
      <c r="A127" s="27"/>
      <c r="B127" s="37" t="s">
        <v>358</v>
      </c>
      <c r="C127" s="3" t="s">
        <v>470</v>
      </c>
      <c r="D127" s="51">
        <f>VLOOKUP(C127,'Données MOOV 01-2025'!C:D,2,FALSE)</f>
        <v>0</v>
      </c>
      <c r="E127" s="13">
        <f t="shared" si="5"/>
        <v>0</v>
      </c>
      <c r="F127" s="52" t="s">
        <v>205</v>
      </c>
      <c r="G127" s="3" t="s">
        <v>470</v>
      </c>
      <c r="H127" s="55">
        <f>VLOOKUP(F127,PROD_CAMOBILE_2025M1!A:B,2,FALSE)</f>
        <v>0</v>
      </c>
      <c r="I127" s="55">
        <v>0</v>
      </c>
      <c r="J127" s="65" t="str">
        <f>VLOOKUP(F127,'Formule TDB'!B:C,2,FALSE)</f>
        <v>-NM(706139,*,A43,*,*,*,*,*,*) -NM(706135,*,A43,*,*,*,*,*,*)</v>
      </c>
      <c r="K127" s="65" t="s">
        <v>206</v>
      </c>
      <c r="L127" s="62">
        <f t="shared" si="4"/>
        <v>0</v>
      </c>
      <c r="M127" s="111"/>
    </row>
    <row r="128" spans="1:15">
      <c r="A128" s="27"/>
      <c r="B128" s="17" t="s">
        <v>360</v>
      </c>
      <c r="C128" s="3" t="s">
        <v>471</v>
      </c>
      <c r="D128" s="51">
        <f>VLOOKUP(C128,'Données MOOV 01-2025'!C:D,2,FALSE)</f>
        <v>0</v>
      </c>
      <c r="E128" s="13">
        <f t="shared" si="5"/>
        <v>0</v>
      </c>
      <c r="F128" s="52" t="s">
        <v>207</v>
      </c>
      <c r="G128" s="3" t="s">
        <v>471</v>
      </c>
      <c r="H128" s="55">
        <f>VLOOKUP(F128,PROD_CAMOBILE_2025M1!A:B,2,FALSE)</f>
        <v>0</v>
      </c>
      <c r="I128" s="55">
        <v>0</v>
      </c>
      <c r="J128" s="65" t="str">
        <f>VLOOKUP(F128,'Formule TDB'!B:C,2,FALSE)</f>
        <v>-NM(706130,*,A43,*,*,*,*,*,*) -NM(706133,*,A43,*,*,*,*,*,*)</v>
      </c>
      <c r="K128" s="65" t="s">
        <v>208</v>
      </c>
      <c r="L128" s="62">
        <f t="shared" si="4"/>
        <v>0</v>
      </c>
      <c r="M128" s="111"/>
    </row>
    <row r="129" spans="1:14">
      <c r="A129" s="25"/>
      <c r="B129" s="32" t="s">
        <v>472</v>
      </c>
      <c r="C129" s="3" t="s">
        <v>473</v>
      </c>
      <c r="D129" s="51">
        <f>VLOOKUP(C129,'Données MOOV 01-2025'!C:D,2,FALSE)</f>
        <v>0</v>
      </c>
      <c r="E129" s="13">
        <f t="shared" si="5"/>
        <v>0</v>
      </c>
      <c r="F129" s="52" t="s">
        <v>219</v>
      </c>
      <c r="G129" s="3" t="s">
        <v>473</v>
      </c>
      <c r="H129" s="55">
        <f>VLOOKUP(F129,PROD_CAMOBILE_2025M1!A:B,2,FALSE)</f>
        <v>0</v>
      </c>
      <c r="I129" s="55">
        <v>0</v>
      </c>
      <c r="J129" s="65" t="str">
        <f>VLOOKUP(F129,'Formule TDB'!B:C,2,FALSE)</f>
        <v>$CAMOBILE.#(L119:122)</v>
      </c>
      <c r="K129" s="65" t="s">
        <v>220</v>
      </c>
      <c r="L129" s="62">
        <f t="shared" si="4"/>
        <v>0</v>
      </c>
      <c r="M129" s="111"/>
    </row>
    <row r="130" spans="1:14">
      <c r="A130" s="27"/>
      <c r="B130" s="17" t="s">
        <v>286</v>
      </c>
      <c r="C130" s="3" t="s">
        <v>474</v>
      </c>
      <c r="D130" s="51">
        <f>VLOOKUP(C130,'Données MOOV 01-2025'!C:D,2,FALSE)</f>
        <v>0</v>
      </c>
      <c r="E130" s="13">
        <f t="shared" si="5"/>
        <v>0</v>
      </c>
      <c r="F130" s="52" t="s">
        <v>211</v>
      </c>
      <c r="G130" s="3" t="s">
        <v>474</v>
      </c>
      <c r="H130" s="55">
        <f>VLOOKUP(F130,PROD_CAMOBILE_2025M1!A:B,2,FALSE)</f>
        <v>0</v>
      </c>
      <c r="I130" s="55">
        <v>0</v>
      </c>
      <c r="J130" s="65" t="str">
        <f>VLOOKUP(F130,'Formule TDB'!B:C,2,FALSE)</f>
        <v>-NM(706130,*,A49,*,*,*,*,*,*) -NM(706133,*,A49,*,*,*,*,*,*)</v>
      </c>
      <c r="K130" s="65" t="s">
        <v>212</v>
      </c>
      <c r="L130" s="62">
        <f t="shared" si="4"/>
        <v>0</v>
      </c>
      <c r="M130" s="111"/>
    </row>
    <row r="131" spans="1:14">
      <c r="A131" s="27"/>
      <c r="B131" s="17" t="s">
        <v>356</v>
      </c>
      <c r="C131" s="3" t="s">
        <v>475</v>
      </c>
      <c r="D131" s="51">
        <f>VLOOKUP(C131,'Données MOOV 01-2025'!C:D,2,FALSE)</f>
        <v>0</v>
      </c>
      <c r="E131" s="13">
        <f t="shared" si="5"/>
        <v>0</v>
      </c>
      <c r="F131" s="52" t="s">
        <v>213</v>
      </c>
      <c r="G131" s="3" t="s">
        <v>475</v>
      </c>
      <c r="H131" s="55">
        <f>VLOOKUP(F131,PROD_CAMOBILE_2025M1!A:B,2,FALSE)</f>
        <v>0</v>
      </c>
      <c r="I131" s="55">
        <v>0</v>
      </c>
      <c r="J131" s="65" t="str">
        <f>VLOOKUP(F131,'Formule TDB'!B:C,2,FALSE)</f>
        <v>-NM(706135,*,A49,*,*,*,*,*,*) -NM(706139,*,A49,*,*,*,*,*,*)</v>
      </c>
      <c r="K131" s="65" t="s">
        <v>214</v>
      </c>
      <c r="L131" s="62">
        <f t="shared" ref="L131:L154" si="6">E131-H131</f>
        <v>0</v>
      </c>
      <c r="M131" s="111"/>
    </row>
    <row r="132" spans="1:14">
      <c r="A132" s="27"/>
      <c r="B132" s="37" t="s">
        <v>358</v>
      </c>
      <c r="C132" s="3" t="s">
        <v>476</v>
      </c>
      <c r="D132" s="51">
        <f>VLOOKUP(C132,'Données MOOV 01-2025'!C:D,2,FALSE)</f>
        <v>0</v>
      </c>
      <c r="E132" s="13">
        <f t="shared" si="5"/>
        <v>0</v>
      </c>
      <c r="F132" s="52" t="s">
        <v>215</v>
      </c>
      <c r="G132" s="3" t="s">
        <v>476</v>
      </c>
      <c r="H132" s="55">
        <f>VLOOKUP(F132,PROD_CAMOBILE_2025M1!A:B,2,FALSE)</f>
        <v>0</v>
      </c>
      <c r="I132" s="55">
        <v>0</v>
      </c>
      <c r="J132" s="65" t="str">
        <f>VLOOKUP(F132,'Formule TDB'!B:C,2,FALSE)</f>
        <v>-NM(706135,*,A45,*,*,*,*,*,*) -NM(706139,*,A45,*,*,*,*,*,*)</v>
      </c>
      <c r="K132" s="65" t="s">
        <v>216</v>
      </c>
      <c r="L132" s="62">
        <f t="shared" si="6"/>
        <v>0</v>
      </c>
      <c r="M132" s="111"/>
    </row>
    <row r="133" spans="1:14">
      <c r="A133" s="27"/>
      <c r="B133" s="17" t="s">
        <v>360</v>
      </c>
      <c r="C133" s="3" t="s">
        <v>477</v>
      </c>
      <c r="D133" s="51">
        <f>VLOOKUP(C133,'Données MOOV 01-2025'!C:D,2,FALSE)</f>
        <v>0</v>
      </c>
      <c r="E133" s="13">
        <f t="shared" ref="E133:E147" si="7">D133*1000000</f>
        <v>0</v>
      </c>
      <c r="F133" s="52" t="s">
        <v>217</v>
      </c>
      <c r="G133" s="3" t="s">
        <v>477</v>
      </c>
      <c r="H133" s="55">
        <f>VLOOKUP(F133,PROD_CAMOBILE_2025M1!A:B,2,FALSE)</f>
        <v>0</v>
      </c>
      <c r="I133" s="55">
        <v>0</v>
      </c>
      <c r="J133" s="65" t="str">
        <f>VLOOKUP(F133,'Formule TDB'!B:C,2,FALSE)</f>
        <v>-NM(706130,*,A45,*,*,*,*,*,*) -NM(706133,*,A45,*,*,*,*,*,*)</v>
      </c>
      <c r="K133" s="65" t="s">
        <v>218</v>
      </c>
      <c r="L133" s="62">
        <f t="shared" si="6"/>
        <v>0</v>
      </c>
      <c r="M133" s="111"/>
    </row>
    <row r="134" spans="1:14">
      <c r="A134" s="25"/>
      <c r="B134" s="32" t="s">
        <v>478</v>
      </c>
      <c r="C134" s="3" t="s">
        <v>479</v>
      </c>
      <c r="D134" s="51">
        <f>VLOOKUP(C134,'Données MOOV 01-2025'!C:D,2,FALSE)</f>
        <v>0</v>
      </c>
      <c r="E134" s="4">
        <f t="shared" si="7"/>
        <v>0</v>
      </c>
      <c r="F134" s="52" t="s">
        <v>229</v>
      </c>
      <c r="G134" s="3" t="s">
        <v>479</v>
      </c>
      <c r="H134" s="55">
        <f>VLOOKUP(F134,PROD_CAMOBILE_2025M1!A:B,2,FALSE)</f>
        <v>0</v>
      </c>
      <c r="I134" s="55">
        <v>0</v>
      </c>
      <c r="J134" s="65" t="str">
        <f>VLOOKUP(F134,'Formule TDB'!B:C,2,FALSE)</f>
        <v>$CAMOBILE.#(L124:127)</v>
      </c>
      <c r="K134" s="65" t="s">
        <v>230</v>
      </c>
      <c r="L134" s="62">
        <f t="shared" si="6"/>
        <v>0</v>
      </c>
      <c r="M134" s="111"/>
    </row>
    <row r="135" spans="1:14">
      <c r="A135" s="27"/>
      <c r="B135" s="17" t="s">
        <v>286</v>
      </c>
      <c r="C135" s="3" t="s">
        <v>480</v>
      </c>
      <c r="D135" s="51">
        <f>VLOOKUP(C135,'Données MOOV 01-2025'!C:D,2,FALSE)</f>
        <v>0</v>
      </c>
      <c r="E135" s="13">
        <f t="shared" si="7"/>
        <v>0</v>
      </c>
      <c r="F135" s="52" t="s">
        <v>221</v>
      </c>
      <c r="G135" s="3" t="s">
        <v>480</v>
      </c>
      <c r="H135" s="55">
        <f>VLOOKUP(F135,PROD_CAMOBILE_2025M1!A:B,2,FALSE)</f>
        <v>0</v>
      </c>
      <c r="I135" s="55">
        <v>0</v>
      </c>
      <c r="J135" s="65" t="str">
        <f>VLOOKUP(F135,'Formule TDB'!B:C,2,FALSE)</f>
        <v>-NM(706130,*,A50,*,*,*,*,*,*) -NM(706130,*,A51,*,*,*,*,*,*) -NM(706131,*,A52,*,*,*,*,*,*) -NM(706133,*,A50,*,*,*,*,*,*) -NM(706133,*,A51,*,*,*,*,*,*)</v>
      </c>
      <c r="K135" s="65" t="s">
        <v>222</v>
      </c>
      <c r="L135" s="62">
        <f t="shared" si="6"/>
        <v>0</v>
      </c>
      <c r="M135" s="111"/>
    </row>
    <row r="136" spans="1:14">
      <c r="A136" s="27"/>
      <c r="B136" s="17" t="s">
        <v>356</v>
      </c>
      <c r="C136" s="3" t="s">
        <v>481</v>
      </c>
      <c r="D136" s="51">
        <f>VLOOKUP(C136,'Données MOOV 01-2025'!C:D,2,FALSE)</f>
        <v>0</v>
      </c>
      <c r="E136" s="13">
        <f t="shared" si="7"/>
        <v>0</v>
      </c>
      <c r="F136" s="52" t="s">
        <v>223</v>
      </c>
      <c r="G136" s="3" t="s">
        <v>481</v>
      </c>
      <c r="H136" s="55">
        <f>VLOOKUP(F136,PROD_CAMOBILE_2025M1!A:B,2,FALSE)</f>
        <v>0</v>
      </c>
      <c r="I136" s="55">
        <v>0</v>
      </c>
      <c r="J136" s="65" t="str">
        <f>VLOOKUP(F136,'Formule TDB'!B:C,2,FALSE)</f>
        <v>-NM(706135,*,A50,*,*,*,*,*,*) -NM(706135,*,A51,*,*,*,*,*,*) -NM(706136,*,A52,*,*,*,*,*,*) -NM(706139,*,A50,*,*,*,*,*,*) -NM(706139,*,A51,*,*,*,*,*,*)</v>
      </c>
      <c r="K136" s="65" t="s">
        <v>224</v>
      </c>
      <c r="L136" s="62">
        <f t="shared" si="6"/>
        <v>0</v>
      </c>
      <c r="M136" s="111"/>
    </row>
    <row r="137" spans="1:14">
      <c r="A137" s="27"/>
      <c r="B137" s="37" t="s">
        <v>358</v>
      </c>
      <c r="C137" s="3" t="s">
        <v>482</v>
      </c>
      <c r="D137" s="51">
        <f>VLOOKUP(C137,'Données MOOV 01-2025'!C:D,2,FALSE)</f>
        <v>0</v>
      </c>
      <c r="E137" s="13">
        <f t="shared" si="7"/>
        <v>0</v>
      </c>
      <c r="F137" s="52" t="s">
        <v>225</v>
      </c>
      <c r="G137" s="3" t="s">
        <v>482</v>
      </c>
      <c r="H137" s="55">
        <f>VLOOKUP(F137,PROD_CAMOBILE_2025M1!A:B,2,FALSE)</f>
        <v>0</v>
      </c>
      <c r="I137" s="55">
        <v>0</v>
      </c>
      <c r="J137" s="65" t="str">
        <f>VLOOKUP(F137,'Formule TDB'!B:C,2,FALSE)</f>
        <v>-NM(706135,*,A44,*,*,*,*,*,*) -NM(706135,*,A42,*,*,*,*,*,*) -NM(706136,*,A99,*,*,*,*,*,*) -NM(706139,*,A44,*,*,*,*,*,*) -NM(706139,*,A42,*,*,*,*,*,*)</v>
      </c>
      <c r="K137" s="65" t="s">
        <v>226</v>
      </c>
      <c r="L137" s="62">
        <f t="shared" si="6"/>
        <v>0</v>
      </c>
      <c r="M137" s="111"/>
    </row>
    <row r="138" spans="1:14">
      <c r="A138" s="27"/>
      <c r="B138" s="17" t="s">
        <v>360</v>
      </c>
      <c r="C138" s="3" t="s">
        <v>483</v>
      </c>
      <c r="D138" s="51">
        <f>VLOOKUP(C138,'Données MOOV 01-2025'!C:D,2,FALSE)</f>
        <v>0</v>
      </c>
      <c r="E138" s="13">
        <f t="shared" si="7"/>
        <v>0</v>
      </c>
      <c r="F138" s="52" t="s">
        <v>227</v>
      </c>
      <c r="G138" s="3" t="s">
        <v>483</v>
      </c>
      <c r="H138" s="55">
        <f>VLOOKUP(F138,PROD_CAMOBILE_2025M1!A:B,2,FALSE)</f>
        <v>0</v>
      </c>
      <c r="I138" s="55">
        <v>0</v>
      </c>
      <c r="J138" s="65" t="str">
        <f>VLOOKUP(F138,'Formule TDB'!B:C,2,FALSE)</f>
        <v>-NM(706130,*,A44,*,*,*,*,*,*) -NM(706130,*,A42,*,*,*,*,*,*) -NM(706131,*,A99,*,*,*,*,*,*) -NM(706131,*,A44,*,*,*,*,*,*) -NM(706133,*,A42,*,*,*,*,*,*)</v>
      </c>
      <c r="K138" s="65" t="s">
        <v>228</v>
      </c>
      <c r="L138" s="62">
        <f t="shared" si="6"/>
        <v>0</v>
      </c>
      <c r="M138" s="111"/>
    </row>
    <row r="139" spans="1:14">
      <c r="A139" s="25"/>
      <c r="B139" s="32" t="s">
        <v>484</v>
      </c>
      <c r="C139" s="3" t="s">
        <v>485</v>
      </c>
      <c r="D139" s="51">
        <f>VLOOKUP(C139,'Données MOOV 01-2025'!C:D,2,FALSE)</f>
        <v>182.990206</v>
      </c>
      <c r="E139" s="13">
        <f t="shared" si="7"/>
        <v>182990206</v>
      </c>
      <c r="F139" s="52" t="s">
        <v>239</v>
      </c>
      <c r="G139" s="3" t="s">
        <v>485</v>
      </c>
      <c r="H139" s="55">
        <f>VLOOKUP(F139,PROD_CAMOBILE_2025M1!A:B,2,FALSE)</f>
        <v>182990206</v>
      </c>
      <c r="I139" s="55">
        <v>241699428</v>
      </c>
      <c r="J139" s="65" t="str">
        <f>VLOOKUP(F139,'Formule TDB'!B:C,2,FALSE)</f>
        <v>$CAMOBILE.#(L129:132)</v>
      </c>
      <c r="K139" s="65" t="s">
        <v>240</v>
      </c>
      <c r="L139" s="62">
        <f t="shared" si="6"/>
        <v>0</v>
      </c>
      <c r="M139" s="111"/>
    </row>
    <row r="140" spans="1:14">
      <c r="B140" s="17" t="s">
        <v>286</v>
      </c>
      <c r="C140" s="3" t="s">
        <v>486</v>
      </c>
      <c r="D140" s="51">
        <f>VLOOKUP(C140,'Données MOOV 01-2025'!C:D,2,FALSE)</f>
        <v>179.563017</v>
      </c>
      <c r="E140" s="13">
        <f t="shared" si="7"/>
        <v>179563017</v>
      </c>
      <c r="F140" s="52" t="s">
        <v>231</v>
      </c>
      <c r="G140" s="3" t="s">
        <v>486</v>
      </c>
      <c r="H140" s="55">
        <f>VLOOKUP(F140,PROD_CAMOBILE_2025M1!A:B,2,FALSE)</f>
        <v>179563017</v>
      </c>
      <c r="I140" s="55">
        <v>237253128</v>
      </c>
      <c r="J140" s="65" t="str">
        <f>VLOOKUP(F140,'Formule TDB'!B:C,2,FALSE)</f>
        <v>-NM(706132,*,A53,*,*,*,*,*,*) -NM(706138,*,A51,*,*,*,*,*,*)</v>
      </c>
      <c r="K140" s="65" t="s">
        <v>232</v>
      </c>
      <c r="L140" s="62">
        <f t="shared" si="6"/>
        <v>0</v>
      </c>
      <c r="M140" s="111"/>
    </row>
    <row r="141" spans="1:14">
      <c r="B141" s="17" t="s">
        <v>356</v>
      </c>
      <c r="C141" s="3" t="s">
        <v>487</v>
      </c>
      <c r="D141" s="51">
        <f>VLOOKUP(C141,'Données MOOV 01-2025'!C:D,2,FALSE)</f>
        <v>2.2380000000000001E-2</v>
      </c>
      <c r="E141" s="13">
        <f t="shared" si="7"/>
        <v>22380</v>
      </c>
      <c r="F141" s="52" t="s">
        <v>233</v>
      </c>
      <c r="G141" s="3" t="s">
        <v>487</v>
      </c>
      <c r="H141" s="55">
        <f>VLOOKUP(F141,PROD_CAMOBILE_2025M1!A:B,2,FALSE)</f>
        <v>22380</v>
      </c>
      <c r="I141" s="55">
        <v>55366</v>
      </c>
      <c r="J141" s="65" t="str">
        <f>VLOOKUP(F141,'Formule TDB'!B:C,2,FALSE)</f>
        <v>-NM(706137,*,A53,*,*,*,*,*,*) -NM(706134,*,A51,*,*,*,*,*,*)</v>
      </c>
      <c r="K141" s="65" t="s">
        <v>234</v>
      </c>
      <c r="L141" s="62">
        <f t="shared" si="6"/>
        <v>0</v>
      </c>
      <c r="M141" s="111"/>
    </row>
    <row r="142" spans="1:14">
      <c r="B142" s="37" t="s">
        <v>358</v>
      </c>
      <c r="C142" s="3" t="s">
        <v>488</v>
      </c>
      <c r="D142" s="51">
        <f>VLOOKUP(C142,'Données MOOV 01-2025'!C:D,2,FALSE)</f>
        <v>0.48261999999999999</v>
      </c>
      <c r="E142" s="13">
        <f t="shared" si="7"/>
        <v>482620</v>
      </c>
      <c r="F142" s="52" t="s">
        <v>235</v>
      </c>
      <c r="G142" s="3" t="s">
        <v>488</v>
      </c>
      <c r="H142" s="55">
        <f>VLOOKUP(F142,PROD_CAMOBILE_2025M1!A:B,2,FALSE)</f>
        <v>482620</v>
      </c>
      <c r="I142" s="55">
        <v>579018</v>
      </c>
      <c r="J142" s="65" t="str">
        <f>VLOOKUP(F142,'Formule TDB'!B:C,2,FALSE)</f>
        <v>-NM(706137,*,A99,*,*,*,*,*,*) -NM(706134,*,T10,*,*,*,*,*,*) -NM(706134,*,A42,*,*,*,*,*,*) -NM(706134,*,T10,*,*,*,*,*,*)</v>
      </c>
      <c r="K142" s="65" t="s">
        <v>236</v>
      </c>
      <c r="L142" s="62">
        <f t="shared" si="6"/>
        <v>0</v>
      </c>
      <c r="M142" s="111"/>
    </row>
    <row r="143" spans="1:14">
      <c r="B143" s="17" t="s">
        <v>360</v>
      </c>
      <c r="C143" s="3" t="s">
        <v>489</v>
      </c>
      <c r="D143" s="51">
        <f>VLOOKUP(C143,'Données MOOV 01-2025'!C:D,2,FALSE)</f>
        <v>2.9221889999999999</v>
      </c>
      <c r="E143" s="13">
        <f t="shared" si="7"/>
        <v>2922189</v>
      </c>
      <c r="F143" s="52" t="s">
        <v>237</v>
      </c>
      <c r="G143" s="3" t="s">
        <v>489</v>
      </c>
      <c r="H143" s="55">
        <f>VLOOKUP(F143,PROD_CAMOBILE_2025M1!A:B,2,FALSE)</f>
        <v>2922189</v>
      </c>
      <c r="I143" s="55">
        <v>3811916</v>
      </c>
      <c r="J143" s="65" t="str">
        <f>VLOOKUP(F143,'Formule TDB'!B:C,2,FALSE)</f>
        <v>-NM(706132,*,A99,*,*,*,*,*,*) -NM(706132,*,T10,*,*,*,*,*,*) -NM(706138,*,A42,*,*,*,*,*,*) -NM(706138,*,T10,*,*,*,*,*,*)</v>
      </c>
      <c r="K143" s="65" t="s">
        <v>238</v>
      </c>
      <c r="L143" s="62">
        <f t="shared" si="6"/>
        <v>0</v>
      </c>
      <c r="M143" s="111"/>
    </row>
    <row r="144" spans="1:14">
      <c r="A144" s="8" t="s">
        <v>491</v>
      </c>
      <c r="B144" s="9"/>
      <c r="C144" s="3" t="s">
        <v>492</v>
      </c>
      <c r="D144" s="10">
        <v>71.987997457627102</v>
      </c>
      <c r="E144" s="13">
        <f t="shared" si="7"/>
        <v>71987997.457627103</v>
      </c>
      <c r="F144" s="56"/>
      <c r="G144" s="3" t="s">
        <v>492</v>
      </c>
      <c r="H144" s="75" t="e">
        <f>VLOOKUP(F144,PROD_CAMOBILE_2025M1!A:B,2,FALSE)</f>
        <v>#N/A</v>
      </c>
      <c r="I144" s="75"/>
      <c r="J144" s="75" t="e">
        <f>VLOOKUP(F144,'Formule TDB'!B:C,2,FALSE)</f>
        <v>#N/A</v>
      </c>
      <c r="K144" s="75" t="e">
        <v>#N/A</v>
      </c>
      <c r="L144" s="75" t="e">
        <f t="shared" si="6"/>
        <v>#N/A</v>
      </c>
      <c r="M144" s="118" t="s">
        <v>560</v>
      </c>
      <c r="N144" s="106" t="s">
        <v>561</v>
      </c>
    </row>
    <row r="145" spans="1:14">
      <c r="A145" s="25"/>
      <c r="B145" s="32" t="s">
        <v>493</v>
      </c>
      <c r="C145" s="3" t="s">
        <v>494</v>
      </c>
      <c r="D145" s="33"/>
      <c r="E145" s="13">
        <f t="shared" si="7"/>
        <v>0</v>
      </c>
      <c r="F145" s="56"/>
      <c r="G145" s="3" t="s">
        <v>494</v>
      </c>
      <c r="H145" s="75" t="e">
        <f>VLOOKUP(F145,PROD_CAMOBILE_2025M1!A:B,2,FALSE)</f>
        <v>#N/A</v>
      </c>
      <c r="I145" s="75"/>
      <c r="J145" s="75" t="e">
        <f>VLOOKUP(F145,'Formule TDB'!B:C,2,FALSE)</f>
        <v>#N/A</v>
      </c>
      <c r="K145" s="75" t="e">
        <v>#N/A</v>
      </c>
      <c r="L145" s="75" t="e">
        <f t="shared" si="6"/>
        <v>#N/A</v>
      </c>
      <c r="M145" s="111"/>
    </row>
    <row r="146" spans="1:14">
      <c r="A146" s="27"/>
      <c r="B146" s="17" t="s">
        <v>495</v>
      </c>
      <c r="C146" s="3" t="s">
        <v>496</v>
      </c>
      <c r="D146" s="29"/>
      <c r="E146" s="13">
        <f t="shared" si="7"/>
        <v>0</v>
      </c>
      <c r="F146" s="56"/>
      <c r="G146" s="3" t="s">
        <v>496</v>
      </c>
      <c r="H146" s="75" t="e">
        <f>VLOOKUP(F146,PROD_CAMOBILE_2025M1!A:B,2,FALSE)</f>
        <v>#N/A</v>
      </c>
      <c r="I146" s="75"/>
      <c r="J146" s="75" t="e">
        <f>VLOOKUP(F146,'Formule TDB'!B:C,2,FALSE)</f>
        <v>#N/A</v>
      </c>
      <c r="K146" s="75" t="e">
        <v>#N/A</v>
      </c>
      <c r="L146" s="75" t="e">
        <f t="shared" si="6"/>
        <v>#N/A</v>
      </c>
      <c r="M146" s="111"/>
    </row>
    <row r="147" spans="1:14">
      <c r="A147" s="27"/>
      <c r="B147" s="17" t="s">
        <v>497</v>
      </c>
      <c r="C147" s="3" t="s">
        <v>498</v>
      </c>
      <c r="D147" s="29"/>
      <c r="E147" s="13">
        <f t="shared" si="7"/>
        <v>0</v>
      </c>
      <c r="F147" s="56"/>
      <c r="G147" s="3" t="s">
        <v>498</v>
      </c>
      <c r="H147" s="75" t="e">
        <f>VLOOKUP(F147,PROD_CAMOBILE_2025M1!A:B,2,FALSE)</f>
        <v>#N/A</v>
      </c>
      <c r="I147" s="75"/>
      <c r="J147" s="75" t="e">
        <f>VLOOKUP(F147,'Formule TDB'!B:C,2,FALSE)</f>
        <v>#N/A</v>
      </c>
      <c r="K147" s="75" t="e">
        <v>#N/A</v>
      </c>
      <c r="L147" s="75" t="e">
        <f t="shared" si="6"/>
        <v>#N/A</v>
      </c>
      <c r="M147" s="111"/>
    </row>
    <row r="148" spans="1:14" ht="29.25">
      <c r="A148" s="34" t="s">
        <v>501</v>
      </c>
      <c r="B148" s="35"/>
      <c r="C148" s="3" t="s">
        <v>502</v>
      </c>
      <c r="D148" s="119">
        <v>135</v>
      </c>
      <c r="E148" s="13">
        <f t="shared" ref="E148:E153" si="8">D148*1000000</f>
        <v>135000000</v>
      </c>
      <c r="F148" s="52" t="s">
        <v>243</v>
      </c>
      <c r="G148" s="3" t="s">
        <v>504</v>
      </c>
      <c r="H148" s="55">
        <f>VLOOKUP(F148,PROD_CAMOBILE_2025M1!A:B,2,FALSE)</f>
        <v>34270058</v>
      </c>
      <c r="I148" s="75"/>
      <c r="J148" s="75" t="e">
        <f>VLOOKUP(#REF!,'Formule TDB'!B:C,2,FALSE)</f>
        <v>#REF!</v>
      </c>
      <c r="K148" s="75" t="e">
        <v>#N/A</v>
      </c>
      <c r="L148" s="77">
        <f>E148-H148</f>
        <v>100729942</v>
      </c>
      <c r="M148" s="114" t="s">
        <v>562</v>
      </c>
      <c r="N148" s="133" t="s">
        <v>563</v>
      </c>
    </row>
    <row r="149" spans="1:14" ht="29.25">
      <c r="B149" t="s">
        <v>503</v>
      </c>
      <c r="C149" s="3" t="s">
        <v>504</v>
      </c>
      <c r="D149" s="51">
        <f>VLOOKUP(C149,'Données MOOV 01-2025'!C:D,2,FALSE)</f>
        <v>100.93324800000001</v>
      </c>
      <c r="E149" s="13">
        <f t="shared" si="8"/>
        <v>100933248</v>
      </c>
      <c r="I149" s="55">
        <v>48485001</v>
      </c>
      <c r="J149" s="68">
        <f>VLOOKUP(F148,'Formule TDB'!B:C,2,FALSE)</f>
        <v>-706142</v>
      </c>
      <c r="K149" s="74"/>
      <c r="L149" s="77"/>
      <c r="M149" s="114" t="s">
        <v>564</v>
      </c>
      <c r="N149" s="133" t="s">
        <v>563</v>
      </c>
    </row>
    <row r="150" spans="1:14">
      <c r="A150" s="5" t="s">
        <v>505</v>
      </c>
      <c r="B150" s="6"/>
      <c r="C150" s="3" t="s">
        <v>506</v>
      </c>
      <c r="D150" s="51">
        <f>VLOOKUP(C150,'Données MOOV 01-2025'!C:D,2,FALSE)</f>
        <v>206.55433600000001</v>
      </c>
      <c r="E150" s="13">
        <f t="shared" si="8"/>
        <v>206554336</v>
      </c>
      <c r="F150" s="52" t="s">
        <v>247</v>
      </c>
      <c r="G150" s="3" t="s">
        <v>506</v>
      </c>
      <c r="H150" s="55">
        <f>VLOOKUP(F150,PROD_CAMOBILE_2025M1!A:B,2,FALSE)</f>
        <v>206554336</v>
      </c>
      <c r="I150" s="55">
        <v>80538654</v>
      </c>
      <c r="J150" s="65" t="str">
        <f>VLOOKUP(F150,'Formule TDB'!B:C,2,FALSE)</f>
        <v>$CAMOBILE.#(L136:138)</v>
      </c>
      <c r="K150" s="65" t="s">
        <v>248</v>
      </c>
      <c r="L150" s="62">
        <f t="shared" si="6"/>
        <v>0</v>
      </c>
      <c r="M150" s="111"/>
    </row>
    <row r="151" spans="1:14">
      <c r="A151" s="25"/>
      <c r="B151" s="32" t="s">
        <v>507</v>
      </c>
      <c r="C151" s="3" t="s">
        <v>508</v>
      </c>
      <c r="D151" s="51">
        <f>VLOOKUP(C151,'Données MOOV 01-2025'!C:D,2,FALSE)</f>
        <v>198.26406700000001</v>
      </c>
      <c r="E151" s="13">
        <f t="shared" si="8"/>
        <v>198264067</v>
      </c>
      <c r="F151" s="52" t="s">
        <v>244</v>
      </c>
      <c r="G151" s="3" t="s">
        <v>508</v>
      </c>
      <c r="H151" s="55">
        <f>VLOOKUP(F151,PROD_CAMOBILE_2025M1!A:B,2,FALSE)</f>
        <v>198264067</v>
      </c>
      <c r="I151" s="55">
        <v>30808123</v>
      </c>
      <c r="J151" s="65">
        <f>VLOOKUP(F151,'Formule TDB'!B:C,2,FALSE)</f>
        <v>-701110</v>
      </c>
      <c r="K151" s="65">
        <v>-701110</v>
      </c>
      <c r="L151" s="62">
        <f t="shared" si="6"/>
        <v>0</v>
      </c>
      <c r="M151" s="111"/>
    </row>
    <row r="152" spans="1:14">
      <c r="A152" s="25"/>
      <c r="B152" s="32" t="s">
        <v>509</v>
      </c>
      <c r="C152" s="3" t="s">
        <v>510</v>
      </c>
      <c r="D152" s="51">
        <f>VLOOKUP(C152,'Données MOOV 01-2025'!C:D,2,FALSE)</f>
        <v>8.2902690000000003</v>
      </c>
      <c r="E152" s="13">
        <f t="shared" si="8"/>
        <v>8290269</v>
      </c>
      <c r="F152" s="52" t="s">
        <v>245</v>
      </c>
      <c r="G152" s="3" t="s">
        <v>510</v>
      </c>
      <c r="H152" s="55">
        <f>VLOOKUP(F152,PROD_CAMOBILE_2025M1!A:B,2,FALSE)</f>
        <v>8290269</v>
      </c>
      <c r="I152" s="55">
        <v>49730531</v>
      </c>
      <c r="J152" s="65">
        <f>VLOOKUP(F152,'Formule TDB'!B:C,2,FALSE)</f>
        <v>-701115</v>
      </c>
      <c r="K152" s="65">
        <v>-701115</v>
      </c>
      <c r="L152" s="62">
        <f t="shared" si="6"/>
        <v>0</v>
      </c>
      <c r="M152" s="111"/>
    </row>
    <row r="153" spans="1:14">
      <c r="A153" s="25"/>
      <c r="B153" s="32" t="s">
        <v>495</v>
      </c>
      <c r="C153" s="3" t="s">
        <v>511</v>
      </c>
      <c r="D153" s="51">
        <f>VLOOKUP(C153,'Données MOOV 01-2025'!C:D,2,FALSE)</f>
        <v>0</v>
      </c>
      <c r="E153" s="13">
        <f t="shared" si="8"/>
        <v>0</v>
      </c>
      <c r="F153" s="52" t="s">
        <v>246</v>
      </c>
      <c r="G153" s="3" t="s">
        <v>511</v>
      </c>
      <c r="H153" s="55">
        <f>VLOOKUP(F153,PROD_CAMOBILE_2025M1!A:B,2,FALSE)</f>
        <v>0</v>
      </c>
      <c r="I153" s="55">
        <v>0</v>
      </c>
      <c r="J153" s="65">
        <f>VLOOKUP(F153,'Formule TDB'!B:C,2,FALSE)</f>
        <v>-706160</v>
      </c>
      <c r="K153" s="65">
        <v>-706160</v>
      </c>
      <c r="L153" s="62">
        <f t="shared" si="6"/>
        <v>0</v>
      </c>
      <c r="M153" s="111"/>
    </row>
    <row r="154" spans="1:14">
      <c r="A154" s="56"/>
      <c r="B154" s="56"/>
      <c r="C154" s="56"/>
      <c r="D154" s="75" t="e">
        <f>VLOOKUP(C154,'Données MOOV 01-2025'!C:D,2,FALSE)</f>
        <v>#N/A</v>
      </c>
      <c r="E154" s="56"/>
      <c r="F154" s="52" t="s">
        <v>57</v>
      </c>
      <c r="G154" s="56"/>
      <c r="H154" s="76">
        <f>VLOOKUP(F154,PROD_CAMOBILE_2025M1!A:B,2,FALSE)</f>
        <v>3180246680</v>
      </c>
      <c r="I154" s="59"/>
      <c r="J154" s="59"/>
      <c r="K154" s="59"/>
      <c r="L154" s="76">
        <f t="shared" si="6"/>
        <v>-3180246680</v>
      </c>
    </row>
  </sheetData>
  <mergeCells count="9">
    <mergeCell ref="F1:H1"/>
    <mergeCell ref="A43:B43"/>
    <mergeCell ref="A65:B65"/>
    <mergeCell ref="A87:B87"/>
    <mergeCell ref="A6:B6"/>
    <mergeCell ref="A1:E1"/>
    <mergeCell ref="A39:B39"/>
    <mergeCell ref="A40:B40"/>
    <mergeCell ref="A41:B41"/>
  </mergeCells>
  <conditionalFormatting sqref="L2:M2">
    <cfRule type="colorScale" priority="1">
      <colorScale>
        <cfvo type="min"/>
        <cfvo type="max"/>
        <color rgb="FFFF0000"/>
        <color rgb="FFFF000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76E7-AA3E-4513-9A88-1EFE01DF920D}">
  <dimension ref="A1:B21"/>
  <sheetViews>
    <sheetView topLeftCell="A7" workbookViewId="0">
      <selection activeCell="C12" sqref="C12"/>
    </sheetView>
  </sheetViews>
  <sheetFormatPr defaultColWidth="11.42578125" defaultRowHeight="15"/>
  <cols>
    <col min="1" max="1" width="23.42578125" bestFit="1" customWidth="1"/>
    <col min="2" max="2" width="28.7109375" bestFit="1" customWidth="1"/>
  </cols>
  <sheetData>
    <row r="1" spans="1:2">
      <c r="A1" t="s">
        <v>565</v>
      </c>
    </row>
    <row r="2" spans="1:2">
      <c r="A2" s="103" t="s">
        <v>566</v>
      </c>
      <c r="B2" s="42" t="s">
        <v>567</v>
      </c>
    </row>
    <row r="3" spans="1:2">
      <c r="A3" s="42" t="s">
        <v>568</v>
      </c>
      <c r="B3" s="42" t="s">
        <v>569</v>
      </c>
    </row>
    <row r="4" spans="1:2">
      <c r="A4" s="42" t="s">
        <v>570</v>
      </c>
      <c r="B4" s="42" t="s">
        <v>571</v>
      </c>
    </row>
    <row r="5" spans="1:2">
      <c r="A5" s="42" t="s">
        <v>572</v>
      </c>
      <c r="B5" s="42" t="s">
        <v>573</v>
      </c>
    </row>
    <row r="6" spans="1:2">
      <c r="A6" s="42" t="s">
        <v>574</v>
      </c>
      <c r="B6" s="42" t="s">
        <v>575</v>
      </c>
    </row>
    <row r="10" spans="1:2">
      <c r="A10" t="s">
        <v>576</v>
      </c>
    </row>
    <row r="11" spans="1:2">
      <c r="A11" s="104" t="s">
        <v>577</v>
      </c>
      <c r="B11" s="105" t="s">
        <v>578</v>
      </c>
    </row>
    <row r="12" spans="1:2">
      <c r="A12" s="104" t="s">
        <v>579</v>
      </c>
      <c r="B12" s="104" t="s">
        <v>580</v>
      </c>
    </row>
    <row r="13" spans="1:2">
      <c r="A13" s="104" t="s">
        <v>581</v>
      </c>
      <c r="B13" s="104" t="s">
        <v>582</v>
      </c>
    </row>
    <row r="17" spans="1:2">
      <c r="A17" t="s">
        <v>583</v>
      </c>
    </row>
    <row r="18" spans="1:2">
      <c r="A18">
        <v>706142</v>
      </c>
      <c r="B18" t="s">
        <v>584</v>
      </c>
    </row>
    <row r="19" spans="1:2">
      <c r="A19" s="104" t="s">
        <v>577</v>
      </c>
      <c r="B19" s="105" t="s">
        <v>578</v>
      </c>
    </row>
    <row r="20" spans="1:2">
      <c r="A20" s="104" t="s">
        <v>579</v>
      </c>
      <c r="B20" s="104" t="s">
        <v>580</v>
      </c>
    </row>
    <row r="21" spans="1:2">
      <c r="A21" s="104" t="s">
        <v>581</v>
      </c>
      <c r="B21" s="104" t="s">
        <v>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422B-7125-4FD0-BF76-1A9B1DB5D3E7}">
  <sheetPr>
    <tabColor rgb="FFC00000"/>
    <pageSetUpPr fitToPage="1"/>
  </sheetPr>
  <dimension ref="A1:F23"/>
  <sheetViews>
    <sheetView view="pageBreakPreview" zoomScaleNormal="100" zoomScaleSheetLayoutView="100" workbookViewId="0">
      <selection activeCell="D6" sqref="D6:D11"/>
    </sheetView>
  </sheetViews>
  <sheetFormatPr defaultColWidth="8" defaultRowHeight="15"/>
  <cols>
    <col min="1" max="1" width="2.85546875" customWidth="1"/>
    <col min="2" max="2" width="5.42578125" style="90" customWidth="1"/>
    <col min="3" max="3" width="63.42578125" customWidth="1"/>
    <col min="4" max="4" width="18.42578125" style="90" bestFit="1" customWidth="1"/>
    <col min="5" max="6" width="12.42578125" bestFit="1" customWidth="1"/>
    <col min="7" max="7" width="10.140625" bestFit="1" customWidth="1"/>
    <col min="8" max="8" width="11.42578125" bestFit="1" customWidth="1"/>
    <col min="9" max="9" width="10.28515625" bestFit="1" customWidth="1"/>
  </cols>
  <sheetData>
    <row r="1" spans="1:6" ht="18">
      <c r="A1" s="83"/>
      <c r="B1" s="84"/>
      <c r="C1" s="131" t="s">
        <v>585</v>
      </c>
      <c r="D1" s="131"/>
      <c r="E1" s="131"/>
      <c r="F1" s="131"/>
    </row>
    <row r="2" spans="1:6">
      <c r="A2" s="83"/>
      <c r="B2" s="84"/>
      <c r="C2" s="85" t="s">
        <v>586</v>
      </c>
      <c r="D2" s="86" t="s">
        <v>587</v>
      </c>
      <c r="E2" s="85" t="s">
        <v>588</v>
      </c>
      <c r="F2" s="85" t="s">
        <v>589</v>
      </c>
    </row>
    <row r="3" spans="1:6">
      <c r="A3" s="83"/>
      <c r="B3" s="84"/>
      <c r="C3" s="132" t="s">
        <v>590</v>
      </c>
      <c r="D3" s="132"/>
      <c r="E3" s="132"/>
      <c r="F3" s="132"/>
    </row>
    <row r="4" spans="1:6">
      <c r="A4" s="83"/>
      <c r="B4" s="84"/>
      <c r="C4" s="87" t="s">
        <v>591</v>
      </c>
      <c r="D4" s="88">
        <v>0</v>
      </c>
      <c r="E4" s="89" t="s">
        <v>592</v>
      </c>
      <c r="F4" s="89"/>
    </row>
    <row r="5" spans="1:6">
      <c r="A5" s="83"/>
      <c r="B5" s="84"/>
      <c r="C5" s="91" t="s">
        <v>593</v>
      </c>
      <c r="D5" s="88">
        <v>30324285.788135599</v>
      </c>
      <c r="E5" s="89" t="s">
        <v>594</v>
      </c>
      <c r="F5" s="89" t="s">
        <v>595</v>
      </c>
    </row>
    <row r="6" spans="1:6">
      <c r="A6" s="83"/>
      <c r="B6" s="84"/>
      <c r="C6" s="87" t="s">
        <v>596</v>
      </c>
      <c r="D6" s="93">
        <v>29291906.9576272</v>
      </c>
      <c r="E6" s="89"/>
      <c r="F6" s="89"/>
    </row>
    <row r="7" spans="1:6">
      <c r="A7" s="83"/>
      <c r="B7" s="84"/>
      <c r="C7" s="91" t="s">
        <v>597</v>
      </c>
      <c r="D7" s="93"/>
      <c r="E7" s="89"/>
      <c r="F7" s="89"/>
    </row>
    <row r="8" spans="1:6">
      <c r="A8" s="83"/>
      <c r="B8" s="84"/>
      <c r="C8" s="87" t="s">
        <v>598</v>
      </c>
      <c r="D8" s="93">
        <v>0</v>
      </c>
      <c r="E8" s="89"/>
      <c r="F8" s="89"/>
    </row>
    <row r="9" spans="1:6">
      <c r="A9" s="83"/>
      <c r="B9" s="84"/>
      <c r="C9" s="91" t="s">
        <v>599</v>
      </c>
      <c r="D9" s="93"/>
      <c r="E9" s="89"/>
      <c r="F9" s="89"/>
    </row>
    <row r="10" spans="1:6">
      <c r="A10" s="83"/>
      <c r="B10" s="84"/>
      <c r="C10" s="87" t="s">
        <v>600</v>
      </c>
      <c r="D10" s="93">
        <v>8124.8474576271201</v>
      </c>
      <c r="E10" s="89"/>
      <c r="F10" s="89"/>
    </row>
    <row r="11" spans="1:6">
      <c r="A11" s="83"/>
      <c r="B11" s="84"/>
      <c r="C11" s="91" t="s">
        <v>601</v>
      </c>
      <c r="D11" s="93">
        <v>272670.33898305101</v>
      </c>
      <c r="E11" s="89"/>
      <c r="F11" s="89"/>
    </row>
    <row r="12" spans="1:6">
      <c r="A12" s="83"/>
      <c r="B12" s="84"/>
      <c r="C12" s="87" t="s">
        <v>602</v>
      </c>
      <c r="D12" s="88">
        <v>59586.677966101699</v>
      </c>
      <c r="E12" s="89" t="s">
        <v>594</v>
      </c>
      <c r="F12" s="89" t="s">
        <v>603</v>
      </c>
    </row>
    <row r="13" spans="1:6">
      <c r="A13" s="83"/>
      <c r="B13" s="84"/>
      <c r="C13" s="91" t="s">
        <v>604</v>
      </c>
      <c r="D13" s="88">
        <v>1491349046.8643401</v>
      </c>
      <c r="E13" s="89" t="s">
        <v>594</v>
      </c>
      <c r="F13" s="89" t="s">
        <v>605</v>
      </c>
    </row>
    <row r="14" spans="1:6">
      <c r="A14" s="83"/>
      <c r="B14" s="84"/>
      <c r="C14" s="87" t="s">
        <v>606</v>
      </c>
      <c r="D14" s="92"/>
      <c r="E14" s="89" t="s">
        <v>607</v>
      </c>
      <c r="F14" s="89"/>
    </row>
    <row r="15" spans="1:6">
      <c r="A15" s="83"/>
      <c r="B15" s="84"/>
      <c r="C15" s="94" t="s">
        <v>608</v>
      </c>
      <c r="D15" s="95"/>
      <c r="E15" s="130"/>
      <c r="F15" s="130"/>
    </row>
    <row r="19" spans="4:6">
      <c r="E19" s="90"/>
    </row>
    <row r="20" spans="4:6">
      <c r="E20" s="90"/>
    </row>
    <row r="21" spans="4:6">
      <c r="D21" s="96"/>
      <c r="E21" s="97"/>
      <c r="F21" s="90"/>
    </row>
    <row r="22" spans="4:6">
      <c r="E22" s="98"/>
      <c r="F22" s="90"/>
    </row>
    <row r="23" spans="4:6">
      <c r="E23" s="98"/>
      <c r="F23" s="90"/>
    </row>
  </sheetData>
  <mergeCells count="3">
    <mergeCell ref="E15:F15"/>
    <mergeCell ref="C1:F1"/>
    <mergeCell ref="C3:F3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AEE2-FA31-4B8E-95DE-B4D75FBDF475}">
  <sheetPr>
    <tabColor rgb="FFC00000"/>
    <pageSetUpPr fitToPage="1"/>
  </sheetPr>
  <dimension ref="A1:G15"/>
  <sheetViews>
    <sheetView view="pageBreakPreview" zoomScaleNormal="100" zoomScaleSheetLayoutView="100" workbookViewId="0">
      <selection activeCell="C18" sqref="C18"/>
    </sheetView>
  </sheetViews>
  <sheetFormatPr defaultColWidth="11.42578125" defaultRowHeight="15"/>
  <cols>
    <col min="1" max="1" width="6.42578125" customWidth="1"/>
    <col min="2" max="2" width="4.7109375" style="90" customWidth="1"/>
    <col min="3" max="3" width="64.28515625" customWidth="1"/>
    <col min="4" max="4" width="18.42578125" style="90" bestFit="1" customWidth="1"/>
    <col min="5" max="5" width="10.85546875" bestFit="1" customWidth="1"/>
    <col min="6" max="6" width="7.28515625" bestFit="1" customWidth="1"/>
    <col min="7" max="7" width="10.42578125" bestFit="1" customWidth="1"/>
  </cols>
  <sheetData>
    <row r="1" spans="1:7" ht="18">
      <c r="A1" s="83"/>
      <c r="B1" s="84"/>
      <c r="C1" s="131" t="s">
        <v>609</v>
      </c>
      <c r="D1" s="131"/>
      <c r="E1" s="131"/>
      <c r="F1" s="131"/>
    </row>
    <row r="2" spans="1:7">
      <c r="A2" s="83"/>
      <c r="B2" s="84"/>
      <c r="C2" s="85" t="s">
        <v>586</v>
      </c>
      <c r="D2" s="86" t="s">
        <v>587</v>
      </c>
      <c r="E2" s="85" t="s">
        <v>588</v>
      </c>
      <c r="F2" s="85" t="s">
        <v>589</v>
      </c>
    </row>
    <row r="3" spans="1:7">
      <c r="A3" s="83"/>
      <c r="B3" s="84"/>
      <c r="C3" s="132" t="s">
        <v>590</v>
      </c>
      <c r="D3" s="132"/>
      <c r="E3" s="132"/>
      <c r="F3" s="132"/>
      <c r="G3" s="99"/>
    </row>
    <row r="4" spans="1:7">
      <c r="A4" s="83"/>
      <c r="B4" s="84"/>
      <c r="C4" s="87" t="s">
        <v>591</v>
      </c>
      <c r="D4" s="100"/>
      <c r="E4" s="89" t="s">
        <v>592</v>
      </c>
      <c r="F4" s="89"/>
      <c r="G4" s="99"/>
    </row>
    <row r="5" spans="1:7">
      <c r="A5" s="83"/>
      <c r="B5" s="84"/>
      <c r="C5" s="91" t="s">
        <v>593</v>
      </c>
      <c r="D5" s="100">
        <v>22818904.220339</v>
      </c>
      <c r="E5" s="89" t="s">
        <v>594</v>
      </c>
      <c r="F5" s="89" t="s">
        <v>595</v>
      </c>
      <c r="G5" s="99"/>
    </row>
    <row r="6" spans="1:7">
      <c r="A6" s="83"/>
      <c r="B6" s="84"/>
      <c r="C6" s="87" t="s">
        <v>596</v>
      </c>
      <c r="D6" s="100">
        <v>55885253.169491403</v>
      </c>
      <c r="E6" s="89"/>
      <c r="F6" s="89"/>
      <c r="G6" s="99"/>
    </row>
    <row r="7" spans="1:7">
      <c r="A7" s="83"/>
      <c r="B7" s="84"/>
      <c r="C7" s="91" t="s">
        <v>597</v>
      </c>
      <c r="D7" s="100"/>
      <c r="E7" s="89"/>
      <c r="F7" s="89"/>
      <c r="G7" s="99"/>
    </row>
    <row r="8" spans="1:7">
      <c r="A8" s="83"/>
      <c r="B8" s="84"/>
      <c r="C8" s="87" t="s">
        <v>598</v>
      </c>
      <c r="D8" s="100"/>
      <c r="E8" s="89"/>
      <c r="F8" s="89"/>
      <c r="G8" s="99"/>
    </row>
    <row r="9" spans="1:7">
      <c r="A9" s="83"/>
      <c r="B9" s="84"/>
      <c r="C9" s="91" t="s">
        <v>599</v>
      </c>
      <c r="D9" s="100"/>
      <c r="E9" s="89"/>
      <c r="F9" s="89"/>
      <c r="G9" s="99"/>
    </row>
    <row r="10" spans="1:7">
      <c r="A10" s="83"/>
      <c r="B10" s="84"/>
      <c r="C10" s="87" t="s">
        <v>600</v>
      </c>
      <c r="D10" s="100">
        <v>97320.830508474595</v>
      </c>
      <c r="E10" s="89"/>
      <c r="F10" s="89"/>
      <c r="G10" s="99"/>
    </row>
    <row r="11" spans="1:7">
      <c r="A11" s="83"/>
      <c r="B11" s="84"/>
      <c r="C11" s="91" t="s">
        <v>601</v>
      </c>
      <c r="D11" s="100">
        <v>1474601.5593220301</v>
      </c>
      <c r="E11" s="89"/>
      <c r="F11" s="89"/>
      <c r="G11" s="99"/>
    </row>
    <row r="12" spans="1:7">
      <c r="A12" s="83"/>
      <c r="B12" s="84"/>
      <c r="C12" s="87" t="s">
        <v>602</v>
      </c>
      <c r="D12" s="100">
        <v>215991.10169491501</v>
      </c>
      <c r="E12" s="89" t="s">
        <v>594</v>
      </c>
      <c r="F12" s="89" t="s">
        <v>603</v>
      </c>
      <c r="G12" s="99"/>
    </row>
    <row r="13" spans="1:7">
      <c r="A13" s="83"/>
      <c r="B13" s="84"/>
      <c r="C13" s="91" t="s">
        <v>604</v>
      </c>
      <c r="D13" s="100">
        <v>63833113.211865403</v>
      </c>
      <c r="E13" s="89" t="s">
        <v>594</v>
      </c>
      <c r="F13" s="89" t="s">
        <v>605</v>
      </c>
      <c r="G13" s="99"/>
    </row>
    <row r="14" spans="1:7">
      <c r="A14" s="83"/>
      <c r="B14" s="84"/>
      <c r="C14" s="87" t="s">
        <v>606</v>
      </c>
      <c r="D14" s="101"/>
      <c r="E14" s="89" t="s">
        <v>607</v>
      </c>
      <c r="F14" s="89"/>
      <c r="G14" s="99"/>
    </row>
    <row r="15" spans="1:7">
      <c r="A15" s="83"/>
      <c r="B15" s="84"/>
      <c r="C15" s="94" t="s">
        <v>608</v>
      </c>
      <c r="D15" s="95"/>
      <c r="E15" s="130"/>
      <c r="F15" s="130"/>
      <c r="G15" s="99"/>
    </row>
  </sheetData>
  <mergeCells count="3">
    <mergeCell ref="E15:F15"/>
    <mergeCell ref="C1:F1"/>
    <mergeCell ref="C3:F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Assane Kamara</cp:lastModifiedBy>
  <cp:revision/>
  <dcterms:created xsi:type="dcterms:W3CDTF">2025-04-03T21:23:36Z</dcterms:created>
  <dcterms:modified xsi:type="dcterms:W3CDTF">2025-04-17T08:23:56Z</dcterms:modified>
  <cp:category/>
  <cp:contentStatus/>
</cp:coreProperties>
</file>