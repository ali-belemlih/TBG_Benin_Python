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 filterPrivacy="1"/>
  <xr:revisionPtr revIDLastSave="0" documentId="11_C104385AC2CA09DC891365F4A88634E1EA3E9847" xr6:coauthVersionLast="47" xr6:coauthVersionMax="47" xr10:uidLastSave="{00000000-0000-0000-0000-000000000000}"/>
  <bookViews>
    <workbookView xWindow="0" yWindow="0" windowWidth="22260" windowHeight="12650" firstSheet="4" activeTab="4" xr2:uid="{00000000-000D-0000-FFFF-FFFF00000000}"/>
  </bookViews>
  <sheets>
    <sheet name="632200 01 25" sheetId="1" r:id="rId1"/>
    <sheet name="605731 01 25" sheetId="2" r:id="rId2"/>
    <sheet name="632200 02 25" sheetId="4" r:id="rId3"/>
    <sheet name="605731 02 25" sheetId="5" r:id="rId4"/>
    <sheet name="RECAP" sheetId="3" r:id="rId5"/>
  </sheets>
  <definedNames>
    <definedName name="_xlnm._FilterDatabase" localSheetId="1" hidden="1">'605731 01 25'!$A$1:$T$34</definedName>
    <definedName name="_xlnm._FilterDatabase" localSheetId="3" hidden="1">'605731 02 25'!$A$1:$T$40</definedName>
    <definedName name="_xlnm._FilterDatabase" localSheetId="0" hidden="1">'632200 01 25'!$A$1:$T$176</definedName>
    <definedName name="_xlnm._FilterDatabase" localSheetId="2" hidden="1">'632200 02 25'!$A$1:$T$175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3" i="4" l="1"/>
  <c r="M92" i="4"/>
  <c r="M91" i="4"/>
  <c r="M90" i="4"/>
  <c r="M89" i="4"/>
  <c r="M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M40" i="5" l="1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  <c r="C14" i="3" l="1"/>
  <c r="C13" i="3"/>
  <c r="C12" i="3"/>
  <c r="C5" i="3"/>
  <c r="C4" i="3"/>
  <c r="C3" i="3"/>
  <c r="C2" i="3"/>
  <c r="B13" i="3"/>
  <c r="B14" i="3"/>
  <c r="B12" i="3"/>
  <c r="B3" i="3"/>
  <c r="B4" i="3"/>
  <c r="B5" i="3"/>
  <c r="B2" i="3"/>
  <c r="M34" i="2" l="1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M127" i="1"/>
  <c r="M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<sst xmlns="http://schemas.openxmlformats.org/spreadsheetml/2006/main" count="2800" uniqueCount="648">
  <si>
    <t>Date</t>
  </si>
  <si>
    <t>NumÃ©ro de piÃ¨ce</t>
  </si>
  <si>
    <t>Site</t>
  </si>
  <si>
    <t>Type</t>
  </si>
  <si>
    <t>Journal</t>
  </si>
  <si>
    <t>LibellÃ© ligne</t>
  </si>
  <si>
    <t>DÃ©bit rÃ©fÃ©rentiel</t>
  </si>
  <si>
    <t>CrÃ©dit rÃ©fÃ©rentiel</t>
  </si>
  <si>
    <t>SOLDE</t>
  </si>
  <si>
    <t>MAP</t>
  </si>
  <si>
    <t>RÃ©fÃ©rence</t>
  </si>
  <si>
    <t>Contrepartie</t>
  </si>
  <si>
    <t>Taxe</t>
  </si>
  <si>
    <t>Coll</t>
  </si>
  <si>
    <t>Transaction</t>
  </si>
  <si>
    <t>Module</t>
  </si>
  <si>
    <t>CatÃ©gorie</t>
  </si>
  <si>
    <t>Etat</t>
  </si>
  <si>
    <t>NumÃ©ro chrono</t>
  </si>
  <si>
    <t>Marquage</t>
  </si>
  <si>
    <t>SIEGE1901EXTOU000131</t>
  </si>
  <si>
    <t>SIEGE</t>
  </si>
  <si>
    <t>EXT</t>
  </si>
  <si>
    <t>PROV RSIT ANNUEL D_COM DEC 24</t>
  </si>
  <si>
    <t>AUTRES</t>
  </si>
  <si>
    <t>EXT12046</t>
  </si>
  <si>
    <t>STDCO</t>
  </si>
  <si>
    <t>PROV RSIT ANNUEL SOMAC DEC 24</t>
  </si>
  <si>
    <t>PROV RSIT ANNUEL EASYCOM DEC 24</t>
  </si>
  <si>
    <t>PROV RSIT ANNUEL LINARCEL DEC 24</t>
  </si>
  <si>
    <t>PROV RSIT ANNUEL PRODICOM DEC 24</t>
  </si>
  <si>
    <t>PROV RSIT ANNUEL AFTELT DEC 24</t>
  </si>
  <si>
    <t>PROV RIST TRIMESTR EASY COM DEC 24</t>
  </si>
  <si>
    <t>PROV RIST TRIMESTR LINARCEL  DEC 24</t>
  </si>
  <si>
    <t>PROV RIST TRIMESTR PRODICOM  DEC 24</t>
  </si>
  <si>
    <t>PROV RIST TRIMESTR SOMAC  DEC 24</t>
  </si>
  <si>
    <t>PROV RIST TRIM AFTEL DEC 24</t>
  </si>
  <si>
    <t>PROV RIST/MENS MMONEY EASY COM  DEC 24</t>
  </si>
  <si>
    <t>PROV RIST/MENS MMONEY LINARCEL  DEC 24</t>
  </si>
  <si>
    <t>PROV RIST/MENS MMONEY PRODICOM  DEC 24</t>
  </si>
  <si>
    <t>PROV RIST/ACHATS D_COMM  DEC 24</t>
  </si>
  <si>
    <t>PROV RIST/ACHATS EASY COM  DEC 24</t>
  </si>
  <si>
    <t>PROV RIST/ACHATS PRODICOM  DEC 24</t>
  </si>
  <si>
    <t>PROV PRIM  ACTIV DCOM  DEC 24</t>
  </si>
  <si>
    <t>PROV PRIM ACTIV EASY COM  DEC 24</t>
  </si>
  <si>
    <t>PROV PRIM ACTIV LINARCEL  DEC 24</t>
  </si>
  <si>
    <t>PROV PRIM ACTIV AFTEL  DEC 24</t>
  </si>
  <si>
    <t>PROV COM M-MONEY EASY COM  DEC 24</t>
  </si>
  <si>
    <t>PROV COM M-MONEY LINARCEL  DEC 24</t>
  </si>
  <si>
    <t>PROV COM M-MONEY PRODICOM  DEC 24</t>
  </si>
  <si>
    <t>PROV COM M-MONEY AFTEL  DEC 24</t>
  </si>
  <si>
    <t>PROV PRIM SPE NORD EASYCOM  DEC 24</t>
  </si>
  <si>
    <t>PROV PRIM SPE NORD LINARCEL  DEC 24</t>
  </si>
  <si>
    <t>EXT PROV PRIM ACTIV AFTEL  NOV 24</t>
  </si>
  <si>
    <t>EXT PROV PRIM  ACTIV DCOM  NOV 24</t>
  </si>
  <si>
    <t>EXT PROV PRIM ACTIV UNIQ TRUST  AOUT 24</t>
  </si>
  <si>
    <t>EXT PROV COM M-MONEY UNIQ TRUST  AOUT 24</t>
  </si>
  <si>
    <t>DCOM EXT PROV CCÂ° IMM  SEPT  24</t>
  </si>
  <si>
    <t>DCOM EXT PROV CCÂ° IMM  PDV SEPT  24</t>
  </si>
  <si>
    <t>EXT PROV RIST/ACHATS D_COMM  SEPT 24</t>
  </si>
  <si>
    <t>EXT PROV PRIM SPE NORD D_COM  SEPT 24</t>
  </si>
  <si>
    <t>EXT PROV COM M-MONEY DCOM  SEPT 24</t>
  </si>
  <si>
    <t>EXT PARTIEL/RSIT ANNUEL D_COM</t>
  </si>
  <si>
    <t>EXT PROV RIST TRIMESTR EASY COM OCT 24</t>
  </si>
  <si>
    <t>EXT PROV RIST TRIMESTR LINARCEL  OCT 24</t>
  </si>
  <si>
    <t>EXT PROV RIST TRIMESTR PRODICOM  OCT 24</t>
  </si>
  <si>
    <t>EXT PROV RIST TRIMESTR SOMAC  OCT 24</t>
  </si>
  <si>
    <t>EXT PROV RIST TRIM AFTEL OCT 24</t>
  </si>
  <si>
    <t>EXT PROV RIST TRIMESTR EASY COM NOV 24</t>
  </si>
  <si>
    <t>EXT PROV RIST TRIMESTR LINARCEL  NOV 24</t>
  </si>
  <si>
    <t>EXT PROV RIST TRIMESTR PRODICOM  NOV 24</t>
  </si>
  <si>
    <t>EXT PROV RIST TRIMESTR SOMAC  NOV 24</t>
  </si>
  <si>
    <t>EXT PROV RIST TRIM AFTEL NOV 24</t>
  </si>
  <si>
    <t>SIEGE1901EXTOU000132</t>
  </si>
  <si>
    <t>EXT PROV RSIT ANNUEL EASYCOM NOV 24</t>
  </si>
  <si>
    <t>SIEGE1901EXTOU000133</t>
  </si>
  <si>
    <t>DCOM EXT PROV CCÂ° IMM DEC 24</t>
  </si>
  <si>
    <t>EXT120046</t>
  </si>
  <si>
    <t>EASYCOM EXT PROV CCÂ° IMM DEC 24</t>
  </si>
  <si>
    <t>LINARCEL PROC CCÂ° IMM DEC 24</t>
  </si>
  <si>
    <t>PRODICOM EXT PROV CCÂ° IMM DEC 24</t>
  </si>
  <si>
    <t>SOMAC EXT PROV CCÂ° IMM DEC 24</t>
  </si>
  <si>
    <t>Aftel EXT PROV CCÂ° IMM DEC 24</t>
  </si>
  <si>
    <t>DCOM EXT PROV CCÂ° IMM  PDV DEC 24</t>
  </si>
  <si>
    <t>EASYCOM EXT PROV CCÂ° IMM  PDVDEC 24</t>
  </si>
  <si>
    <t>LINARCEL EXT PROV CCÂ° IMM  PDVDEC 24</t>
  </si>
  <si>
    <t>PRODICOM EXT PROV CCÂ° IMM  PDVDEC 24</t>
  </si>
  <si>
    <t>SOMAC EXT PROV CCÂ° IMM  PDVDEC 24</t>
  </si>
  <si>
    <t>Aftel  EXT PROV CCÂ° IMM  PDVDEC 24</t>
  </si>
  <si>
    <t>SIEGE1901EXTOU000135</t>
  </si>
  <si>
    <t>PROV RIST TRIMESTR D_COM DEC 24</t>
  </si>
  <si>
    <t>PROV RIST/MENS MMONEY D_COMM  DEC 24</t>
  </si>
  <si>
    <t>PROV RIST/MENS MMONEY SOMAC  DEC 24</t>
  </si>
  <si>
    <t>PROV RIST/ACHATS SOMAC  DEC 24</t>
  </si>
  <si>
    <t>PROV COM M-MONEY DCOM  DEC 24</t>
  </si>
  <si>
    <t>PROV COM M-MONEY SOMAC  DEC 24</t>
  </si>
  <si>
    <t>PROV PRIM SPE NORD D_COM  DEC 24</t>
  </si>
  <si>
    <t>EXT PROV RIST TRIMESTR D_COM NOV 24</t>
  </si>
  <si>
    <t>EXT PROV RIST TRIMESTR D_COM OCT 24</t>
  </si>
  <si>
    <t>FAFSIEGE25010323</t>
  </si>
  <si>
    <t>FAFOU</t>
  </si>
  <si>
    <t>FA</t>
  </si>
  <si>
    <t>AGONMAKPOSSI F4 COMMISSION</t>
  </si>
  <si>
    <t>FA0349</t>
  </si>
  <si>
    <t>FAFSIEGE25010324</t>
  </si>
  <si>
    <t>FA0350</t>
  </si>
  <si>
    <t>SIEGE1901EXTOU000044</t>
  </si>
  <si>
    <t>EXT PROV PRIMES ACTIVATÂ°/MOOVSHOPS</t>
  </si>
  <si>
    <t>EXT12029</t>
  </si>
  <si>
    <t>EXT PROV PROMOTEURS PRIME JRNL</t>
  </si>
  <si>
    <t>FAFSIEGE25010094</t>
  </si>
  <si>
    <t>ANNUL DJOKLE C. F18 NOV24 APPORTEUR D'AFFAIRE</t>
  </si>
  <si>
    <t>FA0143</t>
  </si>
  <si>
    <t>FAFSIEGE25010095</t>
  </si>
  <si>
    <t>FA0144</t>
  </si>
  <si>
    <t>FAFSIEGE25010001</t>
  </si>
  <si>
    <t>EASYCOM F16155 DEC-24 COM PDV</t>
  </si>
  <si>
    <t>FA0051</t>
  </si>
  <si>
    <t>FAFSIEGE25010002</t>
  </si>
  <si>
    <t>EASYCOM F16155 DEC-24 DIRECTE MASTER</t>
  </si>
  <si>
    <t>EASYCOM F16155 DEC-24 COM EVD</t>
  </si>
  <si>
    <t>EASYCOM F16155 DEC-24 MENSUEL MM</t>
  </si>
  <si>
    <t>EASYCOM F16155 DEC-24 RECHARG MM</t>
  </si>
  <si>
    <t>EASYCOM F16155 DEC-24 SPECIAL NORD</t>
  </si>
  <si>
    <t>EASYCOM F15623 T4-2024 TRIME4</t>
  </si>
  <si>
    <t>FAFSIEGE25010003</t>
  </si>
  <si>
    <t>AVOIR F1033 LINARCEL F1032 NOV24 COM REALISATÂ° MM DEPOT RETRAIT</t>
  </si>
  <si>
    <t>FA0052</t>
  </si>
  <si>
    <t>FAFSIEGE25010010</t>
  </si>
  <si>
    <t>EASYCOM F16176 ANNUELLE 2024  COMMISSION</t>
  </si>
  <si>
    <t>FA0059</t>
  </si>
  <si>
    <t>FAFSIEGE25010134</t>
  </si>
  <si>
    <t>SOMAC F154 DEC-24 COM</t>
  </si>
  <si>
    <t>FA0005</t>
  </si>
  <si>
    <t>FAFSIEGE25010135</t>
  </si>
  <si>
    <t>SOMAC F155 COM T4 2024</t>
  </si>
  <si>
    <t>FA0006</t>
  </si>
  <si>
    <t>FAFSIEGE25010136</t>
  </si>
  <si>
    <t>SOMAC F156 DEC-24 4% COM</t>
  </si>
  <si>
    <t>FA0007</t>
  </si>
  <si>
    <t>FAFSIEGE25010137</t>
  </si>
  <si>
    <t>AFTEL F20 1,5% DEC-24 COM DIRECT</t>
  </si>
  <si>
    <t>FA0008</t>
  </si>
  <si>
    <t>AFTEL F20 4% DEC-24 COM DIRECT</t>
  </si>
  <si>
    <t>AFTEL F20 COMMI T4 2024</t>
  </si>
  <si>
    <t>FAFSIEGE25010138</t>
  </si>
  <si>
    <t>AFTEL F22 DEC-24 COM RECHARGE</t>
  </si>
  <si>
    <t>FA0009</t>
  </si>
  <si>
    <t>FAFSIEGE25010150</t>
  </si>
  <si>
    <t>SOMAC F157 SOLD COM ANNU-24</t>
  </si>
  <si>
    <t>FA0021</t>
  </si>
  <si>
    <t>FAFSIEGE25010151</t>
  </si>
  <si>
    <t>D COMMERCIAL F388 ANNUEL-24</t>
  </si>
  <si>
    <t>FA0022</t>
  </si>
  <si>
    <t>FAFSIEGE25010152</t>
  </si>
  <si>
    <t>D COMMERCIAL F389 1,5% DEC-24 COM DIRECT</t>
  </si>
  <si>
    <t>FA0023</t>
  </si>
  <si>
    <t>D COMMERCIAL F389 4% DEC-24 COM DIRECT</t>
  </si>
  <si>
    <t>D-COMMERCIAL F389 DEC-24 COMMI MENSUELLES</t>
  </si>
  <si>
    <t>FAFSIEGE25010097</t>
  </si>
  <si>
    <t>AGONMAKPOSSI F5 OCT-24 APPORTEUR AFFAIRE</t>
  </si>
  <si>
    <t>FA0146</t>
  </si>
  <si>
    <t>FAFSIEGE25010098</t>
  </si>
  <si>
    <t>AGONMAKPOSSI F6 NOV-24 APPORTEUR AFFAIRE</t>
  </si>
  <si>
    <t>FA0147</t>
  </si>
  <si>
    <t>FAFSIEGE25010057</t>
  </si>
  <si>
    <t>LINARCEL F1052 COM ANNUELLE-24</t>
  </si>
  <si>
    <t>FA0106</t>
  </si>
  <si>
    <t>FAFSIEGE25010058</t>
  </si>
  <si>
    <t>LINARCEL F1053 DEC-24 COM PDV</t>
  </si>
  <si>
    <t>FA0107</t>
  </si>
  <si>
    <t>FAFSIEGE25010059</t>
  </si>
  <si>
    <t>LINARCEL F1051 DEC-24  DIRECTE MASTER</t>
  </si>
  <si>
    <t>FA0108</t>
  </si>
  <si>
    <t>LINARCEL F1051 DEC-24  EVD</t>
  </si>
  <si>
    <t>LINARCEL F1051 DEC-24  MENSUEL MM</t>
  </si>
  <si>
    <t>LINARCEL F1051 DEC-24  RECHARG MM</t>
  </si>
  <si>
    <t>LINARCEL F1051 DEC-24  SPECIALE NORD</t>
  </si>
  <si>
    <t>LINARCEL F1051 T4-24 COM TRIMESTRIELLE</t>
  </si>
  <si>
    <t>FAFSIEGE25010182</t>
  </si>
  <si>
    <t>AFTEL F26 NOV-24 COM RECHARGE</t>
  </si>
  <si>
    <t>FA0153</t>
  </si>
  <si>
    <t>FAFSIEGE25010183</t>
  </si>
  <si>
    <t>D COMMERCIAL F391 NOV-24 ACTIVATION KITS</t>
  </si>
  <si>
    <t>FA0154</t>
  </si>
  <si>
    <t>FAFSIEGE25010237</t>
  </si>
  <si>
    <t>KORA KISSIRI F2 NOV-24 COMMISSION</t>
  </si>
  <si>
    <t>FA0258</t>
  </si>
  <si>
    <t>FAFSIEGE25010238</t>
  </si>
  <si>
    <t>KORA KISSIRI F3 DEC-24 COMMISSION</t>
  </si>
  <si>
    <t>FA0259</t>
  </si>
  <si>
    <t>FAFSIEGE25010239</t>
  </si>
  <si>
    <t>PHOENIX TRATING F6 NOV-24</t>
  </si>
  <si>
    <t>FA0260</t>
  </si>
  <si>
    <t>FAFSIEGE25010240</t>
  </si>
  <si>
    <t>PHOENIX TRATING F5 DEC-24</t>
  </si>
  <si>
    <t>FA0261</t>
  </si>
  <si>
    <t>FAFSIEGE25010065</t>
  </si>
  <si>
    <t>PRODICOM F164 DEC-24  DIRECTE MASTER</t>
  </si>
  <si>
    <t>FA0114</t>
  </si>
  <si>
    <t>FAFSIEGE25010066</t>
  </si>
  <si>
    <t>PRODICOM F167 ANNUELLE24 COM</t>
  </si>
  <si>
    <t>FA0115</t>
  </si>
  <si>
    <t>FAFSIEGE25010067</t>
  </si>
  <si>
    <t>PRODICOM F166 DEC-24  EVD</t>
  </si>
  <si>
    <t>FA0116</t>
  </si>
  <si>
    <t>PRODICOM F166 DEC-24  MOOV MONEY</t>
  </si>
  <si>
    <t>PRODICOM F166 DEC-24 RECHARG MM</t>
  </si>
  <si>
    <t>PRODICOM F166 T4-24 TRIMESTRIELLE</t>
  </si>
  <si>
    <t>FAFSIEGE25010068</t>
  </si>
  <si>
    <t>PRODICOM F165 DEC-24 COM PDV</t>
  </si>
  <si>
    <t>FA0117</t>
  </si>
  <si>
    <t>FAFSIEGE25010069</t>
  </si>
  <si>
    <t>AFTEL F27 ANNUELLE-24 COMMISSION</t>
  </si>
  <si>
    <t>FA0118</t>
  </si>
  <si>
    <t>FAFSIEGE25010248</t>
  </si>
  <si>
    <t>D COMMERCIAL F393 DEC-24 ACTIVATION KITS</t>
  </si>
  <si>
    <t>FA0269</t>
  </si>
  <si>
    <t>FAFSIEGE25010249</t>
  </si>
  <si>
    <t>EASYCOM F16247 DEC-24 ACTIVATION KITS</t>
  </si>
  <si>
    <t>FA0270</t>
  </si>
  <si>
    <t>FAFSIEGE25010250</t>
  </si>
  <si>
    <t>LINARCEL F1059 DEC-24 ACTIVATION KITS</t>
  </si>
  <si>
    <t>FA0271</t>
  </si>
  <si>
    <t>FAFSIEGE25010251</t>
  </si>
  <si>
    <t>AFTEL F26 DEC-24 ACTIVATION KITS</t>
  </si>
  <si>
    <t>FA0271-1</t>
  </si>
  <si>
    <t>SIEGE1901ENCAI021909</t>
  </si>
  <si>
    <t>ENCAI</t>
  </si>
  <si>
    <t>FLOOZ</t>
  </si>
  <si>
    <t>PRIMES ACTIVATÂ° DEC 24</t>
  </si>
  <si>
    <t>FLOOZ0055</t>
  </si>
  <si>
    <t>SIEGE1901ENCAI021911</t>
  </si>
  <si>
    <t>PMT PRIM MENS PROM 20DEC-25JAN25</t>
  </si>
  <si>
    <t>FLOOZ0057</t>
  </si>
  <si>
    <t>SIEGE1901ENCAI021912</t>
  </si>
  <si>
    <t>PRIM MEN CHEF EQP 20DEC-25JAN25</t>
  </si>
  <si>
    <t>FLOOZ0058</t>
  </si>
  <si>
    <t>SIEGE1901REGUL000032</t>
  </si>
  <si>
    <t>REG</t>
  </si>
  <si>
    <t>PROV PRIMES ACTIVATÂ°/MOOVSHOPS</t>
  </si>
  <si>
    <t>REG01029</t>
  </si>
  <si>
    <t>PROV PROMOTEURS PRIME JRNL</t>
  </si>
  <si>
    <t>SIEGE1901REGUL000108</t>
  </si>
  <si>
    <t>BONUS/ACTIV FORF V_D&amp;EVD JANV25</t>
  </si>
  <si>
    <t>REG01100</t>
  </si>
  <si>
    <t>SIEGE1901REGUL000117</t>
  </si>
  <si>
    <t>DCOM PROV CCÂ° IMM JANV 25</t>
  </si>
  <si>
    <t>IMM</t>
  </si>
  <si>
    <t>REG010046</t>
  </si>
  <si>
    <t>LINARCEL PROC CCÂ° IMM JANV 25</t>
  </si>
  <si>
    <t>PRODICOM PROV CCÂ° IMM JANV 25</t>
  </si>
  <si>
    <t>SOMAC PROV CCÂ° IMM JANV 25</t>
  </si>
  <si>
    <t>DCOM PROV CCÂ° IMM  PDV JANV 25</t>
  </si>
  <si>
    <t>LINARCEL PROV CCÂ° IMM  PDVJANV 25</t>
  </si>
  <si>
    <t>PRODICOM PROV CCÂ° IMM  PDVJANV 25</t>
  </si>
  <si>
    <t>SOMAC PROV CCÂ° IMM  PDVJANV 25</t>
  </si>
  <si>
    <t>SIEGE1901REGUL000122</t>
  </si>
  <si>
    <t>PROV RSIT ANNUEL D_COM JANV 25</t>
  </si>
  <si>
    <t>REG01046</t>
  </si>
  <si>
    <t>PROV RSIT ANNUEL SOMAC JANV 25</t>
  </si>
  <si>
    <t>PROV RSIT ANNUEL EASYCOM JANV 25</t>
  </si>
  <si>
    <t>PROV RSIT ANNUEL LINARCEL JANV 25</t>
  </si>
  <si>
    <t>PROV RSIT ANNUEL PRODICOM JANV 25</t>
  </si>
  <si>
    <t>PROV RSIT ANNUEL AFTELT JANV 25</t>
  </si>
  <si>
    <t>PROV RIST TRIMESTR D_COM JANV 25</t>
  </si>
  <si>
    <t>PROV RIST TRIMESTR EASY COM JANV 25</t>
  </si>
  <si>
    <t>PROV RIST TRIMESTR LINARCEL  JANV 25</t>
  </si>
  <si>
    <t>PROV RIST TRIMESTR PRODICOM  JANV 25</t>
  </si>
  <si>
    <t>PROV RIST TRIMESTR SOMAC  JANV 25</t>
  </si>
  <si>
    <t>PROV RIST TRIM AFTEL JANV 25</t>
  </si>
  <si>
    <t>PROV RIST/MENS MMONEY D_COMM  JANV 25</t>
  </si>
  <si>
    <t>PROV RIST/MENS MMONEY EASY COM  JANV 25</t>
  </si>
  <si>
    <t>PROV RIST/MENS MMONEY LINARCEL  JANV 25</t>
  </si>
  <si>
    <t>PROV RIST/MENS MMONEY PRODICOM  JANV 25</t>
  </si>
  <si>
    <t>PROV RIST/MENS MMONEY SOMAC  JANV 25</t>
  </si>
  <si>
    <t>PROV RIST/MENS MMONEY AFTEL  JANV 25</t>
  </si>
  <si>
    <t>PROV RIST/ACHATS D_COMM  JANV 25</t>
  </si>
  <si>
    <t>PROV RIST/ACHATS LINARCEL  JANV 25</t>
  </si>
  <si>
    <t>PROV RIST/ACHATS PRODICOM  JANV 25</t>
  </si>
  <si>
    <t>PROV RIST/ACHATS SOMAC  JANV 25</t>
  </si>
  <si>
    <t>PROV PRIM  ACTIV DCOM  JANV 25</t>
  </si>
  <si>
    <t>PROV PRIM ACTIV EASY COM  JANV 25</t>
  </si>
  <si>
    <t>PROV PRIM ACTIV LINARCEL  JANV 25</t>
  </si>
  <si>
    <t>PROV PRIM ACTIV PRODICOM  JANV 25</t>
  </si>
  <si>
    <t>PROV PRIM ACTIV SOMAC  JANV 25</t>
  </si>
  <si>
    <t>PROV PRIM ACTIV AFTEL  JANV 25</t>
  </si>
  <si>
    <t>PROV COM M-MONEY DCOM  JANV 25</t>
  </si>
  <si>
    <t>PROV COM M-MONEY EASY COM  JANV 25</t>
  </si>
  <si>
    <t>PROV COM M-MONEY LINARCEL  JANV 25</t>
  </si>
  <si>
    <t>PROV COM M-MONEY PRODICOM  JANV 25</t>
  </si>
  <si>
    <t>PROV COM M-MONEY SOMAC  JANV 25</t>
  </si>
  <si>
    <t>PROV COM M-MONEY AFTEL  JANV 25</t>
  </si>
  <si>
    <t>PROV PRIM SPE NORD D_COM  JANV 25</t>
  </si>
  <si>
    <t>PROV PRIM SPE NORD EASYCOM  JANV 25</t>
  </si>
  <si>
    <t>PROV PRIM SPE NORD LINARCEL  JANV 25</t>
  </si>
  <si>
    <t>SIEGE1901EXTOU000033</t>
  </si>
  <si>
    <t>EXT PROV RVNU UNIPAY DEC 24</t>
  </si>
  <si>
    <t>EXT12011-1</t>
  </si>
  <si>
    <t>SIEGE1901EXTOU000034</t>
  </si>
  <si>
    <t>EXT PROV RVNU SHARE CHANNEL VAS HOLDINGS Oct, DEC 24</t>
  </si>
  <si>
    <t>EXT12011-2</t>
  </si>
  <si>
    <t>SIEGE1901EXTOU000035</t>
  </si>
  <si>
    <t>EXT PROV MOBILEUM INC DEC 24</t>
  </si>
  <si>
    <t>EXT12011-3</t>
  </si>
  <si>
    <t>SIEGE1901EXTOU000080</t>
  </si>
  <si>
    <t>BLACK GREEN RELIGIOUS SVCES OCT 24</t>
  </si>
  <si>
    <t>EXT12078</t>
  </si>
  <si>
    <t>EXT PROV PEACEBOXCOM SMS  OCT 24</t>
  </si>
  <si>
    <t>KIRUSA MOOV CELEBRITES OCT 24</t>
  </si>
  <si>
    <t>SIEGE1901EXTOU000106</t>
  </si>
  <si>
    <t>EXT PROV COMVIVA  Mars- avr 23&amp;24 MAI JUIN DEC 24</t>
  </si>
  <si>
    <t>EXT012010</t>
  </si>
  <si>
    <t>FAFSIEGE25010004</t>
  </si>
  <si>
    <t>UNIPAY F06-24 JUIN-24 IVR DATING</t>
  </si>
  <si>
    <t>FA0053</t>
  </si>
  <si>
    <t>FAFSIEGE25010005</t>
  </si>
  <si>
    <t>UNIPAY F07-24 JLT-24 IVR DATING</t>
  </si>
  <si>
    <t>FA0054</t>
  </si>
  <si>
    <t>FAFSIEGE25010006</t>
  </si>
  <si>
    <t>UNIPAY F08-24 AOUT-24 IVR DATING</t>
  </si>
  <si>
    <t>FA0055</t>
  </si>
  <si>
    <t>FAFSIEGE25010007</t>
  </si>
  <si>
    <t>UNIPAY F09-24 SEPT-24 IVR DATING</t>
  </si>
  <si>
    <t>FA0056</t>
  </si>
  <si>
    <t>FAFSIEGE25010008</t>
  </si>
  <si>
    <t>UNIPAY F10-24 OCT-24 IVR DATING</t>
  </si>
  <si>
    <t>FA0057</t>
  </si>
  <si>
    <t>FAFSIEGE25010009</t>
  </si>
  <si>
    <t>UNIPAY F11-24 NOV-24 IVR DATING</t>
  </si>
  <si>
    <t>FA0058</t>
  </si>
  <si>
    <t>FAFSIEGE25010011</t>
  </si>
  <si>
    <t>SUMMVIEW F89 DEC24 MOOV TV</t>
  </si>
  <si>
    <t>FA0060</t>
  </si>
  <si>
    <t>FAFSIEGE25010025</t>
  </si>
  <si>
    <t>CHANNEL VAS F215-315 DEC-24 FEE R</t>
  </si>
  <si>
    <t>FA0074</t>
  </si>
  <si>
    <t>FAFSIEGE25010035</t>
  </si>
  <si>
    <t>AFRIC CONSULTING F02 DEC-24 QUIZZ GENIE HERBE</t>
  </si>
  <si>
    <t>FA0084</t>
  </si>
  <si>
    <t>FAFSIEGE25010039</t>
  </si>
  <si>
    <t>UNIPAY F05-24 MAI-24 IVR DATING</t>
  </si>
  <si>
    <t>FA0088</t>
  </si>
  <si>
    <t>FAFSIEGE25010101</t>
  </si>
  <si>
    <t>KIRUSA F6866 DEC-24 CELEBR REV</t>
  </si>
  <si>
    <t>FA0150</t>
  </si>
  <si>
    <t>FAFSIEGE25010102</t>
  </si>
  <si>
    <t>BLACKNGREEN F570 DEC-24 PORT RELIG</t>
  </si>
  <si>
    <t>FA0200</t>
  </si>
  <si>
    <t>FAFSIEGE25010108</t>
  </si>
  <si>
    <t>DIGITAL VIRGO F159 MAI-DEC24 SERVICE A VALEUR AJOUTE</t>
  </si>
  <si>
    <t>FA0206</t>
  </si>
  <si>
    <t>FAFSIEGE25010109</t>
  </si>
  <si>
    <t>COMVIVA F11576 MAI-JUIN24 RVNU SHARE</t>
  </si>
  <si>
    <t>FA0207</t>
  </si>
  <si>
    <t>FAFSIEGE25010127</t>
  </si>
  <si>
    <t>SINCH:SAP FRANCE F10310044I DEC-24 Rdvces</t>
  </si>
  <si>
    <t>FA0226</t>
  </si>
  <si>
    <t>SIEGE1901EXTOU000137</t>
  </si>
  <si>
    <t>EXT PROV SMS SAPFRANCE  DEC24</t>
  </si>
  <si>
    <t>EXT12057-1</t>
  </si>
  <si>
    <t>FAFSIEGE25010260</t>
  </si>
  <si>
    <t>PANZ CONSULTANTS F01-12 DEC-24 GAMEOFYY</t>
  </si>
  <si>
    <t>FA0280</t>
  </si>
  <si>
    <t>SIEGE1901REGUL000021</t>
  </si>
  <si>
    <t>PROV RVNU UNIPAY  DEC24 &amp; JANV25</t>
  </si>
  <si>
    <t>REG01011-1</t>
  </si>
  <si>
    <t>SIEGE1901REGUL000022</t>
  </si>
  <si>
    <t>PROV RVNU SHARE CHANNEL VAS HOLDINGS JANV 25</t>
  </si>
  <si>
    <t>REG01011-2</t>
  </si>
  <si>
    <t>SIEGE1901REGUL000023</t>
  </si>
  <si>
    <t>PROV MOBILEUM INC JANV 25</t>
  </si>
  <si>
    <t>REG01011-3</t>
  </si>
  <si>
    <t>SIEGE1901REGUL000068</t>
  </si>
  <si>
    <t>PROV BLACK GREEN RELIGIOUS SVCES JANV25</t>
  </si>
  <si>
    <t>REG01078</t>
  </si>
  <si>
    <t>PROV PEACEBOXCOM SMS</t>
  </si>
  <si>
    <t>SMS</t>
  </si>
  <si>
    <t>KIRUSA MOOV CELEBRITES JANV25</t>
  </si>
  <si>
    <t>SIEGE1901REGUL000103</t>
  </si>
  <si>
    <t>PROV SMS BELGACOM  JANV25</t>
  </si>
  <si>
    <t>REG01057</t>
  </si>
  <si>
    <t>SIEGE1901REGUL000104</t>
  </si>
  <si>
    <t>PROV SMS SAPFRANCE  JANV25</t>
  </si>
  <si>
    <t>REG01057-1</t>
  </si>
  <si>
    <t>SIEGE1901REGUL000107</t>
  </si>
  <si>
    <t>PROV RVNU SHARING CRED SECOURS JANV25</t>
  </si>
  <si>
    <t>REG01054</t>
  </si>
  <si>
    <t>DR</t>
  </si>
  <si>
    <t>CR</t>
  </si>
  <si>
    <t>SIEGE1902EXTOU000029</t>
  </si>
  <si>
    <t>EXT01029</t>
  </si>
  <si>
    <t>SIEGE1902EXTOU000163</t>
  </si>
  <si>
    <t>EXT PROV PRIM ACTIV PRODICOM  DEC 24</t>
  </si>
  <si>
    <t>EXT01046</t>
  </si>
  <si>
    <t>EXT PROV PRIM ACTIV SOMAC  DEC 24</t>
  </si>
  <si>
    <t>EXT PROV RIST/MENS MMONEY AFTEL  JANV 25</t>
  </si>
  <si>
    <t>EXT PROV COM M-MONEY AFTEL  JANV 25</t>
  </si>
  <si>
    <t>ANNUL EXT PARTIEL/RSIT ANNUEL SOMAC</t>
  </si>
  <si>
    <t>FAFSIEGE25020067</t>
  </si>
  <si>
    <t>AFTEL F30 PRIME ACCOMPAGNEMENT &amp; RELANCE</t>
  </si>
  <si>
    <t>FA0317</t>
  </si>
  <si>
    <t>FAFSIEGE25020068</t>
  </si>
  <si>
    <t>LINARCEL F1086 PRIME RELANCE &amp; PRIME D'ACCOMPAGNEMENT TEAM BULDING</t>
  </si>
  <si>
    <t>FA0318</t>
  </si>
  <si>
    <t>FAFSIEGE25020071</t>
  </si>
  <si>
    <t>D.COM F394  PRIME RELANCE &amp; PRIME ACCOMPAGNEMENT TEAM BULDING</t>
  </si>
  <si>
    <t>FA0319</t>
  </si>
  <si>
    <t>FAFSIEGE25020072</t>
  </si>
  <si>
    <t>EASYCOM F16348 PRIME ACCOMPAGNEMENT TEAM BULDING ET PRIME RELANCE</t>
  </si>
  <si>
    <t>FA0320</t>
  </si>
  <si>
    <t>FAFSIEGE25020073</t>
  </si>
  <si>
    <t>PRODICOM F177 PRIME ACCOMPAGNEMENT TEAM BULDING ET PRIME RELANCE</t>
  </si>
  <si>
    <t>FA0321</t>
  </si>
  <si>
    <t>FAFSIEGE25020074</t>
  </si>
  <si>
    <t>SOMAC F008 PRIME RELANCE</t>
  </si>
  <si>
    <t>FA0322</t>
  </si>
  <si>
    <t>FAFSIEGE25020075</t>
  </si>
  <si>
    <t>SOMAC F009 PRIME ACCOMPAGNEMENT TEAM BULDING</t>
  </si>
  <si>
    <t>FA0323</t>
  </si>
  <si>
    <t>FAFSIEGE25020098</t>
  </si>
  <si>
    <t>MANU'S F8 DEC-24 APPORTEUR AFFAIRE</t>
  </si>
  <si>
    <t>FA0523</t>
  </si>
  <si>
    <t>FAFSIEGE25020099</t>
  </si>
  <si>
    <t>MANU'S F9 JAN-25 APPORTEUR AFFAIRE</t>
  </si>
  <si>
    <t>FA0524</t>
  </si>
  <si>
    <t>FAFSIEGE25020100</t>
  </si>
  <si>
    <t>SOMAC F158 DEC-24 COMMISSION ACTIVATION KIT</t>
  </si>
  <si>
    <t>FA0525</t>
  </si>
  <si>
    <t>FAFSIEGE25020134</t>
  </si>
  <si>
    <t>ASSOGBA GBENONCLO ELIE F1 APPORTEUR D'AFFAIRE</t>
  </si>
  <si>
    <t>FA0564</t>
  </si>
  <si>
    <t>FAFSIEGE25020135</t>
  </si>
  <si>
    <t>OMO AKALA SERVICES F38 APPORTEUR D'AFFAIRE</t>
  </si>
  <si>
    <t>FA0565</t>
  </si>
  <si>
    <t>FAFSIEGE25020136</t>
  </si>
  <si>
    <t>MEKASSOMAWOU SERVICE F8 APPORTEUR D'AFFAIRE</t>
  </si>
  <si>
    <t>FA0566</t>
  </si>
  <si>
    <t>FAFSIEGE25020223</t>
  </si>
  <si>
    <t>PRODICOM F169 DEC-24 COM ACTIVATÂ°</t>
  </si>
  <si>
    <t>FA0411</t>
  </si>
  <si>
    <t>FAFSIEGE25020234</t>
  </si>
  <si>
    <t>OMO AKALA SERVICES F39 JAN-25 COMMISSION</t>
  </si>
  <si>
    <t>FA0422</t>
  </si>
  <si>
    <t>FAFSIEGE25020235</t>
  </si>
  <si>
    <t>MEKASSOMAWOU SERVICES F9 JAN-25 COMMISSION</t>
  </si>
  <si>
    <t>FA0423</t>
  </si>
  <si>
    <t>FAFSIEGE25020236</t>
  </si>
  <si>
    <t>SIMENOU MITONDJI MARIUS F2 DEC-24 COMMISSION</t>
  </si>
  <si>
    <t>FA0424</t>
  </si>
  <si>
    <t>FAFSIEGE25020237</t>
  </si>
  <si>
    <t>SIMENOU MITONDJI MARIUS F1 JAN-25 COMMISSION</t>
  </si>
  <si>
    <t>FA0425</t>
  </si>
  <si>
    <t>FAFSIEGE25020278</t>
  </si>
  <si>
    <t>KOUKPOLIYI J. F7 JAN-25  COMMISSION</t>
  </si>
  <si>
    <t>FA0467</t>
  </si>
  <si>
    <t>FAFSIEGE25020350</t>
  </si>
  <si>
    <t>AFTEL F33 JAN-25 COM RECHARGEMENT MOOV MONEY</t>
  </si>
  <si>
    <t>FA0671</t>
  </si>
  <si>
    <t>FAFSIEGE25020351</t>
  </si>
  <si>
    <t>AFTEL F35 JAN-25 COM MENSUELLE MOOV MONEY</t>
  </si>
  <si>
    <t>FA0672</t>
  </si>
  <si>
    <t>FAFSIEGE25020313</t>
  </si>
  <si>
    <t>DJOKLE C. S. F24 COMMISSION</t>
  </si>
  <si>
    <t>FA0678</t>
  </si>
  <si>
    <t>FAFSIEGE25020314</t>
  </si>
  <si>
    <t>DJOKLE C. S. F23 COMMISSION</t>
  </si>
  <si>
    <t>FA0679</t>
  </si>
  <si>
    <t>SIEGE1902ENCAI025842</t>
  </si>
  <si>
    <t>PRIMES ACTIVATÂ° JAN 24</t>
  </si>
  <si>
    <t>FLOOZ0105</t>
  </si>
  <si>
    <t>SIEGE1902REGUL000017</t>
  </si>
  <si>
    <t>REG02029</t>
  </si>
  <si>
    <t>SIEGE1902REGUL000188</t>
  </si>
  <si>
    <t>BONUS/ACTIV FORF V_D&amp;EVD FEV25</t>
  </si>
  <si>
    <t>REG02100</t>
  </si>
  <si>
    <t>SIEGE1902REGUL000230</t>
  </si>
  <si>
    <t>PROV RSIT ANNUEL D_COM FEV 25</t>
  </si>
  <si>
    <t>REG02046</t>
  </si>
  <si>
    <t>PROV RSIT ANNUEL SOMAC FEV 25</t>
  </si>
  <si>
    <t>PROV RSIT ANNUEL EASYCOM FEV 25</t>
  </si>
  <si>
    <t>PROV RSIT ANNUEL LINARCEL FEV 25</t>
  </si>
  <si>
    <t>PROV RSIT ANNUEL PRODICOM FEV 25</t>
  </si>
  <si>
    <t>PROV RSIT ANNUEL AFTELT FEV 25</t>
  </si>
  <si>
    <t>PROV RIST TRIMESTR D_COM FEV 25</t>
  </si>
  <si>
    <t>PROV RIST TRIMESTR EASY COM FEV 25</t>
  </si>
  <si>
    <t>PROV RIST TRIMESTR LINARCEL  FEV 25</t>
  </si>
  <si>
    <t>PROV RIST TRIMESTR PRODICOM  FEV 25</t>
  </si>
  <si>
    <t>PROV RIST TRIMESTR SOMAC  FEV 25</t>
  </si>
  <si>
    <t>PROV RIST TRIM AFTEL FEV 25</t>
  </si>
  <si>
    <t>PROV RIST/MENS MMONEY D_COMM  FEV 25</t>
  </si>
  <si>
    <t>PROV RIST/MENS MMONEY EASY COM  FEV 25</t>
  </si>
  <si>
    <t>PROV RIST/MENS MMONEY LINARCEL  FEV 25</t>
  </si>
  <si>
    <t>PROV RIST/MENS MMONEY PRODICOM  FEV 25</t>
  </si>
  <si>
    <t>PROV RIST/MENS MMONEY SOMAC  FEV 25</t>
  </si>
  <si>
    <t>PROV RIST/MENS MMONEY AFTEL  FEV 25</t>
  </si>
  <si>
    <t>PROV Rist Mens EVD D_COMM  FEV 25</t>
  </si>
  <si>
    <t>PROV Rist Mens EVD EASY COM  FEV 25</t>
  </si>
  <si>
    <t>PROV Rist Mens EVD LINARCEL  FEV 25</t>
  </si>
  <si>
    <t>PROV Rist Mens EVD PRODICOM  FEV 25</t>
  </si>
  <si>
    <t>PROV Rist Mens EVD SOMAC  FEV 25</t>
  </si>
  <si>
    <t>PROV Comm ActivatÂ° DCOM  FEV 25</t>
  </si>
  <si>
    <t>PROV Comm ActivatÂ° EASY COM  FEV 25</t>
  </si>
  <si>
    <t>PROV Comm ActivatÂ° LINARCEL  FEV 25</t>
  </si>
  <si>
    <t>PROV Comm ActivatÂ° PRODICOM  FEV 25</t>
  </si>
  <si>
    <t>PROV Comm ActivatÂ° SOMAC  FEV 25</t>
  </si>
  <si>
    <t>PROV Comm ActivatÂ° AFTEL  FEV 25</t>
  </si>
  <si>
    <t>PROV Comm Moov Money (1,25% )DCOM  FEV 25</t>
  </si>
  <si>
    <t>PROV Comm Moov Money (1,25% )EASY COM  FEV 25</t>
  </si>
  <si>
    <t>PROV Comm Moov Money (1,25% )LINARCEL  FEV 25</t>
  </si>
  <si>
    <t>PROV Comm Moov Money (1,25% )PRODICOM  FEV 25</t>
  </si>
  <si>
    <t>PROV Comm Moov Money (1,25% )SOMAC  FEV 25</t>
  </si>
  <si>
    <t>PROV Comm Moov Money (1,25% )AFTEL  FEV 25</t>
  </si>
  <si>
    <t>PROV PRIM SPE NORD D_COM  FEV 25</t>
  </si>
  <si>
    <t>PROV PRIM SPE NORD EASYCOM  FEV 25</t>
  </si>
  <si>
    <t>PROV PRIM SPE NORD LINARCEL  FEV 25</t>
  </si>
  <si>
    <t>PROV Comm Auto Rech (4%)DCOM  FEV 25</t>
  </si>
  <si>
    <t>PROV Comm Auto Rech (4%)EASY COM  FEV 25</t>
  </si>
  <si>
    <t>PROV Comm Auto Rech (4%)PRODICOM  FEV 25</t>
  </si>
  <si>
    <t>PROV Comm Auto Rech (4%)SOMAC  FEV 25</t>
  </si>
  <si>
    <t>PROV Remise im Dir Master (1,5% EVD)DCOM  FEV 25</t>
  </si>
  <si>
    <t>PROV Remise im Dir Master (1,5% EVD)EASY COM  FEV 25</t>
  </si>
  <si>
    <t>PROV Remise im Dir Master (1,5% EVD)LINARCEL  FEV 25</t>
  </si>
  <si>
    <t>PROV Remise im Dir Master (1,5% EVD)PRODICOM  FEV 25</t>
  </si>
  <si>
    <t>PROV Remise im Dir Master (1,5% EVD)SOMAC  FEV 25</t>
  </si>
  <si>
    <t>PROV Remise imm Direct PDV (4% EVD) DCOM  FEV 25</t>
  </si>
  <si>
    <t>PROV Remise imm Direct PDV (4% EVD) EASY COM  FEV 25</t>
  </si>
  <si>
    <t>PROV Remise imm Direct PDV (4% EVD) LINARCEL  FEV 25</t>
  </si>
  <si>
    <t>PROV Remise imm Direct PDV (4% EVD) PRODICOM  FEV 25</t>
  </si>
  <si>
    <t>PROV Remise imm Direct PDV (4% EVD) SOMAC  FEV 25</t>
  </si>
  <si>
    <t>SIEGE1902REGUL000245</t>
  </si>
  <si>
    <t>REGUL AFTEL PRIME ACCOMPAGN &amp; RELANCE</t>
  </si>
  <si>
    <t>REG02044</t>
  </si>
  <si>
    <t>REGUL LINARCEL PRIME ACCOMPAG &amp; RELANCE</t>
  </si>
  <si>
    <t>REGUL D.COM F394  PRIME ACCOMPT &amp; RELANCE</t>
  </si>
  <si>
    <t>REGUL EASYCOM PRIME ACCOMPAG &amp; RELANCE</t>
  </si>
  <si>
    <t>REGUL PRODICOM PRIME ACCOMPAG &amp; RELANCE</t>
  </si>
  <si>
    <t>REGUL SOMAC PRIME ACCOMPAGN &amp; RELANCE</t>
  </si>
  <si>
    <t>FAFSIEGE25020194</t>
  </si>
  <si>
    <t>ComzAfrica F1755 JAN-24 ACS SERVICE</t>
  </si>
  <si>
    <t>FA0383</t>
  </si>
  <si>
    <t>FAFSIEGE25020195</t>
  </si>
  <si>
    <t>ComzAfrica F1756 FEV-24 ACS SERVICE</t>
  </si>
  <si>
    <t>FA0384</t>
  </si>
  <si>
    <t>FAFSIEGE25020196</t>
  </si>
  <si>
    <t>ComzAfrica F1757 MARS-24 ACS SERVICE</t>
  </si>
  <si>
    <t>FA0385</t>
  </si>
  <si>
    <t>FAFSIEGE25020197</t>
  </si>
  <si>
    <t>ComzAfrica F1758 AVRIL-24 ACS SERVICE</t>
  </si>
  <si>
    <t>FA0386</t>
  </si>
  <si>
    <t>FAFSIEGE25020198</t>
  </si>
  <si>
    <t>ComzAfrica F1759 MAI-24 ACS SERVICE</t>
  </si>
  <si>
    <t>FA0387</t>
  </si>
  <si>
    <t>FAFSIEGE25020199</t>
  </si>
  <si>
    <t>ComzAfrica F1760 JUIN-24 ACS SERVICE</t>
  </si>
  <si>
    <t>FA0388</t>
  </si>
  <si>
    <t>FAFSIEGE25020200</t>
  </si>
  <si>
    <t>ComzAfrica F1761 JUIL-24 ACS SERVICE</t>
  </si>
  <si>
    <t>FA0389</t>
  </si>
  <si>
    <t>FAFSIEGE25020201</t>
  </si>
  <si>
    <t>ComzAfrica F1762 AOUT-24 ACS SERVICE</t>
  </si>
  <si>
    <t>FA0390</t>
  </si>
  <si>
    <t>FAFSIEGE25020202</t>
  </si>
  <si>
    <t>ComzAfrica F1763 SEPT-24 ACS SERVICE</t>
  </si>
  <si>
    <t>FA0391</t>
  </si>
  <si>
    <t>FAFSIEGE25020203</t>
  </si>
  <si>
    <t>ComzAfrica F1764 OCT-24 ACS SERVICE</t>
  </si>
  <si>
    <t>FA0392</t>
  </si>
  <si>
    <t>FAFSIEGE25020204</t>
  </si>
  <si>
    <t>ComzAfrica F1765 NOV-24 ACS SERVICE</t>
  </si>
  <si>
    <t>FA0393</t>
  </si>
  <si>
    <t>FAFSIEGE25020205</t>
  </si>
  <si>
    <t>ComzAfrica F1766 DEC-24 ACS SERVICE</t>
  </si>
  <si>
    <t>FA0394</t>
  </si>
  <si>
    <t>FAFSIEGE25020214</t>
  </si>
  <si>
    <t>UNIPAY F12-24IVR DATIN DEC-24</t>
  </si>
  <si>
    <t>FA0403</t>
  </si>
  <si>
    <t>SIEGE1902EXTOU000002</t>
  </si>
  <si>
    <t>EXT PROV COMVIVA  Mars- avr 23&amp;24 MAI JUIN DEC JAN 25</t>
  </si>
  <si>
    <t>EXT001010</t>
  </si>
  <si>
    <t>SIEGE1902EXTOU000018</t>
  </si>
  <si>
    <t>EXT PROV RVNU UNIPAY  DEC24 &amp; JANV25</t>
  </si>
  <si>
    <t>EXT01011-1</t>
  </si>
  <si>
    <t>SIEGE1902EXTOU000019</t>
  </si>
  <si>
    <t>EXT PROV RVNU SHARE CHANNEL VAS HOLDINGS JANV 25</t>
  </si>
  <si>
    <t>EXT01011-2</t>
  </si>
  <si>
    <t>SIEGE1902EXTOU000020</t>
  </si>
  <si>
    <t>EXT PROV MOBILEUM INC JANV 25</t>
  </si>
  <si>
    <t>EXT01011-3</t>
  </si>
  <si>
    <t>SIEGE1902EXTOU000065</t>
  </si>
  <si>
    <t>EXT PROV BLACK GREEN RELIGIOUS SVCES JANV25</t>
  </si>
  <si>
    <t>EXT01078</t>
  </si>
  <si>
    <t>EXT PROV PEACEBOXCOM SMS</t>
  </si>
  <si>
    <t>SIEGE1902EXTOU000159</t>
  </si>
  <si>
    <t>EXT PROV RVNU SHAR CRED SEC JANV-DEC24</t>
  </si>
  <si>
    <t>EXT12054</t>
  </si>
  <si>
    <t>SIEGE1902EXTOU000162</t>
  </si>
  <si>
    <t>EXT PROV SMS SAPFRANCE  JANV25</t>
  </si>
  <si>
    <t>EXT01057-1</t>
  </si>
  <si>
    <t>FAFSIEGE25020161</t>
  </si>
  <si>
    <t>SUMMVIEW F10 JAN-25 MOOV TV</t>
  </si>
  <si>
    <t>FA0551</t>
  </si>
  <si>
    <t>FAFSIEGE25020162</t>
  </si>
  <si>
    <t>CHANNEL VAS F215-347 JAN-25  FEE REPAYMENTS</t>
  </si>
  <si>
    <t>FA0552</t>
  </si>
  <si>
    <t>FAFSIEGE25020138</t>
  </si>
  <si>
    <t>SINCH:SAP FRANCE F310377I JAN-25 Rdvces</t>
  </si>
  <si>
    <t>FA0568</t>
  </si>
  <si>
    <t>FAFSIEGE25020230</t>
  </si>
  <si>
    <t>KIRUSA F6892 JAN-25 CELEBR REVENUE</t>
  </si>
  <si>
    <t>FA0418</t>
  </si>
  <si>
    <t>FAFSIEGE25020231</t>
  </si>
  <si>
    <t>PANZ CONSULTANTS F02-08 JAN-25 GAMEOFYY</t>
  </si>
  <si>
    <t>FA0419</t>
  </si>
  <si>
    <t>FAFSIEGE25020330</t>
  </si>
  <si>
    <t>UNIPAY F01-25 JAN-25 IVR DATING</t>
  </si>
  <si>
    <t>FA0651</t>
  </si>
  <si>
    <t>FAFSIEGE25020333</t>
  </si>
  <si>
    <t>BLACKNGREEN F660 JAN-25 PORT RELIG</t>
  </si>
  <si>
    <t>FA0654</t>
  </si>
  <si>
    <t>SIEGE1902REGUL000006</t>
  </si>
  <si>
    <t>PROV RVNU UNIPAY FEV25</t>
  </si>
  <si>
    <t>REG02011-1</t>
  </si>
  <si>
    <t>SIEGE1902REGUL000007</t>
  </si>
  <si>
    <t>PROV RVNU SHARE CHANNEL VAS FEV 25</t>
  </si>
  <si>
    <t>REG02011-2</t>
  </si>
  <si>
    <t>SIEGE1902REGUL000008</t>
  </si>
  <si>
    <t>PROV MOBILEUM INC JANV-FEV25</t>
  </si>
  <si>
    <t>REG02011-3</t>
  </si>
  <si>
    <t>SIEGE1902REGUL000053</t>
  </si>
  <si>
    <t>PROV BLACK GREEN RELIGIOUS SVCES FEV25</t>
  </si>
  <si>
    <t>REG02078</t>
  </si>
  <si>
    <t>KIRUSA MOOV CELEBRITES FEV25</t>
  </si>
  <si>
    <t>SIEGE1902REGUL000184</t>
  </si>
  <si>
    <t>PROV SMS BELGACOM  FEV25</t>
  </si>
  <si>
    <t>REG02057</t>
  </si>
  <si>
    <t>SIEGE1902REGUL000185</t>
  </si>
  <si>
    <t>PROV SMS SAPFRANCE  FEV25</t>
  </si>
  <si>
    <t>REG02057-1</t>
  </si>
  <si>
    <t>SIEGE1902REGUL000189</t>
  </si>
  <si>
    <t>PROV RVNU SHARING CRED SECOURS FEV25</t>
  </si>
  <si>
    <t>REG02054</t>
  </si>
  <si>
    <t>SIEGE1902REGUL000214</t>
  </si>
  <si>
    <t>PROV COMVIVA  Mars- avr 23&amp;24 MAI JUIN DEC JAN FEV 25</t>
  </si>
  <si>
    <t>REG002010</t>
  </si>
  <si>
    <t>632200</t>
  </si>
  <si>
    <t>MM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</si>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</sst>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164" fontId="2" fillId="0" borderId="0" xfId="1" applyFont="1"/>
    <xf numFmtId="14" fontId="0" fillId="0" borderId="0" xfId="0" applyNumberFormat="1"/>
    <xf numFmtId="164" fontId="3" fillId="0" borderId="0" xfId="1" applyFont="1"/>
    <xf numFmtId="0" fontId="4" fillId="2" borderId="0" xfId="0" quotePrefix="1" applyFont="1" applyFill="1"/>
    <xf numFmtId="0" fontId="4" fillId="2" borderId="0" xfId="0" applyFont="1" applyFill="1"/>
    <xf numFmtId="0" fontId="4" fillId="3" borderId="0" xfId="0" quotePrefix="1" applyFont="1" applyFill="1"/>
    <xf numFmtId="0" fontId="4" fillId="3" borderId="0" xfId="0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T176"/>
  <sheetViews>
    <sheetView topLeftCell="B1" workbookViewId="0">
      <selection activeCell="F3" sqref="F3"/>
    </sheetView>
  </sheetViews>
  <sheetFormatPr defaultColWidth="9.140625" defaultRowHeight="14.45"/>
  <cols>
    <col min="1" max="1" width="10.7109375" bestFit="1" customWidth="1"/>
    <col min="2" max="2" width="22" bestFit="1" customWidth="1"/>
    <col min="3" max="3" width="5.85546875" bestFit="1" customWidth="1"/>
    <col min="4" max="4" width="7" bestFit="1" customWidth="1"/>
    <col min="5" max="5" width="7.42578125" bestFit="1" customWidth="1"/>
    <col min="6" max="6" width="43.42578125" customWidth="1"/>
    <col min="7" max="7" width="23.7109375" bestFit="1" customWidth="1"/>
    <col min="8" max="8" width="13.85546875" customWidth="1"/>
    <col min="9" max="9" width="12.28515625" bestFit="1" customWidth="1"/>
    <col min="10" max="10" width="9.140625" bestFit="1" customWidth="1"/>
    <col min="11" max="11" width="14.140625" bestFit="1" customWidth="1"/>
    <col min="12" max="12" width="12.28515625" bestFit="1" customWidth="1"/>
    <col min="13" max="13" width="5.140625" bestFit="1" customWidth="1"/>
    <col min="14" max="14" width="4.42578125" bestFit="1" customWidth="1"/>
    <col min="15" max="15" width="11.140625" bestFit="1" customWidth="1"/>
    <col min="16" max="16" width="7.85546875" bestFit="1" customWidth="1"/>
    <col min="17" max="17" width="11.5703125" bestFit="1" customWidth="1"/>
    <col min="18" max="18" width="4.42578125" bestFit="1" customWidth="1"/>
    <col min="19" max="19" width="17" bestFit="1" customWidth="1"/>
    <col min="20" max="20" width="9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45658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s="1">
        <v>-16315807</v>
      </c>
      <c r="H2" s="1">
        <v>0</v>
      </c>
      <c r="I2" s="2">
        <v>-16315807</v>
      </c>
      <c r="J2" s="2" t="s">
        <v>24</v>
      </c>
      <c r="K2" t="s">
        <v>25</v>
      </c>
      <c r="L2" t="str">
        <f t="shared" ref="L2:L65" si="0">"408106"</f>
        <v>408106</v>
      </c>
      <c r="M2" t="str">
        <f t="shared" ref="M2:M65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45658</v>
      </c>
      <c r="B3" t="s">
        <v>20</v>
      </c>
      <c r="C3" t="s">
        <v>21</v>
      </c>
      <c r="D3" t="s">
        <v>22</v>
      </c>
      <c r="E3" t="s">
        <v>22</v>
      </c>
      <c r="F3" t="s">
        <v>27</v>
      </c>
      <c r="G3" s="1">
        <v>-51413053</v>
      </c>
      <c r="H3" s="1">
        <v>0</v>
      </c>
      <c r="I3" s="2">
        <v>-51413053</v>
      </c>
      <c r="J3" s="2" t="s">
        <v>24</v>
      </c>
      <c r="K3" t="s">
        <v>25</v>
      </c>
      <c r="L3" t="str">
        <f t="shared" si="0"/>
        <v>408106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45658</v>
      </c>
      <c r="B4" t="s">
        <v>20</v>
      </c>
      <c r="C4" t="s">
        <v>21</v>
      </c>
      <c r="D4" t="s">
        <v>22</v>
      </c>
      <c r="E4" t="s">
        <v>22</v>
      </c>
      <c r="F4" t="s">
        <v>28</v>
      </c>
      <c r="G4" s="1">
        <v>-56972031</v>
      </c>
      <c r="H4" s="1">
        <v>0</v>
      </c>
      <c r="I4" s="2">
        <v>-56972031</v>
      </c>
      <c r="J4" s="2" t="s">
        <v>24</v>
      </c>
      <c r="K4" t="s">
        <v>25</v>
      </c>
      <c r="L4" t="str">
        <f t="shared" si="0"/>
        <v>408106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45658</v>
      </c>
      <c r="B5" t="s">
        <v>20</v>
      </c>
      <c r="C5" t="s">
        <v>21</v>
      </c>
      <c r="D5" t="s">
        <v>22</v>
      </c>
      <c r="E5" t="s">
        <v>22</v>
      </c>
      <c r="F5" t="s">
        <v>29</v>
      </c>
      <c r="G5" s="1">
        <v>-124565840</v>
      </c>
      <c r="H5" s="1">
        <v>0</v>
      </c>
      <c r="I5" s="2">
        <v>-124565840</v>
      </c>
      <c r="J5" s="2" t="s">
        <v>24</v>
      </c>
      <c r="K5" t="s">
        <v>25</v>
      </c>
      <c r="L5" t="str">
        <f t="shared" si="0"/>
        <v>408106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45658</v>
      </c>
      <c r="B6" t="s">
        <v>20</v>
      </c>
      <c r="C6" t="s">
        <v>21</v>
      </c>
      <c r="D6" t="s">
        <v>22</v>
      </c>
      <c r="E6" t="s">
        <v>22</v>
      </c>
      <c r="F6" t="s">
        <v>30</v>
      </c>
      <c r="G6" s="1">
        <v>-101782088</v>
      </c>
      <c r="H6" s="1">
        <v>0</v>
      </c>
      <c r="I6" s="2">
        <v>-101782088</v>
      </c>
      <c r="J6" s="2" t="s">
        <v>24</v>
      </c>
      <c r="K6" t="s">
        <v>25</v>
      </c>
      <c r="L6" t="str">
        <f t="shared" si="0"/>
        <v>408106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45658</v>
      </c>
      <c r="B7" t="s">
        <v>20</v>
      </c>
      <c r="C7" t="s">
        <v>21</v>
      </c>
      <c r="D7" t="s">
        <v>22</v>
      </c>
      <c r="E7" t="s">
        <v>22</v>
      </c>
      <c r="F7" t="s">
        <v>31</v>
      </c>
      <c r="G7" s="1">
        <v>-1421096</v>
      </c>
      <c r="H7" s="1">
        <v>0</v>
      </c>
      <c r="I7" s="2">
        <v>-1421096</v>
      </c>
      <c r="J7" s="2" t="s">
        <v>24</v>
      </c>
      <c r="K7" t="s">
        <v>25</v>
      </c>
      <c r="L7" t="str">
        <f t="shared" si="0"/>
        <v>408106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45658</v>
      </c>
      <c r="B8" t="s">
        <v>20</v>
      </c>
      <c r="C8" t="s">
        <v>21</v>
      </c>
      <c r="D8" t="s">
        <v>22</v>
      </c>
      <c r="E8" t="s">
        <v>22</v>
      </c>
      <c r="F8" t="s">
        <v>32</v>
      </c>
      <c r="G8" s="1">
        <v>-4254264</v>
      </c>
      <c r="H8" s="1">
        <v>0</v>
      </c>
      <c r="I8" s="2">
        <v>-4254264</v>
      </c>
      <c r="J8" s="2" t="s">
        <v>24</v>
      </c>
      <c r="K8" t="s">
        <v>25</v>
      </c>
      <c r="L8" t="str">
        <f t="shared" si="0"/>
        <v>408106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45658</v>
      </c>
      <c r="B9" t="s">
        <v>20</v>
      </c>
      <c r="C9" t="s">
        <v>21</v>
      </c>
      <c r="D9" t="s">
        <v>22</v>
      </c>
      <c r="E9" t="s">
        <v>22</v>
      </c>
      <c r="F9" t="s">
        <v>33</v>
      </c>
      <c r="G9" s="1">
        <v>-7787501</v>
      </c>
      <c r="H9" s="1">
        <v>0</v>
      </c>
      <c r="I9" s="2">
        <v>-7787501</v>
      </c>
      <c r="J9" s="2" t="s">
        <v>24</v>
      </c>
      <c r="K9" t="s">
        <v>25</v>
      </c>
      <c r="L9" t="str">
        <f t="shared" si="0"/>
        <v>408106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45658</v>
      </c>
      <c r="B10" t="s">
        <v>20</v>
      </c>
      <c r="C10" t="s">
        <v>21</v>
      </c>
      <c r="D10" t="s">
        <v>22</v>
      </c>
      <c r="E10" t="s">
        <v>22</v>
      </c>
      <c r="F10" t="s">
        <v>34</v>
      </c>
      <c r="G10" s="1">
        <v>-7906005</v>
      </c>
      <c r="H10" s="1">
        <v>0</v>
      </c>
      <c r="I10" s="2">
        <v>-7906005</v>
      </c>
      <c r="J10" s="2" t="s">
        <v>24</v>
      </c>
      <c r="K10" t="s">
        <v>25</v>
      </c>
      <c r="L10" t="str">
        <f t="shared" si="0"/>
        <v>408106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45658</v>
      </c>
      <c r="B11" t="s">
        <v>20</v>
      </c>
      <c r="C11" t="s">
        <v>21</v>
      </c>
      <c r="D11" t="s">
        <v>22</v>
      </c>
      <c r="E11" t="s">
        <v>22</v>
      </c>
      <c r="F11" t="s">
        <v>35</v>
      </c>
      <c r="G11" s="1">
        <v>-3398061</v>
      </c>
      <c r="H11" s="1">
        <v>0</v>
      </c>
      <c r="I11" s="2">
        <v>-3398061</v>
      </c>
      <c r="J11" s="2" t="s">
        <v>24</v>
      </c>
      <c r="K11" t="s">
        <v>25</v>
      </c>
      <c r="L11" t="str">
        <f t="shared" si="0"/>
        <v>408106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45658</v>
      </c>
      <c r="B12" t="s">
        <v>20</v>
      </c>
      <c r="C12" t="s">
        <v>21</v>
      </c>
      <c r="D12" t="s">
        <v>22</v>
      </c>
      <c r="E12" t="s">
        <v>22</v>
      </c>
      <c r="F12" t="s">
        <v>36</v>
      </c>
      <c r="G12" s="1">
        <v>-331971</v>
      </c>
      <c r="H12" s="1">
        <v>0</v>
      </c>
      <c r="I12" s="2">
        <v>-331971</v>
      </c>
      <c r="J12" s="2" t="s">
        <v>24</v>
      </c>
      <c r="K12" t="s">
        <v>25</v>
      </c>
      <c r="L12" t="str">
        <f t="shared" si="0"/>
        <v>408106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45658</v>
      </c>
      <c r="B13" t="s">
        <v>20</v>
      </c>
      <c r="C13" t="s">
        <v>21</v>
      </c>
      <c r="D13" t="s">
        <v>22</v>
      </c>
      <c r="E13" t="s">
        <v>22</v>
      </c>
      <c r="F13" t="s">
        <v>37</v>
      </c>
      <c r="G13" s="1">
        <v>-2127132</v>
      </c>
      <c r="H13" s="1">
        <v>0</v>
      </c>
      <c r="I13" s="2">
        <v>-2127132</v>
      </c>
      <c r="J13" s="2" t="s">
        <v>24</v>
      </c>
      <c r="K13" t="s">
        <v>25</v>
      </c>
      <c r="L13" t="str">
        <f t="shared" si="0"/>
        <v>408106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45658</v>
      </c>
      <c r="B14" t="s">
        <v>20</v>
      </c>
      <c r="C14" t="s">
        <v>21</v>
      </c>
      <c r="D14" t="s">
        <v>22</v>
      </c>
      <c r="E14" t="s">
        <v>22</v>
      </c>
      <c r="F14" t="s">
        <v>38</v>
      </c>
      <c r="G14" s="1">
        <v>-7787501</v>
      </c>
      <c r="H14" s="1">
        <v>0</v>
      </c>
      <c r="I14" s="2">
        <v>-7787501</v>
      </c>
      <c r="J14" s="2" t="s">
        <v>24</v>
      </c>
      <c r="K14" t="s">
        <v>25</v>
      </c>
      <c r="L14" t="str">
        <f t="shared" si="0"/>
        <v>408106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45658</v>
      </c>
      <c r="B15" t="s">
        <v>20</v>
      </c>
      <c r="C15" t="s">
        <v>21</v>
      </c>
      <c r="D15" t="s">
        <v>22</v>
      </c>
      <c r="E15" t="s">
        <v>22</v>
      </c>
      <c r="F15" t="s">
        <v>39</v>
      </c>
      <c r="G15" s="1">
        <v>-7906005</v>
      </c>
      <c r="H15" s="1">
        <v>0</v>
      </c>
      <c r="I15" s="2">
        <v>-7906005</v>
      </c>
      <c r="J15" s="2" t="s">
        <v>24</v>
      </c>
      <c r="K15" t="s">
        <v>25</v>
      </c>
      <c r="L15" t="str">
        <f t="shared" si="0"/>
        <v>408106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45658</v>
      </c>
      <c r="B16" t="s">
        <v>20</v>
      </c>
      <c r="C16" t="s">
        <v>21</v>
      </c>
      <c r="D16" t="s">
        <v>22</v>
      </c>
      <c r="E16" t="s">
        <v>22</v>
      </c>
      <c r="F16" t="s">
        <v>40</v>
      </c>
      <c r="G16" s="1">
        <v>-80565</v>
      </c>
      <c r="H16" s="1">
        <v>0</v>
      </c>
      <c r="I16" s="2">
        <v>-80565</v>
      </c>
      <c r="J16" s="2" t="s">
        <v>24</v>
      </c>
      <c r="K16" t="s">
        <v>25</v>
      </c>
      <c r="L16" t="str">
        <f t="shared" si="0"/>
        <v>408106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45658</v>
      </c>
      <c r="B17" t="s">
        <v>20</v>
      </c>
      <c r="C17" t="s">
        <v>21</v>
      </c>
      <c r="D17" t="s">
        <v>22</v>
      </c>
      <c r="E17" t="s">
        <v>22</v>
      </c>
      <c r="F17" t="s">
        <v>41</v>
      </c>
      <c r="G17" s="1">
        <v>-87570</v>
      </c>
      <c r="H17" s="1">
        <v>0</v>
      </c>
      <c r="I17" s="2">
        <v>-87570</v>
      </c>
      <c r="J17" s="2" t="s">
        <v>24</v>
      </c>
      <c r="K17" t="s">
        <v>25</v>
      </c>
      <c r="L17" t="str">
        <f t="shared" si="0"/>
        <v>408106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45658</v>
      </c>
      <c r="B18" t="s">
        <v>20</v>
      </c>
      <c r="C18" t="s">
        <v>21</v>
      </c>
      <c r="D18" t="s">
        <v>22</v>
      </c>
      <c r="E18" t="s">
        <v>22</v>
      </c>
      <c r="F18" t="s">
        <v>42</v>
      </c>
      <c r="G18" s="1">
        <v>-328390</v>
      </c>
      <c r="H18" s="1">
        <v>0</v>
      </c>
      <c r="I18" s="2">
        <v>-328390</v>
      </c>
      <c r="J18" s="2" t="s">
        <v>24</v>
      </c>
      <c r="K18" t="s">
        <v>25</v>
      </c>
      <c r="L18" t="str">
        <f t="shared" si="0"/>
        <v>408106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45658</v>
      </c>
      <c r="B19" t="s">
        <v>20</v>
      </c>
      <c r="C19" t="s">
        <v>21</v>
      </c>
      <c r="D19" t="s">
        <v>22</v>
      </c>
      <c r="E19" t="s">
        <v>22</v>
      </c>
      <c r="F19" t="s">
        <v>43</v>
      </c>
      <c r="G19" s="1">
        <v>-438136</v>
      </c>
      <c r="H19" s="1">
        <v>0</v>
      </c>
      <c r="I19" s="2">
        <v>-438136</v>
      </c>
      <c r="J19" s="2" t="s">
        <v>24</v>
      </c>
      <c r="K19" t="s">
        <v>25</v>
      </c>
      <c r="L19" t="str">
        <f t="shared" si="0"/>
        <v>408106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45658</v>
      </c>
      <c r="B20" t="s">
        <v>20</v>
      </c>
      <c r="C20" t="s">
        <v>21</v>
      </c>
      <c r="D20" t="s">
        <v>22</v>
      </c>
      <c r="E20" t="s">
        <v>22</v>
      </c>
      <c r="F20" t="s">
        <v>44</v>
      </c>
      <c r="G20" s="1">
        <v>-1585847</v>
      </c>
      <c r="H20" s="1">
        <v>0</v>
      </c>
      <c r="I20" s="2">
        <v>-1585847</v>
      </c>
      <c r="J20" s="2" t="s">
        <v>24</v>
      </c>
      <c r="K20" t="s">
        <v>25</v>
      </c>
      <c r="L20" t="str">
        <f t="shared" si="0"/>
        <v>408106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45658</v>
      </c>
      <c r="B21" t="s">
        <v>20</v>
      </c>
      <c r="C21" t="s">
        <v>21</v>
      </c>
      <c r="D21" t="s">
        <v>22</v>
      </c>
      <c r="E21" t="s">
        <v>22</v>
      </c>
      <c r="F21" t="s">
        <v>45</v>
      </c>
      <c r="G21" s="1">
        <v>-3537966</v>
      </c>
      <c r="H21" s="1">
        <v>0</v>
      </c>
      <c r="I21" s="2">
        <v>-3537966</v>
      </c>
      <c r="J21" s="2" t="s">
        <v>24</v>
      </c>
      <c r="K21" t="s">
        <v>25</v>
      </c>
      <c r="L21" t="str">
        <f t="shared" si="0"/>
        <v>408106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45658</v>
      </c>
      <c r="B22" t="s">
        <v>20</v>
      </c>
      <c r="C22" t="s">
        <v>21</v>
      </c>
      <c r="D22" t="s">
        <v>22</v>
      </c>
      <c r="E22" t="s">
        <v>22</v>
      </c>
      <c r="F22" t="s">
        <v>46</v>
      </c>
      <c r="G22" s="1">
        <v>-87288</v>
      </c>
      <c r="H22" s="1">
        <v>0</v>
      </c>
      <c r="I22" s="2">
        <v>-87288</v>
      </c>
      <c r="J22" s="2" t="s">
        <v>24</v>
      </c>
      <c r="K22" t="s">
        <v>25</v>
      </c>
      <c r="L22" t="str">
        <f t="shared" si="0"/>
        <v>408106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45658</v>
      </c>
      <c r="B23" t="s">
        <v>20</v>
      </c>
      <c r="C23" t="s">
        <v>21</v>
      </c>
      <c r="D23" t="s">
        <v>22</v>
      </c>
      <c r="E23" t="s">
        <v>22</v>
      </c>
      <c r="F23" t="s">
        <v>47</v>
      </c>
      <c r="G23" s="1">
        <v>-10635659</v>
      </c>
      <c r="H23" s="1">
        <v>0</v>
      </c>
      <c r="I23" s="2">
        <v>-10635659</v>
      </c>
      <c r="J23" s="2" t="s">
        <v>24</v>
      </c>
      <c r="K23" t="s">
        <v>25</v>
      </c>
      <c r="L23" t="str">
        <f t="shared" si="0"/>
        <v>408106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45658</v>
      </c>
      <c r="B24" t="s">
        <v>20</v>
      </c>
      <c r="C24" t="s">
        <v>21</v>
      </c>
      <c r="D24" t="s">
        <v>22</v>
      </c>
      <c r="E24" t="s">
        <v>22</v>
      </c>
      <c r="F24" t="s">
        <v>48</v>
      </c>
      <c r="G24" s="1">
        <v>-19468753</v>
      </c>
      <c r="H24" s="1">
        <v>0</v>
      </c>
      <c r="I24" s="2">
        <v>-19468753</v>
      </c>
      <c r="J24" s="2" t="s">
        <v>24</v>
      </c>
      <c r="K24" t="s">
        <v>25</v>
      </c>
      <c r="L24" t="str">
        <f t="shared" si="0"/>
        <v>408106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45658</v>
      </c>
      <c r="B25" t="s">
        <v>20</v>
      </c>
      <c r="C25" t="s">
        <v>21</v>
      </c>
      <c r="D25" t="s">
        <v>22</v>
      </c>
      <c r="E25" t="s">
        <v>22</v>
      </c>
      <c r="F25" t="s">
        <v>49</v>
      </c>
      <c r="G25" s="1">
        <v>-19765013</v>
      </c>
      <c r="H25" s="1">
        <v>0</v>
      </c>
      <c r="I25" s="2">
        <v>-19765013</v>
      </c>
      <c r="J25" s="2" t="s">
        <v>24</v>
      </c>
      <c r="K25" t="s">
        <v>25</v>
      </c>
      <c r="L25" t="str">
        <f t="shared" si="0"/>
        <v>408106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45658</v>
      </c>
      <c r="B26" t="s">
        <v>20</v>
      </c>
      <c r="C26" t="s">
        <v>21</v>
      </c>
      <c r="D26" t="s">
        <v>22</v>
      </c>
      <c r="E26" t="s">
        <v>22</v>
      </c>
      <c r="F26" t="s">
        <v>50</v>
      </c>
      <c r="G26" s="1">
        <v>-829927</v>
      </c>
      <c r="H26" s="1">
        <v>0</v>
      </c>
      <c r="I26" s="2">
        <v>-829927</v>
      </c>
      <c r="J26" s="2" t="s">
        <v>24</v>
      </c>
      <c r="K26" t="s">
        <v>25</v>
      </c>
      <c r="L26" t="str">
        <f t="shared" si="0"/>
        <v>408106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45658</v>
      </c>
      <c r="B27" t="s">
        <v>20</v>
      </c>
      <c r="C27" t="s">
        <v>21</v>
      </c>
      <c r="D27" t="s">
        <v>22</v>
      </c>
      <c r="E27" t="s">
        <v>22</v>
      </c>
      <c r="F27" t="s">
        <v>51</v>
      </c>
      <c r="G27" s="1">
        <v>-847458</v>
      </c>
      <c r="H27" s="1">
        <v>0</v>
      </c>
      <c r="I27" s="2">
        <v>-847458</v>
      </c>
      <c r="J27" s="2" t="s">
        <v>24</v>
      </c>
      <c r="K27" t="s">
        <v>25</v>
      </c>
      <c r="L27" t="str">
        <f t="shared" si="0"/>
        <v>408106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45658</v>
      </c>
      <c r="B28" t="s">
        <v>20</v>
      </c>
      <c r="C28" t="s">
        <v>21</v>
      </c>
      <c r="D28" t="s">
        <v>22</v>
      </c>
      <c r="E28" t="s">
        <v>22</v>
      </c>
      <c r="F28" t="s">
        <v>52</v>
      </c>
      <c r="G28" s="1">
        <v>-2542373</v>
      </c>
      <c r="H28" s="1">
        <v>0</v>
      </c>
      <c r="I28" s="2">
        <v>-2542373</v>
      </c>
      <c r="J28" s="2" t="s">
        <v>24</v>
      </c>
      <c r="K28" t="s">
        <v>25</v>
      </c>
      <c r="L28" t="str">
        <f t="shared" si="0"/>
        <v>408106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45658</v>
      </c>
      <c r="B29" t="s">
        <v>20</v>
      </c>
      <c r="C29" t="s">
        <v>21</v>
      </c>
      <c r="D29" t="s">
        <v>22</v>
      </c>
      <c r="E29" t="s">
        <v>22</v>
      </c>
      <c r="F29" t="s">
        <v>53</v>
      </c>
      <c r="G29" s="1">
        <v>-134661</v>
      </c>
      <c r="H29" s="1">
        <v>0</v>
      </c>
      <c r="I29" s="2">
        <v>-134661</v>
      </c>
      <c r="J29" s="2" t="s">
        <v>24</v>
      </c>
      <c r="K29" t="s">
        <v>25</v>
      </c>
      <c r="L29" t="str">
        <f t="shared" si="0"/>
        <v>408106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45658</v>
      </c>
      <c r="B30" t="s">
        <v>20</v>
      </c>
      <c r="C30" t="s">
        <v>21</v>
      </c>
      <c r="D30" t="s">
        <v>22</v>
      </c>
      <c r="E30" t="s">
        <v>22</v>
      </c>
      <c r="F30" t="s">
        <v>54</v>
      </c>
      <c r="G30" s="1">
        <v>-330678</v>
      </c>
      <c r="H30" s="1">
        <v>0</v>
      </c>
      <c r="I30" s="2">
        <v>-330678</v>
      </c>
      <c r="J30" s="2" t="s">
        <v>24</v>
      </c>
      <c r="K30" t="s">
        <v>25</v>
      </c>
      <c r="L30" t="str">
        <f t="shared" si="0"/>
        <v>408106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45658</v>
      </c>
      <c r="B31" t="s">
        <v>20</v>
      </c>
      <c r="C31" t="s">
        <v>21</v>
      </c>
      <c r="D31" t="s">
        <v>22</v>
      </c>
      <c r="E31" t="s">
        <v>22</v>
      </c>
      <c r="F31" t="s">
        <v>55</v>
      </c>
      <c r="G31" s="1">
        <v>-1350424</v>
      </c>
      <c r="H31" s="1">
        <v>0</v>
      </c>
      <c r="I31" s="2">
        <v>-1350424</v>
      </c>
      <c r="J31" s="2" t="s">
        <v>24</v>
      </c>
      <c r="K31" t="s">
        <v>25</v>
      </c>
      <c r="L31" t="str">
        <f t="shared" si="0"/>
        <v>408106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45658</v>
      </c>
      <c r="B32" t="s">
        <v>20</v>
      </c>
      <c r="C32" t="s">
        <v>21</v>
      </c>
      <c r="D32" t="s">
        <v>22</v>
      </c>
      <c r="E32" t="s">
        <v>22</v>
      </c>
      <c r="F32" t="s">
        <v>56</v>
      </c>
      <c r="G32" s="1">
        <v>-887519</v>
      </c>
      <c r="H32" s="1">
        <v>0</v>
      </c>
      <c r="I32" s="2">
        <v>-887519</v>
      </c>
      <c r="J32" s="2" t="s">
        <v>24</v>
      </c>
      <c r="K32" t="s">
        <v>25</v>
      </c>
      <c r="L32" t="str">
        <f t="shared" si="0"/>
        <v>408106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45658</v>
      </c>
      <c r="B33" t="s">
        <v>20</v>
      </c>
      <c r="C33" t="s">
        <v>21</v>
      </c>
      <c r="D33" t="s">
        <v>22</v>
      </c>
      <c r="E33" t="s">
        <v>22</v>
      </c>
      <c r="F33" t="s">
        <v>57</v>
      </c>
      <c r="G33" s="1">
        <v>-447034</v>
      </c>
      <c r="H33" s="1">
        <v>0</v>
      </c>
      <c r="I33" s="2">
        <v>-447034</v>
      </c>
      <c r="J33" s="2" t="s">
        <v>24</v>
      </c>
      <c r="K33" t="s">
        <v>25</v>
      </c>
      <c r="L33" t="str">
        <f t="shared" si="0"/>
        <v>408106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45658</v>
      </c>
      <c r="B34" t="s">
        <v>20</v>
      </c>
      <c r="C34" t="s">
        <v>21</v>
      </c>
      <c r="D34" t="s">
        <v>22</v>
      </c>
      <c r="E34" t="s">
        <v>22</v>
      </c>
      <c r="F34" t="s">
        <v>58</v>
      </c>
      <c r="G34" s="1">
        <v>-1192090</v>
      </c>
      <c r="H34" s="1">
        <v>0</v>
      </c>
      <c r="I34" s="2">
        <v>-1192090</v>
      </c>
      <c r="J34" s="2" t="s">
        <v>24</v>
      </c>
      <c r="K34" t="s">
        <v>25</v>
      </c>
      <c r="L34" t="str">
        <f t="shared" si="0"/>
        <v>408106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  <row r="35" spans="1:18">
      <c r="A35" s="3">
        <v>45658</v>
      </c>
      <c r="B35" t="s">
        <v>20</v>
      </c>
      <c r="C35" t="s">
        <v>21</v>
      </c>
      <c r="D35" t="s">
        <v>22</v>
      </c>
      <c r="E35" t="s">
        <v>22</v>
      </c>
      <c r="F35" t="s">
        <v>59</v>
      </c>
      <c r="G35" s="1">
        <v>-149011</v>
      </c>
      <c r="H35" s="1">
        <v>0</v>
      </c>
      <c r="I35" s="2">
        <v>-149011</v>
      </c>
      <c r="J35" s="2" t="s">
        <v>24</v>
      </c>
      <c r="K35" t="s">
        <v>25</v>
      </c>
      <c r="L35" t="str">
        <f t="shared" si="0"/>
        <v>408106</v>
      </c>
      <c r="M35" t="str">
        <f t="shared" si="1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45658</v>
      </c>
      <c r="B36" t="s">
        <v>20</v>
      </c>
      <c r="C36" t="s">
        <v>21</v>
      </c>
      <c r="D36" t="s">
        <v>22</v>
      </c>
      <c r="E36" t="s">
        <v>22</v>
      </c>
      <c r="F36" t="s">
        <v>60</v>
      </c>
      <c r="G36" s="1">
        <v>-847458</v>
      </c>
      <c r="H36" s="1">
        <v>0</v>
      </c>
      <c r="I36" s="2">
        <v>-847458</v>
      </c>
      <c r="J36" s="2" t="s">
        <v>24</v>
      </c>
      <c r="K36" t="s">
        <v>25</v>
      </c>
      <c r="L36" t="str">
        <f t="shared" si="0"/>
        <v>408106</v>
      </c>
      <c r="M36" t="str">
        <f t="shared" si="1"/>
        <v>001</v>
      </c>
      <c r="O36" t="s">
        <v>26</v>
      </c>
      <c r="P36">
        <v>2</v>
      </c>
      <c r="Q36">
        <v>1</v>
      </c>
      <c r="R36">
        <v>1</v>
      </c>
    </row>
    <row r="37" spans="1:18">
      <c r="A37" s="3">
        <v>45658</v>
      </c>
      <c r="B37" t="s">
        <v>20</v>
      </c>
      <c r="C37" t="s">
        <v>21</v>
      </c>
      <c r="D37" t="s">
        <v>22</v>
      </c>
      <c r="E37" t="s">
        <v>22</v>
      </c>
      <c r="F37" t="s">
        <v>61</v>
      </c>
      <c r="G37" s="1">
        <v>-3967642</v>
      </c>
      <c r="H37" s="1">
        <v>0</v>
      </c>
      <c r="I37" s="2">
        <v>-3967642</v>
      </c>
      <c r="J37" s="2" t="s">
        <v>24</v>
      </c>
      <c r="K37" t="s">
        <v>25</v>
      </c>
      <c r="L37" t="str">
        <f t="shared" si="0"/>
        <v>408106</v>
      </c>
      <c r="M37" t="str">
        <f t="shared" si="1"/>
        <v>001</v>
      </c>
      <c r="O37" t="s">
        <v>26</v>
      </c>
      <c r="P37">
        <v>2</v>
      </c>
      <c r="Q37">
        <v>1</v>
      </c>
      <c r="R37">
        <v>1</v>
      </c>
    </row>
    <row r="38" spans="1:18">
      <c r="A38" s="3">
        <v>45658</v>
      </c>
      <c r="B38" t="s">
        <v>20</v>
      </c>
      <c r="C38" t="s">
        <v>21</v>
      </c>
      <c r="D38" t="s">
        <v>22</v>
      </c>
      <c r="E38" t="s">
        <v>22</v>
      </c>
      <c r="F38" t="s">
        <v>62</v>
      </c>
      <c r="G38" s="1">
        <v>9213713</v>
      </c>
      <c r="H38" s="1">
        <v>0</v>
      </c>
      <c r="I38" s="4">
        <v>9213713</v>
      </c>
      <c r="J38" s="2" t="s">
        <v>24</v>
      </c>
      <c r="K38" t="s">
        <v>25</v>
      </c>
      <c r="L38" t="str">
        <f t="shared" si="0"/>
        <v>408106</v>
      </c>
      <c r="M38" t="str">
        <f t="shared" si="1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45658</v>
      </c>
      <c r="B39" t="s">
        <v>20</v>
      </c>
      <c r="C39" t="s">
        <v>21</v>
      </c>
      <c r="D39" t="s">
        <v>22</v>
      </c>
      <c r="E39" t="s">
        <v>22</v>
      </c>
      <c r="F39" t="s">
        <v>63</v>
      </c>
      <c r="G39" s="1">
        <v>-3952532</v>
      </c>
      <c r="H39" s="1">
        <v>0</v>
      </c>
      <c r="I39" s="2">
        <v>-3952532</v>
      </c>
      <c r="J39" s="2" t="s">
        <v>24</v>
      </c>
      <c r="K39" t="s">
        <v>25</v>
      </c>
      <c r="L39" t="str">
        <f t="shared" si="0"/>
        <v>408106</v>
      </c>
      <c r="M39" t="str">
        <f t="shared" si="1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45658</v>
      </c>
      <c r="B40" t="s">
        <v>20</v>
      </c>
      <c r="C40" t="s">
        <v>21</v>
      </c>
      <c r="D40" t="s">
        <v>22</v>
      </c>
      <c r="E40" t="s">
        <v>22</v>
      </c>
      <c r="F40" t="s">
        <v>64</v>
      </c>
      <c r="G40" s="1">
        <v>-7733714</v>
      </c>
      <c r="H40" s="1">
        <v>0</v>
      </c>
      <c r="I40" s="2">
        <v>-7733714</v>
      </c>
      <c r="J40" s="2" t="s">
        <v>24</v>
      </c>
      <c r="K40" t="s">
        <v>25</v>
      </c>
      <c r="L40" t="str">
        <f t="shared" si="0"/>
        <v>408106</v>
      </c>
      <c r="M40" t="str">
        <f t="shared" si="1"/>
        <v>001</v>
      </c>
      <c r="O40" t="s">
        <v>26</v>
      </c>
      <c r="P40">
        <v>2</v>
      </c>
      <c r="Q40">
        <v>1</v>
      </c>
      <c r="R40">
        <v>1</v>
      </c>
    </row>
    <row r="41" spans="1:18">
      <c r="A41" s="3">
        <v>45658</v>
      </c>
      <c r="B41" t="s">
        <v>20</v>
      </c>
      <c r="C41" t="s">
        <v>21</v>
      </c>
      <c r="D41" t="s">
        <v>22</v>
      </c>
      <c r="E41" t="s">
        <v>22</v>
      </c>
      <c r="F41" t="s">
        <v>65</v>
      </c>
      <c r="G41" s="1">
        <v>-8820726</v>
      </c>
      <c r="H41" s="1">
        <v>0</v>
      </c>
      <c r="I41" s="2">
        <v>-8820726</v>
      </c>
      <c r="J41" s="2" t="s">
        <v>24</v>
      </c>
      <c r="K41" t="s">
        <v>25</v>
      </c>
      <c r="L41" t="str">
        <f t="shared" si="0"/>
        <v>408106</v>
      </c>
      <c r="M41" t="str">
        <f t="shared" si="1"/>
        <v>001</v>
      </c>
      <c r="O41" t="s">
        <v>26</v>
      </c>
      <c r="P41">
        <v>2</v>
      </c>
      <c r="Q41">
        <v>1</v>
      </c>
      <c r="R41">
        <v>1</v>
      </c>
    </row>
    <row r="42" spans="1:18">
      <c r="A42" s="3">
        <v>45658</v>
      </c>
      <c r="B42" t="s">
        <v>20</v>
      </c>
      <c r="C42" t="s">
        <v>21</v>
      </c>
      <c r="D42" t="s">
        <v>22</v>
      </c>
      <c r="E42" t="s">
        <v>22</v>
      </c>
      <c r="F42" t="s">
        <v>66</v>
      </c>
      <c r="G42" s="1">
        <v>-3404167</v>
      </c>
      <c r="H42" s="1">
        <v>0</v>
      </c>
      <c r="I42" s="2">
        <v>-3404167</v>
      </c>
      <c r="J42" s="2" t="s">
        <v>24</v>
      </c>
      <c r="K42" t="s">
        <v>25</v>
      </c>
      <c r="L42" t="str">
        <f t="shared" si="0"/>
        <v>408106</v>
      </c>
      <c r="M42" t="str">
        <f t="shared" si="1"/>
        <v>001</v>
      </c>
      <c r="O42" t="s">
        <v>26</v>
      </c>
      <c r="P42">
        <v>2</v>
      </c>
      <c r="Q42">
        <v>1</v>
      </c>
      <c r="R42">
        <v>1</v>
      </c>
    </row>
    <row r="43" spans="1:18">
      <c r="A43" s="3">
        <v>45658</v>
      </c>
      <c r="B43" t="s">
        <v>20</v>
      </c>
      <c r="C43" t="s">
        <v>21</v>
      </c>
      <c r="D43" t="s">
        <v>22</v>
      </c>
      <c r="E43" t="s">
        <v>22</v>
      </c>
      <c r="F43" t="s">
        <v>67</v>
      </c>
      <c r="G43" s="1">
        <v>-438912</v>
      </c>
      <c r="H43" s="1">
        <v>0</v>
      </c>
      <c r="I43" s="2">
        <v>-438912</v>
      </c>
      <c r="J43" s="2" t="s">
        <v>24</v>
      </c>
      <c r="K43" t="s">
        <v>25</v>
      </c>
      <c r="L43" t="str">
        <f t="shared" si="0"/>
        <v>408106</v>
      </c>
      <c r="M43" t="str">
        <f t="shared" si="1"/>
        <v>001</v>
      </c>
      <c r="O43" t="s">
        <v>26</v>
      </c>
      <c r="P43">
        <v>2</v>
      </c>
      <c r="Q43">
        <v>1</v>
      </c>
      <c r="R43">
        <v>1</v>
      </c>
    </row>
    <row r="44" spans="1:18">
      <c r="A44" s="3">
        <v>45658</v>
      </c>
      <c r="B44" t="s">
        <v>20</v>
      </c>
      <c r="C44" t="s">
        <v>21</v>
      </c>
      <c r="D44" t="s">
        <v>22</v>
      </c>
      <c r="E44" t="s">
        <v>22</v>
      </c>
      <c r="F44" t="s">
        <v>68</v>
      </c>
      <c r="G44" s="1">
        <v>-3813562</v>
      </c>
      <c r="H44" s="1">
        <v>0</v>
      </c>
      <c r="I44" s="2">
        <v>-3813562</v>
      </c>
      <c r="J44" s="2" t="s">
        <v>24</v>
      </c>
      <c r="K44" t="s">
        <v>25</v>
      </c>
      <c r="L44" t="str">
        <f t="shared" si="0"/>
        <v>408106</v>
      </c>
      <c r="M44" t="str">
        <f t="shared" si="1"/>
        <v>001</v>
      </c>
      <c r="O44" t="s">
        <v>26</v>
      </c>
      <c r="P44">
        <v>2</v>
      </c>
      <c r="Q44">
        <v>1</v>
      </c>
      <c r="R44">
        <v>1</v>
      </c>
    </row>
    <row r="45" spans="1:18">
      <c r="A45" s="3">
        <v>45658</v>
      </c>
      <c r="B45" t="s">
        <v>20</v>
      </c>
      <c r="C45" t="s">
        <v>21</v>
      </c>
      <c r="D45" t="s">
        <v>22</v>
      </c>
      <c r="E45" t="s">
        <v>22</v>
      </c>
      <c r="F45" t="s">
        <v>69</v>
      </c>
      <c r="G45" s="1">
        <v>-7179356</v>
      </c>
      <c r="H45" s="1">
        <v>0</v>
      </c>
      <c r="I45" s="2">
        <v>-7179356</v>
      </c>
      <c r="J45" s="2" t="s">
        <v>24</v>
      </c>
      <c r="K45" t="s">
        <v>25</v>
      </c>
      <c r="L45" t="str">
        <f t="shared" si="0"/>
        <v>408106</v>
      </c>
      <c r="M45" t="str">
        <f t="shared" si="1"/>
        <v>001</v>
      </c>
      <c r="O45" t="s">
        <v>26</v>
      </c>
      <c r="P45">
        <v>2</v>
      </c>
      <c r="Q45">
        <v>1</v>
      </c>
      <c r="R45">
        <v>1</v>
      </c>
    </row>
    <row r="46" spans="1:18">
      <c r="A46" s="3">
        <v>45658</v>
      </c>
      <c r="B46" t="s">
        <v>20</v>
      </c>
      <c r="C46" t="s">
        <v>21</v>
      </c>
      <c r="D46" t="s">
        <v>22</v>
      </c>
      <c r="E46" t="s">
        <v>22</v>
      </c>
      <c r="F46" t="s">
        <v>70</v>
      </c>
      <c r="G46" s="1">
        <v>-7372667</v>
      </c>
      <c r="H46" s="1">
        <v>0</v>
      </c>
      <c r="I46" s="2">
        <v>-7372667</v>
      </c>
      <c r="J46" s="2" t="s">
        <v>24</v>
      </c>
      <c r="K46" t="s">
        <v>25</v>
      </c>
      <c r="L46" t="str">
        <f t="shared" si="0"/>
        <v>408106</v>
      </c>
      <c r="M46" t="str">
        <f t="shared" si="1"/>
        <v>001</v>
      </c>
      <c r="O46" t="s">
        <v>26</v>
      </c>
      <c r="P46">
        <v>2</v>
      </c>
      <c r="Q46">
        <v>1</v>
      </c>
      <c r="R46">
        <v>1</v>
      </c>
    </row>
    <row r="47" spans="1:18">
      <c r="A47" s="3">
        <v>45658</v>
      </c>
      <c r="B47" t="s">
        <v>20</v>
      </c>
      <c r="C47" t="s">
        <v>21</v>
      </c>
      <c r="D47" t="s">
        <v>22</v>
      </c>
      <c r="E47" t="s">
        <v>22</v>
      </c>
      <c r="F47" t="s">
        <v>71</v>
      </c>
      <c r="G47" s="1">
        <v>-3124967</v>
      </c>
      <c r="H47" s="1">
        <v>0</v>
      </c>
      <c r="I47" s="2">
        <v>-3124967</v>
      </c>
      <c r="J47" s="2" t="s">
        <v>24</v>
      </c>
      <c r="K47" t="s">
        <v>25</v>
      </c>
      <c r="L47" t="str">
        <f t="shared" si="0"/>
        <v>408106</v>
      </c>
      <c r="M47" t="str">
        <f t="shared" si="1"/>
        <v>001</v>
      </c>
      <c r="O47" t="s">
        <v>26</v>
      </c>
      <c r="P47">
        <v>2</v>
      </c>
      <c r="Q47">
        <v>1</v>
      </c>
      <c r="R47">
        <v>1</v>
      </c>
    </row>
    <row r="48" spans="1:18">
      <c r="A48" s="3">
        <v>45658</v>
      </c>
      <c r="B48" t="s">
        <v>20</v>
      </c>
      <c r="C48" t="s">
        <v>21</v>
      </c>
      <c r="D48" t="s">
        <v>22</v>
      </c>
      <c r="E48" t="s">
        <v>22</v>
      </c>
      <c r="F48" t="s">
        <v>72</v>
      </c>
      <c r="G48" s="1">
        <v>-321314</v>
      </c>
      <c r="H48" s="1">
        <v>0</v>
      </c>
      <c r="I48" s="2">
        <v>-321314</v>
      </c>
      <c r="J48" s="2" t="s">
        <v>24</v>
      </c>
      <c r="K48" t="s">
        <v>25</v>
      </c>
      <c r="L48" t="str">
        <f t="shared" si="0"/>
        <v>408106</v>
      </c>
      <c r="M48" t="str">
        <f t="shared" si="1"/>
        <v>001</v>
      </c>
      <c r="O48" t="s">
        <v>26</v>
      </c>
      <c r="P48">
        <v>2</v>
      </c>
      <c r="Q48">
        <v>1</v>
      </c>
      <c r="R48">
        <v>1</v>
      </c>
    </row>
    <row r="49" spans="1:18">
      <c r="A49" s="3">
        <v>45658</v>
      </c>
      <c r="B49" t="s">
        <v>73</v>
      </c>
      <c r="C49" t="s">
        <v>21</v>
      </c>
      <c r="D49" t="s">
        <v>22</v>
      </c>
      <c r="E49" t="s">
        <v>22</v>
      </c>
      <c r="F49" t="s">
        <v>74</v>
      </c>
      <c r="G49" s="1">
        <v>3813562</v>
      </c>
      <c r="H49" s="1">
        <v>0</v>
      </c>
      <c r="I49" s="4">
        <v>3813562</v>
      </c>
      <c r="J49" s="2" t="s">
        <v>24</v>
      </c>
      <c r="K49" t="s">
        <v>25</v>
      </c>
      <c r="L49" t="str">
        <f t="shared" si="0"/>
        <v>408106</v>
      </c>
      <c r="M49" t="str">
        <f t="shared" si="1"/>
        <v>001</v>
      </c>
      <c r="O49" t="s">
        <v>26</v>
      </c>
      <c r="P49">
        <v>2</v>
      </c>
      <c r="Q49">
        <v>1</v>
      </c>
      <c r="R49">
        <v>1</v>
      </c>
    </row>
    <row r="50" spans="1:18">
      <c r="A50" s="3">
        <v>45658</v>
      </c>
      <c r="B50" t="s">
        <v>75</v>
      </c>
      <c r="C50" t="s">
        <v>21</v>
      </c>
      <c r="D50" t="s">
        <v>22</v>
      </c>
      <c r="E50" t="s">
        <v>22</v>
      </c>
      <c r="F50" t="s">
        <v>76</v>
      </c>
      <c r="G50" s="1">
        <v>-587734</v>
      </c>
      <c r="H50" s="1">
        <v>0</v>
      </c>
      <c r="I50" s="2">
        <v>-587734</v>
      </c>
      <c r="J50" s="2" t="s">
        <v>24</v>
      </c>
      <c r="K50" t="s">
        <v>77</v>
      </c>
      <c r="L50" t="str">
        <f t="shared" si="0"/>
        <v>408106</v>
      </c>
      <c r="M50" t="str">
        <f t="shared" si="1"/>
        <v>001</v>
      </c>
      <c r="O50" t="s">
        <v>26</v>
      </c>
      <c r="P50">
        <v>2</v>
      </c>
      <c r="Q50">
        <v>1</v>
      </c>
      <c r="R50">
        <v>1</v>
      </c>
    </row>
    <row r="51" spans="1:18">
      <c r="A51" s="3">
        <v>45658</v>
      </c>
      <c r="B51" t="s">
        <v>75</v>
      </c>
      <c r="C51" t="s">
        <v>21</v>
      </c>
      <c r="D51" t="s">
        <v>22</v>
      </c>
      <c r="E51" t="s">
        <v>22</v>
      </c>
      <c r="F51" t="s">
        <v>78</v>
      </c>
      <c r="G51" s="1">
        <v>-811200</v>
      </c>
      <c r="H51" s="1">
        <v>0</v>
      </c>
      <c r="I51" s="2">
        <v>-811200</v>
      </c>
      <c r="J51" s="2" t="s">
        <v>24</v>
      </c>
      <c r="K51" t="s">
        <v>77</v>
      </c>
      <c r="L51" t="str">
        <f t="shared" si="0"/>
        <v>408106</v>
      </c>
      <c r="M51" t="str">
        <f t="shared" si="1"/>
        <v>001</v>
      </c>
      <c r="O51" t="s">
        <v>26</v>
      </c>
      <c r="P51">
        <v>2</v>
      </c>
      <c r="Q51">
        <v>1</v>
      </c>
      <c r="R51">
        <v>1</v>
      </c>
    </row>
    <row r="52" spans="1:18">
      <c r="A52" s="3">
        <v>45658</v>
      </c>
      <c r="B52" t="s">
        <v>75</v>
      </c>
      <c r="C52" t="s">
        <v>21</v>
      </c>
      <c r="D52" t="s">
        <v>22</v>
      </c>
      <c r="E52" t="s">
        <v>22</v>
      </c>
      <c r="F52" t="s">
        <v>79</v>
      </c>
      <c r="G52" s="1">
        <v>-3599817</v>
      </c>
      <c r="H52" s="1">
        <v>0</v>
      </c>
      <c r="I52" s="2">
        <v>-3599817</v>
      </c>
      <c r="J52" s="2" t="s">
        <v>24</v>
      </c>
      <c r="K52" t="s">
        <v>77</v>
      </c>
      <c r="L52" t="str">
        <f t="shared" si="0"/>
        <v>408106</v>
      </c>
      <c r="M52" t="str">
        <f t="shared" si="1"/>
        <v>001</v>
      </c>
      <c r="O52" t="s">
        <v>26</v>
      </c>
      <c r="P52">
        <v>2</v>
      </c>
      <c r="Q52">
        <v>1</v>
      </c>
      <c r="R52">
        <v>1</v>
      </c>
    </row>
    <row r="53" spans="1:18">
      <c r="A53" s="3">
        <v>45658</v>
      </c>
      <c r="B53" t="s">
        <v>75</v>
      </c>
      <c r="C53" t="s">
        <v>21</v>
      </c>
      <c r="D53" t="s">
        <v>22</v>
      </c>
      <c r="E53" t="s">
        <v>22</v>
      </c>
      <c r="F53" t="s">
        <v>80</v>
      </c>
      <c r="G53" s="1">
        <v>-1608641</v>
      </c>
      <c r="H53" s="1">
        <v>0</v>
      </c>
      <c r="I53" s="2">
        <v>-1608641</v>
      </c>
      <c r="J53" s="2" t="s">
        <v>24</v>
      </c>
      <c r="K53" t="s">
        <v>77</v>
      </c>
      <c r="L53" t="str">
        <f t="shared" si="0"/>
        <v>408106</v>
      </c>
      <c r="M53" t="str">
        <f t="shared" si="1"/>
        <v>001</v>
      </c>
      <c r="O53" t="s">
        <v>26</v>
      </c>
      <c r="P53">
        <v>2</v>
      </c>
      <c r="Q53">
        <v>1</v>
      </c>
      <c r="R53">
        <v>1</v>
      </c>
    </row>
    <row r="54" spans="1:18">
      <c r="A54" s="3">
        <v>45658</v>
      </c>
      <c r="B54" t="s">
        <v>75</v>
      </c>
      <c r="C54" t="s">
        <v>21</v>
      </c>
      <c r="D54" t="s">
        <v>22</v>
      </c>
      <c r="E54" t="s">
        <v>22</v>
      </c>
      <c r="F54" t="s">
        <v>81</v>
      </c>
      <c r="G54" s="1">
        <v>-891403</v>
      </c>
      <c r="H54" s="1">
        <v>0</v>
      </c>
      <c r="I54" s="2">
        <v>-891403</v>
      </c>
      <c r="J54" s="2" t="s">
        <v>24</v>
      </c>
      <c r="K54" t="s">
        <v>77</v>
      </c>
      <c r="L54" t="str">
        <f t="shared" si="0"/>
        <v>408106</v>
      </c>
      <c r="M54" t="str">
        <f t="shared" si="1"/>
        <v>001</v>
      </c>
      <c r="O54" t="s">
        <v>26</v>
      </c>
      <c r="P54">
        <v>2</v>
      </c>
      <c r="Q54">
        <v>1</v>
      </c>
      <c r="R54">
        <v>1</v>
      </c>
    </row>
    <row r="55" spans="1:18">
      <c r="A55" s="3">
        <v>45658</v>
      </c>
      <c r="B55" t="s">
        <v>75</v>
      </c>
      <c r="C55" t="s">
        <v>21</v>
      </c>
      <c r="D55" t="s">
        <v>22</v>
      </c>
      <c r="E55" t="s">
        <v>22</v>
      </c>
      <c r="F55" t="s">
        <v>82</v>
      </c>
      <c r="G55" s="1">
        <v>-26210</v>
      </c>
      <c r="H55" s="1">
        <v>0</v>
      </c>
      <c r="I55" s="2">
        <v>-26210</v>
      </c>
      <c r="J55" s="2" t="s">
        <v>24</v>
      </c>
      <c r="K55" t="s">
        <v>77</v>
      </c>
      <c r="L55" t="str">
        <f t="shared" si="0"/>
        <v>408106</v>
      </c>
      <c r="M55" t="str">
        <f t="shared" si="1"/>
        <v>001</v>
      </c>
      <c r="O55" t="s">
        <v>26</v>
      </c>
      <c r="P55">
        <v>2</v>
      </c>
      <c r="Q55">
        <v>1</v>
      </c>
      <c r="R55">
        <v>1</v>
      </c>
    </row>
    <row r="56" spans="1:18">
      <c r="A56" s="3">
        <v>45658</v>
      </c>
      <c r="B56" t="s">
        <v>75</v>
      </c>
      <c r="C56" t="s">
        <v>21</v>
      </c>
      <c r="D56" t="s">
        <v>22</v>
      </c>
      <c r="E56" t="s">
        <v>22</v>
      </c>
      <c r="F56" t="s">
        <v>83</v>
      </c>
      <c r="G56" s="1">
        <v>-1567290</v>
      </c>
      <c r="H56" s="1">
        <v>0</v>
      </c>
      <c r="I56" s="2">
        <v>-1567290</v>
      </c>
      <c r="J56" s="2" t="s">
        <v>24</v>
      </c>
      <c r="K56" t="s">
        <v>77</v>
      </c>
      <c r="L56" t="str">
        <f t="shared" si="0"/>
        <v>408106</v>
      </c>
      <c r="M56" t="str">
        <f t="shared" si="1"/>
        <v>001</v>
      </c>
      <c r="O56" t="s">
        <v>26</v>
      </c>
      <c r="P56">
        <v>2</v>
      </c>
      <c r="Q56">
        <v>1</v>
      </c>
      <c r="R56">
        <v>1</v>
      </c>
    </row>
    <row r="57" spans="1:18">
      <c r="A57" s="3">
        <v>45658</v>
      </c>
      <c r="B57" t="s">
        <v>75</v>
      </c>
      <c r="C57" t="s">
        <v>21</v>
      </c>
      <c r="D57" t="s">
        <v>22</v>
      </c>
      <c r="E57" t="s">
        <v>22</v>
      </c>
      <c r="F57" t="s">
        <v>84</v>
      </c>
      <c r="G57" s="1">
        <v>-2163201</v>
      </c>
      <c r="H57" s="1">
        <v>0</v>
      </c>
      <c r="I57" s="2">
        <v>-2163201</v>
      </c>
      <c r="J57" s="2" t="s">
        <v>24</v>
      </c>
      <c r="K57" t="s">
        <v>77</v>
      </c>
      <c r="L57" t="str">
        <f t="shared" si="0"/>
        <v>408106</v>
      </c>
      <c r="M57" t="str">
        <f t="shared" si="1"/>
        <v>001</v>
      </c>
      <c r="O57" t="s">
        <v>26</v>
      </c>
      <c r="P57">
        <v>2</v>
      </c>
      <c r="Q57">
        <v>1</v>
      </c>
      <c r="R57">
        <v>1</v>
      </c>
    </row>
    <row r="58" spans="1:18">
      <c r="A58" s="3">
        <v>45658</v>
      </c>
      <c r="B58" t="s">
        <v>75</v>
      </c>
      <c r="C58" t="s">
        <v>21</v>
      </c>
      <c r="D58" t="s">
        <v>22</v>
      </c>
      <c r="E58" t="s">
        <v>22</v>
      </c>
      <c r="F58" t="s">
        <v>85</v>
      </c>
      <c r="G58" s="1">
        <v>-5138738</v>
      </c>
      <c r="H58" s="1">
        <v>0</v>
      </c>
      <c r="I58" s="2">
        <v>-5138738</v>
      </c>
      <c r="J58" s="2" t="s">
        <v>24</v>
      </c>
      <c r="K58" t="s">
        <v>77</v>
      </c>
      <c r="L58" t="str">
        <f t="shared" si="0"/>
        <v>408106</v>
      </c>
      <c r="M58" t="str">
        <f t="shared" si="1"/>
        <v>001</v>
      </c>
      <c r="O58" t="s">
        <v>26</v>
      </c>
      <c r="P58">
        <v>2</v>
      </c>
      <c r="Q58">
        <v>1</v>
      </c>
      <c r="R58">
        <v>1</v>
      </c>
    </row>
    <row r="59" spans="1:18">
      <c r="A59" s="3">
        <v>45658</v>
      </c>
      <c r="B59" t="s">
        <v>75</v>
      </c>
      <c r="C59" t="s">
        <v>21</v>
      </c>
      <c r="D59" t="s">
        <v>22</v>
      </c>
      <c r="E59" t="s">
        <v>22</v>
      </c>
      <c r="F59" t="s">
        <v>86</v>
      </c>
      <c r="G59" s="1">
        <v>-4289708</v>
      </c>
      <c r="H59" s="1">
        <v>0</v>
      </c>
      <c r="I59" s="2">
        <v>-4289708</v>
      </c>
      <c r="J59" s="2" t="s">
        <v>24</v>
      </c>
      <c r="K59" t="s">
        <v>77</v>
      </c>
      <c r="L59" t="str">
        <f t="shared" si="0"/>
        <v>408106</v>
      </c>
      <c r="M59" t="str">
        <f t="shared" si="1"/>
        <v>001</v>
      </c>
      <c r="O59" t="s">
        <v>26</v>
      </c>
      <c r="P59">
        <v>2</v>
      </c>
      <c r="Q59">
        <v>1</v>
      </c>
      <c r="R59">
        <v>1</v>
      </c>
    </row>
    <row r="60" spans="1:18">
      <c r="A60" s="3">
        <v>45658</v>
      </c>
      <c r="B60" t="s">
        <v>75</v>
      </c>
      <c r="C60" t="s">
        <v>21</v>
      </c>
      <c r="D60" t="s">
        <v>22</v>
      </c>
      <c r="E60" t="s">
        <v>22</v>
      </c>
      <c r="F60" t="s">
        <v>87</v>
      </c>
      <c r="G60" s="1">
        <v>-1188537</v>
      </c>
      <c r="H60" s="1">
        <v>0</v>
      </c>
      <c r="I60" s="2">
        <v>-1188537</v>
      </c>
      <c r="J60" s="2" t="s">
        <v>24</v>
      </c>
      <c r="K60" t="s">
        <v>77</v>
      </c>
      <c r="L60" t="str">
        <f t="shared" si="0"/>
        <v>408106</v>
      </c>
      <c r="M60" t="str">
        <f t="shared" si="1"/>
        <v>001</v>
      </c>
      <c r="O60" t="s">
        <v>26</v>
      </c>
      <c r="P60">
        <v>2</v>
      </c>
      <c r="Q60">
        <v>1</v>
      </c>
      <c r="R60">
        <v>1</v>
      </c>
    </row>
    <row r="61" spans="1:18">
      <c r="A61" s="3">
        <v>45658</v>
      </c>
      <c r="B61" t="s">
        <v>75</v>
      </c>
      <c r="C61" t="s">
        <v>21</v>
      </c>
      <c r="D61" t="s">
        <v>22</v>
      </c>
      <c r="E61" t="s">
        <v>22</v>
      </c>
      <c r="F61" t="s">
        <v>88</v>
      </c>
      <c r="G61" s="1">
        <v>-69893</v>
      </c>
      <c r="H61" s="1">
        <v>0</v>
      </c>
      <c r="I61" s="2">
        <v>-69893</v>
      </c>
      <c r="J61" s="2" t="s">
        <v>24</v>
      </c>
      <c r="K61" t="s">
        <v>77</v>
      </c>
      <c r="L61" t="str">
        <f t="shared" si="0"/>
        <v>408106</v>
      </c>
      <c r="M61" t="str">
        <f t="shared" si="1"/>
        <v>001</v>
      </c>
      <c r="O61" t="s">
        <v>26</v>
      </c>
      <c r="P61">
        <v>2</v>
      </c>
      <c r="Q61">
        <v>1</v>
      </c>
      <c r="R61">
        <v>1</v>
      </c>
    </row>
    <row r="62" spans="1:18">
      <c r="A62" s="3">
        <v>45658</v>
      </c>
      <c r="B62" t="s">
        <v>89</v>
      </c>
      <c r="C62" t="s">
        <v>21</v>
      </c>
      <c r="D62" t="s">
        <v>22</v>
      </c>
      <c r="E62" t="s">
        <v>22</v>
      </c>
      <c r="F62" t="s">
        <v>90</v>
      </c>
      <c r="G62" s="1">
        <v>-2013956</v>
      </c>
      <c r="H62" s="1">
        <v>0</v>
      </c>
      <c r="I62" s="2">
        <v>-2013956</v>
      </c>
      <c r="J62" s="2" t="s">
        <v>24</v>
      </c>
      <c r="K62" t="s">
        <v>25</v>
      </c>
      <c r="L62" t="str">
        <f t="shared" si="0"/>
        <v>408106</v>
      </c>
      <c r="M62" t="str">
        <f t="shared" si="1"/>
        <v>001</v>
      </c>
      <c r="O62" t="s">
        <v>26</v>
      </c>
      <c r="P62">
        <v>2</v>
      </c>
      <c r="Q62">
        <v>1</v>
      </c>
      <c r="R62">
        <v>1</v>
      </c>
    </row>
    <row r="63" spans="1:18">
      <c r="A63" s="3">
        <v>45658</v>
      </c>
      <c r="B63" t="s">
        <v>89</v>
      </c>
      <c r="C63" t="s">
        <v>21</v>
      </c>
      <c r="D63" t="s">
        <v>22</v>
      </c>
      <c r="E63" t="s">
        <v>22</v>
      </c>
      <c r="F63" t="s">
        <v>91</v>
      </c>
      <c r="G63" s="1">
        <v>-1006978</v>
      </c>
      <c r="H63" s="1">
        <v>0</v>
      </c>
      <c r="I63" s="2">
        <v>-1006978</v>
      </c>
      <c r="J63" s="2" t="s">
        <v>24</v>
      </c>
      <c r="K63" t="s">
        <v>25</v>
      </c>
      <c r="L63" t="str">
        <f t="shared" si="0"/>
        <v>408106</v>
      </c>
      <c r="M63" t="str">
        <f t="shared" si="1"/>
        <v>001</v>
      </c>
      <c r="O63" t="s">
        <v>26</v>
      </c>
      <c r="P63">
        <v>2</v>
      </c>
      <c r="Q63">
        <v>1</v>
      </c>
      <c r="R63">
        <v>1</v>
      </c>
    </row>
    <row r="64" spans="1:18">
      <c r="A64" s="3">
        <v>45658</v>
      </c>
      <c r="B64" t="s">
        <v>89</v>
      </c>
      <c r="C64" t="s">
        <v>21</v>
      </c>
      <c r="D64" t="s">
        <v>22</v>
      </c>
      <c r="E64" t="s">
        <v>22</v>
      </c>
      <c r="F64" t="s">
        <v>92</v>
      </c>
      <c r="G64" s="1">
        <v>-3398061</v>
      </c>
      <c r="H64" s="1">
        <v>0</v>
      </c>
      <c r="I64" s="2">
        <v>-3398061</v>
      </c>
      <c r="J64" s="2" t="s">
        <v>24</v>
      </c>
      <c r="K64" t="s">
        <v>25</v>
      </c>
      <c r="L64" t="str">
        <f t="shared" si="0"/>
        <v>408106</v>
      </c>
      <c r="M64" t="str">
        <f t="shared" si="1"/>
        <v>001</v>
      </c>
      <c r="O64" t="s">
        <v>26</v>
      </c>
      <c r="P64">
        <v>2</v>
      </c>
      <c r="Q64">
        <v>1</v>
      </c>
      <c r="R64">
        <v>1</v>
      </c>
    </row>
    <row r="65" spans="1:18">
      <c r="A65" s="3">
        <v>45658</v>
      </c>
      <c r="B65" t="s">
        <v>89</v>
      </c>
      <c r="C65" t="s">
        <v>21</v>
      </c>
      <c r="D65" t="s">
        <v>22</v>
      </c>
      <c r="E65" t="s">
        <v>22</v>
      </c>
      <c r="F65" t="s">
        <v>93</v>
      </c>
      <c r="G65" s="1">
        <v>-56921</v>
      </c>
      <c r="H65" s="1">
        <v>0</v>
      </c>
      <c r="I65" s="2">
        <v>-56921</v>
      </c>
      <c r="J65" s="2" t="s">
        <v>24</v>
      </c>
      <c r="K65" t="s">
        <v>25</v>
      </c>
      <c r="L65" t="str">
        <f t="shared" si="0"/>
        <v>408106</v>
      </c>
      <c r="M65" t="str">
        <f t="shared" si="1"/>
        <v>001</v>
      </c>
      <c r="O65" t="s">
        <v>26</v>
      </c>
      <c r="P65">
        <v>2</v>
      </c>
      <c r="Q65">
        <v>1</v>
      </c>
      <c r="R65">
        <v>1</v>
      </c>
    </row>
    <row r="66" spans="1:18">
      <c r="A66" s="3">
        <v>45658</v>
      </c>
      <c r="B66" t="s">
        <v>89</v>
      </c>
      <c r="C66" t="s">
        <v>21</v>
      </c>
      <c r="D66" t="s">
        <v>22</v>
      </c>
      <c r="E66" t="s">
        <v>22</v>
      </c>
      <c r="F66" t="s">
        <v>94</v>
      </c>
      <c r="G66" s="1">
        <v>-5034890</v>
      </c>
      <c r="H66" s="1">
        <v>0</v>
      </c>
      <c r="I66" s="2">
        <v>-5034890</v>
      </c>
      <c r="J66" s="2" t="s">
        <v>24</v>
      </c>
      <c r="K66" t="s">
        <v>25</v>
      </c>
      <c r="L66" t="str">
        <f>"408106"</f>
        <v>408106</v>
      </c>
      <c r="M66" t="str">
        <f t="shared" ref="M66:M129" si="2">"001"</f>
        <v>001</v>
      </c>
      <c r="O66" t="s">
        <v>26</v>
      </c>
      <c r="P66">
        <v>2</v>
      </c>
      <c r="Q66">
        <v>1</v>
      </c>
      <c r="R66">
        <v>1</v>
      </c>
    </row>
    <row r="67" spans="1:18">
      <c r="A67" s="3">
        <v>45658</v>
      </c>
      <c r="B67" t="s">
        <v>89</v>
      </c>
      <c r="C67" t="s">
        <v>21</v>
      </c>
      <c r="D67" t="s">
        <v>22</v>
      </c>
      <c r="E67" t="s">
        <v>22</v>
      </c>
      <c r="F67" t="s">
        <v>95</v>
      </c>
      <c r="G67" s="1">
        <v>-8495153</v>
      </c>
      <c r="H67" s="1">
        <v>0</v>
      </c>
      <c r="I67" s="2">
        <v>-8495153</v>
      </c>
      <c r="J67" s="2" t="s">
        <v>24</v>
      </c>
      <c r="K67" t="s">
        <v>25</v>
      </c>
      <c r="L67" t="str">
        <f>"408106"</f>
        <v>408106</v>
      </c>
      <c r="M67" t="str">
        <f t="shared" si="2"/>
        <v>001</v>
      </c>
      <c r="O67" t="s">
        <v>26</v>
      </c>
      <c r="P67">
        <v>2</v>
      </c>
      <c r="Q67">
        <v>1</v>
      </c>
      <c r="R67">
        <v>1</v>
      </c>
    </row>
    <row r="68" spans="1:18">
      <c r="A68" s="3">
        <v>45658</v>
      </c>
      <c r="B68" t="s">
        <v>89</v>
      </c>
      <c r="C68" t="s">
        <v>21</v>
      </c>
      <c r="D68" t="s">
        <v>22</v>
      </c>
      <c r="E68" t="s">
        <v>22</v>
      </c>
      <c r="F68" t="s">
        <v>96</v>
      </c>
      <c r="G68" s="1">
        <v>-847458</v>
      </c>
      <c r="H68" s="1">
        <v>0</v>
      </c>
      <c r="I68" s="2">
        <v>-847458</v>
      </c>
      <c r="J68" s="2" t="s">
        <v>24</v>
      </c>
      <c r="K68" t="s">
        <v>25</v>
      </c>
      <c r="L68" t="str">
        <f>"408106"</f>
        <v>408106</v>
      </c>
      <c r="M68" t="str">
        <f t="shared" si="2"/>
        <v>001</v>
      </c>
      <c r="O68" t="s">
        <v>26</v>
      </c>
      <c r="P68">
        <v>2</v>
      </c>
      <c r="Q68">
        <v>1</v>
      </c>
      <c r="R68">
        <v>1</v>
      </c>
    </row>
    <row r="69" spans="1:18">
      <c r="A69" s="3">
        <v>45658</v>
      </c>
      <c r="B69" t="s">
        <v>89</v>
      </c>
      <c r="C69" t="s">
        <v>21</v>
      </c>
      <c r="D69" t="s">
        <v>22</v>
      </c>
      <c r="E69" t="s">
        <v>22</v>
      </c>
      <c r="F69" t="s">
        <v>97</v>
      </c>
      <c r="G69" s="1">
        <v>-1739003</v>
      </c>
      <c r="H69" s="1">
        <v>0</v>
      </c>
      <c r="I69" s="2">
        <v>-1739003</v>
      </c>
      <c r="J69" s="2" t="s">
        <v>24</v>
      </c>
      <c r="K69" t="s">
        <v>25</v>
      </c>
      <c r="L69" t="str">
        <f>"408106"</f>
        <v>408106</v>
      </c>
      <c r="M69" t="str">
        <f t="shared" si="2"/>
        <v>001</v>
      </c>
      <c r="O69" t="s">
        <v>26</v>
      </c>
      <c r="P69">
        <v>2</v>
      </c>
      <c r="Q69">
        <v>1</v>
      </c>
      <c r="R69">
        <v>1</v>
      </c>
    </row>
    <row r="70" spans="1:18">
      <c r="A70" s="3">
        <v>45658</v>
      </c>
      <c r="B70" t="s">
        <v>89</v>
      </c>
      <c r="C70" t="s">
        <v>21</v>
      </c>
      <c r="D70" t="s">
        <v>22</v>
      </c>
      <c r="E70" t="s">
        <v>22</v>
      </c>
      <c r="F70" t="s">
        <v>98</v>
      </c>
      <c r="G70" s="1">
        <v>-1849452</v>
      </c>
      <c r="H70" s="1">
        <v>0</v>
      </c>
      <c r="I70" s="2">
        <v>-1849452</v>
      </c>
      <c r="J70" s="2" t="s">
        <v>24</v>
      </c>
      <c r="K70" t="s">
        <v>25</v>
      </c>
      <c r="L70" t="str">
        <f>"408106"</f>
        <v>408106</v>
      </c>
      <c r="M70" t="str">
        <f t="shared" si="2"/>
        <v>001</v>
      </c>
      <c r="O70" t="s">
        <v>26</v>
      </c>
      <c r="P70">
        <v>2</v>
      </c>
      <c r="Q70">
        <v>1</v>
      </c>
      <c r="R70">
        <v>1</v>
      </c>
    </row>
    <row r="71" spans="1:18">
      <c r="A71" s="3">
        <v>45659</v>
      </c>
      <c r="B71" t="s">
        <v>99</v>
      </c>
      <c r="C71" t="s">
        <v>21</v>
      </c>
      <c r="D71" t="s">
        <v>100</v>
      </c>
      <c r="E71" t="s">
        <v>101</v>
      </c>
      <c r="F71" t="s">
        <v>102</v>
      </c>
      <c r="G71" s="1">
        <v>-46950</v>
      </c>
      <c r="H71" s="1">
        <v>0</v>
      </c>
      <c r="I71" s="2">
        <v>-46950</v>
      </c>
      <c r="J71" s="2" t="s">
        <v>24</v>
      </c>
      <c r="K71" t="s">
        <v>103</v>
      </c>
      <c r="L71" t="str">
        <f>"401699"</f>
        <v>401699</v>
      </c>
      <c r="M71" t="str">
        <f t="shared" si="2"/>
        <v>001</v>
      </c>
      <c r="O71" t="s">
        <v>26</v>
      </c>
      <c r="P71">
        <v>2</v>
      </c>
      <c r="Q71">
        <v>1</v>
      </c>
      <c r="R71">
        <v>1</v>
      </c>
    </row>
    <row r="72" spans="1:18">
      <c r="A72" s="3">
        <v>45659</v>
      </c>
      <c r="B72" t="s">
        <v>104</v>
      </c>
      <c r="C72" t="s">
        <v>21</v>
      </c>
      <c r="D72" t="s">
        <v>100</v>
      </c>
      <c r="E72" t="s">
        <v>101</v>
      </c>
      <c r="F72" t="s">
        <v>102</v>
      </c>
      <c r="G72" s="1">
        <v>46950</v>
      </c>
      <c r="H72" s="1">
        <v>0</v>
      </c>
      <c r="I72" s="4">
        <v>46950</v>
      </c>
      <c r="J72" s="2" t="s">
        <v>24</v>
      </c>
      <c r="K72" t="s">
        <v>105</v>
      </c>
      <c r="L72" t="str">
        <f>"401699"</f>
        <v>401699</v>
      </c>
      <c r="M72" t="str">
        <f t="shared" si="2"/>
        <v>001</v>
      </c>
      <c r="O72" t="s">
        <v>26</v>
      </c>
      <c r="P72">
        <v>2</v>
      </c>
      <c r="Q72">
        <v>1</v>
      </c>
      <c r="R72">
        <v>1</v>
      </c>
    </row>
    <row r="73" spans="1:18">
      <c r="A73" s="3">
        <v>45659</v>
      </c>
      <c r="B73" t="s">
        <v>106</v>
      </c>
      <c r="C73" t="s">
        <v>21</v>
      </c>
      <c r="D73" t="s">
        <v>22</v>
      </c>
      <c r="E73" t="s">
        <v>22</v>
      </c>
      <c r="F73" t="s">
        <v>107</v>
      </c>
      <c r="G73" s="1">
        <v>-356100</v>
      </c>
      <c r="H73" s="1">
        <v>0</v>
      </c>
      <c r="I73" s="2">
        <v>-356100</v>
      </c>
      <c r="J73" s="2" t="s">
        <v>24</v>
      </c>
      <c r="K73" t="s">
        <v>108</v>
      </c>
      <c r="L73" t="str">
        <f>"408101"</f>
        <v>408101</v>
      </c>
      <c r="M73" t="str">
        <f t="shared" si="2"/>
        <v>001</v>
      </c>
      <c r="O73" t="s">
        <v>26</v>
      </c>
      <c r="P73">
        <v>2</v>
      </c>
      <c r="Q73">
        <v>1</v>
      </c>
      <c r="R73">
        <v>1</v>
      </c>
    </row>
    <row r="74" spans="1:18">
      <c r="A74" s="3">
        <v>45659</v>
      </c>
      <c r="B74" t="s">
        <v>106</v>
      </c>
      <c r="C74" t="s">
        <v>21</v>
      </c>
      <c r="D74" t="s">
        <v>22</v>
      </c>
      <c r="E74" t="s">
        <v>22</v>
      </c>
      <c r="F74" t="s">
        <v>109</v>
      </c>
      <c r="G74" s="1">
        <v>-27617700</v>
      </c>
      <c r="H74" s="1">
        <v>0</v>
      </c>
      <c r="I74" s="2">
        <v>-27617700</v>
      </c>
      <c r="J74" s="2" t="s">
        <v>24</v>
      </c>
      <c r="K74" t="s">
        <v>108</v>
      </c>
      <c r="L74" t="str">
        <f>"408101"</f>
        <v>408101</v>
      </c>
      <c r="M74" t="str">
        <f t="shared" si="2"/>
        <v>001</v>
      </c>
      <c r="O74" t="s">
        <v>26</v>
      </c>
      <c r="P74">
        <v>2</v>
      </c>
      <c r="Q74">
        <v>1</v>
      </c>
      <c r="R74">
        <v>1</v>
      </c>
    </row>
    <row r="75" spans="1:18">
      <c r="A75" s="3">
        <v>45660</v>
      </c>
      <c r="B75" t="s">
        <v>110</v>
      </c>
      <c r="C75" t="s">
        <v>21</v>
      </c>
      <c r="D75" t="s">
        <v>100</v>
      </c>
      <c r="E75" t="s">
        <v>101</v>
      </c>
      <c r="F75" t="s">
        <v>111</v>
      </c>
      <c r="G75" s="1">
        <v>-266925</v>
      </c>
      <c r="H75" s="1">
        <v>0</v>
      </c>
      <c r="I75" s="2">
        <v>-266925</v>
      </c>
      <c r="J75" s="2" t="s">
        <v>24</v>
      </c>
      <c r="K75" t="s">
        <v>112</v>
      </c>
      <c r="L75" t="str">
        <f>"401699"</f>
        <v>401699</v>
      </c>
      <c r="M75" t="str">
        <f t="shared" si="2"/>
        <v>001</v>
      </c>
      <c r="O75" t="s">
        <v>26</v>
      </c>
      <c r="P75">
        <v>2</v>
      </c>
      <c r="Q75">
        <v>1</v>
      </c>
      <c r="R75">
        <v>1</v>
      </c>
    </row>
    <row r="76" spans="1:18">
      <c r="A76" s="3">
        <v>45660</v>
      </c>
      <c r="B76" t="s">
        <v>113</v>
      </c>
      <c r="C76" t="s">
        <v>21</v>
      </c>
      <c r="D76" t="s">
        <v>100</v>
      </c>
      <c r="E76" t="s">
        <v>101</v>
      </c>
      <c r="F76" t="s">
        <v>111</v>
      </c>
      <c r="G76" s="1">
        <v>266925</v>
      </c>
      <c r="H76" s="1">
        <v>0</v>
      </c>
      <c r="I76" s="4">
        <v>266925</v>
      </c>
      <c r="J76" s="2" t="s">
        <v>24</v>
      </c>
      <c r="K76" t="s">
        <v>114</v>
      </c>
      <c r="L76" t="str">
        <f>"401699"</f>
        <v>401699</v>
      </c>
      <c r="M76" t="str">
        <f t="shared" si="2"/>
        <v>001</v>
      </c>
      <c r="O76" t="s">
        <v>26</v>
      </c>
      <c r="P76">
        <v>2</v>
      </c>
      <c r="Q76">
        <v>1</v>
      </c>
      <c r="R76">
        <v>1</v>
      </c>
    </row>
    <row r="77" spans="1:18">
      <c r="A77" s="3">
        <v>45663</v>
      </c>
      <c r="B77" t="s">
        <v>115</v>
      </c>
      <c r="C77" t="s">
        <v>21</v>
      </c>
      <c r="D77" t="s">
        <v>100</v>
      </c>
      <c r="E77" t="s">
        <v>101</v>
      </c>
      <c r="F77" t="s">
        <v>116</v>
      </c>
      <c r="G77" s="1">
        <v>2163201</v>
      </c>
      <c r="H77" s="1">
        <v>0</v>
      </c>
      <c r="I77" s="4">
        <v>2163201</v>
      </c>
      <c r="J77" s="2" t="s">
        <v>24</v>
      </c>
      <c r="K77" t="s">
        <v>117</v>
      </c>
      <c r="L77" t="str">
        <f t="shared" ref="L77:L83" si="3">"401924"</f>
        <v>401924</v>
      </c>
      <c r="M77" t="str">
        <f t="shared" si="2"/>
        <v>001</v>
      </c>
      <c r="O77" t="s">
        <v>26</v>
      </c>
      <c r="P77">
        <v>2</v>
      </c>
      <c r="Q77">
        <v>1</v>
      </c>
      <c r="R77">
        <v>1</v>
      </c>
    </row>
    <row r="78" spans="1:18">
      <c r="A78" s="3">
        <v>45663</v>
      </c>
      <c r="B78" t="s">
        <v>118</v>
      </c>
      <c r="C78" t="s">
        <v>21</v>
      </c>
      <c r="D78" t="s">
        <v>100</v>
      </c>
      <c r="E78" t="s">
        <v>101</v>
      </c>
      <c r="F78" t="s">
        <v>119</v>
      </c>
      <c r="G78" s="1">
        <v>811200</v>
      </c>
      <c r="H78" s="1">
        <v>0</v>
      </c>
      <c r="I78" s="4">
        <v>811200</v>
      </c>
      <c r="J78" s="2" t="s">
        <v>24</v>
      </c>
      <c r="K78" t="s">
        <v>117</v>
      </c>
      <c r="L78" t="str">
        <f t="shared" si="3"/>
        <v>401924</v>
      </c>
      <c r="M78" t="str">
        <f t="shared" si="2"/>
        <v>001</v>
      </c>
      <c r="O78" t="s">
        <v>26</v>
      </c>
      <c r="P78">
        <v>2</v>
      </c>
      <c r="Q78">
        <v>1</v>
      </c>
      <c r="R78">
        <v>1</v>
      </c>
    </row>
    <row r="79" spans="1:18">
      <c r="A79" s="3">
        <v>45663</v>
      </c>
      <c r="B79" t="s">
        <v>118</v>
      </c>
      <c r="C79" t="s">
        <v>21</v>
      </c>
      <c r="D79" t="s">
        <v>100</v>
      </c>
      <c r="E79" t="s">
        <v>101</v>
      </c>
      <c r="F79" t="s">
        <v>120</v>
      </c>
      <c r="G79" s="1">
        <v>270400</v>
      </c>
      <c r="H79" s="1">
        <v>0</v>
      </c>
      <c r="I79" s="4">
        <v>270400</v>
      </c>
      <c r="J79" s="2" t="s">
        <v>24</v>
      </c>
      <c r="K79" t="s">
        <v>117</v>
      </c>
      <c r="L79" t="str">
        <f t="shared" si="3"/>
        <v>401924</v>
      </c>
      <c r="M79" t="str">
        <f t="shared" si="2"/>
        <v>001</v>
      </c>
      <c r="O79" t="s">
        <v>26</v>
      </c>
      <c r="P79">
        <v>2</v>
      </c>
      <c r="Q79">
        <v>1</v>
      </c>
      <c r="R79">
        <v>1</v>
      </c>
    </row>
    <row r="80" spans="1:18">
      <c r="A80" s="3">
        <v>45663</v>
      </c>
      <c r="B80" t="s">
        <v>118</v>
      </c>
      <c r="C80" t="s">
        <v>21</v>
      </c>
      <c r="D80" t="s">
        <v>100</v>
      </c>
      <c r="E80" t="s">
        <v>101</v>
      </c>
      <c r="F80" t="s">
        <v>121</v>
      </c>
      <c r="G80" s="1">
        <v>2141531</v>
      </c>
      <c r="H80" s="1">
        <v>0</v>
      </c>
      <c r="I80" s="4">
        <v>2141531</v>
      </c>
      <c r="J80" s="2" t="s">
        <v>24</v>
      </c>
      <c r="K80" t="s">
        <v>117</v>
      </c>
      <c r="L80" t="str">
        <f t="shared" si="3"/>
        <v>401924</v>
      </c>
      <c r="M80" t="str">
        <f t="shared" si="2"/>
        <v>001</v>
      </c>
      <c r="O80" t="s">
        <v>26</v>
      </c>
      <c r="P80">
        <v>2</v>
      </c>
      <c r="Q80">
        <v>1</v>
      </c>
      <c r="R80">
        <v>1</v>
      </c>
    </row>
    <row r="81" spans="1:18">
      <c r="A81" s="3">
        <v>45663</v>
      </c>
      <c r="B81" t="s">
        <v>118</v>
      </c>
      <c r="C81" t="s">
        <v>21</v>
      </c>
      <c r="D81" t="s">
        <v>100</v>
      </c>
      <c r="E81" t="s">
        <v>101</v>
      </c>
      <c r="F81" t="s">
        <v>122</v>
      </c>
      <c r="G81" s="1">
        <v>10707655</v>
      </c>
      <c r="H81" s="1">
        <v>0</v>
      </c>
      <c r="I81" s="4">
        <v>10707655</v>
      </c>
      <c r="J81" s="2" t="s">
        <v>24</v>
      </c>
      <c r="K81" t="s">
        <v>117</v>
      </c>
      <c r="L81" t="str">
        <f t="shared" si="3"/>
        <v>401924</v>
      </c>
      <c r="M81" t="str">
        <f t="shared" si="2"/>
        <v>001</v>
      </c>
      <c r="O81" t="s">
        <v>26</v>
      </c>
      <c r="P81">
        <v>2</v>
      </c>
      <c r="Q81">
        <v>1</v>
      </c>
      <c r="R81">
        <v>1</v>
      </c>
    </row>
    <row r="82" spans="1:18">
      <c r="A82" s="3">
        <v>45663</v>
      </c>
      <c r="B82" t="s">
        <v>118</v>
      </c>
      <c r="C82" t="s">
        <v>21</v>
      </c>
      <c r="D82" t="s">
        <v>100</v>
      </c>
      <c r="E82" t="s">
        <v>101</v>
      </c>
      <c r="F82" t="s">
        <v>123</v>
      </c>
      <c r="G82" s="1">
        <v>847458</v>
      </c>
      <c r="H82" s="1">
        <v>0</v>
      </c>
      <c r="I82" s="4">
        <v>847458</v>
      </c>
      <c r="J82" s="2" t="s">
        <v>24</v>
      </c>
      <c r="K82" t="s">
        <v>117</v>
      </c>
      <c r="L82" t="str">
        <f t="shared" si="3"/>
        <v>401924</v>
      </c>
      <c r="M82" t="str">
        <f t="shared" si="2"/>
        <v>001</v>
      </c>
      <c r="O82" t="s">
        <v>26</v>
      </c>
      <c r="P82">
        <v>2</v>
      </c>
      <c r="Q82">
        <v>1</v>
      </c>
      <c r="R82">
        <v>1</v>
      </c>
    </row>
    <row r="83" spans="1:18">
      <c r="A83" s="3">
        <v>45663</v>
      </c>
      <c r="B83" t="s">
        <v>118</v>
      </c>
      <c r="C83" t="s">
        <v>21</v>
      </c>
      <c r="D83" t="s">
        <v>100</v>
      </c>
      <c r="E83" t="s">
        <v>101</v>
      </c>
      <c r="F83" t="s">
        <v>124</v>
      </c>
      <c r="G83" s="1">
        <v>11825819</v>
      </c>
      <c r="H83" s="1">
        <v>0</v>
      </c>
      <c r="I83" s="4">
        <v>11825819</v>
      </c>
      <c r="J83" s="2" t="s">
        <v>24</v>
      </c>
      <c r="K83" t="s">
        <v>117</v>
      </c>
      <c r="L83" t="str">
        <f t="shared" si="3"/>
        <v>401924</v>
      </c>
      <c r="M83" t="str">
        <f t="shared" si="2"/>
        <v>001</v>
      </c>
      <c r="O83" t="s">
        <v>26</v>
      </c>
      <c r="P83">
        <v>2</v>
      </c>
      <c r="Q83">
        <v>1</v>
      </c>
      <c r="R83">
        <v>1</v>
      </c>
    </row>
    <row r="84" spans="1:18">
      <c r="A84" s="3">
        <v>45663</v>
      </c>
      <c r="B84" t="s">
        <v>125</v>
      </c>
      <c r="C84" t="s">
        <v>21</v>
      </c>
      <c r="D84" t="s">
        <v>100</v>
      </c>
      <c r="E84" t="s">
        <v>101</v>
      </c>
      <c r="F84" t="s">
        <v>126</v>
      </c>
      <c r="G84" s="1">
        <v>-721146</v>
      </c>
      <c r="H84" s="1">
        <v>0</v>
      </c>
      <c r="I84" s="2">
        <v>-721146</v>
      </c>
      <c r="J84" s="2" t="s">
        <v>24</v>
      </c>
      <c r="K84" t="s">
        <v>127</v>
      </c>
      <c r="L84" t="str">
        <f>"401916"</f>
        <v>401916</v>
      </c>
      <c r="M84" t="str">
        <f t="shared" si="2"/>
        <v>001</v>
      </c>
      <c r="O84" t="s">
        <v>26</v>
      </c>
      <c r="P84">
        <v>2</v>
      </c>
      <c r="Q84">
        <v>1</v>
      </c>
      <c r="R84">
        <v>1</v>
      </c>
    </row>
    <row r="85" spans="1:18">
      <c r="A85" s="3">
        <v>45663</v>
      </c>
      <c r="B85" t="s">
        <v>128</v>
      </c>
      <c r="C85" t="s">
        <v>21</v>
      </c>
      <c r="D85" t="s">
        <v>100</v>
      </c>
      <c r="E85" t="s">
        <v>101</v>
      </c>
      <c r="F85" t="s">
        <v>129</v>
      </c>
      <c r="G85" s="1">
        <v>56972031</v>
      </c>
      <c r="H85" s="1">
        <v>0</v>
      </c>
      <c r="I85" s="4">
        <v>56972031</v>
      </c>
      <c r="J85" s="2" t="s">
        <v>24</v>
      </c>
      <c r="K85" t="s">
        <v>130</v>
      </c>
      <c r="L85" t="str">
        <f>"401924"</f>
        <v>401924</v>
      </c>
      <c r="M85" t="str">
        <f t="shared" si="2"/>
        <v>001</v>
      </c>
      <c r="O85" t="s">
        <v>26</v>
      </c>
      <c r="P85">
        <v>2</v>
      </c>
      <c r="Q85">
        <v>1</v>
      </c>
      <c r="R85">
        <v>1</v>
      </c>
    </row>
    <row r="86" spans="1:18">
      <c r="A86" s="3">
        <v>45664</v>
      </c>
      <c r="B86" t="s">
        <v>131</v>
      </c>
      <c r="C86" t="s">
        <v>21</v>
      </c>
      <c r="D86" t="s">
        <v>100</v>
      </c>
      <c r="E86" t="s">
        <v>101</v>
      </c>
      <c r="F86" t="s">
        <v>132</v>
      </c>
      <c r="G86" s="1">
        <v>12616421</v>
      </c>
      <c r="H86" s="1">
        <v>0</v>
      </c>
      <c r="I86" s="4">
        <v>12616421</v>
      </c>
      <c r="J86" s="2" t="s">
        <v>24</v>
      </c>
      <c r="K86" t="s">
        <v>133</v>
      </c>
      <c r="L86" t="str">
        <f>"401918"</f>
        <v>401918</v>
      </c>
      <c r="M86" t="str">
        <f t="shared" si="2"/>
        <v>001</v>
      </c>
      <c r="O86" t="s">
        <v>26</v>
      </c>
      <c r="P86">
        <v>2</v>
      </c>
      <c r="Q86">
        <v>1</v>
      </c>
      <c r="R86">
        <v>1</v>
      </c>
    </row>
    <row r="87" spans="1:18">
      <c r="A87" s="3">
        <v>45664</v>
      </c>
      <c r="B87" t="s">
        <v>134</v>
      </c>
      <c r="C87" t="s">
        <v>21</v>
      </c>
      <c r="D87" t="s">
        <v>100</v>
      </c>
      <c r="E87" t="s">
        <v>101</v>
      </c>
      <c r="F87" t="s">
        <v>135</v>
      </c>
      <c r="G87" s="1">
        <v>9749660</v>
      </c>
      <c r="H87" s="1">
        <v>0</v>
      </c>
      <c r="I87" s="4">
        <v>9749660</v>
      </c>
      <c r="J87" s="2" t="s">
        <v>24</v>
      </c>
      <c r="K87" t="s">
        <v>136</v>
      </c>
      <c r="L87" t="str">
        <f>"401918"</f>
        <v>401918</v>
      </c>
      <c r="M87" t="str">
        <f t="shared" si="2"/>
        <v>001</v>
      </c>
      <c r="O87" t="s">
        <v>26</v>
      </c>
      <c r="P87">
        <v>2</v>
      </c>
      <c r="Q87">
        <v>1</v>
      </c>
      <c r="R87">
        <v>1</v>
      </c>
    </row>
    <row r="88" spans="1:18">
      <c r="A88" s="3">
        <v>45664</v>
      </c>
      <c r="B88" t="s">
        <v>137</v>
      </c>
      <c r="C88" t="s">
        <v>21</v>
      </c>
      <c r="D88" t="s">
        <v>100</v>
      </c>
      <c r="E88" t="s">
        <v>101</v>
      </c>
      <c r="F88" t="s">
        <v>138</v>
      </c>
      <c r="G88" s="1">
        <v>1188537</v>
      </c>
      <c r="H88" s="1">
        <v>0</v>
      </c>
      <c r="I88" s="4">
        <v>1188537</v>
      </c>
      <c r="J88" s="2" t="s">
        <v>24</v>
      </c>
      <c r="K88" t="s">
        <v>139</v>
      </c>
      <c r="L88" t="str">
        <f>"401918"</f>
        <v>401918</v>
      </c>
      <c r="M88" t="str">
        <f t="shared" si="2"/>
        <v>001</v>
      </c>
      <c r="O88" t="s">
        <v>26</v>
      </c>
      <c r="P88">
        <v>2</v>
      </c>
      <c r="Q88">
        <v>1</v>
      </c>
      <c r="R88">
        <v>1</v>
      </c>
    </row>
    <row r="89" spans="1:18">
      <c r="A89" s="3">
        <v>45664</v>
      </c>
      <c r="B89" t="s">
        <v>140</v>
      </c>
      <c r="C89" t="s">
        <v>21</v>
      </c>
      <c r="D89" t="s">
        <v>100</v>
      </c>
      <c r="E89" t="s">
        <v>101</v>
      </c>
      <c r="F89" t="s">
        <v>141</v>
      </c>
      <c r="G89" s="1">
        <v>26210</v>
      </c>
      <c r="H89" s="1">
        <v>0</v>
      </c>
      <c r="I89" s="4">
        <v>26210</v>
      </c>
      <c r="J89" s="2" t="s">
        <v>24</v>
      </c>
      <c r="K89" t="s">
        <v>142</v>
      </c>
      <c r="L89" t="str">
        <f>"4018051"</f>
        <v>4018051</v>
      </c>
      <c r="M89" t="str">
        <f t="shared" si="2"/>
        <v>001</v>
      </c>
      <c r="O89" t="s">
        <v>26</v>
      </c>
      <c r="P89">
        <v>2</v>
      </c>
      <c r="Q89">
        <v>1</v>
      </c>
      <c r="R89">
        <v>1</v>
      </c>
    </row>
    <row r="90" spans="1:18">
      <c r="A90" s="3">
        <v>45664</v>
      </c>
      <c r="B90" t="s">
        <v>140</v>
      </c>
      <c r="C90" t="s">
        <v>21</v>
      </c>
      <c r="D90" t="s">
        <v>100</v>
      </c>
      <c r="E90" t="s">
        <v>101</v>
      </c>
      <c r="F90" t="s">
        <v>143</v>
      </c>
      <c r="G90" s="1">
        <v>69893</v>
      </c>
      <c r="H90" s="1">
        <v>0</v>
      </c>
      <c r="I90" s="4">
        <v>69893</v>
      </c>
      <c r="J90" s="2" t="s">
        <v>24</v>
      </c>
      <c r="K90" t="s">
        <v>142</v>
      </c>
      <c r="L90" t="str">
        <f>"4018051"</f>
        <v>4018051</v>
      </c>
      <c r="M90" t="str">
        <f t="shared" si="2"/>
        <v>001</v>
      </c>
      <c r="O90" t="s">
        <v>26</v>
      </c>
      <c r="P90">
        <v>2</v>
      </c>
      <c r="Q90">
        <v>1</v>
      </c>
      <c r="R90">
        <v>1</v>
      </c>
    </row>
    <row r="91" spans="1:18">
      <c r="A91" s="3">
        <v>45664</v>
      </c>
      <c r="B91" t="s">
        <v>140</v>
      </c>
      <c r="C91" t="s">
        <v>21</v>
      </c>
      <c r="D91" t="s">
        <v>100</v>
      </c>
      <c r="E91" t="s">
        <v>101</v>
      </c>
      <c r="F91" t="s">
        <v>144</v>
      </c>
      <c r="G91" s="1">
        <v>1075745</v>
      </c>
      <c r="H91" s="1">
        <v>0</v>
      </c>
      <c r="I91" s="4">
        <v>1075745</v>
      </c>
      <c r="J91" s="2" t="s">
        <v>24</v>
      </c>
      <c r="K91" t="s">
        <v>142</v>
      </c>
      <c r="L91" t="str">
        <f>"4018051"</f>
        <v>4018051</v>
      </c>
      <c r="M91" t="str">
        <f t="shared" si="2"/>
        <v>001</v>
      </c>
      <c r="O91" t="s">
        <v>26</v>
      </c>
      <c r="P91">
        <v>2</v>
      </c>
      <c r="Q91">
        <v>1</v>
      </c>
      <c r="R91">
        <v>1</v>
      </c>
    </row>
    <row r="92" spans="1:18">
      <c r="A92" s="3">
        <v>45664</v>
      </c>
      <c r="B92" t="s">
        <v>145</v>
      </c>
      <c r="C92" t="s">
        <v>21</v>
      </c>
      <c r="D92" t="s">
        <v>100</v>
      </c>
      <c r="E92" t="s">
        <v>101</v>
      </c>
      <c r="F92" t="s">
        <v>146</v>
      </c>
      <c r="G92" s="1">
        <v>834901</v>
      </c>
      <c r="H92" s="1">
        <v>0</v>
      </c>
      <c r="I92" s="4">
        <v>834901</v>
      </c>
      <c r="J92" s="2" t="s">
        <v>24</v>
      </c>
      <c r="K92" t="s">
        <v>147</v>
      </c>
      <c r="L92" t="str">
        <f>"4018051"</f>
        <v>4018051</v>
      </c>
      <c r="M92" t="str">
        <f t="shared" si="2"/>
        <v>001</v>
      </c>
      <c r="O92" t="s">
        <v>26</v>
      </c>
      <c r="P92">
        <v>2</v>
      </c>
      <c r="Q92">
        <v>1</v>
      </c>
      <c r="R92">
        <v>1</v>
      </c>
    </row>
    <row r="93" spans="1:18">
      <c r="A93" s="3">
        <v>45664</v>
      </c>
      <c r="B93" t="s">
        <v>148</v>
      </c>
      <c r="C93" t="s">
        <v>21</v>
      </c>
      <c r="D93" t="s">
        <v>100</v>
      </c>
      <c r="E93" t="s">
        <v>101</v>
      </c>
      <c r="F93" t="s">
        <v>149</v>
      </c>
      <c r="G93" s="1">
        <v>51413053</v>
      </c>
      <c r="H93" s="1">
        <v>0</v>
      </c>
      <c r="I93" s="4">
        <v>51413053</v>
      </c>
      <c r="J93" s="2" t="s">
        <v>24</v>
      </c>
      <c r="K93" t="s">
        <v>150</v>
      </c>
      <c r="L93" t="str">
        <f>"401918"</f>
        <v>401918</v>
      </c>
      <c r="M93" t="str">
        <f t="shared" si="2"/>
        <v>001</v>
      </c>
      <c r="O93" t="s">
        <v>26</v>
      </c>
      <c r="P93">
        <v>2</v>
      </c>
      <c r="Q93">
        <v>1</v>
      </c>
      <c r="R93">
        <v>1</v>
      </c>
    </row>
    <row r="94" spans="1:18">
      <c r="A94" s="3">
        <v>45664</v>
      </c>
      <c r="B94" t="s">
        <v>151</v>
      </c>
      <c r="C94" t="s">
        <v>21</v>
      </c>
      <c r="D94" t="s">
        <v>100</v>
      </c>
      <c r="E94" t="s">
        <v>101</v>
      </c>
      <c r="F94" t="s">
        <v>152</v>
      </c>
      <c r="G94" s="1">
        <v>16315807</v>
      </c>
      <c r="H94" s="1">
        <v>0</v>
      </c>
      <c r="I94" s="4">
        <v>16315807</v>
      </c>
      <c r="J94" s="2" t="s">
        <v>24</v>
      </c>
      <c r="K94" t="s">
        <v>153</v>
      </c>
      <c r="L94" t="str">
        <f>"401915"</f>
        <v>401915</v>
      </c>
      <c r="M94" t="str">
        <f t="shared" si="2"/>
        <v>001</v>
      </c>
      <c r="O94" t="s">
        <v>26</v>
      </c>
      <c r="P94">
        <v>2</v>
      </c>
      <c r="Q94">
        <v>1</v>
      </c>
      <c r="R94">
        <v>1</v>
      </c>
    </row>
    <row r="95" spans="1:18">
      <c r="A95" s="3">
        <v>45664</v>
      </c>
      <c r="B95" t="s">
        <v>154</v>
      </c>
      <c r="C95" t="s">
        <v>21</v>
      </c>
      <c r="D95" t="s">
        <v>100</v>
      </c>
      <c r="E95" t="s">
        <v>101</v>
      </c>
      <c r="F95" t="s">
        <v>155</v>
      </c>
      <c r="G95" s="1">
        <v>587733</v>
      </c>
      <c r="H95" s="1">
        <v>0</v>
      </c>
      <c r="I95" s="4">
        <v>587733</v>
      </c>
      <c r="J95" s="2" t="s">
        <v>24</v>
      </c>
      <c r="K95" t="s">
        <v>156</v>
      </c>
      <c r="L95" t="str">
        <f>"401915"</f>
        <v>401915</v>
      </c>
      <c r="M95" t="str">
        <f t="shared" si="2"/>
        <v>001</v>
      </c>
      <c r="O95" t="s">
        <v>26</v>
      </c>
      <c r="P95">
        <v>2</v>
      </c>
      <c r="Q95">
        <v>1</v>
      </c>
      <c r="R95">
        <v>1</v>
      </c>
    </row>
    <row r="96" spans="1:18">
      <c r="A96" s="3">
        <v>45664</v>
      </c>
      <c r="B96" t="s">
        <v>154</v>
      </c>
      <c r="C96" t="s">
        <v>21</v>
      </c>
      <c r="D96" t="s">
        <v>100</v>
      </c>
      <c r="E96" t="s">
        <v>101</v>
      </c>
      <c r="F96" t="s">
        <v>157</v>
      </c>
      <c r="G96" s="1">
        <v>1567289</v>
      </c>
      <c r="H96" s="1">
        <v>0</v>
      </c>
      <c r="I96" s="4">
        <v>1567289</v>
      </c>
      <c r="J96" s="2" t="s">
        <v>24</v>
      </c>
      <c r="K96" t="s">
        <v>156</v>
      </c>
      <c r="L96" t="str">
        <f>"401915"</f>
        <v>401915</v>
      </c>
      <c r="M96" t="str">
        <f t="shared" si="2"/>
        <v>001</v>
      </c>
      <c r="O96" t="s">
        <v>26</v>
      </c>
      <c r="P96">
        <v>2</v>
      </c>
      <c r="Q96">
        <v>1</v>
      </c>
      <c r="R96">
        <v>1</v>
      </c>
    </row>
    <row r="97" spans="1:18">
      <c r="A97" s="3">
        <v>45664</v>
      </c>
      <c r="B97" t="s">
        <v>154</v>
      </c>
      <c r="C97" t="s">
        <v>21</v>
      </c>
      <c r="D97" t="s">
        <v>100</v>
      </c>
      <c r="E97" t="s">
        <v>101</v>
      </c>
      <c r="F97" t="s">
        <v>158</v>
      </c>
      <c r="G97" s="1">
        <v>12621940</v>
      </c>
      <c r="H97" s="1">
        <v>0</v>
      </c>
      <c r="I97" s="4">
        <v>12621940</v>
      </c>
      <c r="J97" s="2" t="s">
        <v>24</v>
      </c>
      <c r="K97" t="s">
        <v>156</v>
      </c>
      <c r="L97" t="str">
        <f>"401915"</f>
        <v>401915</v>
      </c>
      <c r="M97" t="str">
        <f t="shared" si="2"/>
        <v>001</v>
      </c>
      <c r="O97" t="s">
        <v>26</v>
      </c>
      <c r="P97">
        <v>2</v>
      </c>
      <c r="Q97">
        <v>1</v>
      </c>
      <c r="R97">
        <v>1</v>
      </c>
    </row>
    <row r="98" spans="1:18">
      <c r="A98" s="3">
        <v>45665</v>
      </c>
      <c r="B98" t="s">
        <v>159</v>
      </c>
      <c r="C98" t="s">
        <v>21</v>
      </c>
      <c r="D98" t="s">
        <v>100</v>
      </c>
      <c r="E98" t="s">
        <v>101</v>
      </c>
      <c r="F98" t="s">
        <v>160</v>
      </c>
      <c r="G98" s="1">
        <v>27150</v>
      </c>
      <c r="H98" s="1">
        <v>0</v>
      </c>
      <c r="I98" s="4">
        <v>27150</v>
      </c>
      <c r="J98" s="2" t="s">
        <v>24</v>
      </c>
      <c r="K98" t="s">
        <v>161</v>
      </c>
      <c r="L98" t="str">
        <f>"401699"</f>
        <v>401699</v>
      </c>
      <c r="M98" t="str">
        <f t="shared" si="2"/>
        <v>001</v>
      </c>
      <c r="O98" t="s">
        <v>26</v>
      </c>
      <c r="P98">
        <v>2</v>
      </c>
      <c r="Q98">
        <v>1</v>
      </c>
      <c r="R98">
        <v>1</v>
      </c>
    </row>
    <row r="99" spans="1:18">
      <c r="A99" s="3">
        <v>45665</v>
      </c>
      <c r="B99" t="s">
        <v>162</v>
      </c>
      <c r="C99" t="s">
        <v>21</v>
      </c>
      <c r="D99" t="s">
        <v>100</v>
      </c>
      <c r="E99" t="s">
        <v>101</v>
      </c>
      <c r="F99" t="s">
        <v>163</v>
      </c>
      <c r="G99" s="1">
        <v>10875</v>
      </c>
      <c r="H99" s="1">
        <v>0</v>
      </c>
      <c r="I99" s="4">
        <v>10875</v>
      </c>
      <c r="J99" s="2" t="s">
        <v>24</v>
      </c>
      <c r="K99" t="s">
        <v>164</v>
      </c>
      <c r="L99" t="str">
        <f>"401699"</f>
        <v>401699</v>
      </c>
      <c r="M99" t="str">
        <f t="shared" si="2"/>
        <v>001</v>
      </c>
      <c r="O99" t="s">
        <v>26</v>
      </c>
      <c r="P99">
        <v>2</v>
      </c>
      <c r="Q99">
        <v>1</v>
      </c>
      <c r="R99">
        <v>1</v>
      </c>
    </row>
    <row r="100" spans="1:18">
      <c r="A100" s="3">
        <v>45672</v>
      </c>
      <c r="B100" t="s">
        <v>165</v>
      </c>
      <c r="C100" t="s">
        <v>21</v>
      </c>
      <c r="D100" t="s">
        <v>100</v>
      </c>
      <c r="E100" t="s">
        <v>101</v>
      </c>
      <c r="F100" t="s">
        <v>166</v>
      </c>
      <c r="G100" s="1">
        <v>124565840</v>
      </c>
      <c r="H100" s="1">
        <v>0</v>
      </c>
      <c r="I100" s="4">
        <v>124565840</v>
      </c>
      <c r="J100" s="2" t="s">
        <v>24</v>
      </c>
      <c r="K100" t="s">
        <v>167</v>
      </c>
      <c r="L100" t="str">
        <f t="shared" ref="L100:L107" si="4">"401916"</f>
        <v>401916</v>
      </c>
      <c r="M100" t="str">
        <f t="shared" si="2"/>
        <v>001</v>
      </c>
      <c r="O100" t="s">
        <v>26</v>
      </c>
      <c r="P100">
        <v>2</v>
      </c>
      <c r="Q100">
        <v>1</v>
      </c>
      <c r="R100">
        <v>1</v>
      </c>
    </row>
    <row r="101" spans="1:18">
      <c r="A101" s="3">
        <v>45672</v>
      </c>
      <c r="B101" t="s">
        <v>168</v>
      </c>
      <c r="C101" t="s">
        <v>21</v>
      </c>
      <c r="D101" t="s">
        <v>100</v>
      </c>
      <c r="E101" t="s">
        <v>101</v>
      </c>
      <c r="F101" t="s">
        <v>169</v>
      </c>
      <c r="G101" s="1">
        <v>5138738</v>
      </c>
      <c r="H101" s="1">
        <v>0</v>
      </c>
      <c r="I101" s="4">
        <v>5138738</v>
      </c>
      <c r="J101" s="2" t="s">
        <v>24</v>
      </c>
      <c r="K101" t="s">
        <v>170</v>
      </c>
      <c r="L101" t="str">
        <f t="shared" si="4"/>
        <v>401916</v>
      </c>
      <c r="M101" t="str">
        <f t="shared" si="2"/>
        <v>001</v>
      </c>
      <c r="O101" t="s">
        <v>26</v>
      </c>
      <c r="P101">
        <v>2</v>
      </c>
      <c r="Q101">
        <v>1</v>
      </c>
      <c r="R101">
        <v>1</v>
      </c>
    </row>
    <row r="102" spans="1:18">
      <c r="A102" s="3">
        <v>45672</v>
      </c>
      <c r="B102" t="s">
        <v>171</v>
      </c>
      <c r="C102" t="s">
        <v>21</v>
      </c>
      <c r="D102" t="s">
        <v>100</v>
      </c>
      <c r="E102" t="s">
        <v>101</v>
      </c>
      <c r="F102" t="s">
        <v>172</v>
      </c>
      <c r="G102" s="1">
        <v>1927028</v>
      </c>
      <c r="H102" s="1">
        <v>0</v>
      </c>
      <c r="I102" s="4">
        <v>1927028</v>
      </c>
      <c r="J102" s="2" t="s">
        <v>24</v>
      </c>
      <c r="K102" t="s">
        <v>173</v>
      </c>
      <c r="L102" t="str">
        <f t="shared" si="4"/>
        <v>401916</v>
      </c>
      <c r="M102" t="str">
        <f t="shared" si="2"/>
        <v>001</v>
      </c>
      <c r="O102" t="s">
        <v>26</v>
      </c>
      <c r="P102">
        <v>2</v>
      </c>
      <c r="Q102">
        <v>1</v>
      </c>
      <c r="R102">
        <v>1</v>
      </c>
    </row>
    <row r="103" spans="1:18">
      <c r="A103" s="3">
        <v>45672</v>
      </c>
      <c r="B103" t="s">
        <v>171</v>
      </c>
      <c r="C103" t="s">
        <v>21</v>
      </c>
      <c r="D103" t="s">
        <v>100</v>
      </c>
      <c r="E103" t="s">
        <v>101</v>
      </c>
      <c r="F103" t="s">
        <v>174</v>
      </c>
      <c r="G103" s="1">
        <v>642342</v>
      </c>
      <c r="H103" s="1">
        <v>0</v>
      </c>
      <c r="I103" s="4">
        <v>642342</v>
      </c>
      <c r="J103" s="2" t="s">
        <v>24</v>
      </c>
      <c r="K103" t="s">
        <v>173</v>
      </c>
      <c r="L103" t="str">
        <f t="shared" si="4"/>
        <v>401916</v>
      </c>
      <c r="M103" t="str">
        <f t="shared" si="2"/>
        <v>001</v>
      </c>
      <c r="O103" t="s">
        <v>26</v>
      </c>
      <c r="P103">
        <v>2</v>
      </c>
      <c r="Q103">
        <v>1</v>
      </c>
      <c r="R103">
        <v>1</v>
      </c>
    </row>
    <row r="104" spans="1:18">
      <c r="A104" s="3">
        <v>45672</v>
      </c>
      <c r="B104" t="s">
        <v>171</v>
      </c>
      <c r="C104" t="s">
        <v>21</v>
      </c>
      <c r="D104" t="s">
        <v>100</v>
      </c>
      <c r="E104" t="s">
        <v>101</v>
      </c>
      <c r="F104" t="s">
        <v>175</v>
      </c>
      <c r="G104" s="1">
        <v>7814386</v>
      </c>
      <c r="H104" s="1">
        <v>0</v>
      </c>
      <c r="I104" s="4">
        <v>7814386</v>
      </c>
      <c r="J104" s="2" t="s">
        <v>24</v>
      </c>
      <c r="K104" t="s">
        <v>173</v>
      </c>
      <c r="L104" t="str">
        <f t="shared" si="4"/>
        <v>401916</v>
      </c>
      <c r="M104" t="str">
        <f t="shared" si="2"/>
        <v>001</v>
      </c>
      <c r="O104" t="s">
        <v>26</v>
      </c>
      <c r="P104">
        <v>2</v>
      </c>
      <c r="Q104">
        <v>1</v>
      </c>
      <c r="R104">
        <v>1</v>
      </c>
    </row>
    <row r="105" spans="1:18">
      <c r="A105" s="3">
        <v>45672</v>
      </c>
      <c r="B105" t="s">
        <v>171</v>
      </c>
      <c r="C105" t="s">
        <v>21</v>
      </c>
      <c r="D105" t="s">
        <v>100</v>
      </c>
      <c r="E105" t="s">
        <v>101</v>
      </c>
      <c r="F105" t="s">
        <v>176</v>
      </c>
      <c r="G105" s="1">
        <v>19535965</v>
      </c>
      <c r="H105" s="1">
        <v>0</v>
      </c>
      <c r="I105" s="4">
        <v>19535965</v>
      </c>
      <c r="J105" s="2" t="s">
        <v>24</v>
      </c>
      <c r="K105" t="s">
        <v>173</v>
      </c>
      <c r="L105" t="str">
        <f t="shared" si="4"/>
        <v>401916</v>
      </c>
      <c r="M105" t="str">
        <f t="shared" si="2"/>
        <v>001</v>
      </c>
      <c r="O105" t="s">
        <v>26</v>
      </c>
      <c r="P105">
        <v>2</v>
      </c>
      <c r="Q105">
        <v>1</v>
      </c>
      <c r="R105">
        <v>1</v>
      </c>
    </row>
    <row r="106" spans="1:18">
      <c r="A106" s="3">
        <v>45672</v>
      </c>
      <c r="B106" t="s">
        <v>171</v>
      </c>
      <c r="C106" t="s">
        <v>21</v>
      </c>
      <c r="D106" t="s">
        <v>100</v>
      </c>
      <c r="E106" t="s">
        <v>101</v>
      </c>
      <c r="F106" t="s">
        <v>177</v>
      </c>
      <c r="G106" s="1">
        <v>2542373</v>
      </c>
      <c r="H106" s="1">
        <v>0</v>
      </c>
      <c r="I106" s="4">
        <v>2542373</v>
      </c>
      <c r="J106" s="2" t="s">
        <v>24</v>
      </c>
      <c r="K106" t="s">
        <v>173</v>
      </c>
      <c r="L106" t="str">
        <f t="shared" si="4"/>
        <v>401916</v>
      </c>
      <c r="M106" t="str">
        <f t="shared" si="2"/>
        <v>001</v>
      </c>
      <c r="O106" t="s">
        <v>26</v>
      </c>
      <c r="P106">
        <v>2</v>
      </c>
      <c r="Q106">
        <v>1</v>
      </c>
      <c r="R106">
        <v>1</v>
      </c>
    </row>
    <row r="107" spans="1:18">
      <c r="A107" s="3">
        <v>45672</v>
      </c>
      <c r="B107" t="s">
        <v>171</v>
      </c>
      <c r="C107" t="s">
        <v>21</v>
      </c>
      <c r="D107" t="s">
        <v>100</v>
      </c>
      <c r="E107" t="s">
        <v>101</v>
      </c>
      <c r="F107" t="s">
        <v>178</v>
      </c>
      <c r="G107" s="1">
        <v>22263856</v>
      </c>
      <c r="H107" s="1">
        <v>0</v>
      </c>
      <c r="I107" s="4">
        <v>22263856</v>
      </c>
      <c r="J107" s="2" t="s">
        <v>24</v>
      </c>
      <c r="K107" t="s">
        <v>173</v>
      </c>
      <c r="L107" t="str">
        <f t="shared" si="4"/>
        <v>401916</v>
      </c>
      <c r="M107" t="str">
        <f t="shared" si="2"/>
        <v>001</v>
      </c>
      <c r="O107" t="s">
        <v>26</v>
      </c>
      <c r="P107">
        <v>2</v>
      </c>
      <c r="Q107">
        <v>1</v>
      </c>
      <c r="R107">
        <v>1</v>
      </c>
    </row>
    <row r="108" spans="1:18">
      <c r="A108" s="3">
        <v>45672</v>
      </c>
      <c r="B108" t="s">
        <v>179</v>
      </c>
      <c r="C108" t="s">
        <v>21</v>
      </c>
      <c r="D108" t="s">
        <v>100</v>
      </c>
      <c r="E108" t="s">
        <v>101</v>
      </c>
      <c r="F108" t="s">
        <v>180</v>
      </c>
      <c r="G108" s="1">
        <v>87288</v>
      </c>
      <c r="H108" s="1">
        <v>0</v>
      </c>
      <c r="I108" s="4">
        <v>87288</v>
      </c>
      <c r="J108" s="2" t="s">
        <v>24</v>
      </c>
      <c r="K108" t="s">
        <v>181</v>
      </c>
      <c r="L108" t="str">
        <f>"4018051"</f>
        <v>4018051</v>
      </c>
      <c r="M108" t="str">
        <f t="shared" si="2"/>
        <v>001</v>
      </c>
      <c r="O108" t="s">
        <v>26</v>
      </c>
      <c r="P108">
        <v>2</v>
      </c>
      <c r="Q108">
        <v>1</v>
      </c>
      <c r="R108">
        <v>1</v>
      </c>
    </row>
    <row r="109" spans="1:18">
      <c r="A109" s="3">
        <v>45672</v>
      </c>
      <c r="B109" t="s">
        <v>182</v>
      </c>
      <c r="C109" t="s">
        <v>21</v>
      </c>
      <c r="D109" t="s">
        <v>100</v>
      </c>
      <c r="E109" t="s">
        <v>101</v>
      </c>
      <c r="F109" t="s">
        <v>183</v>
      </c>
      <c r="G109" s="1">
        <v>438135</v>
      </c>
      <c r="H109" s="1">
        <v>0</v>
      </c>
      <c r="I109" s="4">
        <v>438135</v>
      </c>
      <c r="J109" s="2" t="s">
        <v>24</v>
      </c>
      <c r="K109" t="s">
        <v>184</v>
      </c>
      <c r="L109" t="str">
        <f>"401915"</f>
        <v>401915</v>
      </c>
      <c r="M109" t="str">
        <f t="shared" si="2"/>
        <v>001</v>
      </c>
      <c r="O109" t="s">
        <v>26</v>
      </c>
      <c r="P109">
        <v>2</v>
      </c>
      <c r="Q109">
        <v>1</v>
      </c>
      <c r="R109">
        <v>1</v>
      </c>
    </row>
    <row r="110" spans="1:18">
      <c r="A110" s="3">
        <v>45672</v>
      </c>
      <c r="B110" t="s">
        <v>185</v>
      </c>
      <c r="C110" t="s">
        <v>21</v>
      </c>
      <c r="D110" t="s">
        <v>100</v>
      </c>
      <c r="E110" t="s">
        <v>101</v>
      </c>
      <c r="F110" t="s">
        <v>186</v>
      </c>
      <c r="G110" s="1">
        <v>59100</v>
      </c>
      <c r="H110" s="1">
        <v>0</v>
      </c>
      <c r="I110" s="4">
        <v>59100</v>
      </c>
      <c r="J110" s="2" t="s">
        <v>24</v>
      </c>
      <c r="K110" t="s">
        <v>187</v>
      </c>
      <c r="L110" t="str">
        <f>"401699"</f>
        <v>401699</v>
      </c>
      <c r="M110" t="str">
        <f t="shared" si="2"/>
        <v>001</v>
      </c>
      <c r="O110" t="s">
        <v>26</v>
      </c>
      <c r="P110">
        <v>2</v>
      </c>
      <c r="Q110">
        <v>1</v>
      </c>
      <c r="R110">
        <v>1</v>
      </c>
    </row>
    <row r="111" spans="1:18">
      <c r="A111" s="3">
        <v>45672</v>
      </c>
      <c r="B111" t="s">
        <v>188</v>
      </c>
      <c r="C111" t="s">
        <v>21</v>
      </c>
      <c r="D111" t="s">
        <v>100</v>
      </c>
      <c r="E111" t="s">
        <v>101</v>
      </c>
      <c r="F111" t="s">
        <v>189</v>
      </c>
      <c r="G111" s="1">
        <v>68850</v>
      </c>
      <c r="H111" s="1">
        <v>0</v>
      </c>
      <c r="I111" s="4">
        <v>68850</v>
      </c>
      <c r="J111" s="2" t="s">
        <v>24</v>
      </c>
      <c r="K111" t="s">
        <v>190</v>
      </c>
      <c r="L111" t="str">
        <f>"401699"</f>
        <v>401699</v>
      </c>
      <c r="M111" t="str">
        <f t="shared" si="2"/>
        <v>001</v>
      </c>
      <c r="O111" t="s">
        <v>26</v>
      </c>
      <c r="P111">
        <v>2</v>
      </c>
      <c r="Q111">
        <v>1</v>
      </c>
      <c r="R111">
        <v>1</v>
      </c>
    </row>
    <row r="112" spans="1:18">
      <c r="A112" s="3">
        <v>45672</v>
      </c>
      <c r="B112" t="s">
        <v>191</v>
      </c>
      <c r="C112" t="s">
        <v>21</v>
      </c>
      <c r="D112" t="s">
        <v>100</v>
      </c>
      <c r="E112" t="s">
        <v>101</v>
      </c>
      <c r="F112" t="s">
        <v>192</v>
      </c>
      <c r="G112" s="1">
        <v>14325</v>
      </c>
      <c r="H112" s="1">
        <v>0</v>
      </c>
      <c r="I112" s="4">
        <v>14325</v>
      </c>
      <c r="J112" s="2" t="s">
        <v>24</v>
      </c>
      <c r="K112" t="s">
        <v>193</v>
      </c>
      <c r="L112" t="str">
        <f>"401699"</f>
        <v>401699</v>
      </c>
      <c r="M112" t="str">
        <f t="shared" si="2"/>
        <v>001</v>
      </c>
      <c r="O112" t="s">
        <v>26</v>
      </c>
      <c r="P112">
        <v>2</v>
      </c>
      <c r="Q112">
        <v>1</v>
      </c>
      <c r="R112">
        <v>1</v>
      </c>
    </row>
    <row r="113" spans="1:18">
      <c r="A113" s="3">
        <v>45672</v>
      </c>
      <c r="B113" t="s">
        <v>194</v>
      </c>
      <c r="C113" t="s">
        <v>21</v>
      </c>
      <c r="D113" t="s">
        <v>100</v>
      </c>
      <c r="E113" t="s">
        <v>101</v>
      </c>
      <c r="F113" t="s">
        <v>195</v>
      </c>
      <c r="G113" s="1">
        <v>84375</v>
      </c>
      <c r="H113" s="1">
        <v>0</v>
      </c>
      <c r="I113" s="4">
        <v>84375</v>
      </c>
      <c r="J113" s="2" t="s">
        <v>24</v>
      </c>
      <c r="K113" t="s">
        <v>196</v>
      </c>
      <c r="L113" t="str">
        <f>"401699"</f>
        <v>401699</v>
      </c>
      <c r="M113" t="str">
        <f t="shared" si="2"/>
        <v>001</v>
      </c>
      <c r="O113" t="s">
        <v>26</v>
      </c>
      <c r="P113">
        <v>2</v>
      </c>
      <c r="Q113">
        <v>1</v>
      </c>
      <c r="R113">
        <v>1</v>
      </c>
    </row>
    <row r="114" spans="1:18">
      <c r="A114" s="3">
        <v>45673</v>
      </c>
      <c r="B114" t="s">
        <v>197</v>
      </c>
      <c r="C114" t="s">
        <v>21</v>
      </c>
      <c r="D114" t="s">
        <v>100</v>
      </c>
      <c r="E114" t="s">
        <v>101</v>
      </c>
      <c r="F114" t="s">
        <v>198</v>
      </c>
      <c r="G114" s="1">
        <v>1608641</v>
      </c>
      <c r="H114" s="1">
        <v>0</v>
      </c>
      <c r="I114" s="4">
        <v>1608641</v>
      </c>
      <c r="J114" s="2" t="s">
        <v>24</v>
      </c>
      <c r="K114" t="s">
        <v>199</v>
      </c>
      <c r="L114" t="str">
        <f t="shared" ref="L114:L120" si="5">"401917"</f>
        <v>401917</v>
      </c>
      <c r="M114" t="str">
        <f t="shared" si="2"/>
        <v>001</v>
      </c>
      <c r="O114" t="s">
        <v>26</v>
      </c>
      <c r="P114">
        <v>2</v>
      </c>
      <c r="Q114">
        <v>1</v>
      </c>
      <c r="R114">
        <v>1</v>
      </c>
    </row>
    <row r="115" spans="1:18">
      <c r="A115" s="3">
        <v>45673</v>
      </c>
      <c r="B115" t="s">
        <v>200</v>
      </c>
      <c r="C115" t="s">
        <v>21</v>
      </c>
      <c r="D115" t="s">
        <v>100</v>
      </c>
      <c r="E115" t="s">
        <v>101</v>
      </c>
      <c r="F115" t="s">
        <v>201</v>
      </c>
      <c r="G115" s="1">
        <v>101782088</v>
      </c>
      <c r="H115" s="1">
        <v>0</v>
      </c>
      <c r="I115" s="4">
        <v>101782088</v>
      </c>
      <c r="J115" s="2" t="s">
        <v>24</v>
      </c>
      <c r="K115" t="s">
        <v>202</v>
      </c>
      <c r="L115" t="str">
        <f t="shared" si="5"/>
        <v>401917</v>
      </c>
      <c r="M115" t="str">
        <f t="shared" si="2"/>
        <v>001</v>
      </c>
      <c r="O115" t="s">
        <v>26</v>
      </c>
      <c r="P115">
        <v>2</v>
      </c>
      <c r="Q115">
        <v>1</v>
      </c>
      <c r="R115">
        <v>1</v>
      </c>
    </row>
    <row r="116" spans="1:18">
      <c r="A116" s="3">
        <v>45673</v>
      </c>
      <c r="B116" t="s">
        <v>203</v>
      </c>
      <c r="C116" t="s">
        <v>21</v>
      </c>
      <c r="D116" t="s">
        <v>100</v>
      </c>
      <c r="E116" t="s">
        <v>101</v>
      </c>
      <c r="F116" t="s">
        <v>204</v>
      </c>
      <c r="G116" s="1">
        <v>536213</v>
      </c>
      <c r="H116" s="1">
        <v>0</v>
      </c>
      <c r="I116" s="4">
        <v>536213</v>
      </c>
      <c r="J116" s="2" t="s">
        <v>24</v>
      </c>
      <c r="K116" t="s">
        <v>205</v>
      </c>
      <c r="L116" t="str">
        <f t="shared" si="5"/>
        <v>401917</v>
      </c>
      <c r="M116" t="str">
        <f t="shared" si="2"/>
        <v>001</v>
      </c>
      <c r="O116" t="s">
        <v>26</v>
      </c>
      <c r="P116">
        <v>2</v>
      </c>
      <c r="Q116">
        <v>1</v>
      </c>
      <c r="R116">
        <v>1</v>
      </c>
    </row>
    <row r="117" spans="1:18">
      <c r="A117" s="3">
        <v>45673</v>
      </c>
      <c r="B117" t="s">
        <v>203</v>
      </c>
      <c r="C117" t="s">
        <v>21</v>
      </c>
      <c r="D117" t="s">
        <v>100</v>
      </c>
      <c r="E117" t="s">
        <v>101</v>
      </c>
      <c r="F117" t="s">
        <v>206</v>
      </c>
      <c r="G117" s="1">
        <v>7978687</v>
      </c>
      <c r="H117" s="1">
        <v>0</v>
      </c>
      <c r="I117" s="4">
        <v>7978687</v>
      </c>
      <c r="J117" s="2" t="s">
        <v>24</v>
      </c>
      <c r="K117" t="s">
        <v>205</v>
      </c>
      <c r="L117" t="str">
        <f t="shared" si="5"/>
        <v>401917</v>
      </c>
      <c r="M117" t="str">
        <f t="shared" si="2"/>
        <v>001</v>
      </c>
      <c r="O117" t="s">
        <v>26</v>
      </c>
      <c r="P117">
        <v>2</v>
      </c>
      <c r="Q117">
        <v>1</v>
      </c>
      <c r="R117">
        <v>1</v>
      </c>
    </row>
    <row r="118" spans="1:18">
      <c r="A118" s="3">
        <v>45673</v>
      </c>
      <c r="B118" t="s">
        <v>203</v>
      </c>
      <c r="C118" t="s">
        <v>21</v>
      </c>
      <c r="D118" t="s">
        <v>100</v>
      </c>
      <c r="E118" t="s">
        <v>101</v>
      </c>
      <c r="F118" t="s">
        <v>207</v>
      </c>
      <c r="G118" s="1">
        <v>19946718</v>
      </c>
      <c r="H118" s="1">
        <v>0</v>
      </c>
      <c r="I118" s="4">
        <v>19946718</v>
      </c>
      <c r="J118" s="2" t="s">
        <v>24</v>
      </c>
      <c r="K118" t="s">
        <v>205</v>
      </c>
      <c r="L118" t="str">
        <f t="shared" si="5"/>
        <v>401917</v>
      </c>
      <c r="M118" t="str">
        <f t="shared" si="2"/>
        <v>001</v>
      </c>
      <c r="O118" t="s">
        <v>26</v>
      </c>
      <c r="P118">
        <v>2</v>
      </c>
      <c r="Q118">
        <v>1</v>
      </c>
      <c r="R118">
        <v>1</v>
      </c>
    </row>
    <row r="119" spans="1:18">
      <c r="A119" s="3">
        <v>45673</v>
      </c>
      <c r="B119" t="s">
        <v>203</v>
      </c>
      <c r="C119" t="s">
        <v>21</v>
      </c>
      <c r="D119" t="s">
        <v>100</v>
      </c>
      <c r="E119" t="s">
        <v>101</v>
      </c>
      <c r="F119" t="s">
        <v>208</v>
      </c>
      <c r="G119" s="1">
        <v>23599240</v>
      </c>
      <c r="H119" s="1">
        <v>0</v>
      </c>
      <c r="I119" s="4">
        <v>23599240</v>
      </c>
      <c r="J119" s="2" t="s">
        <v>24</v>
      </c>
      <c r="K119" t="s">
        <v>205</v>
      </c>
      <c r="L119" t="str">
        <f t="shared" si="5"/>
        <v>401917</v>
      </c>
      <c r="M119" t="str">
        <f t="shared" si="2"/>
        <v>001</v>
      </c>
      <c r="O119" t="s">
        <v>26</v>
      </c>
      <c r="P119">
        <v>2</v>
      </c>
      <c r="Q119">
        <v>1</v>
      </c>
      <c r="R119">
        <v>1</v>
      </c>
    </row>
    <row r="120" spans="1:18">
      <c r="A120" s="3">
        <v>45673</v>
      </c>
      <c r="B120" t="s">
        <v>209</v>
      </c>
      <c r="C120" t="s">
        <v>21</v>
      </c>
      <c r="D120" t="s">
        <v>100</v>
      </c>
      <c r="E120" t="s">
        <v>101</v>
      </c>
      <c r="F120" t="s">
        <v>210</v>
      </c>
      <c r="G120" s="1">
        <v>4289708</v>
      </c>
      <c r="H120" s="1">
        <v>0</v>
      </c>
      <c r="I120" s="4">
        <v>4289708</v>
      </c>
      <c r="J120" s="2" t="s">
        <v>24</v>
      </c>
      <c r="K120" t="s">
        <v>211</v>
      </c>
      <c r="L120" t="str">
        <f t="shared" si="5"/>
        <v>401917</v>
      </c>
      <c r="M120" t="str">
        <f t="shared" si="2"/>
        <v>001</v>
      </c>
      <c r="O120" t="s">
        <v>26</v>
      </c>
      <c r="P120">
        <v>2</v>
      </c>
      <c r="Q120">
        <v>1</v>
      </c>
      <c r="R120">
        <v>1</v>
      </c>
    </row>
    <row r="121" spans="1:18">
      <c r="A121" s="3">
        <v>45673</v>
      </c>
      <c r="B121" t="s">
        <v>212</v>
      </c>
      <c r="C121" t="s">
        <v>21</v>
      </c>
      <c r="D121" t="s">
        <v>100</v>
      </c>
      <c r="E121" t="s">
        <v>101</v>
      </c>
      <c r="F121" t="s">
        <v>213</v>
      </c>
      <c r="G121" s="1">
        <v>1421096</v>
      </c>
      <c r="H121" s="1">
        <v>0</v>
      </c>
      <c r="I121" s="4">
        <v>1421096</v>
      </c>
      <c r="J121" s="2" t="s">
        <v>24</v>
      </c>
      <c r="K121" t="s">
        <v>214</v>
      </c>
      <c r="L121" t="str">
        <f>"4018051"</f>
        <v>4018051</v>
      </c>
      <c r="M121" t="str">
        <f t="shared" si="2"/>
        <v>001</v>
      </c>
      <c r="O121" t="s">
        <v>26</v>
      </c>
      <c r="P121">
        <v>2</v>
      </c>
      <c r="Q121">
        <v>1</v>
      </c>
      <c r="R121">
        <v>1</v>
      </c>
    </row>
    <row r="122" spans="1:18">
      <c r="A122" s="3">
        <v>45674</v>
      </c>
      <c r="B122" t="s">
        <v>215</v>
      </c>
      <c r="C122" t="s">
        <v>21</v>
      </c>
      <c r="D122" t="s">
        <v>100</v>
      </c>
      <c r="E122" t="s">
        <v>101</v>
      </c>
      <c r="F122" t="s">
        <v>216</v>
      </c>
      <c r="G122" s="1">
        <v>532203</v>
      </c>
      <c r="H122" s="1">
        <v>0</v>
      </c>
      <c r="I122" s="4">
        <v>532203</v>
      </c>
      <c r="J122" s="2" t="s">
        <v>24</v>
      </c>
      <c r="K122" t="s">
        <v>217</v>
      </c>
      <c r="L122" t="str">
        <f>"401915"</f>
        <v>401915</v>
      </c>
      <c r="M122" t="str">
        <f t="shared" si="2"/>
        <v>001</v>
      </c>
      <c r="O122" t="s">
        <v>26</v>
      </c>
      <c r="P122">
        <v>2</v>
      </c>
      <c r="Q122">
        <v>1</v>
      </c>
      <c r="R122">
        <v>1</v>
      </c>
    </row>
    <row r="123" spans="1:18">
      <c r="A123" s="3">
        <v>45674</v>
      </c>
      <c r="B123" t="s">
        <v>218</v>
      </c>
      <c r="C123" t="s">
        <v>21</v>
      </c>
      <c r="D123" t="s">
        <v>100</v>
      </c>
      <c r="E123" t="s">
        <v>101</v>
      </c>
      <c r="F123" t="s">
        <v>219</v>
      </c>
      <c r="G123" s="1">
        <v>1853729</v>
      </c>
      <c r="H123" s="1">
        <v>0</v>
      </c>
      <c r="I123" s="4">
        <v>1853729</v>
      </c>
      <c r="J123" s="2" t="s">
        <v>24</v>
      </c>
      <c r="K123" t="s">
        <v>220</v>
      </c>
      <c r="L123" t="str">
        <f>"401924"</f>
        <v>401924</v>
      </c>
      <c r="M123" t="str">
        <f t="shared" si="2"/>
        <v>001</v>
      </c>
      <c r="O123" t="s">
        <v>26</v>
      </c>
      <c r="P123">
        <v>2</v>
      </c>
      <c r="Q123">
        <v>1</v>
      </c>
      <c r="R123">
        <v>1</v>
      </c>
    </row>
    <row r="124" spans="1:18">
      <c r="A124" s="3">
        <v>45674</v>
      </c>
      <c r="B124" t="s">
        <v>221</v>
      </c>
      <c r="C124" t="s">
        <v>21</v>
      </c>
      <c r="D124" t="s">
        <v>100</v>
      </c>
      <c r="E124" t="s">
        <v>101</v>
      </c>
      <c r="F124" t="s">
        <v>222</v>
      </c>
      <c r="G124" s="1">
        <v>3740085</v>
      </c>
      <c r="H124" s="1">
        <v>0</v>
      </c>
      <c r="I124" s="4">
        <v>3740085</v>
      </c>
      <c r="J124" s="2" t="s">
        <v>24</v>
      </c>
      <c r="K124" t="s">
        <v>223</v>
      </c>
      <c r="L124" t="str">
        <f>"401916"</f>
        <v>401916</v>
      </c>
      <c r="M124" t="str">
        <f t="shared" si="2"/>
        <v>001</v>
      </c>
      <c r="O124" t="s">
        <v>26</v>
      </c>
      <c r="P124">
        <v>2</v>
      </c>
      <c r="Q124">
        <v>1</v>
      </c>
      <c r="R124">
        <v>1</v>
      </c>
    </row>
    <row r="125" spans="1:18">
      <c r="A125" s="3">
        <v>45677</v>
      </c>
      <c r="B125" t="s">
        <v>224</v>
      </c>
      <c r="C125" t="s">
        <v>21</v>
      </c>
      <c r="D125" t="s">
        <v>100</v>
      </c>
      <c r="E125" t="s">
        <v>101</v>
      </c>
      <c r="F125" t="s">
        <v>225</v>
      </c>
      <c r="G125" s="1">
        <v>87288</v>
      </c>
      <c r="H125" s="1">
        <v>0</v>
      </c>
      <c r="I125" s="4">
        <v>87288</v>
      </c>
      <c r="J125" s="2" t="s">
        <v>24</v>
      </c>
      <c r="K125" t="s">
        <v>226</v>
      </c>
      <c r="L125" t="str">
        <f>"4018051"</f>
        <v>4018051</v>
      </c>
      <c r="M125" t="str">
        <f t="shared" si="2"/>
        <v>001</v>
      </c>
      <c r="O125" t="s">
        <v>26</v>
      </c>
      <c r="P125">
        <v>2</v>
      </c>
      <c r="Q125">
        <v>1</v>
      </c>
      <c r="R125">
        <v>1</v>
      </c>
    </row>
    <row r="126" spans="1:18">
      <c r="A126" s="3">
        <v>45677</v>
      </c>
      <c r="B126" t="s">
        <v>227</v>
      </c>
      <c r="C126" t="s">
        <v>21</v>
      </c>
      <c r="D126" t="s">
        <v>228</v>
      </c>
      <c r="E126" t="s">
        <v>229</v>
      </c>
      <c r="F126" t="s">
        <v>230</v>
      </c>
      <c r="G126" s="1">
        <v>382900</v>
      </c>
      <c r="H126" s="1">
        <v>0</v>
      </c>
      <c r="I126" s="4">
        <v>382900</v>
      </c>
      <c r="J126" s="2" t="s">
        <v>24</v>
      </c>
      <c r="K126" t="s">
        <v>231</v>
      </c>
      <c r="M126" t="str">
        <f t="shared" si="2"/>
        <v>001</v>
      </c>
      <c r="O126" t="s">
        <v>26</v>
      </c>
      <c r="P126">
        <v>2</v>
      </c>
      <c r="Q126">
        <v>1</v>
      </c>
      <c r="R126">
        <v>1</v>
      </c>
    </row>
    <row r="127" spans="1:18">
      <c r="A127" s="3">
        <v>45684</v>
      </c>
      <c r="B127" t="s">
        <v>232</v>
      </c>
      <c r="C127" t="s">
        <v>21</v>
      </c>
      <c r="D127" t="s">
        <v>228</v>
      </c>
      <c r="E127" t="s">
        <v>229</v>
      </c>
      <c r="F127" t="s">
        <v>233</v>
      </c>
      <c r="G127" s="1">
        <v>47622600</v>
      </c>
      <c r="H127" s="1">
        <v>0</v>
      </c>
      <c r="I127" s="4">
        <v>47622600</v>
      </c>
      <c r="J127" s="2" t="s">
        <v>24</v>
      </c>
      <c r="K127" t="s">
        <v>234</v>
      </c>
      <c r="M127" t="str">
        <f t="shared" si="2"/>
        <v>001</v>
      </c>
      <c r="O127" t="s">
        <v>26</v>
      </c>
      <c r="P127">
        <v>2</v>
      </c>
      <c r="Q127">
        <v>1</v>
      </c>
      <c r="R127">
        <v>1</v>
      </c>
    </row>
    <row r="128" spans="1:18">
      <c r="A128" s="3">
        <v>45684</v>
      </c>
      <c r="B128" t="s">
        <v>235</v>
      </c>
      <c r="C128" t="s">
        <v>21</v>
      </c>
      <c r="D128" t="s">
        <v>228</v>
      </c>
      <c r="E128" t="s">
        <v>229</v>
      </c>
      <c r="F128" t="s">
        <v>236</v>
      </c>
      <c r="G128" s="1">
        <v>3906725</v>
      </c>
      <c r="H128" s="1">
        <v>0</v>
      </c>
      <c r="I128" s="4">
        <v>3906725</v>
      </c>
      <c r="J128" s="2" t="s">
        <v>24</v>
      </c>
      <c r="K128" t="s">
        <v>237</v>
      </c>
      <c r="M128" t="str">
        <f t="shared" si="2"/>
        <v>001</v>
      </c>
      <c r="O128" t="s">
        <v>26</v>
      </c>
      <c r="P128">
        <v>2</v>
      </c>
      <c r="Q128">
        <v>1</v>
      </c>
      <c r="R128">
        <v>1</v>
      </c>
    </row>
    <row r="129" spans="1:18">
      <c r="A129" s="3">
        <v>45688</v>
      </c>
      <c r="B129" t="s">
        <v>238</v>
      </c>
      <c r="C129" t="s">
        <v>21</v>
      </c>
      <c r="D129" t="s">
        <v>239</v>
      </c>
      <c r="E129" t="s">
        <v>239</v>
      </c>
      <c r="F129" t="s">
        <v>240</v>
      </c>
      <c r="G129" s="1">
        <v>382900</v>
      </c>
      <c r="H129" s="1">
        <v>0</v>
      </c>
      <c r="I129" s="4">
        <v>382900</v>
      </c>
      <c r="J129" s="2" t="s">
        <v>24</v>
      </c>
      <c r="K129" t="s">
        <v>241</v>
      </c>
      <c r="L129" t="str">
        <f>"408101"</f>
        <v>408101</v>
      </c>
      <c r="M129" t="str">
        <f t="shared" si="2"/>
        <v>001</v>
      </c>
      <c r="O129" t="s">
        <v>26</v>
      </c>
      <c r="P129">
        <v>2</v>
      </c>
      <c r="Q129">
        <v>1</v>
      </c>
      <c r="R129">
        <v>1</v>
      </c>
    </row>
    <row r="130" spans="1:18">
      <c r="A130" s="3">
        <v>45688</v>
      </c>
      <c r="B130" t="s">
        <v>238</v>
      </c>
      <c r="C130" t="s">
        <v>21</v>
      </c>
      <c r="D130" t="s">
        <v>239</v>
      </c>
      <c r="E130" t="s">
        <v>239</v>
      </c>
      <c r="F130" t="s">
        <v>242</v>
      </c>
      <c r="G130" s="1">
        <v>9217277</v>
      </c>
      <c r="H130" s="1">
        <v>0</v>
      </c>
      <c r="I130" s="4">
        <v>9217277</v>
      </c>
      <c r="J130" s="2" t="s">
        <v>24</v>
      </c>
      <c r="K130" t="s">
        <v>241</v>
      </c>
      <c r="L130" t="str">
        <f>"408101"</f>
        <v>408101</v>
      </c>
      <c r="M130" t="str">
        <f t="shared" ref="M130:M176" si="6">"001"</f>
        <v>001</v>
      </c>
      <c r="O130" t="s">
        <v>26</v>
      </c>
      <c r="P130">
        <v>2</v>
      </c>
      <c r="Q130">
        <v>1</v>
      </c>
      <c r="R130">
        <v>1</v>
      </c>
    </row>
    <row r="131" spans="1:18">
      <c r="A131" s="3">
        <v>45688</v>
      </c>
      <c r="B131" t="s">
        <v>243</v>
      </c>
      <c r="C131" t="s">
        <v>21</v>
      </c>
      <c r="D131" t="s">
        <v>239</v>
      </c>
      <c r="E131" t="s">
        <v>239</v>
      </c>
      <c r="F131" t="s">
        <v>244</v>
      </c>
      <c r="G131" s="1">
        <v>264812886</v>
      </c>
      <c r="H131" s="1">
        <v>0</v>
      </c>
      <c r="I131" s="4">
        <v>264812886</v>
      </c>
      <c r="J131" s="2" t="s">
        <v>24</v>
      </c>
      <c r="K131" t="s">
        <v>245</v>
      </c>
      <c r="L131" t="str">
        <f>"408101"</f>
        <v>408101</v>
      </c>
      <c r="M131" t="str">
        <f t="shared" si="6"/>
        <v>001</v>
      </c>
      <c r="O131" t="s">
        <v>26</v>
      </c>
      <c r="P131">
        <v>2</v>
      </c>
      <c r="Q131">
        <v>1</v>
      </c>
      <c r="R131">
        <v>1</v>
      </c>
    </row>
    <row r="132" spans="1:18">
      <c r="A132" s="3">
        <v>45688</v>
      </c>
      <c r="B132" t="s">
        <v>246</v>
      </c>
      <c r="C132" t="s">
        <v>21</v>
      </c>
      <c r="D132" t="s">
        <v>239</v>
      </c>
      <c r="E132" t="s">
        <v>239</v>
      </c>
      <c r="F132" t="s">
        <v>247</v>
      </c>
      <c r="G132" s="1">
        <v>251616</v>
      </c>
      <c r="H132" s="1">
        <v>0</v>
      </c>
      <c r="I132" s="4">
        <v>251616</v>
      </c>
      <c r="J132" s="4" t="s">
        <v>248</v>
      </c>
      <c r="K132" t="s">
        <v>249</v>
      </c>
      <c r="L132" t="str">
        <f t="shared" ref="L132:L139" si="7">"408106"</f>
        <v>408106</v>
      </c>
      <c r="M132" t="str">
        <f t="shared" si="6"/>
        <v>001</v>
      </c>
      <c r="O132" t="s">
        <v>26</v>
      </c>
      <c r="P132">
        <v>2</v>
      </c>
      <c r="Q132">
        <v>1</v>
      </c>
      <c r="R132">
        <v>1</v>
      </c>
    </row>
    <row r="133" spans="1:18">
      <c r="A133" s="3">
        <v>45688</v>
      </c>
      <c r="B133" t="s">
        <v>246</v>
      </c>
      <c r="C133" t="s">
        <v>21</v>
      </c>
      <c r="D133" t="s">
        <v>239</v>
      </c>
      <c r="E133" t="s">
        <v>239</v>
      </c>
      <c r="F133" t="s">
        <v>250</v>
      </c>
      <c r="G133" s="1">
        <v>6159357</v>
      </c>
      <c r="H133" s="1">
        <v>0</v>
      </c>
      <c r="I133" s="4">
        <v>6159357</v>
      </c>
      <c r="J133" s="4" t="s">
        <v>248</v>
      </c>
      <c r="K133" t="s">
        <v>249</v>
      </c>
      <c r="L133" t="str">
        <f t="shared" si="7"/>
        <v>408106</v>
      </c>
      <c r="M133" t="str">
        <f t="shared" si="6"/>
        <v>001</v>
      </c>
      <c r="O133" t="s">
        <v>26</v>
      </c>
      <c r="P133">
        <v>2</v>
      </c>
      <c r="Q133">
        <v>1</v>
      </c>
      <c r="R133">
        <v>1</v>
      </c>
    </row>
    <row r="134" spans="1:18">
      <c r="A134" s="3">
        <v>45688</v>
      </c>
      <c r="B134" t="s">
        <v>246</v>
      </c>
      <c r="C134" t="s">
        <v>21</v>
      </c>
      <c r="D134" t="s">
        <v>239</v>
      </c>
      <c r="E134" t="s">
        <v>239</v>
      </c>
      <c r="F134" t="s">
        <v>251</v>
      </c>
      <c r="G134" s="1">
        <v>655251</v>
      </c>
      <c r="H134" s="1">
        <v>0</v>
      </c>
      <c r="I134" s="4">
        <v>655251</v>
      </c>
      <c r="J134" s="4" t="s">
        <v>248</v>
      </c>
      <c r="K134" t="s">
        <v>249</v>
      </c>
      <c r="L134" t="str">
        <f t="shared" si="7"/>
        <v>408106</v>
      </c>
      <c r="M134" t="str">
        <f t="shared" si="6"/>
        <v>001</v>
      </c>
      <c r="O134" t="s">
        <v>26</v>
      </c>
      <c r="P134">
        <v>2</v>
      </c>
      <c r="Q134">
        <v>1</v>
      </c>
      <c r="R134">
        <v>1</v>
      </c>
    </row>
    <row r="135" spans="1:18">
      <c r="A135" s="3">
        <v>45688</v>
      </c>
      <c r="B135" t="s">
        <v>246</v>
      </c>
      <c r="C135" t="s">
        <v>21</v>
      </c>
      <c r="D135" t="s">
        <v>239</v>
      </c>
      <c r="E135" t="s">
        <v>239</v>
      </c>
      <c r="F135" t="s">
        <v>252</v>
      </c>
      <c r="G135" s="1">
        <v>2254063</v>
      </c>
      <c r="H135" s="1">
        <v>0</v>
      </c>
      <c r="I135" s="4">
        <v>2254063</v>
      </c>
      <c r="J135" s="4" t="s">
        <v>248</v>
      </c>
      <c r="K135" t="s">
        <v>249</v>
      </c>
      <c r="L135" t="str">
        <f t="shared" si="7"/>
        <v>408106</v>
      </c>
      <c r="M135" t="str">
        <f t="shared" si="6"/>
        <v>001</v>
      </c>
      <c r="O135" t="s">
        <v>26</v>
      </c>
      <c r="P135">
        <v>2</v>
      </c>
      <c r="Q135">
        <v>1</v>
      </c>
      <c r="R135">
        <v>1</v>
      </c>
    </row>
    <row r="136" spans="1:18">
      <c r="A136" s="3">
        <v>45688</v>
      </c>
      <c r="B136" t="s">
        <v>246</v>
      </c>
      <c r="C136" t="s">
        <v>21</v>
      </c>
      <c r="D136" t="s">
        <v>239</v>
      </c>
      <c r="E136" t="s">
        <v>239</v>
      </c>
      <c r="F136" t="s">
        <v>253</v>
      </c>
      <c r="G136" s="1">
        <v>670977</v>
      </c>
      <c r="H136" s="1">
        <v>0</v>
      </c>
      <c r="I136" s="4">
        <v>670977</v>
      </c>
      <c r="J136" s="4" t="s">
        <v>248</v>
      </c>
      <c r="K136" t="s">
        <v>249</v>
      </c>
      <c r="L136" t="str">
        <f t="shared" si="7"/>
        <v>408106</v>
      </c>
      <c r="M136" t="str">
        <f t="shared" si="6"/>
        <v>001</v>
      </c>
      <c r="O136" t="s">
        <v>26</v>
      </c>
      <c r="P136">
        <v>2</v>
      </c>
      <c r="Q136">
        <v>1</v>
      </c>
      <c r="R136">
        <v>1</v>
      </c>
    </row>
    <row r="137" spans="1:18">
      <c r="A137" s="3">
        <v>45688</v>
      </c>
      <c r="B137" t="s">
        <v>246</v>
      </c>
      <c r="C137" t="s">
        <v>21</v>
      </c>
      <c r="D137" t="s">
        <v>239</v>
      </c>
      <c r="E137" t="s">
        <v>239</v>
      </c>
      <c r="F137" t="s">
        <v>254</v>
      </c>
      <c r="G137" s="1">
        <v>8212476</v>
      </c>
      <c r="H137" s="1">
        <v>0</v>
      </c>
      <c r="I137" s="4">
        <v>8212476</v>
      </c>
      <c r="J137" s="4" t="s">
        <v>248</v>
      </c>
      <c r="K137" t="s">
        <v>249</v>
      </c>
      <c r="L137" t="str">
        <f t="shared" si="7"/>
        <v>408106</v>
      </c>
      <c r="M137" t="str">
        <f t="shared" si="6"/>
        <v>001</v>
      </c>
      <c r="O137" t="s">
        <v>26</v>
      </c>
      <c r="P137">
        <v>2</v>
      </c>
      <c r="Q137">
        <v>1</v>
      </c>
      <c r="R137">
        <v>1</v>
      </c>
    </row>
    <row r="138" spans="1:18">
      <c r="A138" s="3">
        <v>45688</v>
      </c>
      <c r="B138" t="s">
        <v>246</v>
      </c>
      <c r="C138" t="s">
        <v>21</v>
      </c>
      <c r="D138" t="s">
        <v>239</v>
      </c>
      <c r="E138" t="s">
        <v>239</v>
      </c>
      <c r="F138" t="s">
        <v>255</v>
      </c>
      <c r="G138" s="1">
        <v>1747335</v>
      </c>
      <c r="H138" s="1">
        <v>0</v>
      </c>
      <c r="I138" s="4">
        <v>1747335</v>
      </c>
      <c r="J138" s="4" t="s">
        <v>248</v>
      </c>
      <c r="K138" t="s">
        <v>249</v>
      </c>
      <c r="L138" t="str">
        <f t="shared" si="7"/>
        <v>408106</v>
      </c>
      <c r="M138" t="str">
        <f t="shared" si="6"/>
        <v>001</v>
      </c>
      <c r="O138" t="s">
        <v>26</v>
      </c>
      <c r="P138">
        <v>2</v>
      </c>
      <c r="Q138">
        <v>1</v>
      </c>
      <c r="R138">
        <v>1</v>
      </c>
    </row>
    <row r="139" spans="1:18">
      <c r="A139" s="3">
        <v>45688</v>
      </c>
      <c r="B139" t="s">
        <v>246</v>
      </c>
      <c r="C139" t="s">
        <v>21</v>
      </c>
      <c r="D139" t="s">
        <v>239</v>
      </c>
      <c r="E139" t="s">
        <v>239</v>
      </c>
      <c r="F139" t="s">
        <v>256</v>
      </c>
      <c r="G139" s="1">
        <v>3005417</v>
      </c>
      <c r="H139" s="1">
        <v>0</v>
      </c>
      <c r="I139" s="4">
        <v>3005417</v>
      </c>
      <c r="J139" s="4" t="s">
        <v>248</v>
      </c>
      <c r="K139" t="s">
        <v>249</v>
      </c>
      <c r="L139" t="str">
        <f t="shared" si="7"/>
        <v>408106</v>
      </c>
      <c r="M139" t="str">
        <f t="shared" si="6"/>
        <v>001</v>
      </c>
      <c r="O139" t="s">
        <v>26</v>
      </c>
      <c r="P139">
        <v>2</v>
      </c>
      <c r="Q139">
        <v>1</v>
      </c>
      <c r="R139">
        <v>1</v>
      </c>
    </row>
    <row r="140" spans="1:18">
      <c r="A140" s="3">
        <v>45688</v>
      </c>
      <c r="B140" t="s">
        <v>257</v>
      </c>
      <c r="C140" t="s">
        <v>21</v>
      </c>
      <c r="D140" t="s">
        <v>239</v>
      </c>
      <c r="E140" t="s">
        <v>239</v>
      </c>
      <c r="F140" t="s">
        <v>258</v>
      </c>
      <c r="G140" s="1">
        <v>4172966</v>
      </c>
      <c r="H140" s="1">
        <v>0</v>
      </c>
      <c r="I140" s="4">
        <v>4172966</v>
      </c>
      <c r="J140" s="2" t="s">
        <v>24</v>
      </c>
      <c r="K140" t="s">
        <v>259</v>
      </c>
      <c r="L140" t="str">
        <f t="shared" ref="L140:L176" si="8">"408106"</f>
        <v>408106</v>
      </c>
      <c r="M140" t="str">
        <f t="shared" si="6"/>
        <v>001</v>
      </c>
      <c r="O140" t="s">
        <v>26</v>
      </c>
      <c r="P140">
        <v>2</v>
      </c>
      <c r="Q140">
        <v>1</v>
      </c>
      <c r="R140">
        <v>1</v>
      </c>
    </row>
    <row r="141" spans="1:18">
      <c r="A141" s="3">
        <v>45688</v>
      </c>
      <c r="B141" t="s">
        <v>257</v>
      </c>
      <c r="C141" t="s">
        <v>21</v>
      </c>
      <c r="D141" t="s">
        <v>239</v>
      </c>
      <c r="E141" t="s">
        <v>239</v>
      </c>
      <c r="F141" t="s">
        <v>260</v>
      </c>
      <c r="G141" s="1">
        <v>6479943</v>
      </c>
      <c r="H141" s="1">
        <v>0</v>
      </c>
      <c r="I141" s="4">
        <v>6479943</v>
      </c>
      <c r="J141" s="2" t="s">
        <v>24</v>
      </c>
      <c r="K141" t="s">
        <v>259</v>
      </c>
      <c r="L141" t="str">
        <f t="shared" si="8"/>
        <v>408106</v>
      </c>
      <c r="M141" t="str">
        <f t="shared" si="6"/>
        <v>001</v>
      </c>
      <c r="O141" t="s">
        <v>26</v>
      </c>
      <c r="P141">
        <v>2</v>
      </c>
      <c r="Q141">
        <v>1</v>
      </c>
      <c r="R141">
        <v>1</v>
      </c>
    </row>
    <row r="142" spans="1:18">
      <c r="A142" s="3">
        <v>45688</v>
      </c>
      <c r="B142" t="s">
        <v>257</v>
      </c>
      <c r="C142" t="s">
        <v>21</v>
      </c>
      <c r="D142" t="s">
        <v>239</v>
      </c>
      <c r="E142" t="s">
        <v>239</v>
      </c>
      <c r="F142" t="s">
        <v>261</v>
      </c>
      <c r="G142" s="1">
        <v>8590591</v>
      </c>
      <c r="H142" s="1">
        <v>0</v>
      </c>
      <c r="I142" s="4">
        <v>8590591</v>
      </c>
      <c r="J142" s="2" t="s">
        <v>24</v>
      </c>
      <c r="K142" t="s">
        <v>259</v>
      </c>
      <c r="L142" t="str">
        <f t="shared" si="8"/>
        <v>408106</v>
      </c>
      <c r="M142" t="str">
        <f t="shared" si="6"/>
        <v>001</v>
      </c>
      <c r="O142" t="s">
        <v>26</v>
      </c>
      <c r="P142">
        <v>2</v>
      </c>
      <c r="Q142">
        <v>1</v>
      </c>
      <c r="R142">
        <v>1</v>
      </c>
    </row>
    <row r="143" spans="1:18">
      <c r="A143" s="3">
        <v>45688</v>
      </c>
      <c r="B143" t="s">
        <v>257</v>
      </c>
      <c r="C143" t="s">
        <v>21</v>
      </c>
      <c r="D143" t="s">
        <v>239</v>
      </c>
      <c r="E143" t="s">
        <v>239</v>
      </c>
      <c r="F143" t="s">
        <v>262</v>
      </c>
      <c r="G143" s="1">
        <v>13297590</v>
      </c>
      <c r="H143" s="1">
        <v>0</v>
      </c>
      <c r="I143" s="4">
        <v>13297590</v>
      </c>
      <c r="J143" s="2" t="s">
        <v>24</v>
      </c>
      <c r="K143" t="s">
        <v>259</v>
      </c>
      <c r="L143" t="str">
        <f t="shared" si="8"/>
        <v>408106</v>
      </c>
      <c r="M143" t="str">
        <f t="shared" si="6"/>
        <v>001</v>
      </c>
      <c r="O143" t="s">
        <v>26</v>
      </c>
      <c r="P143">
        <v>2</v>
      </c>
      <c r="Q143">
        <v>1</v>
      </c>
      <c r="R143">
        <v>1</v>
      </c>
    </row>
    <row r="144" spans="1:18">
      <c r="A144" s="3">
        <v>45688</v>
      </c>
      <c r="B144" t="s">
        <v>257</v>
      </c>
      <c r="C144" t="s">
        <v>21</v>
      </c>
      <c r="D144" t="s">
        <v>239</v>
      </c>
      <c r="E144" t="s">
        <v>239</v>
      </c>
      <c r="F144" t="s">
        <v>263</v>
      </c>
      <c r="G144" s="1">
        <v>15466114</v>
      </c>
      <c r="H144" s="1">
        <v>0</v>
      </c>
      <c r="I144" s="4">
        <v>15466114</v>
      </c>
      <c r="J144" s="2" t="s">
        <v>24</v>
      </c>
      <c r="K144" t="s">
        <v>259</v>
      </c>
      <c r="L144" t="str">
        <f t="shared" si="8"/>
        <v>408106</v>
      </c>
      <c r="M144" t="str">
        <f t="shared" si="6"/>
        <v>001</v>
      </c>
      <c r="O144" t="s">
        <v>26</v>
      </c>
      <c r="P144">
        <v>2</v>
      </c>
      <c r="Q144">
        <v>1</v>
      </c>
      <c r="R144">
        <v>1</v>
      </c>
    </row>
    <row r="145" spans="1:18">
      <c r="A145" s="3">
        <v>45688</v>
      </c>
      <c r="B145" t="s">
        <v>257</v>
      </c>
      <c r="C145" t="s">
        <v>21</v>
      </c>
      <c r="D145" t="s">
        <v>239</v>
      </c>
      <c r="E145" t="s">
        <v>239</v>
      </c>
      <c r="F145" t="s">
        <v>264</v>
      </c>
      <c r="G145" s="1">
        <v>629699</v>
      </c>
      <c r="H145" s="1">
        <v>0</v>
      </c>
      <c r="I145" s="4">
        <v>629699</v>
      </c>
      <c r="J145" s="2" t="s">
        <v>24</v>
      </c>
      <c r="K145" t="s">
        <v>259</v>
      </c>
      <c r="L145" t="str">
        <f t="shared" si="8"/>
        <v>408106</v>
      </c>
      <c r="M145" t="str">
        <f t="shared" si="6"/>
        <v>001</v>
      </c>
      <c r="O145" t="s">
        <v>26</v>
      </c>
      <c r="P145">
        <v>2</v>
      </c>
      <c r="Q145">
        <v>1</v>
      </c>
      <c r="R145">
        <v>1</v>
      </c>
    </row>
    <row r="146" spans="1:18">
      <c r="A146" s="3">
        <v>45688</v>
      </c>
      <c r="B146" t="s">
        <v>257</v>
      </c>
      <c r="C146" t="s">
        <v>21</v>
      </c>
      <c r="D146" t="s">
        <v>239</v>
      </c>
      <c r="E146" t="s">
        <v>239</v>
      </c>
      <c r="F146" t="s">
        <v>265</v>
      </c>
      <c r="G146" s="1">
        <v>2086483</v>
      </c>
      <c r="H146" s="1">
        <v>0</v>
      </c>
      <c r="I146" s="4">
        <v>2086483</v>
      </c>
      <c r="J146" s="2" t="s">
        <v>24</v>
      </c>
      <c r="K146" t="s">
        <v>259</v>
      </c>
      <c r="L146" t="str">
        <f t="shared" si="8"/>
        <v>408106</v>
      </c>
      <c r="M146" t="str">
        <f t="shared" si="6"/>
        <v>001</v>
      </c>
      <c r="O146" t="s">
        <v>26</v>
      </c>
      <c r="P146">
        <v>2</v>
      </c>
      <c r="Q146">
        <v>1</v>
      </c>
      <c r="R146">
        <v>1</v>
      </c>
    </row>
    <row r="147" spans="1:18">
      <c r="A147" s="3">
        <v>45688</v>
      </c>
      <c r="B147" t="s">
        <v>257</v>
      </c>
      <c r="C147" t="s">
        <v>21</v>
      </c>
      <c r="D147" t="s">
        <v>239</v>
      </c>
      <c r="E147" t="s">
        <v>239</v>
      </c>
      <c r="F147" t="s">
        <v>266</v>
      </c>
      <c r="G147" s="1">
        <v>4295295</v>
      </c>
      <c r="H147" s="1">
        <v>0</v>
      </c>
      <c r="I147" s="4">
        <v>4295295</v>
      </c>
      <c r="J147" s="2" t="s">
        <v>24</v>
      </c>
      <c r="K147" t="s">
        <v>259</v>
      </c>
      <c r="L147" t="str">
        <f t="shared" si="8"/>
        <v>408106</v>
      </c>
      <c r="M147" t="str">
        <f t="shared" si="6"/>
        <v>001</v>
      </c>
      <c r="O147" t="s">
        <v>26</v>
      </c>
      <c r="P147">
        <v>2</v>
      </c>
      <c r="Q147">
        <v>1</v>
      </c>
      <c r="R147">
        <v>1</v>
      </c>
    </row>
    <row r="148" spans="1:18">
      <c r="A148" s="3">
        <v>45688</v>
      </c>
      <c r="B148" t="s">
        <v>257</v>
      </c>
      <c r="C148" t="s">
        <v>21</v>
      </c>
      <c r="D148" t="s">
        <v>239</v>
      </c>
      <c r="E148" t="s">
        <v>239</v>
      </c>
      <c r="F148" t="s">
        <v>267</v>
      </c>
      <c r="G148" s="1">
        <v>6648795</v>
      </c>
      <c r="H148" s="1">
        <v>0</v>
      </c>
      <c r="I148" s="4">
        <v>6648795</v>
      </c>
      <c r="J148" s="2" t="s">
        <v>24</v>
      </c>
      <c r="K148" t="s">
        <v>259</v>
      </c>
      <c r="L148" t="str">
        <f t="shared" si="8"/>
        <v>408106</v>
      </c>
      <c r="M148" t="str">
        <f t="shared" si="6"/>
        <v>001</v>
      </c>
      <c r="O148" t="s">
        <v>26</v>
      </c>
      <c r="P148">
        <v>2</v>
      </c>
      <c r="Q148">
        <v>1</v>
      </c>
      <c r="R148">
        <v>1</v>
      </c>
    </row>
    <row r="149" spans="1:18">
      <c r="A149" s="3">
        <v>45688</v>
      </c>
      <c r="B149" t="s">
        <v>257</v>
      </c>
      <c r="C149" t="s">
        <v>21</v>
      </c>
      <c r="D149" t="s">
        <v>239</v>
      </c>
      <c r="E149" t="s">
        <v>239</v>
      </c>
      <c r="F149" t="s">
        <v>268</v>
      </c>
      <c r="G149" s="1">
        <v>7733057</v>
      </c>
      <c r="H149" s="1">
        <v>0</v>
      </c>
      <c r="I149" s="4">
        <v>7733057</v>
      </c>
      <c r="J149" s="2" t="s">
        <v>24</v>
      </c>
      <c r="K149" t="s">
        <v>259</v>
      </c>
      <c r="L149" t="str">
        <f t="shared" si="8"/>
        <v>408106</v>
      </c>
      <c r="M149" t="str">
        <f t="shared" si="6"/>
        <v>001</v>
      </c>
      <c r="O149" t="s">
        <v>26</v>
      </c>
      <c r="P149">
        <v>2</v>
      </c>
      <c r="Q149">
        <v>1</v>
      </c>
      <c r="R149">
        <v>1</v>
      </c>
    </row>
    <row r="150" spans="1:18">
      <c r="A150" s="3">
        <v>45688</v>
      </c>
      <c r="B150" t="s">
        <v>257</v>
      </c>
      <c r="C150" t="s">
        <v>21</v>
      </c>
      <c r="D150" t="s">
        <v>239</v>
      </c>
      <c r="E150" t="s">
        <v>239</v>
      </c>
      <c r="F150" t="s">
        <v>269</v>
      </c>
      <c r="G150" s="1">
        <v>3239971</v>
      </c>
      <c r="H150" s="1">
        <v>0</v>
      </c>
      <c r="I150" s="4">
        <v>3239971</v>
      </c>
      <c r="J150" s="2" t="s">
        <v>24</v>
      </c>
      <c r="K150" t="s">
        <v>259</v>
      </c>
      <c r="L150" t="str">
        <f t="shared" si="8"/>
        <v>408106</v>
      </c>
      <c r="M150" t="str">
        <f t="shared" si="6"/>
        <v>001</v>
      </c>
      <c r="O150" t="s">
        <v>26</v>
      </c>
      <c r="P150">
        <v>2</v>
      </c>
      <c r="Q150">
        <v>1</v>
      </c>
      <c r="R150">
        <v>1</v>
      </c>
    </row>
    <row r="151" spans="1:18">
      <c r="A151" s="3">
        <v>45688</v>
      </c>
      <c r="B151" t="s">
        <v>257</v>
      </c>
      <c r="C151" t="s">
        <v>21</v>
      </c>
      <c r="D151" t="s">
        <v>239</v>
      </c>
      <c r="E151" t="s">
        <v>239</v>
      </c>
      <c r="F151" t="s">
        <v>270</v>
      </c>
      <c r="G151" s="1">
        <v>314849</v>
      </c>
      <c r="H151" s="1">
        <v>0</v>
      </c>
      <c r="I151" s="4">
        <v>314849</v>
      </c>
      <c r="J151" s="2" t="s">
        <v>24</v>
      </c>
      <c r="K151" t="s">
        <v>259</v>
      </c>
      <c r="L151" t="str">
        <f t="shared" si="8"/>
        <v>408106</v>
      </c>
      <c r="M151" t="str">
        <f t="shared" si="6"/>
        <v>001</v>
      </c>
      <c r="O151" t="s">
        <v>26</v>
      </c>
      <c r="P151">
        <v>2</v>
      </c>
      <c r="Q151">
        <v>1</v>
      </c>
      <c r="R151">
        <v>1</v>
      </c>
    </row>
    <row r="152" spans="1:18">
      <c r="A152" s="3">
        <v>45688</v>
      </c>
      <c r="B152" t="s">
        <v>257</v>
      </c>
      <c r="C152" t="s">
        <v>21</v>
      </c>
      <c r="D152" t="s">
        <v>239</v>
      </c>
      <c r="E152" t="s">
        <v>239</v>
      </c>
      <c r="F152" t="s">
        <v>271</v>
      </c>
      <c r="G152" s="1">
        <v>2086483</v>
      </c>
      <c r="H152" s="1">
        <v>0</v>
      </c>
      <c r="I152" s="4">
        <v>2086483</v>
      </c>
      <c r="J152" s="2" t="s">
        <v>24</v>
      </c>
      <c r="K152" t="s">
        <v>259</v>
      </c>
      <c r="L152" t="str">
        <f t="shared" si="8"/>
        <v>408106</v>
      </c>
      <c r="M152" t="str">
        <f t="shared" si="6"/>
        <v>001</v>
      </c>
      <c r="O152" t="s">
        <v>26</v>
      </c>
      <c r="P152">
        <v>2</v>
      </c>
      <c r="Q152">
        <v>1</v>
      </c>
      <c r="R152">
        <v>1</v>
      </c>
    </row>
    <row r="153" spans="1:18">
      <c r="A153" s="3">
        <v>45688</v>
      </c>
      <c r="B153" t="s">
        <v>257</v>
      </c>
      <c r="C153" t="s">
        <v>21</v>
      </c>
      <c r="D153" t="s">
        <v>239</v>
      </c>
      <c r="E153" t="s">
        <v>239</v>
      </c>
      <c r="F153" t="s">
        <v>272</v>
      </c>
      <c r="G153" s="1">
        <v>4295295</v>
      </c>
      <c r="H153" s="1">
        <v>0</v>
      </c>
      <c r="I153" s="4">
        <v>4295295</v>
      </c>
      <c r="J153" s="2" t="s">
        <v>24</v>
      </c>
      <c r="K153" t="s">
        <v>259</v>
      </c>
      <c r="L153" t="str">
        <f t="shared" si="8"/>
        <v>408106</v>
      </c>
      <c r="M153" t="str">
        <f t="shared" si="6"/>
        <v>001</v>
      </c>
      <c r="O153" t="s">
        <v>26</v>
      </c>
      <c r="P153">
        <v>2</v>
      </c>
      <c r="Q153">
        <v>1</v>
      </c>
      <c r="R153">
        <v>1</v>
      </c>
    </row>
    <row r="154" spans="1:18">
      <c r="A154" s="3">
        <v>45688</v>
      </c>
      <c r="B154" t="s">
        <v>257</v>
      </c>
      <c r="C154" t="s">
        <v>21</v>
      </c>
      <c r="D154" t="s">
        <v>239</v>
      </c>
      <c r="E154" t="s">
        <v>239</v>
      </c>
      <c r="F154" t="s">
        <v>273</v>
      </c>
      <c r="G154" s="1">
        <v>3324397</v>
      </c>
      <c r="H154" s="1">
        <v>0</v>
      </c>
      <c r="I154" s="4">
        <v>3324397</v>
      </c>
      <c r="J154" s="2" t="s">
        <v>24</v>
      </c>
      <c r="K154" t="s">
        <v>259</v>
      </c>
      <c r="L154" t="str">
        <f t="shared" si="8"/>
        <v>408106</v>
      </c>
      <c r="M154" t="str">
        <f t="shared" si="6"/>
        <v>001</v>
      </c>
      <c r="O154" t="s">
        <v>26</v>
      </c>
      <c r="P154">
        <v>2</v>
      </c>
      <c r="Q154">
        <v>1</v>
      </c>
      <c r="R154">
        <v>1</v>
      </c>
    </row>
    <row r="155" spans="1:18">
      <c r="A155" s="3">
        <v>45688</v>
      </c>
      <c r="B155" t="s">
        <v>257</v>
      </c>
      <c r="C155" t="s">
        <v>21</v>
      </c>
      <c r="D155" t="s">
        <v>239</v>
      </c>
      <c r="E155" t="s">
        <v>239</v>
      </c>
      <c r="F155" t="s">
        <v>274</v>
      </c>
      <c r="G155" s="1">
        <v>7733057</v>
      </c>
      <c r="H155" s="1">
        <v>0</v>
      </c>
      <c r="I155" s="4">
        <v>7733057</v>
      </c>
      <c r="J155" s="2" t="s">
        <v>24</v>
      </c>
      <c r="K155" t="s">
        <v>259</v>
      </c>
      <c r="L155" t="str">
        <f t="shared" si="8"/>
        <v>408106</v>
      </c>
      <c r="M155" t="str">
        <f t="shared" si="6"/>
        <v>001</v>
      </c>
      <c r="O155" t="s">
        <v>26</v>
      </c>
      <c r="P155">
        <v>2</v>
      </c>
      <c r="Q155">
        <v>1</v>
      </c>
      <c r="R155">
        <v>1</v>
      </c>
    </row>
    <row r="156" spans="1:18">
      <c r="A156" s="3">
        <v>45688</v>
      </c>
      <c r="B156" t="s">
        <v>257</v>
      </c>
      <c r="C156" t="s">
        <v>21</v>
      </c>
      <c r="D156" t="s">
        <v>239</v>
      </c>
      <c r="E156" t="s">
        <v>239</v>
      </c>
      <c r="F156" t="s">
        <v>275</v>
      </c>
      <c r="G156" s="1">
        <v>3239971</v>
      </c>
      <c r="H156" s="1">
        <v>0</v>
      </c>
      <c r="I156" s="4">
        <v>3239971</v>
      </c>
      <c r="J156" s="2" t="s">
        <v>24</v>
      </c>
      <c r="K156" t="s">
        <v>259</v>
      </c>
      <c r="L156" t="str">
        <f t="shared" si="8"/>
        <v>408106</v>
      </c>
      <c r="M156" t="str">
        <f t="shared" si="6"/>
        <v>001</v>
      </c>
      <c r="O156" t="s">
        <v>26</v>
      </c>
      <c r="P156">
        <v>2</v>
      </c>
      <c r="Q156">
        <v>1</v>
      </c>
      <c r="R156">
        <v>1</v>
      </c>
    </row>
    <row r="157" spans="1:18">
      <c r="A157" s="3">
        <v>45688</v>
      </c>
      <c r="B157" t="s">
        <v>257</v>
      </c>
      <c r="C157" t="s">
        <v>21</v>
      </c>
      <c r="D157" t="s">
        <v>239</v>
      </c>
      <c r="E157" t="s">
        <v>239</v>
      </c>
      <c r="F157" t="s">
        <v>276</v>
      </c>
      <c r="G157" s="1">
        <v>314849</v>
      </c>
      <c r="H157" s="1">
        <v>0</v>
      </c>
      <c r="I157" s="4">
        <v>314849</v>
      </c>
      <c r="J157" s="2" t="s">
        <v>24</v>
      </c>
      <c r="K157" t="s">
        <v>259</v>
      </c>
      <c r="L157" t="str">
        <f t="shared" si="8"/>
        <v>408106</v>
      </c>
      <c r="M157" t="str">
        <f t="shared" si="6"/>
        <v>001</v>
      </c>
      <c r="O157" t="s">
        <v>26</v>
      </c>
      <c r="P157">
        <v>2</v>
      </c>
      <c r="Q157">
        <v>1</v>
      </c>
      <c r="R157">
        <v>1</v>
      </c>
    </row>
    <row r="158" spans="1:18">
      <c r="A158" s="3">
        <v>45688</v>
      </c>
      <c r="B158" t="s">
        <v>257</v>
      </c>
      <c r="C158" t="s">
        <v>21</v>
      </c>
      <c r="D158" t="s">
        <v>239</v>
      </c>
      <c r="E158" t="s">
        <v>239</v>
      </c>
      <c r="F158" t="s">
        <v>277</v>
      </c>
      <c r="G158" s="1">
        <v>75835</v>
      </c>
      <c r="H158" s="1">
        <v>0</v>
      </c>
      <c r="I158" s="4">
        <v>75835</v>
      </c>
      <c r="J158" s="2" t="s">
        <v>24</v>
      </c>
      <c r="K158" t="s">
        <v>259</v>
      </c>
      <c r="L158" t="str">
        <f t="shared" si="8"/>
        <v>408106</v>
      </c>
      <c r="M158" t="str">
        <f t="shared" si="6"/>
        <v>001</v>
      </c>
      <c r="O158" t="s">
        <v>26</v>
      </c>
      <c r="P158">
        <v>2</v>
      </c>
      <c r="Q158">
        <v>1</v>
      </c>
      <c r="R158">
        <v>1</v>
      </c>
    </row>
    <row r="159" spans="1:18">
      <c r="A159" s="3">
        <v>45688</v>
      </c>
      <c r="B159" t="s">
        <v>257</v>
      </c>
      <c r="C159" t="s">
        <v>21</v>
      </c>
      <c r="D159" t="s">
        <v>239</v>
      </c>
      <c r="E159" t="s">
        <v>239</v>
      </c>
      <c r="F159" t="s">
        <v>278</v>
      </c>
      <c r="G159" s="1">
        <v>1591167</v>
      </c>
      <c r="H159" s="1">
        <v>0</v>
      </c>
      <c r="I159" s="4">
        <v>1591167</v>
      </c>
      <c r="J159" s="2" t="s">
        <v>24</v>
      </c>
      <c r="K159" t="s">
        <v>259</v>
      </c>
      <c r="L159" t="str">
        <f t="shared" si="8"/>
        <v>408106</v>
      </c>
      <c r="M159" t="str">
        <f t="shared" si="6"/>
        <v>001</v>
      </c>
      <c r="O159" t="s">
        <v>26</v>
      </c>
      <c r="P159">
        <v>2</v>
      </c>
      <c r="Q159">
        <v>1</v>
      </c>
      <c r="R159">
        <v>1</v>
      </c>
    </row>
    <row r="160" spans="1:18">
      <c r="A160" s="3">
        <v>45688</v>
      </c>
      <c r="B160" t="s">
        <v>257</v>
      </c>
      <c r="C160" t="s">
        <v>21</v>
      </c>
      <c r="D160" t="s">
        <v>239</v>
      </c>
      <c r="E160" t="s">
        <v>239</v>
      </c>
      <c r="F160" t="s">
        <v>279</v>
      </c>
      <c r="G160" s="1">
        <v>338547</v>
      </c>
      <c r="H160" s="1">
        <v>0</v>
      </c>
      <c r="I160" s="4">
        <v>338547</v>
      </c>
      <c r="J160" s="2" t="s">
        <v>24</v>
      </c>
      <c r="K160" t="s">
        <v>259</v>
      </c>
      <c r="L160" t="str">
        <f t="shared" si="8"/>
        <v>408106</v>
      </c>
      <c r="M160" t="str">
        <f t="shared" si="6"/>
        <v>001</v>
      </c>
      <c r="O160" t="s">
        <v>26</v>
      </c>
      <c r="P160">
        <v>2</v>
      </c>
      <c r="Q160">
        <v>1</v>
      </c>
      <c r="R160">
        <v>1</v>
      </c>
    </row>
    <row r="161" spans="1:18">
      <c r="A161" s="3">
        <v>45688</v>
      </c>
      <c r="B161" t="s">
        <v>257</v>
      </c>
      <c r="C161" t="s">
        <v>21</v>
      </c>
      <c r="D161" t="s">
        <v>239</v>
      </c>
      <c r="E161" t="s">
        <v>239</v>
      </c>
      <c r="F161" t="s">
        <v>280</v>
      </c>
      <c r="G161" s="1">
        <v>379172</v>
      </c>
      <c r="H161" s="1">
        <v>0</v>
      </c>
      <c r="I161" s="4">
        <v>379172</v>
      </c>
      <c r="J161" s="2" t="s">
        <v>24</v>
      </c>
      <c r="K161" t="s">
        <v>259</v>
      </c>
      <c r="L161" t="str">
        <f t="shared" si="8"/>
        <v>408106</v>
      </c>
      <c r="M161" t="str">
        <f t="shared" si="6"/>
        <v>001</v>
      </c>
      <c r="O161" t="s">
        <v>26</v>
      </c>
      <c r="P161">
        <v>2</v>
      </c>
      <c r="Q161">
        <v>1</v>
      </c>
      <c r="R161">
        <v>1</v>
      </c>
    </row>
    <row r="162" spans="1:18">
      <c r="A162" s="3">
        <v>45688</v>
      </c>
      <c r="B162" t="s">
        <v>257</v>
      </c>
      <c r="C162" t="s">
        <v>21</v>
      </c>
      <c r="D162" t="s">
        <v>239</v>
      </c>
      <c r="E162" t="s">
        <v>239</v>
      </c>
      <c r="F162" t="s">
        <v>281</v>
      </c>
      <c r="G162" s="1">
        <v>438136</v>
      </c>
      <c r="H162" s="1">
        <v>0</v>
      </c>
      <c r="I162" s="4">
        <v>438136</v>
      </c>
      <c r="J162" s="2" t="s">
        <v>24</v>
      </c>
      <c r="K162" t="s">
        <v>259</v>
      </c>
      <c r="L162" t="str">
        <f t="shared" si="8"/>
        <v>408106</v>
      </c>
      <c r="M162" t="str">
        <f t="shared" si="6"/>
        <v>001</v>
      </c>
      <c r="O162" t="s">
        <v>26</v>
      </c>
      <c r="P162">
        <v>2</v>
      </c>
      <c r="Q162">
        <v>1</v>
      </c>
      <c r="R162">
        <v>1</v>
      </c>
    </row>
    <row r="163" spans="1:18">
      <c r="A163" s="3">
        <v>45688</v>
      </c>
      <c r="B163" t="s">
        <v>257</v>
      </c>
      <c r="C163" t="s">
        <v>21</v>
      </c>
      <c r="D163" t="s">
        <v>239</v>
      </c>
      <c r="E163" t="s">
        <v>239</v>
      </c>
      <c r="F163" t="s">
        <v>282</v>
      </c>
      <c r="G163" s="1">
        <v>1585847</v>
      </c>
      <c r="H163" s="1">
        <v>0</v>
      </c>
      <c r="I163" s="4">
        <v>1585847</v>
      </c>
      <c r="J163" s="2" t="s">
        <v>24</v>
      </c>
      <c r="K163" t="s">
        <v>259</v>
      </c>
      <c r="L163" t="str">
        <f t="shared" si="8"/>
        <v>408106</v>
      </c>
      <c r="M163" t="str">
        <f t="shared" si="6"/>
        <v>001</v>
      </c>
      <c r="O163" t="s">
        <v>26</v>
      </c>
      <c r="P163">
        <v>2</v>
      </c>
      <c r="Q163">
        <v>1</v>
      </c>
      <c r="R163">
        <v>1</v>
      </c>
    </row>
    <row r="164" spans="1:18">
      <c r="A164" s="3">
        <v>45688</v>
      </c>
      <c r="B164" t="s">
        <v>257</v>
      </c>
      <c r="C164" t="s">
        <v>21</v>
      </c>
      <c r="D164" t="s">
        <v>239</v>
      </c>
      <c r="E164" t="s">
        <v>239</v>
      </c>
      <c r="F164" t="s">
        <v>283</v>
      </c>
      <c r="G164" s="1">
        <v>3537966</v>
      </c>
      <c r="H164" s="1">
        <v>0</v>
      </c>
      <c r="I164" s="4">
        <v>3537966</v>
      </c>
      <c r="J164" s="2" t="s">
        <v>24</v>
      </c>
      <c r="K164" t="s">
        <v>259</v>
      </c>
      <c r="L164" t="str">
        <f t="shared" si="8"/>
        <v>408106</v>
      </c>
      <c r="M164" t="str">
        <f t="shared" si="6"/>
        <v>001</v>
      </c>
      <c r="O164" t="s">
        <v>26</v>
      </c>
      <c r="P164">
        <v>2</v>
      </c>
      <c r="Q164">
        <v>1</v>
      </c>
      <c r="R164">
        <v>1</v>
      </c>
    </row>
    <row r="165" spans="1:18">
      <c r="A165" s="3">
        <v>45688</v>
      </c>
      <c r="B165" t="s">
        <v>257</v>
      </c>
      <c r="C165" t="s">
        <v>21</v>
      </c>
      <c r="D165" t="s">
        <v>239</v>
      </c>
      <c r="E165" t="s">
        <v>239</v>
      </c>
      <c r="F165" t="s">
        <v>284</v>
      </c>
      <c r="G165" s="1">
        <v>3244831</v>
      </c>
      <c r="H165" s="1">
        <v>0</v>
      </c>
      <c r="I165" s="4">
        <v>3244831</v>
      </c>
      <c r="J165" s="2" t="s">
        <v>24</v>
      </c>
      <c r="K165" t="s">
        <v>259</v>
      </c>
      <c r="L165" t="str">
        <f t="shared" si="8"/>
        <v>408106</v>
      </c>
      <c r="M165" t="str">
        <f t="shared" si="6"/>
        <v>001</v>
      </c>
      <c r="O165" t="s">
        <v>26</v>
      </c>
      <c r="P165">
        <v>2</v>
      </c>
      <c r="Q165">
        <v>1</v>
      </c>
      <c r="R165">
        <v>1</v>
      </c>
    </row>
    <row r="166" spans="1:18">
      <c r="A166" s="3">
        <v>45688</v>
      </c>
      <c r="B166" t="s">
        <v>257</v>
      </c>
      <c r="C166" t="s">
        <v>21</v>
      </c>
      <c r="D166" t="s">
        <v>239</v>
      </c>
      <c r="E166" t="s">
        <v>239</v>
      </c>
      <c r="F166" t="s">
        <v>285</v>
      </c>
      <c r="G166" s="1">
        <v>986186</v>
      </c>
      <c r="H166" s="1">
        <v>0</v>
      </c>
      <c r="I166" s="4">
        <v>986186</v>
      </c>
      <c r="J166" s="2" t="s">
        <v>24</v>
      </c>
      <c r="K166" t="s">
        <v>259</v>
      </c>
      <c r="L166" t="str">
        <f t="shared" si="8"/>
        <v>408106</v>
      </c>
      <c r="M166" t="str">
        <f t="shared" si="6"/>
        <v>001</v>
      </c>
      <c r="O166" t="s">
        <v>26</v>
      </c>
      <c r="P166">
        <v>2</v>
      </c>
      <c r="Q166">
        <v>1</v>
      </c>
      <c r="R166">
        <v>1</v>
      </c>
    </row>
    <row r="167" spans="1:18">
      <c r="A167" s="3">
        <v>45688</v>
      </c>
      <c r="B167" t="s">
        <v>257</v>
      </c>
      <c r="C167" t="s">
        <v>21</v>
      </c>
      <c r="D167" t="s">
        <v>239</v>
      </c>
      <c r="E167" t="s">
        <v>239</v>
      </c>
      <c r="F167" t="s">
        <v>286</v>
      </c>
      <c r="G167" s="1">
        <v>87288</v>
      </c>
      <c r="H167" s="1">
        <v>0</v>
      </c>
      <c r="I167" s="4">
        <v>87288</v>
      </c>
      <c r="J167" s="2" t="s">
        <v>24</v>
      </c>
      <c r="K167" t="s">
        <v>259</v>
      </c>
      <c r="L167" t="str">
        <f t="shared" si="8"/>
        <v>408106</v>
      </c>
      <c r="M167" t="str">
        <f t="shared" si="6"/>
        <v>001</v>
      </c>
      <c r="O167" t="s">
        <v>26</v>
      </c>
      <c r="P167">
        <v>2</v>
      </c>
      <c r="Q167">
        <v>1</v>
      </c>
      <c r="R167">
        <v>1</v>
      </c>
    </row>
    <row r="168" spans="1:18">
      <c r="A168" s="3">
        <v>45688</v>
      </c>
      <c r="B168" t="s">
        <v>257</v>
      </c>
      <c r="C168" t="s">
        <v>21</v>
      </c>
      <c r="D168" t="s">
        <v>239</v>
      </c>
      <c r="E168" t="s">
        <v>239</v>
      </c>
      <c r="F168" t="s">
        <v>287</v>
      </c>
      <c r="G168" s="1">
        <v>5216208</v>
      </c>
      <c r="H168" s="1">
        <v>0</v>
      </c>
      <c r="I168" s="4">
        <v>5216208</v>
      </c>
      <c r="J168" s="2" t="s">
        <v>24</v>
      </c>
      <c r="K168" t="s">
        <v>259</v>
      </c>
      <c r="L168" t="str">
        <f t="shared" si="8"/>
        <v>408106</v>
      </c>
      <c r="M168" t="str">
        <f t="shared" si="6"/>
        <v>001</v>
      </c>
      <c r="O168" t="s">
        <v>26</v>
      </c>
      <c r="P168">
        <v>2</v>
      </c>
      <c r="Q168">
        <v>1</v>
      </c>
      <c r="R168">
        <v>1</v>
      </c>
    </row>
    <row r="169" spans="1:18">
      <c r="A169" s="3">
        <v>45688</v>
      </c>
      <c r="B169" t="s">
        <v>257</v>
      </c>
      <c r="C169" t="s">
        <v>21</v>
      </c>
      <c r="D169" t="s">
        <v>239</v>
      </c>
      <c r="E169" t="s">
        <v>239</v>
      </c>
      <c r="F169" t="s">
        <v>288</v>
      </c>
      <c r="G169" s="1">
        <v>10738238</v>
      </c>
      <c r="H169" s="1">
        <v>0</v>
      </c>
      <c r="I169" s="4">
        <v>10738238</v>
      </c>
      <c r="J169" s="2" t="s">
        <v>24</v>
      </c>
      <c r="K169" t="s">
        <v>259</v>
      </c>
      <c r="L169" t="str">
        <f t="shared" si="8"/>
        <v>408106</v>
      </c>
      <c r="M169" t="str">
        <f t="shared" si="6"/>
        <v>001</v>
      </c>
      <c r="O169" t="s">
        <v>26</v>
      </c>
      <c r="P169">
        <v>2</v>
      </c>
      <c r="Q169">
        <v>1</v>
      </c>
      <c r="R169">
        <v>1</v>
      </c>
    </row>
    <row r="170" spans="1:18">
      <c r="A170" s="3">
        <v>45688</v>
      </c>
      <c r="B170" t="s">
        <v>257</v>
      </c>
      <c r="C170" t="s">
        <v>21</v>
      </c>
      <c r="D170" t="s">
        <v>239</v>
      </c>
      <c r="E170" t="s">
        <v>239</v>
      </c>
      <c r="F170" t="s">
        <v>289</v>
      </c>
      <c r="G170" s="1">
        <v>16621987</v>
      </c>
      <c r="H170" s="1">
        <v>0</v>
      </c>
      <c r="I170" s="4">
        <v>16621987</v>
      </c>
      <c r="J170" s="2" t="s">
        <v>24</v>
      </c>
      <c r="K170" t="s">
        <v>259</v>
      </c>
      <c r="L170" t="str">
        <f t="shared" si="8"/>
        <v>408106</v>
      </c>
      <c r="M170" t="str">
        <f t="shared" si="6"/>
        <v>001</v>
      </c>
      <c r="O170" t="s">
        <v>26</v>
      </c>
      <c r="P170">
        <v>2</v>
      </c>
      <c r="Q170">
        <v>1</v>
      </c>
      <c r="R170">
        <v>1</v>
      </c>
    </row>
    <row r="171" spans="1:18">
      <c r="A171" s="3">
        <v>45688</v>
      </c>
      <c r="B171" t="s">
        <v>257</v>
      </c>
      <c r="C171" t="s">
        <v>21</v>
      </c>
      <c r="D171" t="s">
        <v>239</v>
      </c>
      <c r="E171" t="s">
        <v>239</v>
      </c>
      <c r="F171" t="s">
        <v>290</v>
      </c>
      <c r="G171" s="1">
        <v>19332642</v>
      </c>
      <c r="H171" s="1">
        <v>0</v>
      </c>
      <c r="I171" s="4">
        <v>19332642</v>
      </c>
      <c r="J171" s="2" t="s">
        <v>24</v>
      </c>
      <c r="K171" t="s">
        <v>259</v>
      </c>
      <c r="L171" t="str">
        <f t="shared" si="8"/>
        <v>408106</v>
      </c>
      <c r="M171" t="str">
        <f t="shared" si="6"/>
        <v>001</v>
      </c>
      <c r="O171" t="s">
        <v>26</v>
      </c>
      <c r="P171">
        <v>2</v>
      </c>
      <c r="Q171">
        <v>1</v>
      </c>
      <c r="R171">
        <v>1</v>
      </c>
    </row>
    <row r="172" spans="1:18">
      <c r="A172" s="3">
        <v>45688</v>
      </c>
      <c r="B172" t="s">
        <v>257</v>
      </c>
      <c r="C172" t="s">
        <v>21</v>
      </c>
      <c r="D172" t="s">
        <v>239</v>
      </c>
      <c r="E172" t="s">
        <v>239</v>
      </c>
      <c r="F172" t="s">
        <v>291</v>
      </c>
      <c r="G172" s="1">
        <v>8099929</v>
      </c>
      <c r="H172" s="1">
        <v>0</v>
      </c>
      <c r="I172" s="4">
        <v>8099929</v>
      </c>
      <c r="J172" s="2" t="s">
        <v>24</v>
      </c>
      <c r="K172" t="s">
        <v>259</v>
      </c>
      <c r="L172" t="str">
        <f t="shared" si="8"/>
        <v>408106</v>
      </c>
      <c r="M172" t="str">
        <f t="shared" si="6"/>
        <v>001</v>
      </c>
      <c r="O172" t="s">
        <v>26</v>
      </c>
      <c r="P172">
        <v>2</v>
      </c>
      <c r="Q172">
        <v>1</v>
      </c>
      <c r="R172">
        <v>1</v>
      </c>
    </row>
    <row r="173" spans="1:18">
      <c r="A173" s="3">
        <v>45688</v>
      </c>
      <c r="B173" t="s">
        <v>257</v>
      </c>
      <c r="C173" t="s">
        <v>21</v>
      </c>
      <c r="D173" t="s">
        <v>239</v>
      </c>
      <c r="E173" t="s">
        <v>239</v>
      </c>
      <c r="F173" t="s">
        <v>292</v>
      </c>
      <c r="G173" s="1">
        <v>787124</v>
      </c>
      <c r="H173" s="1">
        <v>0</v>
      </c>
      <c r="I173" s="4">
        <v>787124</v>
      </c>
      <c r="J173" s="2" t="s">
        <v>24</v>
      </c>
      <c r="K173" t="s">
        <v>259</v>
      </c>
      <c r="L173" t="str">
        <f t="shared" si="8"/>
        <v>408106</v>
      </c>
      <c r="M173" t="str">
        <f t="shared" si="6"/>
        <v>001</v>
      </c>
      <c r="O173" t="s">
        <v>26</v>
      </c>
      <c r="P173">
        <v>2</v>
      </c>
      <c r="Q173">
        <v>1</v>
      </c>
      <c r="R173">
        <v>1</v>
      </c>
    </row>
    <row r="174" spans="1:18">
      <c r="A174" s="3">
        <v>45688</v>
      </c>
      <c r="B174" t="s">
        <v>257</v>
      </c>
      <c r="C174" t="s">
        <v>21</v>
      </c>
      <c r="D174" t="s">
        <v>239</v>
      </c>
      <c r="E174" t="s">
        <v>239</v>
      </c>
      <c r="F174" t="s">
        <v>293</v>
      </c>
      <c r="G174" s="1">
        <v>847458</v>
      </c>
      <c r="H174" s="1">
        <v>0</v>
      </c>
      <c r="I174" s="4">
        <v>847458</v>
      </c>
      <c r="J174" s="2" t="s">
        <v>24</v>
      </c>
      <c r="K174" t="s">
        <v>259</v>
      </c>
      <c r="L174" t="str">
        <f t="shared" si="8"/>
        <v>408106</v>
      </c>
      <c r="M174" t="str">
        <f t="shared" si="6"/>
        <v>001</v>
      </c>
      <c r="O174" t="s">
        <v>26</v>
      </c>
      <c r="P174">
        <v>2</v>
      </c>
      <c r="Q174">
        <v>1</v>
      </c>
      <c r="R174">
        <v>1</v>
      </c>
    </row>
    <row r="175" spans="1:18">
      <c r="A175" s="3">
        <v>45688</v>
      </c>
      <c r="B175" t="s">
        <v>257</v>
      </c>
      <c r="C175" t="s">
        <v>21</v>
      </c>
      <c r="D175" t="s">
        <v>239</v>
      </c>
      <c r="E175" t="s">
        <v>239</v>
      </c>
      <c r="F175" t="s">
        <v>294</v>
      </c>
      <c r="G175" s="1">
        <v>847458</v>
      </c>
      <c r="H175" s="1">
        <v>0</v>
      </c>
      <c r="I175" s="4">
        <v>847458</v>
      </c>
      <c r="J175" s="2" t="s">
        <v>24</v>
      </c>
      <c r="K175" t="s">
        <v>259</v>
      </c>
      <c r="L175" t="str">
        <f t="shared" si="8"/>
        <v>408106</v>
      </c>
      <c r="M175" t="str">
        <f t="shared" si="6"/>
        <v>001</v>
      </c>
      <c r="O175" t="s">
        <v>26</v>
      </c>
      <c r="P175">
        <v>2</v>
      </c>
      <c r="Q175">
        <v>1</v>
      </c>
      <c r="R175">
        <v>1</v>
      </c>
    </row>
    <row r="176" spans="1:18">
      <c r="A176" s="3">
        <v>45688</v>
      </c>
      <c r="B176" t="s">
        <v>257</v>
      </c>
      <c r="C176" t="s">
        <v>21</v>
      </c>
      <c r="D176" t="s">
        <v>239</v>
      </c>
      <c r="E176" t="s">
        <v>239</v>
      </c>
      <c r="F176" t="s">
        <v>295</v>
      </c>
      <c r="G176" s="1">
        <v>2542373</v>
      </c>
      <c r="H176" s="1">
        <v>0</v>
      </c>
      <c r="I176" s="4">
        <v>2542373</v>
      </c>
      <c r="J176" s="2" t="s">
        <v>24</v>
      </c>
      <c r="K176" t="s">
        <v>259</v>
      </c>
      <c r="L176" t="str">
        <f t="shared" si="8"/>
        <v>408106</v>
      </c>
      <c r="M176" t="str">
        <f t="shared" si="6"/>
        <v>001</v>
      </c>
      <c r="O176" t="s">
        <v>26</v>
      </c>
      <c r="P176">
        <v>2</v>
      </c>
      <c r="Q176">
        <v>1</v>
      </c>
      <c r="R176">
        <v>1</v>
      </c>
    </row>
  </sheetData>
  <autoFilter ref="A1:T17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T34"/>
  <sheetViews>
    <sheetView workbookViewId="0">
      <selection activeCell="F13" sqref="F13"/>
    </sheetView>
  </sheetViews>
  <sheetFormatPr defaultColWidth="11.42578125" defaultRowHeight="14.45"/>
  <cols>
    <col min="6" max="6" width="55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45659</v>
      </c>
      <c r="B2" t="s">
        <v>296</v>
      </c>
      <c r="C2" t="s">
        <v>21</v>
      </c>
      <c r="D2" t="s">
        <v>22</v>
      </c>
      <c r="E2" t="s">
        <v>22</v>
      </c>
      <c r="F2" t="s">
        <v>297</v>
      </c>
      <c r="G2" s="1">
        <v>-4458480</v>
      </c>
      <c r="H2" s="1">
        <v>0</v>
      </c>
      <c r="I2" s="2">
        <v>-4458480</v>
      </c>
      <c r="J2" s="2" t="s">
        <v>24</v>
      </c>
      <c r="K2" t="s">
        <v>298</v>
      </c>
      <c r="L2" t="str">
        <f t="shared" ref="L2:L8" si="0">"408101"</f>
        <v>408101</v>
      </c>
      <c r="M2" t="str">
        <f t="shared" ref="M2:M34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45659</v>
      </c>
      <c r="B3" t="s">
        <v>299</v>
      </c>
      <c r="C3" t="s">
        <v>21</v>
      </c>
      <c r="D3" t="s">
        <v>22</v>
      </c>
      <c r="E3" t="s">
        <v>22</v>
      </c>
      <c r="F3" t="s">
        <v>300</v>
      </c>
      <c r="G3" s="1">
        <v>-1241976</v>
      </c>
      <c r="H3" s="1">
        <v>0</v>
      </c>
      <c r="I3" s="2">
        <v>-1241976</v>
      </c>
      <c r="J3" s="2" t="s">
        <v>24</v>
      </c>
      <c r="K3" t="s">
        <v>301</v>
      </c>
      <c r="L3" t="str">
        <f t="shared" si="0"/>
        <v>408101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45659</v>
      </c>
      <c r="B4" t="s">
        <v>302</v>
      </c>
      <c r="C4" t="s">
        <v>21</v>
      </c>
      <c r="D4" t="s">
        <v>22</v>
      </c>
      <c r="E4" t="s">
        <v>22</v>
      </c>
      <c r="F4" t="s">
        <v>303</v>
      </c>
      <c r="G4" s="1">
        <v>0</v>
      </c>
      <c r="H4" s="1">
        <v>0</v>
      </c>
      <c r="I4" s="1">
        <v>0</v>
      </c>
      <c r="J4" s="2" t="s">
        <v>24</v>
      </c>
      <c r="K4" t="s">
        <v>304</v>
      </c>
      <c r="L4" t="str">
        <f t="shared" si="0"/>
        <v>408101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45659</v>
      </c>
      <c r="B5" t="s">
        <v>305</v>
      </c>
      <c r="C5" t="s">
        <v>21</v>
      </c>
      <c r="D5" t="s">
        <v>22</v>
      </c>
      <c r="E5" t="s">
        <v>22</v>
      </c>
      <c r="F5" t="s">
        <v>306</v>
      </c>
      <c r="G5" s="1">
        <v>-28163591</v>
      </c>
      <c r="H5" s="1">
        <v>0</v>
      </c>
      <c r="I5" s="2">
        <v>-28163591</v>
      </c>
      <c r="J5" s="2" t="s">
        <v>24</v>
      </c>
      <c r="K5" t="s">
        <v>307</v>
      </c>
      <c r="L5" t="str">
        <f t="shared" si="0"/>
        <v>408101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45659</v>
      </c>
      <c r="B6" t="s">
        <v>305</v>
      </c>
      <c r="C6" t="s">
        <v>21</v>
      </c>
      <c r="D6" t="s">
        <v>22</v>
      </c>
      <c r="E6" t="s">
        <v>22</v>
      </c>
      <c r="F6" t="s">
        <v>308</v>
      </c>
      <c r="G6" s="1">
        <v>-1405980</v>
      </c>
      <c r="H6" s="1">
        <v>0</v>
      </c>
      <c r="I6" s="2">
        <v>-1405980</v>
      </c>
      <c r="J6" s="2" t="s">
        <v>24</v>
      </c>
      <c r="K6" t="s">
        <v>307</v>
      </c>
      <c r="L6" t="str">
        <f t="shared" si="0"/>
        <v>408101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45659</v>
      </c>
      <c r="B7" t="s">
        <v>305</v>
      </c>
      <c r="C7" t="s">
        <v>21</v>
      </c>
      <c r="D7" t="s">
        <v>22</v>
      </c>
      <c r="E7" t="s">
        <v>22</v>
      </c>
      <c r="F7" t="s">
        <v>309</v>
      </c>
      <c r="G7" s="1">
        <v>-246750</v>
      </c>
      <c r="H7" s="1">
        <v>0</v>
      </c>
      <c r="I7" s="2">
        <v>-246750</v>
      </c>
      <c r="J7" s="2" t="s">
        <v>24</v>
      </c>
      <c r="K7" t="s">
        <v>307</v>
      </c>
      <c r="L7" t="str">
        <f t="shared" si="0"/>
        <v>408101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45659</v>
      </c>
      <c r="B8" t="s">
        <v>310</v>
      </c>
      <c r="C8" t="s">
        <v>21</v>
      </c>
      <c r="D8" t="s">
        <v>22</v>
      </c>
      <c r="E8" t="s">
        <v>22</v>
      </c>
      <c r="F8" t="s">
        <v>311</v>
      </c>
      <c r="G8" s="1">
        <v>-701862</v>
      </c>
      <c r="H8" s="1">
        <v>0</v>
      </c>
      <c r="I8" s="2">
        <v>-701862</v>
      </c>
      <c r="J8" s="2" t="s">
        <v>24</v>
      </c>
      <c r="K8" t="s">
        <v>312</v>
      </c>
      <c r="L8" t="str">
        <f t="shared" si="0"/>
        <v>408101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45663</v>
      </c>
      <c r="B9" t="s">
        <v>313</v>
      </c>
      <c r="C9" t="s">
        <v>21</v>
      </c>
      <c r="D9" t="s">
        <v>100</v>
      </c>
      <c r="E9" t="s">
        <v>101</v>
      </c>
      <c r="F9" t="s">
        <v>314</v>
      </c>
      <c r="G9" s="1">
        <v>635027</v>
      </c>
      <c r="H9" s="1">
        <v>0</v>
      </c>
      <c r="I9" s="4">
        <v>635027</v>
      </c>
      <c r="J9" s="2" t="s">
        <v>24</v>
      </c>
      <c r="K9" t="s">
        <v>315</v>
      </c>
      <c r="L9" t="str">
        <f t="shared" ref="L9:L14" si="2">"401699"</f>
        <v>401699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45663</v>
      </c>
      <c r="B10" t="s">
        <v>316</v>
      </c>
      <c r="C10" t="s">
        <v>21</v>
      </c>
      <c r="D10" t="s">
        <v>100</v>
      </c>
      <c r="E10" t="s">
        <v>101</v>
      </c>
      <c r="F10" t="s">
        <v>317</v>
      </c>
      <c r="G10" s="1">
        <v>480112</v>
      </c>
      <c r="H10" s="1">
        <v>0</v>
      </c>
      <c r="I10" s="4">
        <v>480112</v>
      </c>
      <c r="J10" s="2" t="s">
        <v>24</v>
      </c>
      <c r="K10" t="s">
        <v>318</v>
      </c>
      <c r="L10" t="str">
        <f t="shared" si="2"/>
        <v>401699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45663</v>
      </c>
      <c r="B11" t="s">
        <v>319</v>
      </c>
      <c r="C11" t="s">
        <v>21</v>
      </c>
      <c r="D11" t="s">
        <v>100</v>
      </c>
      <c r="E11" t="s">
        <v>101</v>
      </c>
      <c r="F11" t="s">
        <v>320</v>
      </c>
      <c r="G11" s="1">
        <v>453421</v>
      </c>
      <c r="H11" s="1">
        <v>0</v>
      </c>
      <c r="I11" s="4">
        <v>453421</v>
      </c>
      <c r="J11" s="2" t="s">
        <v>24</v>
      </c>
      <c r="K11" t="s">
        <v>321</v>
      </c>
      <c r="L11" t="str">
        <f t="shared" si="2"/>
        <v>401699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45663</v>
      </c>
      <c r="B12" t="s">
        <v>322</v>
      </c>
      <c r="C12" t="s">
        <v>21</v>
      </c>
      <c r="D12" t="s">
        <v>100</v>
      </c>
      <c r="E12" t="s">
        <v>101</v>
      </c>
      <c r="F12" t="s">
        <v>323</v>
      </c>
      <c r="G12" s="1">
        <v>382313</v>
      </c>
      <c r="H12" s="1">
        <v>0</v>
      </c>
      <c r="I12" s="4">
        <v>382313</v>
      </c>
      <c r="J12" s="2" t="s">
        <v>24</v>
      </c>
      <c r="K12" t="s">
        <v>324</v>
      </c>
      <c r="L12" t="str">
        <f t="shared" si="2"/>
        <v>401699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45663</v>
      </c>
      <c r="B13" t="s">
        <v>325</v>
      </c>
      <c r="C13" t="s">
        <v>21</v>
      </c>
      <c r="D13" t="s">
        <v>100</v>
      </c>
      <c r="E13" t="s">
        <v>101</v>
      </c>
      <c r="F13" t="s">
        <v>326</v>
      </c>
      <c r="G13" s="1">
        <v>377544</v>
      </c>
      <c r="H13" s="1">
        <v>0</v>
      </c>
      <c r="I13" s="4">
        <v>377544</v>
      </c>
      <c r="J13" s="2" t="s">
        <v>24</v>
      </c>
      <c r="K13" t="s">
        <v>327</v>
      </c>
      <c r="L13" t="str">
        <f t="shared" si="2"/>
        <v>401699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45663</v>
      </c>
      <c r="B14" t="s">
        <v>328</v>
      </c>
      <c r="C14" t="s">
        <v>21</v>
      </c>
      <c r="D14" t="s">
        <v>100</v>
      </c>
      <c r="E14" t="s">
        <v>101</v>
      </c>
      <c r="F14" t="s">
        <v>329</v>
      </c>
      <c r="G14" s="1">
        <v>360211</v>
      </c>
      <c r="H14" s="1">
        <v>0</v>
      </c>
      <c r="I14" s="4">
        <v>360211</v>
      </c>
      <c r="J14" s="2" t="s">
        <v>24</v>
      </c>
      <c r="K14" t="s">
        <v>330</v>
      </c>
      <c r="L14" t="str">
        <f t="shared" si="2"/>
        <v>401699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45663</v>
      </c>
      <c r="B15" t="s">
        <v>331</v>
      </c>
      <c r="C15" t="s">
        <v>21</v>
      </c>
      <c r="D15" t="s">
        <v>100</v>
      </c>
      <c r="E15" t="s">
        <v>101</v>
      </c>
      <c r="F15" t="s">
        <v>332</v>
      </c>
      <c r="G15" s="1">
        <v>1006389</v>
      </c>
      <c r="H15" s="1">
        <v>0</v>
      </c>
      <c r="I15" s="4">
        <v>1006389</v>
      </c>
      <c r="J15" s="2" t="s">
        <v>24</v>
      </c>
      <c r="K15" t="s">
        <v>333</v>
      </c>
      <c r="L15" t="str">
        <f>"401729"</f>
        <v>401729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45663</v>
      </c>
      <c r="B16" t="s">
        <v>334</v>
      </c>
      <c r="C16" t="s">
        <v>21</v>
      </c>
      <c r="D16" t="s">
        <v>100</v>
      </c>
      <c r="E16" t="s">
        <v>101</v>
      </c>
      <c r="F16" t="s">
        <v>335</v>
      </c>
      <c r="G16" s="1">
        <v>1034674</v>
      </c>
      <c r="H16" s="1">
        <v>0</v>
      </c>
      <c r="I16" s="4">
        <v>1034674</v>
      </c>
      <c r="J16" s="2" t="s">
        <v>24</v>
      </c>
      <c r="K16" t="s">
        <v>336</v>
      </c>
      <c r="L16" t="str">
        <f>"401999"</f>
        <v>401999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45663</v>
      </c>
      <c r="B17" t="s">
        <v>337</v>
      </c>
      <c r="C17" t="s">
        <v>21</v>
      </c>
      <c r="D17" t="s">
        <v>100</v>
      </c>
      <c r="E17" t="s">
        <v>101</v>
      </c>
      <c r="F17" t="s">
        <v>338</v>
      </c>
      <c r="G17" s="1">
        <v>305983</v>
      </c>
      <c r="H17" s="1">
        <v>0</v>
      </c>
      <c r="I17" s="4">
        <v>305983</v>
      </c>
      <c r="J17" s="2" t="s">
        <v>24</v>
      </c>
      <c r="K17" t="s">
        <v>339</v>
      </c>
      <c r="L17" t="str">
        <f>"401699"</f>
        <v>401699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45663</v>
      </c>
      <c r="B18" t="s">
        <v>340</v>
      </c>
      <c r="C18" t="s">
        <v>21</v>
      </c>
      <c r="D18" t="s">
        <v>100</v>
      </c>
      <c r="E18" t="s">
        <v>101</v>
      </c>
      <c r="F18" t="s">
        <v>341</v>
      </c>
      <c r="G18" s="1">
        <v>609078</v>
      </c>
      <c r="H18" s="1">
        <v>0</v>
      </c>
      <c r="I18" s="4">
        <v>609078</v>
      </c>
      <c r="J18" s="2" t="s">
        <v>24</v>
      </c>
      <c r="K18" t="s">
        <v>342</v>
      </c>
      <c r="L18" t="str">
        <f>"401699"</f>
        <v>401699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45665</v>
      </c>
      <c r="B19" t="s">
        <v>343</v>
      </c>
      <c r="C19" t="s">
        <v>21</v>
      </c>
      <c r="D19" t="s">
        <v>100</v>
      </c>
      <c r="E19" t="s">
        <v>101</v>
      </c>
      <c r="F19" t="s">
        <v>344</v>
      </c>
      <c r="G19" s="1">
        <v>74724</v>
      </c>
      <c r="H19" s="1">
        <v>0</v>
      </c>
      <c r="I19" s="4">
        <v>74724</v>
      </c>
      <c r="J19" s="2" t="s">
        <v>24</v>
      </c>
      <c r="K19" t="s">
        <v>345</v>
      </c>
      <c r="L19" t="str">
        <f>"401699"</f>
        <v>401699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45665</v>
      </c>
      <c r="B20" t="s">
        <v>346</v>
      </c>
      <c r="C20" t="s">
        <v>21</v>
      </c>
      <c r="D20" t="s">
        <v>100</v>
      </c>
      <c r="E20" t="s">
        <v>101</v>
      </c>
      <c r="F20" t="s">
        <v>347</v>
      </c>
      <c r="G20" s="1">
        <v>19710458</v>
      </c>
      <c r="H20" s="1">
        <v>0</v>
      </c>
      <c r="I20" s="4">
        <v>19710458</v>
      </c>
      <c r="J20" s="2" t="s">
        <v>24</v>
      </c>
      <c r="K20" t="s">
        <v>348</v>
      </c>
      <c r="L20" t="str">
        <f>"401699"</f>
        <v>401699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45670</v>
      </c>
      <c r="B21" t="s">
        <v>349</v>
      </c>
      <c r="C21" t="s">
        <v>21</v>
      </c>
      <c r="D21" t="s">
        <v>100</v>
      </c>
      <c r="E21" t="s">
        <v>101</v>
      </c>
      <c r="F21" t="s">
        <v>350</v>
      </c>
      <c r="G21" s="1">
        <v>1039225</v>
      </c>
      <c r="H21" s="1">
        <v>0</v>
      </c>
      <c r="I21" s="4">
        <v>1039225</v>
      </c>
      <c r="J21" s="2" t="s">
        <v>24</v>
      </c>
      <c r="K21" t="s">
        <v>351</v>
      </c>
      <c r="L21" t="str">
        <f>"401699"</f>
        <v>401699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45670</v>
      </c>
      <c r="B22" t="s">
        <v>352</v>
      </c>
      <c r="C22" t="s">
        <v>21</v>
      </c>
      <c r="D22" t="s">
        <v>100</v>
      </c>
      <c r="E22" t="s">
        <v>101</v>
      </c>
      <c r="F22" t="s">
        <v>353</v>
      </c>
      <c r="G22" s="1">
        <v>45195</v>
      </c>
      <c r="H22" s="1">
        <v>0</v>
      </c>
      <c r="I22" s="4">
        <v>45195</v>
      </c>
      <c r="J22" s="2" t="s">
        <v>24</v>
      </c>
      <c r="K22" t="s">
        <v>354</v>
      </c>
      <c r="L22" t="str">
        <f>"401529"</f>
        <v>401529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45670</v>
      </c>
      <c r="B23" t="s">
        <v>355</v>
      </c>
      <c r="C23" t="s">
        <v>21</v>
      </c>
      <c r="D23" t="s">
        <v>100</v>
      </c>
      <c r="E23" t="s">
        <v>101</v>
      </c>
      <c r="F23" t="s">
        <v>356</v>
      </c>
      <c r="G23" s="1">
        <v>601427</v>
      </c>
      <c r="H23" s="1">
        <v>0</v>
      </c>
      <c r="I23" s="4">
        <v>601427</v>
      </c>
      <c r="J23" s="2" t="s">
        <v>24</v>
      </c>
      <c r="K23" t="s">
        <v>357</v>
      </c>
      <c r="L23" t="str">
        <f>"401170"</f>
        <v>401170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45670</v>
      </c>
      <c r="B24" t="s">
        <v>358</v>
      </c>
      <c r="C24" t="s">
        <v>21</v>
      </c>
      <c r="D24" t="s">
        <v>22</v>
      </c>
      <c r="E24" t="s">
        <v>22</v>
      </c>
      <c r="F24" t="s">
        <v>359</v>
      </c>
      <c r="G24" s="1">
        <v>-1498624</v>
      </c>
      <c r="H24" s="1">
        <v>0</v>
      </c>
      <c r="I24" s="2">
        <v>-1498624</v>
      </c>
      <c r="J24" s="2" t="s">
        <v>24</v>
      </c>
      <c r="K24" t="s">
        <v>360</v>
      </c>
      <c r="L24" t="str">
        <f>"408870"</f>
        <v>408870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45677</v>
      </c>
      <c r="B25" t="s">
        <v>361</v>
      </c>
      <c r="C25" t="s">
        <v>21</v>
      </c>
      <c r="D25" t="s">
        <v>100</v>
      </c>
      <c r="E25" t="s">
        <v>101</v>
      </c>
      <c r="F25" t="s">
        <v>362</v>
      </c>
      <c r="G25" s="1">
        <v>3242098</v>
      </c>
      <c r="H25" s="1">
        <v>0</v>
      </c>
      <c r="I25" s="4">
        <v>3242098</v>
      </c>
      <c r="J25" s="2" t="s">
        <v>24</v>
      </c>
      <c r="K25" t="s">
        <v>363</v>
      </c>
      <c r="L25" t="str">
        <f>"401699"</f>
        <v>401699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45688</v>
      </c>
      <c r="B26" t="s">
        <v>364</v>
      </c>
      <c r="C26" t="s">
        <v>21</v>
      </c>
      <c r="D26" t="s">
        <v>239</v>
      </c>
      <c r="E26" t="s">
        <v>239</v>
      </c>
      <c r="F26" t="s">
        <v>365</v>
      </c>
      <c r="G26" s="1">
        <v>1114620</v>
      </c>
      <c r="H26" s="1">
        <v>0</v>
      </c>
      <c r="I26" s="4">
        <v>1114620</v>
      </c>
      <c r="J26" s="2" t="s">
        <v>24</v>
      </c>
      <c r="K26" t="s">
        <v>366</v>
      </c>
      <c r="L26" t="str">
        <f t="shared" ref="L26:L31" si="3">"408101"</f>
        <v>408101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45688</v>
      </c>
      <c r="B27" t="s">
        <v>367</v>
      </c>
      <c r="C27" t="s">
        <v>21</v>
      </c>
      <c r="D27" t="s">
        <v>239</v>
      </c>
      <c r="E27" t="s">
        <v>239</v>
      </c>
      <c r="F27" t="s">
        <v>368</v>
      </c>
      <c r="G27" s="1">
        <v>1034674</v>
      </c>
      <c r="H27" s="1">
        <v>0</v>
      </c>
      <c r="I27" s="4">
        <v>1034674</v>
      </c>
      <c r="J27" s="2" t="s">
        <v>24</v>
      </c>
      <c r="K27" t="s">
        <v>369</v>
      </c>
      <c r="L27" t="str">
        <f t="shared" si="3"/>
        <v>408101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45688</v>
      </c>
      <c r="B28" t="s">
        <v>370</v>
      </c>
      <c r="C28" t="s">
        <v>21</v>
      </c>
      <c r="D28" t="s">
        <v>239</v>
      </c>
      <c r="E28" t="s">
        <v>239</v>
      </c>
      <c r="F28" t="s">
        <v>371</v>
      </c>
      <c r="G28" s="1">
        <v>5739624</v>
      </c>
      <c r="H28" s="1">
        <v>0</v>
      </c>
      <c r="I28" s="4">
        <v>5739624</v>
      </c>
      <c r="J28" s="2" t="s">
        <v>24</v>
      </c>
      <c r="K28" t="s">
        <v>372</v>
      </c>
      <c r="L28" t="str">
        <f t="shared" si="3"/>
        <v>408101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45688</v>
      </c>
      <c r="B29" t="s">
        <v>373</v>
      </c>
      <c r="C29" t="s">
        <v>21</v>
      </c>
      <c r="D29" t="s">
        <v>239</v>
      </c>
      <c r="E29" t="s">
        <v>239</v>
      </c>
      <c r="F29" t="s">
        <v>374</v>
      </c>
      <c r="G29" s="1">
        <v>28163591</v>
      </c>
      <c r="H29" s="1">
        <v>0</v>
      </c>
      <c r="I29" s="4">
        <v>28163591</v>
      </c>
      <c r="J29" s="2" t="s">
        <v>24</v>
      </c>
      <c r="K29" t="s">
        <v>375</v>
      </c>
      <c r="L29" t="str">
        <f t="shared" si="3"/>
        <v>408101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45688</v>
      </c>
      <c r="B30" t="s">
        <v>373</v>
      </c>
      <c r="C30" t="s">
        <v>21</v>
      </c>
      <c r="D30" t="s">
        <v>239</v>
      </c>
      <c r="E30" t="s">
        <v>239</v>
      </c>
      <c r="F30" t="s">
        <v>376</v>
      </c>
      <c r="G30" s="1">
        <v>1484090</v>
      </c>
      <c r="H30" s="1">
        <v>0</v>
      </c>
      <c r="I30" s="4">
        <v>1484090</v>
      </c>
      <c r="J30" s="4" t="s">
        <v>377</v>
      </c>
      <c r="K30" t="s">
        <v>375</v>
      </c>
      <c r="L30" t="str">
        <f t="shared" si="3"/>
        <v>408101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45688</v>
      </c>
      <c r="B31" t="s">
        <v>373</v>
      </c>
      <c r="C31" t="s">
        <v>21</v>
      </c>
      <c r="D31" t="s">
        <v>239</v>
      </c>
      <c r="E31" t="s">
        <v>239</v>
      </c>
      <c r="F31" t="s">
        <v>378</v>
      </c>
      <c r="G31" s="1">
        <v>246750</v>
      </c>
      <c r="H31" s="1">
        <v>0</v>
      </c>
      <c r="I31" s="4">
        <v>246750</v>
      </c>
      <c r="J31" s="2" t="s">
        <v>24</v>
      </c>
      <c r="K31" t="s">
        <v>375</v>
      </c>
      <c r="L31" t="str">
        <f t="shared" si="3"/>
        <v>408101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45688</v>
      </c>
      <c r="B32" t="s">
        <v>379</v>
      </c>
      <c r="C32" t="s">
        <v>21</v>
      </c>
      <c r="D32" t="s">
        <v>239</v>
      </c>
      <c r="E32" t="s">
        <v>239</v>
      </c>
      <c r="F32" t="s">
        <v>380</v>
      </c>
      <c r="G32" s="1">
        <v>1497392</v>
      </c>
      <c r="H32" s="1">
        <v>0</v>
      </c>
      <c r="I32" s="4">
        <v>1497392</v>
      </c>
      <c r="J32" s="4" t="s">
        <v>377</v>
      </c>
      <c r="K32" t="s">
        <v>381</v>
      </c>
      <c r="L32" t="str">
        <f>"408950"</f>
        <v>408950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45688</v>
      </c>
      <c r="B33" t="s">
        <v>382</v>
      </c>
      <c r="C33" t="s">
        <v>21</v>
      </c>
      <c r="D33" t="s">
        <v>239</v>
      </c>
      <c r="E33" t="s">
        <v>239</v>
      </c>
      <c r="F33" t="s">
        <v>383</v>
      </c>
      <c r="G33" s="1">
        <v>1907575</v>
      </c>
      <c r="H33" s="1">
        <v>0</v>
      </c>
      <c r="I33" s="4">
        <v>1907575</v>
      </c>
      <c r="J33" s="4" t="s">
        <v>377</v>
      </c>
      <c r="K33" t="s">
        <v>384</v>
      </c>
      <c r="L33" t="str">
        <f>"408870"</f>
        <v>408870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45688</v>
      </c>
      <c r="B34" t="s">
        <v>385</v>
      </c>
      <c r="C34" t="s">
        <v>21</v>
      </c>
      <c r="D34" t="s">
        <v>239</v>
      </c>
      <c r="E34" t="s">
        <v>239</v>
      </c>
      <c r="F34" t="s">
        <v>386</v>
      </c>
      <c r="G34" s="1">
        <v>2755132</v>
      </c>
      <c r="H34" s="1">
        <v>0</v>
      </c>
      <c r="I34" s="4">
        <v>2755132</v>
      </c>
      <c r="J34" s="2" t="s">
        <v>24</v>
      </c>
      <c r="K34" t="s">
        <v>387</v>
      </c>
      <c r="L34" t="str">
        <f>"408101"</f>
        <v>408101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</sheetData>
  <autoFilter ref="A1:T3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T175"/>
  <sheetViews>
    <sheetView topLeftCell="A70" zoomScale="85" zoomScaleNormal="85" workbookViewId="0">
      <selection activeCell="I43" sqref="I1:I1048576"/>
    </sheetView>
  </sheetViews>
  <sheetFormatPr defaultColWidth="9.140625" defaultRowHeight="14.45"/>
  <cols>
    <col min="1" max="1" width="11" bestFit="1" customWidth="1"/>
    <col min="2" max="2" width="22" bestFit="1" customWidth="1"/>
    <col min="3" max="3" width="5.85546875" bestFit="1" customWidth="1"/>
    <col min="4" max="4" width="7" bestFit="1" customWidth="1"/>
    <col min="5" max="5" width="7.42578125" bestFit="1" customWidth="1"/>
    <col min="6" max="6" width="67.28515625" bestFit="1" customWidth="1"/>
    <col min="7" max="7" width="12.7109375" bestFit="1" customWidth="1"/>
    <col min="8" max="8" width="11.5703125" bestFit="1" customWidth="1"/>
    <col min="9" max="9" width="12.7109375" bestFit="1" customWidth="1"/>
    <col min="10" max="10" width="8.5703125" bestFit="1" customWidth="1"/>
    <col min="11" max="11" width="14.140625" bestFit="1" customWidth="1"/>
    <col min="12" max="12" width="12.28515625" bestFit="1" customWidth="1"/>
    <col min="13" max="13" width="5.140625" bestFit="1" customWidth="1"/>
    <col min="14" max="14" width="4.42578125" bestFit="1" customWidth="1"/>
    <col min="15" max="15" width="11.140625" bestFit="1" customWidth="1"/>
    <col min="16" max="16" width="7.85546875" bestFit="1" customWidth="1"/>
    <col min="17" max="17" width="11.5703125" bestFit="1" customWidth="1"/>
    <col min="18" max="18" width="4.42578125" bestFit="1" customWidth="1"/>
    <col min="19" max="19" width="17" bestFit="1" customWidth="1"/>
    <col min="20" max="20" width="9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388</v>
      </c>
      <c r="H1" s="1" t="s">
        <v>389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45689</v>
      </c>
      <c r="B2" t="s">
        <v>390</v>
      </c>
      <c r="C2" t="s">
        <v>21</v>
      </c>
      <c r="D2" t="s">
        <v>22</v>
      </c>
      <c r="E2" t="s">
        <v>22</v>
      </c>
      <c r="F2" t="s">
        <v>107</v>
      </c>
      <c r="G2" s="1">
        <v>-382900</v>
      </c>
      <c r="H2" s="1">
        <v>0</v>
      </c>
      <c r="I2" s="2">
        <v>-382900</v>
      </c>
      <c r="J2" s="2" t="s">
        <v>24</v>
      </c>
      <c r="K2" t="s">
        <v>391</v>
      </c>
      <c r="L2" t="str">
        <f>"408101"</f>
        <v>408101</v>
      </c>
      <c r="M2" t="str">
        <f t="shared" ref="M2:M65" si="0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45689</v>
      </c>
      <c r="B3" t="s">
        <v>390</v>
      </c>
      <c r="C3" t="s">
        <v>21</v>
      </c>
      <c r="D3" t="s">
        <v>22</v>
      </c>
      <c r="E3" t="s">
        <v>22</v>
      </c>
      <c r="F3" t="s">
        <v>109</v>
      </c>
      <c r="G3" s="1">
        <v>-9217277</v>
      </c>
      <c r="H3" s="1">
        <v>0</v>
      </c>
      <c r="I3" s="2">
        <v>-9217277</v>
      </c>
      <c r="J3" s="2" t="s">
        <v>24</v>
      </c>
      <c r="K3" t="s">
        <v>391</v>
      </c>
      <c r="L3" t="str">
        <f>"408101"</f>
        <v>408101</v>
      </c>
      <c r="M3" t="str">
        <f t="shared" si="0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45689</v>
      </c>
      <c r="B4" t="s">
        <v>392</v>
      </c>
      <c r="C4" t="s">
        <v>21</v>
      </c>
      <c r="D4" t="s">
        <v>22</v>
      </c>
      <c r="E4" t="s">
        <v>22</v>
      </c>
      <c r="F4" t="s">
        <v>393</v>
      </c>
      <c r="G4" s="1">
        <v>-3244831</v>
      </c>
      <c r="H4" s="1">
        <v>0</v>
      </c>
      <c r="I4" s="2">
        <v>-3244831</v>
      </c>
      <c r="J4" s="2" t="s">
        <v>24</v>
      </c>
      <c r="K4" t="s">
        <v>394</v>
      </c>
      <c r="L4" t="str">
        <f>"408106"</f>
        <v>408106</v>
      </c>
      <c r="M4" t="str">
        <f t="shared" si="0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45689</v>
      </c>
      <c r="B5" t="s">
        <v>392</v>
      </c>
      <c r="C5" t="s">
        <v>21</v>
      </c>
      <c r="D5" t="s">
        <v>22</v>
      </c>
      <c r="E5" t="s">
        <v>22</v>
      </c>
      <c r="F5" t="s">
        <v>395</v>
      </c>
      <c r="G5" s="1">
        <v>-986186</v>
      </c>
      <c r="H5" s="1">
        <v>0</v>
      </c>
      <c r="I5" s="2">
        <v>-986186</v>
      </c>
      <c r="J5" s="2" t="s">
        <v>24</v>
      </c>
      <c r="K5" t="s">
        <v>394</v>
      </c>
      <c r="L5" t="str">
        <f>"408106"</f>
        <v>408106</v>
      </c>
      <c r="M5" t="str">
        <f t="shared" si="0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45689</v>
      </c>
      <c r="B6" t="s">
        <v>392</v>
      </c>
      <c r="C6" t="s">
        <v>21</v>
      </c>
      <c r="D6" t="s">
        <v>22</v>
      </c>
      <c r="E6" t="s">
        <v>22</v>
      </c>
      <c r="F6" t="s">
        <v>396</v>
      </c>
      <c r="G6" s="1">
        <v>-314849</v>
      </c>
      <c r="H6" s="1">
        <v>0</v>
      </c>
      <c r="I6" s="2">
        <v>-314849</v>
      </c>
      <c r="J6" s="2" t="s">
        <v>24</v>
      </c>
      <c r="K6" t="s">
        <v>394</v>
      </c>
      <c r="L6" t="str">
        <f>"408106"</f>
        <v>408106</v>
      </c>
      <c r="M6" t="str">
        <f t="shared" si="0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45689</v>
      </c>
      <c r="B7" t="s">
        <v>392</v>
      </c>
      <c r="C7" t="s">
        <v>21</v>
      </c>
      <c r="D7" t="s">
        <v>22</v>
      </c>
      <c r="E7" t="s">
        <v>22</v>
      </c>
      <c r="F7" t="s">
        <v>397</v>
      </c>
      <c r="G7" s="1">
        <v>-787124</v>
      </c>
      <c r="H7" s="1">
        <v>0</v>
      </c>
      <c r="I7" s="2">
        <v>-787124</v>
      </c>
      <c r="J7" s="2" t="s">
        <v>24</v>
      </c>
      <c r="K7" t="s">
        <v>394</v>
      </c>
      <c r="L7" t="str">
        <f>"408106"</f>
        <v>408106</v>
      </c>
      <c r="M7" t="str">
        <f t="shared" si="0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45689</v>
      </c>
      <c r="B8" t="s">
        <v>392</v>
      </c>
      <c r="C8" t="s">
        <v>21</v>
      </c>
      <c r="D8" t="s">
        <v>22</v>
      </c>
      <c r="E8" t="s">
        <v>22</v>
      </c>
      <c r="F8" t="s">
        <v>398</v>
      </c>
      <c r="G8" s="1">
        <v>15120214</v>
      </c>
      <c r="H8" s="1">
        <v>0</v>
      </c>
      <c r="I8" s="4">
        <v>15120214</v>
      </c>
      <c r="J8" s="2" t="s">
        <v>24</v>
      </c>
      <c r="K8" t="s">
        <v>394</v>
      </c>
      <c r="L8" t="str">
        <f>"408106"</f>
        <v>408106</v>
      </c>
      <c r="M8" t="str">
        <f t="shared" si="0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45691</v>
      </c>
      <c r="B9" t="s">
        <v>399</v>
      </c>
      <c r="C9" t="s">
        <v>21</v>
      </c>
      <c r="D9" t="s">
        <v>100</v>
      </c>
      <c r="E9" t="s">
        <v>101</v>
      </c>
      <c r="F9" t="s">
        <v>400</v>
      </c>
      <c r="G9" s="1">
        <v>3169322</v>
      </c>
      <c r="H9" s="1">
        <v>0</v>
      </c>
      <c r="I9" s="4">
        <v>3169322</v>
      </c>
      <c r="J9" s="2" t="s">
        <v>24</v>
      </c>
      <c r="K9" t="s">
        <v>401</v>
      </c>
      <c r="L9" t="str">
        <f>"4018051"</f>
        <v>4018051</v>
      </c>
      <c r="M9" t="str">
        <f t="shared" si="0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45691</v>
      </c>
      <c r="B10" t="s">
        <v>402</v>
      </c>
      <c r="C10" t="s">
        <v>21</v>
      </c>
      <c r="D10" t="s">
        <v>100</v>
      </c>
      <c r="E10" t="s">
        <v>101</v>
      </c>
      <c r="F10" t="s">
        <v>403</v>
      </c>
      <c r="G10" s="1">
        <v>16556433</v>
      </c>
      <c r="H10" s="1">
        <v>0</v>
      </c>
      <c r="I10" s="4">
        <v>16556433</v>
      </c>
      <c r="J10" s="2" t="s">
        <v>24</v>
      </c>
      <c r="K10" t="s">
        <v>404</v>
      </c>
      <c r="L10" t="str">
        <f>"401916"</f>
        <v>401916</v>
      </c>
      <c r="M10" t="str">
        <f t="shared" si="0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45691</v>
      </c>
      <c r="B11" t="s">
        <v>405</v>
      </c>
      <c r="C11" t="s">
        <v>21</v>
      </c>
      <c r="D11" t="s">
        <v>100</v>
      </c>
      <c r="E11" t="s">
        <v>101</v>
      </c>
      <c r="F11" t="s">
        <v>406</v>
      </c>
      <c r="G11" s="1">
        <v>9333898</v>
      </c>
      <c r="H11" s="1">
        <v>0</v>
      </c>
      <c r="I11" s="4">
        <v>9333898</v>
      </c>
      <c r="J11" s="2" t="s">
        <v>24</v>
      </c>
      <c r="K11" t="s">
        <v>407</v>
      </c>
      <c r="L11" t="str">
        <f>"401915"</f>
        <v>401915</v>
      </c>
      <c r="M11" t="str">
        <f t="shared" si="0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45691</v>
      </c>
      <c r="B12" t="s">
        <v>408</v>
      </c>
      <c r="C12" t="s">
        <v>21</v>
      </c>
      <c r="D12" t="s">
        <v>100</v>
      </c>
      <c r="E12" t="s">
        <v>101</v>
      </c>
      <c r="F12" t="s">
        <v>409</v>
      </c>
      <c r="G12" s="1">
        <v>9060059</v>
      </c>
      <c r="H12" s="1">
        <v>0</v>
      </c>
      <c r="I12" s="4">
        <v>9060059</v>
      </c>
      <c r="J12" s="2" t="s">
        <v>24</v>
      </c>
      <c r="K12" t="s">
        <v>410</v>
      </c>
      <c r="L12" t="str">
        <f>"401924"</f>
        <v>401924</v>
      </c>
      <c r="M12" t="str">
        <f t="shared" si="0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45691</v>
      </c>
      <c r="B13" t="s">
        <v>411</v>
      </c>
      <c r="C13" t="s">
        <v>21</v>
      </c>
      <c r="D13" t="s">
        <v>100</v>
      </c>
      <c r="E13" t="s">
        <v>101</v>
      </c>
      <c r="F13" t="s">
        <v>412</v>
      </c>
      <c r="G13" s="1">
        <v>21755469</v>
      </c>
      <c r="H13" s="1">
        <v>0</v>
      </c>
      <c r="I13" s="4">
        <v>21755469</v>
      </c>
      <c r="J13" s="2" t="s">
        <v>24</v>
      </c>
      <c r="K13" t="s">
        <v>413</v>
      </c>
      <c r="L13" t="str">
        <f>"401917"</f>
        <v>401917</v>
      </c>
      <c r="M13" t="str">
        <f t="shared" si="0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45691</v>
      </c>
      <c r="B14" t="s">
        <v>414</v>
      </c>
      <c r="C14" t="s">
        <v>21</v>
      </c>
      <c r="D14" t="s">
        <v>100</v>
      </c>
      <c r="E14" t="s">
        <v>101</v>
      </c>
      <c r="F14" t="s">
        <v>415</v>
      </c>
      <c r="G14" s="1">
        <v>8047328</v>
      </c>
      <c r="H14" s="1">
        <v>0</v>
      </c>
      <c r="I14" s="4">
        <v>8047328</v>
      </c>
      <c r="J14" s="2" t="s">
        <v>24</v>
      </c>
      <c r="K14" t="s">
        <v>416</v>
      </c>
      <c r="L14" t="str">
        <f>"401918"</f>
        <v>401918</v>
      </c>
      <c r="M14" t="str">
        <f t="shared" si="0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45691</v>
      </c>
      <c r="B15" t="s">
        <v>417</v>
      </c>
      <c r="C15" t="s">
        <v>21</v>
      </c>
      <c r="D15" t="s">
        <v>100</v>
      </c>
      <c r="E15" t="s">
        <v>101</v>
      </c>
      <c r="F15" t="s">
        <v>418</v>
      </c>
      <c r="G15" s="1">
        <v>2377034</v>
      </c>
      <c r="H15" s="1">
        <v>0</v>
      </c>
      <c r="I15" s="4">
        <v>2377034</v>
      </c>
      <c r="J15" s="2" t="s">
        <v>24</v>
      </c>
      <c r="K15" t="s">
        <v>419</v>
      </c>
      <c r="L15" t="str">
        <f>"401918"</f>
        <v>401918</v>
      </c>
      <c r="M15" t="str">
        <f t="shared" si="0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45693</v>
      </c>
      <c r="B16" t="s">
        <v>420</v>
      </c>
      <c r="C16" t="s">
        <v>21</v>
      </c>
      <c r="D16" t="s">
        <v>100</v>
      </c>
      <c r="E16" t="s">
        <v>101</v>
      </c>
      <c r="F16" t="s">
        <v>421</v>
      </c>
      <c r="G16" s="1">
        <v>88425</v>
      </c>
      <c r="H16" s="1">
        <v>0</v>
      </c>
      <c r="I16" s="4">
        <v>88425</v>
      </c>
      <c r="J16" s="2" t="s">
        <v>24</v>
      </c>
      <c r="K16" t="s">
        <v>422</v>
      </c>
      <c r="L16" t="str">
        <f>"401699"</f>
        <v>401699</v>
      </c>
      <c r="M16" t="str">
        <f t="shared" si="0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45693</v>
      </c>
      <c r="B17" t="s">
        <v>423</v>
      </c>
      <c r="C17" t="s">
        <v>21</v>
      </c>
      <c r="D17" t="s">
        <v>100</v>
      </c>
      <c r="E17" t="s">
        <v>101</v>
      </c>
      <c r="F17" t="s">
        <v>424</v>
      </c>
      <c r="G17" s="1">
        <v>84000</v>
      </c>
      <c r="H17" s="1">
        <v>0</v>
      </c>
      <c r="I17" s="4">
        <v>84000</v>
      </c>
      <c r="J17" s="2" t="s">
        <v>24</v>
      </c>
      <c r="K17" t="s">
        <v>425</v>
      </c>
      <c r="L17" t="str">
        <f>"401699"</f>
        <v>401699</v>
      </c>
      <c r="M17" t="str">
        <f t="shared" si="0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45693</v>
      </c>
      <c r="B18" t="s">
        <v>426</v>
      </c>
      <c r="C18" t="s">
        <v>21</v>
      </c>
      <c r="D18" t="s">
        <v>100</v>
      </c>
      <c r="E18" t="s">
        <v>101</v>
      </c>
      <c r="F18" t="s">
        <v>427</v>
      </c>
      <c r="G18" s="1">
        <v>1099492</v>
      </c>
      <c r="H18" s="1">
        <v>0</v>
      </c>
      <c r="I18" s="4">
        <v>1099492</v>
      </c>
      <c r="J18" s="2" t="s">
        <v>24</v>
      </c>
      <c r="K18" t="s">
        <v>428</v>
      </c>
      <c r="L18" t="str">
        <f>"401918"</f>
        <v>401918</v>
      </c>
      <c r="M18" t="str">
        <f t="shared" si="0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45695</v>
      </c>
      <c r="B19" t="s">
        <v>429</v>
      </c>
      <c r="C19" t="s">
        <v>21</v>
      </c>
      <c r="D19" t="s">
        <v>100</v>
      </c>
      <c r="E19" t="s">
        <v>101</v>
      </c>
      <c r="F19" t="s">
        <v>430</v>
      </c>
      <c r="G19" s="1">
        <v>52275</v>
      </c>
      <c r="H19" s="1">
        <v>0</v>
      </c>
      <c r="I19" s="4">
        <v>52275</v>
      </c>
      <c r="J19" s="2" t="s">
        <v>24</v>
      </c>
      <c r="K19" t="s">
        <v>431</v>
      </c>
      <c r="L19" t="str">
        <f>"401699"</f>
        <v>401699</v>
      </c>
      <c r="M19" t="str">
        <f t="shared" si="0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45695</v>
      </c>
      <c r="B20" t="s">
        <v>432</v>
      </c>
      <c r="C20" t="s">
        <v>21</v>
      </c>
      <c r="D20" t="s">
        <v>100</v>
      </c>
      <c r="E20" t="s">
        <v>101</v>
      </c>
      <c r="F20" t="s">
        <v>433</v>
      </c>
      <c r="G20" s="1">
        <v>12075</v>
      </c>
      <c r="H20" s="1">
        <v>0</v>
      </c>
      <c r="I20" s="4">
        <v>12075</v>
      </c>
      <c r="J20" s="2" t="s">
        <v>24</v>
      </c>
      <c r="K20" t="s">
        <v>434</v>
      </c>
      <c r="L20" t="str">
        <f>"401699"</f>
        <v>401699</v>
      </c>
      <c r="M20" t="str">
        <f t="shared" si="0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45695</v>
      </c>
      <c r="B21" t="s">
        <v>435</v>
      </c>
      <c r="C21" t="s">
        <v>21</v>
      </c>
      <c r="D21" t="s">
        <v>100</v>
      </c>
      <c r="E21" t="s">
        <v>101</v>
      </c>
      <c r="F21" t="s">
        <v>436</v>
      </c>
      <c r="G21" s="1">
        <v>55950</v>
      </c>
      <c r="H21" s="1">
        <v>0</v>
      </c>
      <c r="I21" s="4">
        <v>55950</v>
      </c>
      <c r="J21" s="2" t="s">
        <v>24</v>
      </c>
      <c r="K21" t="s">
        <v>437</v>
      </c>
      <c r="L21" t="str">
        <f>"401699"</f>
        <v>401699</v>
      </c>
      <c r="M21" t="str">
        <f t="shared" si="0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45698</v>
      </c>
      <c r="B22" t="s">
        <v>438</v>
      </c>
      <c r="C22" t="s">
        <v>21</v>
      </c>
      <c r="D22" t="s">
        <v>100</v>
      </c>
      <c r="E22" t="s">
        <v>101</v>
      </c>
      <c r="F22" t="s">
        <v>439</v>
      </c>
      <c r="G22" s="1">
        <v>3068898</v>
      </c>
      <c r="H22" s="1">
        <v>0</v>
      </c>
      <c r="I22" s="4">
        <v>3068898</v>
      </c>
      <c r="J22" s="2" t="s">
        <v>24</v>
      </c>
      <c r="K22" t="s">
        <v>440</v>
      </c>
      <c r="L22" t="str">
        <f>"401917"</f>
        <v>401917</v>
      </c>
      <c r="M22" t="str">
        <f t="shared" si="0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45698</v>
      </c>
      <c r="B23" t="s">
        <v>441</v>
      </c>
      <c r="C23" t="s">
        <v>21</v>
      </c>
      <c r="D23" t="s">
        <v>100</v>
      </c>
      <c r="E23" t="s">
        <v>101</v>
      </c>
      <c r="F23" t="s">
        <v>442</v>
      </c>
      <c r="G23" s="1">
        <v>16650</v>
      </c>
      <c r="H23" s="1">
        <v>0</v>
      </c>
      <c r="I23" s="4">
        <v>16650</v>
      </c>
      <c r="J23" s="2" t="s">
        <v>24</v>
      </c>
      <c r="K23" t="s">
        <v>443</v>
      </c>
      <c r="L23" t="str">
        <f>"401699"</f>
        <v>401699</v>
      </c>
      <c r="M23" t="str">
        <f t="shared" si="0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45698</v>
      </c>
      <c r="B24" t="s">
        <v>444</v>
      </c>
      <c r="C24" t="s">
        <v>21</v>
      </c>
      <c r="D24" t="s">
        <v>100</v>
      </c>
      <c r="E24" t="s">
        <v>101</v>
      </c>
      <c r="F24" t="s">
        <v>445</v>
      </c>
      <c r="G24" s="1">
        <v>39600</v>
      </c>
      <c r="H24" s="1">
        <v>0</v>
      </c>
      <c r="I24" s="4">
        <v>39600</v>
      </c>
      <c r="J24" s="2" t="s">
        <v>24</v>
      </c>
      <c r="K24" t="s">
        <v>446</v>
      </c>
      <c r="L24" t="str">
        <f>"401699"</f>
        <v>401699</v>
      </c>
      <c r="M24" t="str">
        <f t="shared" si="0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45699</v>
      </c>
      <c r="B25" t="s">
        <v>447</v>
      </c>
      <c r="C25" t="s">
        <v>21</v>
      </c>
      <c r="D25" t="s">
        <v>100</v>
      </c>
      <c r="E25" t="s">
        <v>101</v>
      </c>
      <c r="F25" t="s">
        <v>448</v>
      </c>
      <c r="G25" s="1">
        <v>11700</v>
      </c>
      <c r="H25" s="1">
        <v>0</v>
      </c>
      <c r="I25" s="4">
        <v>11700</v>
      </c>
      <c r="J25" s="2" t="s">
        <v>24</v>
      </c>
      <c r="K25" t="s">
        <v>449</v>
      </c>
      <c r="L25" t="str">
        <f>"401699"</f>
        <v>401699</v>
      </c>
      <c r="M25" t="str">
        <f t="shared" si="0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45699</v>
      </c>
      <c r="B26" t="s">
        <v>450</v>
      </c>
      <c r="C26" t="s">
        <v>21</v>
      </c>
      <c r="D26" t="s">
        <v>100</v>
      </c>
      <c r="E26" t="s">
        <v>101</v>
      </c>
      <c r="F26" t="s">
        <v>451</v>
      </c>
      <c r="G26" s="1">
        <v>99375</v>
      </c>
      <c r="H26" s="1">
        <v>0</v>
      </c>
      <c r="I26" s="4">
        <v>99375</v>
      </c>
      <c r="J26" s="2" t="s">
        <v>24</v>
      </c>
      <c r="K26" t="s">
        <v>452</v>
      </c>
      <c r="L26" t="str">
        <f>"401699"</f>
        <v>401699</v>
      </c>
      <c r="M26" t="str">
        <f t="shared" si="0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45701</v>
      </c>
      <c r="B27" t="s">
        <v>453</v>
      </c>
      <c r="C27" t="s">
        <v>21</v>
      </c>
      <c r="D27" t="s">
        <v>100</v>
      </c>
      <c r="E27" t="s">
        <v>101</v>
      </c>
      <c r="F27" t="s">
        <v>454</v>
      </c>
      <c r="G27" s="1">
        <v>19875</v>
      </c>
      <c r="H27" s="1">
        <v>0</v>
      </c>
      <c r="I27" s="4">
        <v>19875</v>
      </c>
      <c r="J27" s="2" t="s">
        <v>24</v>
      </c>
      <c r="K27" t="s">
        <v>455</v>
      </c>
      <c r="L27" t="str">
        <f>"401699"</f>
        <v>401699</v>
      </c>
      <c r="M27" t="str">
        <f t="shared" si="0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45705</v>
      </c>
      <c r="B28" t="s">
        <v>456</v>
      </c>
      <c r="C28" t="s">
        <v>21</v>
      </c>
      <c r="D28" t="s">
        <v>100</v>
      </c>
      <c r="E28" t="s">
        <v>101</v>
      </c>
      <c r="F28" t="s">
        <v>457</v>
      </c>
      <c r="G28" s="1">
        <v>789892</v>
      </c>
      <c r="H28" s="1">
        <v>0</v>
      </c>
      <c r="I28" s="4">
        <v>789892</v>
      </c>
      <c r="J28" s="2" t="s">
        <v>24</v>
      </c>
      <c r="K28" t="s">
        <v>458</v>
      </c>
      <c r="L28" t="str">
        <f>"4018051"</f>
        <v>4018051</v>
      </c>
      <c r="M28" t="str">
        <f t="shared" si="0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45705</v>
      </c>
      <c r="B29" t="s">
        <v>459</v>
      </c>
      <c r="C29" t="s">
        <v>21</v>
      </c>
      <c r="D29" t="s">
        <v>100</v>
      </c>
      <c r="E29" t="s">
        <v>101</v>
      </c>
      <c r="F29" t="s">
        <v>460</v>
      </c>
      <c r="G29" s="1">
        <v>315957</v>
      </c>
      <c r="H29" s="1">
        <v>0</v>
      </c>
      <c r="I29" s="4">
        <v>315957</v>
      </c>
      <c r="J29" s="2" t="s">
        <v>24</v>
      </c>
      <c r="K29" t="s">
        <v>461</v>
      </c>
      <c r="L29" t="str">
        <f>"4018051"</f>
        <v>4018051</v>
      </c>
      <c r="M29" t="str">
        <f t="shared" si="0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45708</v>
      </c>
      <c r="B30" t="s">
        <v>462</v>
      </c>
      <c r="C30" t="s">
        <v>21</v>
      </c>
      <c r="D30" t="s">
        <v>100</v>
      </c>
      <c r="E30" t="s">
        <v>101</v>
      </c>
      <c r="F30" t="s">
        <v>463</v>
      </c>
      <c r="G30" s="1">
        <v>169425</v>
      </c>
      <c r="H30" s="1">
        <v>0</v>
      </c>
      <c r="I30" s="4">
        <v>169425</v>
      </c>
      <c r="J30" s="2" t="s">
        <v>24</v>
      </c>
      <c r="K30" t="s">
        <v>464</v>
      </c>
      <c r="L30" t="str">
        <f>"401699"</f>
        <v>401699</v>
      </c>
      <c r="M30" t="str">
        <f t="shared" si="0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45708</v>
      </c>
      <c r="B31" t="s">
        <v>465</v>
      </c>
      <c r="C31" t="s">
        <v>21</v>
      </c>
      <c r="D31" t="s">
        <v>100</v>
      </c>
      <c r="E31" t="s">
        <v>101</v>
      </c>
      <c r="F31" t="s">
        <v>466</v>
      </c>
      <c r="G31" s="1">
        <v>280350</v>
      </c>
      <c r="H31" s="1">
        <v>0</v>
      </c>
      <c r="I31" s="4">
        <v>280350</v>
      </c>
      <c r="J31" s="2" t="s">
        <v>24</v>
      </c>
      <c r="K31" t="s">
        <v>467</v>
      </c>
      <c r="L31" t="str">
        <f>"401699"</f>
        <v>401699</v>
      </c>
      <c r="M31" t="str">
        <f t="shared" si="0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45708</v>
      </c>
      <c r="B32" t="s">
        <v>468</v>
      </c>
      <c r="C32" t="s">
        <v>21</v>
      </c>
      <c r="D32" t="s">
        <v>228</v>
      </c>
      <c r="E32" t="s">
        <v>229</v>
      </c>
      <c r="F32" t="s">
        <v>469</v>
      </c>
      <c r="G32" s="1">
        <v>388200</v>
      </c>
      <c r="H32" s="1">
        <v>0</v>
      </c>
      <c r="I32" s="4">
        <v>388200</v>
      </c>
      <c r="J32" s="2" t="s">
        <v>24</v>
      </c>
      <c r="K32" t="s">
        <v>470</v>
      </c>
      <c r="M32" t="str">
        <f t="shared" si="0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45716</v>
      </c>
      <c r="B33" t="s">
        <v>471</v>
      </c>
      <c r="C33" t="s">
        <v>21</v>
      </c>
      <c r="D33" t="s">
        <v>239</v>
      </c>
      <c r="E33" t="s">
        <v>239</v>
      </c>
      <c r="F33" t="s">
        <v>240</v>
      </c>
      <c r="G33" s="1">
        <v>388200</v>
      </c>
      <c r="H33" s="1">
        <v>0</v>
      </c>
      <c r="I33" s="4">
        <v>388200</v>
      </c>
      <c r="J33" s="2" t="s">
        <v>24</v>
      </c>
      <c r="K33" t="s">
        <v>472</v>
      </c>
      <c r="L33" t="str">
        <f>"408101"</f>
        <v>408101</v>
      </c>
      <c r="M33" t="str">
        <f t="shared" si="0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45716</v>
      </c>
      <c r="B34" t="s">
        <v>471</v>
      </c>
      <c r="C34" t="s">
        <v>21</v>
      </c>
      <c r="D34" t="s">
        <v>239</v>
      </c>
      <c r="E34" t="s">
        <v>239</v>
      </c>
      <c r="F34" t="s">
        <v>242</v>
      </c>
      <c r="G34" s="1">
        <v>58000000</v>
      </c>
      <c r="H34" s="1">
        <v>0</v>
      </c>
      <c r="I34" s="4">
        <v>58000000</v>
      </c>
      <c r="J34" s="2" t="s">
        <v>24</v>
      </c>
      <c r="K34" t="s">
        <v>472</v>
      </c>
      <c r="L34" t="str">
        <f>"408101"</f>
        <v>408101</v>
      </c>
      <c r="M34" t="str">
        <f t="shared" si="0"/>
        <v>001</v>
      </c>
      <c r="O34" t="s">
        <v>26</v>
      </c>
      <c r="P34">
        <v>2</v>
      </c>
      <c r="Q34">
        <v>1</v>
      </c>
      <c r="R34">
        <v>1</v>
      </c>
    </row>
    <row r="35" spans="1:18">
      <c r="A35" s="3">
        <v>45716</v>
      </c>
      <c r="B35" t="s">
        <v>473</v>
      </c>
      <c r="C35" t="s">
        <v>21</v>
      </c>
      <c r="D35" t="s">
        <v>239</v>
      </c>
      <c r="E35" t="s">
        <v>239</v>
      </c>
      <c r="F35" t="s">
        <v>474</v>
      </c>
      <c r="G35" s="1">
        <v>199650062</v>
      </c>
      <c r="H35" s="1">
        <v>0</v>
      </c>
      <c r="I35" s="4">
        <v>199650062</v>
      </c>
      <c r="J35" s="2" t="s">
        <v>24</v>
      </c>
      <c r="K35" t="s">
        <v>475</v>
      </c>
      <c r="L35" t="str">
        <f>"408101"</f>
        <v>408101</v>
      </c>
      <c r="M35" t="str">
        <f t="shared" si="0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45716</v>
      </c>
      <c r="B36" t="s">
        <v>476</v>
      </c>
      <c r="C36" t="s">
        <v>21</v>
      </c>
      <c r="D36" t="s">
        <v>239</v>
      </c>
      <c r="E36" t="s">
        <v>239</v>
      </c>
      <c r="F36" t="s">
        <v>477</v>
      </c>
      <c r="G36" s="1">
        <v>3753615</v>
      </c>
      <c r="H36" s="1">
        <v>0</v>
      </c>
      <c r="I36" s="4">
        <v>3753615</v>
      </c>
      <c r="J36" s="2" t="s">
        <v>24</v>
      </c>
      <c r="K36" t="s">
        <v>478</v>
      </c>
      <c r="L36" t="str">
        <f t="shared" ref="L36:L87" si="1">"408106"</f>
        <v>408106</v>
      </c>
      <c r="M36" t="str">
        <f t="shared" si="0"/>
        <v>001</v>
      </c>
      <c r="O36" t="s">
        <v>26</v>
      </c>
      <c r="P36">
        <v>2</v>
      </c>
      <c r="Q36">
        <v>1</v>
      </c>
      <c r="R36">
        <v>1</v>
      </c>
    </row>
    <row r="37" spans="1:18">
      <c r="A37" s="3">
        <v>45716</v>
      </c>
      <c r="B37" t="s">
        <v>476</v>
      </c>
      <c r="C37" t="s">
        <v>21</v>
      </c>
      <c r="D37" t="s">
        <v>239</v>
      </c>
      <c r="E37" t="s">
        <v>239</v>
      </c>
      <c r="F37" t="s">
        <v>479</v>
      </c>
      <c r="G37" s="1">
        <v>5588196</v>
      </c>
      <c r="H37" s="1">
        <v>0</v>
      </c>
      <c r="I37" s="4">
        <v>5588196</v>
      </c>
      <c r="J37" s="2" t="s">
        <v>24</v>
      </c>
      <c r="K37" t="s">
        <v>478</v>
      </c>
      <c r="L37" t="str">
        <f t="shared" si="1"/>
        <v>408106</v>
      </c>
      <c r="M37" t="str">
        <f t="shared" si="0"/>
        <v>001</v>
      </c>
      <c r="O37" t="s">
        <v>26</v>
      </c>
      <c r="P37">
        <v>2</v>
      </c>
      <c r="Q37">
        <v>1</v>
      </c>
      <c r="R37">
        <v>1</v>
      </c>
    </row>
    <row r="38" spans="1:18">
      <c r="A38" s="3">
        <v>45716</v>
      </c>
      <c r="B38" t="s">
        <v>476</v>
      </c>
      <c r="C38" t="s">
        <v>21</v>
      </c>
      <c r="D38" t="s">
        <v>239</v>
      </c>
      <c r="E38" t="s">
        <v>239</v>
      </c>
      <c r="F38" t="s">
        <v>480</v>
      </c>
      <c r="G38" s="1">
        <v>7791669</v>
      </c>
      <c r="H38" s="1">
        <v>0</v>
      </c>
      <c r="I38" s="4">
        <v>7791669</v>
      </c>
      <c r="J38" s="2" t="s">
        <v>24</v>
      </c>
      <c r="K38" t="s">
        <v>478</v>
      </c>
      <c r="L38" t="str">
        <f t="shared" si="1"/>
        <v>408106</v>
      </c>
      <c r="M38" t="str">
        <f t="shared" si="0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45716</v>
      </c>
      <c r="B39" t="s">
        <v>476</v>
      </c>
      <c r="C39" t="s">
        <v>21</v>
      </c>
      <c r="D39" t="s">
        <v>239</v>
      </c>
      <c r="E39" t="s">
        <v>239</v>
      </c>
      <c r="F39" t="s">
        <v>481</v>
      </c>
      <c r="G39" s="1">
        <v>13132280</v>
      </c>
      <c r="H39" s="1">
        <v>0</v>
      </c>
      <c r="I39" s="4">
        <v>13132280</v>
      </c>
      <c r="J39" s="2" t="s">
        <v>24</v>
      </c>
      <c r="K39" t="s">
        <v>478</v>
      </c>
      <c r="L39" t="str">
        <f t="shared" si="1"/>
        <v>408106</v>
      </c>
      <c r="M39" t="str">
        <f t="shared" si="0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45716</v>
      </c>
      <c r="B40" t="s">
        <v>476</v>
      </c>
      <c r="C40" t="s">
        <v>21</v>
      </c>
      <c r="D40" t="s">
        <v>239</v>
      </c>
      <c r="E40" t="s">
        <v>239</v>
      </c>
      <c r="F40" t="s">
        <v>482</v>
      </c>
      <c r="G40" s="1">
        <v>13579675</v>
      </c>
      <c r="H40" s="1">
        <v>0</v>
      </c>
      <c r="I40" s="4">
        <v>13579675</v>
      </c>
      <c r="J40" s="2" t="s">
        <v>24</v>
      </c>
      <c r="K40" t="s">
        <v>478</v>
      </c>
      <c r="L40" t="str">
        <f t="shared" si="1"/>
        <v>408106</v>
      </c>
      <c r="M40" t="str">
        <f t="shared" si="0"/>
        <v>001</v>
      </c>
      <c r="O40" t="s">
        <v>26</v>
      </c>
      <c r="P40">
        <v>2</v>
      </c>
      <c r="Q40">
        <v>1</v>
      </c>
      <c r="R40">
        <v>1</v>
      </c>
    </row>
    <row r="41" spans="1:18">
      <c r="A41" s="3">
        <v>45716</v>
      </c>
      <c r="B41" t="s">
        <v>476</v>
      </c>
      <c r="C41" t="s">
        <v>21</v>
      </c>
      <c r="D41" t="s">
        <v>239</v>
      </c>
      <c r="E41" t="s">
        <v>239</v>
      </c>
      <c r="F41" t="s">
        <v>483</v>
      </c>
      <c r="G41" s="1">
        <v>546062</v>
      </c>
      <c r="H41" s="1">
        <v>0</v>
      </c>
      <c r="I41" s="4">
        <v>546062</v>
      </c>
      <c r="J41" s="2" t="s">
        <v>24</v>
      </c>
      <c r="K41" t="s">
        <v>478</v>
      </c>
      <c r="L41" t="str">
        <f t="shared" si="1"/>
        <v>408106</v>
      </c>
      <c r="M41" t="str">
        <f t="shared" si="0"/>
        <v>001</v>
      </c>
      <c r="O41" t="s">
        <v>26</v>
      </c>
      <c r="P41">
        <v>2</v>
      </c>
      <c r="Q41">
        <v>1</v>
      </c>
      <c r="R41">
        <v>1</v>
      </c>
    </row>
    <row r="42" spans="1:18">
      <c r="A42" s="3">
        <v>45716</v>
      </c>
      <c r="B42" t="s">
        <v>476</v>
      </c>
      <c r="C42" t="s">
        <v>21</v>
      </c>
      <c r="D42" t="s">
        <v>239</v>
      </c>
      <c r="E42" t="s">
        <v>239</v>
      </c>
      <c r="F42" t="s">
        <v>484</v>
      </c>
      <c r="G42" s="1">
        <v>1876808</v>
      </c>
      <c r="H42" s="1">
        <v>0</v>
      </c>
      <c r="I42" s="4">
        <v>1876808</v>
      </c>
      <c r="J42" s="2" t="s">
        <v>24</v>
      </c>
      <c r="K42" t="s">
        <v>478</v>
      </c>
      <c r="L42" t="str">
        <f t="shared" si="1"/>
        <v>408106</v>
      </c>
      <c r="M42" t="str">
        <f t="shared" si="0"/>
        <v>001</v>
      </c>
      <c r="O42" t="s">
        <v>26</v>
      </c>
      <c r="P42">
        <v>2</v>
      </c>
      <c r="Q42">
        <v>1</v>
      </c>
      <c r="R42">
        <v>1</v>
      </c>
    </row>
    <row r="43" spans="1:18">
      <c r="A43" s="3">
        <v>45716</v>
      </c>
      <c r="B43" t="s">
        <v>476</v>
      </c>
      <c r="C43" t="s">
        <v>21</v>
      </c>
      <c r="D43" t="s">
        <v>239</v>
      </c>
      <c r="E43" t="s">
        <v>239</v>
      </c>
      <c r="F43" t="s">
        <v>485</v>
      </c>
      <c r="G43" s="1">
        <v>3895834</v>
      </c>
      <c r="H43" s="1">
        <v>0</v>
      </c>
      <c r="I43" s="4">
        <v>3895834</v>
      </c>
      <c r="J43" s="2" t="s">
        <v>24</v>
      </c>
      <c r="K43" t="s">
        <v>478</v>
      </c>
      <c r="L43" t="str">
        <f t="shared" si="1"/>
        <v>408106</v>
      </c>
      <c r="M43" t="str">
        <f t="shared" si="0"/>
        <v>001</v>
      </c>
      <c r="O43" t="s">
        <v>26</v>
      </c>
      <c r="P43">
        <v>2</v>
      </c>
      <c r="Q43">
        <v>1</v>
      </c>
      <c r="R43">
        <v>1</v>
      </c>
    </row>
    <row r="44" spans="1:18">
      <c r="A44" s="3">
        <v>45716</v>
      </c>
      <c r="B44" t="s">
        <v>476</v>
      </c>
      <c r="C44" t="s">
        <v>21</v>
      </c>
      <c r="D44" t="s">
        <v>239</v>
      </c>
      <c r="E44" t="s">
        <v>239</v>
      </c>
      <c r="F44" t="s">
        <v>486</v>
      </c>
      <c r="G44" s="1">
        <v>6566140</v>
      </c>
      <c r="H44" s="1">
        <v>0</v>
      </c>
      <c r="I44" s="4">
        <v>6566140</v>
      </c>
      <c r="J44" s="2" t="s">
        <v>24</v>
      </c>
      <c r="K44" t="s">
        <v>478</v>
      </c>
      <c r="L44" t="str">
        <f t="shared" si="1"/>
        <v>408106</v>
      </c>
      <c r="M44" t="str">
        <f t="shared" si="0"/>
        <v>001</v>
      </c>
      <c r="O44" t="s">
        <v>26</v>
      </c>
      <c r="P44">
        <v>2</v>
      </c>
      <c r="Q44">
        <v>1</v>
      </c>
      <c r="R44">
        <v>1</v>
      </c>
    </row>
    <row r="45" spans="1:18">
      <c r="A45" s="3">
        <v>45716</v>
      </c>
      <c r="B45" t="s">
        <v>476</v>
      </c>
      <c r="C45" t="s">
        <v>21</v>
      </c>
      <c r="D45" t="s">
        <v>239</v>
      </c>
      <c r="E45" t="s">
        <v>239</v>
      </c>
      <c r="F45" t="s">
        <v>487</v>
      </c>
      <c r="G45" s="1">
        <v>6789837</v>
      </c>
      <c r="H45" s="1">
        <v>0</v>
      </c>
      <c r="I45" s="4">
        <v>6789837</v>
      </c>
      <c r="J45" s="2" t="s">
        <v>24</v>
      </c>
      <c r="K45" t="s">
        <v>478</v>
      </c>
      <c r="L45" t="str">
        <f t="shared" si="1"/>
        <v>408106</v>
      </c>
      <c r="M45" t="str">
        <f t="shared" si="0"/>
        <v>001</v>
      </c>
      <c r="O45" t="s">
        <v>26</v>
      </c>
      <c r="P45">
        <v>2</v>
      </c>
      <c r="Q45">
        <v>1</v>
      </c>
      <c r="R45">
        <v>1</v>
      </c>
    </row>
    <row r="46" spans="1:18">
      <c r="A46" s="3">
        <v>45716</v>
      </c>
      <c r="B46" t="s">
        <v>476</v>
      </c>
      <c r="C46" t="s">
        <v>21</v>
      </c>
      <c r="D46" t="s">
        <v>239</v>
      </c>
      <c r="E46" t="s">
        <v>239</v>
      </c>
      <c r="F46" t="s">
        <v>488</v>
      </c>
      <c r="G46" s="1">
        <v>2794097</v>
      </c>
      <c r="H46" s="1">
        <v>0</v>
      </c>
      <c r="I46" s="4">
        <v>2794097</v>
      </c>
      <c r="J46" s="2" t="s">
        <v>24</v>
      </c>
      <c r="K46" t="s">
        <v>478</v>
      </c>
      <c r="L46" t="str">
        <f t="shared" si="1"/>
        <v>408106</v>
      </c>
      <c r="M46" t="str">
        <f t="shared" si="0"/>
        <v>001</v>
      </c>
      <c r="O46" t="s">
        <v>26</v>
      </c>
      <c r="P46">
        <v>2</v>
      </c>
      <c r="Q46">
        <v>1</v>
      </c>
      <c r="R46">
        <v>1</v>
      </c>
    </row>
    <row r="47" spans="1:18">
      <c r="A47" s="3">
        <v>45716</v>
      </c>
      <c r="B47" t="s">
        <v>476</v>
      </c>
      <c r="C47" t="s">
        <v>21</v>
      </c>
      <c r="D47" t="s">
        <v>239</v>
      </c>
      <c r="E47" t="s">
        <v>239</v>
      </c>
      <c r="F47" t="s">
        <v>489</v>
      </c>
      <c r="G47" s="1">
        <v>273031</v>
      </c>
      <c r="H47" s="1">
        <v>0</v>
      </c>
      <c r="I47" s="4">
        <v>273031</v>
      </c>
      <c r="J47" s="2" t="s">
        <v>24</v>
      </c>
      <c r="K47" t="s">
        <v>478</v>
      </c>
      <c r="L47" t="str">
        <f t="shared" si="1"/>
        <v>408106</v>
      </c>
      <c r="M47" t="str">
        <f t="shared" si="0"/>
        <v>001</v>
      </c>
      <c r="O47" t="s">
        <v>26</v>
      </c>
      <c r="P47">
        <v>2</v>
      </c>
      <c r="Q47">
        <v>1</v>
      </c>
      <c r="R47">
        <v>1</v>
      </c>
    </row>
    <row r="48" spans="1:18">
      <c r="A48" s="3">
        <v>45716</v>
      </c>
      <c r="B48" t="s">
        <v>476</v>
      </c>
      <c r="C48" t="s">
        <v>21</v>
      </c>
      <c r="D48" t="s">
        <v>239</v>
      </c>
      <c r="E48" t="s">
        <v>239</v>
      </c>
      <c r="F48" t="s">
        <v>490</v>
      </c>
      <c r="G48" s="1">
        <v>2815212</v>
      </c>
      <c r="H48" s="1">
        <v>0</v>
      </c>
      <c r="I48" s="4">
        <v>2815212</v>
      </c>
      <c r="J48" s="2" t="s">
        <v>24</v>
      </c>
      <c r="K48" t="s">
        <v>478</v>
      </c>
      <c r="L48" t="str">
        <f t="shared" si="1"/>
        <v>408106</v>
      </c>
      <c r="M48" t="str">
        <f t="shared" si="0"/>
        <v>001</v>
      </c>
      <c r="O48" t="s">
        <v>26</v>
      </c>
      <c r="P48">
        <v>2</v>
      </c>
      <c r="Q48">
        <v>1</v>
      </c>
      <c r="R48">
        <v>1</v>
      </c>
    </row>
    <row r="49" spans="1:18">
      <c r="A49" s="3">
        <v>45716</v>
      </c>
      <c r="B49" t="s">
        <v>476</v>
      </c>
      <c r="C49" t="s">
        <v>21</v>
      </c>
      <c r="D49" t="s">
        <v>239</v>
      </c>
      <c r="E49" t="s">
        <v>239</v>
      </c>
      <c r="F49" t="s">
        <v>491</v>
      </c>
      <c r="G49" s="1">
        <v>5843751</v>
      </c>
      <c r="H49" s="1">
        <v>0</v>
      </c>
      <c r="I49" s="4">
        <v>5843751</v>
      </c>
      <c r="J49" s="2" t="s">
        <v>24</v>
      </c>
      <c r="K49" t="s">
        <v>478</v>
      </c>
      <c r="L49" t="str">
        <f t="shared" si="1"/>
        <v>408106</v>
      </c>
      <c r="M49" t="str">
        <f t="shared" si="0"/>
        <v>001</v>
      </c>
      <c r="O49" t="s">
        <v>26</v>
      </c>
      <c r="P49">
        <v>2</v>
      </c>
      <c r="Q49">
        <v>1</v>
      </c>
      <c r="R49">
        <v>1</v>
      </c>
    </row>
    <row r="50" spans="1:18">
      <c r="A50" s="3">
        <v>45716</v>
      </c>
      <c r="B50" t="s">
        <v>476</v>
      </c>
      <c r="C50" t="s">
        <v>21</v>
      </c>
      <c r="D50" t="s">
        <v>239</v>
      </c>
      <c r="E50" t="s">
        <v>239</v>
      </c>
      <c r="F50" t="s">
        <v>492</v>
      </c>
      <c r="G50" s="1">
        <v>9849209</v>
      </c>
      <c r="H50" s="1">
        <v>0</v>
      </c>
      <c r="I50" s="4">
        <v>9849209</v>
      </c>
      <c r="J50" s="2" t="s">
        <v>24</v>
      </c>
      <c r="K50" t="s">
        <v>478</v>
      </c>
      <c r="L50" t="str">
        <f t="shared" si="1"/>
        <v>408106</v>
      </c>
      <c r="M50" t="str">
        <f t="shared" si="0"/>
        <v>001</v>
      </c>
      <c r="O50" t="s">
        <v>26</v>
      </c>
      <c r="P50">
        <v>2</v>
      </c>
      <c r="Q50">
        <v>1</v>
      </c>
      <c r="R50">
        <v>1</v>
      </c>
    </row>
    <row r="51" spans="1:18">
      <c r="A51" s="3">
        <v>45716</v>
      </c>
      <c r="B51" t="s">
        <v>476</v>
      </c>
      <c r="C51" t="s">
        <v>21</v>
      </c>
      <c r="D51" t="s">
        <v>239</v>
      </c>
      <c r="E51" t="s">
        <v>239</v>
      </c>
      <c r="F51" t="s">
        <v>493</v>
      </c>
      <c r="G51" s="1">
        <v>10184756</v>
      </c>
      <c r="H51" s="1">
        <v>0</v>
      </c>
      <c r="I51" s="4">
        <v>10184756</v>
      </c>
      <c r="J51" s="2" t="s">
        <v>24</v>
      </c>
      <c r="K51" t="s">
        <v>478</v>
      </c>
      <c r="L51" t="str">
        <f t="shared" si="1"/>
        <v>408106</v>
      </c>
      <c r="M51" t="str">
        <f t="shared" si="0"/>
        <v>001</v>
      </c>
      <c r="O51" t="s">
        <v>26</v>
      </c>
      <c r="P51">
        <v>2</v>
      </c>
      <c r="Q51">
        <v>1</v>
      </c>
      <c r="R51">
        <v>1</v>
      </c>
    </row>
    <row r="52" spans="1:18">
      <c r="A52" s="3">
        <v>45716</v>
      </c>
      <c r="B52" t="s">
        <v>476</v>
      </c>
      <c r="C52" t="s">
        <v>21</v>
      </c>
      <c r="D52" t="s">
        <v>239</v>
      </c>
      <c r="E52" t="s">
        <v>239</v>
      </c>
      <c r="F52" t="s">
        <v>494</v>
      </c>
      <c r="G52" s="1">
        <v>2794097</v>
      </c>
      <c r="H52" s="1">
        <v>0</v>
      </c>
      <c r="I52" s="4">
        <v>2794097</v>
      </c>
      <c r="J52" s="2" t="s">
        <v>24</v>
      </c>
      <c r="K52" t="s">
        <v>478</v>
      </c>
      <c r="L52" t="str">
        <f t="shared" si="1"/>
        <v>408106</v>
      </c>
      <c r="M52" t="str">
        <f t="shared" si="0"/>
        <v>001</v>
      </c>
      <c r="O52" t="s">
        <v>26</v>
      </c>
      <c r="P52">
        <v>2</v>
      </c>
      <c r="Q52">
        <v>1</v>
      </c>
      <c r="R52">
        <v>1</v>
      </c>
    </row>
    <row r="53" spans="1:18">
      <c r="A53" s="3">
        <v>45716</v>
      </c>
      <c r="B53" t="s">
        <v>476</v>
      </c>
      <c r="C53" t="s">
        <v>21</v>
      </c>
      <c r="D53" t="s">
        <v>239</v>
      </c>
      <c r="E53" t="s">
        <v>239</v>
      </c>
      <c r="F53" t="s">
        <v>495</v>
      </c>
      <c r="G53" s="1">
        <v>273031</v>
      </c>
      <c r="H53" s="1">
        <v>0</v>
      </c>
      <c r="I53" s="4">
        <v>273031</v>
      </c>
      <c r="J53" s="2" t="s">
        <v>24</v>
      </c>
      <c r="K53" t="s">
        <v>478</v>
      </c>
      <c r="L53" t="str">
        <f t="shared" si="1"/>
        <v>408106</v>
      </c>
      <c r="M53" t="str">
        <f t="shared" si="0"/>
        <v>001</v>
      </c>
      <c r="O53" t="s">
        <v>26</v>
      </c>
      <c r="P53">
        <v>2</v>
      </c>
      <c r="Q53">
        <v>1</v>
      </c>
      <c r="R53">
        <v>1</v>
      </c>
    </row>
    <row r="54" spans="1:18">
      <c r="A54" s="3">
        <v>45716</v>
      </c>
      <c r="B54" t="s">
        <v>476</v>
      </c>
      <c r="C54" t="s">
        <v>21</v>
      </c>
      <c r="D54" t="s">
        <v>239</v>
      </c>
      <c r="E54" t="s">
        <v>239</v>
      </c>
      <c r="F54" t="s">
        <v>496</v>
      </c>
      <c r="G54" s="1">
        <v>96398</v>
      </c>
      <c r="H54" s="1">
        <v>0</v>
      </c>
      <c r="I54" s="4">
        <v>96398</v>
      </c>
      <c r="J54" s="2" t="s">
        <v>24</v>
      </c>
      <c r="K54" t="s">
        <v>478</v>
      </c>
      <c r="L54" t="str">
        <f t="shared" si="1"/>
        <v>408106</v>
      </c>
      <c r="M54" t="str">
        <f t="shared" si="0"/>
        <v>001</v>
      </c>
      <c r="O54" t="s">
        <v>26</v>
      </c>
      <c r="P54">
        <v>2</v>
      </c>
      <c r="Q54">
        <v>1</v>
      </c>
      <c r="R54">
        <v>1</v>
      </c>
    </row>
    <row r="55" spans="1:18">
      <c r="A55" s="3">
        <v>45716</v>
      </c>
      <c r="B55" t="s">
        <v>476</v>
      </c>
      <c r="C55" t="s">
        <v>21</v>
      </c>
      <c r="D55" t="s">
        <v>239</v>
      </c>
      <c r="E55" t="s">
        <v>239</v>
      </c>
      <c r="F55" t="s">
        <v>497</v>
      </c>
      <c r="G55" s="1">
        <v>110169</v>
      </c>
      <c r="H55" s="1">
        <v>0</v>
      </c>
      <c r="I55" s="4">
        <v>110169</v>
      </c>
      <c r="J55" s="2" t="s">
        <v>24</v>
      </c>
      <c r="K55" t="s">
        <v>478</v>
      </c>
      <c r="L55" t="str">
        <f t="shared" si="1"/>
        <v>408106</v>
      </c>
      <c r="M55" t="str">
        <f t="shared" si="0"/>
        <v>001</v>
      </c>
      <c r="O55" t="s">
        <v>26</v>
      </c>
      <c r="P55">
        <v>2</v>
      </c>
      <c r="Q55">
        <v>1</v>
      </c>
      <c r="R55">
        <v>1</v>
      </c>
    </row>
    <row r="56" spans="1:18">
      <c r="A56" s="3">
        <v>45716</v>
      </c>
      <c r="B56" t="s">
        <v>476</v>
      </c>
      <c r="C56" t="s">
        <v>21</v>
      </c>
      <c r="D56" t="s">
        <v>239</v>
      </c>
      <c r="E56" t="s">
        <v>239</v>
      </c>
      <c r="F56" t="s">
        <v>498</v>
      </c>
      <c r="G56" s="1">
        <v>635593</v>
      </c>
      <c r="H56" s="1">
        <v>0</v>
      </c>
      <c r="I56" s="4">
        <v>635593</v>
      </c>
      <c r="J56" s="2" t="s">
        <v>24</v>
      </c>
      <c r="K56" t="s">
        <v>478</v>
      </c>
      <c r="L56" t="str">
        <f t="shared" si="1"/>
        <v>408106</v>
      </c>
      <c r="M56" t="str">
        <f t="shared" si="0"/>
        <v>001</v>
      </c>
      <c r="O56" t="s">
        <v>26</v>
      </c>
      <c r="P56">
        <v>2</v>
      </c>
      <c r="Q56">
        <v>1</v>
      </c>
      <c r="R56">
        <v>1</v>
      </c>
    </row>
    <row r="57" spans="1:18">
      <c r="A57" s="3">
        <v>45716</v>
      </c>
      <c r="B57" t="s">
        <v>476</v>
      </c>
      <c r="C57" t="s">
        <v>21</v>
      </c>
      <c r="D57" t="s">
        <v>239</v>
      </c>
      <c r="E57" t="s">
        <v>239</v>
      </c>
      <c r="F57" t="s">
        <v>499</v>
      </c>
      <c r="G57" s="1">
        <v>550847</v>
      </c>
      <c r="H57" s="1">
        <v>0</v>
      </c>
      <c r="I57" s="4">
        <v>550847</v>
      </c>
      <c r="J57" s="2" t="s">
        <v>24</v>
      </c>
      <c r="K57" t="s">
        <v>478</v>
      </c>
      <c r="L57" t="str">
        <f t="shared" si="1"/>
        <v>408106</v>
      </c>
      <c r="M57" t="str">
        <f t="shared" si="0"/>
        <v>001</v>
      </c>
      <c r="O57" t="s">
        <v>26</v>
      </c>
      <c r="P57">
        <v>2</v>
      </c>
      <c r="Q57">
        <v>1</v>
      </c>
      <c r="R57">
        <v>1</v>
      </c>
    </row>
    <row r="58" spans="1:18">
      <c r="A58" s="3">
        <v>45716</v>
      </c>
      <c r="B58" t="s">
        <v>476</v>
      </c>
      <c r="C58" t="s">
        <v>21</v>
      </c>
      <c r="D58" t="s">
        <v>239</v>
      </c>
      <c r="E58" t="s">
        <v>239</v>
      </c>
      <c r="F58" t="s">
        <v>500</v>
      </c>
      <c r="G58" s="1">
        <v>143008</v>
      </c>
      <c r="H58" s="1">
        <v>0</v>
      </c>
      <c r="I58" s="4">
        <v>143008</v>
      </c>
      <c r="J58" s="2" t="s">
        <v>24</v>
      </c>
      <c r="K58" t="s">
        <v>478</v>
      </c>
      <c r="L58" t="str">
        <f t="shared" si="1"/>
        <v>408106</v>
      </c>
      <c r="M58" t="str">
        <f t="shared" si="0"/>
        <v>001</v>
      </c>
      <c r="O58" t="s">
        <v>26</v>
      </c>
      <c r="P58">
        <v>2</v>
      </c>
      <c r="Q58">
        <v>1</v>
      </c>
      <c r="R58">
        <v>1</v>
      </c>
    </row>
    <row r="59" spans="1:18">
      <c r="A59" s="3">
        <v>45716</v>
      </c>
      <c r="B59" t="s">
        <v>476</v>
      </c>
      <c r="C59" t="s">
        <v>21</v>
      </c>
      <c r="D59" t="s">
        <v>239</v>
      </c>
      <c r="E59" t="s">
        <v>239</v>
      </c>
      <c r="F59" t="s">
        <v>501</v>
      </c>
      <c r="G59" s="1">
        <v>438136</v>
      </c>
      <c r="H59" s="1">
        <v>0</v>
      </c>
      <c r="I59" s="4">
        <v>438136</v>
      </c>
      <c r="J59" s="2" t="s">
        <v>24</v>
      </c>
      <c r="K59" t="s">
        <v>478</v>
      </c>
      <c r="L59" t="str">
        <f t="shared" si="1"/>
        <v>408106</v>
      </c>
      <c r="M59" t="str">
        <f t="shared" si="0"/>
        <v>001</v>
      </c>
      <c r="O59" t="s">
        <v>26</v>
      </c>
      <c r="P59">
        <v>2</v>
      </c>
      <c r="Q59">
        <v>1</v>
      </c>
      <c r="R59">
        <v>1</v>
      </c>
    </row>
    <row r="60" spans="1:18">
      <c r="A60" s="3">
        <v>45716</v>
      </c>
      <c r="B60" t="s">
        <v>476</v>
      </c>
      <c r="C60" t="s">
        <v>21</v>
      </c>
      <c r="D60" t="s">
        <v>239</v>
      </c>
      <c r="E60" t="s">
        <v>239</v>
      </c>
      <c r="F60" t="s">
        <v>502</v>
      </c>
      <c r="G60" s="1">
        <v>1585847</v>
      </c>
      <c r="H60" s="1">
        <v>0</v>
      </c>
      <c r="I60" s="4">
        <v>1585847</v>
      </c>
      <c r="J60" s="2" t="s">
        <v>24</v>
      </c>
      <c r="K60" t="s">
        <v>478</v>
      </c>
      <c r="L60" t="str">
        <f t="shared" si="1"/>
        <v>408106</v>
      </c>
      <c r="M60" t="str">
        <f t="shared" si="0"/>
        <v>001</v>
      </c>
      <c r="O60" t="s">
        <v>26</v>
      </c>
      <c r="P60">
        <v>2</v>
      </c>
      <c r="Q60">
        <v>1</v>
      </c>
      <c r="R60">
        <v>1</v>
      </c>
    </row>
    <row r="61" spans="1:18">
      <c r="A61" s="3">
        <v>45716</v>
      </c>
      <c r="B61" t="s">
        <v>476</v>
      </c>
      <c r="C61" t="s">
        <v>21</v>
      </c>
      <c r="D61" t="s">
        <v>239</v>
      </c>
      <c r="E61" t="s">
        <v>239</v>
      </c>
      <c r="F61" t="s">
        <v>503</v>
      </c>
      <c r="G61" s="1">
        <v>3537966</v>
      </c>
      <c r="H61" s="1">
        <v>0</v>
      </c>
      <c r="I61" s="4">
        <v>3537966</v>
      </c>
      <c r="J61" s="2" t="s">
        <v>24</v>
      </c>
      <c r="K61" t="s">
        <v>478</v>
      </c>
      <c r="L61" t="str">
        <f t="shared" si="1"/>
        <v>408106</v>
      </c>
      <c r="M61" t="str">
        <f t="shared" si="0"/>
        <v>001</v>
      </c>
      <c r="O61" t="s">
        <v>26</v>
      </c>
      <c r="P61">
        <v>2</v>
      </c>
      <c r="Q61">
        <v>1</v>
      </c>
      <c r="R61">
        <v>1</v>
      </c>
    </row>
    <row r="62" spans="1:18">
      <c r="A62" s="3">
        <v>45716</v>
      </c>
      <c r="B62" t="s">
        <v>476</v>
      </c>
      <c r="C62" t="s">
        <v>21</v>
      </c>
      <c r="D62" t="s">
        <v>239</v>
      </c>
      <c r="E62" t="s">
        <v>239</v>
      </c>
      <c r="F62" t="s">
        <v>504</v>
      </c>
      <c r="G62" s="1">
        <v>3244831</v>
      </c>
      <c r="H62" s="1">
        <v>0</v>
      </c>
      <c r="I62" s="4">
        <v>3244831</v>
      </c>
      <c r="J62" s="2" t="s">
        <v>24</v>
      </c>
      <c r="K62" t="s">
        <v>478</v>
      </c>
      <c r="L62" t="str">
        <f t="shared" si="1"/>
        <v>408106</v>
      </c>
      <c r="M62" t="str">
        <f t="shared" si="0"/>
        <v>001</v>
      </c>
      <c r="O62" t="s">
        <v>26</v>
      </c>
      <c r="P62">
        <v>2</v>
      </c>
      <c r="Q62">
        <v>1</v>
      </c>
      <c r="R62">
        <v>1</v>
      </c>
    </row>
    <row r="63" spans="1:18">
      <c r="A63" s="3">
        <v>45716</v>
      </c>
      <c r="B63" t="s">
        <v>476</v>
      </c>
      <c r="C63" t="s">
        <v>21</v>
      </c>
      <c r="D63" t="s">
        <v>239</v>
      </c>
      <c r="E63" t="s">
        <v>239</v>
      </c>
      <c r="F63" t="s">
        <v>505</v>
      </c>
      <c r="G63" s="1">
        <v>986186</v>
      </c>
      <c r="H63" s="1">
        <v>0</v>
      </c>
      <c r="I63" s="4">
        <v>986186</v>
      </c>
      <c r="J63" s="2" t="s">
        <v>24</v>
      </c>
      <c r="K63" t="s">
        <v>478</v>
      </c>
      <c r="L63" t="str">
        <f t="shared" si="1"/>
        <v>408106</v>
      </c>
      <c r="M63" t="str">
        <f t="shared" si="0"/>
        <v>001</v>
      </c>
      <c r="O63" t="s">
        <v>26</v>
      </c>
      <c r="P63">
        <v>2</v>
      </c>
      <c r="Q63">
        <v>1</v>
      </c>
      <c r="R63">
        <v>1</v>
      </c>
    </row>
    <row r="64" spans="1:18">
      <c r="A64" s="3">
        <v>45716</v>
      </c>
      <c r="B64" t="s">
        <v>476</v>
      </c>
      <c r="C64" t="s">
        <v>21</v>
      </c>
      <c r="D64" t="s">
        <v>239</v>
      </c>
      <c r="E64" t="s">
        <v>239</v>
      </c>
      <c r="F64" t="s">
        <v>506</v>
      </c>
      <c r="G64" s="1">
        <v>87288</v>
      </c>
      <c r="H64" s="1">
        <v>0</v>
      </c>
      <c r="I64" s="4">
        <v>87288</v>
      </c>
      <c r="J64" s="2" t="s">
        <v>24</v>
      </c>
      <c r="K64" t="s">
        <v>478</v>
      </c>
      <c r="L64" t="str">
        <f t="shared" si="1"/>
        <v>408106</v>
      </c>
      <c r="M64" t="str">
        <f t="shared" si="0"/>
        <v>001</v>
      </c>
      <c r="O64" t="s">
        <v>26</v>
      </c>
      <c r="P64">
        <v>2</v>
      </c>
      <c r="Q64">
        <v>1</v>
      </c>
      <c r="R64">
        <v>1</v>
      </c>
    </row>
    <row r="65" spans="1:18">
      <c r="A65" s="3">
        <v>45716</v>
      </c>
      <c r="B65" t="s">
        <v>476</v>
      </c>
      <c r="C65" t="s">
        <v>21</v>
      </c>
      <c r="D65" t="s">
        <v>239</v>
      </c>
      <c r="E65" t="s">
        <v>239</v>
      </c>
      <c r="F65" t="s">
        <v>507</v>
      </c>
      <c r="G65" s="1">
        <v>4692019</v>
      </c>
      <c r="H65" s="1">
        <v>0</v>
      </c>
      <c r="I65" s="4">
        <v>4692019</v>
      </c>
      <c r="J65" s="2" t="s">
        <v>24</v>
      </c>
      <c r="K65" t="s">
        <v>478</v>
      </c>
      <c r="L65" t="str">
        <f t="shared" si="1"/>
        <v>408106</v>
      </c>
      <c r="M65" t="str">
        <f t="shared" si="0"/>
        <v>001</v>
      </c>
      <c r="O65" t="s">
        <v>26</v>
      </c>
      <c r="P65">
        <v>2</v>
      </c>
      <c r="Q65">
        <v>1</v>
      </c>
      <c r="R65">
        <v>1</v>
      </c>
    </row>
    <row r="66" spans="1:18">
      <c r="A66" s="3">
        <v>45716</v>
      </c>
      <c r="B66" t="s">
        <v>476</v>
      </c>
      <c r="C66" t="s">
        <v>21</v>
      </c>
      <c r="D66" t="s">
        <v>239</v>
      </c>
      <c r="E66" t="s">
        <v>239</v>
      </c>
      <c r="F66" t="s">
        <v>508</v>
      </c>
      <c r="G66" s="1">
        <v>9739586</v>
      </c>
      <c r="H66" s="1">
        <v>0</v>
      </c>
      <c r="I66" s="4">
        <v>9739586</v>
      </c>
      <c r="J66" s="2" t="s">
        <v>24</v>
      </c>
      <c r="K66" t="s">
        <v>478</v>
      </c>
      <c r="L66" t="str">
        <f t="shared" si="1"/>
        <v>408106</v>
      </c>
      <c r="M66" t="str">
        <f t="shared" ref="M66:M93" si="2">"001"</f>
        <v>001</v>
      </c>
      <c r="O66" t="s">
        <v>26</v>
      </c>
      <c r="P66">
        <v>2</v>
      </c>
      <c r="Q66">
        <v>1</v>
      </c>
      <c r="R66">
        <v>1</v>
      </c>
    </row>
    <row r="67" spans="1:18">
      <c r="A67" s="3">
        <v>45716</v>
      </c>
      <c r="B67" t="s">
        <v>476</v>
      </c>
      <c r="C67" t="s">
        <v>21</v>
      </c>
      <c r="D67" t="s">
        <v>239</v>
      </c>
      <c r="E67" t="s">
        <v>239</v>
      </c>
      <c r="F67" t="s">
        <v>509</v>
      </c>
      <c r="G67" s="1">
        <v>16415349</v>
      </c>
      <c r="H67" s="1">
        <v>0</v>
      </c>
      <c r="I67" s="4">
        <v>16415349</v>
      </c>
      <c r="J67" s="2" t="s">
        <v>24</v>
      </c>
      <c r="K67" t="s">
        <v>478</v>
      </c>
      <c r="L67" t="str">
        <f t="shared" si="1"/>
        <v>408106</v>
      </c>
      <c r="M67" t="str">
        <f t="shared" si="2"/>
        <v>001</v>
      </c>
      <c r="O67" t="s">
        <v>26</v>
      </c>
      <c r="P67">
        <v>2</v>
      </c>
      <c r="Q67">
        <v>1</v>
      </c>
      <c r="R67">
        <v>1</v>
      </c>
    </row>
    <row r="68" spans="1:18">
      <c r="A68" s="3">
        <v>45716</v>
      </c>
      <c r="B68" t="s">
        <v>476</v>
      </c>
      <c r="C68" t="s">
        <v>21</v>
      </c>
      <c r="D68" t="s">
        <v>239</v>
      </c>
      <c r="E68" t="s">
        <v>239</v>
      </c>
      <c r="F68" t="s">
        <v>510</v>
      </c>
      <c r="G68" s="1">
        <v>16974592</v>
      </c>
      <c r="H68" s="1">
        <v>0</v>
      </c>
      <c r="I68" s="4">
        <v>16974592</v>
      </c>
      <c r="J68" s="2" t="s">
        <v>24</v>
      </c>
      <c r="K68" t="s">
        <v>478</v>
      </c>
      <c r="L68" t="str">
        <f t="shared" si="1"/>
        <v>408106</v>
      </c>
      <c r="M68" t="str">
        <f t="shared" si="2"/>
        <v>001</v>
      </c>
      <c r="O68" t="s">
        <v>26</v>
      </c>
      <c r="P68">
        <v>2</v>
      </c>
      <c r="Q68">
        <v>1</v>
      </c>
      <c r="R68">
        <v>1</v>
      </c>
    </row>
    <row r="69" spans="1:18">
      <c r="A69" s="3">
        <v>45716</v>
      </c>
      <c r="B69" t="s">
        <v>476</v>
      </c>
      <c r="C69" t="s">
        <v>21</v>
      </c>
      <c r="D69" t="s">
        <v>239</v>
      </c>
      <c r="E69" t="s">
        <v>239</v>
      </c>
      <c r="F69" t="s">
        <v>511</v>
      </c>
      <c r="G69" s="1">
        <v>6985244</v>
      </c>
      <c r="H69" s="1">
        <v>0</v>
      </c>
      <c r="I69" s="4">
        <v>6985244</v>
      </c>
      <c r="J69" s="2" t="s">
        <v>24</v>
      </c>
      <c r="K69" t="s">
        <v>478</v>
      </c>
      <c r="L69" t="str">
        <f t="shared" si="1"/>
        <v>408106</v>
      </c>
      <c r="M69" t="str">
        <f t="shared" si="2"/>
        <v>001</v>
      </c>
      <c r="O69" t="s">
        <v>26</v>
      </c>
      <c r="P69">
        <v>2</v>
      </c>
      <c r="Q69">
        <v>1</v>
      </c>
      <c r="R69">
        <v>1</v>
      </c>
    </row>
    <row r="70" spans="1:18">
      <c r="A70" s="3">
        <v>45716</v>
      </c>
      <c r="B70" t="s">
        <v>476</v>
      </c>
      <c r="C70" t="s">
        <v>21</v>
      </c>
      <c r="D70" t="s">
        <v>239</v>
      </c>
      <c r="E70" t="s">
        <v>239</v>
      </c>
      <c r="F70" t="s">
        <v>512</v>
      </c>
      <c r="G70" s="1">
        <v>682577</v>
      </c>
      <c r="H70" s="1">
        <v>0</v>
      </c>
      <c r="I70" s="4">
        <v>682577</v>
      </c>
      <c r="J70" s="2" t="s">
        <v>24</v>
      </c>
      <c r="K70" t="s">
        <v>478</v>
      </c>
      <c r="L70" t="str">
        <f t="shared" si="1"/>
        <v>408106</v>
      </c>
      <c r="M70" t="str">
        <f t="shared" si="2"/>
        <v>001</v>
      </c>
      <c r="O70" t="s">
        <v>26</v>
      </c>
      <c r="P70">
        <v>2</v>
      </c>
      <c r="Q70">
        <v>1</v>
      </c>
      <c r="R70">
        <v>1</v>
      </c>
    </row>
    <row r="71" spans="1:18">
      <c r="A71" s="3">
        <v>45716</v>
      </c>
      <c r="B71" t="s">
        <v>476</v>
      </c>
      <c r="C71" t="s">
        <v>21</v>
      </c>
      <c r="D71" t="s">
        <v>239</v>
      </c>
      <c r="E71" t="s">
        <v>239</v>
      </c>
      <c r="F71" t="s">
        <v>513</v>
      </c>
      <c r="G71" s="1">
        <v>847458</v>
      </c>
      <c r="H71" s="1">
        <v>0</v>
      </c>
      <c r="I71" s="4">
        <v>847458</v>
      </c>
      <c r="J71" s="2" t="s">
        <v>24</v>
      </c>
      <c r="K71" t="s">
        <v>478</v>
      </c>
      <c r="L71" t="str">
        <f t="shared" si="1"/>
        <v>408106</v>
      </c>
      <c r="M71" t="str">
        <f t="shared" si="2"/>
        <v>001</v>
      </c>
      <c r="O71" t="s">
        <v>26</v>
      </c>
      <c r="P71">
        <v>2</v>
      </c>
      <c r="Q71">
        <v>1</v>
      </c>
      <c r="R71">
        <v>1</v>
      </c>
    </row>
    <row r="72" spans="1:18">
      <c r="A72" s="3">
        <v>45716</v>
      </c>
      <c r="B72" t="s">
        <v>476</v>
      </c>
      <c r="C72" t="s">
        <v>21</v>
      </c>
      <c r="D72" t="s">
        <v>239</v>
      </c>
      <c r="E72" t="s">
        <v>239</v>
      </c>
      <c r="F72" t="s">
        <v>514</v>
      </c>
      <c r="G72" s="1">
        <v>847458</v>
      </c>
      <c r="H72" s="1">
        <v>0</v>
      </c>
      <c r="I72" s="4">
        <v>847458</v>
      </c>
      <c r="J72" s="2" t="s">
        <v>24</v>
      </c>
      <c r="K72" t="s">
        <v>478</v>
      </c>
      <c r="L72" t="str">
        <f t="shared" si="1"/>
        <v>408106</v>
      </c>
      <c r="M72" t="str">
        <f t="shared" si="2"/>
        <v>001</v>
      </c>
      <c r="O72" t="s">
        <v>26</v>
      </c>
      <c r="P72">
        <v>2</v>
      </c>
      <c r="Q72">
        <v>1</v>
      </c>
      <c r="R72">
        <v>1</v>
      </c>
    </row>
    <row r="73" spans="1:18">
      <c r="A73" s="3">
        <v>45716</v>
      </c>
      <c r="B73" t="s">
        <v>476</v>
      </c>
      <c r="C73" t="s">
        <v>21</v>
      </c>
      <c r="D73" t="s">
        <v>239</v>
      </c>
      <c r="E73" t="s">
        <v>239</v>
      </c>
      <c r="F73" t="s">
        <v>515</v>
      </c>
      <c r="G73" s="1">
        <v>2542373</v>
      </c>
      <c r="H73" s="1">
        <v>0</v>
      </c>
      <c r="I73" s="4">
        <v>2542373</v>
      </c>
      <c r="J73" s="2" t="s">
        <v>24</v>
      </c>
      <c r="K73" t="s">
        <v>478</v>
      </c>
      <c r="L73" t="str">
        <f t="shared" si="1"/>
        <v>408106</v>
      </c>
      <c r="M73" t="str">
        <f t="shared" si="2"/>
        <v>001</v>
      </c>
      <c r="O73" t="s">
        <v>26</v>
      </c>
      <c r="P73">
        <v>2</v>
      </c>
      <c r="Q73">
        <v>1</v>
      </c>
      <c r="R73">
        <v>1</v>
      </c>
    </row>
    <row r="74" spans="1:18">
      <c r="A74" s="3">
        <v>45716</v>
      </c>
      <c r="B74" t="s">
        <v>476</v>
      </c>
      <c r="C74" t="s">
        <v>21</v>
      </c>
      <c r="D74" t="s">
        <v>239</v>
      </c>
      <c r="E74" t="s">
        <v>239</v>
      </c>
      <c r="F74" t="s">
        <v>516</v>
      </c>
      <c r="G74" s="1">
        <v>32993</v>
      </c>
      <c r="H74" s="1">
        <v>0</v>
      </c>
      <c r="I74" s="4">
        <v>32993</v>
      </c>
      <c r="J74" s="2" t="s">
        <v>24</v>
      </c>
      <c r="K74" t="s">
        <v>478</v>
      </c>
      <c r="L74" t="str">
        <f t="shared" si="1"/>
        <v>408106</v>
      </c>
      <c r="M74" t="str">
        <f t="shared" si="2"/>
        <v>001</v>
      </c>
      <c r="O74" t="s">
        <v>26</v>
      </c>
      <c r="P74">
        <v>2</v>
      </c>
      <c r="Q74">
        <v>1</v>
      </c>
      <c r="R74">
        <v>1</v>
      </c>
    </row>
    <row r="75" spans="1:18">
      <c r="A75" s="3">
        <v>45716</v>
      </c>
      <c r="B75" t="s">
        <v>476</v>
      </c>
      <c r="C75" t="s">
        <v>21</v>
      </c>
      <c r="D75" t="s">
        <v>239</v>
      </c>
      <c r="E75" t="s">
        <v>239</v>
      </c>
      <c r="F75" t="s">
        <v>517</v>
      </c>
      <c r="G75" s="1">
        <v>61330</v>
      </c>
      <c r="H75" s="1">
        <v>0</v>
      </c>
      <c r="I75" s="4">
        <v>61330</v>
      </c>
      <c r="J75" s="2" t="s">
        <v>24</v>
      </c>
      <c r="K75" t="s">
        <v>478</v>
      </c>
      <c r="L75" t="str">
        <f t="shared" si="1"/>
        <v>408106</v>
      </c>
      <c r="M75" t="str">
        <f t="shared" si="2"/>
        <v>001</v>
      </c>
      <c r="O75" t="s">
        <v>26</v>
      </c>
      <c r="P75">
        <v>2</v>
      </c>
      <c r="Q75">
        <v>1</v>
      </c>
      <c r="R75">
        <v>1</v>
      </c>
    </row>
    <row r="76" spans="1:18">
      <c r="A76" s="3">
        <v>45716</v>
      </c>
      <c r="B76" t="s">
        <v>476</v>
      </c>
      <c r="C76" t="s">
        <v>21</v>
      </c>
      <c r="D76" t="s">
        <v>239</v>
      </c>
      <c r="E76" t="s">
        <v>239</v>
      </c>
      <c r="F76" t="s">
        <v>518</v>
      </c>
      <c r="G76" s="1">
        <v>89558</v>
      </c>
      <c r="H76" s="1">
        <v>0</v>
      </c>
      <c r="I76" s="4">
        <v>89558</v>
      </c>
      <c r="J76" s="2" t="s">
        <v>24</v>
      </c>
      <c r="K76" t="s">
        <v>478</v>
      </c>
      <c r="L76" t="str">
        <f t="shared" si="1"/>
        <v>408106</v>
      </c>
      <c r="M76" t="str">
        <f t="shared" si="2"/>
        <v>001</v>
      </c>
      <c r="O76" t="s">
        <v>26</v>
      </c>
      <c r="P76">
        <v>2</v>
      </c>
      <c r="Q76">
        <v>1</v>
      </c>
      <c r="R76">
        <v>1</v>
      </c>
    </row>
    <row r="77" spans="1:18">
      <c r="A77" s="3">
        <v>45716</v>
      </c>
      <c r="B77" t="s">
        <v>476</v>
      </c>
      <c r="C77" t="s">
        <v>21</v>
      </c>
      <c r="D77" t="s">
        <v>239</v>
      </c>
      <c r="E77" t="s">
        <v>239</v>
      </c>
      <c r="F77" t="s">
        <v>519</v>
      </c>
      <c r="G77" s="1">
        <v>70558</v>
      </c>
      <c r="H77" s="1">
        <v>0</v>
      </c>
      <c r="I77" s="4">
        <v>70558</v>
      </c>
      <c r="J77" s="2" t="s">
        <v>24</v>
      </c>
      <c r="K77" t="s">
        <v>478</v>
      </c>
      <c r="L77" t="str">
        <f t="shared" si="1"/>
        <v>408106</v>
      </c>
      <c r="M77" t="str">
        <f t="shared" si="2"/>
        <v>001</v>
      </c>
      <c r="O77" t="s">
        <v>26</v>
      </c>
      <c r="P77">
        <v>2</v>
      </c>
      <c r="Q77">
        <v>1</v>
      </c>
      <c r="R77">
        <v>1</v>
      </c>
    </row>
    <row r="78" spans="1:18">
      <c r="A78" s="3">
        <v>45716</v>
      </c>
      <c r="B78" t="s">
        <v>476</v>
      </c>
      <c r="C78" t="s">
        <v>21</v>
      </c>
      <c r="D78" t="s">
        <v>239</v>
      </c>
      <c r="E78" t="s">
        <v>239</v>
      </c>
      <c r="F78" t="s">
        <v>520</v>
      </c>
      <c r="G78" s="1">
        <v>222458</v>
      </c>
      <c r="H78" s="1">
        <v>0</v>
      </c>
      <c r="I78" s="4">
        <v>222458</v>
      </c>
      <c r="J78" s="2" t="s">
        <v>24</v>
      </c>
      <c r="K78" t="s">
        <v>478</v>
      </c>
      <c r="L78" t="str">
        <f t="shared" si="1"/>
        <v>408106</v>
      </c>
      <c r="M78" t="str">
        <f t="shared" si="2"/>
        <v>001</v>
      </c>
      <c r="O78" t="s">
        <v>26</v>
      </c>
      <c r="P78">
        <v>2</v>
      </c>
      <c r="Q78">
        <v>1</v>
      </c>
      <c r="R78">
        <v>1</v>
      </c>
    </row>
    <row r="79" spans="1:18">
      <c r="A79" s="3">
        <v>45716</v>
      </c>
      <c r="B79" t="s">
        <v>476</v>
      </c>
      <c r="C79" t="s">
        <v>21</v>
      </c>
      <c r="D79" t="s">
        <v>239</v>
      </c>
      <c r="E79" t="s">
        <v>239</v>
      </c>
      <c r="F79" t="s">
        <v>521</v>
      </c>
      <c r="G79" s="1">
        <v>254237</v>
      </c>
      <c r="H79" s="1">
        <v>0</v>
      </c>
      <c r="I79" s="4">
        <v>254237</v>
      </c>
      <c r="J79" s="2" t="s">
        <v>24</v>
      </c>
      <c r="K79" t="s">
        <v>478</v>
      </c>
      <c r="L79" t="str">
        <f t="shared" si="1"/>
        <v>408106</v>
      </c>
      <c r="M79" t="str">
        <f t="shared" si="2"/>
        <v>001</v>
      </c>
      <c r="O79" t="s">
        <v>26</v>
      </c>
      <c r="P79">
        <v>2</v>
      </c>
      <c r="Q79">
        <v>1</v>
      </c>
      <c r="R79">
        <v>1</v>
      </c>
    </row>
    <row r="80" spans="1:18">
      <c r="A80" s="3">
        <v>45716</v>
      </c>
      <c r="B80" t="s">
        <v>476</v>
      </c>
      <c r="C80" t="s">
        <v>21</v>
      </c>
      <c r="D80" t="s">
        <v>239</v>
      </c>
      <c r="E80" t="s">
        <v>239</v>
      </c>
      <c r="F80" t="s">
        <v>522</v>
      </c>
      <c r="G80" s="1">
        <v>1271186</v>
      </c>
      <c r="H80" s="1">
        <v>0</v>
      </c>
      <c r="I80" s="4">
        <v>1271186</v>
      </c>
      <c r="J80" s="2" t="s">
        <v>24</v>
      </c>
      <c r="K80" t="s">
        <v>478</v>
      </c>
      <c r="L80" t="str">
        <f t="shared" si="1"/>
        <v>408106</v>
      </c>
      <c r="M80" t="str">
        <f t="shared" si="2"/>
        <v>001</v>
      </c>
      <c r="O80" t="s">
        <v>26</v>
      </c>
      <c r="P80">
        <v>2</v>
      </c>
      <c r="Q80">
        <v>1</v>
      </c>
      <c r="R80">
        <v>1</v>
      </c>
    </row>
    <row r="81" spans="1:18">
      <c r="A81" s="3">
        <v>45716</v>
      </c>
      <c r="B81" t="s">
        <v>476</v>
      </c>
      <c r="C81" t="s">
        <v>21</v>
      </c>
      <c r="D81" t="s">
        <v>239</v>
      </c>
      <c r="E81" t="s">
        <v>239</v>
      </c>
      <c r="F81" t="s">
        <v>523</v>
      </c>
      <c r="G81" s="1">
        <v>1271186</v>
      </c>
      <c r="H81" s="1">
        <v>0</v>
      </c>
      <c r="I81" s="4">
        <v>1271186</v>
      </c>
      <c r="J81" s="2" t="s">
        <v>24</v>
      </c>
      <c r="K81" t="s">
        <v>478</v>
      </c>
      <c r="L81" t="str">
        <f t="shared" si="1"/>
        <v>408106</v>
      </c>
      <c r="M81" t="str">
        <f t="shared" si="2"/>
        <v>001</v>
      </c>
      <c r="O81" t="s">
        <v>26</v>
      </c>
      <c r="P81">
        <v>2</v>
      </c>
      <c r="Q81">
        <v>1</v>
      </c>
      <c r="R81">
        <v>1</v>
      </c>
    </row>
    <row r="82" spans="1:18">
      <c r="A82" s="3">
        <v>45716</v>
      </c>
      <c r="B82" t="s">
        <v>476</v>
      </c>
      <c r="C82" t="s">
        <v>21</v>
      </c>
      <c r="D82" t="s">
        <v>239</v>
      </c>
      <c r="E82" t="s">
        <v>239</v>
      </c>
      <c r="F82" t="s">
        <v>524</v>
      </c>
      <c r="G82" s="1">
        <v>286017</v>
      </c>
      <c r="H82" s="1">
        <v>0</v>
      </c>
      <c r="I82" s="4">
        <v>286017</v>
      </c>
      <c r="J82" s="2" t="s">
        <v>24</v>
      </c>
      <c r="K82" t="s">
        <v>478</v>
      </c>
      <c r="L82" t="str">
        <f t="shared" si="1"/>
        <v>408106</v>
      </c>
      <c r="M82" t="str">
        <f t="shared" si="2"/>
        <v>001</v>
      </c>
      <c r="O82" t="s">
        <v>26</v>
      </c>
      <c r="P82">
        <v>2</v>
      </c>
      <c r="Q82">
        <v>1</v>
      </c>
      <c r="R82">
        <v>1</v>
      </c>
    </row>
    <row r="83" spans="1:18">
      <c r="A83" s="3">
        <v>45716</v>
      </c>
      <c r="B83" t="s">
        <v>476</v>
      </c>
      <c r="C83" t="s">
        <v>21</v>
      </c>
      <c r="D83" t="s">
        <v>239</v>
      </c>
      <c r="E83" t="s">
        <v>239</v>
      </c>
      <c r="F83" t="s">
        <v>525</v>
      </c>
      <c r="G83" s="1">
        <v>593220</v>
      </c>
      <c r="H83" s="1">
        <v>0</v>
      </c>
      <c r="I83" s="4">
        <v>593220</v>
      </c>
      <c r="J83" s="4" t="s">
        <v>248</v>
      </c>
      <c r="K83" t="s">
        <v>478</v>
      </c>
      <c r="L83" t="str">
        <f t="shared" si="1"/>
        <v>408106</v>
      </c>
      <c r="M83" t="str">
        <f t="shared" si="2"/>
        <v>001</v>
      </c>
      <c r="O83" t="s">
        <v>26</v>
      </c>
      <c r="P83">
        <v>2</v>
      </c>
      <c r="Q83">
        <v>1</v>
      </c>
      <c r="R83">
        <v>1</v>
      </c>
    </row>
    <row r="84" spans="1:18">
      <c r="A84" s="3">
        <v>45716</v>
      </c>
      <c r="B84" t="s">
        <v>476</v>
      </c>
      <c r="C84" t="s">
        <v>21</v>
      </c>
      <c r="D84" t="s">
        <v>239</v>
      </c>
      <c r="E84" t="s">
        <v>239</v>
      </c>
      <c r="F84" t="s">
        <v>526</v>
      </c>
      <c r="G84" s="1">
        <v>677966</v>
      </c>
      <c r="H84" s="1">
        <v>0</v>
      </c>
      <c r="I84" s="4">
        <v>677966</v>
      </c>
      <c r="J84" s="4" t="s">
        <v>248</v>
      </c>
      <c r="K84" t="s">
        <v>478</v>
      </c>
      <c r="L84" t="str">
        <f t="shared" si="1"/>
        <v>408106</v>
      </c>
      <c r="M84" t="str">
        <f t="shared" si="2"/>
        <v>001</v>
      </c>
      <c r="O84" t="s">
        <v>26</v>
      </c>
      <c r="P84">
        <v>2</v>
      </c>
      <c r="Q84">
        <v>1</v>
      </c>
      <c r="R84">
        <v>1</v>
      </c>
    </row>
    <row r="85" spans="1:18">
      <c r="A85" s="3">
        <v>45716</v>
      </c>
      <c r="B85" t="s">
        <v>476</v>
      </c>
      <c r="C85" t="s">
        <v>21</v>
      </c>
      <c r="D85" t="s">
        <v>239</v>
      </c>
      <c r="E85" t="s">
        <v>239</v>
      </c>
      <c r="F85" t="s">
        <v>527</v>
      </c>
      <c r="G85" s="1">
        <v>3389831</v>
      </c>
      <c r="H85" s="1">
        <v>0</v>
      </c>
      <c r="I85" s="4">
        <v>3389831</v>
      </c>
      <c r="J85" s="4" t="s">
        <v>248</v>
      </c>
      <c r="K85" t="s">
        <v>478</v>
      </c>
      <c r="L85" t="str">
        <f t="shared" si="1"/>
        <v>408106</v>
      </c>
      <c r="M85" t="str">
        <f t="shared" si="2"/>
        <v>001</v>
      </c>
      <c r="O85" t="s">
        <v>26</v>
      </c>
      <c r="P85">
        <v>2</v>
      </c>
      <c r="Q85">
        <v>1</v>
      </c>
      <c r="R85">
        <v>1</v>
      </c>
    </row>
    <row r="86" spans="1:18">
      <c r="A86" s="3">
        <v>45716</v>
      </c>
      <c r="B86" t="s">
        <v>476</v>
      </c>
      <c r="C86" t="s">
        <v>21</v>
      </c>
      <c r="D86" t="s">
        <v>239</v>
      </c>
      <c r="E86" t="s">
        <v>239</v>
      </c>
      <c r="F86" t="s">
        <v>528</v>
      </c>
      <c r="G86" s="1">
        <v>3389831</v>
      </c>
      <c r="H86" s="1">
        <v>0</v>
      </c>
      <c r="I86" s="4">
        <v>3389831</v>
      </c>
      <c r="J86" s="4" t="s">
        <v>248</v>
      </c>
      <c r="K86" t="s">
        <v>478</v>
      </c>
      <c r="L86" t="str">
        <f t="shared" si="1"/>
        <v>408106</v>
      </c>
      <c r="M86" t="str">
        <f t="shared" si="2"/>
        <v>001</v>
      </c>
      <c r="O86" t="s">
        <v>26</v>
      </c>
      <c r="P86">
        <v>2</v>
      </c>
      <c r="Q86">
        <v>1</v>
      </c>
      <c r="R86">
        <v>1</v>
      </c>
    </row>
    <row r="87" spans="1:18">
      <c r="A87" s="3">
        <v>45716</v>
      </c>
      <c r="B87" t="s">
        <v>476</v>
      </c>
      <c r="C87" t="s">
        <v>21</v>
      </c>
      <c r="D87" t="s">
        <v>239</v>
      </c>
      <c r="E87" t="s">
        <v>239</v>
      </c>
      <c r="F87" t="s">
        <v>529</v>
      </c>
      <c r="G87" s="1">
        <v>762712</v>
      </c>
      <c r="H87" s="1">
        <v>0</v>
      </c>
      <c r="I87" s="4">
        <v>762712</v>
      </c>
      <c r="J87" s="4" t="s">
        <v>248</v>
      </c>
      <c r="K87" t="s">
        <v>478</v>
      </c>
      <c r="L87" t="str">
        <f t="shared" si="1"/>
        <v>408106</v>
      </c>
      <c r="M87" t="str">
        <f t="shared" si="2"/>
        <v>001</v>
      </c>
      <c r="O87" t="s">
        <v>26</v>
      </c>
      <c r="P87">
        <v>2</v>
      </c>
      <c r="Q87">
        <v>1</v>
      </c>
      <c r="R87">
        <v>1</v>
      </c>
    </row>
    <row r="88" spans="1:18">
      <c r="A88" s="3">
        <v>45716</v>
      </c>
      <c r="B88" t="s">
        <v>530</v>
      </c>
      <c r="C88" t="s">
        <v>21</v>
      </c>
      <c r="D88" t="s">
        <v>239</v>
      </c>
      <c r="E88" t="s">
        <v>239</v>
      </c>
      <c r="F88" t="s">
        <v>531</v>
      </c>
      <c r="G88" s="1">
        <v>0</v>
      </c>
      <c r="H88" s="1">
        <v>1584661</v>
      </c>
      <c r="I88" s="2">
        <v>-1584661</v>
      </c>
      <c r="J88" s="2" t="s">
        <v>24</v>
      </c>
      <c r="K88" t="s">
        <v>532</v>
      </c>
      <c r="M88" t="str">
        <f t="shared" si="2"/>
        <v>001</v>
      </c>
      <c r="O88" t="s">
        <v>26</v>
      </c>
      <c r="P88">
        <v>2</v>
      </c>
      <c r="Q88">
        <v>1</v>
      </c>
      <c r="R88">
        <v>1</v>
      </c>
    </row>
    <row r="89" spans="1:18">
      <c r="A89" s="3">
        <v>45716</v>
      </c>
      <c r="B89" t="s">
        <v>530</v>
      </c>
      <c r="C89" t="s">
        <v>21</v>
      </c>
      <c r="D89" t="s">
        <v>239</v>
      </c>
      <c r="E89" t="s">
        <v>239</v>
      </c>
      <c r="F89" t="s">
        <v>533</v>
      </c>
      <c r="G89" s="1">
        <v>0</v>
      </c>
      <c r="H89" s="1">
        <v>8278217</v>
      </c>
      <c r="I89" s="2">
        <v>-8278217</v>
      </c>
      <c r="J89" s="2" t="s">
        <v>24</v>
      </c>
      <c r="K89" t="s">
        <v>532</v>
      </c>
      <c r="M89" t="str">
        <f t="shared" si="2"/>
        <v>001</v>
      </c>
      <c r="O89" t="s">
        <v>26</v>
      </c>
      <c r="P89">
        <v>2</v>
      </c>
      <c r="Q89">
        <v>1</v>
      </c>
      <c r="R89">
        <v>1</v>
      </c>
    </row>
    <row r="90" spans="1:18">
      <c r="A90" s="3">
        <v>45716</v>
      </c>
      <c r="B90" t="s">
        <v>530</v>
      </c>
      <c r="C90" t="s">
        <v>21</v>
      </c>
      <c r="D90" t="s">
        <v>239</v>
      </c>
      <c r="E90" t="s">
        <v>239</v>
      </c>
      <c r="F90" t="s">
        <v>534</v>
      </c>
      <c r="G90" s="1">
        <v>0</v>
      </c>
      <c r="H90" s="1">
        <v>4666949</v>
      </c>
      <c r="I90" s="2">
        <v>-4666949</v>
      </c>
      <c r="J90" s="2" t="s">
        <v>24</v>
      </c>
      <c r="K90" t="s">
        <v>532</v>
      </c>
      <c r="M90" t="str">
        <f t="shared" si="2"/>
        <v>001</v>
      </c>
      <c r="O90" t="s">
        <v>26</v>
      </c>
      <c r="P90">
        <v>2</v>
      </c>
      <c r="Q90">
        <v>1</v>
      </c>
      <c r="R90">
        <v>1</v>
      </c>
    </row>
    <row r="91" spans="1:18">
      <c r="A91" s="3">
        <v>45716</v>
      </c>
      <c r="B91" t="s">
        <v>530</v>
      </c>
      <c r="C91" t="s">
        <v>21</v>
      </c>
      <c r="D91" t="s">
        <v>239</v>
      </c>
      <c r="E91" t="s">
        <v>239</v>
      </c>
      <c r="F91" t="s">
        <v>535</v>
      </c>
      <c r="G91" s="1">
        <v>0</v>
      </c>
      <c r="H91" s="1">
        <v>4530030</v>
      </c>
      <c r="I91" s="2">
        <v>-4530030</v>
      </c>
      <c r="J91" s="2" t="s">
        <v>24</v>
      </c>
      <c r="K91" t="s">
        <v>532</v>
      </c>
      <c r="M91" t="str">
        <f t="shared" si="2"/>
        <v>001</v>
      </c>
      <c r="O91" t="s">
        <v>26</v>
      </c>
      <c r="P91">
        <v>2</v>
      </c>
      <c r="Q91">
        <v>1</v>
      </c>
      <c r="R91">
        <v>1</v>
      </c>
    </row>
    <row r="92" spans="1:18">
      <c r="A92" s="3">
        <v>45716</v>
      </c>
      <c r="B92" t="s">
        <v>530</v>
      </c>
      <c r="C92" t="s">
        <v>21</v>
      </c>
      <c r="D92" t="s">
        <v>239</v>
      </c>
      <c r="E92" t="s">
        <v>239</v>
      </c>
      <c r="F92" t="s">
        <v>536</v>
      </c>
      <c r="G92" s="1">
        <v>0</v>
      </c>
      <c r="H92" s="1">
        <v>10877735</v>
      </c>
      <c r="I92" s="2">
        <v>-10877735</v>
      </c>
      <c r="J92" s="2" t="s">
        <v>24</v>
      </c>
      <c r="K92" t="s">
        <v>532</v>
      </c>
      <c r="M92" t="str">
        <f t="shared" si="2"/>
        <v>001</v>
      </c>
      <c r="O92" t="s">
        <v>26</v>
      </c>
      <c r="P92">
        <v>2</v>
      </c>
      <c r="Q92">
        <v>1</v>
      </c>
      <c r="R92">
        <v>1</v>
      </c>
    </row>
    <row r="93" spans="1:18">
      <c r="A93" s="3">
        <v>45716</v>
      </c>
      <c r="B93" t="s">
        <v>530</v>
      </c>
      <c r="C93" t="s">
        <v>21</v>
      </c>
      <c r="D93" t="s">
        <v>239</v>
      </c>
      <c r="E93" t="s">
        <v>239</v>
      </c>
      <c r="F93" t="s">
        <v>537</v>
      </c>
      <c r="G93" s="1">
        <v>0</v>
      </c>
      <c r="H93" s="1">
        <v>5212181</v>
      </c>
      <c r="I93" s="2">
        <v>-5212181</v>
      </c>
      <c r="J93" s="2" t="s">
        <v>24</v>
      </c>
      <c r="K93" t="s">
        <v>532</v>
      </c>
      <c r="M93" t="str">
        <f t="shared" si="2"/>
        <v>001</v>
      </c>
      <c r="O93" t="s">
        <v>26</v>
      </c>
      <c r="P93">
        <v>2</v>
      </c>
      <c r="Q93">
        <v>1</v>
      </c>
      <c r="R93">
        <v>1</v>
      </c>
    </row>
    <row r="94" spans="1:18">
      <c r="A94" s="3"/>
      <c r="G94" s="1"/>
      <c r="H94" s="1"/>
      <c r="I94" s="4"/>
      <c r="J94" s="2"/>
    </row>
    <row r="95" spans="1:18">
      <c r="A95" s="3"/>
      <c r="G95" s="1"/>
      <c r="H95" s="1"/>
      <c r="I95" s="4"/>
      <c r="J95" s="2"/>
    </row>
    <row r="96" spans="1:18">
      <c r="A96" s="3"/>
      <c r="G96" s="1"/>
      <c r="H96" s="1"/>
      <c r="I96" s="4"/>
      <c r="J96" s="2"/>
    </row>
    <row r="97" spans="1:10">
      <c r="A97" s="3"/>
      <c r="G97" s="1"/>
      <c r="H97" s="1"/>
      <c r="I97" s="4"/>
      <c r="J97" s="2"/>
    </row>
    <row r="98" spans="1:10">
      <c r="A98" s="3"/>
      <c r="G98" s="1"/>
      <c r="H98" s="1"/>
      <c r="I98" s="4"/>
      <c r="J98" s="2"/>
    </row>
    <row r="99" spans="1:10">
      <c r="A99" s="3"/>
      <c r="G99" s="1"/>
      <c r="H99" s="1"/>
      <c r="I99" s="4"/>
      <c r="J99" s="2"/>
    </row>
    <row r="100" spans="1:10">
      <c r="A100" s="3"/>
      <c r="G100" s="1"/>
      <c r="H100" s="1"/>
      <c r="I100" s="4"/>
      <c r="J100" s="2"/>
    </row>
    <row r="101" spans="1:10">
      <c r="A101" s="3"/>
      <c r="G101" s="1"/>
      <c r="H101" s="1"/>
      <c r="I101" s="4"/>
      <c r="J101" s="2"/>
    </row>
    <row r="102" spans="1:10">
      <c r="A102" s="3"/>
      <c r="G102" s="1"/>
      <c r="H102" s="1"/>
      <c r="I102" s="4"/>
      <c r="J102" s="2"/>
    </row>
    <row r="103" spans="1:10">
      <c r="A103" s="3"/>
      <c r="G103" s="1"/>
      <c r="H103" s="1"/>
      <c r="I103" s="4"/>
      <c r="J103" s="2"/>
    </row>
    <row r="104" spans="1:10">
      <c r="A104" s="3"/>
      <c r="G104" s="1"/>
      <c r="H104" s="1"/>
      <c r="I104" s="4"/>
      <c r="J104" s="2"/>
    </row>
    <row r="105" spans="1:10">
      <c r="A105" s="3"/>
      <c r="G105" s="1"/>
      <c r="H105" s="1"/>
      <c r="I105" s="4"/>
      <c r="J105" s="2"/>
    </row>
    <row r="106" spans="1:10">
      <c r="A106" s="3"/>
      <c r="G106" s="1"/>
      <c r="H106" s="1"/>
      <c r="I106" s="4"/>
      <c r="J106" s="2"/>
    </row>
    <row r="107" spans="1:10">
      <c r="A107" s="3"/>
      <c r="G107" s="1"/>
      <c r="H107" s="1"/>
      <c r="I107" s="4"/>
      <c r="J107" s="2"/>
    </row>
    <row r="108" spans="1:10">
      <c r="A108" s="3"/>
      <c r="G108" s="1"/>
      <c r="H108" s="1"/>
      <c r="I108" s="4"/>
      <c r="J108" s="2"/>
    </row>
    <row r="109" spans="1:10">
      <c r="A109" s="3"/>
      <c r="G109" s="1"/>
      <c r="H109" s="1"/>
      <c r="I109" s="4"/>
      <c r="J109" s="2"/>
    </row>
    <row r="110" spans="1:10">
      <c r="A110" s="3"/>
      <c r="G110" s="1"/>
      <c r="H110" s="1"/>
      <c r="I110" s="4"/>
      <c r="J110" s="2"/>
    </row>
    <row r="111" spans="1:10">
      <c r="A111" s="3"/>
      <c r="G111" s="1"/>
      <c r="H111" s="1"/>
      <c r="I111" s="4"/>
      <c r="J111" s="2"/>
    </row>
    <row r="112" spans="1:10">
      <c r="A112" s="3"/>
      <c r="G112" s="1"/>
      <c r="H112" s="1"/>
      <c r="I112" s="4"/>
      <c r="J112" s="2"/>
    </row>
    <row r="113" spans="1:10">
      <c r="A113" s="3"/>
      <c r="G113" s="1"/>
      <c r="H113" s="1"/>
      <c r="I113" s="4"/>
      <c r="J113" s="2"/>
    </row>
    <row r="114" spans="1:10">
      <c r="A114" s="3"/>
      <c r="G114" s="1"/>
      <c r="H114" s="1"/>
      <c r="I114" s="4"/>
      <c r="J114" s="2"/>
    </row>
    <row r="115" spans="1:10">
      <c r="A115" s="3"/>
      <c r="G115" s="1"/>
      <c r="H115" s="1"/>
      <c r="I115" s="4"/>
      <c r="J115" s="2"/>
    </row>
    <row r="116" spans="1:10">
      <c r="A116" s="3"/>
      <c r="G116" s="1"/>
      <c r="H116" s="1"/>
      <c r="I116" s="4"/>
      <c r="J116" s="2"/>
    </row>
    <row r="117" spans="1:10">
      <c r="A117" s="3"/>
      <c r="G117" s="1"/>
      <c r="H117" s="1"/>
      <c r="I117" s="4"/>
      <c r="J117" s="2"/>
    </row>
    <row r="118" spans="1:10">
      <c r="A118" s="3"/>
      <c r="G118" s="1"/>
      <c r="H118" s="1"/>
      <c r="I118" s="4"/>
      <c r="J118" s="2"/>
    </row>
    <row r="119" spans="1:10">
      <c r="A119" s="3"/>
      <c r="G119" s="1"/>
      <c r="H119" s="1"/>
      <c r="I119" s="4"/>
      <c r="J119" s="2"/>
    </row>
    <row r="120" spans="1:10">
      <c r="A120" s="3"/>
      <c r="G120" s="1"/>
      <c r="H120" s="1"/>
      <c r="I120" s="4"/>
      <c r="J120" s="2"/>
    </row>
    <row r="121" spans="1:10">
      <c r="A121" s="3"/>
      <c r="G121" s="1"/>
      <c r="H121" s="1"/>
      <c r="I121" s="4"/>
      <c r="J121" s="2"/>
    </row>
    <row r="122" spans="1:10">
      <c r="A122" s="3"/>
      <c r="G122" s="1"/>
      <c r="H122" s="1"/>
      <c r="I122" s="4"/>
      <c r="J122" s="2"/>
    </row>
    <row r="123" spans="1:10">
      <c r="A123" s="3"/>
      <c r="G123" s="1"/>
      <c r="H123" s="1"/>
      <c r="I123" s="4"/>
      <c r="J123" s="2"/>
    </row>
    <row r="124" spans="1:10">
      <c r="A124" s="3"/>
      <c r="G124" s="1"/>
      <c r="H124" s="1"/>
      <c r="I124" s="4"/>
      <c r="J124" s="2"/>
    </row>
    <row r="125" spans="1:10">
      <c r="A125" s="3"/>
      <c r="G125" s="1"/>
      <c r="H125" s="1"/>
      <c r="I125" s="4"/>
      <c r="J125" s="2"/>
    </row>
    <row r="126" spans="1:10">
      <c r="A126" s="3"/>
      <c r="G126" s="1"/>
      <c r="H126" s="1"/>
      <c r="I126" s="4"/>
      <c r="J126" s="2"/>
    </row>
    <row r="127" spans="1:10">
      <c r="A127" s="3"/>
      <c r="G127" s="1"/>
      <c r="H127" s="1"/>
      <c r="I127" s="4"/>
      <c r="J127" s="2"/>
    </row>
    <row r="128" spans="1:10">
      <c r="A128" s="3"/>
      <c r="G128" s="1"/>
      <c r="H128" s="1"/>
      <c r="I128" s="4"/>
      <c r="J128" s="2"/>
    </row>
    <row r="129" spans="1:10">
      <c r="A129" s="3"/>
      <c r="G129" s="1"/>
      <c r="H129" s="1"/>
      <c r="I129" s="4"/>
      <c r="J129" s="2"/>
    </row>
    <row r="130" spans="1:10">
      <c r="A130" s="3"/>
      <c r="G130" s="1"/>
      <c r="H130" s="1"/>
      <c r="I130" s="4"/>
      <c r="J130" s="2"/>
    </row>
    <row r="131" spans="1:10">
      <c r="A131" s="3"/>
      <c r="G131" s="1"/>
      <c r="H131" s="1"/>
      <c r="I131" s="4"/>
      <c r="J131" s="4"/>
    </row>
    <row r="132" spans="1:10">
      <c r="A132" s="3"/>
      <c r="G132" s="1"/>
      <c r="H132" s="1"/>
      <c r="I132" s="4"/>
      <c r="J132" s="4"/>
    </row>
    <row r="133" spans="1:10">
      <c r="A133" s="3"/>
      <c r="G133" s="1"/>
      <c r="H133" s="1"/>
      <c r="I133" s="4"/>
      <c r="J133" s="4"/>
    </row>
    <row r="134" spans="1:10">
      <c r="A134" s="3"/>
      <c r="G134" s="1"/>
      <c r="H134" s="1"/>
      <c r="I134" s="4"/>
      <c r="J134" s="4"/>
    </row>
    <row r="135" spans="1:10">
      <c r="A135" s="3"/>
      <c r="G135" s="1"/>
      <c r="H135" s="1"/>
      <c r="I135" s="4"/>
      <c r="J135" s="4"/>
    </row>
    <row r="136" spans="1:10">
      <c r="A136" s="3"/>
      <c r="G136" s="1"/>
      <c r="H136" s="1"/>
      <c r="I136" s="4"/>
      <c r="J136" s="4"/>
    </row>
    <row r="137" spans="1:10">
      <c r="A137" s="3"/>
      <c r="G137" s="1"/>
      <c r="H137" s="1"/>
      <c r="I137" s="4"/>
      <c r="J137" s="4"/>
    </row>
    <row r="138" spans="1:10">
      <c r="A138" s="3"/>
      <c r="G138" s="1"/>
      <c r="H138" s="1"/>
      <c r="I138" s="4"/>
      <c r="J138" s="4"/>
    </row>
    <row r="139" spans="1:10">
      <c r="A139" s="3"/>
      <c r="G139" s="1"/>
      <c r="H139" s="1"/>
      <c r="I139" s="4"/>
      <c r="J139" s="2"/>
    </row>
    <row r="140" spans="1:10">
      <c r="A140" s="3"/>
      <c r="G140" s="1"/>
      <c r="H140" s="1"/>
      <c r="I140" s="4"/>
      <c r="J140" s="2"/>
    </row>
    <row r="141" spans="1:10">
      <c r="A141" s="3"/>
      <c r="G141" s="1"/>
      <c r="H141" s="1"/>
      <c r="I141" s="4"/>
      <c r="J141" s="2"/>
    </row>
    <row r="142" spans="1:10">
      <c r="A142" s="3"/>
      <c r="G142" s="1"/>
      <c r="H142" s="1"/>
      <c r="I142" s="4"/>
      <c r="J142" s="2"/>
    </row>
    <row r="143" spans="1:10">
      <c r="A143" s="3"/>
      <c r="G143" s="1"/>
      <c r="H143" s="1"/>
      <c r="I143" s="4"/>
      <c r="J143" s="2"/>
    </row>
    <row r="144" spans="1:10">
      <c r="A144" s="3"/>
      <c r="G144" s="1"/>
      <c r="H144" s="1"/>
      <c r="I144" s="4"/>
      <c r="J144" s="2"/>
    </row>
    <row r="145" spans="1:10">
      <c r="A145" s="3"/>
      <c r="G145" s="1"/>
      <c r="H145" s="1"/>
      <c r="I145" s="4"/>
      <c r="J145" s="2"/>
    </row>
    <row r="146" spans="1:10">
      <c r="A146" s="3"/>
      <c r="G146" s="1"/>
      <c r="H146" s="1"/>
      <c r="I146" s="4"/>
      <c r="J146" s="2"/>
    </row>
    <row r="147" spans="1:10">
      <c r="A147" s="3"/>
      <c r="G147" s="1"/>
      <c r="H147" s="1"/>
      <c r="I147" s="4"/>
      <c r="J147" s="2"/>
    </row>
    <row r="148" spans="1:10">
      <c r="A148" s="3"/>
      <c r="G148" s="1"/>
      <c r="H148" s="1"/>
      <c r="I148" s="4"/>
      <c r="J148" s="2"/>
    </row>
    <row r="149" spans="1:10">
      <c r="A149" s="3"/>
      <c r="G149" s="1"/>
      <c r="H149" s="1"/>
      <c r="I149" s="4"/>
      <c r="J149" s="2"/>
    </row>
    <row r="150" spans="1:10">
      <c r="A150" s="3"/>
      <c r="G150" s="1"/>
      <c r="H150" s="1"/>
      <c r="I150" s="4"/>
      <c r="J150" s="2"/>
    </row>
    <row r="151" spans="1:10">
      <c r="A151" s="3"/>
      <c r="G151" s="1"/>
      <c r="H151" s="1"/>
      <c r="I151" s="4"/>
      <c r="J151" s="2"/>
    </row>
    <row r="152" spans="1:10">
      <c r="A152" s="3"/>
      <c r="G152" s="1"/>
      <c r="H152" s="1"/>
      <c r="I152" s="4"/>
      <c r="J152" s="2"/>
    </row>
    <row r="153" spans="1:10">
      <c r="A153" s="3"/>
      <c r="G153" s="1"/>
      <c r="H153" s="1"/>
      <c r="I153" s="4"/>
      <c r="J153" s="2"/>
    </row>
    <row r="154" spans="1:10">
      <c r="A154" s="3"/>
      <c r="G154" s="1"/>
      <c r="H154" s="1"/>
      <c r="I154" s="4"/>
      <c r="J154" s="2"/>
    </row>
    <row r="155" spans="1:10">
      <c r="A155" s="3"/>
      <c r="G155" s="1"/>
      <c r="H155" s="1"/>
      <c r="I155" s="4"/>
      <c r="J155" s="2"/>
    </row>
    <row r="156" spans="1:10">
      <c r="A156" s="3"/>
      <c r="G156" s="1"/>
      <c r="H156" s="1"/>
      <c r="I156" s="4"/>
      <c r="J156" s="2"/>
    </row>
    <row r="157" spans="1:10">
      <c r="A157" s="3"/>
      <c r="G157" s="1"/>
      <c r="H157" s="1"/>
      <c r="I157" s="4"/>
      <c r="J157" s="2"/>
    </row>
    <row r="158" spans="1:10">
      <c r="A158" s="3"/>
      <c r="G158" s="1"/>
      <c r="H158" s="1"/>
      <c r="I158" s="4"/>
      <c r="J158" s="2"/>
    </row>
    <row r="159" spans="1:10">
      <c r="A159" s="3"/>
      <c r="G159" s="1"/>
      <c r="H159" s="1"/>
      <c r="I159" s="4"/>
      <c r="J159" s="2"/>
    </row>
    <row r="160" spans="1:10">
      <c r="A160" s="3"/>
      <c r="G160" s="1"/>
      <c r="H160" s="1"/>
      <c r="I160" s="4"/>
      <c r="J160" s="2"/>
    </row>
    <row r="161" spans="1:10">
      <c r="A161" s="3"/>
      <c r="G161" s="1"/>
      <c r="H161" s="1"/>
      <c r="I161" s="4"/>
      <c r="J161" s="2"/>
    </row>
    <row r="162" spans="1:10">
      <c r="A162" s="3"/>
      <c r="G162" s="1"/>
      <c r="H162" s="1"/>
      <c r="I162" s="4"/>
      <c r="J162" s="2"/>
    </row>
    <row r="163" spans="1:10">
      <c r="A163" s="3"/>
      <c r="G163" s="1"/>
      <c r="H163" s="1"/>
      <c r="I163" s="4"/>
      <c r="J163" s="2"/>
    </row>
    <row r="164" spans="1:10">
      <c r="A164" s="3"/>
      <c r="G164" s="1"/>
      <c r="H164" s="1"/>
      <c r="I164" s="4"/>
      <c r="J164" s="2"/>
    </row>
    <row r="165" spans="1:10">
      <c r="A165" s="3"/>
      <c r="G165" s="1"/>
      <c r="H165" s="1"/>
      <c r="I165" s="4"/>
      <c r="J165" s="2"/>
    </row>
    <row r="166" spans="1:10">
      <c r="A166" s="3"/>
      <c r="G166" s="1"/>
      <c r="H166" s="1"/>
      <c r="I166" s="4"/>
      <c r="J166" s="2"/>
    </row>
    <row r="167" spans="1:10">
      <c r="A167" s="3"/>
      <c r="G167" s="1"/>
      <c r="H167" s="1"/>
      <c r="I167" s="4"/>
      <c r="J167" s="2"/>
    </row>
    <row r="168" spans="1:10">
      <c r="A168" s="3"/>
      <c r="G168" s="1"/>
      <c r="H168" s="1"/>
      <c r="I168" s="4"/>
      <c r="J168" s="2"/>
    </row>
    <row r="169" spans="1:10">
      <c r="A169" s="3"/>
      <c r="G169" s="1"/>
      <c r="H169" s="1"/>
      <c r="I169" s="4"/>
      <c r="J169" s="2"/>
    </row>
    <row r="170" spans="1:10">
      <c r="A170" s="3"/>
      <c r="G170" s="1"/>
      <c r="H170" s="1"/>
      <c r="I170" s="4"/>
      <c r="J170" s="2"/>
    </row>
    <row r="171" spans="1:10">
      <c r="A171" s="3"/>
      <c r="G171" s="1"/>
      <c r="H171" s="1"/>
      <c r="I171" s="4"/>
      <c r="J171" s="2"/>
    </row>
    <row r="172" spans="1:10">
      <c r="A172" s="3"/>
      <c r="G172" s="1"/>
      <c r="H172" s="1"/>
      <c r="I172" s="4"/>
      <c r="J172" s="2"/>
    </row>
    <row r="173" spans="1:10">
      <c r="A173" s="3"/>
      <c r="G173" s="1"/>
      <c r="H173" s="1"/>
      <c r="I173" s="4"/>
      <c r="J173" s="2"/>
    </row>
    <row r="174" spans="1:10">
      <c r="A174" s="3"/>
      <c r="G174" s="1"/>
      <c r="H174" s="1"/>
      <c r="I174" s="4"/>
      <c r="J174" s="2"/>
    </row>
    <row r="175" spans="1:10">
      <c r="A175" s="3"/>
      <c r="G175" s="1"/>
      <c r="H175" s="1"/>
      <c r="I175" s="4"/>
      <c r="J175" s="2"/>
    </row>
  </sheetData>
  <autoFilter ref="A1:T17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40"/>
  <sheetViews>
    <sheetView topLeftCell="D27" workbookViewId="0">
      <selection activeCell="G33" sqref="G33"/>
    </sheetView>
  </sheetViews>
  <sheetFormatPr defaultColWidth="11.42578125" defaultRowHeight="14.45"/>
  <cols>
    <col min="1" max="1" width="10.42578125" bestFit="1" customWidth="1"/>
    <col min="3" max="3" width="6.140625" bestFit="1" customWidth="1"/>
    <col min="6" max="6" width="55.140625" bestFit="1" customWidth="1"/>
    <col min="7" max="7" width="11" bestFit="1" customWidth="1"/>
    <col min="8" max="8" width="6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388</v>
      </c>
      <c r="H1" s="1" t="s">
        <v>389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45689</v>
      </c>
      <c r="B2" t="s">
        <v>538</v>
      </c>
      <c r="C2" t="s">
        <v>21</v>
      </c>
      <c r="D2" t="s">
        <v>100</v>
      </c>
      <c r="E2" t="s">
        <v>101</v>
      </c>
      <c r="F2" t="s">
        <v>539</v>
      </c>
      <c r="G2" s="1">
        <v>1963369</v>
      </c>
      <c r="H2" s="1">
        <v>0</v>
      </c>
      <c r="I2" s="4">
        <v>1963369</v>
      </c>
      <c r="J2" s="2" t="s">
        <v>24</v>
      </c>
      <c r="K2" t="s">
        <v>540</v>
      </c>
      <c r="L2" t="str">
        <f t="shared" ref="L2:L13" si="0">"401499"</f>
        <v>401499</v>
      </c>
      <c r="M2" t="str">
        <f t="shared" ref="M2:M40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45689</v>
      </c>
      <c r="B3" t="s">
        <v>541</v>
      </c>
      <c r="C3" t="s">
        <v>21</v>
      </c>
      <c r="D3" t="s">
        <v>100</v>
      </c>
      <c r="E3" t="s">
        <v>101</v>
      </c>
      <c r="F3" t="s">
        <v>542</v>
      </c>
      <c r="G3" s="1">
        <v>1681359</v>
      </c>
      <c r="H3" s="1">
        <v>0</v>
      </c>
      <c r="I3" s="4">
        <v>1681359</v>
      </c>
      <c r="J3" s="2" t="s">
        <v>24</v>
      </c>
      <c r="K3" t="s">
        <v>543</v>
      </c>
      <c r="L3" t="str">
        <f t="shared" si="0"/>
        <v>401499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45689</v>
      </c>
      <c r="B4" t="s">
        <v>544</v>
      </c>
      <c r="C4" t="s">
        <v>21</v>
      </c>
      <c r="D4" t="s">
        <v>100</v>
      </c>
      <c r="E4" t="s">
        <v>101</v>
      </c>
      <c r="F4" t="s">
        <v>545</v>
      </c>
      <c r="G4" s="1">
        <v>1219019</v>
      </c>
      <c r="H4" s="1">
        <v>0</v>
      </c>
      <c r="I4" s="4">
        <v>1219019</v>
      </c>
      <c r="J4" s="2" t="s">
        <v>24</v>
      </c>
      <c r="K4" t="s">
        <v>546</v>
      </c>
      <c r="L4" t="str">
        <f t="shared" si="0"/>
        <v>401499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45689</v>
      </c>
      <c r="B5" t="s">
        <v>547</v>
      </c>
      <c r="C5" t="s">
        <v>21</v>
      </c>
      <c r="D5" t="s">
        <v>100</v>
      </c>
      <c r="E5" t="s">
        <v>101</v>
      </c>
      <c r="F5" t="s">
        <v>548</v>
      </c>
      <c r="G5" s="1">
        <v>1535116</v>
      </c>
      <c r="H5" s="1">
        <v>0</v>
      </c>
      <c r="I5" s="4">
        <v>1535116</v>
      </c>
      <c r="J5" s="2" t="s">
        <v>24</v>
      </c>
      <c r="K5" t="s">
        <v>549</v>
      </c>
      <c r="L5" t="str">
        <f t="shared" si="0"/>
        <v>401499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45689</v>
      </c>
      <c r="B6" t="s">
        <v>550</v>
      </c>
      <c r="C6" t="s">
        <v>21</v>
      </c>
      <c r="D6" t="s">
        <v>100</v>
      </c>
      <c r="E6" t="s">
        <v>101</v>
      </c>
      <c r="F6" t="s">
        <v>551</v>
      </c>
      <c r="G6" s="1">
        <v>1402810</v>
      </c>
      <c r="H6" s="1">
        <v>0</v>
      </c>
      <c r="I6" s="4">
        <v>1402810</v>
      </c>
      <c r="J6" s="2" t="s">
        <v>24</v>
      </c>
      <c r="K6" t="s">
        <v>552</v>
      </c>
      <c r="L6" t="str">
        <f t="shared" si="0"/>
        <v>401499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45689</v>
      </c>
      <c r="B7" t="s">
        <v>553</v>
      </c>
      <c r="C7" t="s">
        <v>21</v>
      </c>
      <c r="D7" t="s">
        <v>100</v>
      </c>
      <c r="E7" t="s">
        <v>101</v>
      </c>
      <c r="F7" t="s">
        <v>554</v>
      </c>
      <c r="G7" s="1">
        <v>842029</v>
      </c>
      <c r="H7" s="1">
        <v>0</v>
      </c>
      <c r="I7" s="4">
        <v>842029</v>
      </c>
      <c r="J7" s="2" t="s">
        <v>24</v>
      </c>
      <c r="K7" t="s">
        <v>555</v>
      </c>
      <c r="L7" t="str">
        <f t="shared" si="0"/>
        <v>401499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45689</v>
      </c>
      <c r="B8" t="s">
        <v>556</v>
      </c>
      <c r="C8" t="s">
        <v>21</v>
      </c>
      <c r="D8" t="s">
        <v>100</v>
      </c>
      <c r="E8" t="s">
        <v>101</v>
      </c>
      <c r="F8" t="s">
        <v>557</v>
      </c>
      <c r="G8" s="1">
        <v>886965</v>
      </c>
      <c r="H8" s="1">
        <v>0</v>
      </c>
      <c r="I8" s="4">
        <v>886965</v>
      </c>
      <c r="J8" s="2" t="s">
        <v>24</v>
      </c>
      <c r="K8" t="s">
        <v>558</v>
      </c>
      <c r="L8" t="str">
        <f t="shared" si="0"/>
        <v>401499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45689</v>
      </c>
      <c r="B9" t="s">
        <v>559</v>
      </c>
      <c r="C9" t="s">
        <v>21</v>
      </c>
      <c r="D9" t="s">
        <v>100</v>
      </c>
      <c r="E9" t="s">
        <v>101</v>
      </c>
      <c r="F9" t="s">
        <v>560</v>
      </c>
      <c r="G9" s="1">
        <v>1066996</v>
      </c>
      <c r="H9" s="1">
        <v>0</v>
      </c>
      <c r="I9" s="4">
        <v>1066996</v>
      </c>
      <c r="J9" s="2" t="s">
        <v>24</v>
      </c>
      <c r="K9" t="s">
        <v>561</v>
      </c>
      <c r="L9" t="str">
        <f t="shared" si="0"/>
        <v>401499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45689</v>
      </c>
      <c r="B10" t="s">
        <v>562</v>
      </c>
      <c r="C10" t="s">
        <v>21</v>
      </c>
      <c r="D10" t="s">
        <v>100</v>
      </c>
      <c r="E10" t="s">
        <v>101</v>
      </c>
      <c r="F10" t="s">
        <v>563</v>
      </c>
      <c r="G10" s="1">
        <v>777020</v>
      </c>
      <c r="H10" s="1">
        <v>0</v>
      </c>
      <c r="I10" s="4">
        <v>777020</v>
      </c>
      <c r="J10" s="2" t="s">
        <v>24</v>
      </c>
      <c r="K10" t="s">
        <v>564</v>
      </c>
      <c r="L10" t="str">
        <f t="shared" si="0"/>
        <v>401499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45689</v>
      </c>
      <c r="B11" t="s">
        <v>565</v>
      </c>
      <c r="C11" t="s">
        <v>21</v>
      </c>
      <c r="D11" t="s">
        <v>100</v>
      </c>
      <c r="E11" t="s">
        <v>101</v>
      </c>
      <c r="F11" t="s">
        <v>566</v>
      </c>
      <c r="G11" s="1">
        <v>813927</v>
      </c>
      <c r="H11" s="1">
        <v>0</v>
      </c>
      <c r="I11" s="4">
        <v>813927</v>
      </c>
      <c r="J11" s="2" t="s">
        <v>24</v>
      </c>
      <c r="K11" t="s">
        <v>567</v>
      </c>
      <c r="L11" t="str">
        <f t="shared" si="0"/>
        <v>401499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45689</v>
      </c>
      <c r="B12" t="s">
        <v>568</v>
      </c>
      <c r="C12" t="s">
        <v>21</v>
      </c>
      <c r="D12" t="s">
        <v>100</v>
      </c>
      <c r="E12" t="s">
        <v>101</v>
      </c>
      <c r="F12" t="s">
        <v>569</v>
      </c>
      <c r="G12" s="1">
        <v>1212502</v>
      </c>
      <c r="H12" s="1">
        <v>0</v>
      </c>
      <c r="I12" s="4">
        <v>1212502</v>
      </c>
      <c r="J12" s="2" t="s">
        <v>24</v>
      </c>
      <c r="K12" t="s">
        <v>570</v>
      </c>
      <c r="L12" t="str">
        <f t="shared" si="0"/>
        <v>401499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45689</v>
      </c>
      <c r="B13" t="s">
        <v>571</v>
      </c>
      <c r="C13" t="s">
        <v>21</v>
      </c>
      <c r="D13" t="s">
        <v>100</v>
      </c>
      <c r="E13" t="s">
        <v>101</v>
      </c>
      <c r="F13" t="s">
        <v>572</v>
      </c>
      <c r="G13" s="1">
        <v>1259610</v>
      </c>
      <c r="H13" s="1">
        <v>0</v>
      </c>
      <c r="I13" s="4">
        <v>1259610</v>
      </c>
      <c r="J13" s="2" t="s">
        <v>24</v>
      </c>
      <c r="K13" t="s">
        <v>573</v>
      </c>
      <c r="L13" t="str">
        <f t="shared" si="0"/>
        <v>401499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45689</v>
      </c>
      <c r="B14" t="s">
        <v>574</v>
      </c>
      <c r="C14" t="s">
        <v>21</v>
      </c>
      <c r="D14" t="s">
        <v>100</v>
      </c>
      <c r="E14" t="s">
        <v>101</v>
      </c>
      <c r="F14" t="s">
        <v>575</v>
      </c>
      <c r="G14" s="1">
        <v>100061</v>
      </c>
      <c r="H14" s="1">
        <v>0</v>
      </c>
      <c r="I14" s="4">
        <v>100061</v>
      </c>
      <c r="J14" s="2" t="s">
        <v>24</v>
      </c>
      <c r="K14" t="s">
        <v>576</v>
      </c>
      <c r="L14" t="str">
        <f>"401699"</f>
        <v>401699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45689</v>
      </c>
      <c r="B15" t="s">
        <v>577</v>
      </c>
      <c r="C15" t="s">
        <v>21</v>
      </c>
      <c r="D15" t="s">
        <v>22</v>
      </c>
      <c r="E15" t="s">
        <v>22</v>
      </c>
      <c r="F15" t="s">
        <v>578</v>
      </c>
      <c r="G15" s="1">
        <v>-584649</v>
      </c>
      <c r="H15" s="1">
        <v>0</v>
      </c>
      <c r="I15" s="2">
        <v>-584649</v>
      </c>
      <c r="J15" s="2" t="s">
        <v>24</v>
      </c>
      <c r="K15" t="s">
        <v>579</v>
      </c>
      <c r="L15" t="str">
        <f t="shared" ref="L15:L22" si="2">"408101"</f>
        <v>408101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45689</v>
      </c>
      <c r="B16" t="s">
        <v>580</v>
      </c>
      <c r="C16" t="s">
        <v>21</v>
      </c>
      <c r="D16" t="s">
        <v>22</v>
      </c>
      <c r="E16" t="s">
        <v>22</v>
      </c>
      <c r="F16" t="s">
        <v>581</v>
      </c>
      <c r="G16" s="1">
        <v>-1114620</v>
      </c>
      <c r="H16" s="1">
        <v>0</v>
      </c>
      <c r="I16" s="2">
        <v>-1114620</v>
      </c>
      <c r="J16" s="2" t="s">
        <v>24</v>
      </c>
      <c r="K16" t="s">
        <v>582</v>
      </c>
      <c r="L16" t="str">
        <f t="shared" si="2"/>
        <v>408101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45689</v>
      </c>
      <c r="B17" t="s">
        <v>583</v>
      </c>
      <c r="C17" t="s">
        <v>21</v>
      </c>
      <c r="D17" t="s">
        <v>22</v>
      </c>
      <c r="E17" t="s">
        <v>22</v>
      </c>
      <c r="F17" t="s">
        <v>584</v>
      </c>
      <c r="G17" s="1">
        <v>-1034674</v>
      </c>
      <c r="H17" s="1">
        <v>0</v>
      </c>
      <c r="I17" s="2">
        <v>-1034674</v>
      </c>
      <c r="J17" s="2" t="s">
        <v>24</v>
      </c>
      <c r="K17" t="s">
        <v>585</v>
      </c>
      <c r="L17" t="str">
        <f t="shared" si="2"/>
        <v>408101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45689</v>
      </c>
      <c r="B18" t="s">
        <v>586</v>
      </c>
      <c r="C18" t="s">
        <v>21</v>
      </c>
      <c r="D18" t="s">
        <v>22</v>
      </c>
      <c r="E18" t="s">
        <v>22</v>
      </c>
      <c r="F18" t="s">
        <v>587</v>
      </c>
      <c r="G18" s="1">
        <v>-5739624</v>
      </c>
      <c r="H18" s="1">
        <v>0</v>
      </c>
      <c r="I18" s="2">
        <v>-5739624</v>
      </c>
      <c r="J18" s="2" t="s">
        <v>24</v>
      </c>
      <c r="K18" t="s">
        <v>588</v>
      </c>
      <c r="L18" t="str">
        <f t="shared" si="2"/>
        <v>408101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45689</v>
      </c>
      <c r="B19" t="s">
        <v>589</v>
      </c>
      <c r="C19" t="s">
        <v>21</v>
      </c>
      <c r="D19" t="s">
        <v>22</v>
      </c>
      <c r="E19" t="s">
        <v>22</v>
      </c>
      <c r="F19" t="s">
        <v>590</v>
      </c>
      <c r="G19" s="1">
        <v>-28163591</v>
      </c>
      <c r="H19" s="1">
        <v>0</v>
      </c>
      <c r="I19" s="2">
        <v>-28163591</v>
      </c>
      <c r="J19" s="2" t="s">
        <v>24</v>
      </c>
      <c r="K19" t="s">
        <v>591</v>
      </c>
      <c r="L19" t="str">
        <f t="shared" si="2"/>
        <v>408101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45689</v>
      </c>
      <c r="B20" t="s">
        <v>589</v>
      </c>
      <c r="C20" t="s">
        <v>21</v>
      </c>
      <c r="D20" t="s">
        <v>22</v>
      </c>
      <c r="E20" t="s">
        <v>22</v>
      </c>
      <c r="F20" t="s">
        <v>592</v>
      </c>
      <c r="G20" s="1">
        <v>-1484090</v>
      </c>
      <c r="H20" s="1">
        <v>0</v>
      </c>
      <c r="I20" s="2">
        <v>-1484090</v>
      </c>
      <c r="J20" s="2" t="s">
        <v>24</v>
      </c>
      <c r="K20" t="s">
        <v>591</v>
      </c>
      <c r="L20" t="str">
        <f t="shared" si="2"/>
        <v>408101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45689</v>
      </c>
      <c r="B21" t="s">
        <v>589</v>
      </c>
      <c r="C21" t="s">
        <v>21</v>
      </c>
      <c r="D21" t="s">
        <v>22</v>
      </c>
      <c r="E21" t="s">
        <v>22</v>
      </c>
      <c r="F21" t="s">
        <v>378</v>
      </c>
      <c r="G21" s="1">
        <v>-246750</v>
      </c>
      <c r="H21" s="1">
        <v>0</v>
      </c>
      <c r="I21" s="2">
        <v>-246750</v>
      </c>
      <c r="J21" s="2" t="s">
        <v>24</v>
      </c>
      <c r="K21" t="s">
        <v>591</v>
      </c>
      <c r="L21" t="str">
        <f t="shared" si="2"/>
        <v>408101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45689</v>
      </c>
      <c r="B22" t="s">
        <v>593</v>
      </c>
      <c r="C22" t="s">
        <v>21</v>
      </c>
      <c r="D22" t="s">
        <v>22</v>
      </c>
      <c r="E22" t="s">
        <v>22</v>
      </c>
      <c r="F22" t="s">
        <v>594</v>
      </c>
      <c r="G22" s="1">
        <v>-27353809</v>
      </c>
      <c r="H22" s="1">
        <v>0</v>
      </c>
      <c r="I22" s="2">
        <v>-27353809</v>
      </c>
      <c r="J22" s="2" t="s">
        <v>24</v>
      </c>
      <c r="K22" t="s">
        <v>595</v>
      </c>
      <c r="L22" t="str">
        <f t="shared" si="2"/>
        <v>408101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45689</v>
      </c>
      <c r="B23" t="s">
        <v>596</v>
      </c>
      <c r="C23" t="s">
        <v>21</v>
      </c>
      <c r="D23" t="s">
        <v>22</v>
      </c>
      <c r="E23" t="s">
        <v>22</v>
      </c>
      <c r="F23" t="s">
        <v>597</v>
      </c>
      <c r="G23" s="1">
        <v>-1907575</v>
      </c>
      <c r="H23" s="1">
        <v>0</v>
      </c>
      <c r="I23" s="2">
        <v>-1907575</v>
      </c>
      <c r="J23" s="2" t="s">
        <v>24</v>
      </c>
      <c r="K23" t="s">
        <v>598</v>
      </c>
      <c r="L23" t="str">
        <f>"408870"</f>
        <v>408870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45691</v>
      </c>
      <c r="B24" t="s">
        <v>599</v>
      </c>
      <c r="C24" t="s">
        <v>21</v>
      </c>
      <c r="D24" t="s">
        <v>100</v>
      </c>
      <c r="E24" t="s">
        <v>101</v>
      </c>
      <c r="F24" t="s">
        <v>600</v>
      </c>
      <c r="G24" s="1">
        <v>1005425</v>
      </c>
      <c r="H24" s="1">
        <v>0</v>
      </c>
      <c r="I24" s="4">
        <v>1005425</v>
      </c>
      <c r="J24" s="2" t="s">
        <v>24</v>
      </c>
      <c r="K24" t="s">
        <v>601</v>
      </c>
      <c r="L24" t="str">
        <f>"401729"</f>
        <v>401729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45693</v>
      </c>
      <c r="B25" t="s">
        <v>602</v>
      </c>
      <c r="C25" t="s">
        <v>21</v>
      </c>
      <c r="D25" t="s">
        <v>100</v>
      </c>
      <c r="E25" t="s">
        <v>101</v>
      </c>
      <c r="F25" t="s">
        <v>603</v>
      </c>
      <c r="G25" s="1">
        <v>1170994</v>
      </c>
      <c r="H25" s="1">
        <v>0</v>
      </c>
      <c r="I25" s="4">
        <v>1170994</v>
      </c>
      <c r="J25" s="2" t="s">
        <v>24</v>
      </c>
      <c r="K25" t="s">
        <v>604</v>
      </c>
      <c r="L25" t="str">
        <f>"401999"</f>
        <v>401999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45695</v>
      </c>
      <c r="B26" t="s">
        <v>605</v>
      </c>
      <c r="C26" t="s">
        <v>21</v>
      </c>
      <c r="D26" t="s">
        <v>100</v>
      </c>
      <c r="E26" t="s">
        <v>101</v>
      </c>
      <c r="F26" t="s">
        <v>606</v>
      </c>
      <c r="G26" s="1">
        <v>568610</v>
      </c>
      <c r="H26" s="1">
        <v>0</v>
      </c>
      <c r="I26" s="4">
        <v>568610</v>
      </c>
      <c r="J26" s="2" t="s">
        <v>24</v>
      </c>
      <c r="K26" t="s">
        <v>607</v>
      </c>
      <c r="L26" t="str">
        <f>"401170"</f>
        <v>401170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45698</v>
      </c>
      <c r="B27" t="s">
        <v>608</v>
      </c>
      <c r="C27" t="s">
        <v>21</v>
      </c>
      <c r="D27" t="s">
        <v>100</v>
      </c>
      <c r="E27" t="s">
        <v>101</v>
      </c>
      <c r="F27" t="s">
        <v>609</v>
      </c>
      <c r="G27" s="1">
        <v>74589</v>
      </c>
      <c r="H27" s="1">
        <v>0</v>
      </c>
      <c r="I27" s="4">
        <v>74589</v>
      </c>
      <c r="J27" s="2" t="s">
        <v>24</v>
      </c>
      <c r="K27" t="s">
        <v>610</v>
      </c>
      <c r="L27" t="str">
        <f>"401699"</f>
        <v>401699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45698</v>
      </c>
      <c r="B28" t="s">
        <v>611</v>
      </c>
      <c r="C28" t="s">
        <v>21</v>
      </c>
      <c r="D28" t="s">
        <v>100</v>
      </c>
      <c r="E28" t="s">
        <v>101</v>
      </c>
      <c r="F28" t="s">
        <v>612</v>
      </c>
      <c r="G28" s="1">
        <v>3148220</v>
      </c>
      <c r="H28" s="1">
        <v>0</v>
      </c>
      <c r="I28" s="4">
        <v>3148220</v>
      </c>
      <c r="J28" s="2" t="s">
        <v>24</v>
      </c>
      <c r="K28" t="s">
        <v>613</v>
      </c>
      <c r="L28" t="str">
        <f>"401699"</f>
        <v>401699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45707</v>
      </c>
      <c r="B29" t="s">
        <v>614</v>
      </c>
      <c r="C29" t="s">
        <v>21</v>
      </c>
      <c r="D29" t="s">
        <v>100</v>
      </c>
      <c r="E29" t="s">
        <v>101</v>
      </c>
      <c r="F29" t="s">
        <v>615</v>
      </c>
      <c r="G29" s="1">
        <v>328617</v>
      </c>
      <c r="H29" s="1">
        <v>0</v>
      </c>
      <c r="I29" s="4">
        <v>328617</v>
      </c>
      <c r="J29" s="2" t="s">
        <v>24</v>
      </c>
      <c r="K29" t="s">
        <v>616</v>
      </c>
      <c r="L29" t="str">
        <f>"401699"</f>
        <v>401699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45707</v>
      </c>
      <c r="B30" t="s">
        <v>617</v>
      </c>
      <c r="C30" t="s">
        <v>21</v>
      </c>
      <c r="D30" t="s">
        <v>100</v>
      </c>
      <c r="E30" t="s">
        <v>101</v>
      </c>
      <c r="F30" t="s">
        <v>618</v>
      </c>
      <c r="G30" s="1">
        <v>22208536</v>
      </c>
      <c r="H30" s="1">
        <v>0</v>
      </c>
      <c r="I30" s="4">
        <v>22208536</v>
      </c>
      <c r="J30" s="2" t="s">
        <v>24</v>
      </c>
      <c r="K30" t="s">
        <v>619</v>
      </c>
      <c r="L30" t="str">
        <f>"401699"</f>
        <v>401699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45716</v>
      </c>
      <c r="B31" t="s">
        <v>620</v>
      </c>
      <c r="C31" t="s">
        <v>21</v>
      </c>
      <c r="D31" t="s">
        <v>239</v>
      </c>
      <c r="E31" t="s">
        <v>239</v>
      </c>
      <c r="F31" t="s">
        <v>621</v>
      </c>
      <c r="G31" s="1">
        <v>557310</v>
      </c>
      <c r="H31" s="1">
        <v>0</v>
      </c>
      <c r="I31" s="4">
        <v>557310</v>
      </c>
      <c r="J31" s="2" t="s">
        <v>24</v>
      </c>
      <c r="K31" t="s">
        <v>622</v>
      </c>
      <c r="L31" t="str">
        <f t="shared" ref="L31:L36" si="3">"408101"</f>
        <v>408101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45716</v>
      </c>
      <c r="B32" t="s">
        <v>623</v>
      </c>
      <c r="C32" t="s">
        <v>21</v>
      </c>
      <c r="D32" t="s">
        <v>239</v>
      </c>
      <c r="E32" t="s">
        <v>239</v>
      </c>
      <c r="F32" t="s">
        <v>624</v>
      </c>
      <c r="G32" s="1">
        <v>0</v>
      </c>
      <c r="H32" s="1">
        <v>0</v>
      </c>
      <c r="I32" s="1">
        <v>0</v>
      </c>
      <c r="J32" s="2" t="s">
        <v>24</v>
      </c>
      <c r="K32" t="s">
        <v>625</v>
      </c>
      <c r="L32" t="str">
        <f t="shared" si="3"/>
        <v>408101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45716</v>
      </c>
      <c r="B33" t="s">
        <v>626</v>
      </c>
      <c r="C33" t="s">
        <v>21</v>
      </c>
      <c r="D33" t="s">
        <v>239</v>
      </c>
      <c r="E33" t="s">
        <v>239</v>
      </c>
      <c r="F33" t="s">
        <v>627</v>
      </c>
      <c r="G33" s="1">
        <v>11479248</v>
      </c>
      <c r="H33" s="1">
        <v>0</v>
      </c>
      <c r="I33" s="4">
        <v>11479248</v>
      </c>
      <c r="J33" s="2" t="s">
        <v>24</v>
      </c>
      <c r="K33" t="s">
        <v>628</v>
      </c>
      <c r="L33" t="str">
        <f t="shared" si="3"/>
        <v>408101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45716</v>
      </c>
      <c r="B34" t="s">
        <v>629</v>
      </c>
      <c r="C34" t="s">
        <v>21</v>
      </c>
      <c r="D34" t="s">
        <v>239</v>
      </c>
      <c r="E34" t="s">
        <v>239</v>
      </c>
      <c r="F34" t="s">
        <v>630</v>
      </c>
      <c r="G34" s="1">
        <v>28163591</v>
      </c>
      <c r="H34" s="1">
        <v>0</v>
      </c>
      <c r="I34" s="4">
        <v>28163591</v>
      </c>
      <c r="J34" s="2" t="s">
        <v>24</v>
      </c>
      <c r="K34" t="s">
        <v>631</v>
      </c>
      <c r="L34" t="str">
        <f t="shared" si="3"/>
        <v>408101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  <row r="35" spans="1:18">
      <c r="A35" s="3">
        <v>45716</v>
      </c>
      <c r="B35" t="s">
        <v>629</v>
      </c>
      <c r="C35" t="s">
        <v>21</v>
      </c>
      <c r="D35" t="s">
        <v>239</v>
      </c>
      <c r="E35" t="s">
        <v>239</v>
      </c>
      <c r="F35" t="s">
        <v>376</v>
      </c>
      <c r="G35" s="1">
        <v>1562200</v>
      </c>
      <c r="H35" s="1">
        <v>0</v>
      </c>
      <c r="I35" s="4">
        <v>1562200</v>
      </c>
      <c r="J35" t="s">
        <v>377</v>
      </c>
      <c r="K35" t="s">
        <v>631</v>
      </c>
      <c r="L35" t="str">
        <f t="shared" si="3"/>
        <v>408101</v>
      </c>
      <c r="M35" t="str">
        <f t="shared" si="1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45716</v>
      </c>
      <c r="B36" t="s">
        <v>629</v>
      </c>
      <c r="C36" t="s">
        <v>21</v>
      </c>
      <c r="D36" t="s">
        <v>239</v>
      </c>
      <c r="E36" t="s">
        <v>239</v>
      </c>
      <c r="F36" t="s">
        <v>632</v>
      </c>
      <c r="G36" s="1">
        <v>246750</v>
      </c>
      <c r="H36" s="1">
        <v>0</v>
      </c>
      <c r="I36" s="4">
        <v>246750</v>
      </c>
      <c r="J36" s="2" t="s">
        <v>24</v>
      </c>
      <c r="K36" t="s">
        <v>631</v>
      </c>
      <c r="L36" t="str">
        <f t="shared" si="3"/>
        <v>408101</v>
      </c>
      <c r="M36" t="str">
        <f t="shared" si="1"/>
        <v>001</v>
      </c>
      <c r="O36" t="s">
        <v>26</v>
      </c>
      <c r="P36">
        <v>2</v>
      </c>
      <c r="Q36">
        <v>1</v>
      </c>
      <c r="R36">
        <v>1</v>
      </c>
    </row>
    <row r="37" spans="1:18">
      <c r="A37" s="3">
        <v>45716</v>
      </c>
      <c r="B37" t="s">
        <v>633</v>
      </c>
      <c r="C37" t="s">
        <v>21</v>
      </c>
      <c r="D37" t="s">
        <v>239</v>
      </c>
      <c r="E37" t="s">
        <v>239</v>
      </c>
      <c r="F37" t="s">
        <v>634</v>
      </c>
      <c r="G37" s="1">
        <v>1960104</v>
      </c>
      <c r="H37" s="1">
        <v>0</v>
      </c>
      <c r="I37" s="4">
        <v>1960104</v>
      </c>
      <c r="J37" t="s">
        <v>377</v>
      </c>
      <c r="K37" t="s">
        <v>635</v>
      </c>
      <c r="L37" t="str">
        <f>"408950"</f>
        <v>408950</v>
      </c>
      <c r="M37" t="str">
        <f t="shared" si="1"/>
        <v>001</v>
      </c>
      <c r="O37" t="s">
        <v>26</v>
      </c>
      <c r="P37">
        <v>2</v>
      </c>
      <c r="Q37">
        <v>1</v>
      </c>
      <c r="R37">
        <v>1</v>
      </c>
    </row>
    <row r="38" spans="1:18">
      <c r="A38" s="3">
        <v>45716</v>
      </c>
      <c r="B38" t="s">
        <v>636</v>
      </c>
      <c r="C38" t="s">
        <v>21</v>
      </c>
      <c r="D38" t="s">
        <v>239</v>
      </c>
      <c r="E38" t="s">
        <v>239</v>
      </c>
      <c r="F38" t="s">
        <v>637</v>
      </c>
      <c r="G38" s="1">
        <v>2350792</v>
      </c>
      <c r="H38" s="1">
        <v>0</v>
      </c>
      <c r="I38" s="4">
        <v>2350792</v>
      </c>
      <c r="J38" t="s">
        <v>377</v>
      </c>
      <c r="K38" t="s">
        <v>638</v>
      </c>
      <c r="L38" t="str">
        <f>"408870"</f>
        <v>408870</v>
      </c>
      <c r="M38" t="str">
        <f t="shared" si="1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45716</v>
      </c>
      <c r="B39" t="s">
        <v>639</v>
      </c>
      <c r="C39" t="s">
        <v>21</v>
      </c>
      <c r="D39" t="s">
        <v>239</v>
      </c>
      <c r="E39" t="s">
        <v>239</v>
      </c>
      <c r="F39" t="s">
        <v>640</v>
      </c>
      <c r="G39" s="1">
        <v>2180986</v>
      </c>
      <c r="H39" s="1">
        <v>0</v>
      </c>
      <c r="I39" s="4">
        <v>2180986</v>
      </c>
      <c r="J39" s="2" t="s">
        <v>24</v>
      </c>
      <c r="K39" t="s">
        <v>641</v>
      </c>
      <c r="L39" t="str">
        <f>"408101"</f>
        <v>408101</v>
      </c>
      <c r="M39" t="str">
        <f t="shared" si="1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45716</v>
      </c>
      <c r="B40" t="s">
        <v>642</v>
      </c>
      <c r="C40" t="s">
        <v>21</v>
      </c>
      <c r="D40" t="s">
        <v>239</v>
      </c>
      <c r="E40" t="s">
        <v>239</v>
      </c>
      <c r="F40" t="s">
        <v>643</v>
      </c>
      <c r="G40" s="1">
        <v>819075</v>
      </c>
      <c r="H40" s="1">
        <v>0</v>
      </c>
      <c r="I40" s="4">
        <v>819075</v>
      </c>
      <c r="J40" s="2" t="s">
        <v>24</v>
      </c>
      <c r="K40" t="s">
        <v>644</v>
      </c>
      <c r="L40" t="str">
        <f>"408101"</f>
        <v>408101</v>
      </c>
      <c r="M40" t="str">
        <f t="shared" si="1"/>
        <v>001</v>
      </c>
      <c r="O40" t="s">
        <v>26</v>
      </c>
      <c r="P40">
        <v>2</v>
      </c>
      <c r="Q40">
        <v>1</v>
      </c>
      <c r="R4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tabSelected="1" workbookViewId="0">
      <selection activeCell="C4" sqref="C4"/>
    </sheetView>
  </sheetViews>
  <sheetFormatPr defaultColWidth="11.42578125" defaultRowHeight="14.45"/>
  <cols>
    <col min="2" max="4" width="12.28515625" bestFit="1" customWidth="1"/>
    <col min="5" max="5" width="13.7109375" bestFit="1" customWidth="1"/>
    <col min="6" max="6" width="12.28515625" bestFit="1" customWidth="1"/>
    <col min="7" max="7" width="11.28515625" bestFit="1" customWidth="1"/>
    <col min="8" max="12" width="12.28515625" bestFit="1" customWidth="1"/>
    <col min="13" max="13" width="13.7109375" bestFit="1" customWidth="1"/>
  </cols>
  <sheetData>
    <row r="1" spans="1:13" ht="15.6">
      <c r="A1" s="5" t="s">
        <v>645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>
      <c r="A2" t="s">
        <v>248</v>
      </c>
      <c r="B2" s="1">
        <f>SUMIFS('632200 01 25'!$I:$I,'632200 01 25'!$J:$J,$A2)</f>
        <v>22956492</v>
      </c>
      <c r="C2" s="1">
        <f>SUMIFS('632200 02 25'!$I:$I,'632200 02 25'!$J:$J,$A2)</f>
        <v>8813560</v>
      </c>
    </row>
    <row r="3" spans="1:13">
      <c r="A3" t="s">
        <v>646</v>
      </c>
      <c r="B3" s="1">
        <f>SUMIFS('632200 01 25'!$I:$I,'632200 01 25'!$J:$J,$A3)</f>
        <v>0</v>
      </c>
      <c r="C3" s="1">
        <f>SUMIFS('632200 02 25'!$I:$I,'632200 02 25'!$J:$J,$A3)</f>
        <v>0</v>
      </c>
    </row>
    <row r="4" spans="1:13">
      <c r="A4" t="s">
        <v>24</v>
      </c>
      <c r="B4" s="1">
        <f>SUMIFS('632200 01 25'!$I:$I,'632200 01 25'!$J:$J,$A4)</f>
        <v>472252242</v>
      </c>
      <c r="C4" s="1">
        <f>SUMIFS('632200 02 25'!$I:$I,'632200 02 25'!$J:$J,$A4)</f>
        <v>473016966</v>
      </c>
    </row>
    <row r="5" spans="1:13">
      <c r="A5" t="s">
        <v>647</v>
      </c>
      <c r="B5" s="1">
        <f>SUMIFS('632200 01 25'!$I:$I,'632200 01 25'!$J:$J,$A5)</f>
        <v>0</v>
      </c>
      <c r="C5" s="1">
        <f>SUMIFS('632200 02 25'!$I:$I,'632200 02 25'!$J:$J,$A5)</f>
        <v>0</v>
      </c>
    </row>
    <row r="11" spans="1:13" ht="15.6">
      <c r="A11" s="7">
        <v>605731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>
      <c r="A12" t="s">
        <v>646</v>
      </c>
      <c r="B12" s="1">
        <f>SUMIFS('605731 01 25'!$I:$I,'605731 01 25'!$J:$J,$A12)</f>
        <v>0</v>
      </c>
      <c r="C12" s="1">
        <f>SUMIFS('605731 02 25'!$I:$I,'605731 02 25'!$J:$J,$A12)</f>
        <v>0</v>
      </c>
    </row>
    <row r="13" spans="1:13">
      <c r="A13" t="s">
        <v>377</v>
      </c>
      <c r="B13" s="1">
        <f>SUMIFS('605731 01 25'!$I:$I,'605731 01 25'!$J:$J,$A13)</f>
        <v>4889057</v>
      </c>
      <c r="C13" s="1">
        <f>SUMIFS('605731 02 25'!$I:$I,'605731 02 25'!$J:$J,$A13)</f>
        <v>5873096</v>
      </c>
      <c r="K13" s="1"/>
      <c r="L13" s="1"/>
      <c r="M13" s="1"/>
    </row>
    <row r="14" spans="1:13">
      <c r="A14" t="s">
        <v>24</v>
      </c>
      <c r="B14" s="1">
        <f>SUMIFS('605731 01 25'!$I:$I,'605731 01 25'!$J:$J,$A14)</f>
        <v>31695007</v>
      </c>
      <c r="C14" s="1">
        <f>SUMIFS('605731 02 25'!$I:$I,'605731 02 25'!$J:$J,$A14)</f>
        <v>19083352</v>
      </c>
      <c r="K14" s="1"/>
      <c r="L14" s="1"/>
      <c r="M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Yuvraj Soni</cp:lastModifiedBy>
  <cp:revision/>
  <dcterms:created xsi:type="dcterms:W3CDTF">2015-06-05T18:19:34Z</dcterms:created>
  <dcterms:modified xsi:type="dcterms:W3CDTF">2025-04-22T15:49:15Z</dcterms:modified>
  <cp:category/>
  <cp:contentStatus/>
</cp:coreProperties>
</file>