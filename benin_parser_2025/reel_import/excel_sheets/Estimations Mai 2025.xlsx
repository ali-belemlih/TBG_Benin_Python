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E917286-60AD-4452-AA1A-5111F87EADB6}" xr6:coauthVersionLast="47" xr6:coauthVersionMax="47" xr10:uidLastSave="{00000000-0000-0000-0000-000000000000}"/>
  <bookViews>
    <workbookView xWindow="-108" yWindow="-108" windowWidth="23256" windowHeight="13896" firstSheet="2" activeTab="2" xr2:uid="{5A5A5507-7DED-4C38-9EFA-A4ECD14F21A6}"/>
  </bookViews>
  <sheets>
    <sheet name="RECAP " sheetId="6" r:id="rId1"/>
    <sheet name="TRAFIC&amp;REVENU DETAILS" sheetId="7" r:id="rId2"/>
    <sheet name="RECAP" sheetId="52" r:id="rId3"/>
    <sheet name="ICT" sheetId="44" r:id="rId4"/>
    <sheet name="ROAMING IN " sheetId="45" r:id="rId5"/>
    <sheet name="ROAMING OUT" sheetId="46" r:id="rId6"/>
    <sheet name="MTC" sheetId="47" r:id="rId7"/>
    <sheet name="Current Month-Summary" sheetId="48" r:id="rId8"/>
    <sheet name="Current Month-Summary (2)" sheetId="49" r:id="rId9"/>
    <sheet name="REVENU" sheetId="50" r:id="rId10"/>
    <sheet name="SMS A2P" sheetId="51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7">#REF!</definedName>
    <definedName name="_xlnm._FilterDatabase" localSheetId="8">#REF!</definedName>
    <definedName name="_xlnm._FilterDatabase" localSheetId="2">#REF!</definedName>
    <definedName name="_xlnm._FilterDatabas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7" l="1"/>
  <c r="G88" i="52" l="1"/>
  <c r="F88" i="52"/>
  <c r="D88" i="52"/>
  <c r="C88" i="52"/>
  <c r="E91" i="52" s="1"/>
  <c r="G87" i="52"/>
  <c r="F87" i="52"/>
  <c r="D87" i="52"/>
  <c r="C87" i="52"/>
  <c r="G86" i="52"/>
  <c r="F86" i="52"/>
  <c r="D86" i="52"/>
  <c r="C86" i="52"/>
  <c r="G85" i="52"/>
  <c r="F85" i="52"/>
  <c r="D85" i="52"/>
  <c r="C85" i="52"/>
  <c r="AF84" i="52"/>
  <c r="AH84" i="52" s="1"/>
  <c r="D79" i="52"/>
  <c r="F78" i="52"/>
  <c r="E78" i="52"/>
  <c r="G78" i="52" s="1"/>
  <c r="H78" i="52" s="1"/>
  <c r="D78" i="52"/>
  <c r="B78" i="52"/>
  <c r="F77" i="52"/>
  <c r="F80" i="52" s="1"/>
  <c r="E77" i="52"/>
  <c r="G77" i="52" s="1"/>
  <c r="G80" i="52" s="1"/>
  <c r="D77" i="52"/>
  <c r="C77" i="52"/>
  <c r="B77" i="52"/>
  <c r="B76" i="52"/>
  <c r="L69" i="52"/>
  <c r="F69" i="52" s="1"/>
  <c r="G69" i="52" s="1"/>
  <c r="K69" i="52"/>
  <c r="C69" i="52" s="1"/>
  <c r="D69" i="52" s="1"/>
  <c r="H69" i="52" s="1"/>
  <c r="H68" i="52"/>
  <c r="B68" i="52"/>
  <c r="H67" i="52"/>
  <c r="H66" i="52"/>
  <c r="H65" i="52"/>
  <c r="H64" i="52"/>
  <c r="H63" i="52"/>
  <c r="F63" i="52"/>
  <c r="H62" i="52"/>
  <c r="F62" i="52"/>
  <c r="H61" i="52"/>
  <c r="F61" i="52"/>
  <c r="O60" i="52"/>
  <c r="H60" i="52"/>
  <c r="N59" i="52"/>
  <c r="H57" i="52"/>
  <c r="Q56" i="52"/>
  <c r="H56" i="52"/>
  <c r="F56" i="52"/>
  <c r="L54" i="52"/>
  <c r="K54" i="52"/>
  <c r="D54" i="52" s="1"/>
  <c r="G54" i="52"/>
  <c r="L53" i="52"/>
  <c r="K53" i="52"/>
  <c r="N52" i="52"/>
  <c r="O52" i="52" s="1"/>
  <c r="D52" i="52"/>
  <c r="H52" i="52" s="1"/>
  <c r="L51" i="52"/>
  <c r="K51" i="52"/>
  <c r="G50" i="52"/>
  <c r="B50" i="52"/>
  <c r="L49" i="52"/>
  <c r="K49" i="52"/>
  <c r="H49" i="52"/>
  <c r="L47" i="52"/>
  <c r="K47" i="52"/>
  <c r="D46" i="52"/>
  <c r="H46" i="52" s="1"/>
  <c r="B45" i="52"/>
  <c r="N45" i="52" s="1"/>
  <c r="O45" i="52" s="1"/>
  <c r="B44" i="52"/>
  <c r="C43" i="52"/>
  <c r="T43" i="52" s="1"/>
  <c r="B43" i="52"/>
  <c r="N43" i="52" s="1"/>
  <c r="O43" i="52" s="1"/>
  <c r="G42" i="52"/>
  <c r="B42" i="52"/>
  <c r="N41" i="52"/>
  <c r="O41" i="52" s="1"/>
  <c r="E41" i="52"/>
  <c r="D41" i="52"/>
  <c r="H41" i="52" s="1"/>
  <c r="E31" i="52"/>
  <c r="G31" i="52" s="1"/>
  <c r="B31" i="52"/>
  <c r="D31" i="52" s="1"/>
  <c r="E30" i="52"/>
  <c r="G30" i="52" s="1"/>
  <c r="C30" i="52"/>
  <c r="B30" i="52"/>
  <c r="E29" i="52"/>
  <c r="G29" i="52" s="1"/>
  <c r="B29" i="52"/>
  <c r="E26" i="52"/>
  <c r="B26" i="52"/>
  <c r="E25" i="52"/>
  <c r="B25" i="52"/>
  <c r="E24" i="52"/>
  <c r="B24" i="52"/>
  <c r="F19" i="52"/>
  <c r="G19" i="52" s="1"/>
  <c r="C19" i="52"/>
  <c r="D19" i="52" s="1"/>
  <c r="F18" i="52"/>
  <c r="F20" i="52" s="1"/>
  <c r="E18" i="52"/>
  <c r="C18" i="52"/>
  <c r="D18" i="52" s="1"/>
  <c r="G15" i="52"/>
  <c r="D15" i="52"/>
  <c r="H14" i="52"/>
  <c r="H13" i="52"/>
  <c r="H15" i="52" s="1"/>
  <c r="H12" i="52"/>
  <c r="L70" i="52" l="1"/>
  <c r="G89" i="52"/>
  <c r="D30" i="52"/>
  <c r="D43" i="52"/>
  <c r="H43" i="52" s="1"/>
  <c r="G32" i="52"/>
  <c r="G18" i="52"/>
  <c r="G20" i="52" s="1"/>
  <c r="D89" i="52"/>
  <c r="K70" i="52"/>
  <c r="H54" i="52"/>
  <c r="D20" i="52"/>
  <c r="D45" i="52"/>
  <c r="H45" i="52" s="1"/>
  <c r="H77" i="52"/>
  <c r="C20" i="52"/>
  <c r="H18" i="52" l="1"/>
  <c r="H20" i="52" s="1"/>
  <c r="F65" i="7" l="1"/>
  <c r="F64" i="7"/>
  <c r="F63" i="7"/>
  <c r="F62" i="7"/>
  <c r="F61" i="7"/>
  <c r="F56" i="7"/>
  <c r="G50" i="7"/>
  <c r="F49" i="7"/>
  <c r="G42" i="7"/>
  <c r="F42" i="7"/>
  <c r="C69" i="7"/>
  <c r="C64" i="7"/>
  <c r="C56" i="7"/>
  <c r="F78" i="7"/>
  <c r="F77" i="7"/>
  <c r="C55" i="7"/>
  <c r="C53" i="7"/>
  <c r="C51" i="7"/>
  <c r="C43" i="7"/>
  <c r="C42" i="7"/>
  <c r="G88" i="7"/>
  <c r="F88" i="7"/>
  <c r="G87" i="7"/>
  <c r="F87" i="7"/>
  <c r="G86" i="7"/>
  <c r="F86" i="7"/>
  <c r="G85" i="7"/>
  <c r="F85" i="7"/>
  <c r="D88" i="7"/>
  <c r="C88" i="7"/>
  <c r="D87" i="7"/>
  <c r="C87" i="7"/>
  <c r="D86" i="7"/>
  <c r="C86" i="7"/>
  <c r="D85" i="7"/>
  <c r="C85" i="7"/>
  <c r="F33" i="51"/>
  <c r="C78" i="52" s="1"/>
  <c r="C78" i="7"/>
  <c r="C77" i="7"/>
  <c r="N3" i="51"/>
  <c r="N4" i="51"/>
  <c r="N16" i="51"/>
  <c r="N17" i="51"/>
  <c r="N18" i="51"/>
  <c r="N30" i="51"/>
  <c r="N31" i="51"/>
  <c r="N32" i="51"/>
  <c r="M3" i="51"/>
  <c r="M4" i="51"/>
  <c r="M5" i="51"/>
  <c r="N5" i="51" s="1"/>
  <c r="M6" i="51"/>
  <c r="N6" i="51" s="1"/>
  <c r="M7" i="51"/>
  <c r="N7" i="51" s="1"/>
  <c r="M8" i="51"/>
  <c r="N8" i="51" s="1"/>
  <c r="M9" i="51"/>
  <c r="N9" i="51" s="1"/>
  <c r="M10" i="51"/>
  <c r="N10" i="51" s="1"/>
  <c r="M11" i="51"/>
  <c r="N11" i="51" s="1"/>
  <c r="M12" i="51"/>
  <c r="N12" i="51" s="1"/>
  <c r="M13" i="51"/>
  <c r="N13" i="51" s="1"/>
  <c r="M14" i="51"/>
  <c r="N14" i="51" s="1"/>
  <c r="M15" i="51"/>
  <c r="N15" i="51" s="1"/>
  <c r="M16" i="51"/>
  <c r="M17" i="51"/>
  <c r="M18" i="51"/>
  <c r="M19" i="51"/>
  <c r="N19" i="51" s="1"/>
  <c r="M20" i="51"/>
  <c r="N20" i="51" s="1"/>
  <c r="M21" i="51"/>
  <c r="N21" i="51" s="1"/>
  <c r="M22" i="51"/>
  <c r="N22" i="51" s="1"/>
  <c r="M23" i="51"/>
  <c r="N23" i="51" s="1"/>
  <c r="M24" i="51"/>
  <c r="N24" i="51" s="1"/>
  <c r="M25" i="51"/>
  <c r="N25" i="51" s="1"/>
  <c r="M26" i="51"/>
  <c r="N26" i="51" s="1"/>
  <c r="M27" i="51"/>
  <c r="N27" i="51" s="1"/>
  <c r="M28" i="51"/>
  <c r="N28" i="51" s="1"/>
  <c r="M29" i="51"/>
  <c r="N29" i="51" s="1"/>
  <c r="M30" i="51"/>
  <c r="M31" i="51"/>
  <c r="M32" i="51"/>
  <c r="M2" i="51"/>
  <c r="N2" i="51" s="1"/>
  <c r="N33" i="51" s="1"/>
  <c r="L3" i="51"/>
  <c r="L4" i="51"/>
  <c r="L5" i="51"/>
  <c r="L6" i="51"/>
  <c r="L7" i="51"/>
  <c r="L8" i="51"/>
  <c r="L9" i="51"/>
  <c r="L10" i="51"/>
  <c r="L11" i="51"/>
  <c r="L12" i="51"/>
  <c r="L13" i="51"/>
  <c r="L14" i="51"/>
  <c r="L15" i="51"/>
  <c r="L16" i="51"/>
  <c r="L17" i="51"/>
  <c r="L18" i="51"/>
  <c r="L19" i="51"/>
  <c r="L20" i="51"/>
  <c r="L21" i="51"/>
  <c r="L22" i="51"/>
  <c r="L23" i="51"/>
  <c r="L24" i="51"/>
  <c r="L25" i="51"/>
  <c r="L26" i="51"/>
  <c r="L27" i="51"/>
  <c r="L28" i="51"/>
  <c r="L29" i="51"/>
  <c r="L30" i="51"/>
  <c r="L31" i="51"/>
  <c r="L32" i="51"/>
  <c r="L2" i="51"/>
  <c r="L69" i="7"/>
  <c r="K69" i="7"/>
  <c r="L54" i="7"/>
  <c r="K54" i="7"/>
  <c r="L53" i="7"/>
  <c r="K53" i="7"/>
  <c r="L51" i="7"/>
  <c r="K51" i="7"/>
  <c r="L49" i="7"/>
  <c r="K49" i="7"/>
  <c r="L47" i="7"/>
  <c r="F19" i="7"/>
  <c r="F18" i="7"/>
  <c r="F14" i="7"/>
  <c r="F13" i="7"/>
  <c r="F12" i="7"/>
  <c r="C30" i="7"/>
  <c r="C19" i="7"/>
  <c r="C18" i="7"/>
  <c r="C14" i="7"/>
  <c r="C13" i="7"/>
  <c r="C12" i="7"/>
  <c r="D156" i="44"/>
  <c r="D157" i="44"/>
  <c r="D158" i="44"/>
  <c r="D159" i="44"/>
  <c r="F60" i="52" s="1"/>
  <c r="D160" i="44"/>
  <c r="F59" i="52" s="1"/>
  <c r="D161" i="44"/>
  <c r="F58" i="52" s="1"/>
  <c r="D162" i="44"/>
  <c r="F64" i="52" s="1"/>
  <c r="D163" i="44"/>
  <c r="F65" i="52" s="1"/>
  <c r="D164" i="44"/>
  <c r="D165" i="44"/>
  <c r="D166" i="44"/>
  <c r="D155" i="44"/>
  <c r="D101" i="44"/>
  <c r="D102" i="44"/>
  <c r="D103" i="44"/>
  <c r="D104" i="44"/>
  <c r="D105" i="44"/>
  <c r="D106" i="44"/>
  <c r="D107" i="44"/>
  <c r="D108" i="44"/>
  <c r="D109" i="44"/>
  <c r="D110" i="44"/>
  <c r="F14" i="52" s="1"/>
  <c r="D111" i="44"/>
  <c r="D112" i="44"/>
  <c r="D113" i="44"/>
  <c r="D114" i="44"/>
  <c r="F42" i="52" s="1"/>
  <c r="D115" i="44"/>
  <c r="F49" i="52" s="1"/>
  <c r="D116" i="44"/>
  <c r="F55" i="52" s="1"/>
  <c r="G55" i="52" s="1"/>
  <c r="D117" i="44"/>
  <c r="F50" i="7" s="1"/>
  <c r="D118" i="44"/>
  <c r="D119" i="44"/>
  <c r="F53" i="52" s="1"/>
  <c r="G53" i="52" s="1"/>
  <c r="D120" i="44"/>
  <c r="D121" i="44"/>
  <c r="F54" i="52" s="1"/>
  <c r="Y54" i="52" s="1"/>
  <c r="D122" i="44"/>
  <c r="D123" i="44"/>
  <c r="D124" i="44"/>
  <c r="D125" i="44"/>
  <c r="D126" i="44"/>
  <c r="F12" i="52" s="1"/>
  <c r="D127" i="44"/>
  <c r="F13" i="52" s="1"/>
  <c r="D128" i="44"/>
  <c r="D129" i="44"/>
  <c r="D130" i="44"/>
  <c r="D131" i="44"/>
  <c r="D132" i="44"/>
  <c r="D133" i="44"/>
  <c r="D134" i="44"/>
  <c r="D135" i="44"/>
  <c r="D136" i="44"/>
  <c r="D137" i="44"/>
  <c r="D138" i="44"/>
  <c r="D100" i="44"/>
  <c r="D91" i="44"/>
  <c r="D92" i="44"/>
  <c r="D93" i="44"/>
  <c r="D94" i="44"/>
  <c r="D95" i="44"/>
  <c r="F51" i="7" s="1"/>
  <c r="D96" i="44"/>
  <c r="D97" i="44"/>
  <c r="D98" i="44"/>
  <c r="F48" i="52" s="1"/>
  <c r="G48" i="52" s="1"/>
  <c r="D90" i="44"/>
  <c r="D52" i="44"/>
  <c r="D53" i="44"/>
  <c r="C57" i="52" s="1"/>
  <c r="N57" i="52" s="1"/>
  <c r="D54" i="44"/>
  <c r="D55" i="44"/>
  <c r="C61" i="52" s="1"/>
  <c r="D56" i="44"/>
  <c r="C60" i="52" s="1"/>
  <c r="D57" i="44"/>
  <c r="D58" i="44"/>
  <c r="C56" i="52" s="1"/>
  <c r="D59" i="44"/>
  <c r="C63" i="52" s="1"/>
  <c r="D60" i="44"/>
  <c r="D61" i="44"/>
  <c r="C62" i="52" s="1"/>
  <c r="D62" i="44"/>
  <c r="C58" i="52" s="1"/>
  <c r="N58" i="52" s="1"/>
  <c r="D63" i="44"/>
  <c r="C64" i="52" s="1"/>
  <c r="D64" i="44"/>
  <c r="D51" i="44"/>
  <c r="D23" i="44"/>
  <c r="D24" i="44"/>
  <c r="D25" i="44"/>
  <c r="D26" i="44"/>
  <c r="C12" i="52" s="1"/>
  <c r="C15" i="52" s="1"/>
  <c r="D27" i="44"/>
  <c r="C13" i="52" s="1"/>
  <c r="D28" i="44"/>
  <c r="D29" i="44"/>
  <c r="D30" i="44"/>
  <c r="D31" i="44"/>
  <c r="D32" i="44"/>
  <c r="D33" i="44"/>
  <c r="C29" i="52" s="1"/>
  <c r="D29" i="52" s="1"/>
  <c r="D32" i="52" s="1"/>
  <c r="D22" i="44"/>
  <c r="D4" i="44"/>
  <c r="D5" i="44"/>
  <c r="D6" i="44"/>
  <c r="D7" i="44"/>
  <c r="D8" i="44"/>
  <c r="C14" i="52" s="1"/>
  <c r="D9" i="44"/>
  <c r="D10" i="44"/>
  <c r="C42" i="52" s="1"/>
  <c r="D11" i="44"/>
  <c r="C49" i="52" s="1"/>
  <c r="N49" i="52" s="1"/>
  <c r="O49" i="52" s="1"/>
  <c r="D12" i="44"/>
  <c r="C44" i="52" s="1"/>
  <c r="D13" i="44"/>
  <c r="C55" i="52" s="1"/>
  <c r="D14" i="44"/>
  <c r="C50" i="52" s="1"/>
  <c r="D15" i="44"/>
  <c r="D16" i="44"/>
  <c r="C53" i="52" s="1"/>
  <c r="D17" i="44"/>
  <c r="C51" i="52" s="1"/>
  <c r="D18" i="44"/>
  <c r="C54" i="52" s="1"/>
  <c r="D19" i="44"/>
  <c r="C47" i="52" s="1"/>
  <c r="D20" i="44"/>
  <c r="C48" i="52" s="1"/>
  <c r="D3" i="44"/>
  <c r="G3" i="51"/>
  <c r="H3" i="51" s="1"/>
  <c r="G4" i="51"/>
  <c r="H4" i="51"/>
  <c r="G5" i="51"/>
  <c r="H5" i="51"/>
  <c r="G6" i="51"/>
  <c r="H6" i="51"/>
  <c r="G7" i="51"/>
  <c r="H7" i="51"/>
  <c r="G8" i="51"/>
  <c r="H8" i="51"/>
  <c r="G9" i="51"/>
  <c r="H9" i="51" s="1"/>
  <c r="G10" i="51"/>
  <c r="H10" i="51" s="1"/>
  <c r="G11" i="51"/>
  <c r="H11" i="51"/>
  <c r="G12" i="51"/>
  <c r="H12" i="51"/>
  <c r="G13" i="51"/>
  <c r="H13" i="51"/>
  <c r="G14" i="51"/>
  <c r="H14" i="51"/>
  <c r="G15" i="51"/>
  <c r="H15" i="51"/>
  <c r="G16" i="51"/>
  <c r="H16" i="51" s="1"/>
  <c r="G17" i="51"/>
  <c r="H17" i="51" s="1"/>
  <c r="G18" i="51"/>
  <c r="H18" i="51"/>
  <c r="G19" i="51"/>
  <c r="H19" i="51"/>
  <c r="G20" i="51"/>
  <c r="H20" i="51"/>
  <c r="G21" i="51"/>
  <c r="H21" i="51"/>
  <c r="G22" i="51"/>
  <c r="H22" i="51"/>
  <c r="G23" i="51"/>
  <c r="H23" i="51" s="1"/>
  <c r="G24" i="51"/>
  <c r="H24" i="51" s="1"/>
  <c r="G25" i="51"/>
  <c r="H25" i="51"/>
  <c r="G26" i="51"/>
  <c r="H26" i="51"/>
  <c r="G27" i="51"/>
  <c r="H27" i="51"/>
  <c r="G28" i="51"/>
  <c r="H28" i="51"/>
  <c r="G29" i="51"/>
  <c r="H29" i="51"/>
  <c r="G30" i="51"/>
  <c r="H30" i="51" s="1"/>
  <c r="G31" i="51"/>
  <c r="H31" i="51" s="1"/>
  <c r="G32" i="51"/>
  <c r="H32" i="51"/>
  <c r="G2" i="51"/>
  <c r="H2" i="51" s="1"/>
  <c r="B33" i="51"/>
  <c r="C76" i="52" s="1"/>
  <c r="C80" i="52" s="1"/>
  <c r="E82" i="52" s="1"/>
  <c r="D26" i="51"/>
  <c r="D27" i="51"/>
  <c r="D28" i="51"/>
  <c r="D29" i="51"/>
  <c r="D30" i="51"/>
  <c r="C23" i="51"/>
  <c r="D23" i="51" s="1"/>
  <c r="C24" i="51"/>
  <c r="D24" i="51" s="1"/>
  <c r="C26" i="51"/>
  <c r="C27" i="51"/>
  <c r="C28" i="51"/>
  <c r="C29" i="51"/>
  <c r="C30" i="51"/>
  <c r="C31" i="51"/>
  <c r="D31" i="51" s="1"/>
  <c r="C32" i="51"/>
  <c r="D32" i="51" s="1"/>
  <c r="C25" i="51"/>
  <c r="D25" i="51" s="1"/>
  <c r="C3" i="51"/>
  <c r="D3" i="51" s="1"/>
  <c r="C4" i="51"/>
  <c r="D4" i="51"/>
  <c r="C5" i="51"/>
  <c r="D5" i="51" s="1"/>
  <c r="C6" i="51"/>
  <c r="D6" i="51"/>
  <c r="C7" i="51"/>
  <c r="D7" i="51"/>
  <c r="C8" i="51"/>
  <c r="D8" i="51"/>
  <c r="C9" i="51"/>
  <c r="D9" i="51"/>
  <c r="C10" i="51"/>
  <c r="D10" i="51" s="1"/>
  <c r="C11" i="51"/>
  <c r="D11" i="51"/>
  <c r="C12" i="51"/>
  <c r="D12" i="51" s="1"/>
  <c r="C13" i="51"/>
  <c r="D13" i="51"/>
  <c r="C14" i="51"/>
  <c r="D14" i="51"/>
  <c r="C15" i="51"/>
  <c r="D15" i="51"/>
  <c r="C16" i="51"/>
  <c r="D16" i="51"/>
  <c r="C17" i="51"/>
  <c r="D17" i="51" s="1"/>
  <c r="C18" i="51"/>
  <c r="D18" i="51"/>
  <c r="C19" i="51"/>
  <c r="D19" i="51" s="1"/>
  <c r="C20" i="51"/>
  <c r="D20" i="51"/>
  <c r="C21" i="51"/>
  <c r="D21" i="51"/>
  <c r="C22" i="51"/>
  <c r="D22" i="51"/>
  <c r="C2" i="51"/>
  <c r="D2" i="51" s="1"/>
  <c r="I67" i="50"/>
  <c r="H67" i="50"/>
  <c r="G67" i="50"/>
  <c r="I66" i="50"/>
  <c r="H66" i="50"/>
  <c r="G66" i="50"/>
  <c r="I65" i="50"/>
  <c r="H65" i="50"/>
  <c r="G65" i="50"/>
  <c r="I64" i="50"/>
  <c r="H64" i="50"/>
  <c r="G64" i="50"/>
  <c r="I63" i="50"/>
  <c r="H63" i="50"/>
  <c r="G63" i="50"/>
  <c r="I62" i="50"/>
  <c r="H62" i="50"/>
  <c r="G62" i="50"/>
  <c r="I61" i="50"/>
  <c r="H61" i="50"/>
  <c r="G61" i="50"/>
  <c r="I60" i="50"/>
  <c r="H60" i="50"/>
  <c r="G60" i="50"/>
  <c r="I59" i="50"/>
  <c r="H59" i="50"/>
  <c r="G59" i="50"/>
  <c r="I58" i="50"/>
  <c r="H58" i="50"/>
  <c r="G58" i="50"/>
  <c r="I57" i="50"/>
  <c r="M57" i="50" s="1"/>
  <c r="H57" i="50"/>
  <c r="L57" i="50" s="1"/>
  <c r="G57" i="50"/>
  <c r="K57" i="50" s="1"/>
  <c r="I56" i="50"/>
  <c r="M56" i="50" s="1"/>
  <c r="H56" i="50"/>
  <c r="L56" i="50" s="1"/>
  <c r="G56" i="50"/>
  <c r="K56" i="50" s="1"/>
  <c r="I55" i="50"/>
  <c r="M55" i="50" s="1"/>
  <c r="H55" i="50"/>
  <c r="L55" i="50" s="1"/>
  <c r="G55" i="50"/>
  <c r="K55" i="50" s="1"/>
  <c r="I54" i="50"/>
  <c r="M54" i="50" s="1"/>
  <c r="H54" i="50"/>
  <c r="L54" i="50" s="1"/>
  <c r="G54" i="50"/>
  <c r="K54" i="50" s="1"/>
  <c r="M53" i="50"/>
  <c r="I53" i="50"/>
  <c r="H53" i="50"/>
  <c r="L53" i="50" s="1"/>
  <c r="G53" i="50"/>
  <c r="K53" i="50" s="1"/>
  <c r="I52" i="50"/>
  <c r="M52" i="50" s="1"/>
  <c r="H52" i="50"/>
  <c r="L52" i="50" s="1"/>
  <c r="G52" i="50"/>
  <c r="K52" i="50" s="1"/>
  <c r="I51" i="50"/>
  <c r="M51" i="50" s="1"/>
  <c r="H51" i="50"/>
  <c r="L51" i="50" s="1"/>
  <c r="G51" i="50"/>
  <c r="K51" i="50" s="1"/>
  <c r="I50" i="50"/>
  <c r="M50" i="50" s="1"/>
  <c r="H50" i="50"/>
  <c r="L50" i="50" s="1"/>
  <c r="G50" i="50"/>
  <c r="K50" i="50" s="1"/>
  <c r="M49" i="50"/>
  <c r="I49" i="50"/>
  <c r="H49" i="50"/>
  <c r="L49" i="50" s="1"/>
  <c r="G49" i="50"/>
  <c r="K49" i="50" s="1"/>
  <c r="N49" i="50" s="1"/>
  <c r="I48" i="50"/>
  <c r="M48" i="50" s="1"/>
  <c r="H48" i="50"/>
  <c r="L48" i="50" s="1"/>
  <c r="G48" i="50"/>
  <c r="K48" i="50" s="1"/>
  <c r="L47" i="50"/>
  <c r="K47" i="50"/>
  <c r="I47" i="50"/>
  <c r="M47" i="50" s="1"/>
  <c r="H47" i="50"/>
  <c r="G47" i="50"/>
  <c r="I46" i="50"/>
  <c r="M46" i="50" s="1"/>
  <c r="H46" i="50"/>
  <c r="L46" i="50" s="1"/>
  <c r="G46" i="50"/>
  <c r="K46" i="50" s="1"/>
  <c r="I45" i="50"/>
  <c r="M45" i="50" s="1"/>
  <c r="H45" i="50"/>
  <c r="L45" i="50" s="1"/>
  <c r="G45" i="50"/>
  <c r="K45" i="50" s="1"/>
  <c r="I44" i="50"/>
  <c r="M44" i="50" s="1"/>
  <c r="H44" i="50"/>
  <c r="L44" i="50" s="1"/>
  <c r="G44" i="50"/>
  <c r="K44" i="50" s="1"/>
  <c r="K43" i="50"/>
  <c r="I43" i="50"/>
  <c r="M43" i="50" s="1"/>
  <c r="H43" i="50"/>
  <c r="L43" i="50" s="1"/>
  <c r="G43" i="50"/>
  <c r="I42" i="50"/>
  <c r="M42" i="50" s="1"/>
  <c r="H42" i="50"/>
  <c r="L42" i="50" s="1"/>
  <c r="G42" i="50"/>
  <c r="K42" i="50" s="1"/>
  <c r="I41" i="50"/>
  <c r="M41" i="50" s="1"/>
  <c r="H41" i="50"/>
  <c r="L41" i="50" s="1"/>
  <c r="G41" i="50"/>
  <c r="K41" i="50" s="1"/>
  <c r="L40" i="50"/>
  <c r="I40" i="50"/>
  <c r="M40" i="50" s="1"/>
  <c r="H40" i="50"/>
  <c r="G40" i="50"/>
  <c r="K40" i="50" s="1"/>
  <c r="I39" i="50"/>
  <c r="M39" i="50" s="1"/>
  <c r="H39" i="50"/>
  <c r="L39" i="50" s="1"/>
  <c r="G39" i="50"/>
  <c r="K39" i="50" s="1"/>
  <c r="I38" i="50"/>
  <c r="M38" i="50" s="1"/>
  <c r="H38" i="50"/>
  <c r="L38" i="50" s="1"/>
  <c r="G38" i="50"/>
  <c r="K38" i="50" s="1"/>
  <c r="I37" i="50"/>
  <c r="M37" i="50" s="1"/>
  <c r="H37" i="50"/>
  <c r="L37" i="50" s="1"/>
  <c r="G37" i="50"/>
  <c r="K37" i="50" s="1"/>
  <c r="D68" i="50"/>
  <c r="C25" i="52" s="1"/>
  <c r="D25" i="52" s="1"/>
  <c r="E68" i="50"/>
  <c r="C26" i="52" s="1"/>
  <c r="D26" i="52" s="1"/>
  <c r="C68" i="50"/>
  <c r="C24" i="52" s="1"/>
  <c r="D24" i="52" s="1"/>
  <c r="P380" i="50"/>
  <c r="E34" i="50"/>
  <c r="D34" i="50"/>
  <c r="F25" i="52" s="1"/>
  <c r="G25" i="52" s="1"/>
  <c r="H25" i="52" s="1"/>
  <c r="I33" i="50"/>
  <c r="H33" i="50"/>
  <c r="G33" i="50"/>
  <c r="I32" i="50"/>
  <c r="H32" i="50"/>
  <c r="G32" i="50"/>
  <c r="I31" i="50"/>
  <c r="H31" i="50"/>
  <c r="G31" i="50"/>
  <c r="C31" i="50"/>
  <c r="I30" i="50"/>
  <c r="H30" i="50"/>
  <c r="G30" i="50"/>
  <c r="I29" i="50"/>
  <c r="H29" i="50"/>
  <c r="G29" i="50"/>
  <c r="I28" i="50"/>
  <c r="H28" i="50"/>
  <c r="G28" i="50"/>
  <c r="I27" i="50"/>
  <c r="H27" i="50"/>
  <c r="G27" i="50"/>
  <c r="I26" i="50"/>
  <c r="H26" i="50"/>
  <c r="G26" i="50"/>
  <c r="I25" i="50"/>
  <c r="H25" i="50"/>
  <c r="G25" i="50"/>
  <c r="I24" i="50"/>
  <c r="H24" i="50"/>
  <c r="G24" i="50"/>
  <c r="I23" i="50"/>
  <c r="M23" i="50" s="1"/>
  <c r="H23" i="50"/>
  <c r="L23" i="50" s="1"/>
  <c r="G23" i="50"/>
  <c r="K23" i="50" s="1"/>
  <c r="I22" i="50"/>
  <c r="M22" i="50" s="1"/>
  <c r="H22" i="50"/>
  <c r="L22" i="50" s="1"/>
  <c r="G22" i="50"/>
  <c r="K22" i="50" s="1"/>
  <c r="I21" i="50"/>
  <c r="M21" i="50" s="1"/>
  <c r="H21" i="50"/>
  <c r="L21" i="50" s="1"/>
  <c r="G21" i="50"/>
  <c r="K21" i="50" s="1"/>
  <c r="I20" i="50"/>
  <c r="M20" i="50" s="1"/>
  <c r="H20" i="50"/>
  <c r="L20" i="50" s="1"/>
  <c r="G20" i="50"/>
  <c r="K20" i="50" s="1"/>
  <c r="I19" i="50"/>
  <c r="M19" i="50" s="1"/>
  <c r="H19" i="50"/>
  <c r="L19" i="50" s="1"/>
  <c r="G19" i="50"/>
  <c r="K19" i="50" s="1"/>
  <c r="I18" i="50"/>
  <c r="M18" i="50" s="1"/>
  <c r="H18" i="50"/>
  <c r="L18" i="50" s="1"/>
  <c r="G18" i="50"/>
  <c r="K18" i="50" s="1"/>
  <c r="I17" i="50"/>
  <c r="M17" i="50" s="1"/>
  <c r="H17" i="50"/>
  <c r="L17" i="50" s="1"/>
  <c r="G17" i="50"/>
  <c r="K17" i="50" s="1"/>
  <c r="I16" i="50"/>
  <c r="M16" i="50" s="1"/>
  <c r="H16" i="50"/>
  <c r="L16" i="50" s="1"/>
  <c r="G16" i="50"/>
  <c r="K16" i="50" s="1"/>
  <c r="N16" i="50" s="1"/>
  <c r="I15" i="50"/>
  <c r="M15" i="50" s="1"/>
  <c r="H15" i="50"/>
  <c r="L15" i="50" s="1"/>
  <c r="G15" i="50"/>
  <c r="K15" i="50" s="1"/>
  <c r="I14" i="50"/>
  <c r="M14" i="50" s="1"/>
  <c r="H14" i="50"/>
  <c r="L14" i="50" s="1"/>
  <c r="G14" i="50"/>
  <c r="K14" i="50" s="1"/>
  <c r="I13" i="50"/>
  <c r="M13" i="50" s="1"/>
  <c r="H13" i="50"/>
  <c r="L13" i="50" s="1"/>
  <c r="G13" i="50"/>
  <c r="K13" i="50" s="1"/>
  <c r="I12" i="50"/>
  <c r="M12" i="50" s="1"/>
  <c r="H12" i="50"/>
  <c r="L12" i="50" s="1"/>
  <c r="G12" i="50"/>
  <c r="K12" i="50" s="1"/>
  <c r="I11" i="50"/>
  <c r="M11" i="50" s="1"/>
  <c r="H11" i="50"/>
  <c r="L11" i="50" s="1"/>
  <c r="G11" i="50"/>
  <c r="K11" i="50" s="1"/>
  <c r="I10" i="50"/>
  <c r="M10" i="50" s="1"/>
  <c r="H10" i="50"/>
  <c r="L10" i="50" s="1"/>
  <c r="G10" i="50"/>
  <c r="K10" i="50" s="1"/>
  <c r="I9" i="50"/>
  <c r="M9" i="50" s="1"/>
  <c r="H9" i="50"/>
  <c r="L9" i="50" s="1"/>
  <c r="G9" i="50"/>
  <c r="K9" i="50" s="1"/>
  <c r="I8" i="50"/>
  <c r="M8" i="50" s="1"/>
  <c r="H8" i="50"/>
  <c r="L8" i="50" s="1"/>
  <c r="G8" i="50"/>
  <c r="K8" i="50" s="1"/>
  <c r="I7" i="50"/>
  <c r="M7" i="50" s="1"/>
  <c r="H7" i="50"/>
  <c r="L7" i="50" s="1"/>
  <c r="G7" i="50"/>
  <c r="K7" i="50" s="1"/>
  <c r="I6" i="50"/>
  <c r="M6" i="50" s="1"/>
  <c r="H6" i="50"/>
  <c r="L6" i="50" s="1"/>
  <c r="G6" i="50"/>
  <c r="K6" i="50" s="1"/>
  <c r="I5" i="50"/>
  <c r="M5" i="50" s="1"/>
  <c r="H5" i="50"/>
  <c r="L5" i="50" s="1"/>
  <c r="G5" i="50"/>
  <c r="K5" i="50" s="1"/>
  <c r="I4" i="50"/>
  <c r="M4" i="50" s="1"/>
  <c r="H4" i="50"/>
  <c r="L4" i="50" s="1"/>
  <c r="G4" i="50"/>
  <c r="K4" i="50" s="1"/>
  <c r="I3" i="50"/>
  <c r="M3" i="50" s="1"/>
  <c r="H3" i="50"/>
  <c r="L3" i="50" s="1"/>
  <c r="G3" i="50"/>
  <c r="K3" i="50" s="1"/>
  <c r="H33" i="51" l="1"/>
  <c r="D33" i="51"/>
  <c r="T51" i="52"/>
  <c r="N51" i="52"/>
  <c r="O51" i="52" s="1"/>
  <c r="D51" i="52"/>
  <c r="N52" i="50"/>
  <c r="F48" i="7"/>
  <c r="D27" i="52"/>
  <c r="N57" i="50"/>
  <c r="C50" i="7"/>
  <c r="F55" i="7"/>
  <c r="AD59" i="52"/>
  <c r="AC59" i="52"/>
  <c r="N47" i="52"/>
  <c r="O47" i="52" s="1"/>
  <c r="D47" i="52"/>
  <c r="H47" i="52" s="1"/>
  <c r="U54" i="52"/>
  <c r="W54" i="52" s="1"/>
  <c r="N54" i="52"/>
  <c r="O54" i="52" s="1"/>
  <c r="V57" i="52"/>
  <c r="F51" i="52"/>
  <c r="G51" i="52" s="1"/>
  <c r="G70" i="52" s="1"/>
  <c r="D50" i="52"/>
  <c r="N50" i="52"/>
  <c r="F25" i="7"/>
  <c r="D44" i="52"/>
  <c r="H44" i="52" s="1"/>
  <c r="N44" i="52"/>
  <c r="O44" i="52" s="1"/>
  <c r="F50" i="52"/>
  <c r="F70" i="52" s="1"/>
  <c r="D42" i="52"/>
  <c r="N42" i="52"/>
  <c r="O42" i="52" s="1"/>
  <c r="C70" i="52"/>
  <c r="AF41" i="52"/>
  <c r="AF42" i="52" s="1"/>
  <c r="C24" i="7"/>
  <c r="C44" i="7"/>
  <c r="C60" i="7"/>
  <c r="N48" i="52"/>
  <c r="O48" i="52" s="1"/>
  <c r="D48" i="52"/>
  <c r="H48" i="52" s="1"/>
  <c r="C54" i="7"/>
  <c r="D53" i="52"/>
  <c r="H53" i="52" s="1"/>
  <c r="N53" i="52"/>
  <c r="O53" i="52" s="1"/>
  <c r="N56" i="50"/>
  <c r="C76" i="7"/>
  <c r="F26" i="7"/>
  <c r="F26" i="52"/>
  <c r="G26" i="52" s="1"/>
  <c r="H26" i="52" s="1"/>
  <c r="N55" i="52"/>
  <c r="O55" i="52" s="1"/>
  <c r="D55" i="52"/>
  <c r="H55" i="52" s="1"/>
  <c r="C57" i="7"/>
  <c r="C58" i="7"/>
  <c r="N50" i="50"/>
  <c r="F15" i="52"/>
  <c r="C25" i="7"/>
  <c r="C47" i="7"/>
  <c r="C61" i="7"/>
  <c r="F58" i="7"/>
  <c r="F53" i="7"/>
  <c r="P56" i="52"/>
  <c r="R56" i="52" s="1"/>
  <c r="N56" i="52"/>
  <c r="F54" i="7"/>
  <c r="N54" i="50"/>
  <c r="C26" i="7"/>
  <c r="E91" i="7"/>
  <c r="C48" i="7"/>
  <c r="C62" i="7"/>
  <c r="F59" i="7"/>
  <c r="C29" i="7"/>
  <c r="C49" i="7"/>
  <c r="C63" i="7"/>
  <c r="F60" i="7"/>
  <c r="N23" i="50"/>
  <c r="N47" i="50"/>
  <c r="N55" i="50"/>
  <c r="N40" i="50"/>
  <c r="N42" i="50"/>
  <c r="N46" i="50"/>
  <c r="N48" i="50"/>
  <c r="N38" i="50"/>
  <c r="N44" i="50"/>
  <c r="K58" i="50"/>
  <c r="N37" i="50"/>
  <c r="N51" i="50"/>
  <c r="L58" i="50"/>
  <c r="L59" i="50" s="1"/>
  <c r="N45" i="50"/>
  <c r="N41" i="50"/>
  <c r="N53" i="50"/>
  <c r="N43" i="50"/>
  <c r="M58" i="50"/>
  <c r="M59" i="50" s="1"/>
  <c r="N39" i="50"/>
  <c r="N17" i="50"/>
  <c r="N20" i="50"/>
  <c r="N19" i="50"/>
  <c r="N18" i="50"/>
  <c r="K24" i="50"/>
  <c r="K25" i="50" s="1"/>
  <c r="N3" i="50"/>
  <c r="N13" i="50"/>
  <c r="N5" i="50"/>
  <c r="L24" i="50"/>
  <c r="L25" i="50" s="1"/>
  <c r="L26" i="50" s="1"/>
  <c r="N11" i="50"/>
  <c r="N15" i="50"/>
  <c r="N21" i="50"/>
  <c r="N6" i="50"/>
  <c r="N12" i="50"/>
  <c r="N14" i="50"/>
  <c r="N4" i="50"/>
  <c r="N10" i="50"/>
  <c r="N22" i="50"/>
  <c r="N9" i="50"/>
  <c r="M24" i="50"/>
  <c r="N8" i="50"/>
  <c r="N7" i="50"/>
  <c r="C32" i="50"/>
  <c r="C33" i="50" s="1"/>
  <c r="C34" i="50" s="1"/>
  <c r="H33" i="49"/>
  <c r="G33" i="49"/>
  <c r="I33" i="49" s="1"/>
  <c r="E33" i="49"/>
  <c r="D33" i="49"/>
  <c r="F33" i="49" s="1"/>
  <c r="J33" i="49" s="1"/>
  <c r="H32" i="49"/>
  <c r="G32" i="49"/>
  <c r="E32" i="49"/>
  <c r="D32" i="49"/>
  <c r="H31" i="49"/>
  <c r="G31" i="49"/>
  <c r="I31" i="49" s="1"/>
  <c r="E31" i="49"/>
  <c r="D31" i="49"/>
  <c r="F31" i="49" s="1"/>
  <c r="J31" i="49" s="1"/>
  <c r="H30" i="49"/>
  <c r="G30" i="49"/>
  <c r="E30" i="49"/>
  <c r="D30" i="49"/>
  <c r="H29" i="49"/>
  <c r="G29" i="49"/>
  <c r="E29" i="49"/>
  <c r="D29" i="49"/>
  <c r="H28" i="49"/>
  <c r="G28" i="49"/>
  <c r="E28" i="49"/>
  <c r="D28" i="49"/>
  <c r="F28" i="49" s="1"/>
  <c r="H27" i="49"/>
  <c r="G27" i="49"/>
  <c r="E27" i="49"/>
  <c r="D27" i="49"/>
  <c r="H26" i="49"/>
  <c r="G26" i="49"/>
  <c r="E26" i="49"/>
  <c r="D26" i="49"/>
  <c r="F26" i="49" s="1"/>
  <c r="H25" i="49"/>
  <c r="G25" i="49"/>
  <c r="E25" i="49"/>
  <c r="D25" i="49"/>
  <c r="H24" i="49"/>
  <c r="G24" i="49"/>
  <c r="E24" i="49"/>
  <c r="D24" i="49"/>
  <c r="F24" i="49" s="1"/>
  <c r="L23" i="49"/>
  <c r="K23" i="49"/>
  <c r="H23" i="49"/>
  <c r="I23" i="49" s="1"/>
  <c r="G23" i="49"/>
  <c r="E23" i="49"/>
  <c r="D23" i="49"/>
  <c r="F23" i="49" s="1"/>
  <c r="L22" i="49"/>
  <c r="K22" i="49"/>
  <c r="H22" i="49"/>
  <c r="G22" i="49"/>
  <c r="E22" i="49"/>
  <c r="D22" i="49"/>
  <c r="H21" i="49"/>
  <c r="G21" i="49"/>
  <c r="E21" i="49"/>
  <c r="D21" i="49"/>
  <c r="H20" i="49"/>
  <c r="G20" i="49"/>
  <c r="E20" i="49"/>
  <c r="D20" i="49"/>
  <c r="L19" i="49"/>
  <c r="K19" i="49"/>
  <c r="H19" i="49"/>
  <c r="G19" i="49"/>
  <c r="E19" i="49"/>
  <c r="D19" i="49"/>
  <c r="F19" i="49" s="1"/>
  <c r="L18" i="49"/>
  <c r="K18" i="49"/>
  <c r="H18" i="49"/>
  <c r="G18" i="49"/>
  <c r="E18" i="49"/>
  <c r="D18" i="49"/>
  <c r="F18" i="49" s="1"/>
  <c r="L17" i="49"/>
  <c r="K17" i="49"/>
  <c r="H17" i="49"/>
  <c r="G17" i="49"/>
  <c r="E17" i="49"/>
  <c r="D17" i="49"/>
  <c r="F17" i="49" s="1"/>
  <c r="L16" i="49"/>
  <c r="K16" i="49"/>
  <c r="H16" i="49"/>
  <c r="G16" i="49"/>
  <c r="E16" i="49"/>
  <c r="D16" i="49"/>
  <c r="H15" i="49"/>
  <c r="G15" i="49"/>
  <c r="E15" i="49"/>
  <c r="D15" i="49"/>
  <c r="F15" i="49" s="1"/>
  <c r="L14" i="49"/>
  <c r="K14" i="49"/>
  <c r="H14" i="49"/>
  <c r="G14" i="49"/>
  <c r="E14" i="49"/>
  <c r="D14" i="49"/>
  <c r="F14" i="49" s="1"/>
  <c r="H13" i="49"/>
  <c r="G13" i="49"/>
  <c r="E13" i="49"/>
  <c r="D13" i="49"/>
  <c r="L12" i="49"/>
  <c r="M12" i="49" s="1"/>
  <c r="K12" i="49"/>
  <c r="H12" i="49"/>
  <c r="G12" i="49"/>
  <c r="E12" i="49"/>
  <c r="D12" i="49"/>
  <c r="F12" i="49" s="1"/>
  <c r="H11" i="49"/>
  <c r="G11" i="49"/>
  <c r="E11" i="49"/>
  <c r="D11" i="49"/>
  <c r="L10" i="49"/>
  <c r="K10" i="49"/>
  <c r="H10" i="49"/>
  <c r="G10" i="49"/>
  <c r="E10" i="49"/>
  <c r="D10" i="49"/>
  <c r="F10" i="49" s="1"/>
  <c r="H9" i="49"/>
  <c r="G9" i="49"/>
  <c r="E9" i="49"/>
  <c r="D9" i="49"/>
  <c r="F9" i="49" s="1"/>
  <c r="H8" i="49"/>
  <c r="G8" i="49"/>
  <c r="E8" i="49"/>
  <c r="D8" i="49"/>
  <c r="F8" i="49" s="1"/>
  <c r="B8" i="49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L7" i="49"/>
  <c r="K7" i="49"/>
  <c r="H7" i="49"/>
  <c r="I7" i="49" s="1"/>
  <c r="G7" i="49"/>
  <c r="E7" i="49"/>
  <c r="D7" i="49"/>
  <c r="F71" i="52" l="1"/>
  <c r="G92" i="52"/>
  <c r="F13" i="49"/>
  <c r="F21" i="49"/>
  <c r="I30" i="49"/>
  <c r="F24" i="52"/>
  <c r="G24" i="52" s="1"/>
  <c r="F24" i="7"/>
  <c r="H42" i="52"/>
  <c r="D70" i="52"/>
  <c r="N58" i="50"/>
  <c r="O50" i="52"/>
  <c r="O70" i="52" s="1"/>
  <c r="H50" i="52"/>
  <c r="H51" i="52"/>
  <c r="D76" i="52"/>
  <c r="D76" i="7"/>
  <c r="M18" i="49"/>
  <c r="I14" i="49"/>
  <c r="I17" i="49"/>
  <c r="I9" i="49"/>
  <c r="G35" i="49"/>
  <c r="N14" i="49"/>
  <c r="M17" i="49"/>
  <c r="I20" i="49"/>
  <c r="I27" i="49"/>
  <c r="J26" i="49"/>
  <c r="I8" i="49"/>
  <c r="J8" i="49" s="1"/>
  <c r="I10" i="49"/>
  <c r="I13" i="49"/>
  <c r="M16" i="49"/>
  <c r="I19" i="49"/>
  <c r="J19" i="49" s="1"/>
  <c r="M22" i="49"/>
  <c r="F30" i="49"/>
  <c r="J30" i="49" s="1"/>
  <c r="F32" i="49"/>
  <c r="J10" i="49"/>
  <c r="D35" i="49"/>
  <c r="I25" i="49"/>
  <c r="E35" i="49"/>
  <c r="J13" i="49"/>
  <c r="I16" i="49"/>
  <c r="N16" i="49" s="1"/>
  <c r="I22" i="49"/>
  <c r="I29" i="49"/>
  <c r="K35" i="49"/>
  <c r="M10" i="49"/>
  <c r="I12" i="49"/>
  <c r="J12" i="49" s="1"/>
  <c r="I15" i="49"/>
  <c r="J15" i="49" s="1"/>
  <c r="I18" i="49"/>
  <c r="J18" i="49" s="1"/>
  <c r="M19" i="49"/>
  <c r="I21" i="49"/>
  <c r="J21" i="49" s="1"/>
  <c r="I24" i="49"/>
  <c r="J24" i="49" s="1"/>
  <c r="I26" i="49"/>
  <c r="I28" i="49"/>
  <c r="J28" i="49" s="1"/>
  <c r="I32" i="49"/>
  <c r="N17" i="49"/>
  <c r="I11" i="49"/>
  <c r="M14" i="49"/>
  <c r="M23" i="49"/>
  <c r="N23" i="49" s="1"/>
  <c r="L35" i="49"/>
  <c r="F11" i="49"/>
  <c r="J11" i="49" s="1"/>
  <c r="F16" i="49"/>
  <c r="J16" i="49" s="1"/>
  <c r="F20" i="49"/>
  <c r="F22" i="49"/>
  <c r="J22" i="49" s="1"/>
  <c r="F25" i="49"/>
  <c r="J25" i="49" s="1"/>
  <c r="F27" i="49"/>
  <c r="J27" i="49" s="1"/>
  <c r="F29" i="49"/>
  <c r="J29" i="49" s="1"/>
  <c r="M60" i="50"/>
  <c r="K59" i="50"/>
  <c r="K60" i="50" s="1"/>
  <c r="N60" i="50" s="1"/>
  <c r="L60" i="50"/>
  <c r="K26" i="50"/>
  <c r="K27" i="50" s="1"/>
  <c r="L27" i="50"/>
  <c r="M25" i="50"/>
  <c r="N24" i="50"/>
  <c r="N10" i="49"/>
  <c r="N19" i="49"/>
  <c r="J9" i="49"/>
  <c r="J14" i="49"/>
  <c r="J17" i="49"/>
  <c r="J23" i="49"/>
  <c r="H35" i="49"/>
  <c r="M7" i="49"/>
  <c r="F7" i="49"/>
  <c r="H76" i="52" l="1"/>
  <c r="H80" i="52" s="1"/>
  <c r="D80" i="52"/>
  <c r="D81" i="52" s="1"/>
  <c r="H70" i="52"/>
  <c r="J32" i="49"/>
  <c r="I35" i="49"/>
  <c r="E12" i="6" s="1"/>
  <c r="D96" i="52"/>
  <c r="C71" i="52"/>
  <c r="G27" i="52"/>
  <c r="H27" i="52" s="1"/>
  <c r="H24" i="52"/>
  <c r="J20" i="49"/>
  <c r="M35" i="49"/>
  <c r="N12" i="49"/>
  <c r="N18" i="49"/>
  <c r="N22" i="49"/>
  <c r="K61" i="50"/>
  <c r="L61" i="50"/>
  <c r="L62" i="50" s="1"/>
  <c r="M61" i="50"/>
  <c r="M62" i="50" s="1"/>
  <c r="N59" i="50"/>
  <c r="M26" i="50"/>
  <c r="N26" i="50" s="1"/>
  <c r="N25" i="50"/>
  <c r="K28" i="50"/>
  <c r="L28" i="50"/>
  <c r="K29" i="50"/>
  <c r="J7" i="49"/>
  <c r="J35" i="49" s="1"/>
  <c r="F35" i="49"/>
  <c r="N7" i="49"/>
  <c r="N61" i="50" l="1"/>
  <c r="D92" i="52"/>
  <c r="L63" i="50"/>
  <c r="L64" i="50" s="1"/>
  <c r="L65" i="50" s="1"/>
  <c r="L66" i="50" s="1"/>
  <c r="K62" i="50"/>
  <c r="N62" i="50" s="1"/>
  <c r="M63" i="50"/>
  <c r="M64" i="50" s="1"/>
  <c r="M65" i="50" s="1"/>
  <c r="M66" i="50" s="1"/>
  <c r="M67" i="50" s="1"/>
  <c r="M68" i="50" s="1"/>
  <c r="K63" i="50"/>
  <c r="N63" i="50" s="1"/>
  <c r="K30" i="50"/>
  <c r="K31" i="50" s="1"/>
  <c r="L29" i="50"/>
  <c r="L30" i="50" s="1"/>
  <c r="L31" i="50" s="1"/>
  <c r="M27" i="50"/>
  <c r="K32" i="50"/>
  <c r="K64" i="50" l="1"/>
  <c r="L67" i="50"/>
  <c r="L68" i="50" s="1"/>
  <c r="L32" i="50"/>
  <c r="L33" i="50" s="1"/>
  <c r="L34" i="50" s="1"/>
  <c r="N27" i="50"/>
  <c r="M28" i="50"/>
  <c r="N28" i="50" s="1"/>
  <c r="K33" i="50"/>
  <c r="H33" i="48"/>
  <c r="G33" i="48"/>
  <c r="E33" i="48"/>
  <c r="D33" i="48"/>
  <c r="H32" i="48"/>
  <c r="G32" i="48"/>
  <c r="I32" i="48" s="1"/>
  <c r="E32" i="48"/>
  <c r="D32" i="48"/>
  <c r="H31" i="48"/>
  <c r="G31" i="48"/>
  <c r="E31" i="48"/>
  <c r="D31" i="48"/>
  <c r="H30" i="48"/>
  <c r="G30" i="48"/>
  <c r="I30" i="48" s="1"/>
  <c r="E30" i="48"/>
  <c r="D30" i="48"/>
  <c r="H29" i="48"/>
  <c r="G29" i="48"/>
  <c r="E29" i="48"/>
  <c r="D29" i="48"/>
  <c r="F29" i="48" s="1"/>
  <c r="H28" i="48"/>
  <c r="G28" i="48"/>
  <c r="E28" i="48"/>
  <c r="D28" i="48"/>
  <c r="H27" i="48"/>
  <c r="I27" i="48" s="1"/>
  <c r="G27" i="48"/>
  <c r="E27" i="48"/>
  <c r="D27" i="48"/>
  <c r="F27" i="48" s="1"/>
  <c r="H26" i="48"/>
  <c r="G26" i="48"/>
  <c r="E26" i="48"/>
  <c r="D26" i="48"/>
  <c r="H25" i="48"/>
  <c r="G25" i="48"/>
  <c r="E25" i="48"/>
  <c r="D25" i="48"/>
  <c r="H24" i="48"/>
  <c r="G24" i="48"/>
  <c r="I24" i="48" s="1"/>
  <c r="E24" i="48"/>
  <c r="D24" i="48"/>
  <c r="L23" i="48"/>
  <c r="K23" i="48"/>
  <c r="H23" i="48"/>
  <c r="G23" i="48"/>
  <c r="I23" i="48" s="1"/>
  <c r="E23" i="48"/>
  <c r="D23" i="48"/>
  <c r="F23" i="48" s="1"/>
  <c r="L22" i="48"/>
  <c r="K22" i="48"/>
  <c r="M22" i="48" s="1"/>
  <c r="H22" i="48"/>
  <c r="G22" i="48"/>
  <c r="E22" i="48"/>
  <c r="D22" i="48"/>
  <c r="F22" i="48" s="1"/>
  <c r="H21" i="48"/>
  <c r="G21" i="48"/>
  <c r="E21" i="48"/>
  <c r="D21" i="48"/>
  <c r="H20" i="48"/>
  <c r="G20" i="48"/>
  <c r="I20" i="48" s="1"/>
  <c r="E20" i="48"/>
  <c r="D20" i="48"/>
  <c r="F20" i="48" s="1"/>
  <c r="J20" i="48" s="1"/>
  <c r="L19" i="48"/>
  <c r="K19" i="48"/>
  <c r="H19" i="48"/>
  <c r="I19" i="48" s="1"/>
  <c r="G19" i="48"/>
  <c r="E19" i="48"/>
  <c r="D19" i="48"/>
  <c r="F19" i="48" s="1"/>
  <c r="L18" i="48"/>
  <c r="K18" i="48"/>
  <c r="M18" i="48" s="1"/>
  <c r="H18" i="48"/>
  <c r="G18" i="48"/>
  <c r="E18" i="48"/>
  <c r="D18" i="48"/>
  <c r="L17" i="48"/>
  <c r="K17" i="48"/>
  <c r="M17" i="48" s="1"/>
  <c r="H17" i="48"/>
  <c r="G17" i="48"/>
  <c r="I17" i="48" s="1"/>
  <c r="E17" i="48"/>
  <c r="D17" i="48"/>
  <c r="L16" i="48"/>
  <c r="K16" i="48"/>
  <c r="H16" i="48"/>
  <c r="G16" i="48"/>
  <c r="I16" i="48" s="1"/>
  <c r="E16" i="48"/>
  <c r="D16" i="48"/>
  <c r="F16" i="48" s="1"/>
  <c r="H15" i="48"/>
  <c r="G15" i="48"/>
  <c r="E15" i="48"/>
  <c r="D15" i="48"/>
  <c r="L14" i="48"/>
  <c r="K14" i="48"/>
  <c r="M14" i="48" s="1"/>
  <c r="H14" i="48"/>
  <c r="G14" i="48"/>
  <c r="E14" i="48"/>
  <c r="D14" i="48"/>
  <c r="H13" i="48"/>
  <c r="G13" i="48"/>
  <c r="E13" i="48"/>
  <c r="D13" i="48"/>
  <c r="F13" i="48" s="1"/>
  <c r="L12" i="48"/>
  <c r="K12" i="48"/>
  <c r="M12" i="48" s="1"/>
  <c r="H12" i="48"/>
  <c r="G12" i="48"/>
  <c r="E12" i="48"/>
  <c r="D12" i="48"/>
  <c r="H11" i="48"/>
  <c r="G11" i="48"/>
  <c r="E11" i="48"/>
  <c r="D11" i="48"/>
  <c r="L10" i="48"/>
  <c r="K10" i="48"/>
  <c r="H10" i="48"/>
  <c r="G10" i="48"/>
  <c r="E10" i="48"/>
  <c r="D10" i="48"/>
  <c r="F10" i="48" s="1"/>
  <c r="H9" i="48"/>
  <c r="G9" i="48"/>
  <c r="I9" i="48" s="1"/>
  <c r="E9" i="48"/>
  <c r="D9" i="48"/>
  <c r="H8" i="48"/>
  <c r="G8" i="48"/>
  <c r="E8" i="48"/>
  <c r="D8" i="48"/>
  <c r="F8" i="48" s="1"/>
  <c r="B8" i="48"/>
  <c r="B9" i="48" s="1"/>
  <c r="B10" i="48" s="1"/>
  <c r="B11" i="48" s="1"/>
  <c r="B12" i="48" s="1"/>
  <c r="B13" i="48" s="1"/>
  <c r="B14" i="48" s="1"/>
  <c r="B15" i="48" s="1"/>
  <c r="B16" i="48" s="1"/>
  <c r="B17" i="48" s="1"/>
  <c r="B18" i="48" s="1"/>
  <c r="B19" i="48" s="1"/>
  <c r="B20" i="48" s="1"/>
  <c r="B21" i="48" s="1"/>
  <c r="B22" i="48" s="1"/>
  <c r="B23" i="48" s="1"/>
  <c r="B24" i="48" s="1"/>
  <c r="B25" i="48" s="1"/>
  <c r="B26" i="48" s="1"/>
  <c r="B27" i="48" s="1"/>
  <c r="B28" i="48" s="1"/>
  <c r="B29" i="48" s="1"/>
  <c r="L7" i="48"/>
  <c r="K7" i="48"/>
  <c r="H7" i="48"/>
  <c r="G7" i="48"/>
  <c r="E7" i="48"/>
  <c r="D7" i="48"/>
  <c r="K35" i="48" l="1"/>
  <c r="H37" i="48"/>
  <c r="F25" i="48"/>
  <c r="F32" i="48"/>
  <c r="J32" i="48" s="1"/>
  <c r="I25" i="48"/>
  <c r="I29" i="48"/>
  <c r="F30" i="48"/>
  <c r="J30" i="48" s="1"/>
  <c r="E35" i="48"/>
  <c r="F11" i="48"/>
  <c r="D37" i="48"/>
  <c r="J22" i="48"/>
  <c r="E37" i="48"/>
  <c r="I11" i="48"/>
  <c r="I37" i="48" s="1"/>
  <c r="B12" i="6" s="1"/>
  <c r="G37" i="48"/>
  <c r="I14" i="48"/>
  <c r="I22" i="48"/>
  <c r="L35" i="48"/>
  <c r="I26" i="48"/>
  <c r="I28" i="48"/>
  <c r="N22" i="48"/>
  <c r="D35" i="48"/>
  <c r="I8" i="48"/>
  <c r="J8" i="48" s="1"/>
  <c r="I10" i="48"/>
  <c r="F12" i="48"/>
  <c r="I13" i="48"/>
  <c r="J13" i="48" s="1"/>
  <c r="F15" i="48"/>
  <c r="M16" i="48"/>
  <c r="N16" i="48" s="1"/>
  <c r="F18" i="48"/>
  <c r="F21" i="48"/>
  <c r="M23" i="48"/>
  <c r="N23" i="48" s="1"/>
  <c r="F31" i="48"/>
  <c r="F33" i="48"/>
  <c r="G35" i="48"/>
  <c r="J23" i="48"/>
  <c r="H35" i="48"/>
  <c r="F9" i="48"/>
  <c r="J9" i="48" s="1"/>
  <c r="M10" i="48"/>
  <c r="I12" i="48"/>
  <c r="N12" i="48" s="1"/>
  <c r="F14" i="48"/>
  <c r="J14" i="48" s="1"/>
  <c r="I15" i="48"/>
  <c r="F17" i="48"/>
  <c r="J17" i="48" s="1"/>
  <c r="I18" i="48"/>
  <c r="N18" i="48" s="1"/>
  <c r="M19" i="48"/>
  <c r="N19" i="48" s="1"/>
  <c r="I21" i="48"/>
  <c r="F24" i="48"/>
  <c r="J24" i="48" s="1"/>
  <c r="F26" i="48"/>
  <c r="J26" i="48" s="1"/>
  <c r="F28" i="48"/>
  <c r="J28" i="48" s="1"/>
  <c r="I31" i="48"/>
  <c r="I33" i="48"/>
  <c r="N64" i="50"/>
  <c r="K65" i="50"/>
  <c r="M29" i="50"/>
  <c r="K34" i="50"/>
  <c r="J11" i="48"/>
  <c r="N14" i="48"/>
  <c r="J16" i="48"/>
  <c r="N17" i="48"/>
  <c r="J19" i="48"/>
  <c r="J25" i="48"/>
  <c r="J27" i="48"/>
  <c r="J29" i="48"/>
  <c r="I7" i="48"/>
  <c r="M7" i="48"/>
  <c r="F7" i="48"/>
  <c r="F37" i="48" l="1"/>
  <c r="N10" i="48"/>
  <c r="J12" i="48"/>
  <c r="J33" i="48"/>
  <c r="J31" i="48"/>
  <c r="J21" i="48"/>
  <c r="M35" i="48"/>
  <c r="J10" i="48"/>
  <c r="J18" i="48"/>
  <c r="J15" i="48"/>
  <c r="N65" i="50"/>
  <c r="K66" i="50"/>
  <c r="N29" i="50"/>
  <c r="M30" i="50"/>
  <c r="J7" i="48"/>
  <c r="F35" i="48"/>
  <c r="N7" i="48"/>
  <c r="I35" i="48"/>
  <c r="J35" i="48" l="1"/>
  <c r="N66" i="50"/>
  <c r="K67" i="50"/>
  <c r="N30" i="50"/>
  <c r="M31" i="50"/>
  <c r="N67" i="50" l="1"/>
  <c r="N68" i="50" s="1"/>
  <c r="K68" i="50"/>
  <c r="M32" i="50"/>
  <c r="N31" i="50"/>
  <c r="M33" i="50" l="1"/>
  <c r="N32" i="50"/>
  <c r="M34" i="50" l="1"/>
  <c r="N33" i="50"/>
  <c r="Q311" i="50" l="1"/>
  <c r="N34" i="50"/>
  <c r="C20" i="7" l="1"/>
  <c r="E24" i="7" l="1"/>
  <c r="E26" i="7"/>
  <c r="E25" i="7"/>
  <c r="AF84" i="7"/>
  <c r="AH84" i="7" s="1"/>
  <c r="E78" i="7"/>
  <c r="E77" i="7"/>
  <c r="D79" i="7"/>
  <c r="D78" i="7" s="1"/>
  <c r="F69" i="7" l="1"/>
  <c r="D69" i="7"/>
  <c r="D51" i="7" l="1"/>
  <c r="C80" i="7" l="1"/>
  <c r="AF41" i="7"/>
  <c r="B31" i="7" l="1"/>
  <c r="B30" i="7"/>
  <c r="B29" i="7"/>
  <c r="D29" i="7" s="1"/>
  <c r="E31" i="7"/>
  <c r="G31" i="7" s="1"/>
  <c r="E30" i="7"/>
  <c r="E29" i="7"/>
  <c r="G29" i="7" s="1"/>
  <c r="B26" i="7"/>
  <c r="B25" i="7"/>
  <c r="B24" i="7"/>
  <c r="D31" i="7"/>
  <c r="G30" i="7"/>
  <c r="D30" i="7"/>
  <c r="D32" i="7" l="1"/>
  <c r="C6" i="6" s="1"/>
  <c r="G32" i="7"/>
  <c r="B6" i="6" s="1"/>
  <c r="D54" i="7" l="1"/>
  <c r="D89" i="7" l="1"/>
  <c r="C70" i="7"/>
  <c r="K70" i="7"/>
  <c r="AF42" i="7" l="1"/>
  <c r="B25" i="6"/>
  <c r="G89" i="7"/>
  <c r="H66" i="7" l="1"/>
  <c r="H67" i="7"/>
  <c r="H68" i="7"/>
  <c r="G69" i="7"/>
  <c r="H69" i="7" l="1"/>
  <c r="G54" i="7"/>
  <c r="G53" i="7"/>
  <c r="G51" i="7"/>
  <c r="G48" i="7"/>
  <c r="D47" i="7"/>
  <c r="G78" i="7"/>
  <c r="G77" i="7"/>
  <c r="B11" i="6" l="1"/>
  <c r="C11" i="6"/>
  <c r="G80" i="7"/>
  <c r="C9" i="6" s="1"/>
  <c r="B78" i="7"/>
  <c r="H78" i="7" s="1"/>
  <c r="F80" i="7"/>
  <c r="E82" i="7" s="1"/>
  <c r="B77" i="7"/>
  <c r="D77" i="7" s="1"/>
  <c r="B76" i="7"/>
  <c r="H76" i="7" s="1"/>
  <c r="B68" i="7"/>
  <c r="H65" i="7"/>
  <c r="H64" i="7"/>
  <c r="H63" i="7"/>
  <c r="H62" i="7"/>
  <c r="H61" i="7"/>
  <c r="O60" i="7"/>
  <c r="H60" i="7"/>
  <c r="AD59" i="7"/>
  <c r="AC59" i="7"/>
  <c r="N59" i="7"/>
  <c r="N58" i="7"/>
  <c r="N57" i="7"/>
  <c r="H57" i="7"/>
  <c r="Q56" i="7"/>
  <c r="H56" i="7"/>
  <c r="P56" i="7"/>
  <c r="G55" i="7"/>
  <c r="G70" i="7" s="1"/>
  <c r="N55" i="7"/>
  <c r="O55" i="7" s="1"/>
  <c r="Y54" i="7"/>
  <c r="N54" i="7"/>
  <c r="O54" i="7" s="1"/>
  <c r="U54" i="7"/>
  <c r="W54" i="7" s="1"/>
  <c r="N53" i="7"/>
  <c r="O53" i="7" s="1"/>
  <c r="D53" i="7"/>
  <c r="N52" i="7"/>
  <c r="O52" i="7" s="1"/>
  <c r="D52" i="7"/>
  <c r="H52" i="7" s="1"/>
  <c r="T51" i="7"/>
  <c r="B50" i="7"/>
  <c r="N50" i="7" s="1"/>
  <c r="H49" i="7"/>
  <c r="N49" i="7"/>
  <c r="O49" i="7" s="1"/>
  <c r="N48" i="7"/>
  <c r="O48" i="7" s="1"/>
  <c r="D48" i="7"/>
  <c r="L70" i="7"/>
  <c r="H47" i="7"/>
  <c r="N47" i="7"/>
  <c r="O47" i="7" s="1"/>
  <c r="D46" i="7"/>
  <c r="H46" i="7" s="1"/>
  <c r="B45" i="7"/>
  <c r="N45" i="7" s="1"/>
  <c r="O45" i="7" s="1"/>
  <c r="B44" i="7"/>
  <c r="N44" i="7" s="1"/>
  <c r="O44" i="7" s="1"/>
  <c r="T43" i="7"/>
  <c r="B43" i="7"/>
  <c r="N43" i="7" s="1"/>
  <c r="O43" i="7" s="1"/>
  <c r="F70" i="7"/>
  <c r="B42" i="7"/>
  <c r="D42" i="7" s="1"/>
  <c r="N41" i="7"/>
  <c r="O41" i="7" s="1"/>
  <c r="E41" i="7"/>
  <c r="D41" i="7"/>
  <c r="G26" i="7"/>
  <c r="D26" i="7"/>
  <c r="G25" i="7"/>
  <c r="D25" i="7"/>
  <c r="G24" i="7"/>
  <c r="D24" i="7"/>
  <c r="F20" i="7"/>
  <c r="G19" i="7"/>
  <c r="D19" i="7"/>
  <c r="E18" i="7"/>
  <c r="G18" i="7" s="1"/>
  <c r="G20" i="7" s="1"/>
  <c r="G15" i="7"/>
  <c r="D15" i="7"/>
  <c r="H14" i="7"/>
  <c r="H13" i="7"/>
  <c r="H12" i="7"/>
  <c r="H15" i="7" s="1"/>
  <c r="F15" i="7"/>
  <c r="C15" i="7"/>
  <c r="C4" i="6"/>
  <c r="B4" i="6"/>
  <c r="C3" i="6"/>
  <c r="B3" i="6"/>
  <c r="D44" i="7" l="1"/>
  <c r="H44" i="7" s="1"/>
  <c r="N42" i="7"/>
  <c r="O42" i="7" s="1"/>
  <c r="D80" i="7"/>
  <c r="D81" i="7" s="1"/>
  <c r="H25" i="7"/>
  <c r="H24" i="7"/>
  <c r="H26" i="7"/>
  <c r="D27" i="7"/>
  <c r="D43" i="7"/>
  <c r="H43" i="7" s="1"/>
  <c r="R56" i="7"/>
  <c r="H41" i="7"/>
  <c r="G27" i="7"/>
  <c r="B5" i="6" s="1"/>
  <c r="B7" i="6" s="1"/>
  <c r="H48" i="7"/>
  <c r="H51" i="7"/>
  <c r="H77" i="7"/>
  <c r="H80" i="7" s="1"/>
  <c r="H53" i="7"/>
  <c r="V57" i="7"/>
  <c r="H54" i="7"/>
  <c r="D50" i="7"/>
  <c r="D55" i="7"/>
  <c r="H55" i="7" s="1"/>
  <c r="N56" i="7"/>
  <c r="D45" i="7"/>
  <c r="H45" i="7" s="1"/>
  <c r="D18" i="7"/>
  <c r="N51" i="7"/>
  <c r="O51" i="7" s="1"/>
  <c r="H42" i="7" l="1"/>
  <c r="D70" i="7"/>
  <c r="H27" i="7"/>
  <c r="C5" i="6"/>
  <c r="C7" i="6" s="1"/>
  <c r="G92" i="7"/>
  <c r="F71" i="7"/>
  <c r="C8" i="6"/>
  <c r="C10" i="6" s="1"/>
  <c r="D20" i="7"/>
  <c r="H18" i="7"/>
  <c r="H20" i="7" s="1"/>
  <c r="O50" i="7"/>
  <c r="O70" i="7" s="1"/>
  <c r="H50" i="7"/>
  <c r="B9" i="6"/>
  <c r="H70" i="7" l="1"/>
  <c r="C13" i="6"/>
  <c r="C14" i="6"/>
  <c r="D96" i="7"/>
  <c r="C71" i="7"/>
  <c r="D92" i="7"/>
  <c r="B8" i="6"/>
  <c r="B10" i="6" s="1"/>
  <c r="B24" i="6" l="1"/>
  <c r="B26" i="6" s="1"/>
  <c r="B13" i="6"/>
  <c r="B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Leconte DOSSA</author>
  </authors>
  <commentList>
    <comment ref="A76" authorId="0" shapeId="0" xr:uid="{A683403D-BB20-4413-AD29-C47D99BAD7F5}">
      <text>
        <r>
          <rPr>
            <b/>
            <sz val="9"/>
            <color indexed="81"/>
            <rFont val="Tahoma"/>
            <family val="2"/>
          </rPr>
          <t>Leconte DOSSA:</t>
        </r>
        <r>
          <rPr>
            <sz val="9"/>
            <color indexed="81"/>
            <rFont val="Tahoma"/>
            <family val="2"/>
          </rPr>
          <t xml:space="preserve">
Source Site Opérateur </t>
        </r>
      </text>
    </comment>
    <comment ref="A77" authorId="0" shapeId="0" xr:uid="{44A9FA88-9E40-4896-8467-41CDADE89B53}">
      <text>
        <r>
          <rPr>
            <b/>
            <sz val="9"/>
            <color indexed="81"/>
            <rFont val="Tahoma"/>
            <family val="2"/>
          </rPr>
          <t>Leconte DOSSA:</t>
        </r>
        <r>
          <rPr>
            <sz val="9"/>
            <color indexed="81"/>
            <rFont val="Tahoma"/>
            <family val="2"/>
          </rPr>
          <t xml:space="preserve">
Source Site Opérateur </t>
        </r>
      </text>
    </comment>
    <comment ref="A78" authorId="0" shapeId="0" xr:uid="{181A070C-573D-432B-9150-54D13563030F}">
      <text>
        <r>
          <rPr>
            <b/>
            <sz val="9"/>
            <color indexed="81"/>
            <rFont val="Tahoma"/>
            <family val="2"/>
          </rPr>
          <t>Leconte DOSSA:</t>
        </r>
        <r>
          <rPr>
            <sz val="9"/>
            <color indexed="81"/>
            <rFont val="Tahoma"/>
            <family val="2"/>
          </rPr>
          <t xml:space="preserve">
Source Site Opérateur</t>
        </r>
      </text>
    </comment>
    <comment ref="A85" authorId="0" shapeId="0" xr:uid="{528BDAA6-26F1-4902-A5C3-452F60C45B6B}">
      <text>
        <r>
          <rPr>
            <b/>
            <sz val="9"/>
            <color indexed="81"/>
            <rFont val="Tahoma"/>
            <family val="2"/>
          </rPr>
          <t>Leconte DOSSA:</t>
        </r>
        <r>
          <rPr>
            <sz val="9"/>
            <color indexed="81"/>
            <rFont val="Tahoma"/>
            <family val="2"/>
          </rPr>
          <t xml:space="preserve">
Source EDCH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Leconte DOSSA</author>
  </authors>
  <commentList>
    <comment ref="A76" authorId="0" shapeId="0" xr:uid="{AB51E49C-C014-40FE-BF6C-0FE5B86D4F64}">
      <text>
        <r>
          <rPr>
            <b/>
            <sz val="9"/>
            <color indexed="81"/>
            <rFont val="Tahoma"/>
            <family val="2"/>
          </rPr>
          <t>Leconte DOSSA:</t>
        </r>
        <r>
          <rPr>
            <sz val="9"/>
            <color indexed="81"/>
            <rFont val="Tahoma"/>
            <family val="2"/>
          </rPr>
          <t xml:space="preserve">
Source Site Opérateur </t>
        </r>
      </text>
    </comment>
    <comment ref="A77" authorId="0" shapeId="0" xr:uid="{E8958BB2-5536-4F61-99C2-C635CA48D3E8}">
      <text>
        <r>
          <rPr>
            <b/>
            <sz val="9"/>
            <color indexed="81"/>
            <rFont val="Tahoma"/>
            <family val="2"/>
          </rPr>
          <t>Leconte DOSSA:</t>
        </r>
        <r>
          <rPr>
            <sz val="9"/>
            <color indexed="81"/>
            <rFont val="Tahoma"/>
            <family val="2"/>
          </rPr>
          <t xml:space="preserve">
Source Site Opérateur </t>
        </r>
      </text>
    </comment>
    <comment ref="A78" authorId="0" shapeId="0" xr:uid="{822EE6E5-1BB7-4E6C-9F55-9F13A0CE407F}">
      <text>
        <r>
          <rPr>
            <b/>
            <sz val="9"/>
            <color indexed="81"/>
            <rFont val="Tahoma"/>
            <family val="2"/>
          </rPr>
          <t>Leconte DOSSA:</t>
        </r>
        <r>
          <rPr>
            <sz val="9"/>
            <color indexed="81"/>
            <rFont val="Tahoma"/>
            <family val="2"/>
          </rPr>
          <t xml:space="preserve">
Source Site Opérateur</t>
        </r>
      </text>
    </comment>
    <comment ref="A85" authorId="0" shapeId="0" xr:uid="{ECE5F99E-0127-4D7C-8D5D-CC2E2FD1EECE}">
      <text>
        <r>
          <rPr>
            <b/>
            <sz val="9"/>
            <color indexed="81"/>
            <rFont val="Tahoma"/>
            <family val="2"/>
          </rPr>
          <t>Leconte DOSSA:</t>
        </r>
        <r>
          <rPr>
            <sz val="9"/>
            <color indexed="81"/>
            <rFont val="Tahoma"/>
            <family val="2"/>
          </rPr>
          <t xml:space="preserve">
Source EDCH</t>
        </r>
      </text>
    </comment>
  </commentList>
</comments>
</file>

<file path=xl/sharedStrings.xml><?xml version="1.0" encoding="utf-8"?>
<sst xmlns="http://schemas.openxmlformats.org/spreadsheetml/2006/main" count="2032" uniqueCount="661">
  <si>
    <t xml:space="preserve">RUBRIQUES </t>
  </si>
  <si>
    <t xml:space="preserve">REVENU INTERCO </t>
  </si>
  <si>
    <t xml:space="preserve">CHARGES INTERCO </t>
  </si>
  <si>
    <t>INTERCO NATIONAL VOIX HT</t>
  </si>
  <si>
    <t>INTERCO NATIONAL SMS HT</t>
  </si>
  <si>
    <t xml:space="preserve">RN NATIONAL SBIN </t>
  </si>
  <si>
    <t>RN NATIONAL MTN</t>
  </si>
  <si>
    <t>TOTAL (1) HT</t>
  </si>
  <si>
    <t>INTERNATIONAL VOIX HT</t>
  </si>
  <si>
    <t>INTERNATIONAL SMS HT</t>
  </si>
  <si>
    <t>TOTAL (2) HT</t>
  </si>
  <si>
    <t>ROAMING (3) HT</t>
  </si>
  <si>
    <t xml:space="preserve">Provisions DIOT (Avril.25) (6) </t>
  </si>
  <si>
    <t>Provisions DIOT (Mar.25)(5)</t>
  </si>
  <si>
    <t>TOTAL 4 (1+2+3)  HT</t>
  </si>
  <si>
    <t>GRAND TOTAL (4+5+6) HT</t>
  </si>
  <si>
    <t xml:space="preserve">ENREGISTREMENT </t>
  </si>
  <si>
    <t>Référence: ENG.OPT.04</t>
  </si>
  <si>
    <t>Indice de révision: 00</t>
  </si>
  <si>
    <t>Créé le: 13/07/2012</t>
  </si>
  <si>
    <t>Dernière modif le:</t>
  </si>
  <si>
    <t>POINT DES CREANCES ET DETTES DES CARRIERS SUR LE TRAFIC</t>
  </si>
  <si>
    <t>Pagination: page 1 sur 1</t>
  </si>
  <si>
    <t xml:space="preserve">NATIONAL </t>
  </si>
  <si>
    <t>INCOMING</t>
  </si>
  <si>
    <t>OUTGOING</t>
  </si>
  <si>
    <t xml:space="preserve">TRAFIC VOIX NATIONAL </t>
  </si>
  <si>
    <t>TA</t>
  </si>
  <si>
    <t>TRAFIC</t>
  </si>
  <si>
    <t>REVENU</t>
  </si>
  <si>
    <t xml:space="preserve">CHARGES </t>
  </si>
  <si>
    <t>BALANCE</t>
  </si>
  <si>
    <t xml:space="preserve">MTN (en minutes ) </t>
  </si>
  <si>
    <t xml:space="preserve">SBIN MOBILE (en minutes ) </t>
  </si>
  <si>
    <t xml:space="preserve">SBIN FIXE (en minutes ) </t>
  </si>
  <si>
    <t>SOUS TOTAL</t>
  </si>
  <si>
    <t xml:space="preserve">TRAFIC SMS NATIONAL </t>
  </si>
  <si>
    <t>MTN SMS (Unités)</t>
  </si>
  <si>
    <t>SBIN SMS  (Unités)</t>
  </si>
  <si>
    <t xml:space="preserve">TRAFIC ROAMING  NATIONAL VOIX  </t>
  </si>
  <si>
    <t xml:space="preserve">TRAFIC ROAMING NATIONAL </t>
  </si>
  <si>
    <t xml:space="preserve">SBIN </t>
  </si>
  <si>
    <t xml:space="preserve">SBIN VOIX (en minutes ) </t>
  </si>
  <si>
    <t>SBIN DATA  (en Go)</t>
  </si>
  <si>
    <t xml:space="preserve">MTN </t>
  </si>
  <si>
    <t xml:space="preserve">MTN VOIX (en minutes ) </t>
  </si>
  <si>
    <t>MTN SMS  (Unités)</t>
  </si>
  <si>
    <t>MTN DATA  (en Go)</t>
  </si>
  <si>
    <t>INTERNATIONAL VOIX</t>
  </si>
  <si>
    <t>TRAFIC FREE ROAMING</t>
  </si>
  <si>
    <t xml:space="preserve">ENTRANT </t>
  </si>
  <si>
    <t xml:space="preserve">SORTANT </t>
  </si>
  <si>
    <t xml:space="preserve">ORANGE BF (en minutes ) </t>
  </si>
  <si>
    <t xml:space="preserve">BELGA VOIX(en minutes ) </t>
  </si>
  <si>
    <t xml:space="preserve">BTI(en minutes ) </t>
  </si>
  <si>
    <t xml:space="preserve">ORANGE (en minutes ) </t>
  </si>
  <si>
    <t xml:space="preserve">PCCW(en minutes ) </t>
  </si>
  <si>
    <t xml:space="preserve">ORANGE CI </t>
  </si>
  <si>
    <t xml:space="preserve">TOGO TELECOM (en minutes ) </t>
  </si>
  <si>
    <t xml:space="preserve">ZAMANI TELECOMS </t>
  </si>
  <si>
    <t xml:space="preserve">FREE SENEGAL </t>
  </si>
  <si>
    <t xml:space="preserve">MT (en minutes ) </t>
  </si>
  <si>
    <t xml:space="preserve">MOOV TGO (en minutes ) </t>
  </si>
  <si>
    <t xml:space="preserve">MOOV NIGER (en minutes ) </t>
  </si>
  <si>
    <t xml:space="preserve">MOOV CI (en minutes ) </t>
  </si>
  <si>
    <t xml:space="preserve">ONATEL(en minutes ) </t>
  </si>
  <si>
    <t>MOOV GABON T</t>
  </si>
  <si>
    <t xml:space="preserve">TRANSIT MV CI (en minutes ) </t>
  </si>
  <si>
    <t xml:space="preserve">TRANSIT GT (en minutes ) </t>
  </si>
  <si>
    <t xml:space="preserve">TRANSIT SOTELMA (en minutes ) </t>
  </si>
  <si>
    <t xml:space="preserve">TRANSIT MV NIGER (en minutes ) </t>
  </si>
  <si>
    <t xml:space="preserve">TRANSIT MOOV CAF (en minutes ) </t>
  </si>
  <si>
    <t xml:space="preserve">TRANSIT MAURITEL (en minutes ) </t>
  </si>
  <si>
    <t xml:space="preserve">TRANSIT ONATEL (en minutes ) </t>
  </si>
  <si>
    <t xml:space="preserve">TRANSIT MOOV TGO (en minutes ) </t>
  </si>
  <si>
    <t xml:space="preserve">TRANSIT TIGO TCHAD (en minutes ) </t>
  </si>
  <si>
    <t xml:space="preserve">TRANSIT TOGO TELECOM (en minutes ) </t>
  </si>
  <si>
    <t xml:space="preserve">TRANSIT ORANGE SENEGAL (en minutes ) </t>
  </si>
  <si>
    <t xml:space="preserve">TRANSIT ORANGE CI (en minutes) </t>
  </si>
  <si>
    <t xml:space="preserve">TRANSIT LIBON (en minutes </t>
  </si>
  <si>
    <t xml:space="preserve">AVOIR MA MALITEL </t>
  </si>
  <si>
    <t>TOTAL</t>
  </si>
  <si>
    <t>INTERNATIONAL SMS</t>
  </si>
  <si>
    <t>BELGA A2P  (Unités)</t>
  </si>
  <si>
    <t>BELGA SMSI  (Unités)</t>
  </si>
  <si>
    <t>SAP  (Unités)</t>
  </si>
  <si>
    <t>SBIN A2P</t>
  </si>
  <si>
    <t xml:space="preserve">ROAMING VISITEUR REVENU </t>
  </si>
  <si>
    <t>ROAMING VOYAGEUR CHARGES</t>
  </si>
  <si>
    <t xml:space="preserve">USAGE </t>
  </si>
  <si>
    <t xml:space="preserve">TRAFIC </t>
  </si>
  <si>
    <t xml:space="preserve">REVENU </t>
  </si>
  <si>
    <t xml:space="preserve">Roaming </t>
  </si>
  <si>
    <t xml:space="preserve">VOIX MO </t>
  </si>
  <si>
    <t xml:space="preserve">VOIX MT </t>
  </si>
  <si>
    <t xml:space="preserve">SMS </t>
  </si>
  <si>
    <t xml:space="preserve">DATA </t>
  </si>
  <si>
    <t xml:space="preserve">TOTAL </t>
  </si>
  <si>
    <t>Aggregated Data</t>
  </si>
  <si>
    <t>Rating Scenario:EN-RTRAN</t>
  </si>
  <si>
    <t>Billing Operator:MT-BEN</t>
  </si>
  <si>
    <t>Rating Scenario:ENT-COUR</t>
  </si>
  <si>
    <t>Rating Scenario:ENT-FIX</t>
  </si>
  <si>
    <t>Billing Operator:SBIN</t>
  </si>
  <si>
    <t>Rating Scenario:ENT-INT</t>
  </si>
  <si>
    <t>Billing Operator:BELGA</t>
  </si>
  <si>
    <t>Billing Operator:FRSN</t>
  </si>
  <si>
    <t>Billing Operator:FT</t>
  </si>
  <si>
    <t>Billing Operator:GA-TEL</t>
  </si>
  <si>
    <t>Billing Operator:MATEL</t>
  </si>
  <si>
    <t>Billing Operator:MV-NE</t>
  </si>
  <si>
    <t>Billing Operator:MV-RCI</t>
  </si>
  <si>
    <t>Billing Operator:MV-TOG</t>
  </si>
  <si>
    <t>Billing Operator:ONATEL</t>
  </si>
  <si>
    <t>Billing Operator:TOGOTL</t>
  </si>
  <si>
    <t>Billing Operator:ZAMANI</t>
  </si>
  <si>
    <t>Rating Scenario:ENT-MOBR</t>
  </si>
  <si>
    <t>Rating Scenario:ENT-NAT</t>
  </si>
  <si>
    <t>Rating Scenario:ENT-RFIX</t>
  </si>
  <si>
    <t>Rating Scenario:ENT-RNAT</t>
  </si>
  <si>
    <t>Rating Scenario:ENT-RNMT</t>
  </si>
  <si>
    <t>Rating Scenario:ENT-RSMS</t>
  </si>
  <si>
    <t>Rating Scenario:ENT-SA2P</t>
  </si>
  <si>
    <t>Rating Scenario:ENT-SMSI</t>
  </si>
  <si>
    <t>Billing Operator:SYB</t>
  </si>
  <si>
    <t>Rating Scenario:ENT-SMSN</t>
  </si>
  <si>
    <t>Rating Scenario:ENT-TRAN</t>
  </si>
  <si>
    <t>Billing Operator:MAURIT</t>
  </si>
  <si>
    <t>Billing Operator:MV-CAF</t>
  </si>
  <si>
    <t>Billing Operator:OCI</t>
  </si>
  <si>
    <t>Billing Operator:SOTLMA</t>
  </si>
  <si>
    <t>Billing Operator:TCD-TI</t>
  </si>
  <si>
    <t>Rating Scenario:ENTIRSMS</t>
  </si>
  <si>
    <t>Rating Scenario:SMS-VAS</t>
  </si>
  <si>
    <t>Billing Operator:ADK</t>
  </si>
  <si>
    <t>Billing Operator:AROLIT</t>
  </si>
  <si>
    <t>Billing Operator:ASIN</t>
  </si>
  <si>
    <t>Billing Operator:ETAPES</t>
  </si>
  <si>
    <t>Billing Operator:VAS</t>
  </si>
  <si>
    <t>Billing Operator:WIREPK</t>
  </si>
  <si>
    <t>Rating Scenario:SMSVASIN</t>
  </si>
  <si>
    <t>Billing Operator:WEBAPI</t>
  </si>
  <si>
    <t>Rating Scenario:SMSVASOF</t>
  </si>
  <si>
    <t>Rating Scenario:SMSVASON</t>
  </si>
  <si>
    <t>Billing Operator:ASSI</t>
  </si>
  <si>
    <t>Billing Operator:DIAMND</t>
  </si>
  <si>
    <t>Rating Scenario:SO-RTRAN</t>
  </si>
  <si>
    <t>Rating Scenario:SOR-COUR</t>
  </si>
  <si>
    <t>Billing Operator:AFRICA</t>
  </si>
  <si>
    <t>Billing Operator:CORIS</t>
  </si>
  <si>
    <t>Billing Operator:ISOCEL</t>
  </si>
  <si>
    <t>Billing Operator:MAUTO</t>
  </si>
  <si>
    <t>Billing Operator:PAM</t>
  </si>
  <si>
    <t>Billing Operator:SBEE</t>
  </si>
  <si>
    <t>Billing Operator:SOFRCO</t>
  </si>
  <si>
    <t>Rating Scenario:SOR-FIX</t>
  </si>
  <si>
    <t>Rating Scenario:SOR-INT</t>
  </si>
  <si>
    <t>Rating Scenario:SOR-MOB</t>
  </si>
  <si>
    <t>Rating Scenario:SOR-RFIX</t>
  </si>
  <si>
    <t>Rating Scenario:SOR-RNAT</t>
  </si>
  <si>
    <t>Rating Scenario:SOR-RNMT</t>
  </si>
  <si>
    <t>Rating Scenario:SOR-RNV</t>
  </si>
  <si>
    <t>Rating Scenario:SOR-RSMS</t>
  </si>
  <si>
    <t>Rating Scenario:SOR-RVAS</t>
  </si>
  <si>
    <t>Rating Scenario:SOR-SMSI</t>
  </si>
  <si>
    <t>Rating Scenario:SOR-SMSN</t>
  </si>
  <si>
    <t>Billing Operator:BBC</t>
  </si>
  <si>
    <t>Rating Scenario:SOR-SMSV</t>
  </si>
  <si>
    <t>Rating Scenario:SOR-TRAN</t>
  </si>
  <si>
    <t>Rating Scenario:SORIRNAT</t>
  </si>
  <si>
    <t>CALL ANALYSIS REPORT</t>
  </si>
  <si>
    <t>Client: BEN02</t>
  </si>
  <si>
    <t>Roaming Parnters: ALL</t>
  </si>
  <si>
    <t>Direction: TAP OUT</t>
  </si>
  <si>
    <t>Record Type: ALL</t>
  </si>
  <si>
    <t>Currency: XOF</t>
  </si>
  <si>
    <t>Report Type: Monthly</t>
  </si>
  <si>
    <t>Month and Year From: May-2025</t>
  </si>
  <si>
    <t>Month and Year To: May-2025</t>
  </si>
  <si>
    <t>GPRS</t>
  </si>
  <si>
    <t>MOC</t>
  </si>
  <si>
    <t>MTC</t>
  </si>
  <si>
    <t>MMS</t>
  </si>
  <si>
    <t>Others</t>
  </si>
  <si>
    <t>SMS</t>
  </si>
  <si>
    <t>Voice</t>
  </si>
  <si>
    <t>Client</t>
  </si>
  <si>
    <t>RP Code</t>
  </si>
  <si>
    <t>Roaming Partner Name</t>
  </si>
  <si>
    <t>Direction</t>
  </si>
  <si>
    <t>Year</t>
  </si>
  <si>
    <t>Month</t>
  </si>
  <si>
    <t>Total Calls</t>
  </si>
  <si>
    <t>Duration in min.</t>
  </si>
  <si>
    <t>Ceil Duration in Min.</t>
  </si>
  <si>
    <t>Duration in Sec.</t>
  </si>
  <si>
    <t>Chargeable Units</t>
  </si>
  <si>
    <t>Charged Units</t>
  </si>
  <si>
    <t>Data Volume Incoming (KB)</t>
  </si>
  <si>
    <t>Data Volume Outgoing (KB)</t>
  </si>
  <si>
    <t>Charges (SDR)</t>
  </si>
  <si>
    <t>Tax (SDR)</t>
  </si>
  <si>
    <t>Charges (XOF)</t>
  </si>
  <si>
    <t>Tax (XOF)</t>
  </si>
  <si>
    <t>Total Amount(XOF)</t>
  </si>
  <si>
    <t>Total Amount(SDR)</t>
  </si>
  <si>
    <t>BEN02</t>
  </si>
  <si>
    <t>AAZOR</t>
  </si>
  <si>
    <t>Orange France (M2m Traffic)</t>
  </si>
  <si>
    <t>INBOUND</t>
  </si>
  <si>
    <t>May</t>
  </si>
  <si>
    <t>AAZTD</t>
  </si>
  <si>
    <t>Telekom Deutschland Gmbh</t>
  </si>
  <si>
    <t>AAZVF</t>
  </si>
  <si>
    <t>Vodafone Malta</t>
  </si>
  <si>
    <t>ALBVF</t>
  </si>
  <si>
    <t>Vodafone Albani</t>
  </si>
  <si>
    <t>ARETC</t>
  </si>
  <si>
    <t>Etisalat, Uae</t>
  </si>
  <si>
    <t>BELKO</t>
  </si>
  <si>
    <t>Telnet Group Bvba/Sprl</t>
  </si>
  <si>
    <t>BELMO</t>
  </si>
  <si>
    <t>Mobistar Gsm</t>
  </si>
  <si>
    <t>BELTB</t>
  </si>
  <si>
    <t>Belgacom(Nv/Sa)</t>
  </si>
  <si>
    <t>BELTN</t>
  </si>
  <si>
    <t>BFACT</t>
  </si>
  <si>
    <t>Orange (Airtel) - Bfaso</t>
  </si>
  <si>
    <t>BFAON</t>
  </si>
  <si>
    <t>Telmob</t>
  </si>
  <si>
    <t>BFATL</t>
  </si>
  <si>
    <t>Telecel - Bfaso</t>
  </si>
  <si>
    <t>BRARN</t>
  </si>
  <si>
    <t>Tim - Brarn</t>
  </si>
  <si>
    <t>BRASP</t>
  </si>
  <si>
    <t>Tim - Brasp</t>
  </si>
  <si>
    <t>CAFAT</t>
  </si>
  <si>
    <t>Acell-Rca</t>
  </si>
  <si>
    <t>CANBM</t>
  </si>
  <si>
    <t>Bell Mobility</t>
  </si>
  <si>
    <t>CANMC</t>
  </si>
  <si>
    <t>Fido-Canada</t>
  </si>
  <si>
    <t>CANOB</t>
  </si>
  <si>
    <t>Sasktel Canada (Bics)</t>
  </si>
  <si>
    <t>CANRW</t>
  </si>
  <si>
    <t>Rogers - Canada</t>
  </si>
  <si>
    <t>CANTS</t>
  </si>
  <si>
    <t>Telus</t>
  </si>
  <si>
    <t>CANVT</t>
  </si>
  <si>
    <t>Videotron</t>
  </si>
  <si>
    <t>CHEC1</t>
  </si>
  <si>
    <t>Swisscom(Switzerland)Ltd</t>
  </si>
  <si>
    <t>CHEDX</t>
  </si>
  <si>
    <t>Sunrise Communications Ag</t>
  </si>
  <si>
    <t>CHNCU</t>
  </si>
  <si>
    <t>China Unicom</t>
  </si>
  <si>
    <t>CHNDX</t>
  </si>
  <si>
    <t>China Telecom</t>
  </si>
  <si>
    <t>CIV02</t>
  </si>
  <si>
    <t>Moov(A-Cell)</t>
  </si>
  <si>
    <t>CIV03</t>
  </si>
  <si>
    <t>Orange-Ivory C</t>
  </si>
  <si>
    <t>CMR02</t>
  </si>
  <si>
    <t>Orange Cameroun</t>
  </si>
  <si>
    <t>CMRMT</t>
  </si>
  <si>
    <t>Mtn - Cameroon</t>
  </si>
  <si>
    <t>CODFT</t>
  </si>
  <si>
    <t>Congo China</t>
  </si>
  <si>
    <t>CODSA</t>
  </si>
  <si>
    <t>Oasis Sprl</t>
  </si>
  <si>
    <t>CODVC</t>
  </si>
  <si>
    <t>Vodacom - Congo</t>
  </si>
  <si>
    <t>COGCT</t>
  </si>
  <si>
    <t>Airtel - Congo</t>
  </si>
  <si>
    <t>CZECM</t>
  </si>
  <si>
    <t>Vodafone , Czech Republic</t>
  </si>
  <si>
    <t>DEUD1</t>
  </si>
  <si>
    <t>T-Mobile,German</t>
  </si>
  <si>
    <t>DEUD2</t>
  </si>
  <si>
    <t>Vodafone German</t>
  </si>
  <si>
    <t>DEUE1</t>
  </si>
  <si>
    <t>E-Plus, Germany</t>
  </si>
  <si>
    <t>DEUE2</t>
  </si>
  <si>
    <t>O2 (Germany) Gm</t>
  </si>
  <si>
    <t>DNKDM</t>
  </si>
  <si>
    <t>Telenor A/S</t>
  </si>
  <si>
    <t>EGYAR</t>
  </si>
  <si>
    <t>Orange Egypt</t>
  </si>
  <si>
    <t>EGYEM</t>
  </si>
  <si>
    <t>Etisalat Misr</t>
  </si>
  <si>
    <t>EGYMS</t>
  </si>
  <si>
    <t>Vodafone Egypt</t>
  </si>
  <si>
    <t>EMNDE</t>
  </si>
  <si>
    <t>Emnify Gmbh</t>
  </si>
  <si>
    <t>ESPAT</t>
  </si>
  <si>
    <t>Vodafone Espana</t>
  </si>
  <si>
    <t>ESPRT</t>
  </si>
  <si>
    <t>Orange Spain</t>
  </si>
  <si>
    <t>ESPTE</t>
  </si>
  <si>
    <t>Telefonica, Spn</t>
  </si>
  <si>
    <t>ESPVV</t>
  </si>
  <si>
    <t>Vadafone Spain</t>
  </si>
  <si>
    <t>ESTRE</t>
  </si>
  <si>
    <t>Elisa Mobiilsid</t>
  </si>
  <si>
    <t>ETH01</t>
  </si>
  <si>
    <t>Ethio Telecom</t>
  </si>
  <si>
    <t>FRA09</t>
  </si>
  <si>
    <t>Sfr</t>
  </si>
  <si>
    <t>FRAF1</t>
  </si>
  <si>
    <t>France Telecom</t>
  </si>
  <si>
    <t>FRAF2</t>
  </si>
  <si>
    <t>Sfr - Cegetel</t>
  </si>
  <si>
    <t>FRAF3</t>
  </si>
  <si>
    <t>Bouygues Telecom</t>
  </si>
  <si>
    <t>FRAFM</t>
  </si>
  <si>
    <t>Free Mobile</t>
  </si>
  <si>
    <t>FRARE</t>
  </si>
  <si>
    <t>Sfr Reunionaise</t>
  </si>
  <si>
    <t>GAB01</t>
  </si>
  <si>
    <t>Libertis-Gabon</t>
  </si>
  <si>
    <t>GABCT</t>
  </si>
  <si>
    <t>Airtel - Gabon</t>
  </si>
  <si>
    <t>GBRJT</t>
  </si>
  <si>
    <t>Jt (Jersey)</t>
  </si>
  <si>
    <t>GBRME</t>
  </si>
  <si>
    <t>E &amp; E (T-Mble)</t>
  </si>
  <si>
    <t>GBROR</t>
  </si>
  <si>
    <t>Orange, Uk</t>
  </si>
  <si>
    <t>GBRVF</t>
  </si>
  <si>
    <t>Vodafone, U.K.</t>
  </si>
  <si>
    <t>GEOMA</t>
  </si>
  <si>
    <t>Magticom,Geo</t>
  </si>
  <si>
    <t>GHAGT</t>
  </si>
  <si>
    <t>Vodafone , Ghana</t>
  </si>
  <si>
    <t>GHAMT</t>
  </si>
  <si>
    <t>Millicom</t>
  </si>
  <si>
    <t>GHASC</t>
  </si>
  <si>
    <t>Mtn (Scancom)</t>
  </si>
  <si>
    <t>GHAZN</t>
  </si>
  <si>
    <t>Airtel - Ghana</t>
  </si>
  <si>
    <t>GINFT</t>
  </si>
  <si>
    <t>Orange</t>
  </si>
  <si>
    <t>GLPFT</t>
  </si>
  <si>
    <t>Orange Caraibe</t>
  </si>
  <si>
    <t>GMBCM</t>
  </si>
  <si>
    <t>Comium Gambia</t>
  </si>
  <si>
    <t>GNBFT</t>
  </si>
  <si>
    <t>GNBOC</t>
  </si>
  <si>
    <t>Mtn Guinea Bissau</t>
  </si>
  <si>
    <t>GNQHT</t>
  </si>
  <si>
    <t>Green Com S.A.(Hits  Ge Sa)</t>
  </si>
  <si>
    <t>GRCCO</t>
  </si>
  <si>
    <t>Cosmote Gsm</t>
  </si>
  <si>
    <t>GRCPF</t>
  </si>
  <si>
    <t>Vodafone Panafo</t>
  </si>
  <si>
    <t>HKGSM</t>
  </si>
  <si>
    <t>Smartone</t>
  </si>
  <si>
    <t>HUNH2</t>
  </si>
  <si>
    <t>Magyar Telekom</t>
  </si>
  <si>
    <t>HUNVR</t>
  </si>
  <si>
    <t>Vodafone Hungary Ltd</t>
  </si>
  <si>
    <t>IND10</t>
  </si>
  <si>
    <t>Bharti Airtel - Up East</t>
  </si>
  <si>
    <t>IND11</t>
  </si>
  <si>
    <t>Bharti Airtel - Orissa</t>
  </si>
  <si>
    <t>IND12</t>
  </si>
  <si>
    <t>Bharti Airtel - Bihar</t>
  </si>
  <si>
    <t>IND14</t>
  </si>
  <si>
    <t>Bharti Airtel - West Bengal</t>
  </si>
  <si>
    <t>INDA1</t>
  </si>
  <si>
    <t>Bharti Airtel - Mumbai</t>
  </si>
  <si>
    <t>INDA2</t>
  </si>
  <si>
    <t>INDA3</t>
  </si>
  <si>
    <t>Bharti Airtel - Gujarat</t>
  </si>
  <si>
    <t>INDA4</t>
  </si>
  <si>
    <t>Bharti Airtel - Tamil Nadu</t>
  </si>
  <si>
    <t>INDA5</t>
  </si>
  <si>
    <t>Bharti Airtel - Haryana</t>
  </si>
  <si>
    <t>INDA6</t>
  </si>
  <si>
    <t>Bharti Airtel - Up</t>
  </si>
  <si>
    <t>INDA7</t>
  </si>
  <si>
    <t>Bharti Airtel - Kerala</t>
  </si>
  <si>
    <t>INDA8</t>
  </si>
  <si>
    <t>Bharti Airtel - Mp</t>
  </si>
  <si>
    <t>INDA9</t>
  </si>
  <si>
    <t>Bharti Airtel - Punjab</t>
  </si>
  <si>
    <t>INDAT</t>
  </si>
  <si>
    <t>Bharti Airtel - Delhi</t>
  </si>
  <si>
    <t>INDBL</t>
  </si>
  <si>
    <t>Bharti Airtel - Hp</t>
  </si>
  <si>
    <t>INDH1</t>
  </si>
  <si>
    <t>Bharti Airtel - Rajasthan</t>
  </si>
  <si>
    <t>INDJB</t>
  </si>
  <si>
    <t>Bharti Airtel - Karnataka</t>
  </si>
  <si>
    <t>INDJH</t>
  </si>
  <si>
    <t>Bharti Airtel - Ap</t>
  </si>
  <si>
    <t>INDMT</t>
  </si>
  <si>
    <t>Bharti Airtel - Kolkata</t>
  </si>
  <si>
    <t>INDSC</t>
  </si>
  <si>
    <t>Bharti Airtel - Chennai</t>
  </si>
  <si>
    <t>IRLEC</t>
  </si>
  <si>
    <t>Vodafone-Irelnd</t>
  </si>
  <si>
    <t>ISR01</t>
  </si>
  <si>
    <t>Partner Comm</t>
  </si>
  <si>
    <t>ISRPL</t>
  </si>
  <si>
    <t>Pelephone</t>
  </si>
  <si>
    <t>ITAFM</t>
  </si>
  <si>
    <t>Iliad Italia</t>
  </si>
  <si>
    <t>ITAOM</t>
  </si>
  <si>
    <t>Vodafon-Omnitel</t>
  </si>
  <si>
    <t>ITASI</t>
  </si>
  <si>
    <t>Tim S.P.A</t>
  </si>
  <si>
    <t>JORMC</t>
  </si>
  <si>
    <t>Petra Jordanian Mobile</t>
  </si>
  <si>
    <t>JPNJP</t>
  </si>
  <si>
    <t>Softbank Corp.</t>
  </si>
  <si>
    <t>JPNKI</t>
  </si>
  <si>
    <t>Kddi Corporation</t>
  </si>
  <si>
    <t>KENSA</t>
  </si>
  <si>
    <t>Safaricom</t>
  </si>
  <si>
    <t>KORSK</t>
  </si>
  <si>
    <t>Sk Telecom</t>
  </si>
  <si>
    <t>KWTNM</t>
  </si>
  <si>
    <t>Ooredoo(Wataniya Tele)</t>
  </si>
  <si>
    <t>LBNFL</t>
  </si>
  <si>
    <t>Mic 1 S.A.L.</t>
  </si>
  <si>
    <t>LBR07</t>
  </si>
  <si>
    <t>Cellcom Telco.</t>
  </si>
  <si>
    <t>LKA71</t>
  </si>
  <si>
    <t>Mobitel(Pvt)Ltd Gsm-1800 Sri Lanka</t>
  </si>
  <si>
    <t>LUXPT</t>
  </si>
  <si>
    <t>Post Luxembourg</t>
  </si>
  <si>
    <t>LUXTG</t>
  </si>
  <si>
    <t>Tango-Luxemburg</t>
  </si>
  <si>
    <t>LUXVM</t>
  </si>
  <si>
    <t>Orange(Vox.Mbl)</t>
  </si>
  <si>
    <t>LVALM</t>
  </si>
  <si>
    <t>Latvia Mobile</t>
  </si>
  <si>
    <t>MARM1</t>
  </si>
  <si>
    <t>Maroc Telecom Iam</t>
  </si>
  <si>
    <t>MARM3</t>
  </si>
  <si>
    <t>Wana Corporate</t>
  </si>
  <si>
    <t>MDAFT</t>
  </si>
  <si>
    <t>MLI01</t>
  </si>
  <si>
    <t>Malitel Gsm-900</t>
  </si>
  <si>
    <t>MLI02</t>
  </si>
  <si>
    <t>Orange Mali Sa</t>
  </si>
  <si>
    <t>MOZVC</t>
  </si>
  <si>
    <t>Vodacom</t>
  </si>
  <si>
    <t>MRTMM</t>
  </si>
  <si>
    <t>Mauritel Mobile</t>
  </si>
  <si>
    <t>MTX01</t>
  </si>
  <si>
    <t>Mtx Connect</t>
  </si>
  <si>
    <t>MUSEM</t>
  </si>
  <si>
    <t>Emtel Ltd</t>
  </si>
  <si>
    <t>NERCT</t>
  </si>
  <si>
    <t>Airtel - Niger</t>
  </si>
  <si>
    <t>NERFT</t>
  </si>
  <si>
    <t>Orange Niger</t>
  </si>
  <si>
    <t>NERTL</t>
  </si>
  <si>
    <t>Moov Africa Niger</t>
  </si>
  <si>
    <t>NGAEM</t>
  </si>
  <si>
    <t>9mobile</t>
  </si>
  <si>
    <t>NGAET</t>
  </si>
  <si>
    <t>Airtel - Nigeria</t>
  </si>
  <si>
    <t>NGAGM</t>
  </si>
  <si>
    <t>Glo Mobile -Nga</t>
  </si>
  <si>
    <t>NGAMN</t>
  </si>
  <si>
    <t>Mtn Nigeria</t>
  </si>
  <si>
    <t>NLDLT</t>
  </si>
  <si>
    <t>Vodafone-Nld</t>
  </si>
  <si>
    <t>NLDPN</t>
  </si>
  <si>
    <t>T-Mobile - Nld</t>
  </si>
  <si>
    <t>NLDPT</t>
  </si>
  <si>
    <t>Kpn Telecom</t>
  </si>
  <si>
    <t>PAKUF</t>
  </si>
  <si>
    <t>Ptml Ufone Pakistan</t>
  </si>
  <si>
    <t>POL03</t>
  </si>
  <si>
    <t>Ptk-Centertel</t>
  </si>
  <si>
    <t>POLKM</t>
  </si>
  <si>
    <t>Polkomtel,Llc</t>
  </si>
  <si>
    <t>POLP4</t>
  </si>
  <si>
    <t>P4</t>
  </si>
  <si>
    <t>PRTFT</t>
  </si>
  <si>
    <t>Optimus</t>
  </si>
  <si>
    <t>PRTTL</t>
  </si>
  <si>
    <t>Vodafone - Prt</t>
  </si>
  <si>
    <t>PRTTM</t>
  </si>
  <si>
    <t>Meo, Portugal (Tmn)</t>
  </si>
  <si>
    <t>PSEFT</t>
  </si>
  <si>
    <t>Wataniya Mobile</t>
  </si>
  <si>
    <t>QATB1</t>
  </si>
  <si>
    <t>Vodafone Qatar</t>
  </si>
  <si>
    <t>ROM05</t>
  </si>
  <si>
    <t>Rcs &amp; Rds</t>
  </si>
  <si>
    <t>ROMMF</t>
  </si>
  <si>
    <t>Vodafne Romania</t>
  </si>
  <si>
    <t>ROMMR</t>
  </si>
  <si>
    <t>Orange-Romania</t>
  </si>
  <si>
    <t>RUSNW</t>
  </si>
  <si>
    <t>Megafon Pjsc -Russia</t>
  </si>
  <si>
    <t>RUST2</t>
  </si>
  <si>
    <t>Tele2 Russia</t>
  </si>
  <si>
    <t>RWATG</t>
  </si>
  <si>
    <t>Tigo Rwanda</t>
  </si>
  <si>
    <t>SAUAJ</t>
  </si>
  <si>
    <t>Saudi Telecom</t>
  </si>
  <si>
    <t>SAUET</t>
  </si>
  <si>
    <t>Etihad Etisalat</t>
  </si>
  <si>
    <t>SAUZN</t>
  </si>
  <si>
    <t>Mtc Saudi Arabia (Zain)</t>
  </si>
  <si>
    <t>SENAZ</t>
  </si>
  <si>
    <t>Sonatel</t>
  </si>
  <si>
    <t>SENSG</t>
  </si>
  <si>
    <t>Yas Senegal</t>
  </si>
  <si>
    <t>SVKFT</t>
  </si>
  <si>
    <t>Orange Slvk-Hub</t>
  </si>
  <si>
    <t>SVNMT</t>
  </si>
  <si>
    <t>Mobitel,Sloven</t>
  </si>
  <si>
    <t>SWEIQ</t>
  </si>
  <si>
    <t>Tele2, Sweden</t>
  </si>
  <si>
    <t>SYR01</t>
  </si>
  <si>
    <t>Syriatel- Syria</t>
  </si>
  <si>
    <t>TCDCT</t>
  </si>
  <si>
    <t>Airtel - Chad</t>
  </si>
  <si>
    <t>TCDML</t>
  </si>
  <si>
    <t>Milicom (Tigo)</t>
  </si>
  <si>
    <t>TGOTC</t>
  </si>
  <si>
    <t>Togo Cellulaire</t>
  </si>
  <si>
    <t>TGOTL</t>
  </si>
  <si>
    <t>Moov Africa Togo</t>
  </si>
  <si>
    <t>TUNFT</t>
  </si>
  <si>
    <t>Orange Tunisia</t>
  </si>
  <si>
    <t>TUNTA</t>
  </si>
  <si>
    <t>Ooredoo Tunisie Sa</t>
  </si>
  <si>
    <t>TUNTT</t>
  </si>
  <si>
    <t>Tunisie Telecom</t>
  </si>
  <si>
    <t>TURTC</t>
  </si>
  <si>
    <t>Turkcell-Turkey</t>
  </si>
  <si>
    <t>TURTS</t>
  </si>
  <si>
    <t>Vodafone Teleko</t>
  </si>
  <si>
    <t>TZAVC</t>
  </si>
  <si>
    <t>Vodacom Ltd</t>
  </si>
  <si>
    <t>UKRAS</t>
  </si>
  <si>
    <t>Astelit</t>
  </si>
  <si>
    <t>USA44</t>
  </si>
  <si>
    <t>Sprint</t>
  </si>
  <si>
    <t>USAAT</t>
  </si>
  <si>
    <t>At&amp;T - Wireless</t>
  </si>
  <si>
    <t>USACG</t>
  </si>
  <si>
    <t>At &amp; T Usa</t>
  </si>
  <si>
    <t>USAFN</t>
  </si>
  <si>
    <t>At And T Usa</t>
  </si>
  <si>
    <t>USAMF</t>
  </si>
  <si>
    <t>At &amp; T  - U.S.A</t>
  </si>
  <si>
    <t>USAPB</t>
  </si>
  <si>
    <t>Cingular-Usapb</t>
  </si>
  <si>
    <t>USAVZ</t>
  </si>
  <si>
    <t>Verizon Wireless</t>
  </si>
  <si>
    <t>USAW4</t>
  </si>
  <si>
    <t>T-Mobile Usa</t>
  </si>
  <si>
    <t>USAW6</t>
  </si>
  <si>
    <t>ZAFMN</t>
  </si>
  <si>
    <t>Mtn - S.Africa</t>
  </si>
  <si>
    <t>ZAFVC</t>
  </si>
  <si>
    <t>Vodacom - S.A</t>
  </si>
  <si>
    <t>BEN02 Total</t>
  </si>
  <si>
    <t>Direction: TAP IN</t>
  </si>
  <si>
    <t>OUTBOUND</t>
  </si>
  <si>
    <t>CAFFT</t>
  </si>
  <si>
    <t>Orange-Hub</t>
  </si>
  <si>
    <t>CIVTL</t>
  </si>
  <si>
    <t>Loteny Telecom</t>
  </si>
  <si>
    <t>CODAC</t>
  </si>
  <si>
    <t>Africell Rdc Sa.</t>
  </si>
  <si>
    <t>CPVTM</t>
  </si>
  <si>
    <t>T Telecomunic</t>
  </si>
  <si>
    <t>ESPOC</t>
  </si>
  <si>
    <t>Xfera Moviles</t>
  </si>
  <si>
    <t>GINAG</t>
  </si>
  <si>
    <t>Areeba</t>
  </si>
  <si>
    <t>GMBQC</t>
  </si>
  <si>
    <t>Qcell  Gambia</t>
  </si>
  <si>
    <t>ISLFT</t>
  </si>
  <si>
    <t>Nova</t>
  </si>
  <si>
    <t>ITAWI</t>
  </si>
  <si>
    <t>Wind - Italy</t>
  </si>
  <si>
    <t>KWTKT</t>
  </si>
  <si>
    <t>Viva Kuwait</t>
  </si>
  <si>
    <t>LBNLC</t>
  </si>
  <si>
    <t>Touch Lebanon</t>
  </si>
  <si>
    <t>LBRLC</t>
  </si>
  <si>
    <t>Lonestar Com.Co</t>
  </si>
  <si>
    <t>MDGTM</t>
  </si>
  <si>
    <t>Telecom Malagasy S.A</t>
  </si>
  <si>
    <t>MRTOC</t>
  </si>
  <si>
    <t>Chinguitel - Mauritania (Bics)</t>
  </si>
  <si>
    <t>NORAM</t>
  </si>
  <si>
    <t>Aeromobile As</t>
  </si>
  <si>
    <t>QATQT</t>
  </si>
  <si>
    <t>Ooredoo Qatar</t>
  </si>
  <si>
    <t>REU02</t>
  </si>
  <si>
    <t>RUSBD</t>
  </si>
  <si>
    <t>Vimpelcom</t>
  </si>
  <si>
    <t>SLEAC</t>
  </si>
  <si>
    <t>Africell-Lintel</t>
  </si>
  <si>
    <t>SLECT</t>
  </si>
  <si>
    <t>Airtel - S.L</t>
  </si>
  <si>
    <t>TURIS</t>
  </si>
  <si>
    <t>Avea Iletisim H</t>
  </si>
  <si>
    <t>Roaming Parnters: BFAON;CIV02;TGOTC;TGOTL;MLI01;SENSG</t>
  </si>
  <si>
    <t>Direction: Both</t>
  </si>
  <si>
    <t>Record Type: Voice</t>
  </si>
  <si>
    <t>Telmob Total</t>
  </si>
  <si>
    <t>Moov(A-Cell) Total</t>
  </si>
  <si>
    <t>Malitel Gsm-900 Total</t>
  </si>
  <si>
    <t>Yas Senegal Total</t>
  </si>
  <si>
    <t>Togo Cellulaire Total</t>
  </si>
  <si>
    <t>Moov Africa Togo Total</t>
  </si>
  <si>
    <t>Summary of Discount Recievable / (Payable) for the Period from April - 2025</t>
  </si>
  <si>
    <t>Sl No.</t>
  </si>
  <si>
    <t>Discount Groups</t>
  </si>
  <si>
    <t>Outbound Roaming (TAPIN)</t>
  </si>
  <si>
    <t>Inbound Roaming (TAPOUT)</t>
  </si>
  <si>
    <t>Net Discount Recievable / (Payable)-EUR</t>
  </si>
  <si>
    <t>Standrad Charges in EUR</t>
  </si>
  <si>
    <t>PRA Charges in EUR</t>
  </si>
  <si>
    <t>Discount Receivable
(Tap In) - EUR</t>
  </si>
  <si>
    <t>Discount Payable
(Tap Out) - EUR</t>
  </si>
  <si>
    <t>Telefonica EUROPE</t>
  </si>
  <si>
    <t>Telefonica LATAM</t>
  </si>
  <si>
    <t>Telefonica CZSK Affiliates</t>
  </si>
  <si>
    <t>FT Telecom (Orange Group)</t>
  </si>
  <si>
    <t>Altice Group</t>
  </si>
  <si>
    <t>Belgacom Group</t>
  </si>
  <si>
    <t>Deutsche Telekom AG (DTAG) Europe</t>
  </si>
  <si>
    <t>Deutsche Telekom AG (DTAG)USA</t>
  </si>
  <si>
    <t>Salt Group</t>
  </si>
  <si>
    <t>Orange Africa</t>
  </si>
  <si>
    <t>Vodafone</t>
  </si>
  <si>
    <t>Maroco Telecom (IAM)</t>
  </si>
  <si>
    <t>Hutchison Telephone (HTCL)</t>
  </si>
  <si>
    <t>KDDI Japan</t>
  </si>
  <si>
    <t>KPN Group</t>
  </si>
  <si>
    <t>Etisalat UAE</t>
  </si>
  <si>
    <t>Swisscom</t>
  </si>
  <si>
    <t>MTN Group</t>
  </si>
  <si>
    <t>Airtel Africa</t>
  </si>
  <si>
    <t xml:space="preserve">KT Corporation </t>
  </si>
  <si>
    <t>9 Mobile Nigeria</t>
  </si>
  <si>
    <t>Airtel Tigo Ghana</t>
  </si>
  <si>
    <t>Orange Guinee</t>
  </si>
  <si>
    <t>VIETTEL GROUP(MOBILE)</t>
  </si>
  <si>
    <t>STC BAHRAIN</t>
  </si>
  <si>
    <t>Total Discount Recievable / (Payable)</t>
  </si>
  <si>
    <t>Summary of Discount Recievable / (Payable) for the Period from March - 2025</t>
  </si>
  <si>
    <t xml:space="preserve">Prix Unitaires </t>
  </si>
  <si>
    <t xml:space="preserve">Revenu HT </t>
  </si>
  <si>
    <t xml:space="preserve">DATE </t>
  </si>
  <si>
    <t xml:space="preserve">PARC Abonnés </t>
  </si>
  <si>
    <t xml:space="preserve">VOIX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</si>
</sst>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\ _C_F_A_-;\-* #,##0\ _C_F_A_-;_-* &quot;-&quot;\ _C_F_A_-;_-@_-"/>
    <numFmt numFmtId="167" formatCode="_-* #,##0.00\ _€_-;\-* #,##0.00\ _€_-;_-* &quot;-&quot;??\ _€_-;_-@_-"/>
    <numFmt numFmtId="168" formatCode="_-* #,##0\ _€_-;\-* #,##0\ _€_-;_-* &quot;-&quot;??\ _€_-;_-@_-"/>
    <numFmt numFmtId="169" formatCode="_-* #,##0.00_-;\-* #,##0.00_-;_-* &quot;-&quot;_-;_-@_-"/>
    <numFmt numFmtId="170" formatCode="_-* #,##0_-;\-* #,##0_-;_-* &quot;-&quot;??_-;_-@_-"/>
    <numFmt numFmtId="171" formatCode="[$-F800]dddd\,\ mmmm\ dd\,\ yyyy"/>
  </numFmts>
  <fonts count="35">
    <font>
      <sz val="10"/>
      <color theme="1"/>
      <name val="Arial Nova Cond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theme="0"/>
      <name val="Candara"/>
      <family val="2"/>
    </font>
    <font>
      <b/>
      <sz val="12"/>
      <color theme="1"/>
      <name val="Candara"/>
      <family val="2"/>
    </font>
    <font>
      <sz val="12"/>
      <color theme="1"/>
      <name val="Candara"/>
      <family val="2"/>
    </font>
    <font>
      <b/>
      <sz val="12"/>
      <color rgb="FFFF0000"/>
      <name val="Candara"/>
      <family val="2"/>
    </font>
    <font>
      <sz val="20"/>
      <name val="Candara"/>
      <family val="2"/>
    </font>
    <font>
      <b/>
      <sz val="18"/>
      <name val="Candara"/>
      <family val="2"/>
    </font>
    <font>
      <b/>
      <sz val="8"/>
      <name val="Candara"/>
      <family val="2"/>
    </font>
    <font>
      <sz val="10"/>
      <color theme="1"/>
      <name val="Candara"/>
      <family val="2"/>
    </font>
    <font>
      <b/>
      <sz val="18"/>
      <color theme="0"/>
      <name val="Candara"/>
      <family val="2"/>
    </font>
    <font>
      <b/>
      <sz val="10"/>
      <color theme="0"/>
      <name val="Candara"/>
      <family val="2"/>
    </font>
    <font>
      <b/>
      <sz val="10"/>
      <color theme="1"/>
      <name val="Candara"/>
      <family val="2"/>
    </font>
    <font>
      <b/>
      <sz val="10"/>
      <color rgb="FFFF0000"/>
      <name val="Candara"/>
      <family val="2"/>
    </font>
    <font>
      <sz val="10"/>
      <color rgb="FFFF0000"/>
      <name val="Candara"/>
      <family val="2"/>
    </font>
    <font>
      <b/>
      <sz val="10"/>
      <name val="Candara"/>
      <family val="2"/>
    </font>
    <font>
      <sz val="10"/>
      <name val="Candar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Calibri"/>
      <family val="2"/>
      <scheme val="minor"/>
    </font>
    <font>
      <sz val="10"/>
      <color theme="1"/>
      <name val="Arial Nova Cond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9.75"/>
      <color rgb="FF000000"/>
      <name val="Times New Roman"/>
      <family val="1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rgb="FFDCE6F2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rgb="FFE6B9B8"/>
      </patternFill>
    </fill>
    <fill>
      <patternFill patternType="solid">
        <fgColor theme="6" tint="0.79998168889431442"/>
        <bgColor rgb="FFEEECE1"/>
      </patternFill>
    </fill>
    <fill>
      <patternFill patternType="solid">
        <fgColor rgb="FF00FFFF"/>
        <bgColor indexed="64"/>
      </patternFill>
    </fill>
    <fill>
      <patternFill patternType="solid">
        <fgColor theme="0"/>
        <bgColor rgb="FFE6B9B8"/>
      </patternFill>
    </fill>
    <fill>
      <patternFill patternType="solid">
        <fgColor theme="7" tint="0.79998168889431442"/>
        <bgColor rgb="FFA9A9A9"/>
      </patternFill>
    </fill>
    <fill>
      <patternFill patternType="solid">
        <fgColor rgb="FFFFFF00"/>
        <bgColor rgb="FFEEECE1"/>
      </patternFill>
    </fill>
    <fill>
      <patternFill patternType="solid">
        <fgColor rgb="FFFFFF00"/>
        <bgColor rgb="FFE6B9B8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</borders>
  <cellStyleXfs count="14">
    <xf numFmtId="0" fontId="0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3" fillId="0" borderId="0"/>
    <xf numFmtId="9" fontId="21" fillId="0" borderId="0" applyFont="0" applyFill="0" applyBorder="0" applyAlignment="0" applyProtection="0"/>
    <xf numFmtId="0" fontId="28" fillId="0" borderId="0"/>
  </cellStyleXfs>
  <cellXfs count="237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164" fontId="5" fillId="0" borderId="1" xfId="3" applyFont="1" applyBorder="1" applyAlignment="1">
      <alignment horizontal="center"/>
    </xf>
    <xf numFmtId="0" fontId="5" fillId="0" borderId="0" xfId="2" applyFont="1" applyAlignment="1">
      <alignment horizontal="center"/>
    </xf>
    <xf numFmtId="0" fontId="6" fillId="0" borderId="1" xfId="2" applyFont="1" applyBorder="1" applyAlignment="1">
      <alignment horizontal="center" vertical="center"/>
    </xf>
    <xf numFmtId="164" fontId="6" fillId="0" borderId="1" xfId="3" applyFont="1" applyBorder="1" applyAlignment="1">
      <alignment horizontal="center"/>
    </xf>
    <xf numFmtId="0" fontId="6" fillId="0" borderId="0" xfId="2" applyFont="1" applyAlignment="1">
      <alignment horizontal="center"/>
    </xf>
    <xf numFmtId="0" fontId="9" fillId="0" borderId="1" xfId="2" applyFont="1" applyBorder="1" applyAlignment="1">
      <alignment horizontal="center" vertical="center"/>
    </xf>
    <xf numFmtId="0" fontId="10" fillId="0" borderId="0" xfId="2" applyFont="1" applyAlignment="1">
      <alignment horizontal="center"/>
    </xf>
    <xf numFmtId="0" fontId="10" fillId="0" borderId="0" xfId="2" applyFont="1"/>
    <xf numFmtId="164" fontId="10" fillId="0" borderId="0" xfId="3" applyFont="1" applyFill="1"/>
    <xf numFmtId="166" fontId="10" fillId="0" borderId="0" xfId="5" applyFont="1" applyFill="1"/>
    <xf numFmtId="169" fontId="10" fillId="0" borderId="0" xfId="3" applyNumberFormat="1" applyFont="1" applyFill="1"/>
    <xf numFmtId="0" fontId="10" fillId="0" borderId="0" xfId="2" applyFont="1" applyAlignment="1">
      <alignment vertical="center"/>
    </xf>
    <xf numFmtId="164" fontId="10" fillId="0" borderId="0" xfId="3" applyFont="1" applyFill="1" applyAlignment="1">
      <alignment vertical="center"/>
    </xf>
    <xf numFmtId="166" fontId="10" fillId="0" borderId="0" xfId="5" applyFont="1" applyFill="1" applyAlignment="1">
      <alignment vertical="center"/>
    </xf>
    <xf numFmtId="169" fontId="10" fillId="0" borderId="0" xfId="3" applyNumberFormat="1" applyFont="1" applyFill="1" applyAlignment="1">
      <alignment vertical="center"/>
    </xf>
    <xf numFmtId="0" fontId="12" fillId="3" borderId="1" xfId="2" applyFont="1" applyFill="1" applyBorder="1" applyAlignment="1">
      <alignment horizontal="center"/>
    </xf>
    <xf numFmtId="0" fontId="13" fillId="0" borderId="0" xfId="2" applyFont="1"/>
    <xf numFmtId="0" fontId="12" fillId="3" borderId="1" xfId="2" applyFont="1" applyFill="1" applyBorder="1" applyAlignment="1">
      <alignment horizontal="center" vertical="center"/>
    </xf>
    <xf numFmtId="164" fontId="13" fillId="0" borderId="0" xfId="3" applyFont="1" applyFill="1"/>
    <xf numFmtId="166" fontId="13" fillId="0" borderId="0" xfId="5" applyFont="1" applyFill="1"/>
    <xf numFmtId="169" fontId="13" fillId="0" borderId="0" xfId="3" applyNumberFormat="1" applyFont="1" applyFill="1"/>
    <xf numFmtId="0" fontId="13" fillId="0" borderId="1" xfId="2" applyFont="1" applyBorder="1"/>
    <xf numFmtId="168" fontId="10" fillId="0" borderId="1" xfId="6" applyNumberFormat="1" applyFont="1" applyBorder="1" applyAlignment="1">
      <alignment horizontal="center" vertical="center"/>
    </xf>
    <xf numFmtId="168" fontId="10" fillId="0" borderId="1" xfId="6" applyNumberFormat="1" applyFont="1" applyBorder="1" applyAlignment="1">
      <alignment horizontal="center"/>
    </xf>
    <xf numFmtId="9" fontId="10" fillId="0" borderId="0" xfId="4" applyFont="1" applyFill="1"/>
    <xf numFmtId="0" fontId="14" fillId="0" borderId="1" xfId="2" applyFont="1" applyBorder="1"/>
    <xf numFmtId="0" fontId="14" fillId="0" borderId="1" xfId="2" applyFont="1" applyBorder="1" applyAlignment="1">
      <alignment horizontal="center" vertical="center"/>
    </xf>
    <xf numFmtId="168" fontId="14" fillId="0" borderId="1" xfId="2" applyNumberFormat="1" applyFont="1" applyBorder="1" applyAlignment="1">
      <alignment horizontal="center" vertical="center"/>
    </xf>
    <xf numFmtId="168" fontId="14" fillId="0" borderId="1" xfId="2" applyNumberFormat="1" applyFont="1" applyBorder="1" applyAlignment="1">
      <alignment horizontal="center"/>
    </xf>
    <xf numFmtId="0" fontId="14" fillId="0" borderId="1" xfId="2" applyFont="1" applyBorder="1" applyAlignment="1">
      <alignment horizontal="center"/>
    </xf>
    <xf numFmtId="0" fontId="14" fillId="0" borderId="0" xfId="2" applyFont="1"/>
    <xf numFmtId="164" fontId="14" fillId="0" borderId="0" xfId="3" applyFont="1" applyFill="1"/>
    <xf numFmtId="9" fontId="14" fillId="0" borderId="0" xfId="4" applyFont="1" applyFill="1"/>
    <xf numFmtId="166" fontId="14" fillId="0" borderId="0" xfId="5" applyFont="1" applyFill="1"/>
    <xf numFmtId="169" fontId="14" fillId="0" borderId="0" xfId="3" applyNumberFormat="1" applyFont="1" applyFill="1"/>
    <xf numFmtId="168" fontId="10" fillId="0" borderId="1" xfId="6" applyNumberFormat="1" applyFont="1" applyFill="1" applyBorder="1" applyAlignment="1">
      <alignment horizontal="center" vertical="center"/>
    </xf>
    <xf numFmtId="168" fontId="14" fillId="0" borderId="1" xfId="6" applyNumberFormat="1" applyFont="1" applyBorder="1" applyAlignment="1">
      <alignment horizontal="center" vertical="center"/>
    </xf>
    <xf numFmtId="168" fontId="14" fillId="0" borderId="1" xfId="6" applyNumberFormat="1" applyFont="1" applyBorder="1" applyAlignment="1">
      <alignment horizontal="center"/>
    </xf>
    <xf numFmtId="0" fontId="12" fillId="3" borderId="1" xfId="2" applyFont="1" applyFill="1" applyBorder="1"/>
    <xf numFmtId="0" fontId="10" fillId="0" borderId="0" xfId="2" applyFont="1" applyAlignment="1">
      <alignment horizontal="center" vertical="center"/>
    </xf>
    <xf numFmtId="167" fontId="10" fillId="4" borderId="1" xfId="6" applyFont="1" applyFill="1" applyBorder="1" applyAlignment="1">
      <alignment horizontal="center"/>
    </xf>
    <xf numFmtId="168" fontId="13" fillId="0" borderId="1" xfId="6" applyNumberFormat="1" applyFont="1" applyFill="1" applyBorder="1" applyAlignment="1">
      <alignment horizontal="center"/>
    </xf>
    <xf numFmtId="170" fontId="10" fillId="0" borderId="1" xfId="7" applyNumberFormat="1" applyFont="1" applyFill="1" applyBorder="1" applyAlignment="1">
      <alignment horizontal="center"/>
    </xf>
    <xf numFmtId="166" fontId="10" fillId="0" borderId="0" xfId="2" applyNumberFormat="1" applyFont="1"/>
    <xf numFmtId="166" fontId="10" fillId="0" borderId="0" xfId="5" applyFont="1" applyFill="1" applyBorder="1" applyAlignment="1">
      <alignment horizontal="center" vertical="center"/>
    </xf>
    <xf numFmtId="0" fontId="13" fillId="5" borderId="1" xfId="2" applyFont="1" applyFill="1" applyBorder="1"/>
    <xf numFmtId="168" fontId="10" fillId="5" borderId="1" xfId="6" applyNumberFormat="1" applyFont="1" applyFill="1" applyBorder="1" applyAlignment="1">
      <alignment horizontal="center" vertical="center"/>
    </xf>
    <xf numFmtId="168" fontId="13" fillId="5" borderId="1" xfId="6" applyNumberFormat="1" applyFont="1" applyFill="1" applyBorder="1" applyAlignment="1">
      <alignment horizontal="center"/>
    </xf>
    <xf numFmtId="170" fontId="10" fillId="5" borderId="1" xfId="7" applyNumberFormat="1" applyFont="1" applyFill="1" applyBorder="1" applyAlignment="1">
      <alignment horizontal="center"/>
    </xf>
    <xf numFmtId="166" fontId="10" fillId="0" borderId="0" xfId="5" applyFont="1" applyFill="1" applyAlignment="1">
      <alignment horizontal="center" vertical="center"/>
    </xf>
    <xf numFmtId="164" fontId="10" fillId="0" borderId="0" xfId="2" applyNumberFormat="1" applyFont="1"/>
    <xf numFmtId="170" fontId="10" fillId="0" borderId="0" xfId="2" applyNumberFormat="1" applyFont="1"/>
    <xf numFmtId="0" fontId="13" fillId="6" borderId="1" xfId="2" applyFont="1" applyFill="1" applyBorder="1"/>
    <xf numFmtId="167" fontId="10" fillId="6" borderId="1" xfId="6" applyFont="1" applyFill="1" applyBorder="1" applyAlignment="1">
      <alignment horizontal="center"/>
    </xf>
    <xf numFmtId="168" fontId="10" fillId="6" borderId="1" xfId="6" applyNumberFormat="1" applyFont="1" applyFill="1" applyBorder="1" applyAlignment="1">
      <alignment horizontal="center" vertical="center"/>
    </xf>
    <xf numFmtId="168" fontId="13" fillId="6" borderId="1" xfId="6" applyNumberFormat="1" applyFont="1" applyFill="1" applyBorder="1" applyAlignment="1">
      <alignment horizontal="center"/>
    </xf>
    <xf numFmtId="170" fontId="10" fillId="6" borderId="1" xfId="7" applyNumberFormat="1" applyFont="1" applyFill="1" applyBorder="1" applyAlignment="1">
      <alignment horizontal="center"/>
    </xf>
    <xf numFmtId="168" fontId="10" fillId="0" borderId="0" xfId="2" applyNumberFormat="1" applyFont="1"/>
    <xf numFmtId="0" fontId="13" fillId="7" borderId="1" xfId="2" applyFont="1" applyFill="1" applyBorder="1"/>
    <xf numFmtId="167" fontId="10" fillId="7" borderId="1" xfId="6" applyFont="1" applyFill="1" applyBorder="1" applyAlignment="1">
      <alignment horizontal="center"/>
    </xf>
    <xf numFmtId="168" fontId="10" fillId="7" borderId="1" xfId="6" applyNumberFormat="1" applyFont="1" applyFill="1" applyBorder="1" applyAlignment="1">
      <alignment horizontal="center" vertical="center"/>
    </xf>
    <xf numFmtId="168" fontId="13" fillId="7" borderId="1" xfId="6" applyNumberFormat="1" applyFont="1" applyFill="1" applyBorder="1" applyAlignment="1">
      <alignment horizontal="center"/>
    </xf>
    <xf numFmtId="170" fontId="10" fillId="7" borderId="1" xfId="7" applyNumberFormat="1" applyFont="1" applyFill="1" applyBorder="1" applyAlignment="1">
      <alignment horizontal="center"/>
    </xf>
    <xf numFmtId="167" fontId="14" fillId="4" borderId="1" xfId="6" applyFont="1" applyFill="1" applyBorder="1" applyAlignment="1">
      <alignment horizontal="center"/>
    </xf>
    <xf numFmtId="166" fontId="13" fillId="0" borderId="0" xfId="2" applyNumberFormat="1" applyFont="1"/>
    <xf numFmtId="168" fontId="10" fillId="0" borderId="0" xfId="2" applyNumberFormat="1" applyFont="1" applyAlignment="1">
      <alignment horizontal="center" vertical="center"/>
    </xf>
    <xf numFmtId="168" fontId="10" fillId="0" borderId="0" xfId="2" applyNumberFormat="1" applyFont="1" applyAlignment="1">
      <alignment horizontal="center"/>
    </xf>
    <xf numFmtId="0" fontId="13" fillId="3" borderId="1" xfId="2" applyFont="1" applyFill="1" applyBorder="1" applyAlignment="1">
      <alignment horizontal="center"/>
    </xf>
    <xf numFmtId="0" fontId="13" fillId="3" borderId="1" xfId="2" applyFont="1" applyFill="1" applyBorder="1"/>
    <xf numFmtId="0" fontId="13" fillId="3" borderId="1" xfId="2" applyFont="1" applyFill="1" applyBorder="1" applyAlignment="1">
      <alignment horizontal="center" vertical="center"/>
    </xf>
    <xf numFmtId="168" fontId="10" fillId="4" borderId="1" xfId="6" applyNumberFormat="1" applyFont="1" applyFill="1" applyBorder="1" applyAlignment="1">
      <alignment horizontal="center"/>
    </xf>
    <xf numFmtId="166" fontId="10" fillId="0" borderId="1" xfId="5" applyFont="1" applyFill="1" applyBorder="1"/>
    <xf numFmtId="0" fontId="15" fillId="0" borderId="0" xfId="2" applyFont="1"/>
    <xf numFmtId="164" fontId="15" fillId="0" borderId="0" xfId="3" applyFont="1" applyFill="1"/>
    <xf numFmtId="166" fontId="15" fillId="0" borderId="0" xfId="5" applyFont="1" applyFill="1"/>
    <xf numFmtId="169" fontId="15" fillId="0" borderId="0" xfId="3" applyNumberFormat="1" applyFont="1" applyFill="1"/>
    <xf numFmtId="0" fontId="14" fillId="4" borderId="1" xfId="2" applyFont="1" applyFill="1" applyBorder="1" applyAlignment="1">
      <alignment horizontal="center"/>
    </xf>
    <xf numFmtId="169" fontId="10" fillId="0" borderId="0" xfId="3" applyNumberFormat="1" applyFont="1" applyAlignment="1">
      <alignment horizontal="center"/>
    </xf>
    <xf numFmtId="164" fontId="10" fillId="0" borderId="0" xfId="3" applyFont="1" applyFill="1" applyAlignment="1">
      <alignment horizontal="center"/>
    </xf>
    <xf numFmtId="164" fontId="16" fillId="8" borderId="1" xfId="2" applyNumberFormat="1" applyFont="1" applyFill="1" applyBorder="1"/>
    <xf numFmtId="164" fontId="17" fillId="8" borderId="1" xfId="2" applyNumberFormat="1" applyFont="1" applyFill="1" applyBorder="1" applyAlignment="1">
      <alignment horizontal="center" vertical="center"/>
    </xf>
    <xf numFmtId="164" fontId="17" fillId="0" borderId="1" xfId="2" applyNumberFormat="1" applyFont="1" applyBorder="1" applyAlignment="1">
      <alignment horizontal="center" vertical="center"/>
    </xf>
    <xf numFmtId="0" fontId="13" fillId="0" borderId="0" xfId="2" applyFont="1" applyAlignment="1">
      <alignment horizontal="center" vertical="center"/>
    </xf>
    <xf numFmtId="168" fontId="13" fillId="0" borderId="0" xfId="2" applyNumberFormat="1" applyFont="1" applyAlignment="1">
      <alignment horizontal="center"/>
    </xf>
    <xf numFmtId="0" fontId="13" fillId="0" borderId="0" xfId="2" applyFont="1" applyAlignment="1">
      <alignment horizontal="center"/>
    </xf>
    <xf numFmtId="164" fontId="13" fillId="0" borderId="0" xfId="3" applyFont="1" applyFill="1" applyAlignment="1">
      <alignment horizontal="center"/>
    </xf>
    <xf numFmtId="9" fontId="10" fillId="0" borderId="0" xfId="4" applyFont="1" applyAlignment="1">
      <alignment horizontal="center" vertical="center"/>
    </xf>
    <xf numFmtId="168" fontId="10" fillId="0" borderId="0" xfId="4" applyNumberFormat="1" applyFont="1" applyAlignment="1">
      <alignment horizontal="center"/>
    </xf>
    <xf numFmtId="0" fontId="14" fillId="7" borderId="1" xfId="2" applyFont="1" applyFill="1" applyBorder="1"/>
    <xf numFmtId="167" fontId="15" fillId="7" borderId="1" xfId="6" applyFont="1" applyFill="1" applyBorder="1" applyAlignment="1">
      <alignment horizontal="center"/>
    </xf>
    <xf numFmtId="168" fontId="15" fillId="7" borderId="1" xfId="6" applyNumberFormat="1" applyFont="1" applyFill="1" applyBorder="1" applyAlignment="1">
      <alignment horizontal="center" vertical="center"/>
    </xf>
    <xf numFmtId="168" fontId="14" fillId="7" borderId="1" xfId="6" applyNumberFormat="1" applyFont="1" applyFill="1" applyBorder="1" applyAlignment="1">
      <alignment horizontal="center"/>
    </xf>
    <xf numFmtId="168" fontId="0" fillId="9" borderId="0" xfId="9" applyNumberFormat="1" applyFont="1" applyFill="1"/>
    <xf numFmtId="168" fontId="0" fillId="0" borderId="0" xfId="9" applyNumberFormat="1" applyFont="1"/>
    <xf numFmtId="164" fontId="10" fillId="0" borderId="1" xfId="3" applyFont="1" applyFill="1" applyBorder="1" applyAlignment="1">
      <alignment horizontal="center" vertical="center"/>
    </xf>
    <xf numFmtId="164" fontId="10" fillId="0" borderId="1" xfId="2" applyNumberFormat="1" applyFont="1" applyBorder="1" applyAlignment="1">
      <alignment horizontal="center" vertical="center"/>
    </xf>
    <xf numFmtId="164" fontId="10" fillId="0" borderId="1" xfId="3" applyFont="1" applyFill="1" applyBorder="1" applyAlignment="1">
      <alignment horizontal="center"/>
    </xf>
    <xf numFmtId="169" fontId="10" fillId="0" borderId="1" xfId="3" applyNumberFormat="1" applyFont="1" applyFill="1" applyBorder="1" applyAlignment="1">
      <alignment horizontal="center"/>
    </xf>
    <xf numFmtId="164" fontId="10" fillId="0" borderId="1" xfId="2" applyNumberFormat="1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164" fontId="14" fillId="0" borderId="1" xfId="3" applyFont="1" applyFill="1" applyBorder="1" applyAlignment="1">
      <alignment horizontal="center" vertical="center"/>
    </xf>
    <xf numFmtId="164" fontId="14" fillId="0" borderId="1" xfId="3" applyFont="1" applyFill="1" applyBorder="1" applyAlignment="1">
      <alignment horizontal="center"/>
    </xf>
    <xf numFmtId="164" fontId="14" fillId="0" borderId="1" xfId="2" applyNumberFormat="1" applyFont="1" applyBorder="1" applyAlignment="1">
      <alignment horizontal="center"/>
    </xf>
    <xf numFmtId="9" fontId="10" fillId="0" borderId="0" xfId="12" applyFont="1"/>
    <xf numFmtId="164" fontId="16" fillId="8" borderId="1" xfId="2" applyNumberFormat="1" applyFont="1" applyFill="1" applyBorder="1" applyAlignment="1">
      <alignment horizontal="center" vertical="center"/>
    </xf>
    <xf numFmtId="164" fontId="14" fillId="0" borderId="1" xfId="2" applyNumberFormat="1" applyFont="1" applyBorder="1" applyAlignment="1">
      <alignment horizontal="center" vertical="center"/>
    </xf>
    <xf numFmtId="164" fontId="5" fillId="0" borderId="0" xfId="2" applyNumberFormat="1" applyFont="1" applyAlignment="1">
      <alignment horizontal="center"/>
    </xf>
    <xf numFmtId="0" fontId="22" fillId="0" borderId="0" xfId="2" applyFont="1"/>
    <xf numFmtId="168" fontId="24" fillId="0" borderId="1" xfId="6" applyNumberFormat="1" applyFont="1" applyBorder="1"/>
    <xf numFmtId="0" fontId="24" fillId="0" borderId="0" xfId="2" applyFont="1"/>
    <xf numFmtId="0" fontId="22" fillId="0" borderId="0" xfId="2" applyFont="1" applyAlignment="1">
      <alignment horizontal="center" vertical="center"/>
    </xf>
    <xf numFmtId="168" fontId="22" fillId="0" borderId="1" xfId="6" applyNumberFormat="1" applyFont="1" applyBorder="1" applyAlignment="1">
      <alignment horizontal="center" vertical="center"/>
    </xf>
    <xf numFmtId="164" fontId="22" fillId="0" borderId="1" xfId="3" applyFont="1" applyBorder="1" applyAlignment="1">
      <alignment horizontal="center" vertical="center"/>
    </xf>
    <xf numFmtId="164" fontId="20" fillId="0" borderId="1" xfId="3" applyFont="1" applyBorder="1" applyAlignment="1">
      <alignment horizontal="center" vertical="center"/>
    </xf>
    <xf numFmtId="171" fontId="22" fillId="0" borderId="0" xfId="2" applyNumberFormat="1" applyFont="1"/>
    <xf numFmtId="168" fontId="24" fillId="0" borderId="0" xfId="6" applyNumberFormat="1" applyFont="1"/>
    <xf numFmtId="164" fontId="24" fillId="0" borderId="0" xfId="3" applyFont="1"/>
    <xf numFmtId="164" fontId="25" fillId="0" borderId="0" xfId="3" applyFont="1"/>
    <xf numFmtId="169" fontId="24" fillId="0" borderId="0" xfId="3" applyNumberFormat="1" applyFont="1"/>
    <xf numFmtId="164" fontId="22" fillId="0" borderId="0" xfId="3" applyFont="1"/>
    <xf numFmtId="168" fontId="22" fillId="0" borderId="0" xfId="6" applyNumberFormat="1" applyFont="1"/>
    <xf numFmtId="169" fontId="22" fillId="0" borderId="0" xfId="3" applyNumberFormat="1" applyFont="1"/>
    <xf numFmtId="164" fontId="22" fillId="0" borderId="0" xfId="2" applyNumberFormat="1" applyFont="1"/>
    <xf numFmtId="168" fontId="26" fillId="0" borderId="0" xfId="6" applyNumberFormat="1" applyFont="1"/>
    <xf numFmtId="0" fontId="26" fillId="0" borderId="0" xfId="2" applyFont="1"/>
    <xf numFmtId="164" fontId="26" fillId="0" borderId="0" xfId="3" applyFont="1"/>
    <xf numFmtId="169" fontId="26" fillId="0" borderId="0" xfId="3" applyNumberFormat="1" applyFont="1"/>
    <xf numFmtId="171" fontId="26" fillId="0" borderId="0" xfId="2" applyNumberFormat="1" applyFont="1"/>
    <xf numFmtId="169" fontId="27" fillId="0" borderId="0" xfId="3" applyNumberFormat="1" applyFont="1"/>
    <xf numFmtId="164" fontId="26" fillId="0" borderId="0" xfId="2" applyNumberFormat="1" applyFont="1"/>
    <xf numFmtId="164" fontId="24" fillId="0" borderId="0" xfId="2" applyNumberFormat="1" applyFont="1"/>
    <xf numFmtId="0" fontId="28" fillId="0" borderId="0" xfId="13"/>
    <xf numFmtId="49" fontId="30" fillId="10" borderId="5" xfId="13" applyNumberFormat="1" applyFont="1" applyFill="1" applyBorder="1" applyAlignment="1">
      <alignment horizontal="left" vertical="center" wrapText="1"/>
    </xf>
    <xf numFmtId="22" fontId="30" fillId="10" borderId="5" xfId="13" applyNumberFormat="1" applyFont="1" applyFill="1" applyBorder="1" applyAlignment="1">
      <alignment horizontal="left" vertical="center" wrapText="1"/>
    </xf>
    <xf numFmtId="49" fontId="30" fillId="10" borderId="6" xfId="13" applyNumberFormat="1" applyFont="1" applyFill="1" applyBorder="1" applyAlignment="1">
      <alignment horizontal="left" vertical="center" wrapText="1"/>
    </xf>
    <xf numFmtId="0" fontId="30" fillId="10" borderId="5" xfId="13" applyFont="1" applyFill="1" applyBorder="1" applyAlignment="1">
      <alignment horizontal="left" vertical="center" wrapText="1"/>
    </xf>
    <xf numFmtId="4" fontId="30" fillId="11" borderId="5" xfId="13" applyNumberFormat="1" applyFont="1" applyFill="1" applyBorder="1" applyAlignment="1">
      <alignment horizontal="right" vertical="center" wrapText="1"/>
    </xf>
    <xf numFmtId="3" fontId="30" fillId="11" borderId="5" xfId="13" applyNumberFormat="1" applyFont="1" applyFill="1" applyBorder="1" applyAlignment="1">
      <alignment horizontal="right" vertical="center" wrapText="1"/>
    </xf>
    <xf numFmtId="39" fontId="30" fillId="11" borderId="5" xfId="13" applyNumberFormat="1" applyFont="1" applyFill="1" applyBorder="1" applyAlignment="1">
      <alignment horizontal="right" vertical="center" wrapText="1"/>
    </xf>
    <xf numFmtId="0" fontId="30" fillId="10" borderId="7" xfId="13" applyFont="1" applyFill="1" applyBorder="1" applyAlignment="1">
      <alignment horizontal="left" vertical="center" wrapText="1"/>
    </xf>
    <xf numFmtId="0" fontId="32" fillId="0" borderId="0" xfId="1" applyFont="1"/>
    <xf numFmtId="0" fontId="32" fillId="0" borderId="0" xfId="1" applyFont="1" applyAlignment="1">
      <alignment horizontal="center" vertical="center"/>
    </xf>
    <xf numFmtId="0" fontId="33" fillId="0" borderId="11" xfId="1" applyFont="1" applyBorder="1" applyAlignment="1">
      <alignment horizontal="center" vertical="center" wrapText="1"/>
    </xf>
    <xf numFmtId="0" fontId="33" fillId="18" borderId="11" xfId="1" applyFont="1" applyFill="1" applyBorder="1" applyAlignment="1">
      <alignment horizontal="center" vertical="center" wrapText="1"/>
    </xf>
    <xf numFmtId="0" fontId="32" fillId="0" borderId="12" xfId="1" applyFont="1" applyBorder="1" applyAlignment="1">
      <alignment horizontal="center" vertical="center"/>
    </xf>
    <xf numFmtId="0" fontId="33" fillId="0" borderId="13" xfId="1" applyFont="1" applyBorder="1" applyAlignment="1">
      <alignment horizontal="left" vertical="center"/>
    </xf>
    <xf numFmtId="43" fontId="32" fillId="0" borderId="13" xfId="8" applyFont="1" applyBorder="1" applyAlignment="1" applyProtection="1">
      <alignment horizontal="left"/>
    </xf>
    <xf numFmtId="43" fontId="33" fillId="18" borderId="13" xfId="8" applyFont="1" applyFill="1" applyBorder="1" applyAlignment="1" applyProtection="1"/>
    <xf numFmtId="43" fontId="32" fillId="0" borderId="13" xfId="8" applyFont="1" applyBorder="1" applyAlignment="1">
      <alignment horizontal="left"/>
    </xf>
    <xf numFmtId="43" fontId="33" fillId="17" borderId="14" xfId="8" applyFont="1" applyFill="1" applyBorder="1"/>
    <xf numFmtId="43" fontId="34" fillId="0" borderId="0" xfId="1" applyNumberFormat="1" applyFont="1"/>
    <xf numFmtId="0" fontId="34" fillId="0" borderId="0" xfId="1" applyFont="1"/>
    <xf numFmtId="0" fontId="32" fillId="0" borderId="15" xfId="1" applyFont="1" applyBorder="1" applyAlignment="1">
      <alignment horizontal="center" vertical="center"/>
    </xf>
    <xf numFmtId="0" fontId="33" fillId="0" borderId="1" xfId="1" applyFont="1" applyBorder="1" applyAlignment="1">
      <alignment horizontal="left" vertical="center"/>
    </xf>
    <xf numFmtId="43" fontId="32" fillId="0" borderId="1" xfId="8" applyFont="1" applyBorder="1" applyAlignment="1" applyProtection="1">
      <alignment horizontal="left"/>
    </xf>
    <xf numFmtId="43" fontId="33" fillId="18" borderId="1" xfId="8" applyFont="1" applyFill="1" applyBorder="1" applyAlignment="1" applyProtection="1"/>
    <xf numFmtId="43" fontId="32" fillId="0" borderId="1" xfId="8" applyFont="1" applyBorder="1" applyAlignment="1">
      <alignment horizontal="left"/>
    </xf>
    <xf numFmtId="43" fontId="33" fillId="17" borderId="16" xfId="8" applyFont="1" applyFill="1" applyBorder="1"/>
    <xf numFmtId="0" fontId="33" fillId="0" borderId="2" xfId="1" applyFont="1" applyBorder="1" applyAlignment="1">
      <alignment horizontal="left" vertical="center"/>
    </xf>
    <xf numFmtId="0" fontId="33" fillId="19" borderId="1" xfId="1" applyFont="1" applyFill="1" applyBorder="1" applyAlignment="1">
      <alignment horizontal="left" vertical="center"/>
    </xf>
    <xf numFmtId="43" fontId="32" fillId="0" borderId="17" xfId="8" applyFont="1" applyBorder="1" applyAlignment="1" applyProtection="1">
      <alignment horizontal="left"/>
    </xf>
    <xf numFmtId="43" fontId="32" fillId="0" borderId="17" xfId="8" applyFont="1" applyBorder="1" applyAlignment="1">
      <alignment horizontal="left"/>
    </xf>
    <xf numFmtId="43" fontId="32" fillId="0" borderId="18" xfId="8" applyFont="1" applyBorder="1" applyAlignment="1" applyProtection="1">
      <alignment horizontal="left"/>
    </xf>
    <xf numFmtId="43" fontId="32" fillId="0" borderId="18" xfId="8" applyFont="1" applyBorder="1" applyAlignment="1">
      <alignment horizontal="left"/>
    </xf>
    <xf numFmtId="0" fontId="33" fillId="0" borderId="17" xfId="1" applyFont="1" applyBorder="1" applyAlignment="1">
      <alignment horizontal="left" vertical="center"/>
    </xf>
    <xf numFmtId="43" fontId="33" fillId="18" borderId="17" xfId="8" applyFont="1" applyFill="1" applyBorder="1" applyAlignment="1" applyProtection="1"/>
    <xf numFmtId="43" fontId="33" fillId="17" borderId="19" xfId="8" applyFont="1" applyFill="1" applyBorder="1"/>
    <xf numFmtId="0" fontId="20" fillId="20" borderId="1" xfId="1" applyFont="1" applyFill="1" applyBorder="1" applyAlignment="1">
      <alignment horizontal="left" vertical="center"/>
    </xf>
    <xf numFmtId="43" fontId="33" fillId="21" borderId="11" xfId="8" applyFont="1" applyFill="1" applyBorder="1" applyAlignment="1">
      <alignment horizontal="center" vertical="center"/>
    </xf>
    <xf numFmtId="43" fontId="32" fillId="0" borderId="0" xfId="8" applyFont="1"/>
    <xf numFmtId="43" fontId="32" fillId="0" borderId="0" xfId="1" applyNumberFormat="1" applyFont="1"/>
    <xf numFmtId="167" fontId="0" fillId="0" borderId="0" xfId="9" applyFont="1"/>
    <xf numFmtId="14" fontId="0" fillId="0" borderId="0" xfId="0" applyNumberFormat="1"/>
    <xf numFmtId="168" fontId="0" fillId="0" borderId="0" xfId="0" applyNumberFormat="1"/>
    <xf numFmtId="22" fontId="30" fillId="9" borderId="5" xfId="13" applyNumberFormat="1" applyFont="1" applyFill="1" applyBorder="1" applyAlignment="1">
      <alignment horizontal="left" vertical="center" wrapText="1"/>
    </xf>
    <xf numFmtId="39" fontId="30" fillId="9" borderId="5" xfId="13" applyNumberFormat="1" applyFont="1" applyFill="1" applyBorder="1" applyAlignment="1">
      <alignment horizontal="right" vertical="center" wrapText="1"/>
    </xf>
    <xf numFmtId="0" fontId="33" fillId="9" borderId="1" xfId="1" applyFont="1" applyFill="1" applyBorder="1" applyAlignment="1">
      <alignment horizontal="left" vertical="center"/>
    </xf>
    <xf numFmtId="43" fontId="32" fillId="9" borderId="1" xfId="8" applyFont="1" applyFill="1" applyBorder="1" applyAlignment="1" applyProtection="1">
      <alignment horizontal="left"/>
    </xf>
    <xf numFmtId="43" fontId="33" fillId="22" borderId="1" xfId="8" applyFont="1" applyFill="1" applyBorder="1" applyAlignment="1" applyProtection="1"/>
    <xf numFmtId="43" fontId="32" fillId="9" borderId="1" xfId="8" applyFont="1" applyFill="1" applyBorder="1" applyAlignment="1">
      <alignment horizontal="left"/>
    </xf>
    <xf numFmtId="43" fontId="33" fillId="23" borderId="16" xfId="8" applyFont="1" applyFill="1" applyBorder="1"/>
    <xf numFmtId="0" fontId="32" fillId="9" borderId="12" xfId="1" applyFont="1" applyFill="1" applyBorder="1" applyAlignment="1">
      <alignment horizontal="center" vertical="center"/>
    </xf>
    <xf numFmtId="0" fontId="33" fillId="9" borderId="17" xfId="1" applyFont="1" applyFill="1" applyBorder="1" applyAlignment="1">
      <alignment horizontal="left" vertical="center"/>
    </xf>
    <xf numFmtId="43" fontId="32" fillId="9" borderId="18" xfId="8" applyFont="1" applyFill="1" applyBorder="1" applyAlignment="1" applyProtection="1">
      <alignment horizontal="left"/>
    </xf>
    <xf numFmtId="43" fontId="33" fillId="22" borderId="17" xfId="8" applyFont="1" applyFill="1" applyBorder="1" applyAlignment="1" applyProtection="1"/>
    <xf numFmtId="43" fontId="32" fillId="9" borderId="18" xfId="8" applyFont="1" applyFill="1" applyBorder="1" applyAlignment="1">
      <alignment horizontal="left"/>
    </xf>
    <xf numFmtId="43" fontId="33" fillId="23" borderId="19" xfId="8" applyFont="1" applyFill="1" applyBorder="1"/>
    <xf numFmtId="0" fontId="32" fillId="9" borderId="15" xfId="1" applyFont="1" applyFill="1" applyBorder="1" applyAlignment="1">
      <alignment horizontal="center" vertical="center"/>
    </xf>
    <xf numFmtId="167" fontId="32" fillId="0" borderId="0" xfId="1" applyNumberFormat="1" applyFont="1"/>
    <xf numFmtId="0" fontId="6" fillId="24" borderId="1" xfId="2" applyFont="1" applyFill="1" applyBorder="1" applyAlignment="1">
      <alignment horizontal="center" vertical="center"/>
    </xf>
    <xf numFmtId="164" fontId="6" fillId="24" borderId="1" xfId="2" applyNumberFormat="1" applyFont="1" applyFill="1" applyBorder="1" applyAlignment="1">
      <alignment horizontal="center" vertical="center"/>
    </xf>
    <xf numFmtId="164" fontId="10" fillId="0" borderId="0" xfId="2" applyNumberFormat="1" applyFont="1" applyAlignment="1">
      <alignment horizontal="center"/>
    </xf>
    <xf numFmtId="0" fontId="12" fillId="3" borderId="2" xfId="2" applyFont="1" applyFill="1" applyBorder="1" applyAlignment="1">
      <alignment horizontal="center"/>
    </xf>
    <xf numFmtId="0" fontId="12" fillId="3" borderId="4" xfId="2" applyFont="1" applyFill="1" applyBorder="1" applyAlignment="1">
      <alignment horizontal="center"/>
    </xf>
    <xf numFmtId="0" fontId="13" fillId="3" borderId="1" xfId="2" applyFont="1" applyFill="1" applyBorder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13" fillId="3" borderId="2" xfId="2" applyFont="1" applyFill="1" applyBorder="1" applyAlignment="1">
      <alignment horizontal="center"/>
    </xf>
    <xf numFmtId="0" fontId="13" fillId="3" borderId="3" xfId="2" applyFont="1" applyFill="1" applyBorder="1" applyAlignment="1">
      <alignment horizontal="center"/>
    </xf>
    <xf numFmtId="0" fontId="13" fillId="3" borderId="4" xfId="2" applyFont="1" applyFill="1" applyBorder="1" applyAlignment="1">
      <alignment horizontal="center"/>
    </xf>
    <xf numFmtId="0" fontId="12" fillId="3" borderId="1" xfId="2" applyFont="1" applyFill="1" applyBorder="1" applyAlignment="1">
      <alignment horizontal="center"/>
    </xf>
    <xf numFmtId="0" fontId="12" fillId="3" borderId="3" xfId="2" applyFont="1" applyFill="1" applyBorder="1" applyAlignment="1">
      <alignment horizontal="center"/>
    </xf>
    <xf numFmtId="0" fontId="12" fillId="12" borderId="2" xfId="2" applyFont="1" applyFill="1" applyBorder="1" applyAlignment="1">
      <alignment horizontal="center"/>
    </xf>
    <xf numFmtId="0" fontId="12" fillId="12" borderId="3" xfId="2" applyFont="1" applyFill="1" applyBorder="1" applyAlignment="1">
      <alignment horizontal="center"/>
    </xf>
    <xf numFmtId="0" fontId="12" fillId="12" borderId="4" xfId="2" applyFont="1" applyFill="1" applyBorder="1" applyAlignment="1">
      <alignment horizontal="center"/>
    </xf>
    <xf numFmtId="0" fontId="12" fillId="13" borderId="2" xfId="2" applyFont="1" applyFill="1" applyBorder="1" applyAlignment="1">
      <alignment horizontal="center"/>
    </xf>
    <xf numFmtId="0" fontId="12" fillId="13" borderId="3" xfId="2" applyFont="1" applyFill="1" applyBorder="1" applyAlignment="1">
      <alignment horizontal="center"/>
    </xf>
    <xf numFmtId="0" fontId="12" fillId="13" borderId="4" xfId="2" applyFont="1" applyFill="1" applyBorder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17" fontId="11" fillId="3" borderId="1" xfId="2" applyNumberFormat="1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49" fontId="30" fillId="10" borderId="5" xfId="13" applyNumberFormat="1" applyFont="1" applyFill="1" applyBorder="1" applyAlignment="1">
      <alignment horizontal="left" vertical="center" wrapText="1"/>
    </xf>
    <xf numFmtId="3" fontId="30" fillId="11" borderId="5" xfId="13" applyNumberFormat="1" applyFont="1" applyFill="1" applyBorder="1" applyAlignment="1">
      <alignment horizontal="right" vertical="center" wrapText="1"/>
    </xf>
    <xf numFmtId="0" fontId="30" fillId="10" borderId="7" xfId="13" applyFont="1" applyFill="1" applyBorder="1" applyAlignment="1">
      <alignment horizontal="left" vertical="center" wrapText="1"/>
    </xf>
    <xf numFmtId="0" fontId="31" fillId="0" borderId="0" xfId="13" applyFont="1" applyAlignment="1">
      <alignment horizontal="left" vertical="top" wrapText="1"/>
    </xf>
    <xf numFmtId="0" fontId="29" fillId="0" borderId="0" xfId="13" applyFont="1" applyAlignment="1">
      <alignment horizontal="left" vertical="center" wrapText="1"/>
    </xf>
    <xf numFmtId="0" fontId="30" fillId="0" borderId="0" xfId="13" applyFont="1" applyAlignment="1">
      <alignment horizontal="left" vertical="top" wrapText="1"/>
    </xf>
    <xf numFmtId="49" fontId="30" fillId="10" borderId="6" xfId="13" applyNumberFormat="1" applyFont="1" applyFill="1" applyBorder="1" applyAlignment="1">
      <alignment horizontal="left" vertical="center" wrapText="1"/>
    </xf>
    <xf numFmtId="0" fontId="33" fillId="0" borderId="11" xfId="1" applyFont="1" applyBorder="1" applyAlignment="1">
      <alignment horizontal="center" vertical="center"/>
    </xf>
    <xf numFmtId="0" fontId="33" fillId="14" borderId="8" xfId="1" applyFont="1" applyFill="1" applyBorder="1" applyAlignment="1">
      <alignment horizontal="center" vertical="center"/>
    </xf>
    <xf numFmtId="0" fontId="33" fillId="14" borderId="9" xfId="1" applyFont="1" applyFill="1" applyBorder="1" applyAlignment="1">
      <alignment horizontal="center" vertical="center"/>
    </xf>
    <xf numFmtId="0" fontId="33" fillId="14" borderId="10" xfId="1" applyFont="1" applyFill="1" applyBorder="1" applyAlignment="1">
      <alignment horizontal="center" vertical="center"/>
    </xf>
    <xf numFmtId="0" fontId="33" fillId="15" borderId="11" xfId="1" applyFont="1" applyFill="1" applyBorder="1" applyAlignment="1">
      <alignment horizontal="center" vertical="center"/>
    </xf>
    <xf numFmtId="0" fontId="33" fillId="16" borderId="11" xfId="1" applyFont="1" applyFill="1" applyBorder="1" applyAlignment="1">
      <alignment horizontal="center" vertical="center"/>
    </xf>
    <xf numFmtId="0" fontId="33" fillId="17" borderId="11" xfId="1" applyFont="1" applyFill="1" applyBorder="1" applyAlignment="1">
      <alignment horizontal="center" vertical="center" wrapText="1"/>
    </xf>
    <xf numFmtId="164" fontId="22" fillId="0" borderId="1" xfId="3" applyFont="1" applyBorder="1" applyAlignment="1">
      <alignment horizontal="center"/>
    </xf>
    <xf numFmtId="169" fontId="22" fillId="0" borderId="1" xfId="3" applyNumberFormat="1" applyFont="1" applyBorder="1" applyAlignment="1">
      <alignment horizontal="center"/>
    </xf>
    <xf numFmtId="0" fontId="22" fillId="0" borderId="1" xfId="2" applyFont="1" applyBorder="1" applyAlignment="1">
      <alignment horizontal="center" vertical="center"/>
    </xf>
  </cellXfs>
  <cellStyles count="14">
    <cellStyle name="Comma" xfId="9" builtinId="3"/>
    <cellStyle name="Milliers [0] 2" xfId="3" xr:uid="{70A8093C-76E3-4912-B573-6F3886C6F844}"/>
    <cellStyle name="Milliers [0] 2 2" xfId="5" xr:uid="{C486A2D6-BC85-490E-9061-C202F8339C8B}"/>
    <cellStyle name="Milliers 2" xfId="7" xr:uid="{7D9324B2-D29C-4A6B-93FE-6FB07718AFE0}"/>
    <cellStyle name="Milliers 2 2" xfId="6" xr:uid="{26B5B61A-6725-40CA-97EF-2EBBDDE00C01}"/>
    <cellStyle name="Milliers 3" xfId="8" xr:uid="{051247A4-B775-4304-BDA5-F84E3BE6A930}"/>
    <cellStyle name="Milliers 4" xfId="10" xr:uid="{3DFB91ED-F6C9-4749-A188-6216529D820D}"/>
    <cellStyle name="Normal" xfId="0" builtinId="0"/>
    <cellStyle name="Normal 2" xfId="1" xr:uid="{D4FA1A33-4DD5-4E98-92CD-932B1136AF5B}"/>
    <cellStyle name="Normal 3" xfId="2" xr:uid="{28243E7C-4E66-4FAF-9E05-51688C43749D}"/>
    <cellStyle name="Normal 4" xfId="11" xr:uid="{7E5161B0-2873-414F-BDCA-4AEB47547216}"/>
    <cellStyle name="Normal 5" xfId="13" xr:uid="{D017FFA3-5A51-4EF8-9996-19AC5FA24276}"/>
    <cellStyle name="Percent" xfId="12" builtinId="5"/>
    <cellStyle name="Pourcentage 2" xfId="4" xr:uid="{7F6FC85A-6FA5-4AEE-8346-60DE4FCD63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09650" cy="933450"/>
    <xdr:pic>
      <xdr:nvPicPr>
        <xdr:cNvPr id="2" name="Picture 1">
          <a:extLst>
            <a:ext uri="{FF2B5EF4-FFF2-40B4-BE49-F238E27FC236}">
              <a16:creationId xmlns:a16="http://schemas.microsoft.com/office/drawing/2014/main" id="{DEE4BA60-0249-430F-801A-E24D6B8792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228600"/>
          <a:ext cx="1009650" cy="933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09650" cy="933450"/>
    <xdr:pic>
      <xdr:nvPicPr>
        <xdr:cNvPr id="2" name="Picture 1">
          <a:extLst>
            <a:ext uri="{FF2B5EF4-FFF2-40B4-BE49-F238E27FC236}">
              <a16:creationId xmlns:a16="http://schemas.microsoft.com/office/drawing/2014/main" id="{6115C8D2-5E31-4700-BD46-848494BD0E8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228600"/>
          <a:ext cx="1009650" cy="9334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09650" cy="933450"/>
    <xdr:pic>
      <xdr:nvPicPr>
        <xdr:cNvPr id="2" name="Picture 1">
          <a:extLst>
            <a:ext uri="{FF2B5EF4-FFF2-40B4-BE49-F238E27FC236}">
              <a16:creationId xmlns:a16="http://schemas.microsoft.com/office/drawing/2014/main" id="{72122033-FD45-45E7-827A-0062692C1FF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228600"/>
          <a:ext cx="1009650" cy="933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SV\dleconte\Mes%20Documents\DOCUMENTS\DOSSIERS%20LECONTE\DOCS\2021\F&#233;vrier\Estimations%20F&#233;vrie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FSETB01\Redirect_DossiersDSV\DOCUMENTS\DOSSIERS%20LECONTE\DOCS\2019\DECEMBRE%202019\Estimations%20D&#233;cembre%20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leconte/AppData/Local/Microsoft/Windows/INetCache/Content.Outlook/JW9NX4VH/BEN02-IOT_discount-Provision-%20April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leconte/AppData/Local/Microsoft/Windows/INetCache/Content.Outlook/JW9NX4VH/BEN02-IOT_discount-Provision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 "/>
      <sheetName val="NAT+INT DETAIL "/>
      <sheetName val="INTEC"/>
      <sheetName val="ROAMING IN"/>
      <sheetName val="ROAMING OUT"/>
      <sheetName val="Feuil4"/>
      <sheetName val="Feuil5"/>
      <sheetName val="Current Month-Summary"/>
    </sheetNames>
    <sheetDataSet>
      <sheetData sheetId="0" refreshError="1"/>
      <sheetData sheetId="1">
        <row r="14">
          <cell r="D14">
            <v>0</v>
          </cell>
          <cell r="G14">
            <v>0</v>
          </cell>
        </row>
        <row r="16">
          <cell r="D16">
            <v>0</v>
          </cell>
          <cell r="G16">
            <v>0</v>
          </cell>
        </row>
      </sheetData>
      <sheetData sheetId="2">
        <row r="111">
          <cell r="L111">
            <v>6400800.7388999993</v>
          </cell>
        </row>
      </sheetData>
      <sheetData sheetId="3"/>
      <sheetData sheetId="4"/>
      <sheetData sheetId="5"/>
      <sheetData sheetId="6"/>
      <sheetData sheetId="7">
        <row r="25">
          <cell r="G25">
            <v>-4852.820497712929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+INT"/>
      <sheetName val="AVOIR"/>
      <sheetName val="Feuil1"/>
      <sheetName val="Feuil2"/>
      <sheetName val="Sheet"/>
    </sheetNames>
    <sheetDataSet>
      <sheetData sheetId="0" refreshError="1">
        <row r="25">
          <cell r="C25">
            <v>252091.41666666666</v>
          </cell>
        </row>
        <row r="29">
          <cell r="C29">
            <v>634879.98333333351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pout-Data"/>
      <sheetName val="Tapin-Data"/>
      <sheetName val="TAPIMPEXPSUMMARY"/>
      <sheetName val="Inbound-Group"/>
      <sheetName val="Outbound-Group"/>
      <sheetName val="Current Month-Summary"/>
      <sheetName val="YTD Summary (2024)"/>
      <sheetName val="YTD Summary (2025)"/>
      <sheetName val="YTD Summary (2018)"/>
      <sheetName val="YTD Summary (2019)"/>
      <sheetName val="YTD Summary (2021)"/>
      <sheetName val="YTD Summary (2022)"/>
      <sheetName val="YTD Summary (2023)"/>
      <sheetName val="Y2023 deals"/>
      <sheetName val="VRS Adj (July22 to Jun23)"/>
      <sheetName val="YTD Summary (2020)"/>
      <sheetName val="VRS Adj"/>
      <sheetName val="YTD Summary (Y-16 to Y18)"/>
      <sheetName val="GVMetadata"/>
    </sheetNames>
    <sheetDataSet>
      <sheetData sheetId="0" refreshError="1"/>
      <sheetData sheetId="1" refreshError="1"/>
      <sheetData sheetId="2" refreshError="1"/>
      <sheetData sheetId="3">
        <row r="10">
          <cell r="AY10">
            <v>211.95128409112002</v>
          </cell>
          <cell r="AZ10">
            <v>140.059384765625</v>
          </cell>
        </row>
        <row r="30">
          <cell r="AY30">
            <v>0</v>
          </cell>
          <cell r="AZ30">
            <v>0</v>
          </cell>
        </row>
        <row r="33">
          <cell r="AY33">
            <v>0</v>
          </cell>
          <cell r="AZ33">
            <v>0</v>
          </cell>
        </row>
        <row r="46">
          <cell r="AY46">
            <v>13556.42407745038</v>
          </cell>
          <cell r="AZ46">
            <v>13556.0905625</v>
          </cell>
        </row>
        <row r="53">
          <cell r="AY53">
            <v>146.12319620766002</v>
          </cell>
          <cell r="AZ53">
            <v>333.33333333333331</v>
          </cell>
        </row>
        <row r="57">
          <cell r="AY57">
            <v>0</v>
          </cell>
          <cell r="AZ57">
            <v>0</v>
          </cell>
        </row>
        <row r="60">
          <cell r="AY60">
            <v>94.737647780999993</v>
          </cell>
          <cell r="AZ60">
            <v>94.73830078124999</v>
          </cell>
        </row>
        <row r="95">
          <cell r="AY95">
            <v>590.96817404002002</v>
          </cell>
          <cell r="AZ95">
            <v>500.85552500000006</v>
          </cell>
        </row>
        <row r="107">
          <cell r="AY107">
            <v>2793.3308171056401</v>
          </cell>
          <cell r="AZ107">
            <v>2809.9064643192041</v>
          </cell>
        </row>
        <row r="113">
          <cell r="AY113">
            <v>0</v>
          </cell>
          <cell r="AZ113">
            <v>0</v>
          </cell>
        </row>
        <row r="129">
          <cell r="AY129">
            <v>7466.1644814131196</v>
          </cell>
          <cell r="AZ129">
            <v>2818.8022164843751</v>
          </cell>
        </row>
        <row r="155">
          <cell r="AY155">
            <v>3717.6592724331199</v>
          </cell>
          <cell r="AZ155">
            <v>5533.3721132812498</v>
          </cell>
        </row>
        <row r="156">
          <cell r="AY156">
            <v>246.73197080279999</v>
          </cell>
          <cell r="AZ156">
            <v>5242.7584999999999</v>
          </cell>
        </row>
        <row r="160">
          <cell r="AY160">
            <v>0</v>
          </cell>
          <cell r="AZ160">
            <v>0</v>
          </cell>
        </row>
        <row r="163">
          <cell r="AY163">
            <v>2.0100002318199999</v>
          </cell>
          <cell r="AZ163">
            <v>2.0100000000000002</v>
          </cell>
        </row>
        <row r="166">
          <cell r="AY166">
            <v>14.887894793660001</v>
          </cell>
          <cell r="AZ166">
            <v>14.883343750000002</v>
          </cell>
        </row>
        <row r="167">
          <cell r="AY167">
            <v>19858.751616723177</v>
          </cell>
          <cell r="AZ167">
            <v>216.68830566406251</v>
          </cell>
        </row>
        <row r="169">
          <cell r="AY169">
            <v>0.88228001414000001</v>
          </cell>
          <cell r="AZ169">
            <v>0.88228515625000004</v>
          </cell>
        </row>
        <row r="188">
          <cell r="AY188">
            <v>224.03866270044003</v>
          </cell>
          <cell r="AZ188">
            <v>224.03765976562499</v>
          </cell>
        </row>
        <row r="205">
          <cell r="AY205">
            <v>879.27193120928007</v>
          </cell>
          <cell r="AZ205">
            <v>1695.1532570311908</v>
          </cell>
        </row>
        <row r="206">
          <cell r="AY206">
            <v>0</v>
          </cell>
          <cell r="AZ206">
            <v>0</v>
          </cell>
        </row>
        <row r="207">
          <cell r="AY207">
            <v>146.82875553975998</v>
          </cell>
          <cell r="AZ207">
            <v>146.82805664062499</v>
          </cell>
        </row>
        <row r="208">
          <cell r="AY208">
            <v>1.50156916E-2</v>
          </cell>
          <cell r="AZ208">
            <v>0.22714843750000002</v>
          </cell>
        </row>
        <row r="209">
          <cell r="AY209">
            <v>1.5261312434200003</v>
          </cell>
          <cell r="AZ209">
            <v>10.503164062500002</v>
          </cell>
        </row>
        <row r="210">
          <cell r="AY210">
            <v>0</v>
          </cell>
          <cell r="AZ210">
            <v>0</v>
          </cell>
        </row>
        <row r="211">
          <cell r="AY211">
            <v>0</v>
          </cell>
          <cell r="AZ211">
            <v>0</v>
          </cell>
        </row>
        <row r="212">
          <cell r="AY212">
            <v>2.9669212582799998</v>
          </cell>
          <cell r="AZ212">
            <v>3.5001240234375004</v>
          </cell>
        </row>
        <row r="213">
          <cell r="AY213">
            <v>17970.801988347743</v>
          </cell>
          <cell r="AZ213">
            <v>18042.546485876068</v>
          </cell>
        </row>
        <row r="214">
          <cell r="AY214">
            <v>0</v>
          </cell>
          <cell r="AZ214">
            <v>0</v>
          </cell>
        </row>
        <row r="215">
          <cell r="AY215">
            <v>0</v>
          </cell>
          <cell r="AZ215">
            <v>0</v>
          </cell>
        </row>
        <row r="216">
          <cell r="AY216">
            <v>0</v>
          </cell>
          <cell r="AZ216">
            <v>0</v>
          </cell>
        </row>
        <row r="217">
          <cell r="AY217">
            <v>0</v>
          </cell>
          <cell r="AZ217">
            <v>0</v>
          </cell>
        </row>
        <row r="218">
          <cell r="AY218">
            <v>0</v>
          </cell>
          <cell r="AZ218">
            <v>0</v>
          </cell>
        </row>
      </sheetData>
      <sheetData sheetId="4">
        <row r="10">
          <cell r="BB10">
            <v>0</v>
          </cell>
          <cell r="BC10">
            <v>0</v>
          </cell>
        </row>
        <row r="30">
          <cell r="BB30">
            <v>0</v>
          </cell>
          <cell r="BC30">
            <v>0</v>
          </cell>
        </row>
        <row r="33">
          <cell r="BB33">
            <v>0</v>
          </cell>
          <cell r="BC33">
            <v>0</v>
          </cell>
        </row>
        <row r="46">
          <cell r="BB46">
            <v>253.90191807693998</v>
          </cell>
          <cell r="BC46">
            <v>253.99479687500002</v>
          </cell>
        </row>
        <row r="53">
          <cell r="BB53">
            <v>146.22727756</v>
          </cell>
          <cell r="BC53">
            <v>333.33333333333331</v>
          </cell>
        </row>
        <row r="57">
          <cell r="BB57">
            <v>0</v>
          </cell>
          <cell r="BC57">
            <v>0</v>
          </cell>
        </row>
        <row r="60">
          <cell r="BB60">
            <v>3.999924656E-2</v>
          </cell>
          <cell r="BC60">
            <v>0.04</v>
          </cell>
        </row>
        <row r="95">
          <cell r="BB95">
            <v>291.16296603030003</v>
          </cell>
          <cell r="BC95">
            <v>287.31064083593753</v>
          </cell>
        </row>
        <row r="107">
          <cell r="BB107">
            <v>50.261648485999999</v>
          </cell>
          <cell r="BC107">
            <v>49.669339885898829</v>
          </cell>
        </row>
        <row r="113">
          <cell r="BB113">
            <v>0</v>
          </cell>
          <cell r="BC113">
            <v>0</v>
          </cell>
        </row>
        <row r="129">
          <cell r="BB129">
            <v>2265.9275319967996</v>
          </cell>
          <cell r="BC129">
            <v>1199.9750351757812</v>
          </cell>
        </row>
        <row r="156">
          <cell r="BB156">
            <v>179.72944448605998</v>
          </cell>
          <cell r="BC156">
            <v>396.06226401953126</v>
          </cell>
        </row>
        <row r="157">
          <cell r="BB157">
            <v>139.62644342920001</v>
          </cell>
          <cell r="BC157">
            <v>1939.7119308593749</v>
          </cell>
        </row>
        <row r="160">
          <cell r="BC160">
            <v>0</v>
          </cell>
        </row>
        <row r="161">
          <cell r="BB161">
            <v>0</v>
          </cell>
        </row>
        <row r="164">
          <cell r="BB164">
            <v>0</v>
          </cell>
          <cell r="BC164">
            <v>0</v>
          </cell>
        </row>
        <row r="167">
          <cell r="BB167">
            <v>1.5566430796000001</v>
          </cell>
          <cell r="BC167">
            <v>1.5591406249999999</v>
          </cell>
        </row>
        <row r="168">
          <cell r="BB168">
            <v>1091.2349132859999</v>
          </cell>
          <cell r="BC168">
            <v>59.688627929687499</v>
          </cell>
        </row>
        <row r="169">
          <cell r="BB169">
            <v>0.54980532319999997</v>
          </cell>
          <cell r="BC169">
            <v>1.4034999999999997</v>
          </cell>
        </row>
        <row r="188">
          <cell r="BB188">
            <v>3124.6608699849194</v>
          </cell>
          <cell r="BC188">
            <v>2754.1251330078121</v>
          </cell>
        </row>
        <row r="205">
          <cell r="BB205">
            <v>714.57454813038009</v>
          </cell>
          <cell r="BC205">
            <v>1026.5520603152863</v>
          </cell>
        </row>
        <row r="206">
          <cell r="BB206">
            <v>0</v>
          </cell>
          <cell r="BC206">
            <v>0</v>
          </cell>
        </row>
        <row r="207">
          <cell r="BB207">
            <v>0.85766509317999995</v>
          </cell>
          <cell r="BC207">
            <v>0.857666015625</v>
          </cell>
        </row>
        <row r="208">
          <cell r="BB208">
            <v>0</v>
          </cell>
          <cell r="BC208">
            <v>0</v>
          </cell>
        </row>
        <row r="209">
          <cell r="BB209">
            <v>140.78378215999999</v>
          </cell>
          <cell r="BC209">
            <v>2523.2906135317849</v>
          </cell>
        </row>
        <row r="210">
          <cell r="BB210">
            <v>0</v>
          </cell>
          <cell r="BC210">
            <v>0</v>
          </cell>
        </row>
        <row r="211">
          <cell r="BB211">
            <v>0</v>
          </cell>
          <cell r="BC211">
            <v>0</v>
          </cell>
        </row>
        <row r="212">
          <cell r="BB212">
            <v>13.400767484999999</v>
          </cell>
          <cell r="BC212">
            <v>13.400964843750002</v>
          </cell>
        </row>
        <row r="213">
          <cell r="BB213">
            <v>0</v>
          </cell>
          <cell r="BC213">
            <v>0</v>
          </cell>
        </row>
        <row r="214">
          <cell r="BB214">
            <v>0</v>
          </cell>
          <cell r="BC214">
            <v>0</v>
          </cell>
        </row>
        <row r="215">
          <cell r="BB215">
            <v>0</v>
          </cell>
          <cell r="BC215">
            <v>0</v>
          </cell>
        </row>
        <row r="216">
          <cell r="BB216">
            <v>0</v>
          </cell>
          <cell r="BC216">
            <v>0</v>
          </cell>
        </row>
        <row r="217">
          <cell r="BB217">
            <v>0</v>
          </cell>
          <cell r="BC217">
            <v>0</v>
          </cell>
        </row>
        <row r="218">
          <cell r="BB218">
            <v>0</v>
          </cell>
          <cell r="BC218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pout-Data"/>
      <sheetName val="Tapin-Data"/>
      <sheetName val="Inbound-Group"/>
      <sheetName val="Outbound-Group"/>
      <sheetName val="Current Month-Summary"/>
      <sheetName val="YTD Summary (2024)"/>
      <sheetName val="YTD Summary (2025)"/>
      <sheetName val="YTD Summary (2018)"/>
      <sheetName val="YTD Summary (2019)"/>
      <sheetName val="YTD Summary (2021)"/>
      <sheetName val="YTD Summary (2022)"/>
      <sheetName val="YTD Summary (2023)"/>
      <sheetName val="Y2023 deals"/>
      <sheetName val="VRS Adj (July22 to Jun23)"/>
      <sheetName val="YTD Summary (2020)"/>
      <sheetName val="VRS Adj"/>
      <sheetName val="YTD Summary (Y-16 to Y18)"/>
      <sheetName val="GVMetadata"/>
    </sheetNames>
    <sheetDataSet>
      <sheetData sheetId="0" refreshError="1"/>
      <sheetData sheetId="1" refreshError="1"/>
      <sheetData sheetId="2">
        <row r="10">
          <cell r="AY10">
            <v>2.3985918009199998</v>
          </cell>
          <cell r="AZ10">
            <v>1.524462890625</v>
          </cell>
        </row>
        <row r="30">
          <cell r="AY30">
            <v>0</v>
          </cell>
          <cell r="AZ30">
            <v>0</v>
          </cell>
        </row>
        <row r="33">
          <cell r="AY33">
            <v>0</v>
          </cell>
          <cell r="AZ33">
            <v>0</v>
          </cell>
        </row>
        <row r="46">
          <cell r="AY46">
            <v>10497.469057144648</v>
          </cell>
          <cell r="AZ46">
            <v>10496.850437499999</v>
          </cell>
        </row>
        <row r="53">
          <cell r="AY53">
            <v>33.02777648184</v>
          </cell>
          <cell r="AZ53">
            <v>333.33333333333331</v>
          </cell>
        </row>
        <row r="57">
          <cell r="AY57">
            <v>0</v>
          </cell>
          <cell r="AZ57">
            <v>0</v>
          </cell>
        </row>
        <row r="60">
          <cell r="AY60">
            <v>23.54056359662</v>
          </cell>
          <cell r="AZ60">
            <v>23.543048828124999</v>
          </cell>
        </row>
        <row r="95">
          <cell r="AY95">
            <v>398.44401749928994</v>
          </cell>
          <cell r="AZ95">
            <v>337.70754531249997</v>
          </cell>
        </row>
        <row r="107">
          <cell r="AY107">
            <v>4987.4753303239204</v>
          </cell>
          <cell r="AZ107">
            <v>5162.0419903025395</v>
          </cell>
        </row>
        <row r="113">
          <cell r="AY113">
            <v>0</v>
          </cell>
          <cell r="AZ113">
            <v>0</v>
          </cell>
        </row>
        <row r="129">
          <cell r="AY129">
            <v>7093.3225330237901</v>
          </cell>
          <cell r="AZ129">
            <v>2839.5347400156252</v>
          </cell>
        </row>
        <row r="155">
          <cell r="AY155">
            <v>5844.4459437882706</v>
          </cell>
          <cell r="AZ155">
            <v>7925.9791757812491</v>
          </cell>
        </row>
        <row r="156">
          <cell r="AY156">
            <v>164.10243929519999</v>
          </cell>
          <cell r="AZ156">
            <v>4014.2179171874996</v>
          </cell>
        </row>
        <row r="160">
          <cell r="AY160">
            <v>0</v>
          </cell>
          <cell r="AZ160">
            <v>0</v>
          </cell>
        </row>
        <row r="163">
          <cell r="AY163">
            <v>0.16406084107000002</v>
          </cell>
          <cell r="AZ163">
            <v>0.16406054687499999</v>
          </cell>
        </row>
        <row r="166">
          <cell r="AY166">
            <v>11.702112644040001</v>
          </cell>
          <cell r="AZ166">
            <v>11.714140625000001</v>
          </cell>
        </row>
        <row r="167">
          <cell r="AY167">
            <v>8170.1313692479598</v>
          </cell>
          <cell r="AZ167">
            <v>7043.9877999999999</v>
          </cell>
        </row>
        <row r="169">
          <cell r="AY169">
            <v>0.34008179911999997</v>
          </cell>
          <cell r="AZ169">
            <v>0.3400595703125</v>
          </cell>
        </row>
        <row r="188">
          <cell r="AY188">
            <v>91.528375446829997</v>
          </cell>
          <cell r="AZ188">
            <v>90.719519140624982</v>
          </cell>
        </row>
        <row r="205">
          <cell r="AY205">
            <v>43.863313794580009</v>
          </cell>
          <cell r="AZ205">
            <v>80.488627049203487</v>
          </cell>
        </row>
        <row r="206">
          <cell r="AY206">
            <v>0</v>
          </cell>
          <cell r="AZ206">
            <v>0</v>
          </cell>
        </row>
        <row r="207">
          <cell r="AY207">
            <v>168.66858841160999</v>
          </cell>
          <cell r="AZ207">
            <v>168.66611328124998</v>
          </cell>
        </row>
        <row r="208">
          <cell r="AY208">
            <v>2.5153377969999998E-2</v>
          </cell>
          <cell r="AZ208">
            <v>0.39792968750000002</v>
          </cell>
        </row>
        <row r="209">
          <cell r="AY209">
            <v>2.3194610877899997</v>
          </cell>
          <cell r="AZ209">
            <v>31.2661328125</v>
          </cell>
        </row>
        <row r="210">
          <cell r="AY210">
            <v>0</v>
          </cell>
          <cell r="AZ210">
            <v>0</v>
          </cell>
        </row>
        <row r="211">
          <cell r="AY211">
            <v>0</v>
          </cell>
          <cell r="AZ211">
            <v>0</v>
          </cell>
        </row>
        <row r="212">
          <cell r="AY212">
            <v>1.3548276E-4</v>
          </cell>
          <cell r="AZ212">
            <v>1.6113281250000001E-4</v>
          </cell>
        </row>
        <row r="213">
          <cell r="AY213">
            <v>21780.307733703819</v>
          </cell>
          <cell r="AZ213">
            <v>22622.267553605634</v>
          </cell>
        </row>
        <row r="214">
          <cell r="AY214">
            <v>0</v>
          </cell>
          <cell r="AZ214">
            <v>0</v>
          </cell>
        </row>
        <row r="215">
          <cell r="AY215">
            <v>0</v>
          </cell>
          <cell r="AZ215">
            <v>0</v>
          </cell>
        </row>
        <row r="216">
          <cell r="AY216">
            <v>0</v>
          </cell>
          <cell r="AZ216">
            <v>0</v>
          </cell>
        </row>
        <row r="217">
          <cell r="AY217">
            <v>0</v>
          </cell>
          <cell r="AZ217">
            <v>0</v>
          </cell>
        </row>
        <row r="218">
          <cell r="AY218">
            <v>0</v>
          </cell>
          <cell r="AZ218">
            <v>0</v>
          </cell>
        </row>
      </sheetData>
      <sheetData sheetId="3">
        <row r="10">
          <cell r="BB10">
            <v>0</v>
          </cell>
          <cell r="BC10">
            <v>0</v>
          </cell>
        </row>
        <row r="30">
          <cell r="BB30">
            <v>0</v>
          </cell>
          <cell r="BC30">
            <v>0</v>
          </cell>
        </row>
        <row r="33">
          <cell r="BB33">
            <v>0</v>
          </cell>
          <cell r="BC33">
            <v>0</v>
          </cell>
        </row>
        <row r="46">
          <cell r="BB46">
            <v>200.71108157499</v>
          </cell>
          <cell r="BC46">
            <v>200.8888046875</v>
          </cell>
        </row>
        <row r="53">
          <cell r="BB53">
            <v>454.40039574999997</v>
          </cell>
          <cell r="BC53">
            <v>333.33333333333331</v>
          </cell>
        </row>
        <row r="57">
          <cell r="BB57">
            <v>0</v>
          </cell>
          <cell r="BC57">
            <v>0</v>
          </cell>
        </row>
        <row r="60">
          <cell r="BB60">
            <v>0.16005908177</v>
          </cell>
          <cell r="BC60">
            <v>0.16005859375000001</v>
          </cell>
        </row>
        <row r="95">
          <cell r="BB95">
            <v>252.57865285239998</v>
          </cell>
          <cell r="BC95">
            <v>252.67683524999998</v>
          </cell>
        </row>
        <row r="107">
          <cell r="BB107">
            <v>35.917734146000001</v>
          </cell>
          <cell r="BC107">
            <v>35.626450090211385</v>
          </cell>
        </row>
        <row r="113">
          <cell r="BB113">
            <v>0</v>
          </cell>
          <cell r="BC113">
            <v>0</v>
          </cell>
        </row>
        <row r="129">
          <cell r="BB129">
            <v>2471.2847872698999</v>
          </cell>
          <cell r="BC129">
            <v>1411.8538551562499</v>
          </cell>
        </row>
        <row r="156">
          <cell r="BB156">
            <v>178.47823395751999</v>
          </cell>
          <cell r="BC156">
            <v>451.78404202148431</v>
          </cell>
        </row>
        <row r="157">
          <cell r="BB157">
            <v>55.917824624200001</v>
          </cell>
          <cell r="BC157">
            <v>1572.524260546875</v>
          </cell>
        </row>
        <row r="160">
          <cell r="BC160">
            <v>0</v>
          </cell>
        </row>
        <row r="161">
          <cell r="BB161">
            <v>0</v>
          </cell>
        </row>
        <row r="164">
          <cell r="BB164">
            <v>0</v>
          </cell>
          <cell r="BC164">
            <v>0</v>
          </cell>
        </row>
        <row r="167">
          <cell r="BB167">
            <v>1.5340286395</v>
          </cell>
          <cell r="BC167">
            <v>1.5342578125000002</v>
          </cell>
        </row>
        <row r="168">
          <cell r="BB168">
            <v>1410.4760146469998</v>
          </cell>
          <cell r="BC168">
            <v>438.76110937500005</v>
          </cell>
        </row>
        <row r="169">
          <cell r="BB169">
            <v>15.213334031</v>
          </cell>
          <cell r="BC169">
            <v>15.128828124999998</v>
          </cell>
        </row>
        <row r="188">
          <cell r="BB188">
            <v>5808.6566121735896</v>
          </cell>
          <cell r="BC188">
            <v>5413.6713248046881</v>
          </cell>
        </row>
        <row r="205">
          <cell r="BB205">
            <v>696.15699056980998</v>
          </cell>
          <cell r="BC205">
            <v>1040.227477055754</v>
          </cell>
        </row>
        <row r="206">
          <cell r="BB206">
            <v>0</v>
          </cell>
          <cell r="BC206">
            <v>0</v>
          </cell>
        </row>
        <row r="207">
          <cell r="BB207">
            <v>1.0108519260000001E-2</v>
          </cell>
          <cell r="BC207">
            <v>1.0107421875E-2</v>
          </cell>
        </row>
        <row r="208">
          <cell r="BB208">
            <v>0</v>
          </cell>
          <cell r="BC208">
            <v>0</v>
          </cell>
        </row>
        <row r="209">
          <cell r="BB209">
            <v>109.03602346</v>
          </cell>
          <cell r="BC209">
            <v>2219.4767116410758</v>
          </cell>
        </row>
        <row r="210">
          <cell r="BB210">
            <v>0</v>
          </cell>
          <cell r="BC210">
            <v>0</v>
          </cell>
        </row>
        <row r="211">
          <cell r="BB211">
            <v>0</v>
          </cell>
          <cell r="BC211">
            <v>0</v>
          </cell>
        </row>
        <row r="212">
          <cell r="BB212">
            <v>4.0076427642999999</v>
          </cell>
          <cell r="BC212">
            <v>4.0079521484375</v>
          </cell>
        </row>
        <row r="213">
          <cell r="BB213">
            <v>0</v>
          </cell>
          <cell r="BC213">
            <v>0</v>
          </cell>
        </row>
        <row r="214">
          <cell r="BB214">
            <v>0</v>
          </cell>
          <cell r="BC214">
            <v>0</v>
          </cell>
        </row>
        <row r="215">
          <cell r="BB215">
            <v>0</v>
          </cell>
          <cell r="BC215">
            <v>0</v>
          </cell>
        </row>
        <row r="216">
          <cell r="BB216">
            <v>0</v>
          </cell>
          <cell r="BC216">
            <v>0</v>
          </cell>
        </row>
        <row r="217">
          <cell r="BB217">
            <v>0</v>
          </cell>
          <cell r="BC217">
            <v>0</v>
          </cell>
        </row>
        <row r="218">
          <cell r="BB218">
            <v>0</v>
          </cell>
          <cell r="BC21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16BC-FD78-4B39-B8FD-293282C9530D}">
  <dimension ref="A2:E26"/>
  <sheetViews>
    <sheetView zoomScale="80" zoomScaleNormal="80" workbookViewId="0">
      <selection activeCell="E19" sqref="E19"/>
    </sheetView>
  </sheetViews>
  <sheetFormatPr defaultColWidth="36.85546875" defaultRowHeight="15.6"/>
  <cols>
    <col min="1" max="1" width="45.42578125" style="2" bestFit="1" customWidth="1"/>
    <col min="2" max="2" width="21" style="5" bestFit="1" customWidth="1"/>
    <col min="3" max="3" width="22.28515625" style="5" bestFit="1" customWidth="1"/>
    <col min="4" max="16384" width="36.85546875" style="5"/>
  </cols>
  <sheetData>
    <row r="2" spans="1:5" s="2" customFormat="1" ht="24.75" customHeight="1">
      <c r="A2" s="1" t="s">
        <v>0</v>
      </c>
      <c r="B2" s="1" t="s">
        <v>1</v>
      </c>
      <c r="C2" s="1" t="s">
        <v>2</v>
      </c>
    </row>
    <row r="3" spans="1:5" hidden="1">
      <c r="A3" s="3" t="s">
        <v>3</v>
      </c>
      <c r="B3" s="4">
        <f>'[1]NAT+INT DETAIL '!D14</f>
        <v>0</v>
      </c>
      <c r="C3" s="4">
        <f>'[1]NAT+INT DETAIL '!G14</f>
        <v>0</v>
      </c>
    </row>
    <row r="4" spans="1:5" hidden="1">
      <c r="A4" s="3" t="s">
        <v>4</v>
      </c>
      <c r="B4" s="4">
        <f>'[1]NAT+INT DETAIL '!D16</f>
        <v>0</v>
      </c>
      <c r="C4" s="4">
        <f>'[1]NAT+INT DETAIL '!G16</f>
        <v>0</v>
      </c>
    </row>
    <row r="5" spans="1:5">
      <c r="A5" s="3" t="s">
        <v>5</v>
      </c>
      <c r="B5" s="4">
        <f>+'TRAFIC&amp;REVENU DETAILS'!G27</f>
        <v>348692058.68947387</v>
      </c>
      <c r="C5" s="4">
        <f>+'TRAFIC&amp;REVENU DETAILS'!D27</f>
        <v>3998053.1355932215</v>
      </c>
    </row>
    <row r="6" spans="1:5">
      <c r="A6" s="3" t="s">
        <v>6</v>
      </c>
      <c r="B6" s="4">
        <f>+'TRAFIC&amp;REVENU DETAILS'!G32</f>
        <v>0</v>
      </c>
      <c r="C6" s="4">
        <f>+'TRAFIC&amp;REVENU DETAILS'!D32</f>
        <v>618597.79661016958</v>
      </c>
    </row>
    <row r="7" spans="1:5" s="8" customFormat="1">
      <c r="A7" s="6" t="s">
        <v>7</v>
      </c>
      <c r="B7" s="7">
        <f>+B3+B4+B5+B6</f>
        <v>348692058.68947387</v>
      </c>
      <c r="C7" s="7">
        <f>+C3+C4+C5+C6</f>
        <v>4616650.9322033916</v>
      </c>
    </row>
    <row r="8" spans="1:5">
      <c r="A8" s="3" t="s">
        <v>8</v>
      </c>
      <c r="B8" s="4">
        <f>+'TRAFIC&amp;REVENU DETAILS'!D70</f>
        <v>112370620.99661072</v>
      </c>
      <c r="C8" s="4">
        <f>+'TRAFIC&amp;REVENU DETAILS'!G70</f>
        <v>155128315.20109981</v>
      </c>
    </row>
    <row r="9" spans="1:5">
      <c r="A9" s="3" t="s">
        <v>9</v>
      </c>
      <c r="B9" s="4">
        <f>+'TRAFIC&amp;REVENU DETAILS'!D80</f>
        <v>110683927.68792</v>
      </c>
      <c r="C9" s="4">
        <f>+'TRAFIC&amp;REVENU DETAILS'!G80</f>
        <v>2451652.4066399997</v>
      </c>
    </row>
    <row r="10" spans="1:5" s="8" customFormat="1">
      <c r="A10" s="6" t="s">
        <v>10</v>
      </c>
      <c r="B10" s="7">
        <f>+B8+B9</f>
        <v>223054548.68453074</v>
      </c>
      <c r="C10" s="7">
        <f>+C8+C9</f>
        <v>157579967.60773981</v>
      </c>
    </row>
    <row r="11" spans="1:5" s="8" customFormat="1">
      <c r="A11" s="6" t="s">
        <v>11</v>
      </c>
      <c r="B11" s="7">
        <f>+'TRAFIC&amp;REVENU DETAILS'!D89</f>
        <v>64485748.728999995</v>
      </c>
      <c r="C11" s="7">
        <f>+'TRAFIC&amp;REVENU DETAILS'!G89</f>
        <v>14744419.137</v>
      </c>
    </row>
    <row r="12" spans="1:5" s="8" customFormat="1">
      <c r="A12" s="6" t="s">
        <v>12</v>
      </c>
      <c r="B12" s="7">
        <f>+'Current Month-Summary'!I37*655.957</f>
        <v>-1913326.0874521127</v>
      </c>
      <c r="C12" s="7"/>
      <c r="D12" s="6" t="s">
        <v>13</v>
      </c>
      <c r="E12" s="7">
        <f>'Current Month-Summary (2)'!I35*655.957</f>
        <v>-1227602.6069073987</v>
      </c>
    </row>
    <row r="13" spans="1:5" s="8" customFormat="1">
      <c r="A13" s="6" t="s">
        <v>14</v>
      </c>
      <c r="B13" s="7">
        <f>B7+B10+B11</f>
        <v>636232356.10300457</v>
      </c>
      <c r="C13" s="7">
        <f>C7+C10+C11</f>
        <v>176941037.67694318</v>
      </c>
    </row>
    <row r="14" spans="1:5" s="8" customFormat="1">
      <c r="A14" s="193" t="s">
        <v>15</v>
      </c>
      <c r="B14" s="194">
        <f>E12+B13+B12</f>
        <v>633091427.40864515</v>
      </c>
      <c r="C14" s="194">
        <f>C7+C10+C11</f>
        <v>176941037.67694318</v>
      </c>
    </row>
    <row r="15" spans="1:5" s="8" customFormat="1"/>
    <row r="24" spans="2:2">
      <c r="B24" s="110">
        <f>B10/1000000</f>
        <v>223.05454868453074</v>
      </c>
    </row>
    <row r="25" spans="2:2">
      <c r="B25" s="5">
        <f>'TRAFIC&amp;REVENU DETAILS'!C70/1000000</f>
        <v>1.0351576003333334</v>
      </c>
    </row>
    <row r="26" spans="2:2">
      <c r="B26" s="5">
        <f>B24/B25</f>
        <v>215.47883009573079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6F2F-6DA8-4266-9189-9B0E968AF4DB}">
  <sheetPr>
    <pageSetUpPr fitToPage="1"/>
  </sheetPr>
  <dimension ref="A1:AH98"/>
  <sheetViews>
    <sheetView topLeftCell="A34" zoomScale="80" zoomScaleNormal="80" workbookViewId="0">
      <selection activeCell="K48" sqref="K48"/>
    </sheetView>
  </sheetViews>
  <sheetFormatPr defaultColWidth="12.5703125" defaultRowHeight="13.9"/>
  <cols>
    <col min="1" max="1" width="39.42578125" style="20" bestFit="1" customWidth="1"/>
    <col min="2" max="2" width="10.85546875" style="43" bestFit="1" customWidth="1"/>
    <col min="3" max="3" width="13.5703125" style="43" bestFit="1" customWidth="1"/>
    <col min="4" max="4" width="13.85546875" style="10" bestFit="1" customWidth="1"/>
    <col min="5" max="5" width="10.85546875" style="10" bestFit="1" customWidth="1"/>
    <col min="6" max="6" width="24.7109375" style="10" bestFit="1" customWidth="1"/>
    <col min="7" max="7" width="15.42578125" style="10" bestFit="1" customWidth="1"/>
    <col min="8" max="8" width="13" style="10" bestFit="1" customWidth="1"/>
    <col min="9" max="9" width="12.5703125" style="11"/>
    <col min="10" max="10" width="12.5703125" style="12" customWidth="1"/>
    <col min="11" max="11" width="12.85546875" style="13" bestFit="1" customWidth="1"/>
    <col min="12" max="12" width="13.85546875" style="13" bestFit="1" customWidth="1"/>
    <col min="13" max="14" width="17" style="13" hidden="1" customWidth="1"/>
    <col min="15" max="15" width="13.7109375" style="11" hidden="1" customWidth="1"/>
    <col min="16" max="16" width="12.5703125" style="11" hidden="1" customWidth="1"/>
    <col min="17" max="17" width="12.5703125" style="14" hidden="1" customWidth="1"/>
    <col min="18" max="18" width="13.7109375" style="11" hidden="1" customWidth="1"/>
    <col min="19" max="20" width="12.5703125" style="11" hidden="1" customWidth="1"/>
    <col min="21" max="21" width="12.5703125" style="12" hidden="1" customWidth="1"/>
    <col min="22" max="27" width="12.5703125" style="11" hidden="1" customWidth="1"/>
    <col min="28" max="28" width="12.5703125" style="11" customWidth="1"/>
    <col min="29" max="29" width="12.5703125" style="11" hidden="1" customWidth="1"/>
    <col min="30" max="30" width="0" style="11" hidden="1" customWidth="1"/>
    <col min="31" max="16384" width="12.5703125" style="11"/>
  </cols>
  <sheetData>
    <row r="1" spans="1:21">
      <c r="A1" s="213"/>
      <c r="B1" s="214" t="s">
        <v>16</v>
      </c>
      <c r="C1" s="214"/>
      <c r="D1" s="214"/>
      <c r="E1" s="214"/>
      <c r="F1" s="9" t="s">
        <v>17</v>
      </c>
    </row>
    <row r="2" spans="1:21">
      <c r="A2" s="213"/>
      <c r="B2" s="214"/>
      <c r="C2" s="214"/>
      <c r="D2" s="214"/>
      <c r="E2" s="214"/>
      <c r="F2" s="9" t="s">
        <v>18</v>
      </c>
    </row>
    <row r="3" spans="1:21">
      <c r="A3" s="213"/>
      <c r="B3" s="214"/>
      <c r="C3" s="214"/>
      <c r="D3" s="214"/>
      <c r="E3" s="214"/>
      <c r="F3" s="9" t="s">
        <v>19</v>
      </c>
    </row>
    <row r="4" spans="1:21">
      <c r="A4" s="213"/>
      <c r="B4" s="214"/>
      <c r="C4" s="214"/>
      <c r="D4" s="214"/>
      <c r="E4" s="214"/>
      <c r="F4" s="9" t="s">
        <v>20</v>
      </c>
    </row>
    <row r="5" spans="1:21" ht="15.6">
      <c r="A5" s="215" t="s">
        <v>21</v>
      </c>
      <c r="B5" s="216"/>
      <c r="C5" s="216"/>
      <c r="D5" s="216"/>
      <c r="E5" s="217"/>
      <c r="F5" s="9" t="s">
        <v>22</v>
      </c>
    </row>
    <row r="7" spans="1:21" s="15" customFormat="1" ht="23.45">
      <c r="A7" s="218">
        <v>45778</v>
      </c>
      <c r="B7" s="219"/>
      <c r="C7" s="219"/>
      <c r="D7" s="219"/>
      <c r="E7" s="219"/>
      <c r="F7" s="219"/>
      <c r="G7" s="219"/>
      <c r="H7" s="219"/>
      <c r="J7" s="16"/>
      <c r="K7" s="17"/>
      <c r="L7" s="17"/>
      <c r="M7" s="17"/>
      <c r="N7" s="17"/>
      <c r="Q7" s="18"/>
      <c r="U7" s="16"/>
    </row>
    <row r="8" spans="1:21">
      <c r="A8" s="205" t="s">
        <v>23</v>
      </c>
      <c r="B8" s="205"/>
      <c r="C8" s="205"/>
      <c r="D8" s="205"/>
      <c r="E8" s="205"/>
      <c r="F8" s="205"/>
      <c r="G8" s="205"/>
      <c r="H8" s="205"/>
    </row>
    <row r="9" spans="1:21">
      <c r="A9" s="19"/>
      <c r="B9" s="196" t="s">
        <v>24</v>
      </c>
      <c r="C9" s="206"/>
      <c r="D9" s="197"/>
      <c r="E9" s="196" t="s">
        <v>25</v>
      </c>
      <c r="F9" s="206"/>
      <c r="G9" s="197"/>
      <c r="H9" s="19"/>
    </row>
    <row r="10" spans="1:21">
      <c r="A10" s="11"/>
      <c r="B10" s="196" t="s">
        <v>26</v>
      </c>
      <c r="C10" s="206"/>
      <c r="D10" s="197"/>
      <c r="E10" s="196" t="s">
        <v>26</v>
      </c>
      <c r="F10" s="206"/>
      <c r="G10" s="197"/>
      <c r="H10" s="19"/>
    </row>
    <row r="11" spans="1:21" s="20" customFormat="1">
      <c r="B11" s="21" t="s">
        <v>27</v>
      </c>
      <c r="C11" s="21" t="s">
        <v>28</v>
      </c>
      <c r="D11" s="19" t="s">
        <v>29</v>
      </c>
      <c r="E11" s="21" t="s">
        <v>27</v>
      </c>
      <c r="F11" s="21" t="s">
        <v>28</v>
      </c>
      <c r="G11" s="19" t="s">
        <v>30</v>
      </c>
      <c r="H11" s="19" t="s">
        <v>31</v>
      </c>
      <c r="J11" s="22"/>
      <c r="K11" s="23"/>
      <c r="L11" s="23"/>
      <c r="M11" s="23"/>
      <c r="N11" s="23"/>
      <c r="Q11" s="24"/>
      <c r="U11" s="22"/>
    </row>
    <row r="12" spans="1:21">
      <c r="A12" s="25" t="s">
        <v>32</v>
      </c>
      <c r="B12" s="26">
        <v>0</v>
      </c>
      <c r="C12" s="26">
        <f>ICT!D26</f>
        <v>29853236.550000001</v>
      </c>
      <c r="D12" s="27">
        <v>0</v>
      </c>
      <c r="E12" s="27">
        <v>0</v>
      </c>
      <c r="F12" s="27">
        <f>+ICT!D126</f>
        <v>34730005.966666669</v>
      </c>
      <c r="G12" s="27">
        <v>0</v>
      </c>
      <c r="H12" s="27">
        <f>+D12-G12</f>
        <v>0</v>
      </c>
      <c r="K12" s="28"/>
    </row>
    <row r="13" spans="1:21">
      <c r="A13" s="25" t="s">
        <v>33</v>
      </c>
      <c r="B13" s="26">
        <v>0</v>
      </c>
      <c r="C13" s="26">
        <f>ICT!D27</f>
        <v>100805546.08333333</v>
      </c>
      <c r="D13" s="27">
        <v>0</v>
      </c>
      <c r="E13" s="27">
        <v>0</v>
      </c>
      <c r="F13" s="27">
        <f>+ICT!D127</f>
        <v>25869595.316666666</v>
      </c>
      <c r="G13" s="27">
        <v>0</v>
      </c>
      <c r="H13" s="27">
        <f>+D13-G13</f>
        <v>0</v>
      </c>
    </row>
    <row r="14" spans="1:21">
      <c r="A14" s="25" t="s">
        <v>34</v>
      </c>
      <c r="B14" s="26">
        <v>0</v>
      </c>
      <c r="C14" s="26">
        <f>ICT!D8</f>
        <v>27746.433333333334</v>
      </c>
      <c r="D14" s="27">
        <v>0</v>
      </c>
      <c r="E14" s="27">
        <v>0</v>
      </c>
      <c r="F14" s="27">
        <f>+ICT!D110</f>
        <v>46704.1</v>
      </c>
      <c r="G14" s="27">
        <v>0</v>
      </c>
      <c r="H14" s="27">
        <f>+D14-G14</f>
        <v>0</v>
      </c>
    </row>
    <row r="15" spans="1:21" s="34" customFormat="1">
      <c r="A15" s="29" t="s">
        <v>35</v>
      </c>
      <c r="B15" s="30"/>
      <c r="C15" s="31">
        <f>SUM(C12:C14)</f>
        <v>130686529.06666666</v>
      </c>
      <c r="D15" s="32">
        <f>SUM(D12:D14)</f>
        <v>0</v>
      </c>
      <c r="E15" s="33"/>
      <c r="F15" s="32">
        <f>SUM(F12:F14)</f>
        <v>60646305.383333333</v>
      </c>
      <c r="G15" s="32">
        <f>SUM(G12:G14)</f>
        <v>0</v>
      </c>
      <c r="H15" s="32">
        <f>SUM(H12:H14)</f>
        <v>0</v>
      </c>
      <c r="J15" s="35"/>
      <c r="K15" s="36"/>
      <c r="L15" s="37"/>
      <c r="M15" s="37"/>
      <c r="N15" s="37"/>
      <c r="Q15" s="38"/>
      <c r="U15" s="35"/>
    </row>
    <row r="16" spans="1:21" s="34" customFormat="1">
      <c r="A16" s="29"/>
      <c r="B16" s="196" t="s">
        <v>36</v>
      </c>
      <c r="C16" s="206"/>
      <c r="D16" s="197"/>
      <c r="E16" s="196" t="s">
        <v>36</v>
      </c>
      <c r="F16" s="206"/>
      <c r="G16" s="197"/>
      <c r="H16" s="32"/>
      <c r="J16" s="35"/>
      <c r="K16" s="36"/>
      <c r="L16" s="37"/>
      <c r="M16" s="37"/>
      <c r="N16" s="37"/>
      <c r="Q16" s="38"/>
      <c r="U16" s="35"/>
    </row>
    <row r="17" spans="1:21" s="34" customFormat="1">
      <c r="A17" s="29"/>
      <c r="B17" s="21" t="s">
        <v>27</v>
      </c>
      <c r="C17" s="21" t="s">
        <v>28</v>
      </c>
      <c r="D17" s="19" t="s">
        <v>29</v>
      </c>
      <c r="E17" s="21" t="s">
        <v>27</v>
      </c>
      <c r="F17" s="21" t="s">
        <v>28</v>
      </c>
      <c r="G17" s="19" t="s">
        <v>30</v>
      </c>
      <c r="H17" s="32"/>
      <c r="J17" s="35"/>
      <c r="K17" s="36"/>
      <c r="L17" s="37"/>
      <c r="M17" s="37"/>
      <c r="N17" s="37"/>
      <c r="Q17" s="38"/>
      <c r="U17" s="35"/>
    </row>
    <row r="18" spans="1:21">
      <c r="A18" s="25" t="s">
        <v>37</v>
      </c>
      <c r="B18" s="26">
        <v>0</v>
      </c>
      <c r="C18" s="39">
        <f>ICT!C48</f>
        <v>2724684</v>
      </c>
      <c r="D18" s="27">
        <f>+B18*C18</f>
        <v>0</v>
      </c>
      <c r="E18" s="27">
        <f>B18</f>
        <v>0</v>
      </c>
      <c r="F18" s="27">
        <f>+ICT!C150</f>
        <v>2676573</v>
      </c>
      <c r="G18" s="27">
        <f>+E18*F18</f>
        <v>0</v>
      </c>
      <c r="H18" s="27">
        <f>D18-G18</f>
        <v>0</v>
      </c>
    </row>
    <row r="19" spans="1:21">
      <c r="A19" s="25" t="s">
        <v>38</v>
      </c>
      <c r="B19" s="26">
        <v>0</v>
      </c>
      <c r="C19" s="39">
        <f>ICT!C49</f>
        <v>3476412</v>
      </c>
      <c r="D19" s="27">
        <f>+B19*C19</f>
        <v>0</v>
      </c>
      <c r="E19" s="27"/>
      <c r="F19" s="27">
        <f>+ICT!C151</f>
        <v>2890730</v>
      </c>
      <c r="G19" s="27">
        <f>+E19*F19</f>
        <v>0</v>
      </c>
      <c r="H19" s="27"/>
    </row>
    <row r="20" spans="1:21" s="34" customFormat="1">
      <c r="A20" s="29" t="s">
        <v>35</v>
      </c>
      <c r="B20" s="40"/>
      <c r="C20" s="40">
        <f>+C18+C19</f>
        <v>6201096</v>
      </c>
      <c r="D20" s="41">
        <f>D18</f>
        <v>0</v>
      </c>
      <c r="E20" s="41"/>
      <c r="F20" s="41">
        <f>+F18</f>
        <v>2676573</v>
      </c>
      <c r="G20" s="41">
        <f>G18</f>
        <v>0</v>
      </c>
      <c r="H20" s="41">
        <f>H18</f>
        <v>0</v>
      </c>
      <c r="J20" s="35"/>
      <c r="K20" s="37"/>
      <c r="L20" s="37"/>
      <c r="M20" s="37"/>
      <c r="N20" s="37"/>
      <c r="Q20" s="38"/>
      <c r="U20" s="35"/>
    </row>
    <row r="21" spans="1:21">
      <c r="A21" s="19"/>
      <c r="B21" s="196" t="s">
        <v>39</v>
      </c>
      <c r="C21" s="206"/>
      <c r="D21" s="197"/>
      <c r="E21" s="196" t="s">
        <v>40</v>
      </c>
      <c r="F21" s="206"/>
      <c r="G21" s="197"/>
      <c r="H21" s="19"/>
    </row>
    <row r="22" spans="1:21">
      <c r="A22" s="207" t="s">
        <v>41</v>
      </c>
      <c r="B22" s="208"/>
      <c r="C22" s="208"/>
      <c r="D22" s="208"/>
      <c r="E22" s="208"/>
      <c r="F22" s="208"/>
      <c r="G22" s="208"/>
      <c r="H22" s="209"/>
    </row>
    <row r="23" spans="1:21">
      <c r="A23" s="42"/>
      <c r="B23" s="21" t="s">
        <v>27</v>
      </c>
      <c r="C23" s="21" t="s">
        <v>28</v>
      </c>
      <c r="D23" s="19" t="s">
        <v>30</v>
      </c>
      <c r="E23" s="21" t="s">
        <v>27</v>
      </c>
      <c r="F23" s="21" t="s">
        <v>28</v>
      </c>
      <c r="G23" s="19" t="s">
        <v>29</v>
      </c>
      <c r="H23" s="19"/>
    </row>
    <row r="24" spans="1:21">
      <c r="A24" s="25" t="s">
        <v>42</v>
      </c>
      <c r="B24" s="98">
        <f>6/1.18</f>
        <v>5.0847457627118651</v>
      </c>
      <c r="C24" s="99">
        <f>REVENU!C68</f>
        <v>475353.78333333338</v>
      </c>
      <c r="D24" s="100">
        <f>+B24*C24</f>
        <v>2417053.1355932211</v>
      </c>
      <c r="E24" s="98">
        <f>6/1.18</f>
        <v>5.0847457627118651</v>
      </c>
      <c r="F24" s="102">
        <f>+REVENU!C34</f>
        <v>45038969.024295434</v>
      </c>
      <c r="G24" s="100">
        <f>+E24*F24</f>
        <v>229011706.90319714</v>
      </c>
      <c r="H24" s="102">
        <f>G24-D24</f>
        <v>226594653.7676039</v>
      </c>
    </row>
    <row r="25" spans="1:21">
      <c r="A25" s="25" t="s">
        <v>38</v>
      </c>
      <c r="B25" s="98">
        <f>0.6/1.18</f>
        <v>0.50847457627118642</v>
      </c>
      <c r="C25" s="99">
        <f>REVENU!D68</f>
        <v>9300</v>
      </c>
      <c r="D25" s="100">
        <f>+B25*C25</f>
        <v>4728.8135593220341</v>
      </c>
      <c r="E25" s="98">
        <f>0.6/1.18</f>
        <v>0.50847457627118642</v>
      </c>
      <c r="F25" s="102">
        <f>+REVENU!D34</f>
        <v>374553</v>
      </c>
      <c r="G25" s="100">
        <f>+E25*F25</f>
        <v>190450.67796610168</v>
      </c>
      <c r="H25" s="102">
        <f t="shared" ref="H25:H27" si="0">G25-D25</f>
        <v>185721.86440677964</v>
      </c>
    </row>
    <row r="26" spans="1:21">
      <c r="A26" s="25" t="s">
        <v>43</v>
      </c>
      <c r="B26" s="98">
        <f>400/1.18</f>
        <v>338.98305084745766</v>
      </c>
      <c r="C26" s="98">
        <f>REVENU!E68</f>
        <v>4650</v>
      </c>
      <c r="D26" s="100">
        <f>+B26*C26</f>
        <v>1576271.1864406781</v>
      </c>
      <c r="E26" s="98">
        <f>400/1.18</f>
        <v>338.98305084745766</v>
      </c>
      <c r="F26" s="102">
        <f>+REVENU!E34</f>
        <v>352495.2082695163</v>
      </c>
      <c r="G26" s="100">
        <f>+E26*F26</f>
        <v>119489901.10831062</v>
      </c>
      <c r="H26" s="102">
        <f t="shared" si="0"/>
        <v>117913629.92186995</v>
      </c>
    </row>
    <row r="27" spans="1:21" s="34" customFormat="1">
      <c r="A27" s="29"/>
      <c r="B27" s="30"/>
      <c r="C27" s="104"/>
      <c r="D27" s="105">
        <f>SUM(D24:D26)</f>
        <v>3998053.1355932215</v>
      </c>
      <c r="E27" s="33"/>
      <c r="F27" s="33"/>
      <c r="G27" s="105">
        <f>SUM(G24:G26)</f>
        <v>348692058.68947387</v>
      </c>
      <c r="H27" s="106">
        <f t="shared" si="0"/>
        <v>344694005.55388063</v>
      </c>
      <c r="J27" s="35"/>
      <c r="K27" s="37"/>
      <c r="L27" s="37"/>
      <c r="M27" s="37"/>
      <c r="N27" s="37"/>
      <c r="Q27" s="38"/>
      <c r="U27" s="35"/>
    </row>
    <row r="28" spans="1:21">
      <c r="A28" s="210" t="s">
        <v>44</v>
      </c>
      <c r="B28" s="211"/>
      <c r="C28" s="211"/>
      <c r="D28" s="211"/>
      <c r="E28" s="211"/>
      <c r="F28" s="211"/>
      <c r="G28" s="211"/>
      <c r="H28" s="212"/>
    </row>
    <row r="29" spans="1:21">
      <c r="A29" s="25" t="s">
        <v>45</v>
      </c>
      <c r="B29" s="98">
        <f>6/1.18</f>
        <v>5.0847457627118651</v>
      </c>
      <c r="C29" s="99">
        <f>+ICT!D33</f>
        <v>53968.4</v>
      </c>
      <c r="D29" s="100">
        <f>+B29*C29</f>
        <v>274415.59322033904</v>
      </c>
      <c r="E29" s="101">
        <f>8.5/1.18</f>
        <v>7.2033898305084749</v>
      </c>
      <c r="F29" s="102"/>
      <c r="G29" s="100">
        <f>+E29*F29</f>
        <v>0</v>
      </c>
      <c r="H29" s="103"/>
    </row>
    <row r="30" spans="1:21">
      <c r="A30" s="25" t="s">
        <v>46</v>
      </c>
      <c r="B30" s="98">
        <f>0.6/1.18</f>
        <v>0.50847457627118642</v>
      </c>
      <c r="C30" s="99">
        <f>+ICT!C36</f>
        <v>10225</v>
      </c>
      <c r="D30" s="100">
        <f>+B30*C30</f>
        <v>5199.1525423728808</v>
      </c>
      <c r="E30" s="101">
        <f>1/1.18</f>
        <v>0.84745762711864414</v>
      </c>
      <c r="F30" s="102"/>
      <c r="G30" s="100">
        <f>+E30*F30</f>
        <v>0</v>
      </c>
      <c r="H30" s="103"/>
    </row>
    <row r="31" spans="1:21">
      <c r="A31" s="25" t="s">
        <v>47</v>
      </c>
      <c r="B31" s="98">
        <f>400/1.18</f>
        <v>338.98305084745766</v>
      </c>
      <c r="C31" s="98">
        <v>1000</v>
      </c>
      <c r="D31" s="100">
        <f>+B31*C31</f>
        <v>338983.05084745766</v>
      </c>
      <c r="E31" s="101">
        <f>500/1.18</f>
        <v>423.72881355932208</v>
      </c>
      <c r="F31" s="102"/>
      <c r="G31" s="100">
        <f>+E31*F31</f>
        <v>0</v>
      </c>
      <c r="H31" s="103"/>
    </row>
    <row r="32" spans="1:21">
      <c r="A32" s="29"/>
      <c r="B32" s="30"/>
      <c r="C32" s="104"/>
      <c r="D32" s="105">
        <f>+D29+D30+D31</f>
        <v>618597.79661016958</v>
      </c>
      <c r="E32" s="33"/>
      <c r="F32" s="33"/>
      <c r="G32" s="105">
        <f>SUM(G29:G31)</f>
        <v>0</v>
      </c>
      <c r="H32" s="33"/>
    </row>
    <row r="38" spans="1:32" s="20" customFormat="1">
      <c r="A38" s="205" t="s">
        <v>48</v>
      </c>
      <c r="B38" s="205"/>
      <c r="C38" s="205"/>
      <c r="D38" s="205"/>
      <c r="E38" s="205"/>
      <c r="F38" s="205"/>
      <c r="G38" s="205"/>
      <c r="H38" s="205"/>
      <c r="J38" s="22"/>
      <c r="K38" s="23"/>
      <c r="L38" s="23"/>
      <c r="M38" s="23"/>
      <c r="N38" s="23"/>
      <c r="Q38" s="24"/>
      <c r="U38" s="22"/>
    </row>
    <row r="39" spans="1:32" s="20" customFormat="1">
      <c r="A39" s="19"/>
      <c r="B39" s="196" t="s">
        <v>24</v>
      </c>
      <c r="C39" s="206"/>
      <c r="D39" s="197"/>
      <c r="E39" s="196" t="s">
        <v>25</v>
      </c>
      <c r="F39" s="206"/>
      <c r="G39" s="197"/>
      <c r="H39" s="19"/>
      <c r="J39" s="22"/>
      <c r="K39" s="196" t="s">
        <v>49</v>
      </c>
      <c r="L39" s="197"/>
      <c r="M39" s="23"/>
      <c r="N39" s="23"/>
      <c r="Q39" s="24"/>
      <c r="U39" s="22"/>
    </row>
    <row r="40" spans="1:32">
      <c r="A40" s="42"/>
      <c r="B40" s="21" t="s">
        <v>27</v>
      </c>
      <c r="C40" s="21" t="s">
        <v>28</v>
      </c>
      <c r="D40" s="19" t="s">
        <v>29</v>
      </c>
      <c r="E40" s="19" t="s">
        <v>27</v>
      </c>
      <c r="F40" s="19" t="s">
        <v>28</v>
      </c>
      <c r="G40" s="19" t="s">
        <v>30</v>
      </c>
      <c r="H40" s="19" t="s">
        <v>31</v>
      </c>
      <c r="K40" s="19" t="s">
        <v>50</v>
      </c>
      <c r="L40" s="19" t="s">
        <v>51</v>
      </c>
    </row>
    <row r="41" spans="1:32">
      <c r="A41" s="25" t="s">
        <v>52</v>
      </c>
      <c r="B41" s="44">
        <v>180</v>
      </c>
      <c r="C41" s="39">
        <v>0</v>
      </c>
      <c r="D41" s="45">
        <f>C41*B41</f>
        <v>0</v>
      </c>
      <c r="E41" s="44">
        <f>0.2995*655.957</f>
        <v>196.45912149999998</v>
      </c>
      <c r="F41" s="46"/>
      <c r="G41" s="45"/>
      <c r="H41" s="45">
        <f>+D41-G41</f>
        <v>0</v>
      </c>
      <c r="N41" s="13">
        <f>B41*C41</f>
        <v>0</v>
      </c>
      <c r="O41" s="47">
        <f>N41/1000000</f>
        <v>0</v>
      </c>
      <c r="AF41" s="61">
        <f>C42+C44+C50</f>
        <v>353834.03333333333</v>
      </c>
    </row>
    <row r="42" spans="1:32">
      <c r="A42" s="25" t="s">
        <v>53</v>
      </c>
      <c r="B42" s="44">
        <f>0.3*655.957</f>
        <v>196.78709999999998</v>
      </c>
      <c r="C42" s="39">
        <f>+ICT!D10-C68</f>
        <v>55460.75</v>
      </c>
      <c r="D42" s="45">
        <f>(C42*B42)+(B65*C65)+(1600*655.957)</f>
        <v>11963491.356324999</v>
      </c>
      <c r="E42" s="44"/>
      <c r="F42" s="46">
        <f>+ICT!D114+ICT!D91</f>
        <v>226828.79999999999</v>
      </c>
      <c r="G42" s="45">
        <f>(ICT!B156+ICT!B114+ICT!B91)*655.957</f>
        <v>28500834.538891163</v>
      </c>
      <c r="H42" s="45">
        <f t="shared" ref="H42:H69" si="1">+D42-G42</f>
        <v>-16537343.182566164</v>
      </c>
      <c r="N42" s="13">
        <f>B42*C42</f>
        <v>10913960.156324999</v>
      </c>
      <c r="O42" s="47">
        <f t="shared" ref="O42:O60" si="2">N42/1000000</f>
        <v>10.913960156324999</v>
      </c>
      <c r="AF42" s="107">
        <f>AF41/C70</f>
        <v>0.34181658253718511</v>
      </c>
    </row>
    <row r="43" spans="1:32">
      <c r="A43" s="25" t="s">
        <v>54</v>
      </c>
      <c r="B43" s="44">
        <f>0.3*655.957</f>
        <v>196.78709999999998</v>
      </c>
      <c r="C43" s="39">
        <f>0</f>
        <v>0</v>
      </c>
      <c r="D43" s="45">
        <f>(C43*B43)+(B66*C66)</f>
        <v>0</v>
      </c>
      <c r="E43" s="44"/>
      <c r="F43" s="46"/>
      <c r="G43" s="45"/>
      <c r="H43" s="45">
        <f t="shared" si="1"/>
        <v>0</v>
      </c>
      <c r="N43" s="13">
        <f t="shared" ref="N43:N59" si="3">B43*C43</f>
        <v>0</v>
      </c>
      <c r="O43" s="47">
        <f t="shared" si="2"/>
        <v>0</v>
      </c>
      <c r="T43" s="28">
        <f>C43/'[2]NAT+INT'!$C$25-1</f>
        <v>-1</v>
      </c>
    </row>
    <row r="44" spans="1:32">
      <c r="A44" s="25" t="s">
        <v>55</v>
      </c>
      <c r="B44" s="44">
        <f>0.3*655.957</f>
        <v>196.78709999999998</v>
      </c>
      <c r="C44" s="39">
        <f>+ICT!D12</f>
        <v>29838.799999999999</v>
      </c>
      <c r="D44" s="45">
        <f t="shared" ref="D44:D48" si="4">C44*B44</f>
        <v>5871890.9194799997</v>
      </c>
      <c r="E44" s="44"/>
      <c r="F44" s="46"/>
      <c r="G44" s="45"/>
      <c r="H44" s="45">
        <f t="shared" si="1"/>
        <v>5871890.9194799997</v>
      </c>
      <c r="N44" s="13">
        <f t="shared" si="3"/>
        <v>5871890.9194799997</v>
      </c>
      <c r="O44" s="47">
        <f t="shared" si="2"/>
        <v>5.8718909194799993</v>
      </c>
    </row>
    <row r="45" spans="1:32">
      <c r="A45" s="25" t="s">
        <v>56</v>
      </c>
      <c r="B45" s="44">
        <f>0.3*655.957</f>
        <v>196.78709999999998</v>
      </c>
      <c r="C45" s="39">
        <v>0</v>
      </c>
      <c r="D45" s="45">
        <f t="shared" si="4"/>
        <v>0</v>
      </c>
      <c r="E45" s="44"/>
      <c r="F45" s="46"/>
      <c r="G45" s="45"/>
      <c r="H45" s="45">
        <f t="shared" si="1"/>
        <v>0</v>
      </c>
      <c r="N45" s="13">
        <f>B45*C45</f>
        <v>0</v>
      </c>
      <c r="O45" s="47">
        <f>N45/1000000</f>
        <v>0</v>
      </c>
    </row>
    <row r="46" spans="1:32">
      <c r="A46" s="25" t="s">
        <v>57</v>
      </c>
      <c r="B46" s="44">
        <v>125</v>
      </c>
      <c r="C46" s="39">
        <v>0</v>
      </c>
      <c r="D46" s="45">
        <f t="shared" si="4"/>
        <v>0</v>
      </c>
      <c r="E46" s="44">
        <v>125</v>
      </c>
      <c r="F46" s="46"/>
      <c r="G46" s="45"/>
      <c r="H46" s="45">
        <f t="shared" si="1"/>
        <v>0</v>
      </c>
      <c r="K46" s="48"/>
      <c r="L46" s="48"/>
      <c r="O46" s="47"/>
    </row>
    <row r="47" spans="1:32">
      <c r="A47" s="25" t="s">
        <v>58</v>
      </c>
      <c r="B47" s="44">
        <v>45.76</v>
      </c>
      <c r="C47" s="39">
        <f>+ICT!D19-K47</f>
        <v>185860.16700000002</v>
      </c>
      <c r="D47" s="45">
        <f>(C47*B47)+(J47*K47)</f>
        <v>8813798.1549200006</v>
      </c>
      <c r="E47" s="44">
        <v>45.76</v>
      </c>
      <c r="F47" s="46"/>
      <c r="G47" s="45">
        <v>0</v>
      </c>
      <c r="H47" s="45">
        <f>+D47-G47</f>
        <v>8813798.1549200006</v>
      </c>
      <c r="J47" s="12">
        <v>11</v>
      </c>
      <c r="K47" s="48">
        <f>+MTC!Y33</f>
        <v>28076.082999999999</v>
      </c>
      <c r="L47" s="48">
        <f>+MTC!Y34</f>
        <v>28564.400000000001</v>
      </c>
      <c r="N47" s="13">
        <f>B47*C47</f>
        <v>8504961.2419199999</v>
      </c>
      <c r="O47" s="47">
        <f>N47/1000000</f>
        <v>8.5049612419200002</v>
      </c>
    </row>
    <row r="48" spans="1:32">
      <c r="A48" s="25" t="s">
        <v>59</v>
      </c>
      <c r="B48" s="44">
        <v>130</v>
      </c>
      <c r="C48" s="39">
        <f>ICT!D20</f>
        <v>4864.2</v>
      </c>
      <c r="D48" s="45">
        <f t="shared" si="4"/>
        <v>632346</v>
      </c>
      <c r="E48" s="44">
        <v>130</v>
      </c>
      <c r="F48" s="46">
        <f>+ICT!D98+ICT!D123</f>
        <v>14482.166666666666</v>
      </c>
      <c r="G48" s="45">
        <f>E48*F48</f>
        <v>1882681.6666666665</v>
      </c>
      <c r="H48" s="45">
        <f>+D48-G48</f>
        <v>-1250335.6666666665</v>
      </c>
      <c r="K48" s="48"/>
      <c r="L48" s="48"/>
      <c r="N48" s="13">
        <f>B48*C48</f>
        <v>632346</v>
      </c>
      <c r="O48" s="47">
        <f>N48/1000000</f>
        <v>0.63234599999999996</v>
      </c>
    </row>
    <row r="49" spans="1:30">
      <c r="A49" s="25" t="s">
        <v>60</v>
      </c>
      <c r="B49" s="44">
        <v>50</v>
      </c>
      <c r="C49" s="39">
        <f>ICT!D11</f>
        <v>1168.7833333333333</v>
      </c>
      <c r="D49" s="45">
        <v>326800</v>
      </c>
      <c r="E49" s="44">
        <v>50</v>
      </c>
      <c r="F49" s="46">
        <f>+ICT!D115+ICT!G94</f>
        <v>1361.0833333333333</v>
      </c>
      <c r="G49" s="45">
        <v>326800</v>
      </c>
      <c r="H49" s="45">
        <f>+D49-G49</f>
        <v>0</v>
      </c>
      <c r="J49" s="12">
        <v>15</v>
      </c>
      <c r="K49" s="48">
        <f>+MTC!Y30</f>
        <v>33.683</v>
      </c>
      <c r="L49" s="48">
        <f>+MTC!Y31</f>
        <v>1065.433</v>
      </c>
      <c r="N49" s="13">
        <f>B49*C49</f>
        <v>58439.166666666664</v>
      </c>
      <c r="O49" s="47">
        <f>N49/1000000</f>
        <v>5.8439166666666667E-2</v>
      </c>
    </row>
    <row r="50" spans="1:30">
      <c r="A50" s="49" t="s">
        <v>61</v>
      </c>
      <c r="B50" s="44">
        <f>0.3*655.957</f>
        <v>196.78709999999998</v>
      </c>
      <c r="C50" s="50">
        <f>ICT!D14+ICT!D57</f>
        <v>268534.48333333334</v>
      </c>
      <c r="D50" s="51">
        <f>(C50*B50)+(B56*C56)+(B57*C57)+(B58*C58)+(B59*C59)+(B60*C60)+(B61*C61)+(B62*C62)+(B63*C63)+(B64*C64)</f>
        <v>57143392.820719056</v>
      </c>
      <c r="E50" s="44"/>
      <c r="F50" s="52">
        <f>+ICT!D92+ICT!D117+ICT!D92</f>
        <v>838114.41666666663</v>
      </c>
      <c r="G50" s="51">
        <f>+(ICT!B117+ICT!B92+ICT!B158)*655.957</f>
        <v>99134927.561155349</v>
      </c>
      <c r="H50" s="51">
        <f t="shared" si="1"/>
        <v>-41991534.740436293</v>
      </c>
      <c r="K50" s="53"/>
      <c r="L50" s="53"/>
      <c r="N50" s="13">
        <f>B50*C50</f>
        <v>52844122.225164995</v>
      </c>
      <c r="O50" s="47">
        <f>D50/1000000</f>
        <v>57.143392820719058</v>
      </c>
      <c r="T50" s="28"/>
    </row>
    <row r="51" spans="1:30">
      <c r="A51" s="49" t="s">
        <v>62</v>
      </c>
      <c r="B51" s="44">
        <v>45.76</v>
      </c>
      <c r="C51" s="50">
        <f>ICT!D17-K51</f>
        <v>236134.41666666663</v>
      </c>
      <c r="D51" s="51">
        <f>(B51*C51)+(K51*J51)</f>
        <v>15751870.906666664</v>
      </c>
      <c r="E51" s="44">
        <v>45.76</v>
      </c>
      <c r="F51" s="52">
        <f>+ICT!D95+ICT!D120-L51</f>
        <v>247248.59966666671</v>
      </c>
      <c r="G51" s="51">
        <f>(E51*F51)+(L51*J51)</f>
        <v>15556248.590746667</v>
      </c>
      <c r="H51" s="51">
        <f t="shared" si="1"/>
        <v>195622.31591999717</v>
      </c>
      <c r="J51" s="12">
        <v>10</v>
      </c>
      <c r="K51" s="53">
        <f>+MTC!Y36</f>
        <v>494636</v>
      </c>
      <c r="L51" s="53">
        <f>+MTC!Y37</f>
        <v>424215.26699999999</v>
      </c>
      <c r="N51" s="13">
        <f t="shared" si="3"/>
        <v>10805510.906666664</v>
      </c>
      <c r="O51" s="47">
        <f t="shared" si="2"/>
        <v>10.805510906666665</v>
      </c>
      <c r="T51" s="28">
        <f>C51/'[2]NAT+INT'!$C$29-1</f>
        <v>-0.62806448011342009</v>
      </c>
    </row>
    <row r="52" spans="1:30" ht="13.5" customHeight="1">
      <c r="A52" s="49" t="s">
        <v>63</v>
      </c>
      <c r="B52" s="44">
        <v>75</v>
      </c>
      <c r="C52" s="50">
        <v>0</v>
      </c>
      <c r="D52" s="51">
        <f t="shared" ref="D52:D55" si="5">C52*B52</f>
        <v>0</v>
      </c>
      <c r="E52" s="44">
        <v>150</v>
      </c>
      <c r="F52" s="52"/>
      <c r="G52" s="51"/>
      <c r="H52" s="51">
        <f t="shared" si="1"/>
        <v>0</v>
      </c>
      <c r="N52" s="13">
        <f t="shared" si="3"/>
        <v>0</v>
      </c>
      <c r="O52" s="47">
        <f t="shared" si="2"/>
        <v>0</v>
      </c>
    </row>
    <row r="53" spans="1:30" ht="14.45" customHeight="1">
      <c r="A53" s="49" t="s">
        <v>64</v>
      </c>
      <c r="B53" s="44">
        <v>50.85</v>
      </c>
      <c r="C53" s="50">
        <f>+ICT!D16</f>
        <v>85807.05</v>
      </c>
      <c r="D53" s="51">
        <f>(C53*B53)+(J53*K53)</f>
        <v>4393552.2375000007</v>
      </c>
      <c r="E53" s="44">
        <v>50.85</v>
      </c>
      <c r="F53" s="52">
        <f>+ICT!D119+ICT!D102</f>
        <v>57744.616666666661</v>
      </c>
      <c r="G53" s="51">
        <f>(E53*F53)+(L53*J53)</f>
        <v>3344086.7624999997</v>
      </c>
      <c r="H53" s="51">
        <f t="shared" si="1"/>
        <v>1049465.475000001</v>
      </c>
      <c r="J53" s="12">
        <v>15</v>
      </c>
      <c r="K53" s="13">
        <f>+MTC!Y24</f>
        <v>2017.5830000000001</v>
      </c>
      <c r="L53" s="13">
        <f>+MTC!Y25</f>
        <v>27184.866999999998</v>
      </c>
      <c r="N53" s="13">
        <f t="shared" si="3"/>
        <v>4363288.4925000006</v>
      </c>
      <c r="O53" s="47">
        <f t="shared" si="2"/>
        <v>4.3632884925000006</v>
      </c>
      <c r="U53" s="14"/>
    </row>
    <row r="54" spans="1:30">
      <c r="A54" s="49" t="s">
        <v>65</v>
      </c>
      <c r="B54" s="44">
        <v>88.95</v>
      </c>
      <c r="C54" s="50">
        <f>+ICT!D18</f>
        <v>63043.05</v>
      </c>
      <c r="D54" s="51">
        <f>6000000+(K54*J54)</f>
        <v>6006549.75</v>
      </c>
      <c r="E54" s="44"/>
      <c r="F54" s="52">
        <f>+ICT!D121+ICT!D96</f>
        <v>27364.45</v>
      </c>
      <c r="G54" s="51">
        <f>5250000+(L54*J54)</f>
        <v>5374193.5049999999</v>
      </c>
      <c r="H54" s="51">
        <f>+D54-G54</f>
        <v>632356.24500000011</v>
      </c>
      <c r="J54" s="12">
        <v>15</v>
      </c>
      <c r="K54" s="13">
        <f>+MTC!Y21</f>
        <v>436.65</v>
      </c>
      <c r="L54" s="13">
        <f>+MTC!Y22</f>
        <v>8279.5669999999991</v>
      </c>
      <c r="N54" s="13">
        <f>B54*C54</f>
        <v>5607679.2975000003</v>
      </c>
      <c r="O54" s="47">
        <f>N54/1000000</f>
        <v>5.6076792975000007</v>
      </c>
      <c r="U54" s="12">
        <f>C54-K54</f>
        <v>62606.400000000001</v>
      </c>
      <c r="V54" s="11">
        <v>70000</v>
      </c>
      <c r="W54" s="54">
        <f>U54-V54</f>
        <v>-7393.5999999999985</v>
      </c>
      <c r="Y54" s="55">
        <f>F54-L54</f>
        <v>19084.883000000002</v>
      </c>
    </row>
    <row r="55" spans="1:30">
      <c r="A55" s="49" t="s">
        <v>66</v>
      </c>
      <c r="B55" s="44">
        <v>126</v>
      </c>
      <c r="C55" s="50">
        <f>+ICT!D13</f>
        <v>11950.95</v>
      </c>
      <c r="D55" s="51">
        <f t="shared" si="5"/>
        <v>1505819.7000000002</v>
      </c>
      <c r="E55" s="44">
        <v>159</v>
      </c>
      <c r="F55" s="52">
        <f>+ICT!D116</f>
        <v>2067.5500000000002</v>
      </c>
      <c r="G55" s="51">
        <f>E55*F55</f>
        <v>328740.45</v>
      </c>
      <c r="H55" s="51">
        <f>+D55-G55</f>
        <v>1177079.2500000002</v>
      </c>
      <c r="N55" s="13">
        <f>B55*C55</f>
        <v>1505819.7000000002</v>
      </c>
      <c r="O55" s="47">
        <f>N55/1000000</f>
        <v>1.5058197000000002</v>
      </c>
      <c r="W55" s="54"/>
      <c r="Y55" s="55"/>
    </row>
    <row r="56" spans="1:30">
      <c r="A56" s="56" t="s">
        <v>67</v>
      </c>
      <c r="B56" s="57">
        <v>50.85</v>
      </c>
      <c r="C56" s="58">
        <f>+ICT!D58</f>
        <v>59809.85</v>
      </c>
      <c r="D56" s="59"/>
      <c r="E56" s="57"/>
      <c r="F56" s="60">
        <f>+ICT!K156</f>
        <v>0</v>
      </c>
      <c r="G56" s="59"/>
      <c r="H56" s="59">
        <f t="shared" si="1"/>
        <v>0</v>
      </c>
      <c r="N56" s="13">
        <f t="shared" si="3"/>
        <v>3041330.8725000001</v>
      </c>
      <c r="O56" s="47"/>
      <c r="P56" s="61" t="e">
        <f>(C56+#REF!)*B56/1000000</f>
        <v>#REF!</v>
      </c>
      <c r="Q56" s="14" t="e">
        <f>#REF!*B56/1000000</f>
        <v>#REF!</v>
      </c>
      <c r="R56" s="61" t="e">
        <f>P56-Q56</f>
        <v>#REF!</v>
      </c>
    </row>
    <row r="57" spans="1:30">
      <c r="A57" s="56" t="s">
        <v>68</v>
      </c>
      <c r="B57" s="57">
        <v>128.96114321983407</v>
      </c>
      <c r="C57" s="58">
        <f>+ICT!D53</f>
        <v>3.6666666666666665</v>
      </c>
      <c r="D57" s="59"/>
      <c r="E57" s="57"/>
      <c r="F57" s="60">
        <v>0</v>
      </c>
      <c r="G57" s="59"/>
      <c r="H57" s="59">
        <f t="shared" si="1"/>
        <v>0</v>
      </c>
      <c r="N57" s="13">
        <f t="shared" si="3"/>
        <v>472.85752513939156</v>
      </c>
      <c r="O57" s="47"/>
      <c r="V57" s="11">
        <f>+D54/C54</f>
        <v>95.276953605512418</v>
      </c>
    </row>
    <row r="58" spans="1:30">
      <c r="A58" s="56" t="s">
        <v>69</v>
      </c>
      <c r="B58" s="57">
        <v>76.287802400771668</v>
      </c>
      <c r="C58" s="58">
        <f>+ICT!D62</f>
        <v>7086.45</v>
      </c>
      <c r="D58" s="59"/>
      <c r="E58" s="57"/>
      <c r="F58" s="60">
        <f>+ICT!D161</f>
        <v>17642.650000000001</v>
      </c>
      <c r="G58" s="59"/>
      <c r="H58" s="59">
        <v>0</v>
      </c>
      <c r="N58" s="13">
        <f t="shared" si="3"/>
        <v>540609.69732294837</v>
      </c>
      <c r="O58" s="47"/>
    </row>
    <row r="59" spans="1:30">
      <c r="A59" s="56" t="s">
        <v>70</v>
      </c>
      <c r="B59" s="57">
        <v>75</v>
      </c>
      <c r="C59" s="58">
        <v>0</v>
      </c>
      <c r="D59" s="59"/>
      <c r="E59" s="57"/>
      <c r="F59" s="60">
        <f>+ICT!D160</f>
        <v>85431.78333333334</v>
      </c>
      <c r="G59" s="59"/>
      <c r="H59" s="59">
        <v>0</v>
      </c>
      <c r="N59" s="13">
        <f t="shared" si="3"/>
        <v>0</v>
      </c>
      <c r="O59" s="47"/>
      <c r="AC59" s="55">
        <f>F59*176</f>
        <v>15035993.866666667</v>
      </c>
      <c r="AD59" s="55">
        <f>F59*100</f>
        <v>8543178.333333334</v>
      </c>
    </row>
    <row r="60" spans="1:30">
      <c r="A60" s="56" t="s">
        <v>71</v>
      </c>
      <c r="B60" s="57">
        <v>73.991949599999998</v>
      </c>
      <c r="C60" s="58">
        <f>+ICT!D56</f>
        <v>145.28333333333333</v>
      </c>
      <c r="D60" s="59"/>
      <c r="E60" s="57"/>
      <c r="F60" s="60">
        <f>+ICT!D159</f>
        <v>32.700000000000003</v>
      </c>
      <c r="G60" s="59"/>
      <c r="H60" s="59">
        <f t="shared" si="1"/>
        <v>0</v>
      </c>
      <c r="O60" s="47">
        <f t="shared" si="2"/>
        <v>0</v>
      </c>
    </row>
    <row r="61" spans="1:30">
      <c r="A61" s="56" t="s">
        <v>72</v>
      </c>
      <c r="B61" s="57">
        <v>144.31054067722175</v>
      </c>
      <c r="C61" s="58">
        <f>+ICT!D55</f>
        <v>129.05000000000001</v>
      </c>
      <c r="D61" s="59"/>
      <c r="E61" s="57"/>
      <c r="F61" s="60">
        <f>+ICT!F157</f>
        <v>0</v>
      </c>
      <c r="G61" s="59"/>
      <c r="H61" s="59">
        <f t="shared" si="1"/>
        <v>0</v>
      </c>
      <c r="O61" s="47"/>
    </row>
    <row r="62" spans="1:30">
      <c r="A62" s="56" t="s">
        <v>73</v>
      </c>
      <c r="B62" s="57">
        <v>88.947769199999996</v>
      </c>
      <c r="C62" s="58">
        <f>+ICT!D61</f>
        <v>29.883333333333333</v>
      </c>
      <c r="D62" s="59"/>
      <c r="E62" s="57"/>
      <c r="F62" s="60">
        <f>+ICT!F160</f>
        <v>0</v>
      </c>
      <c r="G62" s="59"/>
      <c r="H62" s="59">
        <f t="shared" si="1"/>
        <v>0</v>
      </c>
      <c r="O62" s="47"/>
    </row>
    <row r="63" spans="1:30">
      <c r="A63" s="56" t="s">
        <v>74</v>
      </c>
      <c r="B63" s="57">
        <v>45.76</v>
      </c>
      <c r="C63" s="58">
        <f>+ICT!D59</f>
        <v>14449.85</v>
      </c>
      <c r="D63" s="59"/>
      <c r="E63" s="57"/>
      <c r="F63" s="60">
        <f>+ICT!G158</f>
        <v>0</v>
      </c>
      <c r="G63" s="59"/>
      <c r="H63" s="59">
        <f t="shared" si="1"/>
        <v>0</v>
      </c>
      <c r="O63" s="47"/>
    </row>
    <row r="64" spans="1:30">
      <c r="A64" s="56" t="s">
        <v>75</v>
      </c>
      <c r="B64" s="57">
        <v>76.287805250269571</v>
      </c>
      <c r="C64" s="58">
        <f>+ICT!D63</f>
        <v>309.36666666666667</v>
      </c>
      <c r="D64" s="59"/>
      <c r="E64" s="57"/>
      <c r="F64" s="60">
        <f>+ICT!D162</f>
        <v>195.8</v>
      </c>
      <c r="G64" s="59"/>
      <c r="H64" s="59">
        <f t="shared" si="1"/>
        <v>0</v>
      </c>
      <c r="O64" s="47"/>
    </row>
    <row r="65" spans="1:21">
      <c r="A65" s="62" t="s">
        <v>76</v>
      </c>
      <c r="B65" s="63">
        <v>50</v>
      </c>
      <c r="C65" s="64"/>
      <c r="D65" s="65"/>
      <c r="E65" s="63"/>
      <c r="F65" s="66">
        <f>+ICT!D163</f>
        <v>101910.35</v>
      </c>
      <c r="G65" s="65"/>
      <c r="H65" s="65">
        <f t="shared" si="1"/>
        <v>0</v>
      </c>
      <c r="O65" s="47"/>
    </row>
    <row r="66" spans="1:21">
      <c r="A66" s="62" t="s">
        <v>77</v>
      </c>
      <c r="B66" s="63">
        <v>95</v>
      </c>
      <c r="C66" s="64"/>
      <c r="D66" s="65"/>
      <c r="E66" s="63"/>
      <c r="F66" s="66"/>
      <c r="G66" s="65"/>
      <c r="H66" s="65">
        <f t="shared" si="1"/>
        <v>0</v>
      </c>
      <c r="O66" s="47"/>
    </row>
    <row r="67" spans="1:21">
      <c r="A67" s="62" t="s">
        <v>78</v>
      </c>
      <c r="B67" s="63">
        <v>122.38</v>
      </c>
      <c r="C67" s="64"/>
      <c r="D67" s="65"/>
      <c r="E67" s="63"/>
      <c r="F67" s="66"/>
      <c r="G67" s="65"/>
      <c r="H67" s="65">
        <f t="shared" si="1"/>
        <v>0</v>
      </c>
      <c r="O67" s="47"/>
    </row>
    <row r="68" spans="1:21">
      <c r="A68" s="62" t="s">
        <v>79</v>
      </c>
      <c r="B68" s="63">
        <f>0.08*655.957</f>
        <v>52.476559999999999</v>
      </c>
      <c r="C68" s="64">
        <v>9900</v>
      </c>
      <c r="D68" s="65"/>
      <c r="E68" s="63"/>
      <c r="F68" s="66"/>
      <c r="G68" s="65"/>
      <c r="H68" s="65">
        <f t="shared" si="1"/>
        <v>0</v>
      </c>
      <c r="O68" s="47"/>
    </row>
    <row r="69" spans="1:21">
      <c r="A69" s="92" t="s">
        <v>80</v>
      </c>
      <c r="B69" s="93">
        <v>-61.58</v>
      </c>
      <c r="C69" s="94">
        <f>+K69</f>
        <v>631.54999999999995</v>
      </c>
      <c r="D69" s="95">
        <f>+B69*C69</f>
        <v>-38890.848999999995</v>
      </c>
      <c r="E69" s="63">
        <v>61.58</v>
      </c>
      <c r="F69" s="66">
        <f>L69</f>
        <v>11039.333000000001</v>
      </c>
      <c r="G69" s="65">
        <f>+E69*F69</f>
        <v>679802.12614000007</v>
      </c>
      <c r="H69" s="65">
        <f t="shared" si="1"/>
        <v>-718692.97514000011</v>
      </c>
      <c r="K69" s="13">
        <f>+MTC!Y27</f>
        <v>631.54999999999995</v>
      </c>
      <c r="L69" s="13">
        <f>+MTC!Y28</f>
        <v>11039.333000000001</v>
      </c>
      <c r="O69" s="47"/>
    </row>
    <row r="70" spans="1:21" s="20" customFormat="1">
      <c r="A70" s="29" t="s">
        <v>81</v>
      </c>
      <c r="B70" s="67"/>
      <c r="C70" s="40">
        <f>SUM(C41:C69)</f>
        <v>1035157.6003333334</v>
      </c>
      <c r="D70" s="40">
        <f>SUM(D41:D69)</f>
        <v>112370620.99661072</v>
      </c>
      <c r="E70" s="67"/>
      <c r="F70" s="41">
        <f>SUM(F41:F68)</f>
        <v>1620424.9663333334</v>
      </c>
      <c r="G70" s="40">
        <f>SUM(G41:G69)</f>
        <v>155128315.20109981</v>
      </c>
      <c r="H70" s="41">
        <f>SUM(H41:H66)</f>
        <v>-42039001.229349129</v>
      </c>
      <c r="J70" s="22"/>
      <c r="K70" s="23">
        <f>SUM(K41:K68)</f>
        <v>525199.99900000007</v>
      </c>
      <c r="L70" s="23">
        <f>SUM(L41:L68)</f>
        <v>489309.53399999993</v>
      </c>
      <c r="M70" s="23"/>
      <c r="N70" s="23"/>
      <c r="O70" s="68">
        <f>SUM(O41:O60)</f>
        <v>105.40728870177739</v>
      </c>
      <c r="Q70" s="24"/>
      <c r="U70" s="22"/>
    </row>
    <row r="71" spans="1:21">
      <c r="C71" s="69">
        <f>+D70/C70</f>
        <v>108.5541186776062</v>
      </c>
      <c r="F71" s="70">
        <f>+G70/F70</f>
        <v>95.733106082734082</v>
      </c>
    </row>
    <row r="73" spans="1:21">
      <c r="A73" s="198" t="s">
        <v>82</v>
      </c>
      <c r="B73" s="198"/>
      <c r="C73" s="198"/>
      <c r="D73" s="198"/>
      <c r="E73" s="198"/>
      <c r="F73" s="198"/>
      <c r="G73" s="198"/>
      <c r="H73" s="198"/>
    </row>
    <row r="74" spans="1:21">
      <c r="A74" s="71"/>
      <c r="B74" s="202" t="s">
        <v>24</v>
      </c>
      <c r="C74" s="203"/>
      <c r="D74" s="204"/>
      <c r="E74" s="202" t="s">
        <v>25</v>
      </c>
      <c r="F74" s="203"/>
      <c r="G74" s="204"/>
      <c r="H74" s="71"/>
    </row>
    <row r="75" spans="1:21">
      <c r="A75" s="72"/>
      <c r="B75" s="73" t="s">
        <v>27</v>
      </c>
      <c r="C75" s="73" t="s">
        <v>28</v>
      </c>
      <c r="D75" s="71" t="s">
        <v>29</v>
      </c>
      <c r="E75" s="71" t="s">
        <v>27</v>
      </c>
      <c r="F75" s="71" t="s">
        <v>28</v>
      </c>
      <c r="G75" s="71" t="s">
        <v>30</v>
      </c>
      <c r="H75" s="71" t="s">
        <v>31</v>
      </c>
    </row>
    <row r="76" spans="1:21">
      <c r="A76" s="25" t="s">
        <v>83</v>
      </c>
      <c r="B76" s="74">
        <f>0.08*655.957</f>
        <v>52.476559999999999</v>
      </c>
      <c r="C76" s="26">
        <f>+'SMS A2P'!B33</f>
        <v>446367</v>
      </c>
      <c r="D76" s="27">
        <f>+'SMS A2P'!D33</f>
        <v>26322872.214720003</v>
      </c>
      <c r="E76" s="74"/>
      <c r="F76" s="27"/>
      <c r="G76" s="27">
        <v>0</v>
      </c>
      <c r="H76" s="27">
        <f>+D76-G76</f>
        <v>26322872.214720003</v>
      </c>
    </row>
    <row r="77" spans="1:21">
      <c r="A77" s="25" t="s">
        <v>84</v>
      </c>
      <c r="B77" s="74">
        <f>0.08*655.957</f>
        <v>52.476559999999999</v>
      </c>
      <c r="C77" s="26">
        <f>ICT!C41</f>
        <v>329</v>
      </c>
      <c r="D77" s="27">
        <f>+B77*C77</f>
        <v>17264.788239999998</v>
      </c>
      <c r="E77" s="44">
        <f>0.06*655.957</f>
        <v>39.357419999999998</v>
      </c>
      <c r="F77" s="27">
        <f>+ICT!C146</f>
        <v>26829</v>
      </c>
      <c r="G77" s="75">
        <f>+E77*F77</f>
        <v>1055920.2211799999</v>
      </c>
      <c r="H77" s="27">
        <f>+D77-G77</f>
        <v>-1038655.4329399999</v>
      </c>
    </row>
    <row r="78" spans="1:21" s="76" customFormat="1">
      <c r="A78" s="25" t="s">
        <v>85</v>
      </c>
      <c r="B78" s="74">
        <f>0.08*655.957</f>
        <v>52.476559999999999</v>
      </c>
      <c r="C78" s="26">
        <f>'SMS A2P'!F33</f>
        <v>83778</v>
      </c>
      <c r="D78" s="27">
        <f>84343790.68496-D79</f>
        <v>73018790.684959993</v>
      </c>
      <c r="E78" s="44">
        <f>0.06*655.957</f>
        <v>39.357419999999998</v>
      </c>
      <c r="F78" s="27">
        <f>+ICT!C147</f>
        <v>35463</v>
      </c>
      <c r="G78" s="75">
        <f>+E78*F78</f>
        <v>1395732.1854599998</v>
      </c>
      <c r="H78" s="27">
        <f>+D78-G78</f>
        <v>71623058.499499992</v>
      </c>
      <c r="J78" s="77"/>
      <c r="K78" s="78"/>
      <c r="L78" s="78"/>
      <c r="M78" s="78"/>
      <c r="N78" s="78"/>
      <c r="Q78" s="79"/>
      <c r="U78" s="77"/>
    </row>
    <row r="79" spans="1:21" s="76" customFormat="1">
      <c r="A79" s="25" t="s">
        <v>86</v>
      </c>
      <c r="B79" s="74">
        <v>1.51</v>
      </c>
      <c r="C79" s="26">
        <v>7500000</v>
      </c>
      <c r="D79" s="27">
        <f>+B79*C79</f>
        <v>11325000</v>
      </c>
      <c r="E79" s="44"/>
      <c r="F79" s="27"/>
      <c r="G79" s="75"/>
      <c r="H79" s="27"/>
      <c r="J79" s="77"/>
      <c r="K79" s="78"/>
      <c r="L79" s="78"/>
      <c r="M79" s="78"/>
      <c r="N79" s="78"/>
      <c r="Q79" s="79"/>
      <c r="U79" s="77"/>
    </row>
    <row r="80" spans="1:21" s="20" customFormat="1">
      <c r="A80" s="29" t="s">
        <v>81</v>
      </c>
      <c r="B80" s="80"/>
      <c r="C80" s="31">
        <f>C76+C77+C78</f>
        <v>530474</v>
      </c>
      <c r="D80" s="32">
        <f>SUM(D76:D79)</f>
        <v>110683927.68792</v>
      </c>
      <c r="E80" s="80"/>
      <c r="F80" s="32">
        <f>SUM(F77:F78)</f>
        <v>62292</v>
      </c>
      <c r="G80" s="32">
        <f>SUM(G76:G78)</f>
        <v>2451652.4066399997</v>
      </c>
      <c r="H80" s="32">
        <f>SUM(H76:H78)</f>
        <v>96907275.281279996</v>
      </c>
      <c r="J80" s="22"/>
      <c r="K80" s="23"/>
      <c r="L80" s="23"/>
      <c r="M80" s="23"/>
      <c r="N80" s="23"/>
      <c r="Q80" s="24"/>
      <c r="U80" s="22"/>
    </row>
    <row r="81" spans="1:34">
      <c r="D81" s="81">
        <f>+D80/1000000</f>
        <v>110.68392768792</v>
      </c>
    </row>
    <row r="82" spans="1:34">
      <c r="E82" s="70">
        <f>C80+F80</f>
        <v>592766</v>
      </c>
    </row>
    <row r="83" spans="1:34" s="10" customFormat="1">
      <c r="A83" s="20"/>
      <c r="B83" s="199" t="s">
        <v>87</v>
      </c>
      <c r="C83" s="199"/>
      <c r="D83" s="199"/>
      <c r="E83" s="199" t="s">
        <v>88</v>
      </c>
      <c r="F83" s="199"/>
      <c r="G83" s="199"/>
      <c r="I83" s="11"/>
      <c r="J83" s="12"/>
      <c r="K83" s="13"/>
      <c r="L83" s="13"/>
      <c r="M83" s="13"/>
      <c r="N83" s="13"/>
      <c r="O83" s="11"/>
      <c r="P83" s="11"/>
      <c r="Q83" s="14"/>
      <c r="R83" s="11"/>
      <c r="S83" s="11"/>
      <c r="T83" s="11"/>
      <c r="U83" s="82"/>
    </row>
    <row r="84" spans="1:34" s="10" customFormat="1">
      <c r="A84" s="20"/>
      <c r="B84" s="73" t="s">
        <v>89</v>
      </c>
      <c r="C84" s="73" t="s">
        <v>90</v>
      </c>
      <c r="D84" s="73" t="s">
        <v>91</v>
      </c>
      <c r="E84" s="73" t="s">
        <v>89</v>
      </c>
      <c r="F84" s="73" t="s">
        <v>90</v>
      </c>
      <c r="G84" s="73" t="s">
        <v>30</v>
      </c>
      <c r="I84" s="11"/>
      <c r="J84" s="12"/>
      <c r="K84" s="13"/>
      <c r="L84" s="13"/>
      <c r="M84" s="13"/>
      <c r="N84" s="13"/>
      <c r="O84" s="11"/>
      <c r="P84" s="11"/>
      <c r="Q84" s="14"/>
      <c r="R84" s="11"/>
      <c r="S84" s="11"/>
      <c r="T84" s="11"/>
      <c r="U84" s="82"/>
      <c r="AF84" s="10">
        <f>170000</f>
        <v>170000</v>
      </c>
      <c r="AG84" s="10">
        <v>30</v>
      </c>
      <c r="AH84" s="10">
        <f>AF84*AG84</f>
        <v>5100000</v>
      </c>
    </row>
    <row r="85" spans="1:34" s="10" customFormat="1" ht="15" customHeight="1">
      <c r="A85" s="200" t="s">
        <v>92</v>
      </c>
      <c r="B85" s="83" t="s">
        <v>93</v>
      </c>
      <c r="C85" s="84">
        <f>'ROAMING IN '!BA202</f>
        <v>88479.432000000001</v>
      </c>
      <c r="D85" s="84">
        <f>'ROAMING IN '!BL202</f>
        <v>14436530.509</v>
      </c>
      <c r="E85" s="108" t="s">
        <v>93</v>
      </c>
      <c r="F85" s="84">
        <f>+'ROAMING OUT'!AM146</f>
        <v>66860.301000000007</v>
      </c>
      <c r="G85" s="84">
        <f>+'ROAMING OUT'!AX146</f>
        <v>6167112.0080000004</v>
      </c>
      <c r="I85" s="11"/>
      <c r="J85" s="12"/>
      <c r="K85" s="13"/>
      <c r="L85" s="13"/>
      <c r="M85" s="13"/>
      <c r="N85" s="13"/>
      <c r="O85" s="11"/>
      <c r="P85" s="11"/>
      <c r="Q85" s="14"/>
      <c r="R85" s="11"/>
      <c r="S85" s="11"/>
      <c r="T85" s="11"/>
      <c r="U85" s="82"/>
    </row>
    <row r="86" spans="1:34" s="10" customFormat="1" ht="15" customHeight="1">
      <c r="A86" s="200"/>
      <c r="B86" s="83" t="s">
        <v>94</v>
      </c>
      <c r="C86" s="84">
        <f>'ROAMING IN '!CC202</f>
        <v>612151.61499999999</v>
      </c>
      <c r="D86" s="84">
        <f>'ROAMING IN '!CN202</f>
        <v>746.15700000000004</v>
      </c>
      <c r="E86" s="108" t="s">
        <v>94</v>
      </c>
      <c r="F86" s="84">
        <f>+'ROAMING OUT'!BO146</f>
        <v>671839.78500000003</v>
      </c>
      <c r="G86" s="84">
        <f>+'ROAMING OUT'!BZ146</f>
        <v>12018.175999999999</v>
      </c>
      <c r="I86" s="11"/>
      <c r="J86" s="12"/>
      <c r="K86" s="13"/>
      <c r="L86" s="13"/>
      <c r="M86" s="13"/>
      <c r="N86" s="13"/>
      <c r="O86" s="11"/>
      <c r="P86" s="11"/>
      <c r="Q86" s="14"/>
      <c r="R86" s="11"/>
      <c r="S86" s="11"/>
      <c r="T86" s="11"/>
      <c r="U86" s="82"/>
    </row>
    <row r="87" spans="1:34">
      <c r="A87" s="200"/>
      <c r="B87" s="83" t="s">
        <v>95</v>
      </c>
      <c r="C87" s="84">
        <f>'ROAMING IN '!AL202</f>
        <v>28013</v>
      </c>
      <c r="D87" s="85">
        <f>'ROAMING IN '!AX202</f>
        <v>559908.52</v>
      </c>
      <c r="E87" s="108" t="s">
        <v>95</v>
      </c>
      <c r="F87" s="85">
        <f>+'ROAMING OUT'!X146</f>
        <v>2360</v>
      </c>
      <c r="G87" s="85">
        <f>+'ROAMING OUT'!AJ146</f>
        <v>189961.489</v>
      </c>
    </row>
    <row r="88" spans="1:34">
      <c r="A88" s="200"/>
      <c r="B88" s="83" t="s">
        <v>96</v>
      </c>
      <c r="C88" s="84">
        <f>('ROAMING IN '!O202+'ROAMING IN '!AC202)/1024</f>
        <v>4177043.3525390625</v>
      </c>
      <c r="D88" s="85">
        <f>+'ROAMING IN '!V202+'ROAMING IN '!AJ202</f>
        <v>49488563.542999998</v>
      </c>
      <c r="E88" s="108" t="s">
        <v>96</v>
      </c>
      <c r="F88" s="85">
        <f>+'ROAMING OUT'!O146/1024</f>
        <v>643850.6806640625</v>
      </c>
      <c r="G88" s="85">
        <f>+'ROAMING OUT'!V146</f>
        <v>8375327.4639999997</v>
      </c>
    </row>
    <row r="89" spans="1:34" s="15" customFormat="1">
      <c r="A89" s="200"/>
      <c r="B89" s="201" t="s">
        <v>97</v>
      </c>
      <c r="C89" s="201"/>
      <c r="D89" s="109">
        <f>+D85+D86+D87+D88</f>
        <v>64485748.728999995</v>
      </c>
      <c r="E89" s="201" t="s">
        <v>97</v>
      </c>
      <c r="F89" s="201"/>
      <c r="G89" s="109">
        <f>+G85+G86+G87+G88</f>
        <v>14744419.137</v>
      </c>
      <c r="H89" s="43"/>
      <c r="J89" s="16"/>
      <c r="K89" s="17"/>
      <c r="L89" s="17"/>
      <c r="M89" s="17"/>
      <c r="N89" s="17"/>
      <c r="Q89" s="18"/>
      <c r="U89" s="16"/>
    </row>
    <row r="91" spans="1:34">
      <c r="E91" s="195">
        <f>+C88+F88</f>
        <v>4820894.033203125</v>
      </c>
    </row>
    <row r="92" spans="1:34" s="88" customFormat="1">
      <c r="A92" s="20"/>
      <c r="B92" s="86"/>
      <c r="C92" s="86"/>
      <c r="D92" s="87">
        <f>+D70+D80+D89+G27</f>
        <v>636232356.10300457</v>
      </c>
      <c r="G92" s="87">
        <f>+G70+G80+G89</f>
        <v>172324386.7447398</v>
      </c>
      <c r="I92" s="20"/>
      <c r="J92" s="22"/>
      <c r="K92" s="23"/>
      <c r="L92" s="23"/>
      <c r="M92" s="23"/>
      <c r="N92" s="23"/>
      <c r="O92" s="20"/>
      <c r="P92" s="20"/>
      <c r="Q92" s="24"/>
      <c r="R92" s="20"/>
      <c r="S92" s="20"/>
      <c r="T92" s="20"/>
      <c r="U92" s="89"/>
    </row>
    <row r="95" spans="1:34" s="10" customFormat="1">
      <c r="A95" s="20"/>
      <c r="B95" s="43"/>
      <c r="C95" s="90"/>
      <c r="I95" s="11"/>
      <c r="J95" s="12"/>
      <c r="K95" s="13"/>
      <c r="L95" s="13"/>
      <c r="M95" s="13"/>
      <c r="N95" s="13"/>
      <c r="O95" s="11"/>
      <c r="P95" s="11"/>
      <c r="Q95" s="14"/>
      <c r="R95" s="11"/>
      <c r="S95" s="11"/>
      <c r="T95" s="11"/>
      <c r="U95" s="82"/>
    </row>
    <row r="96" spans="1:34">
      <c r="D96" s="91">
        <f>D70+D80</f>
        <v>223054548.68453074</v>
      </c>
    </row>
    <row r="98" spans="1:22" s="10" customFormat="1">
      <c r="A98" s="20"/>
      <c r="B98" s="43"/>
      <c r="C98" s="43"/>
      <c r="D98" s="70"/>
      <c r="I98" s="11"/>
      <c r="J98" s="12"/>
      <c r="K98" s="13"/>
      <c r="L98" s="13"/>
      <c r="M98" s="13"/>
      <c r="N98" s="13"/>
      <c r="O98" s="11"/>
      <c r="P98" s="11"/>
      <c r="Q98" s="14"/>
      <c r="R98" s="11"/>
      <c r="S98" s="11"/>
      <c r="T98" s="11"/>
      <c r="U98" s="12"/>
      <c r="V98" s="11"/>
    </row>
  </sheetData>
  <mergeCells count="27">
    <mergeCell ref="A1:A4"/>
    <mergeCell ref="B1:E4"/>
    <mergeCell ref="A5:E5"/>
    <mergeCell ref="A7:H7"/>
    <mergeCell ref="A8:H8"/>
    <mergeCell ref="A38:H38"/>
    <mergeCell ref="B39:D39"/>
    <mergeCell ref="E39:G39"/>
    <mergeCell ref="B9:D9"/>
    <mergeCell ref="E9:G9"/>
    <mergeCell ref="B10:D10"/>
    <mergeCell ref="E10:G10"/>
    <mergeCell ref="B16:D16"/>
    <mergeCell ref="E16:G16"/>
    <mergeCell ref="B21:D21"/>
    <mergeCell ref="E21:G21"/>
    <mergeCell ref="A22:H22"/>
    <mergeCell ref="A28:H28"/>
    <mergeCell ref="K39:L39"/>
    <mergeCell ref="A73:H73"/>
    <mergeCell ref="B83:D83"/>
    <mergeCell ref="E83:G83"/>
    <mergeCell ref="A85:A89"/>
    <mergeCell ref="B89:C89"/>
    <mergeCell ref="E89:F89"/>
    <mergeCell ref="B74:D74"/>
    <mergeCell ref="E74:G74"/>
  </mergeCells>
  <pageMargins left="0.7" right="0.7" top="0.75" bottom="0.75" header="0.3" footer="0.3"/>
  <pageSetup paperSize="9" scale="48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80FB-B854-4601-A005-22ACB8D1481B}">
  <sheetPr>
    <pageSetUpPr fitToPage="1"/>
  </sheetPr>
  <dimension ref="A1:AH98"/>
  <sheetViews>
    <sheetView tabSelected="1" topLeftCell="A43" zoomScale="80" zoomScaleNormal="80" workbookViewId="0">
      <selection activeCell="A96" sqref="A96"/>
    </sheetView>
  </sheetViews>
  <sheetFormatPr defaultColWidth="12.5703125" defaultRowHeight="13.9"/>
  <cols>
    <col min="1" max="1" width="39.42578125" style="20" bestFit="1" customWidth="1"/>
    <col min="2" max="2" width="10.85546875" style="43" bestFit="1" customWidth="1"/>
    <col min="3" max="3" width="13.5703125" style="43" bestFit="1" customWidth="1"/>
    <col min="4" max="4" width="13.85546875" style="10" bestFit="1" customWidth="1"/>
    <col min="5" max="5" width="10.85546875" style="10" bestFit="1" customWidth="1"/>
    <col min="6" max="6" width="24.7109375" style="10" bestFit="1" customWidth="1"/>
    <col min="7" max="7" width="15.42578125" style="10" bestFit="1" customWidth="1"/>
    <col min="8" max="8" width="13" style="10" bestFit="1" customWidth="1"/>
    <col min="9" max="9" width="12.5703125" style="11"/>
    <col min="10" max="10" width="12.5703125" style="12" customWidth="1"/>
    <col min="11" max="11" width="12.85546875" style="13" bestFit="1" customWidth="1"/>
    <col min="12" max="12" width="13.85546875" style="13" bestFit="1" customWidth="1"/>
    <col min="13" max="14" width="17" style="13" hidden="1" customWidth="1"/>
    <col min="15" max="15" width="13.7109375" style="11" hidden="1" customWidth="1"/>
    <col min="16" max="16" width="12.5703125" style="11" hidden="1" customWidth="1"/>
    <col min="17" max="17" width="12.5703125" style="14" hidden="1" customWidth="1"/>
    <col min="18" max="18" width="13.7109375" style="11" hidden="1" customWidth="1"/>
    <col min="19" max="20" width="12.5703125" style="11" hidden="1" customWidth="1"/>
    <col min="21" max="21" width="12.5703125" style="12" hidden="1" customWidth="1"/>
    <col min="22" max="27" width="12.5703125" style="11" hidden="1" customWidth="1"/>
    <col min="28" max="28" width="12.5703125" style="11" customWidth="1"/>
    <col min="29" max="29" width="12.5703125" style="11" hidden="1" customWidth="1"/>
    <col min="30" max="30" width="0" style="11" hidden="1" customWidth="1"/>
    <col min="31" max="16384" width="12.5703125" style="11"/>
  </cols>
  <sheetData>
    <row r="1" spans="1:21">
      <c r="A1" s="213"/>
      <c r="B1" s="214" t="s">
        <v>16</v>
      </c>
      <c r="C1" s="214"/>
      <c r="D1" s="214"/>
      <c r="E1" s="214"/>
      <c r="F1" s="9" t="s">
        <v>17</v>
      </c>
    </row>
    <row r="2" spans="1:21">
      <c r="A2" s="213"/>
      <c r="B2" s="214"/>
      <c r="C2" s="214"/>
      <c r="D2" s="214"/>
      <c r="E2" s="214"/>
      <c r="F2" s="9" t="s">
        <v>18</v>
      </c>
    </row>
    <row r="3" spans="1:21">
      <c r="A3" s="213"/>
      <c r="B3" s="214"/>
      <c r="C3" s="214"/>
      <c r="D3" s="214"/>
      <c r="E3" s="214"/>
      <c r="F3" s="9" t="s">
        <v>19</v>
      </c>
    </row>
    <row r="4" spans="1:21">
      <c r="A4" s="213"/>
      <c r="B4" s="214"/>
      <c r="C4" s="214"/>
      <c r="D4" s="214"/>
      <c r="E4" s="214"/>
      <c r="F4" s="9" t="s">
        <v>20</v>
      </c>
    </row>
    <row r="5" spans="1:21" ht="15.6">
      <c r="A5" s="215" t="s">
        <v>21</v>
      </c>
      <c r="B5" s="216"/>
      <c r="C5" s="216"/>
      <c r="D5" s="216"/>
      <c r="E5" s="217"/>
      <c r="F5" s="9" t="s">
        <v>22</v>
      </c>
    </row>
    <row r="7" spans="1:21" s="15" customFormat="1" ht="23.45">
      <c r="A7" s="218">
        <v>45778</v>
      </c>
      <c r="B7" s="219"/>
      <c r="C7" s="219"/>
      <c r="D7" s="219"/>
      <c r="E7" s="219"/>
      <c r="F7" s="219"/>
      <c r="G7" s="219"/>
      <c r="H7" s="219"/>
      <c r="J7" s="16"/>
      <c r="K7" s="17"/>
      <c r="L7" s="17"/>
      <c r="M7" s="17"/>
      <c r="N7" s="17"/>
      <c r="Q7" s="18"/>
      <c r="U7" s="16"/>
    </row>
    <row r="8" spans="1:21">
      <c r="A8" s="205" t="s">
        <v>23</v>
      </c>
      <c r="B8" s="205"/>
      <c r="C8" s="205"/>
      <c r="D8" s="205"/>
      <c r="E8" s="205"/>
      <c r="F8" s="205"/>
      <c r="G8" s="205"/>
      <c r="H8" s="205"/>
    </row>
    <row r="9" spans="1:21">
      <c r="A9" s="19"/>
      <c r="B9" s="196" t="s">
        <v>24</v>
      </c>
      <c r="C9" s="206"/>
      <c r="D9" s="197"/>
      <c r="E9" s="196" t="s">
        <v>25</v>
      </c>
      <c r="F9" s="206"/>
      <c r="G9" s="197"/>
      <c r="H9" s="19"/>
    </row>
    <row r="10" spans="1:21">
      <c r="A10" s="11"/>
      <c r="B10" s="196" t="s">
        <v>26</v>
      </c>
      <c r="C10" s="206"/>
      <c r="D10" s="197"/>
      <c r="E10" s="196" t="s">
        <v>26</v>
      </c>
      <c r="F10" s="206"/>
      <c r="G10" s="197"/>
      <c r="H10" s="19"/>
    </row>
    <row r="11" spans="1:21" s="20" customFormat="1">
      <c r="B11" s="21" t="s">
        <v>27</v>
      </c>
      <c r="C11" s="21" t="s">
        <v>28</v>
      </c>
      <c r="D11" s="19" t="s">
        <v>29</v>
      </c>
      <c r="E11" s="21" t="s">
        <v>27</v>
      </c>
      <c r="F11" s="21" t="s">
        <v>28</v>
      </c>
      <c r="G11" s="19" t="s">
        <v>30</v>
      </c>
      <c r="H11" s="19" t="s">
        <v>31</v>
      </c>
      <c r="J11" s="22"/>
      <c r="K11" s="23"/>
      <c r="L11" s="23"/>
      <c r="M11" s="23"/>
      <c r="N11" s="23"/>
      <c r="Q11" s="24"/>
      <c r="U11" s="22"/>
    </row>
    <row r="12" spans="1:21">
      <c r="A12" s="25" t="s">
        <v>32</v>
      </c>
      <c r="B12" s="26">
        <v>0</v>
      </c>
      <c r="C12" s="26">
        <f>ICT!D26</f>
        <v>29853236.550000001</v>
      </c>
      <c r="D12" s="27">
        <v>0</v>
      </c>
      <c r="E12" s="27">
        <v>0</v>
      </c>
      <c r="F12" s="27">
        <f>+ICT!D126</f>
        <v>34730005.966666669</v>
      </c>
      <c r="G12" s="27">
        <v>0</v>
      </c>
      <c r="H12" s="27">
        <f>+D12-G12</f>
        <v>0</v>
      </c>
      <c r="K12" s="28"/>
    </row>
    <row r="13" spans="1:21">
      <c r="A13" s="25" t="s">
        <v>33</v>
      </c>
      <c r="B13" s="26">
        <v>0</v>
      </c>
      <c r="C13" s="26">
        <f>ICT!D27</f>
        <v>100805546.08333333</v>
      </c>
      <c r="D13" s="27">
        <v>0</v>
      </c>
      <c r="E13" s="27">
        <v>0</v>
      </c>
      <c r="F13" s="27">
        <f>+ICT!D127</f>
        <v>25869595.316666666</v>
      </c>
      <c r="G13" s="27">
        <v>0</v>
      </c>
      <c r="H13" s="27">
        <f>+D13-G13</f>
        <v>0</v>
      </c>
    </row>
    <row r="14" spans="1:21">
      <c r="A14" s="25" t="s">
        <v>34</v>
      </c>
      <c r="B14" s="26">
        <v>0</v>
      </c>
      <c r="C14" s="26">
        <f>ICT!D8</f>
        <v>27746.433333333334</v>
      </c>
      <c r="D14" s="27">
        <v>0</v>
      </c>
      <c r="E14" s="27">
        <v>0</v>
      </c>
      <c r="F14" s="27">
        <f>+ICT!D110</f>
        <v>46704.1</v>
      </c>
      <c r="G14" s="27">
        <v>0</v>
      </c>
      <c r="H14" s="27">
        <f>+D14-G14</f>
        <v>0</v>
      </c>
    </row>
    <row r="15" spans="1:21" s="34" customFormat="1">
      <c r="A15" s="29" t="s">
        <v>35</v>
      </c>
      <c r="B15" s="30"/>
      <c r="C15" s="31">
        <f>SUM(C12:C14)</f>
        <v>130686529.06666666</v>
      </c>
      <c r="D15" s="32">
        <f>SUM(D12:D14)</f>
        <v>0</v>
      </c>
      <c r="E15" s="33"/>
      <c r="F15" s="32">
        <f>SUM(F12:F14)</f>
        <v>60646305.383333333</v>
      </c>
      <c r="G15" s="32">
        <f>SUM(G12:G14)</f>
        <v>0</v>
      </c>
      <c r="H15" s="32">
        <f>SUM(H12:H14)</f>
        <v>0</v>
      </c>
      <c r="J15" s="35"/>
      <c r="K15" s="36"/>
      <c r="L15" s="37"/>
      <c r="M15" s="37"/>
      <c r="N15" s="37"/>
      <c r="Q15" s="38"/>
      <c r="U15" s="35"/>
    </row>
    <row r="16" spans="1:21" s="34" customFormat="1">
      <c r="A16" s="29"/>
      <c r="B16" s="196" t="s">
        <v>36</v>
      </c>
      <c r="C16" s="206"/>
      <c r="D16" s="197"/>
      <c r="E16" s="196" t="s">
        <v>36</v>
      </c>
      <c r="F16" s="206"/>
      <c r="G16" s="197"/>
      <c r="H16" s="32"/>
      <c r="J16" s="35"/>
      <c r="K16" s="36"/>
      <c r="L16" s="37"/>
      <c r="M16" s="37"/>
      <c r="N16" s="37"/>
      <c r="Q16" s="38"/>
      <c r="U16" s="35"/>
    </row>
    <row r="17" spans="1:21" s="34" customFormat="1">
      <c r="A17" s="29"/>
      <c r="B17" s="21" t="s">
        <v>27</v>
      </c>
      <c r="C17" s="21" t="s">
        <v>28</v>
      </c>
      <c r="D17" s="19" t="s">
        <v>29</v>
      </c>
      <c r="E17" s="21" t="s">
        <v>27</v>
      </c>
      <c r="F17" s="21" t="s">
        <v>28</v>
      </c>
      <c r="G17" s="19" t="s">
        <v>30</v>
      </c>
      <c r="H17" s="32"/>
      <c r="J17" s="35"/>
      <c r="K17" s="36"/>
      <c r="L17" s="37"/>
      <c r="M17" s="37"/>
      <c r="N17" s="37"/>
      <c r="Q17" s="38"/>
      <c r="U17" s="35"/>
    </row>
    <row r="18" spans="1:21">
      <c r="A18" s="25" t="s">
        <v>37</v>
      </c>
      <c r="B18" s="26">
        <v>0</v>
      </c>
      <c r="C18" s="39">
        <f>ICT!C48</f>
        <v>2724684</v>
      </c>
      <c r="D18" s="27">
        <f>+B18*C18</f>
        <v>0</v>
      </c>
      <c r="E18" s="27">
        <f>B18</f>
        <v>0</v>
      </c>
      <c r="F18" s="27">
        <f>+ICT!C150</f>
        <v>2676573</v>
      </c>
      <c r="G18" s="27">
        <f>+E18*F18</f>
        <v>0</v>
      </c>
      <c r="H18" s="27">
        <f>D18-G18</f>
        <v>0</v>
      </c>
    </row>
    <row r="19" spans="1:21">
      <c r="A19" s="25" t="s">
        <v>38</v>
      </c>
      <c r="B19" s="26">
        <v>0</v>
      </c>
      <c r="C19" s="39">
        <f>ICT!C49</f>
        <v>3476412</v>
      </c>
      <c r="D19" s="27">
        <f>+B19*C19</f>
        <v>0</v>
      </c>
      <c r="E19" s="27"/>
      <c r="F19" s="27">
        <f>+ICT!C151</f>
        <v>2890730</v>
      </c>
      <c r="G19" s="27">
        <f>+E19*F19</f>
        <v>0</v>
      </c>
      <c r="H19" s="27"/>
    </row>
    <row r="20" spans="1:21" s="34" customFormat="1">
      <c r="A20" s="29" t="s">
        <v>35</v>
      </c>
      <c r="B20" s="40"/>
      <c r="C20" s="40">
        <f>+C18+C19</f>
        <v>6201096</v>
      </c>
      <c r="D20" s="41">
        <f>D18</f>
        <v>0</v>
      </c>
      <c r="E20" s="41"/>
      <c r="F20" s="41">
        <f>+F18</f>
        <v>2676573</v>
      </c>
      <c r="G20" s="41">
        <f>G18</f>
        <v>0</v>
      </c>
      <c r="H20" s="41">
        <f>H18</f>
        <v>0</v>
      </c>
      <c r="J20" s="35"/>
      <c r="K20" s="37"/>
      <c r="L20" s="37"/>
      <c r="M20" s="37"/>
      <c r="N20" s="37"/>
      <c r="Q20" s="38"/>
      <c r="U20" s="35"/>
    </row>
    <row r="21" spans="1:21">
      <c r="A21" s="19"/>
      <c r="B21" s="196" t="s">
        <v>39</v>
      </c>
      <c r="C21" s="206"/>
      <c r="D21" s="197"/>
      <c r="E21" s="196" t="s">
        <v>40</v>
      </c>
      <c r="F21" s="206"/>
      <c r="G21" s="197"/>
      <c r="H21" s="19"/>
    </row>
    <row r="22" spans="1:21">
      <c r="A22" s="207" t="s">
        <v>41</v>
      </c>
      <c r="B22" s="208"/>
      <c r="C22" s="208"/>
      <c r="D22" s="208"/>
      <c r="E22" s="208"/>
      <c r="F22" s="208"/>
      <c r="G22" s="208"/>
      <c r="H22" s="209"/>
    </row>
    <row r="23" spans="1:21">
      <c r="A23" s="42"/>
      <c r="B23" s="21" t="s">
        <v>27</v>
      </c>
      <c r="C23" s="21" t="s">
        <v>28</v>
      </c>
      <c r="D23" s="19" t="s">
        <v>30</v>
      </c>
      <c r="E23" s="21" t="s">
        <v>27</v>
      </c>
      <c r="F23" s="21" t="s">
        <v>28</v>
      </c>
      <c r="G23" s="19" t="s">
        <v>29</v>
      </c>
      <c r="H23" s="19"/>
    </row>
    <row r="24" spans="1:21">
      <c r="A24" s="25" t="s">
        <v>42</v>
      </c>
      <c r="B24" s="98">
        <f>6/1.18</f>
        <v>5.0847457627118651</v>
      </c>
      <c r="C24" s="99">
        <f>REVENU!C68</f>
        <v>475353.78333333338</v>
      </c>
      <c r="D24" s="100">
        <f>+B24*C24</f>
        <v>2417053.1355932211</v>
      </c>
      <c r="E24" s="98">
        <f>6/1.18</f>
        <v>5.0847457627118651</v>
      </c>
      <c r="F24" s="102">
        <f>+REVENU!C34</f>
        <v>45038969.024295434</v>
      </c>
      <c r="G24" s="100">
        <f>+E24*F24</f>
        <v>229011706.90319714</v>
      </c>
      <c r="H24" s="102">
        <f>G24-D24</f>
        <v>226594653.7676039</v>
      </c>
    </row>
    <row r="25" spans="1:21">
      <c r="A25" s="25" t="s">
        <v>38</v>
      </c>
      <c r="B25" s="98">
        <f>0.6/1.18</f>
        <v>0.50847457627118642</v>
      </c>
      <c r="C25" s="99">
        <f>REVENU!D68</f>
        <v>9300</v>
      </c>
      <c r="D25" s="100">
        <f>+B25*C25</f>
        <v>4728.8135593220341</v>
      </c>
      <c r="E25" s="98">
        <f>0.6/1.18</f>
        <v>0.50847457627118642</v>
      </c>
      <c r="F25" s="102">
        <f>+REVENU!D34</f>
        <v>374553</v>
      </c>
      <c r="G25" s="100">
        <f>+E25*F25</f>
        <v>190450.67796610168</v>
      </c>
      <c r="H25" s="102">
        <f t="shared" ref="H25:H27" si="0">G25-D25</f>
        <v>185721.86440677964</v>
      </c>
    </row>
    <row r="26" spans="1:21">
      <c r="A26" s="25" t="s">
        <v>43</v>
      </c>
      <c r="B26" s="98">
        <f>400/1.18</f>
        <v>338.98305084745766</v>
      </c>
      <c r="C26" s="98">
        <f>REVENU!E68</f>
        <v>4650</v>
      </c>
      <c r="D26" s="100">
        <f>+B26*C26</f>
        <v>1576271.1864406781</v>
      </c>
      <c r="E26" s="98">
        <f>400/1.18</f>
        <v>338.98305084745766</v>
      </c>
      <c r="F26" s="102">
        <f>+REVENU!E34</f>
        <v>352495.2082695163</v>
      </c>
      <c r="G26" s="100">
        <f>+E26*F26</f>
        <v>119489901.10831062</v>
      </c>
      <c r="H26" s="102">
        <f t="shared" si="0"/>
        <v>117913629.92186995</v>
      </c>
    </row>
    <row r="27" spans="1:21" s="34" customFormat="1">
      <c r="A27" s="29"/>
      <c r="B27" s="30"/>
      <c r="C27" s="104"/>
      <c r="D27" s="105">
        <f>SUM(D24:D26)</f>
        <v>3998053.1355932215</v>
      </c>
      <c r="E27" s="33"/>
      <c r="F27" s="33"/>
      <c r="G27" s="105">
        <f>SUM(G24:G26)</f>
        <v>348692058.68947387</v>
      </c>
      <c r="H27" s="106">
        <f t="shared" si="0"/>
        <v>344694005.55388063</v>
      </c>
      <c r="J27" s="35"/>
      <c r="K27" s="37"/>
      <c r="L27" s="37"/>
      <c r="M27" s="37"/>
      <c r="N27" s="37"/>
      <c r="Q27" s="38"/>
      <c r="U27" s="35"/>
    </row>
    <row r="28" spans="1:21">
      <c r="A28" s="210" t="s">
        <v>44</v>
      </c>
      <c r="B28" s="211"/>
      <c r="C28" s="211"/>
      <c r="D28" s="211"/>
      <c r="E28" s="211"/>
      <c r="F28" s="211"/>
      <c r="G28" s="211"/>
      <c r="H28" s="212"/>
    </row>
    <row r="29" spans="1:21">
      <c r="A29" s="25" t="s">
        <v>45</v>
      </c>
      <c r="B29" s="98">
        <f>6/1.18</f>
        <v>5.0847457627118651</v>
      </c>
      <c r="C29" s="99">
        <f>+ICT!D33</f>
        <v>53968.4</v>
      </c>
      <c r="D29" s="100">
        <f>+B29*C29</f>
        <v>274415.59322033904</v>
      </c>
      <c r="E29" s="101">
        <f>8.5/1.18</f>
        <v>7.2033898305084749</v>
      </c>
      <c r="F29" s="102"/>
      <c r="G29" s="100">
        <f>+E29*F29</f>
        <v>0</v>
      </c>
      <c r="H29" s="103"/>
    </row>
    <row r="30" spans="1:21">
      <c r="A30" s="25" t="s">
        <v>46</v>
      </c>
      <c r="B30" s="98">
        <f>0.6/1.18</f>
        <v>0.50847457627118642</v>
      </c>
      <c r="C30" s="99">
        <f>+ICT!C36</f>
        <v>10225</v>
      </c>
      <c r="D30" s="100">
        <f>+B30*C30</f>
        <v>5199.1525423728808</v>
      </c>
      <c r="E30" s="101">
        <f>1/1.18</f>
        <v>0.84745762711864414</v>
      </c>
      <c r="F30" s="102"/>
      <c r="G30" s="100">
        <f>+E30*F30</f>
        <v>0</v>
      </c>
      <c r="H30" s="103"/>
    </row>
    <row r="31" spans="1:21">
      <c r="A31" s="25" t="s">
        <v>47</v>
      </c>
      <c r="B31" s="98">
        <f>400/1.18</f>
        <v>338.98305084745766</v>
      </c>
      <c r="C31" s="98">
        <v>1000</v>
      </c>
      <c r="D31" s="100">
        <f>+B31*C31</f>
        <v>338983.05084745766</v>
      </c>
      <c r="E31" s="101">
        <f>500/1.18</f>
        <v>423.72881355932208</v>
      </c>
      <c r="F31" s="102"/>
      <c r="G31" s="100">
        <f>+E31*F31</f>
        <v>0</v>
      </c>
      <c r="H31" s="103"/>
    </row>
    <row r="32" spans="1:21">
      <c r="A32" s="29"/>
      <c r="B32" s="30"/>
      <c r="C32" s="104"/>
      <c r="D32" s="105">
        <f>+D29+D30+D31</f>
        <v>618597.79661016958</v>
      </c>
      <c r="E32" s="33"/>
      <c r="F32" s="33"/>
      <c r="G32" s="105">
        <f>SUM(G29:G31)</f>
        <v>0</v>
      </c>
      <c r="H32" s="33"/>
    </row>
    <row r="38" spans="1:32" s="20" customFormat="1">
      <c r="A38" s="205" t="s">
        <v>48</v>
      </c>
      <c r="B38" s="205"/>
      <c r="C38" s="205"/>
      <c r="D38" s="205"/>
      <c r="E38" s="205"/>
      <c r="F38" s="205"/>
      <c r="G38" s="205"/>
      <c r="H38" s="205"/>
      <c r="J38" s="22"/>
      <c r="K38" s="23"/>
      <c r="L38" s="23"/>
      <c r="M38" s="23"/>
      <c r="N38" s="23"/>
      <c r="Q38" s="24"/>
      <c r="U38" s="22"/>
    </row>
    <row r="39" spans="1:32" s="20" customFormat="1">
      <c r="A39" s="19"/>
      <c r="B39" s="196" t="s">
        <v>24</v>
      </c>
      <c r="C39" s="206"/>
      <c r="D39" s="197"/>
      <c r="E39" s="196" t="s">
        <v>25</v>
      </c>
      <c r="F39" s="206"/>
      <c r="G39" s="197"/>
      <c r="H39" s="19"/>
      <c r="J39" s="22"/>
      <c r="K39" s="196" t="s">
        <v>49</v>
      </c>
      <c r="L39" s="197"/>
      <c r="M39" s="23"/>
      <c r="N39" s="23"/>
      <c r="Q39" s="24"/>
      <c r="U39" s="22"/>
    </row>
    <row r="40" spans="1:32">
      <c r="A40" s="42"/>
      <c r="B40" s="21" t="s">
        <v>27</v>
      </c>
      <c r="C40" s="21" t="s">
        <v>28</v>
      </c>
      <c r="D40" s="19" t="s">
        <v>29</v>
      </c>
      <c r="E40" s="19" t="s">
        <v>27</v>
      </c>
      <c r="F40" s="19" t="s">
        <v>28</v>
      </c>
      <c r="G40" s="19" t="s">
        <v>30</v>
      </c>
      <c r="H40" s="19" t="s">
        <v>31</v>
      </c>
      <c r="K40" s="19" t="s">
        <v>50</v>
      </c>
      <c r="L40" s="19" t="s">
        <v>51</v>
      </c>
    </row>
    <row r="41" spans="1:32">
      <c r="A41" s="25" t="s">
        <v>52</v>
      </c>
      <c r="B41" s="44">
        <v>180</v>
      </c>
      <c r="C41" s="39">
        <v>0</v>
      </c>
      <c r="D41" s="45">
        <f>C41*B41</f>
        <v>0</v>
      </c>
      <c r="E41" s="44">
        <f>0.2995*655.957</f>
        <v>196.45912149999998</v>
      </c>
      <c r="F41" s="46"/>
      <c r="G41" s="45"/>
      <c r="H41" s="45">
        <f>+D41-G41</f>
        <v>0</v>
      </c>
      <c r="N41" s="13">
        <f>B41*C41</f>
        <v>0</v>
      </c>
      <c r="O41" s="47">
        <f>N41/1000000</f>
        <v>0</v>
      </c>
      <c r="AF41" s="61">
        <f>C42+C44+C50</f>
        <v>353834.03333333333</v>
      </c>
    </row>
    <row r="42" spans="1:32">
      <c r="A42" s="25" t="s">
        <v>53</v>
      </c>
      <c r="B42" s="44">
        <f>0.3*655.957</f>
        <v>196.78709999999998</v>
      </c>
      <c r="C42" s="39">
        <f>+ICT!D10-C68</f>
        <v>55460.75</v>
      </c>
      <c r="D42" s="45">
        <f>(C42*B42)+(B65*C65)+(1600*655.957)</f>
        <v>11963491.356324999</v>
      </c>
      <c r="E42" s="44"/>
      <c r="F42" s="46">
        <f>+ICT!D114+ICT!D91</f>
        <v>226828.79999999999</v>
      </c>
      <c r="G42" s="45">
        <f>(ICT!B156+ICT!B114+ICT!B91)*655.957</f>
        <v>28500834.538891163</v>
      </c>
      <c r="H42" s="45">
        <f t="shared" ref="H42:H69" si="1">+D42-G42</f>
        <v>-16537343.182566164</v>
      </c>
      <c r="N42" s="13">
        <f>B42*C42</f>
        <v>10913960.156324999</v>
      </c>
      <c r="O42" s="47">
        <f t="shared" ref="O42:O60" si="2">N42/1000000</f>
        <v>10.913960156324999</v>
      </c>
      <c r="AF42" s="107">
        <f>AF41/C70</f>
        <v>0.34181658253718511</v>
      </c>
    </row>
    <row r="43" spans="1:32">
      <c r="A43" s="25" t="s">
        <v>54</v>
      </c>
      <c r="B43" s="44">
        <f>0.3*655.957</f>
        <v>196.78709999999998</v>
      </c>
      <c r="C43" s="39">
        <f>0</f>
        <v>0</v>
      </c>
      <c r="D43" s="45">
        <f>(C43*B43)+(B66*C66)</f>
        <v>0</v>
      </c>
      <c r="E43" s="44"/>
      <c r="F43" s="46"/>
      <c r="G43" s="45"/>
      <c r="H43" s="45">
        <f t="shared" si="1"/>
        <v>0</v>
      </c>
      <c r="N43" s="13">
        <f t="shared" ref="N43:N59" si="3">B43*C43</f>
        <v>0</v>
      </c>
      <c r="O43" s="47">
        <f t="shared" si="2"/>
        <v>0</v>
      </c>
      <c r="T43" s="28">
        <f>C43/'[2]NAT+INT'!$C$25-1</f>
        <v>-1</v>
      </c>
    </row>
    <row r="44" spans="1:32">
      <c r="A44" s="25" t="s">
        <v>55</v>
      </c>
      <c r="B44" s="44">
        <f>0.3*655.957</f>
        <v>196.78709999999998</v>
      </c>
      <c r="C44" s="39">
        <f>+ICT!D12</f>
        <v>29838.799999999999</v>
      </c>
      <c r="D44" s="45">
        <f t="shared" ref="D44:D48" si="4">C44*B44</f>
        <v>5871890.9194799997</v>
      </c>
      <c r="E44" s="44"/>
      <c r="F44" s="46"/>
      <c r="G44" s="45"/>
      <c r="H44" s="45">
        <f t="shared" si="1"/>
        <v>5871890.9194799997</v>
      </c>
      <c r="N44" s="13">
        <f t="shared" si="3"/>
        <v>5871890.9194799997</v>
      </c>
      <c r="O44" s="47">
        <f t="shared" si="2"/>
        <v>5.8718909194799993</v>
      </c>
    </row>
    <row r="45" spans="1:32">
      <c r="A45" s="25" t="s">
        <v>56</v>
      </c>
      <c r="B45" s="44">
        <f>0.3*655.957</f>
        <v>196.78709999999998</v>
      </c>
      <c r="C45" s="39">
        <v>0</v>
      </c>
      <c r="D45" s="45">
        <f t="shared" si="4"/>
        <v>0</v>
      </c>
      <c r="E45" s="44"/>
      <c r="F45" s="46"/>
      <c r="G45" s="45"/>
      <c r="H45" s="45">
        <f t="shared" si="1"/>
        <v>0</v>
      </c>
      <c r="N45" s="13">
        <f>B45*C45</f>
        <v>0</v>
      </c>
      <c r="O45" s="47">
        <f>N45/1000000</f>
        <v>0</v>
      </c>
    </row>
    <row r="46" spans="1:32">
      <c r="A46" s="25" t="s">
        <v>57</v>
      </c>
      <c r="B46" s="44">
        <v>125</v>
      </c>
      <c r="C46" s="39">
        <v>0</v>
      </c>
      <c r="D46" s="45">
        <f t="shared" si="4"/>
        <v>0</v>
      </c>
      <c r="E46" s="44">
        <v>125</v>
      </c>
      <c r="F46" s="46"/>
      <c r="G46" s="45"/>
      <c r="H46" s="45">
        <f t="shared" si="1"/>
        <v>0</v>
      </c>
      <c r="K46" s="48"/>
      <c r="L46" s="48"/>
      <c r="O46" s="47"/>
    </row>
    <row r="47" spans="1:32">
      <c r="A47" s="25" t="s">
        <v>58</v>
      </c>
      <c r="B47" s="44">
        <v>45.76</v>
      </c>
      <c r="C47" s="39">
        <f>+ICT!D19-K47</f>
        <v>185860.16700000002</v>
      </c>
      <c r="D47" s="45">
        <f>(C47*B47)+(J47*K47)</f>
        <v>8813798.1549200006</v>
      </c>
      <c r="E47" s="44">
        <v>45.76</v>
      </c>
      <c r="F47" s="46"/>
      <c r="G47" s="45">
        <v>0</v>
      </c>
      <c r="H47" s="45">
        <f>+D47-G47</f>
        <v>8813798.1549200006</v>
      </c>
      <c r="J47" s="12">
        <v>11</v>
      </c>
      <c r="K47" s="48">
        <f>+MTC!Y33</f>
        <v>28076.082999999999</v>
      </c>
      <c r="L47" s="48">
        <f>+MTC!Y34</f>
        <v>28564.400000000001</v>
      </c>
      <c r="N47" s="13">
        <f>B47*C47</f>
        <v>8504961.2419199999</v>
      </c>
      <c r="O47" s="47">
        <f>N47/1000000</f>
        <v>8.5049612419200002</v>
      </c>
    </row>
    <row r="48" spans="1:32">
      <c r="A48" s="25" t="s">
        <v>59</v>
      </c>
      <c r="B48" s="44">
        <v>130</v>
      </c>
      <c r="C48" s="39">
        <f>ICT!D20</f>
        <v>4864.2</v>
      </c>
      <c r="D48" s="45">
        <f t="shared" si="4"/>
        <v>632346</v>
      </c>
      <c r="E48" s="44">
        <v>130</v>
      </c>
      <c r="F48" s="46">
        <f>+ICT!D98+ICT!D123</f>
        <v>14482.166666666666</v>
      </c>
      <c r="G48" s="45">
        <f>E48*F48</f>
        <v>1882681.6666666665</v>
      </c>
      <c r="H48" s="45">
        <f>+D48-G48</f>
        <v>-1250335.6666666665</v>
      </c>
      <c r="K48" s="48"/>
      <c r="L48" s="48"/>
      <c r="N48" s="13">
        <f>B48*C48</f>
        <v>632346</v>
      </c>
      <c r="O48" s="47">
        <f>N48/1000000</f>
        <v>0.63234599999999996</v>
      </c>
    </row>
    <row r="49" spans="1:30">
      <c r="A49" s="25" t="s">
        <v>60</v>
      </c>
      <c r="B49" s="44">
        <v>50</v>
      </c>
      <c r="C49" s="39">
        <f>ICT!D11</f>
        <v>1168.7833333333333</v>
      </c>
      <c r="D49" s="45">
        <v>326800</v>
      </c>
      <c r="E49" s="44">
        <v>50</v>
      </c>
      <c r="F49" s="46">
        <f>+ICT!D115+ICT!G94</f>
        <v>1361.0833333333333</v>
      </c>
      <c r="G49" s="45">
        <v>326800</v>
      </c>
      <c r="H49" s="45">
        <f>+D49-G49</f>
        <v>0</v>
      </c>
      <c r="J49" s="12">
        <v>15</v>
      </c>
      <c r="K49" s="48">
        <f>+MTC!Y30</f>
        <v>33.683</v>
      </c>
      <c r="L49" s="48">
        <f>+MTC!Y31</f>
        <v>1065.433</v>
      </c>
      <c r="N49" s="13">
        <f>B49*C49</f>
        <v>58439.166666666664</v>
      </c>
      <c r="O49" s="47">
        <f>N49/1000000</f>
        <v>5.8439166666666667E-2</v>
      </c>
    </row>
    <row r="50" spans="1:30">
      <c r="A50" s="49" t="s">
        <v>61</v>
      </c>
      <c r="B50" s="44">
        <f>0.3*655.957</f>
        <v>196.78709999999998</v>
      </c>
      <c r="C50" s="50">
        <f>ICT!D14+ICT!D57</f>
        <v>268534.48333333334</v>
      </c>
      <c r="D50" s="51">
        <f>(C50*B50)+(B56*C56)+(B57*C57)+(B58*C58)+(B59*C59)+(B60*C60)+(B61*C61)+(B62*C62)+(B63*C63)+(B64*C64)</f>
        <v>57143392.820719056</v>
      </c>
      <c r="E50" s="44"/>
      <c r="F50" s="52">
        <f>+ICT!D92+ICT!D117+ICT!D92</f>
        <v>838114.41666666663</v>
      </c>
      <c r="G50" s="51">
        <f>+(ICT!B117+ICT!B92+ICT!B158)*655.957</f>
        <v>99134927.561155349</v>
      </c>
      <c r="H50" s="51">
        <f t="shared" si="1"/>
        <v>-41991534.740436293</v>
      </c>
      <c r="K50" s="53"/>
      <c r="L50" s="53"/>
      <c r="N50" s="13">
        <f>B50*C50</f>
        <v>52844122.225164995</v>
      </c>
      <c r="O50" s="47">
        <f>D50/1000000</f>
        <v>57.143392820719058</v>
      </c>
      <c r="T50" s="28"/>
    </row>
    <row r="51" spans="1:30">
      <c r="A51" s="49" t="s">
        <v>62</v>
      </c>
      <c r="B51" s="44">
        <v>45.76</v>
      </c>
      <c r="C51" s="50">
        <f>ICT!D17-K51</f>
        <v>236134.41666666663</v>
      </c>
      <c r="D51" s="51">
        <f>(B51*C51)+(K51*J51)</f>
        <v>15751870.906666664</v>
      </c>
      <c r="E51" s="44">
        <v>45.76</v>
      </c>
      <c r="F51" s="52">
        <f>+ICT!D95+ICT!D120-L51</f>
        <v>247248.59966666671</v>
      </c>
      <c r="G51" s="51">
        <f>(E51*F51)+(L51*J51)</f>
        <v>15556248.590746667</v>
      </c>
      <c r="H51" s="51">
        <f t="shared" si="1"/>
        <v>195622.31591999717</v>
      </c>
      <c r="J51" s="12">
        <v>10</v>
      </c>
      <c r="K51" s="53">
        <f>+MTC!Y36</f>
        <v>494636</v>
      </c>
      <c r="L51" s="53">
        <f>+MTC!Y37</f>
        <v>424215.26699999999</v>
      </c>
      <c r="N51" s="13">
        <f t="shared" si="3"/>
        <v>10805510.906666664</v>
      </c>
      <c r="O51" s="47">
        <f t="shared" si="2"/>
        <v>10.805510906666665</v>
      </c>
      <c r="T51" s="28">
        <f>C51/'[2]NAT+INT'!$C$29-1</f>
        <v>-0.62806448011342009</v>
      </c>
    </row>
    <row r="52" spans="1:30" ht="13.5" customHeight="1">
      <c r="A52" s="49" t="s">
        <v>63</v>
      </c>
      <c r="B52" s="44">
        <v>75</v>
      </c>
      <c r="C52" s="50">
        <v>0</v>
      </c>
      <c r="D52" s="51">
        <f t="shared" ref="D52:D55" si="5">C52*B52</f>
        <v>0</v>
      </c>
      <c r="E52" s="44">
        <v>150</v>
      </c>
      <c r="F52" s="52"/>
      <c r="G52" s="51"/>
      <c r="H52" s="51">
        <f t="shared" si="1"/>
        <v>0</v>
      </c>
      <c r="N52" s="13">
        <f t="shared" si="3"/>
        <v>0</v>
      </c>
      <c r="O52" s="47">
        <f t="shared" si="2"/>
        <v>0</v>
      </c>
    </row>
    <row r="53" spans="1:30" ht="14.45" customHeight="1">
      <c r="A53" s="49" t="s">
        <v>64</v>
      </c>
      <c r="B53" s="44">
        <v>50.85</v>
      </c>
      <c r="C53" s="50">
        <f>+ICT!D16</f>
        <v>85807.05</v>
      </c>
      <c r="D53" s="51">
        <f>(C53*B53)+(J53*K53)</f>
        <v>4393552.2375000007</v>
      </c>
      <c r="E53" s="44">
        <v>50.85</v>
      </c>
      <c r="F53" s="52">
        <f>+ICT!D119+ICT!D102</f>
        <v>57744.616666666661</v>
      </c>
      <c r="G53" s="51">
        <f>(E53*F53)+(L53*J53)</f>
        <v>3344086.7624999997</v>
      </c>
      <c r="H53" s="51">
        <f t="shared" si="1"/>
        <v>1049465.475000001</v>
      </c>
      <c r="J53" s="12">
        <v>15</v>
      </c>
      <c r="K53" s="13">
        <f>+MTC!Y24</f>
        <v>2017.5830000000001</v>
      </c>
      <c r="L53" s="13">
        <f>+MTC!Y25</f>
        <v>27184.866999999998</v>
      </c>
      <c r="N53" s="13">
        <f t="shared" si="3"/>
        <v>4363288.4925000006</v>
      </c>
      <c r="O53" s="47">
        <f t="shared" si="2"/>
        <v>4.3632884925000006</v>
      </c>
      <c r="U53" s="14"/>
    </row>
    <row r="54" spans="1:30">
      <c r="A54" s="49" t="s">
        <v>65</v>
      </c>
      <c r="B54" s="44">
        <v>88.95</v>
      </c>
      <c r="C54" s="50">
        <f>+ICT!D18</f>
        <v>63043.05</v>
      </c>
      <c r="D54" s="51">
        <f>6000000+(K54*J54)</f>
        <v>6006549.75</v>
      </c>
      <c r="E54" s="44"/>
      <c r="F54" s="52">
        <f>+ICT!D121+ICT!D96</f>
        <v>27364.45</v>
      </c>
      <c r="G54" s="51">
        <f>5250000+(L54*J54)</f>
        <v>5374193.5049999999</v>
      </c>
      <c r="H54" s="51">
        <f>+D54-G54</f>
        <v>632356.24500000011</v>
      </c>
      <c r="J54" s="12">
        <v>15</v>
      </c>
      <c r="K54" s="13">
        <f>+MTC!Y21</f>
        <v>436.65</v>
      </c>
      <c r="L54" s="13">
        <f>+MTC!Y22</f>
        <v>8279.5669999999991</v>
      </c>
      <c r="N54" s="13">
        <f>B54*C54</f>
        <v>5607679.2975000003</v>
      </c>
      <c r="O54" s="47">
        <f>N54/1000000</f>
        <v>5.6076792975000007</v>
      </c>
      <c r="U54" s="12">
        <f>C54-K54</f>
        <v>62606.400000000001</v>
      </c>
      <c r="V54" s="11">
        <v>70000</v>
      </c>
      <c r="W54" s="54">
        <f>U54-V54</f>
        <v>-7393.5999999999985</v>
      </c>
      <c r="Y54" s="55">
        <f>F54-L54</f>
        <v>19084.883000000002</v>
      </c>
    </row>
    <row r="55" spans="1:30">
      <c r="A55" s="49" t="s">
        <v>66</v>
      </c>
      <c r="B55" s="44">
        <v>126</v>
      </c>
      <c r="C55" s="50">
        <f>+ICT!D13</f>
        <v>11950.95</v>
      </c>
      <c r="D55" s="51">
        <f t="shared" si="5"/>
        <v>1505819.7000000002</v>
      </c>
      <c r="E55" s="44">
        <v>159</v>
      </c>
      <c r="F55" s="52">
        <f>+ICT!D116</f>
        <v>2067.5500000000002</v>
      </c>
      <c r="G55" s="51">
        <f>E55*F55</f>
        <v>328740.45</v>
      </c>
      <c r="H55" s="51">
        <f>+D55-G55</f>
        <v>1177079.2500000002</v>
      </c>
      <c r="N55" s="13">
        <f>B55*C55</f>
        <v>1505819.7000000002</v>
      </c>
      <c r="O55" s="47">
        <f>N55/1000000</f>
        <v>1.5058197000000002</v>
      </c>
      <c r="W55" s="54"/>
      <c r="Y55" s="55"/>
    </row>
    <row r="56" spans="1:30">
      <c r="A56" s="56" t="s">
        <v>67</v>
      </c>
      <c r="B56" s="57">
        <v>50.85</v>
      </c>
      <c r="C56" s="58">
        <f>+ICT!D58</f>
        <v>59809.85</v>
      </c>
      <c r="D56" s="59"/>
      <c r="E56" s="57"/>
      <c r="F56" s="60">
        <f>+ICT!K156</f>
        <v>0</v>
      </c>
      <c r="G56" s="59"/>
      <c r="H56" s="59">
        <f t="shared" si="1"/>
        <v>0</v>
      </c>
      <c r="N56" s="13">
        <f t="shared" si="3"/>
        <v>3041330.8725000001</v>
      </c>
      <c r="O56" s="47"/>
      <c r="P56" s="61" t="e">
        <f>(C56+#REF!)*B56/1000000</f>
        <v>#REF!</v>
      </c>
      <c r="Q56" s="14" t="e">
        <f>#REF!*B56/1000000</f>
        <v>#REF!</v>
      </c>
      <c r="R56" s="61" t="e">
        <f>P56-Q56</f>
        <v>#REF!</v>
      </c>
    </row>
    <row r="57" spans="1:30">
      <c r="A57" s="56" t="s">
        <v>68</v>
      </c>
      <c r="B57" s="57">
        <v>128.96114321983407</v>
      </c>
      <c r="C57" s="58">
        <f>+ICT!D53</f>
        <v>3.6666666666666665</v>
      </c>
      <c r="D57" s="59"/>
      <c r="E57" s="57"/>
      <c r="F57" s="60">
        <v>0</v>
      </c>
      <c r="G57" s="59"/>
      <c r="H57" s="59">
        <f t="shared" si="1"/>
        <v>0</v>
      </c>
      <c r="N57" s="13">
        <f t="shared" si="3"/>
        <v>472.85752513939156</v>
      </c>
      <c r="O57" s="47"/>
      <c r="V57" s="11">
        <f>+D54/C54</f>
        <v>95.276953605512418</v>
      </c>
    </row>
    <row r="58" spans="1:30">
      <c r="A58" s="56" t="s">
        <v>69</v>
      </c>
      <c r="B58" s="57">
        <v>76.287802400771668</v>
      </c>
      <c r="C58" s="58">
        <f>+ICT!D62</f>
        <v>7086.45</v>
      </c>
      <c r="D58" s="59"/>
      <c r="E58" s="57"/>
      <c r="F58" s="60">
        <f>+ICT!D161</f>
        <v>17642.650000000001</v>
      </c>
      <c r="G58" s="59"/>
      <c r="H58" s="59">
        <v>0</v>
      </c>
      <c r="N58" s="13">
        <f t="shared" si="3"/>
        <v>540609.69732294837</v>
      </c>
      <c r="O58" s="47"/>
    </row>
    <row r="59" spans="1:30">
      <c r="A59" s="56" t="s">
        <v>70</v>
      </c>
      <c r="B59" s="57">
        <v>75</v>
      </c>
      <c r="C59" s="58">
        <v>0</v>
      </c>
      <c r="D59" s="59"/>
      <c r="E59" s="57"/>
      <c r="F59" s="60">
        <f>+ICT!D160</f>
        <v>85431.78333333334</v>
      </c>
      <c r="G59" s="59"/>
      <c r="H59" s="59">
        <v>0</v>
      </c>
      <c r="N59" s="13">
        <f t="shared" si="3"/>
        <v>0</v>
      </c>
      <c r="O59" s="47"/>
      <c r="AC59" s="55">
        <f>F59*176</f>
        <v>15035993.866666667</v>
      </c>
      <c r="AD59" s="55">
        <f>F59*100</f>
        <v>8543178.333333334</v>
      </c>
    </row>
    <row r="60" spans="1:30">
      <c r="A60" s="56" t="s">
        <v>71</v>
      </c>
      <c r="B60" s="57">
        <v>73.991949599999998</v>
      </c>
      <c r="C60" s="58">
        <f>+ICT!D56</f>
        <v>145.28333333333333</v>
      </c>
      <c r="D60" s="59"/>
      <c r="E60" s="57"/>
      <c r="F60" s="60">
        <f>+ICT!D159</f>
        <v>32.700000000000003</v>
      </c>
      <c r="G60" s="59"/>
      <c r="H60" s="59">
        <f t="shared" si="1"/>
        <v>0</v>
      </c>
      <c r="O60" s="47">
        <f t="shared" si="2"/>
        <v>0</v>
      </c>
    </row>
    <row r="61" spans="1:30">
      <c r="A61" s="56" t="s">
        <v>72</v>
      </c>
      <c r="B61" s="57">
        <v>144.31054067722175</v>
      </c>
      <c r="C61" s="58">
        <f>+ICT!D55</f>
        <v>129.05000000000001</v>
      </c>
      <c r="D61" s="59"/>
      <c r="E61" s="57"/>
      <c r="F61" s="60">
        <f>+ICT!F157</f>
        <v>0</v>
      </c>
      <c r="G61" s="59"/>
      <c r="H61" s="59">
        <f t="shared" si="1"/>
        <v>0</v>
      </c>
      <c r="O61" s="47"/>
    </row>
    <row r="62" spans="1:30">
      <c r="A62" s="56" t="s">
        <v>73</v>
      </c>
      <c r="B62" s="57">
        <v>88.947769199999996</v>
      </c>
      <c r="C62" s="58">
        <f>+ICT!D61</f>
        <v>29.883333333333333</v>
      </c>
      <c r="D62" s="59"/>
      <c r="E62" s="57"/>
      <c r="F62" s="60">
        <f>+ICT!F160</f>
        <v>0</v>
      </c>
      <c r="G62" s="59"/>
      <c r="H62" s="59">
        <f t="shared" si="1"/>
        <v>0</v>
      </c>
      <c r="O62" s="47"/>
    </row>
    <row r="63" spans="1:30">
      <c r="A63" s="56" t="s">
        <v>74</v>
      </c>
      <c r="B63" s="57">
        <v>45.76</v>
      </c>
      <c r="C63" s="58">
        <f>+ICT!D59</f>
        <v>14449.85</v>
      </c>
      <c r="D63" s="59"/>
      <c r="E63" s="57"/>
      <c r="F63" s="60">
        <f>+ICT!G158</f>
        <v>0</v>
      </c>
      <c r="G63" s="59"/>
      <c r="H63" s="59">
        <f t="shared" si="1"/>
        <v>0</v>
      </c>
      <c r="O63" s="47"/>
    </row>
    <row r="64" spans="1:30">
      <c r="A64" s="56" t="s">
        <v>75</v>
      </c>
      <c r="B64" s="57">
        <v>76.287805250269571</v>
      </c>
      <c r="C64" s="58">
        <f>+ICT!D63</f>
        <v>309.36666666666667</v>
      </c>
      <c r="D64" s="59"/>
      <c r="E64" s="57"/>
      <c r="F64" s="60">
        <f>+ICT!D162</f>
        <v>195.8</v>
      </c>
      <c r="G64" s="59"/>
      <c r="H64" s="59">
        <f t="shared" si="1"/>
        <v>0</v>
      </c>
      <c r="O64" s="47"/>
    </row>
    <row r="65" spans="1:21">
      <c r="A65" s="62" t="s">
        <v>76</v>
      </c>
      <c r="B65" s="63">
        <v>50</v>
      </c>
      <c r="C65" s="64"/>
      <c r="D65" s="65"/>
      <c r="E65" s="63"/>
      <c r="F65" s="66">
        <f>+ICT!D163</f>
        <v>101910.35</v>
      </c>
      <c r="G65" s="65"/>
      <c r="H65" s="65">
        <f t="shared" si="1"/>
        <v>0</v>
      </c>
      <c r="O65" s="47"/>
    </row>
    <row r="66" spans="1:21">
      <c r="A66" s="62" t="s">
        <v>77</v>
      </c>
      <c r="B66" s="63">
        <v>95</v>
      </c>
      <c r="C66" s="64"/>
      <c r="D66" s="65"/>
      <c r="E66" s="63"/>
      <c r="F66" s="66"/>
      <c r="G66" s="65"/>
      <c r="H66" s="65">
        <f t="shared" si="1"/>
        <v>0</v>
      </c>
      <c r="O66" s="47"/>
    </row>
    <row r="67" spans="1:21">
      <c r="A67" s="62" t="s">
        <v>78</v>
      </c>
      <c r="B67" s="63">
        <v>122.38</v>
      </c>
      <c r="C67" s="64"/>
      <c r="D67" s="65"/>
      <c r="E67" s="63"/>
      <c r="F67" s="66"/>
      <c r="G67" s="65"/>
      <c r="H67" s="65">
        <f t="shared" si="1"/>
        <v>0</v>
      </c>
      <c r="O67" s="47"/>
    </row>
    <row r="68" spans="1:21">
      <c r="A68" s="62" t="s">
        <v>79</v>
      </c>
      <c r="B68" s="63">
        <f>0.08*655.957</f>
        <v>52.476559999999999</v>
      </c>
      <c r="C68" s="64">
        <v>9900</v>
      </c>
      <c r="D68" s="65"/>
      <c r="E68" s="63"/>
      <c r="F68" s="66"/>
      <c r="G68" s="65"/>
      <c r="H68" s="65">
        <f t="shared" si="1"/>
        <v>0</v>
      </c>
      <c r="O68" s="47"/>
    </row>
    <row r="69" spans="1:21">
      <c r="A69" s="92" t="s">
        <v>80</v>
      </c>
      <c r="B69" s="93">
        <v>-61.58</v>
      </c>
      <c r="C69" s="94">
        <f>+K69</f>
        <v>631.54999999999995</v>
      </c>
      <c r="D69" s="95">
        <f>+B69*C69</f>
        <v>-38890.848999999995</v>
      </c>
      <c r="E69" s="63">
        <v>61.58</v>
      </c>
      <c r="F69" s="66">
        <f>L69</f>
        <v>11039.333000000001</v>
      </c>
      <c r="G69" s="65">
        <f>+E69*F69</f>
        <v>679802.12614000007</v>
      </c>
      <c r="H69" s="65">
        <f t="shared" si="1"/>
        <v>-718692.97514000011</v>
      </c>
      <c r="K69" s="13">
        <f>+MTC!Y27</f>
        <v>631.54999999999995</v>
      </c>
      <c r="L69" s="13">
        <f>+MTC!Y28</f>
        <v>11039.333000000001</v>
      </c>
      <c r="O69" s="47"/>
    </row>
    <row r="70" spans="1:21" s="20" customFormat="1">
      <c r="A70" s="29" t="s">
        <v>81</v>
      </c>
      <c r="B70" s="67"/>
      <c r="C70" s="40">
        <f>SUM(C41:C69)</f>
        <v>1035157.6003333334</v>
      </c>
      <c r="D70" s="40">
        <f>SUM(D41:D69)</f>
        <v>112370620.99661072</v>
      </c>
      <c r="E70" s="67"/>
      <c r="F70" s="41">
        <f>SUM(F41:F68)</f>
        <v>1620424.9663333334</v>
      </c>
      <c r="G70" s="40">
        <f>SUM(G41:G69)</f>
        <v>155128315.20109981</v>
      </c>
      <c r="H70" s="41">
        <f>SUM(H41:H66)</f>
        <v>-42039001.229349129</v>
      </c>
      <c r="J70" s="22"/>
      <c r="K70" s="23">
        <f>SUM(K41:K68)</f>
        <v>525199.99900000007</v>
      </c>
      <c r="L70" s="23">
        <f>SUM(L41:L68)</f>
        <v>489309.53399999993</v>
      </c>
      <c r="M70" s="23"/>
      <c r="N70" s="23"/>
      <c r="O70" s="68">
        <f>SUM(O41:O60)</f>
        <v>105.40728870177739</v>
      </c>
      <c r="Q70" s="24"/>
      <c r="U70" s="22"/>
    </row>
    <row r="71" spans="1:21">
      <c r="C71" s="69">
        <f>+D70/C70</f>
        <v>108.5541186776062</v>
      </c>
      <c r="F71" s="70">
        <f>+G70/F70</f>
        <v>95.733106082734082</v>
      </c>
    </row>
    <row r="73" spans="1:21">
      <c r="A73" s="198" t="s">
        <v>82</v>
      </c>
      <c r="B73" s="198"/>
      <c r="C73" s="198"/>
      <c r="D73" s="198"/>
      <c r="E73" s="198"/>
      <c r="F73" s="198"/>
      <c r="G73" s="198"/>
      <c r="H73" s="198"/>
    </row>
    <row r="74" spans="1:21">
      <c r="A74" s="71"/>
      <c r="B74" s="202" t="s">
        <v>24</v>
      </c>
      <c r="C74" s="203"/>
      <c r="D74" s="204"/>
      <c r="E74" s="202" t="s">
        <v>25</v>
      </c>
      <c r="F74" s="203"/>
      <c r="G74" s="204"/>
      <c r="H74" s="71"/>
    </row>
    <row r="75" spans="1:21">
      <c r="A75" s="72"/>
      <c r="B75" s="73" t="s">
        <v>27</v>
      </c>
      <c r="C75" s="73" t="s">
        <v>28</v>
      </c>
      <c r="D75" s="71" t="s">
        <v>29</v>
      </c>
      <c r="E75" s="71" t="s">
        <v>27</v>
      </c>
      <c r="F75" s="71" t="s">
        <v>28</v>
      </c>
      <c r="G75" s="71" t="s">
        <v>30</v>
      </c>
      <c r="H75" s="71" t="s">
        <v>31</v>
      </c>
    </row>
    <row r="76" spans="1:21">
      <c r="A76" s="25" t="s">
        <v>83</v>
      </c>
      <c r="B76" s="74">
        <f>0.08*655.957</f>
        <v>52.476559999999999</v>
      </c>
      <c r="C76" s="26">
        <f>+'SMS A2P'!B33</f>
        <v>446367</v>
      </c>
      <c r="D76" s="27">
        <f>+'SMS A2P'!D33</f>
        <v>26322872.214720003</v>
      </c>
      <c r="E76" s="74"/>
      <c r="F76" s="27"/>
      <c r="G76" s="27">
        <v>0</v>
      </c>
      <c r="H76" s="27">
        <f>+D76-G76</f>
        <v>26322872.214720003</v>
      </c>
    </row>
    <row r="77" spans="1:21">
      <c r="A77" s="25" t="s">
        <v>84</v>
      </c>
      <c r="B77" s="74">
        <f>0.08*655.957</f>
        <v>52.476559999999999</v>
      </c>
      <c r="C77" s="26">
        <f>ICT!C41</f>
        <v>329</v>
      </c>
      <c r="D77" s="27">
        <f>+B77*C77</f>
        <v>17264.788239999998</v>
      </c>
      <c r="E77" s="44">
        <f>0.06*655.957</f>
        <v>39.357419999999998</v>
      </c>
      <c r="F77" s="27">
        <f>+ICT!C146</f>
        <v>26829</v>
      </c>
      <c r="G77" s="75">
        <f>+E77*F77</f>
        <v>1055920.2211799999</v>
      </c>
      <c r="H77" s="27">
        <f>+D77-G77</f>
        <v>-1038655.4329399999</v>
      </c>
    </row>
    <row r="78" spans="1:21" s="76" customFormat="1">
      <c r="A78" s="25" t="s">
        <v>85</v>
      </c>
      <c r="B78" s="74">
        <f>0.08*655.957</f>
        <v>52.476559999999999</v>
      </c>
      <c r="C78" s="26">
        <f>'SMS A2P'!F33</f>
        <v>83778</v>
      </c>
      <c r="D78" s="27">
        <f>84343790.68496-D79</f>
        <v>73018790.684959993</v>
      </c>
      <c r="E78" s="44">
        <f>0.06*655.957</f>
        <v>39.357419999999998</v>
      </c>
      <c r="F78" s="27">
        <f>+ICT!C147</f>
        <v>35463</v>
      </c>
      <c r="G78" s="75">
        <f>+E78*F78</f>
        <v>1395732.1854599998</v>
      </c>
      <c r="H78" s="27">
        <f>+D78-G78</f>
        <v>71623058.499499992</v>
      </c>
      <c r="J78" s="77"/>
      <c r="K78" s="78"/>
      <c r="L78" s="78"/>
      <c r="M78" s="78"/>
      <c r="N78" s="78"/>
      <c r="Q78" s="79"/>
      <c r="U78" s="77"/>
    </row>
    <row r="79" spans="1:21" s="76" customFormat="1">
      <c r="A79" s="25" t="s">
        <v>86</v>
      </c>
      <c r="B79" s="74">
        <v>1.51</v>
      </c>
      <c r="C79" s="26">
        <v>7500000</v>
      </c>
      <c r="D79" s="27">
        <f>+B79*C79</f>
        <v>11325000</v>
      </c>
      <c r="E79" s="44"/>
      <c r="F79" s="27"/>
      <c r="G79" s="75"/>
      <c r="H79" s="27"/>
      <c r="J79" s="77"/>
      <c r="K79" s="78"/>
      <c r="L79" s="78"/>
      <c r="M79" s="78"/>
      <c r="N79" s="78"/>
      <c r="Q79" s="79"/>
      <c r="U79" s="77"/>
    </row>
    <row r="80" spans="1:21" s="20" customFormat="1">
      <c r="A80" s="29" t="s">
        <v>81</v>
      </c>
      <c r="B80" s="80"/>
      <c r="C80" s="31">
        <f>C76+C77+C78</f>
        <v>530474</v>
      </c>
      <c r="D80" s="32">
        <f>SUM(D76:D79)</f>
        <v>110683927.68792</v>
      </c>
      <c r="E80" s="80"/>
      <c r="F80" s="32">
        <f>SUM(F77:F78)</f>
        <v>62292</v>
      </c>
      <c r="G80" s="32">
        <f>SUM(G76:G78)</f>
        <v>2451652.4066399997</v>
      </c>
      <c r="H80" s="32">
        <f>SUM(H76:H78)</f>
        <v>96907275.281279996</v>
      </c>
      <c r="J80" s="22"/>
      <c r="K80" s="23"/>
      <c r="L80" s="23"/>
      <c r="M80" s="23"/>
      <c r="N80" s="23"/>
      <c r="Q80" s="24"/>
      <c r="U80" s="22"/>
    </row>
    <row r="81" spans="1:34">
      <c r="D81" s="81">
        <f>+D80/1000000</f>
        <v>110.68392768792</v>
      </c>
    </row>
    <row r="82" spans="1:34">
      <c r="E82" s="70">
        <f>C80+F80</f>
        <v>592766</v>
      </c>
    </row>
    <row r="83" spans="1:34" s="10" customFormat="1">
      <c r="A83" s="20"/>
      <c r="B83" s="199" t="s">
        <v>87</v>
      </c>
      <c r="C83" s="199"/>
      <c r="D83" s="199"/>
      <c r="E83" s="199" t="s">
        <v>88</v>
      </c>
      <c r="F83" s="199"/>
      <c r="G83" s="199"/>
      <c r="I83" s="11"/>
      <c r="J83" s="12"/>
      <c r="K83" s="13"/>
      <c r="L83" s="13"/>
      <c r="M83" s="13"/>
      <c r="N83" s="13"/>
      <c r="O83" s="11"/>
      <c r="P83" s="11"/>
      <c r="Q83" s="14"/>
      <c r="R83" s="11"/>
      <c r="S83" s="11"/>
      <c r="T83" s="11"/>
      <c r="U83" s="82"/>
    </row>
    <row r="84" spans="1:34" s="10" customFormat="1">
      <c r="A84" s="20"/>
      <c r="B84" s="73" t="s">
        <v>89</v>
      </c>
      <c r="C84" s="73" t="s">
        <v>90</v>
      </c>
      <c r="D84" s="73" t="s">
        <v>91</v>
      </c>
      <c r="E84" s="73" t="s">
        <v>89</v>
      </c>
      <c r="F84" s="73" t="s">
        <v>90</v>
      </c>
      <c r="G84" s="73" t="s">
        <v>30</v>
      </c>
      <c r="I84" s="11"/>
      <c r="J84" s="12"/>
      <c r="K84" s="13"/>
      <c r="L84" s="13"/>
      <c r="M84" s="13"/>
      <c r="N84" s="13"/>
      <c r="O84" s="11"/>
      <c r="P84" s="11"/>
      <c r="Q84" s="14"/>
      <c r="R84" s="11"/>
      <c r="S84" s="11"/>
      <c r="T84" s="11"/>
      <c r="U84" s="82"/>
      <c r="AF84" s="10">
        <f>170000</f>
        <v>170000</v>
      </c>
      <c r="AG84" s="10">
        <v>30</v>
      </c>
      <c r="AH84" s="10">
        <f>AF84*AG84</f>
        <v>5100000</v>
      </c>
    </row>
    <row r="85" spans="1:34" s="10" customFormat="1" ht="15" customHeight="1">
      <c r="A85" s="200" t="s">
        <v>92</v>
      </c>
      <c r="B85" s="83" t="s">
        <v>93</v>
      </c>
      <c r="C85" s="84">
        <f>'ROAMING IN '!BA202</f>
        <v>88479.432000000001</v>
      </c>
      <c r="D85" s="84">
        <f>'ROAMING IN '!BL202</f>
        <v>14436530.509</v>
      </c>
      <c r="E85" s="108" t="s">
        <v>93</v>
      </c>
      <c r="F85" s="84">
        <f>+'ROAMING OUT'!AM146</f>
        <v>66860.301000000007</v>
      </c>
      <c r="G85" s="84">
        <f>+'ROAMING OUT'!AX146</f>
        <v>6167112.0080000004</v>
      </c>
      <c r="I85" s="11"/>
      <c r="J85" s="12"/>
      <c r="K85" s="13"/>
      <c r="L85" s="13"/>
      <c r="M85" s="13"/>
      <c r="N85" s="13"/>
      <c r="O85" s="11"/>
      <c r="P85" s="11"/>
      <c r="Q85" s="14"/>
      <c r="R85" s="11"/>
      <c r="S85" s="11"/>
      <c r="T85" s="11"/>
      <c r="U85" s="82"/>
    </row>
    <row r="86" spans="1:34" s="10" customFormat="1" ht="15" customHeight="1">
      <c r="A86" s="200"/>
      <c r="B86" s="83" t="s">
        <v>94</v>
      </c>
      <c r="C86" s="84">
        <f>'ROAMING IN '!CC202</f>
        <v>612151.61499999999</v>
      </c>
      <c r="D86" s="84">
        <f>'ROAMING IN '!CN202</f>
        <v>746.15700000000004</v>
      </c>
      <c r="E86" s="108" t="s">
        <v>94</v>
      </c>
      <c r="F86" s="84">
        <f>+'ROAMING OUT'!BO146</f>
        <v>671839.78500000003</v>
      </c>
      <c r="G86" s="84">
        <f>+'ROAMING OUT'!BZ146</f>
        <v>12018.175999999999</v>
      </c>
      <c r="I86" s="11"/>
      <c r="J86" s="12"/>
      <c r="K86" s="13"/>
      <c r="L86" s="13"/>
      <c r="M86" s="13"/>
      <c r="N86" s="13"/>
      <c r="O86" s="11"/>
      <c r="P86" s="11"/>
      <c r="Q86" s="14"/>
      <c r="R86" s="11"/>
      <c r="S86" s="11"/>
      <c r="T86" s="11"/>
      <c r="U86" s="82"/>
    </row>
    <row r="87" spans="1:34">
      <c r="A87" s="200"/>
      <c r="B87" s="83" t="s">
        <v>95</v>
      </c>
      <c r="C87" s="84">
        <f>'ROAMING IN '!AL202</f>
        <v>28013</v>
      </c>
      <c r="D87" s="85">
        <f>'ROAMING IN '!AX202</f>
        <v>559908.52</v>
      </c>
      <c r="E87" s="108" t="s">
        <v>95</v>
      </c>
      <c r="F87" s="85">
        <f>+'ROAMING OUT'!X146</f>
        <v>2360</v>
      </c>
      <c r="G87" s="85">
        <f>+'ROAMING OUT'!AJ146</f>
        <v>189961.489</v>
      </c>
    </row>
    <row r="88" spans="1:34">
      <c r="A88" s="200"/>
      <c r="B88" s="83" t="s">
        <v>96</v>
      </c>
      <c r="C88" s="84">
        <f>('ROAMING IN '!O202+'ROAMING IN '!AC202)/1024</f>
        <v>4177043.3525390625</v>
      </c>
      <c r="D88" s="85">
        <f>+'ROAMING IN '!V202+'ROAMING IN '!AJ202</f>
        <v>49488563.542999998</v>
      </c>
      <c r="E88" s="108" t="s">
        <v>96</v>
      </c>
      <c r="F88" s="85">
        <f>+'ROAMING OUT'!O146/1024</f>
        <v>643850.6806640625</v>
      </c>
      <c r="G88" s="85">
        <f>+'ROAMING OUT'!V146</f>
        <v>8375327.4639999997</v>
      </c>
    </row>
    <row r="89" spans="1:34" s="15" customFormat="1">
      <c r="A89" s="200"/>
      <c r="B89" s="201" t="s">
        <v>97</v>
      </c>
      <c r="C89" s="201"/>
      <c r="D89" s="109">
        <f>+D85+D86+D87+D88</f>
        <v>64485748.728999995</v>
      </c>
      <c r="E89" s="201" t="s">
        <v>97</v>
      </c>
      <c r="F89" s="201"/>
      <c r="G89" s="109">
        <f>+G85+G86+G87+G88</f>
        <v>14744419.137</v>
      </c>
      <c r="H89" s="43"/>
      <c r="J89" s="16"/>
      <c r="K89" s="17"/>
      <c r="L89" s="17"/>
      <c r="M89" s="17"/>
      <c r="N89" s="17"/>
      <c r="Q89" s="18"/>
      <c r="U89" s="16"/>
    </row>
    <row r="91" spans="1:34">
      <c r="E91" s="195">
        <f>+C88+F88</f>
        <v>4820894.033203125</v>
      </c>
    </row>
    <row r="92" spans="1:34" s="88" customFormat="1">
      <c r="A92" s="20"/>
      <c r="B92" s="86"/>
      <c r="C92" s="86"/>
      <c r="D92" s="87">
        <f>+D70+D80+D89+G27</f>
        <v>636232356.10300457</v>
      </c>
      <c r="G92" s="87">
        <f>+G70+G80+G89</f>
        <v>172324386.7447398</v>
      </c>
      <c r="I92" s="20"/>
      <c r="J92" s="22"/>
      <c r="K92" s="23"/>
      <c r="L92" s="23"/>
      <c r="M92" s="23"/>
      <c r="N92" s="23"/>
      <c r="O92" s="20"/>
      <c r="P92" s="20"/>
      <c r="Q92" s="24"/>
      <c r="R92" s="20"/>
      <c r="S92" s="20"/>
      <c r="T92" s="20"/>
      <c r="U92" s="89"/>
    </row>
    <row r="95" spans="1:34" s="10" customFormat="1">
      <c r="A95" s="20"/>
      <c r="B95" s="43"/>
      <c r="C95" s="90"/>
      <c r="I95" s="11"/>
      <c r="J95" s="12"/>
      <c r="K95" s="13"/>
      <c r="L95" s="13"/>
      <c r="M95" s="13"/>
      <c r="N95" s="13"/>
      <c r="O95" s="11"/>
      <c r="P95" s="11"/>
      <c r="Q95" s="14"/>
      <c r="R95" s="11"/>
      <c r="S95" s="11"/>
      <c r="T95" s="11"/>
      <c r="U95" s="82"/>
    </row>
    <row r="96" spans="1:34">
      <c r="D96" s="91">
        <f>D70+D80</f>
        <v>223054548.68453074</v>
      </c>
    </row>
    <row r="98" spans="1:22" s="10" customFormat="1">
      <c r="A98" s="20"/>
      <c r="B98" s="43"/>
      <c r="C98" s="43"/>
      <c r="D98" s="70"/>
      <c r="I98" s="11"/>
      <c r="J98" s="12"/>
      <c r="K98" s="13"/>
      <c r="L98" s="13"/>
      <c r="M98" s="13"/>
      <c r="N98" s="13"/>
      <c r="O98" s="11"/>
      <c r="P98" s="11"/>
      <c r="Q98" s="14"/>
      <c r="R98" s="11"/>
      <c r="S98" s="11"/>
      <c r="T98" s="11"/>
      <c r="U98" s="12"/>
      <c r="V98" s="11"/>
    </row>
  </sheetData>
  <mergeCells count="27">
    <mergeCell ref="A85:A89"/>
    <mergeCell ref="B89:C89"/>
    <mergeCell ref="E89:F89"/>
    <mergeCell ref="A22:H22"/>
    <mergeCell ref="A28:H28"/>
    <mergeCell ref="A38:H38"/>
    <mergeCell ref="B39:D39"/>
    <mergeCell ref="E39:G39"/>
    <mergeCell ref="A73:H73"/>
    <mergeCell ref="B74:D74"/>
    <mergeCell ref="E74:G74"/>
    <mergeCell ref="B83:D83"/>
    <mergeCell ref="E83:G83"/>
    <mergeCell ref="K39:L39"/>
    <mergeCell ref="B10:D10"/>
    <mergeCell ref="E10:G10"/>
    <mergeCell ref="B16:D16"/>
    <mergeCell ref="E16:G16"/>
    <mergeCell ref="B21:D21"/>
    <mergeCell ref="E21:G21"/>
    <mergeCell ref="B9:D9"/>
    <mergeCell ref="E9:G9"/>
    <mergeCell ref="A1:A4"/>
    <mergeCell ref="B1:E4"/>
    <mergeCell ref="A5:E5"/>
    <mergeCell ref="A7:H7"/>
    <mergeCell ref="A8:H8"/>
  </mergeCells>
  <pageMargins left="0.7" right="0.7" top="0.75" bottom="0.75" header="0.3" footer="0.3"/>
  <pageSetup paperSize="9" scale="48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8B7A-3A65-482C-93A6-896CFE10E655}">
  <dimension ref="A1:H166"/>
  <sheetViews>
    <sheetView topLeftCell="A133" workbookViewId="0">
      <selection activeCell="D133" activeCellId="1" sqref="D166 D133"/>
    </sheetView>
  </sheetViews>
  <sheetFormatPr defaultColWidth="11.42578125" defaultRowHeight="13.9"/>
  <cols>
    <col min="1" max="1" width="23.5703125" bestFit="1" customWidth="1"/>
    <col min="2" max="2" width="13" style="97" bestFit="1" customWidth="1"/>
    <col min="3" max="3" width="19.28515625" style="97" bestFit="1" customWidth="1"/>
    <col min="4" max="4" width="16.7109375" style="97" bestFit="1" customWidth="1"/>
    <col min="5" max="8" width="11.140625" style="97"/>
  </cols>
  <sheetData>
    <row r="1" spans="1:4">
      <c r="A1" t="s">
        <v>98</v>
      </c>
      <c r="B1" s="96">
        <v>110209895.31238</v>
      </c>
      <c r="C1" s="96">
        <v>17220504359</v>
      </c>
    </row>
    <row r="2" spans="1:4">
      <c r="B2" s="96"/>
      <c r="C2" s="96"/>
    </row>
    <row r="3" spans="1:4">
      <c r="A3" t="s">
        <v>99</v>
      </c>
      <c r="B3" s="96">
        <v>0</v>
      </c>
      <c r="C3" s="96">
        <v>117257</v>
      </c>
      <c r="D3" s="97">
        <f>+C3/60</f>
        <v>1954.2833333333333</v>
      </c>
    </row>
    <row r="4" spans="1:4">
      <c r="A4" t="s">
        <v>100</v>
      </c>
      <c r="B4" s="96">
        <v>0</v>
      </c>
      <c r="C4" s="96">
        <v>117257</v>
      </c>
      <c r="D4" s="97">
        <f t="shared" ref="D4:D20" si="0">+C4/60</f>
        <v>1954.2833333333333</v>
      </c>
    </row>
    <row r="5" spans="1:4">
      <c r="A5" t="s">
        <v>101</v>
      </c>
      <c r="B5" s="96">
        <v>174975</v>
      </c>
      <c r="C5" s="96">
        <v>132069</v>
      </c>
      <c r="D5" s="97">
        <f t="shared" si="0"/>
        <v>2201.15</v>
      </c>
    </row>
    <row r="6" spans="1:4">
      <c r="B6" s="96"/>
      <c r="C6" s="96"/>
      <c r="D6" s="97">
        <f t="shared" si="0"/>
        <v>0</v>
      </c>
    </row>
    <row r="7" spans="1:4">
      <c r="A7" t="s">
        <v>102</v>
      </c>
      <c r="B7" s="96">
        <v>0</v>
      </c>
      <c r="C7" s="96">
        <v>1664786</v>
      </c>
      <c r="D7" s="97">
        <f t="shared" si="0"/>
        <v>27746.433333333334</v>
      </c>
    </row>
    <row r="8" spans="1:4">
      <c r="A8" t="s">
        <v>103</v>
      </c>
      <c r="B8" s="96">
        <v>0</v>
      </c>
      <c r="C8" s="96">
        <v>1664786</v>
      </c>
      <c r="D8" s="97">
        <f t="shared" si="0"/>
        <v>27746.433333333334</v>
      </c>
    </row>
    <row r="9" spans="1:4">
      <c r="A9" t="s">
        <v>104</v>
      </c>
      <c r="B9" s="96">
        <v>55089592.090189002</v>
      </c>
      <c r="C9" s="96">
        <v>87794132</v>
      </c>
      <c r="D9" s="97">
        <f t="shared" si="0"/>
        <v>1463235.5333333334</v>
      </c>
    </row>
    <row r="10" spans="1:4">
      <c r="A10" t="s">
        <v>105</v>
      </c>
      <c r="B10" s="96">
        <v>19510.044999999998</v>
      </c>
      <c r="C10" s="96">
        <v>3921645</v>
      </c>
      <c r="D10" s="97">
        <f t="shared" si="0"/>
        <v>65360.75</v>
      </c>
    </row>
    <row r="11" spans="1:4">
      <c r="A11" t="s">
        <v>106</v>
      </c>
      <c r="B11" s="96">
        <v>58439.166658000002</v>
      </c>
      <c r="C11" s="96">
        <v>70127</v>
      </c>
      <c r="D11" s="97">
        <f t="shared" si="0"/>
        <v>1168.7833333333333</v>
      </c>
    </row>
    <row r="12" spans="1:4">
      <c r="A12" t="s">
        <v>107</v>
      </c>
      <c r="B12" s="96">
        <v>8893.2099999999991</v>
      </c>
      <c r="C12" s="96">
        <v>1790328</v>
      </c>
      <c r="D12" s="97">
        <f t="shared" si="0"/>
        <v>29838.799999999999</v>
      </c>
    </row>
    <row r="13" spans="1:4">
      <c r="A13" t="s">
        <v>108</v>
      </c>
      <c r="B13" s="96">
        <v>1552536.466665</v>
      </c>
      <c r="C13" s="96">
        <v>717057</v>
      </c>
      <c r="D13" s="97">
        <f t="shared" si="0"/>
        <v>11950.95</v>
      </c>
    </row>
    <row r="14" spans="1:4">
      <c r="A14" t="s">
        <v>109</v>
      </c>
      <c r="B14" s="96">
        <v>76598.884999999995</v>
      </c>
      <c r="C14" s="96">
        <v>15386533</v>
      </c>
      <c r="D14" s="97">
        <f t="shared" si="0"/>
        <v>256442.21666666667</v>
      </c>
    </row>
    <row r="15" spans="1:4">
      <c r="A15" t="s">
        <v>110</v>
      </c>
      <c r="B15" s="96">
        <v>2408.165336</v>
      </c>
      <c r="C15" s="96">
        <v>3184</v>
      </c>
      <c r="D15" s="97">
        <f t="shared" si="0"/>
        <v>53.06666666666667</v>
      </c>
    </row>
    <row r="16" spans="1:4">
      <c r="A16" t="s">
        <v>111</v>
      </c>
      <c r="B16" s="96">
        <v>4351404.7450000001</v>
      </c>
      <c r="C16" s="96">
        <v>5148423</v>
      </c>
      <c r="D16" s="97">
        <f t="shared" si="0"/>
        <v>85807.05</v>
      </c>
    </row>
    <row r="17" spans="1:4">
      <c r="A17" t="s">
        <v>112</v>
      </c>
      <c r="B17" s="96">
        <v>33195942.199767001</v>
      </c>
      <c r="C17" s="96">
        <v>43846225</v>
      </c>
      <c r="D17" s="97">
        <f t="shared" si="0"/>
        <v>730770.41666666663</v>
      </c>
    </row>
    <row r="18" spans="1:4">
      <c r="A18" t="s">
        <v>113</v>
      </c>
      <c r="B18" s="96">
        <v>5580758.3258830002</v>
      </c>
      <c r="C18" s="96">
        <v>3782583</v>
      </c>
      <c r="D18" s="97">
        <f t="shared" si="0"/>
        <v>63043.05</v>
      </c>
    </row>
    <row r="19" spans="1:4">
      <c r="A19" t="s">
        <v>114</v>
      </c>
      <c r="B19" s="96">
        <v>9774213.2142009996</v>
      </c>
      <c r="C19" s="96">
        <v>12836175</v>
      </c>
      <c r="D19" s="97">
        <f t="shared" si="0"/>
        <v>213936.25</v>
      </c>
    </row>
    <row r="20" spans="1:4">
      <c r="A20" t="s">
        <v>115</v>
      </c>
      <c r="B20" s="96">
        <v>468887.66667900002</v>
      </c>
      <c r="C20" s="96">
        <v>291852</v>
      </c>
      <c r="D20" s="97">
        <f t="shared" si="0"/>
        <v>4864.2</v>
      </c>
    </row>
    <row r="21" spans="1:4">
      <c r="B21" s="96"/>
      <c r="C21" s="96"/>
    </row>
    <row r="22" spans="1:4">
      <c r="A22" t="s">
        <v>116</v>
      </c>
      <c r="B22" s="96">
        <v>0</v>
      </c>
      <c r="C22" s="96">
        <v>26856650</v>
      </c>
      <c r="D22" s="97">
        <f>+C22/60</f>
        <v>447610.83333333331</v>
      </c>
    </row>
    <row r="23" spans="1:4">
      <c r="A23" t="s">
        <v>103</v>
      </c>
      <c r="B23" s="96">
        <v>0</v>
      </c>
      <c r="C23" s="96">
        <v>26856650</v>
      </c>
      <c r="D23" s="97">
        <f t="shared" ref="D23:D33" si="1">+C23/60</f>
        <v>447610.83333333331</v>
      </c>
    </row>
    <row r="24" spans="1:4">
      <c r="B24" s="96"/>
      <c r="C24" s="96"/>
      <c r="D24" s="97">
        <f t="shared" si="1"/>
        <v>0</v>
      </c>
    </row>
    <row r="25" spans="1:4">
      <c r="A25" t="s">
        <v>117</v>
      </c>
      <c r="B25" s="96">
        <v>0</v>
      </c>
      <c r="C25" s="96">
        <v>7839526958</v>
      </c>
      <c r="D25" s="97">
        <f t="shared" si="1"/>
        <v>130658782.63333334</v>
      </c>
    </row>
    <row r="26" spans="1:4">
      <c r="A26" t="s">
        <v>100</v>
      </c>
      <c r="B26" s="96">
        <v>0</v>
      </c>
      <c r="C26" s="96">
        <v>1791194193</v>
      </c>
      <c r="D26" s="97">
        <f t="shared" si="1"/>
        <v>29853236.550000001</v>
      </c>
    </row>
    <row r="27" spans="1:4">
      <c r="A27" t="s">
        <v>103</v>
      </c>
      <c r="B27" s="96">
        <v>0</v>
      </c>
      <c r="C27" s="96">
        <v>6048332765</v>
      </c>
      <c r="D27" s="97">
        <f t="shared" si="1"/>
        <v>100805546.08333333</v>
      </c>
    </row>
    <row r="28" spans="1:4">
      <c r="A28" t="s">
        <v>118</v>
      </c>
      <c r="B28" s="96">
        <v>0</v>
      </c>
      <c r="C28" s="96">
        <v>1037</v>
      </c>
      <c r="D28" s="97">
        <f t="shared" si="1"/>
        <v>17.283333333333335</v>
      </c>
    </row>
    <row r="29" spans="1:4">
      <c r="A29" t="s">
        <v>103</v>
      </c>
      <c r="B29" s="96">
        <v>0</v>
      </c>
      <c r="C29" s="96">
        <v>1037</v>
      </c>
      <c r="D29" s="97">
        <f t="shared" si="1"/>
        <v>17.283333333333335</v>
      </c>
    </row>
    <row r="30" spans="1:4">
      <c r="A30" t="s">
        <v>119</v>
      </c>
      <c r="B30" s="96">
        <v>0</v>
      </c>
      <c r="C30" s="96">
        <v>161788610</v>
      </c>
      <c r="D30" s="97">
        <f t="shared" si="1"/>
        <v>2696476.8333333335</v>
      </c>
    </row>
    <row r="31" spans="1:4">
      <c r="A31" t="s">
        <v>103</v>
      </c>
      <c r="B31" s="96">
        <v>0</v>
      </c>
      <c r="C31" s="96">
        <v>161788610</v>
      </c>
      <c r="D31" s="97">
        <f t="shared" si="1"/>
        <v>2696476.8333333335</v>
      </c>
    </row>
    <row r="32" spans="1:4">
      <c r="A32" t="s">
        <v>120</v>
      </c>
      <c r="B32" s="96">
        <v>0</v>
      </c>
      <c r="C32" s="96">
        <v>3238104</v>
      </c>
      <c r="D32" s="97">
        <f t="shared" si="1"/>
        <v>53968.4</v>
      </c>
    </row>
    <row r="33" spans="1:4">
      <c r="A33" t="s">
        <v>100</v>
      </c>
      <c r="B33" s="96">
        <v>0</v>
      </c>
      <c r="C33" s="96">
        <v>3238104</v>
      </c>
      <c r="D33" s="97">
        <f t="shared" si="1"/>
        <v>53968.4</v>
      </c>
    </row>
    <row r="34" spans="1:4">
      <c r="B34" s="96"/>
      <c r="C34" s="96"/>
    </row>
    <row r="35" spans="1:4">
      <c r="A35" t="s">
        <v>121</v>
      </c>
      <c r="B35" s="96">
        <v>0</v>
      </c>
      <c r="C35" s="96">
        <v>8518336</v>
      </c>
    </row>
    <row r="36" spans="1:4">
      <c r="A36" t="s">
        <v>100</v>
      </c>
      <c r="B36" s="96">
        <v>0</v>
      </c>
      <c r="C36" s="96">
        <v>10225</v>
      </c>
    </row>
    <row r="37" spans="1:4">
      <c r="A37" t="s">
        <v>103</v>
      </c>
      <c r="B37" s="96">
        <v>0</v>
      </c>
      <c r="C37" s="96">
        <v>8508111</v>
      </c>
    </row>
    <row r="38" spans="1:4">
      <c r="A38" t="s">
        <v>122</v>
      </c>
      <c r="B38" s="96">
        <v>28596.89</v>
      </c>
      <c r="C38" s="96">
        <v>408527</v>
      </c>
    </row>
    <row r="39" spans="1:4">
      <c r="A39" t="s">
        <v>105</v>
      </c>
      <c r="B39" s="96">
        <v>28596.89</v>
      </c>
      <c r="C39" s="96">
        <v>408527</v>
      </c>
    </row>
    <row r="40" spans="1:4">
      <c r="A40" t="s">
        <v>123</v>
      </c>
      <c r="B40" s="96">
        <v>5488.3527830000003</v>
      </c>
      <c r="C40" s="96">
        <v>1866623</v>
      </c>
    </row>
    <row r="41" spans="1:4">
      <c r="A41" t="s">
        <v>105</v>
      </c>
      <c r="B41" s="96">
        <v>23.04</v>
      </c>
      <c r="C41" s="96">
        <v>329</v>
      </c>
    </row>
    <row r="42" spans="1:4">
      <c r="A42" t="s">
        <v>110</v>
      </c>
      <c r="B42" s="96">
        <v>0</v>
      </c>
      <c r="C42" s="96">
        <v>565952</v>
      </c>
    </row>
    <row r="43" spans="1:4">
      <c r="A43" t="s">
        <v>112</v>
      </c>
      <c r="B43" s="96">
        <v>274.56</v>
      </c>
      <c r="C43" s="96">
        <v>1220644</v>
      </c>
    </row>
    <row r="44" spans="1:4">
      <c r="A44" t="s">
        <v>103</v>
      </c>
      <c r="B44" s="96">
        <v>0</v>
      </c>
      <c r="C44" s="96">
        <v>1</v>
      </c>
    </row>
    <row r="45" spans="1:4">
      <c r="A45" t="s">
        <v>124</v>
      </c>
      <c r="B45" s="96">
        <v>5190.7527829999999</v>
      </c>
      <c r="C45" s="96">
        <v>79697</v>
      </c>
    </row>
    <row r="46" spans="1:4">
      <c r="B46" s="96"/>
      <c r="C46" s="96"/>
    </row>
    <row r="47" spans="1:4">
      <c r="A47" t="s">
        <v>125</v>
      </c>
      <c r="B47" s="96">
        <v>0</v>
      </c>
      <c r="C47" s="96">
        <v>6201096</v>
      </c>
    </row>
    <row r="48" spans="1:4">
      <c r="A48" t="s">
        <v>100</v>
      </c>
      <c r="B48" s="96">
        <v>0</v>
      </c>
      <c r="C48" s="96">
        <v>2724684</v>
      </c>
    </row>
    <row r="49" spans="1:4">
      <c r="A49" t="s">
        <v>103</v>
      </c>
      <c r="B49" s="96">
        <v>0</v>
      </c>
      <c r="C49" s="96">
        <v>3476412</v>
      </c>
    </row>
    <row r="50" spans="1:4">
      <c r="B50" s="96"/>
      <c r="C50" s="96"/>
    </row>
    <row r="51" spans="1:4">
      <c r="A51" t="s">
        <v>126</v>
      </c>
      <c r="B51" s="96">
        <v>6272.131617</v>
      </c>
      <c r="C51" s="96">
        <v>11288453</v>
      </c>
      <c r="D51" s="97">
        <f>+C51/60</f>
        <v>188140.88333333333</v>
      </c>
    </row>
    <row r="52" spans="1:4">
      <c r="A52" t="s">
        <v>105</v>
      </c>
      <c r="B52" s="96">
        <v>1.2678579999999999</v>
      </c>
      <c r="C52" s="96">
        <v>894</v>
      </c>
      <c r="D52" s="97">
        <f t="shared" ref="D52:D64" si="2">+C52/60</f>
        <v>14.9</v>
      </c>
    </row>
    <row r="53" spans="1:4">
      <c r="A53" t="s">
        <v>108</v>
      </c>
      <c r="B53" s="96">
        <v>0</v>
      </c>
      <c r="C53" s="96">
        <v>220</v>
      </c>
      <c r="D53" s="97">
        <f t="shared" si="2"/>
        <v>3.6666666666666665</v>
      </c>
    </row>
    <row r="54" spans="1:4">
      <c r="A54" t="s">
        <v>109</v>
      </c>
      <c r="B54" s="96">
        <v>6089.3334249999998</v>
      </c>
      <c r="C54" s="96">
        <v>5643251</v>
      </c>
      <c r="D54" s="97">
        <f t="shared" si="2"/>
        <v>94054.183333333334</v>
      </c>
    </row>
    <row r="55" spans="1:4">
      <c r="A55" t="s">
        <v>127</v>
      </c>
      <c r="B55" s="96">
        <v>0</v>
      </c>
      <c r="C55" s="96">
        <v>7743</v>
      </c>
      <c r="D55" s="97">
        <f t="shared" si="2"/>
        <v>129.05000000000001</v>
      </c>
    </row>
    <row r="56" spans="1:4">
      <c r="A56" t="s">
        <v>128</v>
      </c>
      <c r="B56" s="96">
        <v>0</v>
      </c>
      <c r="C56" s="96">
        <v>8717</v>
      </c>
      <c r="D56" s="97">
        <f t="shared" si="2"/>
        <v>145.28333333333333</v>
      </c>
    </row>
    <row r="57" spans="1:4">
      <c r="A57" t="s">
        <v>110</v>
      </c>
      <c r="B57" s="96">
        <v>0</v>
      </c>
      <c r="C57" s="96">
        <v>725536</v>
      </c>
      <c r="D57" s="97">
        <f t="shared" si="2"/>
        <v>12092.266666666666</v>
      </c>
    </row>
    <row r="58" spans="1:4">
      <c r="A58" t="s">
        <v>111</v>
      </c>
      <c r="B58" s="96">
        <v>0</v>
      </c>
      <c r="C58" s="96">
        <v>3588591</v>
      </c>
      <c r="D58" s="97">
        <f t="shared" si="2"/>
        <v>59809.85</v>
      </c>
    </row>
    <row r="59" spans="1:4">
      <c r="A59" t="s">
        <v>112</v>
      </c>
      <c r="B59" s="96">
        <v>0</v>
      </c>
      <c r="C59" s="96">
        <v>866991</v>
      </c>
      <c r="D59" s="97">
        <f t="shared" si="2"/>
        <v>14449.85</v>
      </c>
    </row>
    <row r="60" spans="1:4">
      <c r="A60" t="s">
        <v>129</v>
      </c>
      <c r="B60" s="96">
        <v>0</v>
      </c>
      <c r="C60" s="96">
        <v>89</v>
      </c>
      <c r="D60" s="97">
        <f t="shared" si="2"/>
        <v>1.4833333333333334</v>
      </c>
    </row>
    <row r="61" spans="1:4">
      <c r="A61" t="s">
        <v>113</v>
      </c>
      <c r="B61" s="96">
        <v>181.53033400000001</v>
      </c>
      <c r="C61" s="96">
        <v>1793</v>
      </c>
      <c r="D61" s="97">
        <f t="shared" si="2"/>
        <v>29.883333333333333</v>
      </c>
    </row>
    <row r="62" spans="1:4">
      <c r="A62" t="s">
        <v>130</v>
      </c>
      <c r="B62" s="96">
        <v>0</v>
      </c>
      <c r="C62" s="96">
        <v>425187</v>
      </c>
      <c r="D62" s="97">
        <f t="shared" si="2"/>
        <v>7086.45</v>
      </c>
    </row>
    <row r="63" spans="1:4">
      <c r="A63" t="s">
        <v>131</v>
      </c>
      <c r="B63" s="96">
        <v>0</v>
      </c>
      <c r="C63" s="96">
        <v>18562</v>
      </c>
      <c r="D63" s="97">
        <f t="shared" si="2"/>
        <v>309.36666666666667</v>
      </c>
    </row>
    <row r="64" spans="1:4">
      <c r="A64" t="s">
        <v>114</v>
      </c>
      <c r="B64" s="96">
        <v>0</v>
      </c>
      <c r="C64" s="96">
        <v>879</v>
      </c>
      <c r="D64" s="97">
        <f t="shared" si="2"/>
        <v>14.65</v>
      </c>
    </row>
    <row r="65" spans="1:3">
      <c r="B65" s="96"/>
      <c r="C65" s="96"/>
    </row>
    <row r="66" spans="1:3">
      <c r="A66" t="s">
        <v>132</v>
      </c>
      <c r="B66" s="96">
        <v>0.10664</v>
      </c>
      <c r="C66" s="96">
        <v>148</v>
      </c>
    </row>
    <row r="67" spans="1:3">
      <c r="A67" t="s">
        <v>100</v>
      </c>
      <c r="B67" s="96">
        <v>0</v>
      </c>
      <c r="C67" s="96">
        <v>9</v>
      </c>
    </row>
    <row r="68" spans="1:3">
      <c r="A68" t="s">
        <v>103</v>
      </c>
      <c r="B68" s="96">
        <v>0</v>
      </c>
      <c r="C68" s="96">
        <v>59</v>
      </c>
    </row>
    <row r="69" spans="1:3">
      <c r="A69" t="s">
        <v>124</v>
      </c>
      <c r="B69" s="96">
        <v>0.10664</v>
      </c>
      <c r="C69" s="96">
        <v>80</v>
      </c>
    </row>
    <row r="70" spans="1:3">
      <c r="A70" t="s">
        <v>133</v>
      </c>
      <c r="B70" s="96">
        <v>707177.08</v>
      </c>
      <c r="C70" s="96">
        <v>504243</v>
      </c>
    </row>
    <row r="71" spans="1:3">
      <c r="A71" t="s">
        <v>134</v>
      </c>
      <c r="B71" s="96">
        <v>22980.799999999999</v>
      </c>
      <c r="C71" s="96">
        <v>5420</v>
      </c>
    </row>
    <row r="72" spans="1:3">
      <c r="A72" t="s">
        <v>135</v>
      </c>
      <c r="B72" s="96">
        <v>144617.92000000001</v>
      </c>
      <c r="C72" s="96">
        <v>34108</v>
      </c>
    </row>
    <row r="73" spans="1:3">
      <c r="A73" t="s">
        <v>136</v>
      </c>
      <c r="B73" s="96">
        <v>468380.84</v>
      </c>
      <c r="C73" s="96">
        <v>68329</v>
      </c>
    </row>
    <row r="74" spans="1:3">
      <c r="A74" t="s">
        <v>137</v>
      </c>
      <c r="B74" s="96">
        <v>40547.120000000003</v>
      </c>
      <c r="C74" s="96">
        <v>9563</v>
      </c>
    </row>
    <row r="75" spans="1:3">
      <c r="A75" t="s">
        <v>138</v>
      </c>
      <c r="B75" s="96">
        <v>0</v>
      </c>
      <c r="C75" s="96">
        <v>376503</v>
      </c>
    </row>
    <row r="76" spans="1:3">
      <c r="A76" t="s">
        <v>139</v>
      </c>
      <c r="B76" s="96">
        <v>30650.400000000001</v>
      </c>
      <c r="C76" s="96">
        <v>10320</v>
      </c>
    </row>
    <row r="77" spans="1:3">
      <c r="A77" t="s">
        <v>140</v>
      </c>
      <c r="B77" s="96">
        <v>593.29999999999995</v>
      </c>
      <c r="C77" s="96">
        <v>619</v>
      </c>
    </row>
    <row r="78" spans="1:3">
      <c r="A78" t="s">
        <v>141</v>
      </c>
      <c r="B78" s="96">
        <v>593.29999999999995</v>
      </c>
      <c r="C78" s="96">
        <v>619</v>
      </c>
    </row>
    <row r="79" spans="1:3">
      <c r="A79" t="s">
        <v>142</v>
      </c>
      <c r="B79" s="96">
        <v>0</v>
      </c>
      <c r="C79" s="96">
        <v>6</v>
      </c>
    </row>
    <row r="80" spans="1:3">
      <c r="A80" t="s">
        <v>141</v>
      </c>
      <c r="B80" s="96">
        <v>0</v>
      </c>
      <c r="C80" s="96">
        <v>6</v>
      </c>
    </row>
    <row r="81" spans="1:4">
      <c r="A81" t="s">
        <v>143</v>
      </c>
      <c r="B81" s="96">
        <v>4912875.1900000004</v>
      </c>
      <c r="C81" s="96">
        <v>7384971</v>
      </c>
    </row>
    <row r="82" spans="1:4">
      <c r="A82" t="s">
        <v>134</v>
      </c>
      <c r="B82" s="96">
        <v>658505.92000000004</v>
      </c>
      <c r="C82" s="96">
        <v>155308</v>
      </c>
    </row>
    <row r="83" spans="1:4">
      <c r="A83" t="s">
        <v>135</v>
      </c>
      <c r="B83" s="96">
        <v>1418148.56</v>
      </c>
      <c r="C83" s="96">
        <v>334469</v>
      </c>
    </row>
    <row r="84" spans="1:4">
      <c r="A84" t="s">
        <v>144</v>
      </c>
      <c r="B84" s="96">
        <v>10170</v>
      </c>
      <c r="C84" s="96">
        <v>2425</v>
      </c>
    </row>
    <row r="85" spans="1:4">
      <c r="A85" t="s">
        <v>145</v>
      </c>
      <c r="B85" s="96">
        <v>84.8</v>
      </c>
      <c r="C85" s="96">
        <v>20</v>
      </c>
    </row>
    <row r="86" spans="1:4">
      <c r="A86" t="s">
        <v>137</v>
      </c>
      <c r="B86" s="96">
        <v>248888</v>
      </c>
      <c r="C86" s="96">
        <v>58700</v>
      </c>
    </row>
    <row r="87" spans="1:4">
      <c r="A87" t="s">
        <v>141</v>
      </c>
      <c r="B87" s="96">
        <v>0</v>
      </c>
      <c r="C87" s="96">
        <v>5966346</v>
      </c>
    </row>
    <row r="88" spans="1:4">
      <c r="A88" t="s">
        <v>139</v>
      </c>
      <c r="B88" s="96">
        <v>2577077.91</v>
      </c>
      <c r="C88" s="96">
        <v>867703</v>
      </c>
    </row>
    <row r="89" spans="1:4">
      <c r="B89" s="96"/>
      <c r="C89" s="96"/>
    </row>
    <row r="90" spans="1:4">
      <c r="A90" t="s">
        <v>146</v>
      </c>
      <c r="B90" s="96">
        <v>296664.89503999997</v>
      </c>
      <c r="C90" s="96">
        <v>2543516919</v>
      </c>
      <c r="D90" s="97">
        <f>+C90/60</f>
        <v>42391948.649999999</v>
      </c>
    </row>
    <row r="91" spans="1:4">
      <c r="A91" t="s">
        <v>105</v>
      </c>
      <c r="B91" s="96">
        <v>473.67039399999999</v>
      </c>
      <c r="C91" s="96">
        <v>195505</v>
      </c>
      <c r="D91" s="97">
        <f t="shared" ref="D91:D98" si="3">+C91/60</f>
        <v>3258.4166666666665</v>
      </c>
    </row>
    <row r="92" spans="1:4">
      <c r="A92" t="s">
        <v>109</v>
      </c>
      <c r="B92" s="96">
        <v>4597.283993</v>
      </c>
      <c r="C92" s="96">
        <v>1274494</v>
      </c>
      <c r="D92" s="97">
        <f t="shared" si="3"/>
        <v>21241.566666666666</v>
      </c>
    </row>
    <row r="93" spans="1:4">
      <c r="A93" t="s">
        <v>100</v>
      </c>
      <c r="B93" s="96">
        <v>0</v>
      </c>
      <c r="C93" s="96">
        <v>584026</v>
      </c>
      <c r="D93" s="97">
        <f t="shared" si="3"/>
        <v>9733.7666666666664</v>
      </c>
    </row>
    <row r="94" spans="1:4">
      <c r="A94" t="s">
        <v>111</v>
      </c>
      <c r="B94" s="96">
        <v>17400.87</v>
      </c>
      <c r="C94" s="96">
        <v>20532</v>
      </c>
      <c r="D94" s="97">
        <f t="shared" si="3"/>
        <v>342.2</v>
      </c>
    </row>
    <row r="95" spans="1:4">
      <c r="A95" t="s">
        <v>112</v>
      </c>
      <c r="B95" s="96">
        <v>109861.370662</v>
      </c>
      <c r="C95" s="96">
        <v>144049</v>
      </c>
      <c r="D95" s="97">
        <f t="shared" si="3"/>
        <v>2400.8166666666666</v>
      </c>
    </row>
    <row r="96" spans="1:4">
      <c r="A96" t="s">
        <v>113</v>
      </c>
      <c r="B96" s="96">
        <v>118409.199996</v>
      </c>
      <c r="C96" s="96">
        <v>68313</v>
      </c>
      <c r="D96" s="97">
        <f t="shared" si="3"/>
        <v>1138.55</v>
      </c>
    </row>
    <row r="97" spans="1:4">
      <c r="A97" t="s">
        <v>103</v>
      </c>
      <c r="B97" s="96">
        <v>0</v>
      </c>
      <c r="C97" s="96">
        <v>2541208805</v>
      </c>
      <c r="D97" s="97">
        <f t="shared" si="3"/>
        <v>42353480.083333336</v>
      </c>
    </row>
    <row r="98" spans="1:4">
      <c r="A98" t="s">
        <v>115</v>
      </c>
      <c r="B98" s="96">
        <v>45922.499994999998</v>
      </c>
      <c r="C98" s="96">
        <v>21195</v>
      </c>
      <c r="D98" s="97">
        <f t="shared" si="3"/>
        <v>353.25</v>
      </c>
    </row>
    <row r="99" spans="1:4">
      <c r="B99" s="96"/>
      <c r="C99" s="96"/>
    </row>
    <row r="100" spans="1:4">
      <c r="A100" t="s">
        <v>147</v>
      </c>
      <c r="B100" s="96">
        <v>326775</v>
      </c>
      <c r="C100" s="96">
        <v>320520</v>
      </c>
      <c r="D100" s="97">
        <f>+C100/60</f>
        <v>5342</v>
      </c>
    </row>
    <row r="101" spans="1:4">
      <c r="A101" t="s">
        <v>148</v>
      </c>
      <c r="B101" s="96">
        <v>21000</v>
      </c>
      <c r="C101" s="96">
        <v>9609</v>
      </c>
      <c r="D101" s="97">
        <f t="shared" ref="D101:D138" si="4">+C101/60</f>
        <v>160.15</v>
      </c>
    </row>
    <row r="102" spans="1:4">
      <c r="A102" t="s">
        <v>149</v>
      </c>
      <c r="B102" s="96">
        <v>4700</v>
      </c>
      <c r="C102" s="96">
        <v>4422</v>
      </c>
      <c r="D102" s="97">
        <f t="shared" si="4"/>
        <v>73.7</v>
      </c>
    </row>
    <row r="103" spans="1:4">
      <c r="A103" t="s">
        <v>150</v>
      </c>
      <c r="B103" s="96">
        <v>83400</v>
      </c>
      <c r="C103" s="96">
        <v>81527</v>
      </c>
      <c r="D103" s="97">
        <f t="shared" si="4"/>
        <v>1358.7833333333333</v>
      </c>
    </row>
    <row r="104" spans="1:4">
      <c r="A104" t="s">
        <v>151</v>
      </c>
      <c r="B104" s="96">
        <v>40450</v>
      </c>
      <c r="C104" s="96">
        <v>33424</v>
      </c>
      <c r="D104" s="97">
        <f t="shared" si="4"/>
        <v>557.06666666666672</v>
      </c>
    </row>
    <row r="105" spans="1:4">
      <c r="A105" t="s">
        <v>152</v>
      </c>
      <c r="B105" s="96">
        <v>66575</v>
      </c>
      <c r="C105" s="96">
        <v>77254</v>
      </c>
      <c r="D105" s="97">
        <f t="shared" si="4"/>
        <v>1287.5666666666666</v>
      </c>
    </row>
    <row r="106" spans="1:4">
      <c r="A106" t="s">
        <v>153</v>
      </c>
      <c r="B106" s="96">
        <v>109150</v>
      </c>
      <c r="C106" s="96">
        <v>113527</v>
      </c>
      <c r="D106" s="97">
        <f t="shared" si="4"/>
        <v>1892.1166666666666</v>
      </c>
    </row>
    <row r="107" spans="1:4">
      <c r="A107" t="s">
        <v>154</v>
      </c>
      <c r="B107" s="96">
        <v>1500</v>
      </c>
      <c r="C107" s="96">
        <v>757</v>
      </c>
      <c r="D107" s="97">
        <f t="shared" si="4"/>
        <v>12.616666666666667</v>
      </c>
    </row>
    <row r="108" spans="1:4">
      <c r="B108" s="96"/>
      <c r="C108" s="96"/>
      <c r="D108" s="97">
        <f t="shared" si="4"/>
        <v>0</v>
      </c>
    </row>
    <row r="109" spans="1:4">
      <c r="A109" t="s">
        <v>155</v>
      </c>
      <c r="B109" s="96">
        <v>15705.608329000001</v>
      </c>
      <c r="C109" s="96">
        <v>2802246</v>
      </c>
      <c r="D109" s="97">
        <f t="shared" si="4"/>
        <v>46704.1</v>
      </c>
    </row>
    <row r="110" spans="1:4">
      <c r="A110" t="s">
        <v>103</v>
      </c>
      <c r="B110" s="96">
        <v>15705.608329000001</v>
      </c>
      <c r="C110" s="96">
        <v>2802246</v>
      </c>
      <c r="D110" s="97">
        <f t="shared" si="4"/>
        <v>46704.1</v>
      </c>
    </row>
    <row r="111" spans="1:4">
      <c r="B111" s="96"/>
      <c r="C111" s="96"/>
      <c r="D111" s="97">
        <f t="shared" si="4"/>
        <v>0</v>
      </c>
    </row>
    <row r="112" spans="1:4">
      <c r="A112" t="s">
        <v>156</v>
      </c>
      <c r="B112" s="96">
        <v>48607243.695694998</v>
      </c>
      <c r="C112" s="96">
        <v>107398148</v>
      </c>
      <c r="D112" s="97">
        <f t="shared" si="4"/>
        <v>1789969.1333333333</v>
      </c>
    </row>
    <row r="113" spans="1:4">
      <c r="A113" t="s">
        <v>148</v>
      </c>
      <c r="B113" s="96">
        <v>0</v>
      </c>
      <c r="C113" s="96">
        <v>9570</v>
      </c>
      <c r="D113" s="97">
        <f t="shared" si="4"/>
        <v>159.5</v>
      </c>
    </row>
    <row r="114" spans="1:4">
      <c r="A114" t="s">
        <v>105</v>
      </c>
      <c r="B114" s="96">
        <v>34192.182457000003</v>
      </c>
      <c r="C114" s="96">
        <v>13414223</v>
      </c>
      <c r="D114" s="97">
        <f t="shared" si="4"/>
        <v>223570.38333333333</v>
      </c>
    </row>
    <row r="115" spans="1:4">
      <c r="A115" t="s">
        <v>106</v>
      </c>
      <c r="B115" s="96">
        <v>108886.666654</v>
      </c>
      <c r="C115" s="96">
        <v>81665</v>
      </c>
      <c r="D115" s="97">
        <f t="shared" si="4"/>
        <v>1361.0833333333333</v>
      </c>
    </row>
    <row r="116" spans="1:4">
      <c r="A116" t="s">
        <v>108</v>
      </c>
      <c r="B116" s="96">
        <v>322537.8</v>
      </c>
      <c r="C116" s="96">
        <v>124053</v>
      </c>
      <c r="D116" s="97">
        <f t="shared" si="4"/>
        <v>2067.5500000000002</v>
      </c>
    </row>
    <row r="117" spans="1:4">
      <c r="A117" t="s">
        <v>109</v>
      </c>
      <c r="B117" s="96">
        <v>122245.312034</v>
      </c>
      <c r="C117" s="96">
        <v>47737877</v>
      </c>
      <c r="D117" s="97">
        <f t="shared" si="4"/>
        <v>795631.28333333333</v>
      </c>
    </row>
    <row r="118" spans="1:4">
      <c r="A118" t="s">
        <v>110</v>
      </c>
      <c r="B118" s="96">
        <v>7887.5</v>
      </c>
      <c r="C118" s="96">
        <v>3155</v>
      </c>
      <c r="D118" s="97">
        <f t="shared" si="4"/>
        <v>52.583333333333336</v>
      </c>
    </row>
    <row r="119" spans="1:4">
      <c r="A119" t="s">
        <v>111</v>
      </c>
      <c r="B119" s="96">
        <v>2897727.93</v>
      </c>
      <c r="C119" s="96">
        <v>3460255</v>
      </c>
      <c r="D119" s="97">
        <f t="shared" si="4"/>
        <v>57670.916666666664</v>
      </c>
    </row>
    <row r="120" spans="1:4">
      <c r="A120" t="s">
        <v>112</v>
      </c>
      <c r="B120" s="96">
        <v>40731800.627334997</v>
      </c>
      <c r="C120" s="96">
        <v>40143783</v>
      </c>
      <c r="D120" s="97">
        <f t="shared" si="4"/>
        <v>669063.05000000005</v>
      </c>
    </row>
    <row r="121" spans="1:4">
      <c r="A121" t="s">
        <v>113</v>
      </c>
      <c r="B121" s="96">
        <v>2686037.8439119998</v>
      </c>
      <c r="C121" s="96">
        <v>1573554</v>
      </c>
      <c r="D121" s="97">
        <f t="shared" si="4"/>
        <v>26225.9</v>
      </c>
    </row>
    <row r="122" spans="1:4">
      <c r="A122" t="s">
        <v>114</v>
      </c>
      <c r="B122" s="96">
        <v>2221.166667</v>
      </c>
      <c r="C122" s="96">
        <v>2278</v>
      </c>
      <c r="D122" s="97">
        <f t="shared" si="4"/>
        <v>37.966666666666669</v>
      </c>
    </row>
    <row r="123" spans="1:4">
      <c r="A123" t="s">
        <v>115</v>
      </c>
      <c r="B123" s="96">
        <v>1693706.6666359999</v>
      </c>
      <c r="C123" s="96">
        <v>847735</v>
      </c>
      <c r="D123" s="97">
        <f t="shared" si="4"/>
        <v>14128.916666666666</v>
      </c>
    </row>
    <row r="124" spans="1:4">
      <c r="B124" s="96"/>
      <c r="C124" s="96"/>
      <c r="D124" s="97">
        <f t="shared" si="4"/>
        <v>0</v>
      </c>
    </row>
    <row r="125" spans="1:4">
      <c r="A125" t="s">
        <v>157</v>
      </c>
      <c r="B125" s="96">
        <v>0</v>
      </c>
      <c r="C125" s="96">
        <v>3635976077</v>
      </c>
      <c r="D125" s="97">
        <f t="shared" si="4"/>
        <v>60599601.283333331</v>
      </c>
    </row>
    <row r="126" spans="1:4">
      <c r="A126" t="s">
        <v>100</v>
      </c>
      <c r="B126" s="96">
        <v>0</v>
      </c>
      <c r="C126" s="96">
        <v>2083800358</v>
      </c>
      <c r="D126" s="97">
        <f t="shared" si="4"/>
        <v>34730005.966666669</v>
      </c>
    </row>
    <row r="127" spans="1:4">
      <c r="A127" t="s">
        <v>103</v>
      </c>
      <c r="B127" s="96">
        <v>0</v>
      </c>
      <c r="C127" s="96">
        <v>1552175719</v>
      </c>
      <c r="D127" s="97">
        <f t="shared" si="4"/>
        <v>25869595.316666666</v>
      </c>
    </row>
    <row r="128" spans="1:4">
      <c r="B128" s="96"/>
      <c r="C128" s="96"/>
      <c r="D128" s="97">
        <f t="shared" si="4"/>
        <v>0</v>
      </c>
    </row>
    <row r="129" spans="1:4">
      <c r="A129" t="s">
        <v>158</v>
      </c>
      <c r="B129" s="96">
        <v>0</v>
      </c>
      <c r="C129" s="96">
        <v>3457227</v>
      </c>
      <c r="D129" s="97">
        <f t="shared" si="4"/>
        <v>57620.45</v>
      </c>
    </row>
    <row r="130" spans="1:4">
      <c r="A130" t="s">
        <v>103</v>
      </c>
      <c r="B130" s="96">
        <v>0</v>
      </c>
      <c r="C130" s="96">
        <v>3457227</v>
      </c>
      <c r="D130" s="97">
        <f t="shared" si="4"/>
        <v>57620.45</v>
      </c>
    </row>
    <row r="131" spans="1:4">
      <c r="B131" s="96"/>
      <c r="C131" s="96"/>
      <c r="D131" s="97">
        <f t="shared" si="4"/>
        <v>0</v>
      </c>
    </row>
    <row r="132" spans="1:4">
      <c r="A132" t="s">
        <v>159</v>
      </c>
      <c r="B132" s="96">
        <v>0</v>
      </c>
      <c r="C132" s="96">
        <v>524880210</v>
      </c>
      <c r="D132" s="97">
        <f t="shared" si="4"/>
        <v>8748003.5</v>
      </c>
    </row>
    <row r="133" spans="1:4">
      <c r="A133" t="s">
        <v>103</v>
      </c>
      <c r="B133" s="96">
        <v>0</v>
      </c>
      <c r="C133" s="96">
        <v>524880210</v>
      </c>
      <c r="D133" s="97">
        <f t="shared" si="4"/>
        <v>8748003.5</v>
      </c>
    </row>
    <row r="134" spans="1:4">
      <c r="B134" s="96"/>
      <c r="C134" s="96"/>
      <c r="D134" s="97">
        <f t="shared" si="4"/>
        <v>0</v>
      </c>
    </row>
    <row r="135" spans="1:4">
      <c r="A135" t="s">
        <v>160</v>
      </c>
      <c r="B135" s="96">
        <v>0</v>
      </c>
      <c r="C135" s="96">
        <v>3681518</v>
      </c>
      <c r="D135" s="97">
        <f t="shared" si="4"/>
        <v>61358.633333333331</v>
      </c>
    </row>
    <row r="136" spans="1:4">
      <c r="A136" t="s">
        <v>100</v>
      </c>
      <c r="B136" s="96">
        <v>0</v>
      </c>
      <c r="C136" s="96">
        <v>3681518</v>
      </c>
      <c r="D136" s="97">
        <f t="shared" si="4"/>
        <v>61358.633333333331</v>
      </c>
    </row>
    <row r="137" spans="1:4">
      <c r="A137" t="s">
        <v>161</v>
      </c>
      <c r="B137" s="96">
        <v>0</v>
      </c>
      <c r="C137" s="96">
        <v>10508</v>
      </c>
      <c r="D137" s="97">
        <f t="shared" si="4"/>
        <v>175.13333333333333</v>
      </c>
    </row>
    <row r="138" spans="1:4">
      <c r="A138" t="s">
        <v>103</v>
      </c>
      <c r="B138" s="96">
        <v>0</v>
      </c>
      <c r="C138" s="96">
        <v>10508</v>
      </c>
      <c r="D138" s="97">
        <f t="shared" si="4"/>
        <v>175.13333333333333</v>
      </c>
    </row>
    <row r="139" spans="1:4">
      <c r="B139" s="96"/>
      <c r="C139" s="96"/>
    </row>
    <row r="140" spans="1:4">
      <c r="A140" t="s">
        <v>162</v>
      </c>
      <c r="B140" s="96">
        <v>0</v>
      </c>
      <c r="C140" s="96">
        <v>397549</v>
      </c>
    </row>
    <row r="141" spans="1:4">
      <c r="A141" t="s">
        <v>100</v>
      </c>
      <c r="B141" s="96">
        <v>0</v>
      </c>
      <c r="C141" s="96">
        <v>20606</v>
      </c>
    </row>
    <row r="142" spans="1:4">
      <c r="A142" t="s">
        <v>103</v>
      </c>
      <c r="B142" s="96">
        <v>0</v>
      </c>
      <c r="C142" s="96">
        <v>376943</v>
      </c>
    </row>
    <row r="143" spans="1:4">
      <c r="A143" t="s">
        <v>163</v>
      </c>
      <c r="B143" s="96">
        <v>0</v>
      </c>
      <c r="C143" s="96">
        <v>1847</v>
      </c>
    </row>
    <row r="144" spans="1:4">
      <c r="A144" t="s">
        <v>103</v>
      </c>
      <c r="B144" s="96">
        <v>0</v>
      </c>
      <c r="C144" s="96">
        <v>1847</v>
      </c>
    </row>
    <row r="145" spans="1:4">
      <c r="A145" t="s">
        <v>164</v>
      </c>
      <c r="B145" s="96">
        <v>4153.116</v>
      </c>
      <c r="C145" s="96">
        <v>62292</v>
      </c>
    </row>
    <row r="146" spans="1:4">
      <c r="A146" t="s">
        <v>105</v>
      </c>
      <c r="B146" s="96">
        <v>1866.8810000000001</v>
      </c>
      <c r="C146" s="96">
        <v>26829</v>
      </c>
    </row>
    <row r="147" spans="1:4">
      <c r="A147" t="s">
        <v>124</v>
      </c>
      <c r="B147" s="96">
        <v>2286.2350000000001</v>
      </c>
      <c r="C147" s="96">
        <v>35463</v>
      </c>
    </row>
    <row r="148" spans="1:4">
      <c r="A148" t="s">
        <v>165</v>
      </c>
      <c r="B148" s="96">
        <v>0</v>
      </c>
      <c r="C148" s="96">
        <v>5567937</v>
      </c>
    </row>
    <row r="149" spans="1:4">
      <c r="A149" t="s">
        <v>166</v>
      </c>
      <c r="B149" s="96">
        <v>0</v>
      </c>
      <c r="C149" s="96">
        <v>634</v>
      </c>
    </row>
    <row r="150" spans="1:4">
      <c r="A150" t="s">
        <v>100</v>
      </c>
      <c r="B150" s="96">
        <v>0</v>
      </c>
      <c r="C150" s="96">
        <v>2676573</v>
      </c>
    </row>
    <row r="151" spans="1:4">
      <c r="A151" t="s">
        <v>103</v>
      </c>
      <c r="B151" s="96">
        <v>0</v>
      </c>
      <c r="C151" s="96">
        <v>2890730</v>
      </c>
    </row>
    <row r="152" spans="1:4">
      <c r="A152" t="s">
        <v>167</v>
      </c>
      <c r="B152" s="96">
        <v>711.84</v>
      </c>
      <c r="C152" s="96">
        <v>535206</v>
      </c>
    </row>
    <row r="153" spans="1:4">
      <c r="A153" t="s">
        <v>138</v>
      </c>
      <c r="B153" s="96">
        <v>711.84</v>
      </c>
      <c r="C153" s="96">
        <v>535206</v>
      </c>
    </row>
    <row r="154" spans="1:4">
      <c r="B154" s="96"/>
      <c r="C154" s="96"/>
    </row>
    <row r="155" spans="1:4">
      <c r="A155" t="s">
        <v>168</v>
      </c>
      <c r="B155" s="96">
        <v>33071.016087000004</v>
      </c>
      <c r="C155" s="96">
        <v>24628312</v>
      </c>
      <c r="D155" s="97">
        <f>+C155/60</f>
        <v>410471.86666666664</v>
      </c>
    </row>
    <row r="156" spans="1:4">
      <c r="A156" t="s">
        <v>105</v>
      </c>
      <c r="B156" s="96">
        <v>8783.3893079999998</v>
      </c>
      <c r="C156" s="96">
        <v>6114621</v>
      </c>
      <c r="D156" s="97">
        <f t="shared" ref="D156:D166" si="5">+C156/60</f>
        <v>101910.35</v>
      </c>
    </row>
    <row r="157" spans="1:4">
      <c r="A157" t="s">
        <v>108</v>
      </c>
      <c r="B157" s="96">
        <v>0</v>
      </c>
      <c r="C157" s="96">
        <v>1359</v>
      </c>
      <c r="D157" s="97">
        <f t="shared" si="5"/>
        <v>22.65</v>
      </c>
    </row>
    <row r="158" spans="1:4">
      <c r="A158" t="s">
        <v>109</v>
      </c>
      <c r="B158" s="96">
        <v>24287.626778999998</v>
      </c>
      <c r="C158" s="96">
        <v>6199535</v>
      </c>
      <c r="D158" s="97">
        <f t="shared" si="5"/>
        <v>103325.58333333333</v>
      </c>
    </row>
    <row r="159" spans="1:4">
      <c r="A159" t="s">
        <v>128</v>
      </c>
      <c r="B159" s="96">
        <v>0</v>
      </c>
      <c r="C159" s="96">
        <v>1962</v>
      </c>
      <c r="D159" s="97">
        <f t="shared" si="5"/>
        <v>32.700000000000003</v>
      </c>
    </row>
    <row r="160" spans="1:4">
      <c r="A160" t="s">
        <v>110</v>
      </c>
      <c r="B160" s="96">
        <v>0</v>
      </c>
      <c r="C160" s="96">
        <v>5125907</v>
      </c>
      <c r="D160" s="97">
        <f t="shared" si="5"/>
        <v>85431.78333333334</v>
      </c>
    </row>
    <row r="161" spans="1:4">
      <c r="A161" t="s">
        <v>130</v>
      </c>
      <c r="B161" s="96">
        <v>0</v>
      </c>
      <c r="C161" s="96">
        <v>1058559</v>
      </c>
      <c r="D161" s="97">
        <f t="shared" si="5"/>
        <v>17642.650000000001</v>
      </c>
    </row>
    <row r="162" spans="1:4">
      <c r="A162" t="s">
        <v>131</v>
      </c>
      <c r="B162" s="96">
        <v>0</v>
      </c>
      <c r="C162" s="96">
        <v>11748</v>
      </c>
      <c r="D162" s="97">
        <f t="shared" si="5"/>
        <v>195.8</v>
      </c>
    </row>
    <row r="163" spans="1:4">
      <c r="A163" t="s">
        <v>114</v>
      </c>
      <c r="B163" s="96">
        <v>0</v>
      </c>
      <c r="C163" s="96">
        <v>6114621</v>
      </c>
      <c r="D163" s="97">
        <f t="shared" si="5"/>
        <v>101910.35</v>
      </c>
    </row>
    <row r="164" spans="1:4">
      <c r="B164" s="96"/>
      <c r="C164" s="96"/>
      <c r="D164" s="97">
        <f t="shared" si="5"/>
        <v>0</v>
      </c>
    </row>
    <row r="165" spans="1:4">
      <c r="A165" t="s">
        <v>169</v>
      </c>
      <c r="B165" s="96">
        <v>0</v>
      </c>
      <c r="C165" s="96">
        <v>2209975218</v>
      </c>
      <c r="D165" s="97">
        <f t="shared" si="5"/>
        <v>36832920.299999997</v>
      </c>
    </row>
    <row r="166" spans="1:4">
      <c r="A166" t="s">
        <v>103</v>
      </c>
      <c r="B166" s="96">
        <v>0</v>
      </c>
      <c r="C166" s="96">
        <v>2209975218</v>
      </c>
      <c r="D166" s="97">
        <f t="shared" si="5"/>
        <v>36832920.299999997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FF87-907D-4ECF-BA30-B751D2E43BEC}">
  <dimension ref="A1:CO202"/>
  <sheetViews>
    <sheetView showGridLines="0" topLeftCell="H194" workbookViewId="0">
      <selection activeCell="CS19" sqref="CS19"/>
    </sheetView>
  </sheetViews>
  <sheetFormatPr defaultColWidth="11.140625" defaultRowHeight="14.45"/>
  <cols>
    <col min="1" max="1" width="15.7109375" style="135" customWidth="1"/>
    <col min="2" max="2" width="0.85546875" style="135" customWidth="1"/>
    <col min="3" max="3" width="1.7109375" style="135" customWidth="1"/>
    <col min="4" max="4" width="13" style="135" customWidth="1"/>
    <col min="5" max="8" width="15.7109375" style="135" customWidth="1"/>
    <col min="9" max="9" width="3.85546875" style="135" hidden="1" customWidth="1"/>
    <col min="10" max="10" width="11.85546875" style="135" hidden="1" customWidth="1"/>
    <col min="11" max="14" width="15.7109375" style="135" hidden="1" customWidth="1"/>
    <col min="15" max="15" width="15.7109375" style="135" customWidth="1"/>
    <col min="16" max="21" width="15.7109375" style="135" hidden="1" customWidth="1"/>
    <col min="22" max="22" width="15.7109375" style="135" customWidth="1"/>
    <col min="23" max="28" width="15.7109375" style="135" hidden="1" customWidth="1"/>
    <col min="29" max="29" width="15.7109375" style="135" customWidth="1"/>
    <col min="30" max="35" width="15.7109375" style="135" hidden="1" customWidth="1"/>
    <col min="36" max="36" width="15.7109375" style="135" customWidth="1"/>
    <col min="37" max="37" width="15.7109375" style="135" hidden="1" customWidth="1"/>
    <col min="38" max="38" width="15.7109375" style="135" customWidth="1"/>
    <col min="39" max="49" width="15.7109375" style="135" hidden="1" customWidth="1"/>
    <col min="50" max="50" width="15.7109375" style="135" customWidth="1"/>
    <col min="51" max="52" width="15.7109375" style="135" hidden="1" customWidth="1"/>
    <col min="53" max="53" width="15.7109375" style="135" customWidth="1"/>
    <col min="54" max="63" width="15.7109375" style="135" hidden="1" customWidth="1"/>
    <col min="64" max="64" width="15.7109375" style="135" customWidth="1"/>
    <col min="65" max="80" width="15.7109375" style="135" hidden="1" customWidth="1"/>
    <col min="81" max="81" width="15.7109375" style="135" customWidth="1"/>
    <col min="82" max="91" width="15.7109375" style="135" hidden="1" customWidth="1"/>
    <col min="92" max="92" width="15.7109375" style="135" customWidth="1"/>
    <col min="93" max="93" width="15.7109375" style="135" hidden="1" customWidth="1"/>
    <col min="94" max="16384" width="11.140625" style="135"/>
  </cols>
  <sheetData>
    <row r="1" spans="1:9" ht="7.5" customHeight="1"/>
    <row r="2" spans="1:9" ht="10.5" customHeight="1">
      <c r="D2" s="224" t="s">
        <v>170</v>
      </c>
      <c r="E2" s="224"/>
      <c r="F2" s="224"/>
      <c r="G2" s="224"/>
      <c r="H2" s="224"/>
      <c r="I2" s="224"/>
    </row>
    <row r="3" spans="1:9" ht="10.5" customHeight="1">
      <c r="A3" s="225"/>
      <c r="B3" s="225"/>
      <c r="D3" s="224"/>
      <c r="E3" s="224"/>
      <c r="F3" s="224"/>
      <c r="G3" s="224"/>
      <c r="H3" s="224"/>
      <c r="I3" s="224"/>
    </row>
    <row r="4" spans="1:9" ht="15" customHeight="1">
      <c r="A4" s="225"/>
      <c r="B4" s="225"/>
      <c r="D4" s="223" t="s">
        <v>171</v>
      </c>
      <c r="E4" s="223"/>
      <c r="F4" s="223"/>
      <c r="G4" s="223"/>
      <c r="H4" s="223"/>
      <c r="I4" s="223"/>
    </row>
    <row r="5" spans="1:9" ht="4.5" customHeight="1">
      <c r="A5" s="225"/>
      <c r="B5" s="225"/>
    </row>
    <row r="6" spans="1:9" ht="15" customHeight="1">
      <c r="A6" s="225"/>
      <c r="B6" s="225"/>
      <c r="D6" s="223" t="s">
        <v>172</v>
      </c>
      <c r="E6" s="223"/>
      <c r="F6" s="223"/>
      <c r="G6" s="223"/>
      <c r="H6" s="223"/>
      <c r="I6" s="223"/>
    </row>
    <row r="7" spans="1:9" ht="14.25" customHeight="1">
      <c r="A7" s="225"/>
      <c r="B7" s="225"/>
      <c r="D7" s="223" t="s">
        <v>173</v>
      </c>
      <c r="E7" s="223"/>
      <c r="F7" s="223"/>
      <c r="G7" s="223"/>
      <c r="H7" s="223"/>
      <c r="I7" s="223"/>
    </row>
    <row r="8" spans="1:9" ht="14.25" customHeight="1">
      <c r="A8" s="225"/>
      <c r="B8" s="225"/>
      <c r="D8" s="223" t="s">
        <v>174</v>
      </c>
      <c r="E8" s="223"/>
      <c r="F8" s="223"/>
      <c r="G8" s="223"/>
      <c r="H8" s="223"/>
      <c r="I8" s="223"/>
    </row>
    <row r="9" spans="1:9" ht="0.75" customHeight="1"/>
    <row r="10" spans="1:9" ht="15" customHeight="1">
      <c r="D10" s="223" t="s">
        <v>175</v>
      </c>
      <c r="E10" s="223"/>
      <c r="F10" s="223"/>
      <c r="G10" s="223"/>
      <c r="H10" s="223"/>
      <c r="I10" s="223"/>
    </row>
    <row r="11" spans="1:9" ht="14.25" customHeight="1">
      <c r="D11" s="223" t="s">
        <v>176</v>
      </c>
      <c r="E11" s="223"/>
      <c r="F11" s="223"/>
      <c r="G11" s="223"/>
      <c r="H11" s="223"/>
      <c r="I11" s="223"/>
    </row>
    <row r="12" spans="1:9" ht="14.25" customHeight="1">
      <c r="D12" s="223" t="s">
        <v>177</v>
      </c>
      <c r="E12" s="223"/>
      <c r="F12" s="223"/>
      <c r="G12" s="223"/>
      <c r="H12" s="223"/>
      <c r="I12" s="223"/>
    </row>
    <row r="13" spans="1:9" ht="14.25" customHeight="1">
      <c r="D13" s="223" t="s">
        <v>178</v>
      </c>
      <c r="E13" s="223"/>
      <c r="F13" s="223"/>
      <c r="G13" s="223"/>
      <c r="H13" s="223"/>
      <c r="I13" s="223"/>
    </row>
    <row r="14" spans="1:9" ht="1.5" customHeight="1"/>
    <row r="15" spans="1:9" ht="11.25" customHeight="1">
      <c r="D15" s="223"/>
      <c r="E15" s="223"/>
      <c r="F15" s="223"/>
      <c r="G15" s="223"/>
      <c r="H15" s="223"/>
      <c r="I15" s="223"/>
    </row>
    <row r="16" spans="1:9" ht="11.25" customHeight="1">
      <c r="D16" s="223"/>
      <c r="E16" s="223"/>
      <c r="F16" s="223"/>
      <c r="G16" s="223"/>
      <c r="H16" s="223"/>
      <c r="I16" s="223"/>
    </row>
    <row r="17" spans="1:93" ht="10.5" customHeight="1"/>
    <row r="18" spans="1:93" ht="16.5" customHeight="1">
      <c r="I18" s="220" t="s">
        <v>179</v>
      </c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 t="s">
        <v>180</v>
      </c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0"/>
      <c r="BJ18" s="220"/>
      <c r="BK18" s="220"/>
      <c r="BL18" s="220"/>
      <c r="BM18" s="220"/>
      <c r="BN18" s="220" t="s">
        <v>181</v>
      </c>
      <c r="BO18" s="220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  <c r="CC18" s="220"/>
      <c r="CD18" s="220"/>
      <c r="CE18" s="220"/>
      <c r="CF18" s="220"/>
      <c r="CG18" s="220"/>
      <c r="CH18" s="220"/>
      <c r="CI18" s="220"/>
      <c r="CJ18" s="220"/>
      <c r="CK18" s="220"/>
      <c r="CL18" s="220"/>
      <c r="CM18" s="220"/>
      <c r="CN18" s="220"/>
      <c r="CO18" s="220"/>
    </row>
    <row r="19" spans="1:93" ht="16.5" customHeight="1">
      <c r="I19" s="220" t="s">
        <v>182</v>
      </c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 t="s">
        <v>183</v>
      </c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 t="s">
        <v>184</v>
      </c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 t="s">
        <v>185</v>
      </c>
      <c r="BA19" s="220"/>
      <c r="BB19" s="220"/>
      <c r="BC19" s="220"/>
      <c r="BD19" s="220"/>
      <c r="BE19" s="220"/>
      <c r="BF19" s="220"/>
      <c r="BG19" s="220"/>
      <c r="BH19" s="220"/>
      <c r="BI19" s="220"/>
      <c r="BJ19" s="220"/>
      <c r="BK19" s="220"/>
      <c r="BL19" s="220"/>
      <c r="BM19" s="220"/>
      <c r="BN19" s="220" t="s">
        <v>184</v>
      </c>
      <c r="BO19" s="220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 t="s">
        <v>185</v>
      </c>
      <c r="CC19" s="220"/>
      <c r="CD19" s="220"/>
      <c r="CE19" s="220"/>
      <c r="CF19" s="220"/>
      <c r="CG19" s="220"/>
      <c r="CH19" s="220"/>
      <c r="CI19" s="220"/>
      <c r="CJ19" s="220"/>
      <c r="CK19" s="220"/>
      <c r="CL19" s="220"/>
      <c r="CM19" s="220"/>
      <c r="CN19" s="220"/>
      <c r="CO19" s="220"/>
    </row>
    <row r="20" spans="1:93" ht="24.95" customHeight="1">
      <c r="A20" s="136" t="s">
        <v>186</v>
      </c>
      <c r="B20" s="220" t="s">
        <v>187</v>
      </c>
      <c r="C20" s="220"/>
      <c r="D20" s="220"/>
      <c r="E20" s="136" t="s">
        <v>188</v>
      </c>
      <c r="F20" s="136" t="s">
        <v>189</v>
      </c>
      <c r="G20" s="136" t="s">
        <v>190</v>
      </c>
      <c r="H20" s="136" t="s">
        <v>191</v>
      </c>
      <c r="I20" s="220" t="s">
        <v>192</v>
      </c>
      <c r="J20" s="220"/>
      <c r="K20" s="136" t="s">
        <v>193</v>
      </c>
      <c r="L20" s="136" t="s">
        <v>194</v>
      </c>
      <c r="M20" s="136" t="s">
        <v>195</v>
      </c>
      <c r="N20" s="136" t="s">
        <v>196</v>
      </c>
      <c r="O20" s="136" t="s">
        <v>197</v>
      </c>
      <c r="P20" s="136" t="s">
        <v>198</v>
      </c>
      <c r="Q20" s="136" t="s">
        <v>199</v>
      </c>
      <c r="R20" s="137" t="s">
        <v>200</v>
      </c>
      <c r="S20" s="137" t="s">
        <v>201</v>
      </c>
      <c r="T20" s="137" t="s">
        <v>202</v>
      </c>
      <c r="U20" s="137" t="s">
        <v>203</v>
      </c>
      <c r="V20" s="178" t="s">
        <v>204</v>
      </c>
      <c r="W20" s="137" t="s">
        <v>205</v>
      </c>
      <c r="X20" s="136" t="s">
        <v>192</v>
      </c>
      <c r="Y20" s="136" t="s">
        <v>193</v>
      </c>
      <c r="Z20" s="136" t="s">
        <v>194</v>
      </c>
      <c r="AA20" s="136" t="s">
        <v>195</v>
      </c>
      <c r="AB20" s="136" t="s">
        <v>196</v>
      </c>
      <c r="AC20" s="136" t="s">
        <v>197</v>
      </c>
      <c r="AD20" s="136" t="s">
        <v>198</v>
      </c>
      <c r="AE20" s="136" t="s">
        <v>199</v>
      </c>
      <c r="AF20" s="137" t="s">
        <v>200</v>
      </c>
      <c r="AG20" s="137" t="s">
        <v>201</v>
      </c>
      <c r="AH20" s="137" t="s">
        <v>202</v>
      </c>
      <c r="AI20" s="137" t="s">
        <v>203</v>
      </c>
      <c r="AJ20" s="178" t="s">
        <v>204</v>
      </c>
      <c r="AK20" s="137" t="s">
        <v>205</v>
      </c>
      <c r="AL20" s="136" t="s">
        <v>192</v>
      </c>
      <c r="AM20" s="136" t="s">
        <v>193</v>
      </c>
      <c r="AN20" s="136" t="s">
        <v>194</v>
      </c>
      <c r="AO20" s="136" t="s">
        <v>195</v>
      </c>
      <c r="AP20" s="136" t="s">
        <v>196</v>
      </c>
      <c r="AQ20" s="136" t="s">
        <v>197</v>
      </c>
      <c r="AR20" s="136" t="s">
        <v>198</v>
      </c>
      <c r="AS20" s="136" t="s">
        <v>199</v>
      </c>
      <c r="AT20" s="137" t="s">
        <v>200</v>
      </c>
      <c r="AU20" s="137" t="s">
        <v>201</v>
      </c>
      <c r="AV20" s="137" t="s">
        <v>202</v>
      </c>
      <c r="AW20" s="137" t="s">
        <v>203</v>
      </c>
      <c r="AX20" s="178" t="s">
        <v>204</v>
      </c>
      <c r="AY20" s="137" t="s">
        <v>205</v>
      </c>
      <c r="AZ20" s="136" t="s">
        <v>192</v>
      </c>
      <c r="BA20" s="136" t="s">
        <v>193</v>
      </c>
      <c r="BB20" s="136" t="s">
        <v>194</v>
      </c>
      <c r="BC20" s="136" t="s">
        <v>195</v>
      </c>
      <c r="BD20" s="136" t="s">
        <v>196</v>
      </c>
      <c r="BE20" s="136" t="s">
        <v>197</v>
      </c>
      <c r="BF20" s="136" t="s">
        <v>198</v>
      </c>
      <c r="BG20" s="136" t="s">
        <v>199</v>
      </c>
      <c r="BH20" s="137" t="s">
        <v>200</v>
      </c>
      <c r="BI20" s="137" t="s">
        <v>201</v>
      </c>
      <c r="BJ20" s="137" t="s">
        <v>202</v>
      </c>
      <c r="BK20" s="137" t="s">
        <v>203</v>
      </c>
      <c r="BL20" s="178" t="s">
        <v>204</v>
      </c>
      <c r="BM20" s="137" t="s">
        <v>205</v>
      </c>
      <c r="BN20" s="136" t="s">
        <v>192</v>
      </c>
      <c r="BO20" s="136" t="s">
        <v>193</v>
      </c>
      <c r="BP20" s="136" t="s">
        <v>194</v>
      </c>
      <c r="BQ20" s="136" t="s">
        <v>195</v>
      </c>
      <c r="BR20" s="136" t="s">
        <v>196</v>
      </c>
      <c r="BS20" s="136" t="s">
        <v>197</v>
      </c>
      <c r="BT20" s="136" t="s">
        <v>198</v>
      </c>
      <c r="BU20" s="136" t="s">
        <v>199</v>
      </c>
      <c r="BV20" s="137" t="s">
        <v>200</v>
      </c>
      <c r="BW20" s="137" t="s">
        <v>201</v>
      </c>
      <c r="BX20" s="137" t="s">
        <v>202</v>
      </c>
      <c r="BY20" s="137" t="s">
        <v>203</v>
      </c>
      <c r="BZ20" s="137" t="s">
        <v>204</v>
      </c>
      <c r="CA20" s="137" t="s">
        <v>205</v>
      </c>
      <c r="CB20" s="136" t="s">
        <v>192</v>
      </c>
      <c r="CC20" s="136" t="s">
        <v>193</v>
      </c>
      <c r="CD20" s="136" t="s">
        <v>194</v>
      </c>
      <c r="CE20" s="136" t="s">
        <v>195</v>
      </c>
      <c r="CF20" s="136" t="s">
        <v>196</v>
      </c>
      <c r="CG20" s="136" t="s">
        <v>197</v>
      </c>
      <c r="CH20" s="136" t="s">
        <v>198</v>
      </c>
      <c r="CI20" s="136" t="s">
        <v>199</v>
      </c>
      <c r="CJ20" s="137" t="s">
        <v>200</v>
      </c>
      <c r="CK20" s="137" t="s">
        <v>201</v>
      </c>
      <c r="CL20" s="137" t="s">
        <v>202</v>
      </c>
      <c r="CM20" s="137" t="s">
        <v>203</v>
      </c>
      <c r="CN20" s="178" t="s">
        <v>204</v>
      </c>
      <c r="CO20" s="137" t="s">
        <v>205</v>
      </c>
    </row>
    <row r="21" spans="1:93" ht="16.5" customHeight="1">
      <c r="A21" s="138" t="s">
        <v>206</v>
      </c>
      <c r="B21" s="220" t="s">
        <v>207</v>
      </c>
      <c r="C21" s="220"/>
      <c r="D21" s="220"/>
      <c r="E21" s="136" t="s">
        <v>208</v>
      </c>
      <c r="F21" s="136" t="s">
        <v>209</v>
      </c>
      <c r="G21" s="139">
        <v>2025</v>
      </c>
      <c r="H21" s="136" t="s">
        <v>210</v>
      </c>
      <c r="I21" s="221"/>
      <c r="J21" s="221"/>
      <c r="K21" s="140"/>
      <c r="L21" s="141"/>
      <c r="M21" s="141"/>
      <c r="N21" s="141"/>
      <c r="O21" s="141"/>
      <c r="P21" s="141"/>
      <c r="Q21" s="141"/>
      <c r="R21" s="142"/>
      <c r="S21" s="142"/>
      <c r="T21" s="142"/>
      <c r="U21" s="142"/>
      <c r="V21" s="179"/>
      <c r="W21" s="142"/>
      <c r="X21" s="141"/>
      <c r="Y21" s="140"/>
      <c r="Z21" s="141"/>
      <c r="AA21" s="141"/>
      <c r="AB21" s="141"/>
      <c r="AC21" s="141"/>
      <c r="AD21" s="141"/>
      <c r="AE21" s="141"/>
      <c r="AF21" s="142"/>
      <c r="AG21" s="142"/>
      <c r="AH21" s="142"/>
      <c r="AI21" s="142"/>
      <c r="AJ21" s="179"/>
      <c r="AK21" s="142"/>
      <c r="AL21" s="141">
        <v>1</v>
      </c>
      <c r="AM21" s="140">
        <v>0</v>
      </c>
      <c r="AN21" s="141">
        <v>0</v>
      </c>
      <c r="AO21" s="141">
        <v>0</v>
      </c>
      <c r="AP21" s="141">
        <v>0</v>
      </c>
      <c r="AQ21" s="141">
        <v>0</v>
      </c>
      <c r="AR21" s="141">
        <v>0</v>
      </c>
      <c r="AS21" s="141">
        <v>0</v>
      </c>
      <c r="AT21" s="142">
        <v>6.0000000000000001E-3</v>
      </c>
      <c r="AU21" s="142">
        <v>1E-3</v>
      </c>
      <c r="AV21" s="142">
        <v>4.4480000000000004</v>
      </c>
      <c r="AW21" s="142">
        <v>0.8</v>
      </c>
      <c r="AX21" s="179">
        <v>5.2480000000000002</v>
      </c>
      <c r="AY21" s="142">
        <v>7.0000000000000001E-3</v>
      </c>
      <c r="AZ21" s="141"/>
      <c r="BA21" s="140"/>
      <c r="BB21" s="141"/>
      <c r="BC21" s="141"/>
      <c r="BD21" s="141"/>
      <c r="BE21" s="141"/>
      <c r="BF21" s="141"/>
      <c r="BG21" s="141"/>
      <c r="BH21" s="142"/>
      <c r="BI21" s="142"/>
      <c r="BJ21" s="142"/>
      <c r="BK21" s="142"/>
      <c r="BL21" s="179"/>
      <c r="BM21" s="142"/>
      <c r="BN21" s="141">
        <v>1</v>
      </c>
      <c r="BO21" s="140">
        <v>0</v>
      </c>
      <c r="BP21" s="141">
        <v>0</v>
      </c>
      <c r="BQ21" s="141">
        <v>0</v>
      </c>
      <c r="BR21" s="141">
        <v>0</v>
      </c>
      <c r="BS21" s="141">
        <v>0</v>
      </c>
      <c r="BT21" s="141">
        <v>0</v>
      </c>
      <c r="BU21" s="141">
        <v>0</v>
      </c>
      <c r="BV21" s="142">
        <v>0</v>
      </c>
      <c r="BW21" s="142">
        <v>0</v>
      </c>
      <c r="BX21" s="142">
        <v>0</v>
      </c>
      <c r="BY21" s="142">
        <v>0</v>
      </c>
      <c r="BZ21" s="142">
        <v>0</v>
      </c>
      <c r="CA21" s="142">
        <v>0</v>
      </c>
      <c r="CB21" s="141">
        <v>1</v>
      </c>
      <c r="CC21" s="140">
        <v>1</v>
      </c>
      <c r="CD21" s="141">
        <v>1</v>
      </c>
      <c r="CE21" s="141">
        <v>60</v>
      </c>
      <c r="CF21" s="141">
        <v>60</v>
      </c>
      <c r="CG21" s="141">
        <v>60</v>
      </c>
      <c r="CH21" s="141">
        <v>0</v>
      </c>
      <c r="CI21" s="141">
        <v>0</v>
      </c>
      <c r="CJ21" s="142">
        <v>0</v>
      </c>
      <c r="CK21" s="142">
        <v>0</v>
      </c>
      <c r="CL21" s="142">
        <v>0</v>
      </c>
      <c r="CM21" s="142">
        <v>0</v>
      </c>
      <c r="CN21" s="179">
        <v>0</v>
      </c>
      <c r="CO21" s="142">
        <v>0</v>
      </c>
    </row>
    <row r="22" spans="1:93" ht="16.5" customHeight="1">
      <c r="A22" s="222"/>
      <c r="B22" s="220" t="s">
        <v>211</v>
      </c>
      <c r="C22" s="220"/>
      <c r="D22" s="220"/>
      <c r="E22" s="136" t="s">
        <v>212</v>
      </c>
      <c r="F22" s="136" t="s">
        <v>209</v>
      </c>
      <c r="G22" s="139">
        <v>2025</v>
      </c>
      <c r="H22" s="136" t="s">
        <v>210</v>
      </c>
      <c r="I22" s="221"/>
      <c r="J22" s="221"/>
      <c r="K22" s="140"/>
      <c r="L22" s="141"/>
      <c r="M22" s="141"/>
      <c r="N22" s="141"/>
      <c r="O22" s="141"/>
      <c r="P22" s="141"/>
      <c r="Q22" s="141"/>
      <c r="R22" s="142"/>
      <c r="S22" s="142"/>
      <c r="T22" s="142"/>
      <c r="U22" s="142"/>
      <c r="V22" s="179"/>
      <c r="W22" s="142"/>
      <c r="X22" s="141"/>
      <c r="Y22" s="140"/>
      <c r="Z22" s="141"/>
      <c r="AA22" s="141"/>
      <c r="AB22" s="141"/>
      <c r="AC22" s="141"/>
      <c r="AD22" s="141"/>
      <c r="AE22" s="141"/>
      <c r="AF22" s="142"/>
      <c r="AG22" s="142"/>
      <c r="AH22" s="142"/>
      <c r="AI22" s="142"/>
      <c r="AJ22" s="179"/>
      <c r="AK22" s="142"/>
      <c r="AL22" s="141">
        <v>70</v>
      </c>
      <c r="AM22" s="140">
        <v>0</v>
      </c>
      <c r="AN22" s="141">
        <v>0</v>
      </c>
      <c r="AO22" s="141">
        <v>0</v>
      </c>
      <c r="AP22" s="141">
        <v>0</v>
      </c>
      <c r="AQ22" s="141">
        <v>0</v>
      </c>
      <c r="AR22" s="141">
        <v>0</v>
      </c>
      <c r="AS22" s="141">
        <v>0</v>
      </c>
      <c r="AT22" s="142">
        <v>1.177</v>
      </c>
      <c r="AU22" s="142">
        <v>0.21199999999999999</v>
      </c>
      <c r="AV22" s="142">
        <v>918.36300000000006</v>
      </c>
      <c r="AW22" s="142">
        <v>165.327</v>
      </c>
      <c r="AX22" s="179">
        <v>1083.69</v>
      </c>
      <c r="AY22" s="142">
        <v>1.389</v>
      </c>
      <c r="AZ22" s="141"/>
      <c r="BA22" s="140"/>
      <c r="BB22" s="141"/>
      <c r="BC22" s="141"/>
      <c r="BD22" s="141"/>
      <c r="BE22" s="141"/>
      <c r="BF22" s="141"/>
      <c r="BG22" s="141"/>
      <c r="BH22" s="142"/>
      <c r="BI22" s="142"/>
      <c r="BJ22" s="142"/>
      <c r="BK22" s="142"/>
      <c r="BL22" s="179"/>
      <c r="BM22" s="142"/>
      <c r="BN22" s="141">
        <v>68</v>
      </c>
      <c r="BO22" s="140">
        <v>0</v>
      </c>
      <c r="BP22" s="141">
        <v>0</v>
      </c>
      <c r="BQ22" s="141">
        <v>0</v>
      </c>
      <c r="BR22" s="141">
        <v>0</v>
      </c>
      <c r="BS22" s="141">
        <v>0</v>
      </c>
      <c r="BT22" s="141">
        <v>0</v>
      </c>
      <c r="BU22" s="141">
        <v>0</v>
      </c>
      <c r="BV22" s="142">
        <v>0</v>
      </c>
      <c r="BW22" s="142">
        <v>0</v>
      </c>
      <c r="BX22" s="142">
        <v>0</v>
      </c>
      <c r="BY22" s="142">
        <v>0</v>
      </c>
      <c r="BZ22" s="142">
        <v>0</v>
      </c>
      <c r="CA22" s="142">
        <v>0</v>
      </c>
      <c r="CB22" s="141"/>
      <c r="CC22" s="140"/>
      <c r="CD22" s="141"/>
      <c r="CE22" s="141"/>
      <c r="CF22" s="141"/>
      <c r="CG22" s="141"/>
      <c r="CH22" s="141"/>
      <c r="CI22" s="141"/>
      <c r="CJ22" s="142"/>
      <c r="CK22" s="142"/>
      <c r="CL22" s="142"/>
      <c r="CM22" s="142"/>
      <c r="CN22" s="179"/>
      <c r="CO22" s="142"/>
    </row>
    <row r="23" spans="1:93" ht="16.5" customHeight="1">
      <c r="A23" s="222"/>
      <c r="B23" s="220" t="s">
        <v>213</v>
      </c>
      <c r="C23" s="220"/>
      <c r="D23" s="220"/>
      <c r="E23" s="136" t="s">
        <v>214</v>
      </c>
      <c r="F23" s="136" t="s">
        <v>209</v>
      </c>
      <c r="G23" s="139">
        <v>2025</v>
      </c>
      <c r="H23" s="136" t="s">
        <v>210</v>
      </c>
      <c r="I23" s="221"/>
      <c r="J23" s="221"/>
      <c r="K23" s="140"/>
      <c r="L23" s="141"/>
      <c r="M23" s="141"/>
      <c r="N23" s="141"/>
      <c r="O23" s="141"/>
      <c r="P23" s="141"/>
      <c r="Q23" s="141"/>
      <c r="R23" s="142"/>
      <c r="S23" s="142"/>
      <c r="T23" s="142"/>
      <c r="U23" s="142"/>
      <c r="V23" s="179"/>
      <c r="W23" s="142"/>
      <c r="X23" s="141">
        <v>2681</v>
      </c>
      <c r="Y23" s="140">
        <v>94962.282999999996</v>
      </c>
      <c r="Z23" s="141">
        <v>0</v>
      </c>
      <c r="AA23" s="141">
        <v>5697737</v>
      </c>
      <c r="AB23" s="141">
        <v>38343</v>
      </c>
      <c r="AC23" s="141">
        <v>39085</v>
      </c>
      <c r="AD23" s="141">
        <v>9807</v>
      </c>
      <c r="AE23" s="141">
        <v>28536</v>
      </c>
      <c r="AF23" s="142">
        <v>0.25700000000000001</v>
      </c>
      <c r="AG23" s="142">
        <v>4.5999999999999999E-2</v>
      </c>
      <c r="AH23" s="142">
        <v>200.38499999999999</v>
      </c>
      <c r="AI23" s="142">
        <v>36.043999999999997</v>
      </c>
      <c r="AJ23" s="179">
        <v>236.429</v>
      </c>
      <c r="AK23" s="142">
        <v>0.30299999999999999</v>
      </c>
      <c r="AL23" s="141"/>
      <c r="AM23" s="140"/>
      <c r="AN23" s="141"/>
      <c r="AO23" s="141"/>
      <c r="AP23" s="141"/>
      <c r="AQ23" s="141"/>
      <c r="AR23" s="141"/>
      <c r="AS23" s="141"/>
      <c r="AT23" s="142"/>
      <c r="AU23" s="142"/>
      <c r="AV23" s="142"/>
      <c r="AW23" s="142"/>
      <c r="AX23" s="179"/>
      <c r="AY23" s="142"/>
      <c r="AZ23" s="141"/>
      <c r="BA23" s="140"/>
      <c r="BB23" s="141"/>
      <c r="BC23" s="141"/>
      <c r="BD23" s="141"/>
      <c r="BE23" s="141"/>
      <c r="BF23" s="141"/>
      <c r="BG23" s="141"/>
      <c r="BH23" s="142"/>
      <c r="BI23" s="142"/>
      <c r="BJ23" s="142"/>
      <c r="BK23" s="142"/>
      <c r="BL23" s="179"/>
      <c r="BM23" s="142"/>
      <c r="BN23" s="141"/>
      <c r="BO23" s="140"/>
      <c r="BP23" s="141"/>
      <c r="BQ23" s="141"/>
      <c r="BR23" s="141"/>
      <c r="BS23" s="141"/>
      <c r="BT23" s="141"/>
      <c r="BU23" s="141"/>
      <c r="BV23" s="142"/>
      <c r="BW23" s="142"/>
      <c r="BX23" s="142"/>
      <c r="BY23" s="142"/>
      <c r="BZ23" s="142"/>
      <c r="CA23" s="142"/>
      <c r="CB23" s="141"/>
      <c r="CC23" s="140"/>
      <c r="CD23" s="141"/>
      <c r="CE23" s="141"/>
      <c r="CF23" s="141"/>
      <c r="CG23" s="141"/>
      <c r="CH23" s="141"/>
      <c r="CI23" s="141"/>
      <c r="CJ23" s="142"/>
      <c r="CK23" s="142"/>
      <c r="CL23" s="142"/>
      <c r="CM23" s="142"/>
      <c r="CN23" s="179"/>
      <c r="CO23" s="142"/>
    </row>
    <row r="24" spans="1:93" ht="16.5" customHeight="1">
      <c r="A24" s="222"/>
      <c r="B24" s="220" t="s">
        <v>215</v>
      </c>
      <c r="C24" s="220"/>
      <c r="D24" s="220"/>
      <c r="E24" s="136" t="s">
        <v>216</v>
      </c>
      <c r="F24" s="136" t="s">
        <v>209</v>
      </c>
      <c r="G24" s="139">
        <v>2025</v>
      </c>
      <c r="H24" s="136" t="s">
        <v>210</v>
      </c>
      <c r="I24" s="221"/>
      <c r="J24" s="221"/>
      <c r="K24" s="140"/>
      <c r="L24" s="141"/>
      <c r="M24" s="141"/>
      <c r="N24" s="141"/>
      <c r="O24" s="141"/>
      <c r="P24" s="141"/>
      <c r="Q24" s="141"/>
      <c r="R24" s="142"/>
      <c r="S24" s="142"/>
      <c r="T24" s="142"/>
      <c r="U24" s="142"/>
      <c r="V24" s="179"/>
      <c r="W24" s="142"/>
      <c r="X24" s="141">
        <v>6</v>
      </c>
      <c r="Y24" s="140">
        <v>112.833</v>
      </c>
      <c r="Z24" s="141">
        <v>0</v>
      </c>
      <c r="AA24" s="141">
        <v>6770</v>
      </c>
      <c r="AB24" s="141">
        <v>0</v>
      </c>
      <c r="AC24" s="141">
        <v>0</v>
      </c>
      <c r="AD24" s="141">
        <v>0</v>
      </c>
      <c r="AE24" s="141">
        <v>0</v>
      </c>
      <c r="AF24" s="142">
        <v>0</v>
      </c>
      <c r="AG24" s="142">
        <v>0</v>
      </c>
      <c r="AH24" s="142">
        <v>0</v>
      </c>
      <c r="AI24" s="142">
        <v>0</v>
      </c>
      <c r="AJ24" s="179">
        <v>0</v>
      </c>
      <c r="AK24" s="142">
        <v>0</v>
      </c>
      <c r="AL24" s="141"/>
      <c r="AM24" s="140"/>
      <c r="AN24" s="141"/>
      <c r="AO24" s="141"/>
      <c r="AP24" s="141"/>
      <c r="AQ24" s="141"/>
      <c r="AR24" s="141"/>
      <c r="AS24" s="141"/>
      <c r="AT24" s="142"/>
      <c r="AU24" s="142"/>
      <c r="AV24" s="142"/>
      <c r="AW24" s="142"/>
      <c r="AX24" s="179"/>
      <c r="AY24" s="142"/>
      <c r="AZ24" s="141"/>
      <c r="BA24" s="140"/>
      <c r="BB24" s="141"/>
      <c r="BC24" s="141"/>
      <c r="BD24" s="141"/>
      <c r="BE24" s="141"/>
      <c r="BF24" s="141"/>
      <c r="BG24" s="141"/>
      <c r="BH24" s="142"/>
      <c r="BI24" s="142"/>
      <c r="BJ24" s="142"/>
      <c r="BK24" s="142"/>
      <c r="BL24" s="179"/>
      <c r="BM24" s="142"/>
      <c r="BN24" s="141"/>
      <c r="BO24" s="140"/>
      <c r="BP24" s="141"/>
      <c r="BQ24" s="141"/>
      <c r="BR24" s="141"/>
      <c r="BS24" s="141"/>
      <c r="BT24" s="141"/>
      <c r="BU24" s="141"/>
      <c r="BV24" s="142"/>
      <c r="BW24" s="142"/>
      <c r="BX24" s="142"/>
      <c r="BY24" s="142"/>
      <c r="BZ24" s="142"/>
      <c r="CA24" s="142"/>
      <c r="CB24" s="141"/>
      <c r="CC24" s="140"/>
      <c r="CD24" s="141"/>
      <c r="CE24" s="141"/>
      <c r="CF24" s="141"/>
      <c r="CG24" s="141"/>
      <c r="CH24" s="141"/>
      <c r="CI24" s="141"/>
      <c r="CJ24" s="142"/>
      <c r="CK24" s="142"/>
      <c r="CL24" s="142"/>
      <c r="CM24" s="142"/>
      <c r="CN24" s="179"/>
      <c r="CO24" s="142"/>
    </row>
    <row r="25" spans="1:93" ht="16.5" customHeight="1">
      <c r="A25" s="222"/>
      <c r="B25" s="220" t="s">
        <v>217</v>
      </c>
      <c r="C25" s="220"/>
      <c r="D25" s="220"/>
      <c r="E25" s="136" t="s">
        <v>218</v>
      </c>
      <c r="F25" s="136" t="s">
        <v>209</v>
      </c>
      <c r="G25" s="139">
        <v>2025</v>
      </c>
      <c r="H25" s="136" t="s">
        <v>210</v>
      </c>
      <c r="I25" s="221"/>
      <c r="J25" s="221"/>
      <c r="K25" s="140"/>
      <c r="L25" s="141"/>
      <c r="M25" s="141"/>
      <c r="N25" s="141"/>
      <c r="O25" s="141"/>
      <c r="P25" s="141"/>
      <c r="Q25" s="141"/>
      <c r="R25" s="142"/>
      <c r="S25" s="142"/>
      <c r="T25" s="142"/>
      <c r="U25" s="142"/>
      <c r="V25" s="179"/>
      <c r="W25" s="142"/>
      <c r="X25" s="141">
        <v>18442</v>
      </c>
      <c r="Y25" s="140">
        <v>354468.01699999999</v>
      </c>
      <c r="Z25" s="141">
        <v>0</v>
      </c>
      <c r="AA25" s="141">
        <v>21268081</v>
      </c>
      <c r="AB25" s="141">
        <v>21364519</v>
      </c>
      <c r="AC25" s="141">
        <v>23156736</v>
      </c>
      <c r="AD25" s="141">
        <v>14907897</v>
      </c>
      <c r="AE25" s="141">
        <v>6456622</v>
      </c>
      <c r="AF25" s="142">
        <v>6446.7629999999999</v>
      </c>
      <c r="AG25" s="142">
        <v>1160.4169999999999</v>
      </c>
      <c r="AH25" s="142">
        <v>5028423.8849999998</v>
      </c>
      <c r="AI25" s="142">
        <v>905116.19299999997</v>
      </c>
      <c r="AJ25" s="179">
        <v>5933540.0779999997</v>
      </c>
      <c r="AK25" s="142">
        <v>7607.1809999999996</v>
      </c>
      <c r="AL25" s="141">
        <v>7</v>
      </c>
      <c r="AM25" s="140">
        <v>0</v>
      </c>
      <c r="AN25" s="141">
        <v>0</v>
      </c>
      <c r="AO25" s="141">
        <v>0</v>
      </c>
      <c r="AP25" s="141">
        <v>0</v>
      </c>
      <c r="AQ25" s="141">
        <v>0</v>
      </c>
      <c r="AR25" s="141">
        <v>0</v>
      </c>
      <c r="AS25" s="141">
        <v>0</v>
      </c>
      <c r="AT25" s="142">
        <v>0.60899999999999999</v>
      </c>
      <c r="AU25" s="142">
        <v>0.11</v>
      </c>
      <c r="AV25" s="142">
        <v>474.73700000000002</v>
      </c>
      <c r="AW25" s="142">
        <v>85.453999999999994</v>
      </c>
      <c r="AX25" s="179">
        <v>560.19000000000005</v>
      </c>
      <c r="AY25" s="142">
        <v>0.71799999999999997</v>
      </c>
      <c r="AZ25" s="141">
        <v>8</v>
      </c>
      <c r="BA25" s="140">
        <v>12.567</v>
      </c>
      <c r="BB25" s="141">
        <v>17</v>
      </c>
      <c r="BC25" s="141">
        <v>754</v>
      </c>
      <c r="BD25" s="141">
        <v>754</v>
      </c>
      <c r="BE25" s="141">
        <v>801</v>
      </c>
      <c r="BF25" s="141">
        <v>0</v>
      </c>
      <c r="BG25" s="141">
        <v>0</v>
      </c>
      <c r="BH25" s="142">
        <v>4.1859999999999999</v>
      </c>
      <c r="BI25" s="142">
        <v>0.753</v>
      </c>
      <c r="BJ25" s="142">
        <v>3264.7449999999999</v>
      </c>
      <c r="BK25" s="142">
        <v>587.654</v>
      </c>
      <c r="BL25" s="179">
        <v>3852.3989999999999</v>
      </c>
      <c r="BM25" s="142">
        <v>4.9390000000000001</v>
      </c>
      <c r="BN25" s="141">
        <v>18745</v>
      </c>
      <c r="BO25" s="140">
        <v>0</v>
      </c>
      <c r="BP25" s="141">
        <v>0</v>
      </c>
      <c r="BQ25" s="141">
        <v>0</v>
      </c>
      <c r="BR25" s="141">
        <v>0</v>
      </c>
      <c r="BS25" s="141">
        <v>0</v>
      </c>
      <c r="BT25" s="141">
        <v>0</v>
      </c>
      <c r="BU25" s="141">
        <v>0</v>
      </c>
      <c r="BV25" s="142">
        <v>0</v>
      </c>
      <c r="BW25" s="142">
        <v>0</v>
      </c>
      <c r="BX25" s="142">
        <v>0</v>
      </c>
      <c r="BY25" s="142">
        <v>0</v>
      </c>
      <c r="BZ25" s="142">
        <v>0</v>
      </c>
      <c r="CA25" s="142">
        <v>0</v>
      </c>
      <c r="CB25" s="141">
        <v>57</v>
      </c>
      <c r="CC25" s="140">
        <v>52.35</v>
      </c>
      <c r="CD25" s="141">
        <v>85</v>
      </c>
      <c r="CE25" s="141">
        <v>3141</v>
      </c>
      <c r="CF25" s="141">
        <v>3141</v>
      </c>
      <c r="CG25" s="141">
        <v>5100</v>
      </c>
      <c r="CH25" s="141">
        <v>0</v>
      </c>
      <c r="CI25" s="141">
        <v>0</v>
      </c>
      <c r="CJ25" s="142">
        <v>0</v>
      </c>
      <c r="CK25" s="142">
        <v>0</v>
      </c>
      <c r="CL25" s="142">
        <v>0</v>
      </c>
      <c r="CM25" s="142">
        <v>0</v>
      </c>
      <c r="CN25" s="179">
        <v>0</v>
      </c>
      <c r="CO25" s="142">
        <v>0</v>
      </c>
    </row>
    <row r="26" spans="1:93" ht="16.5" customHeight="1">
      <c r="A26" s="222"/>
      <c r="B26" s="220" t="s">
        <v>219</v>
      </c>
      <c r="C26" s="220"/>
      <c r="D26" s="220"/>
      <c r="E26" s="136" t="s">
        <v>220</v>
      </c>
      <c r="F26" s="136" t="s">
        <v>209</v>
      </c>
      <c r="G26" s="139">
        <v>2025</v>
      </c>
      <c r="H26" s="136" t="s">
        <v>210</v>
      </c>
      <c r="I26" s="221"/>
      <c r="J26" s="221"/>
      <c r="K26" s="140"/>
      <c r="L26" s="141"/>
      <c r="M26" s="141"/>
      <c r="N26" s="141"/>
      <c r="O26" s="141"/>
      <c r="P26" s="141"/>
      <c r="Q26" s="141"/>
      <c r="R26" s="142"/>
      <c r="S26" s="142"/>
      <c r="T26" s="142"/>
      <c r="U26" s="142"/>
      <c r="V26" s="179"/>
      <c r="W26" s="142"/>
      <c r="X26" s="141">
        <v>328</v>
      </c>
      <c r="Y26" s="140">
        <v>7550.0330000000004</v>
      </c>
      <c r="Z26" s="141">
        <v>0</v>
      </c>
      <c r="AA26" s="141">
        <v>453002</v>
      </c>
      <c r="AB26" s="141">
        <v>2701</v>
      </c>
      <c r="AC26" s="141">
        <v>2803</v>
      </c>
      <c r="AD26" s="141">
        <v>260</v>
      </c>
      <c r="AE26" s="141">
        <v>2441</v>
      </c>
      <c r="AF26" s="142">
        <v>1.2E-2</v>
      </c>
      <c r="AG26" s="142">
        <v>2E-3</v>
      </c>
      <c r="AH26" s="142">
        <v>8.9710000000000001</v>
      </c>
      <c r="AI26" s="142">
        <v>1.6240000000000001</v>
      </c>
      <c r="AJ26" s="179">
        <v>10.595000000000001</v>
      </c>
      <c r="AK26" s="142">
        <v>1.4E-2</v>
      </c>
      <c r="AL26" s="141">
        <v>3</v>
      </c>
      <c r="AM26" s="140">
        <v>0</v>
      </c>
      <c r="AN26" s="141">
        <v>0</v>
      </c>
      <c r="AO26" s="141">
        <v>0</v>
      </c>
      <c r="AP26" s="141">
        <v>0</v>
      </c>
      <c r="AQ26" s="141">
        <v>0</v>
      </c>
      <c r="AR26" s="141">
        <v>0</v>
      </c>
      <c r="AS26" s="141">
        <v>0</v>
      </c>
      <c r="AT26" s="142">
        <v>2.5000000000000001E-2</v>
      </c>
      <c r="AU26" s="142">
        <v>5.0000000000000001E-3</v>
      </c>
      <c r="AV26" s="142">
        <v>19.678999999999998</v>
      </c>
      <c r="AW26" s="142">
        <v>3.5430000000000001</v>
      </c>
      <c r="AX26" s="179">
        <v>23.222000000000001</v>
      </c>
      <c r="AY26" s="142">
        <v>0.03</v>
      </c>
      <c r="AZ26" s="141"/>
      <c r="BA26" s="140"/>
      <c r="BB26" s="141"/>
      <c r="BC26" s="141"/>
      <c r="BD26" s="141"/>
      <c r="BE26" s="141"/>
      <c r="BF26" s="141"/>
      <c r="BG26" s="141"/>
      <c r="BH26" s="142"/>
      <c r="BI26" s="142"/>
      <c r="BJ26" s="142"/>
      <c r="BK26" s="142"/>
      <c r="BL26" s="179"/>
      <c r="BM26" s="142"/>
      <c r="BN26" s="141">
        <v>148</v>
      </c>
      <c r="BO26" s="140">
        <v>0</v>
      </c>
      <c r="BP26" s="141">
        <v>0</v>
      </c>
      <c r="BQ26" s="141">
        <v>0</v>
      </c>
      <c r="BR26" s="141">
        <v>0</v>
      </c>
      <c r="BS26" s="141">
        <v>0</v>
      </c>
      <c r="BT26" s="141">
        <v>0</v>
      </c>
      <c r="BU26" s="141">
        <v>0</v>
      </c>
      <c r="BV26" s="142">
        <v>0</v>
      </c>
      <c r="BW26" s="142">
        <v>0</v>
      </c>
      <c r="BX26" s="142">
        <v>0</v>
      </c>
      <c r="BY26" s="142">
        <v>0</v>
      </c>
      <c r="BZ26" s="142">
        <v>0</v>
      </c>
      <c r="CA26" s="142">
        <v>0</v>
      </c>
      <c r="CB26" s="141"/>
      <c r="CC26" s="140"/>
      <c r="CD26" s="141"/>
      <c r="CE26" s="141"/>
      <c r="CF26" s="141"/>
      <c r="CG26" s="141"/>
      <c r="CH26" s="141"/>
      <c r="CI26" s="141"/>
      <c r="CJ26" s="142"/>
      <c r="CK26" s="142"/>
      <c r="CL26" s="142"/>
      <c r="CM26" s="142"/>
      <c r="CN26" s="179"/>
      <c r="CO26" s="142"/>
    </row>
    <row r="27" spans="1:93" ht="16.5" customHeight="1">
      <c r="A27" s="222"/>
      <c r="B27" s="220" t="s">
        <v>221</v>
      </c>
      <c r="C27" s="220"/>
      <c r="D27" s="220"/>
      <c r="E27" s="136" t="s">
        <v>222</v>
      </c>
      <c r="F27" s="136" t="s">
        <v>209</v>
      </c>
      <c r="G27" s="139">
        <v>2025</v>
      </c>
      <c r="H27" s="136" t="s">
        <v>210</v>
      </c>
      <c r="I27" s="221">
        <v>1</v>
      </c>
      <c r="J27" s="221"/>
      <c r="K27" s="140">
        <v>1.7330000000000001</v>
      </c>
      <c r="L27" s="141">
        <v>0</v>
      </c>
      <c r="M27" s="141">
        <v>104</v>
      </c>
      <c r="N27" s="141">
        <v>46</v>
      </c>
      <c r="O27" s="141">
        <v>46</v>
      </c>
      <c r="P27" s="141">
        <v>37</v>
      </c>
      <c r="Q27" s="141">
        <v>9</v>
      </c>
      <c r="R27" s="142">
        <v>0</v>
      </c>
      <c r="S27" s="142">
        <v>0</v>
      </c>
      <c r="T27" s="142">
        <v>0.2</v>
      </c>
      <c r="U27" s="142">
        <v>3.5999999999999997E-2</v>
      </c>
      <c r="V27" s="179">
        <v>0.23599999999999999</v>
      </c>
      <c r="W27" s="142">
        <v>0</v>
      </c>
      <c r="X27" s="141">
        <v>366326</v>
      </c>
      <c r="Y27" s="140">
        <v>12151146.067</v>
      </c>
      <c r="Z27" s="141">
        <v>0</v>
      </c>
      <c r="AA27" s="141">
        <v>729068764</v>
      </c>
      <c r="AB27" s="141">
        <v>4094781</v>
      </c>
      <c r="AC27" s="141">
        <v>4170016</v>
      </c>
      <c r="AD27" s="141">
        <v>1916178</v>
      </c>
      <c r="AE27" s="141">
        <v>2178603</v>
      </c>
      <c r="AF27" s="142">
        <v>23.241</v>
      </c>
      <c r="AG27" s="142">
        <v>4.1760000000000002</v>
      </c>
      <c r="AH27" s="142">
        <v>18128.117999999999</v>
      </c>
      <c r="AI27" s="142">
        <v>3257.527</v>
      </c>
      <c r="AJ27" s="179">
        <v>21385.644</v>
      </c>
      <c r="AK27" s="142">
        <v>27.417999999999999</v>
      </c>
      <c r="AL27" s="141">
        <v>249</v>
      </c>
      <c r="AM27" s="140">
        <v>0</v>
      </c>
      <c r="AN27" s="141">
        <v>0</v>
      </c>
      <c r="AO27" s="141">
        <v>0</v>
      </c>
      <c r="AP27" s="141">
        <v>0</v>
      </c>
      <c r="AQ27" s="141">
        <v>0</v>
      </c>
      <c r="AR27" s="141">
        <v>0</v>
      </c>
      <c r="AS27" s="141">
        <v>0</v>
      </c>
      <c r="AT27" s="142">
        <v>1.42</v>
      </c>
      <c r="AU27" s="142">
        <v>0.255</v>
      </c>
      <c r="AV27" s="142">
        <v>1107.431</v>
      </c>
      <c r="AW27" s="142">
        <v>199.268</v>
      </c>
      <c r="AX27" s="179">
        <v>1306.6990000000001</v>
      </c>
      <c r="AY27" s="142">
        <v>1.675</v>
      </c>
      <c r="AZ27" s="141">
        <v>48</v>
      </c>
      <c r="BA27" s="140">
        <v>74.2</v>
      </c>
      <c r="BB27" s="141">
        <v>104</v>
      </c>
      <c r="BC27" s="141">
        <v>4452</v>
      </c>
      <c r="BD27" s="141">
        <v>4452</v>
      </c>
      <c r="BE27" s="141">
        <v>4425</v>
      </c>
      <c r="BF27" s="141">
        <v>0</v>
      </c>
      <c r="BG27" s="141">
        <v>0</v>
      </c>
      <c r="BH27" s="142">
        <v>9.5950000000000006</v>
      </c>
      <c r="BI27" s="142">
        <v>1.7270000000000001</v>
      </c>
      <c r="BJ27" s="142">
        <v>7483.8940000000002</v>
      </c>
      <c r="BK27" s="142">
        <v>1347.1020000000001</v>
      </c>
      <c r="BL27" s="179">
        <v>8830.9959999999992</v>
      </c>
      <c r="BM27" s="142">
        <v>11.321999999999999</v>
      </c>
      <c r="BN27" s="141">
        <v>2862</v>
      </c>
      <c r="BO27" s="140">
        <v>0</v>
      </c>
      <c r="BP27" s="141">
        <v>0</v>
      </c>
      <c r="BQ27" s="141">
        <v>0</v>
      </c>
      <c r="BR27" s="141">
        <v>0</v>
      </c>
      <c r="BS27" s="141">
        <v>0</v>
      </c>
      <c r="BT27" s="141">
        <v>0</v>
      </c>
      <c r="BU27" s="141">
        <v>0</v>
      </c>
      <c r="BV27" s="142">
        <v>0</v>
      </c>
      <c r="BW27" s="142">
        <v>0</v>
      </c>
      <c r="BX27" s="142">
        <v>0</v>
      </c>
      <c r="BY27" s="142">
        <v>0</v>
      </c>
      <c r="BZ27" s="142">
        <v>0</v>
      </c>
      <c r="CA27" s="142">
        <v>0</v>
      </c>
      <c r="CB27" s="141">
        <v>52</v>
      </c>
      <c r="CC27" s="140">
        <v>60.8</v>
      </c>
      <c r="CD27" s="141">
        <v>94</v>
      </c>
      <c r="CE27" s="141">
        <v>3648</v>
      </c>
      <c r="CF27" s="141">
        <v>3648</v>
      </c>
      <c r="CG27" s="141">
        <v>3648</v>
      </c>
      <c r="CH27" s="141">
        <v>0</v>
      </c>
      <c r="CI27" s="141">
        <v>0</v>
      </c>
      <c r="CJ27" s="142">
        <v>0</v>
      </c>
      <c r="CK27" s="142">
        <v>0</v>
      </c>
      <c r="CL27" s="142">
        <v>0</v>
      </c>
      <c r="CM27" s="142">
        <v>0</v>
      </c>
      <c r="CN27" s="179">
        <v>0</v>
      </c>
      <c r="CO27" s="142">
        <v>0</v>
      </c>
    </row>
    <row r="28" spans="1:93" ht="16.5" customHeight="1">
      <c r="A28" s="222"/>
      <c r="B28" s="220" t="s">
        <v>223</v>
      </c>
      <c r="C28" s="220"/>
      <c r="D28" s="220"/>
      <c r="E28" s="136" t="s">
        <v>224</v>
      </c>
      <c r="F28" s="136" t="s">
        <v>209</v>
      </c>
      <c r="G28" s="139">
        <v>2025</v>
      </c>
      <c r="H28" s="136" t="s">
        <v>210</v>
      </c>
      <c r="I28" s="221"/>
      <c r="J28" s="221"/>
      <c r="K28" s="140"/>
      <c r="L28" s="141"/>
      <c r="M28" s="141"/>
      <c r="N28" s="141"/>
      <c r="O28" s="141"/>
      <c r="P28" s="141"/>
      <c r="Q28" s="141"/>
      <c r="R28" s="142"/>
      <c r="S28" s="142"/>
      <c r="T28" s="142"/>
      <c r="U28" s="142"/>
      <c r="V28" s="179"/>
      <c r="W28" s="142"/>
      <c r="X28" s="141">
        <v>73618</v>
      </c>
      <c r="Y28" s="140">
        <v>1593541.9669999999</v>
      </c>
      <c r="Z28" s="141">
        <v>0</v>
      </c>
      <c r="AA28" s="141">
        <v>95612518</v>
      </c>
      <c r="AB28" s="141">
        <v>7799242</v>
      </c>
      <c r="AC28" s="141">
        <v>7802392</v>
      </c>
      <c r="AD28" s="141">
        <v>4954033</v>
      </c>
      <c r="AE28" s="141">
        <v>2845210</v>
      </c>
      <c r="AF28" s="142">
        <v>54.304000000000002</v>
      </c>
      <c r="AG28" s="142">
        <v>9.7750000000000004</v>
      </c>
      <c r="AH28" s="142">
        <v>42357.016000000003</v>
      </c>
      <c r="AI28" s="142">
        <v>7624.4520000000002</v>
      </c>
      <c r="AJ28" s="179">
        <v>49981.468999999997</v>
      </c>
      <c r="AK28" s="142">
        <v>64.078999999999994</v>
      </c>
      <c r="AL28" s="141">
        <v>44</v>
      </c>
      <c r="AM28" s="140">
        <v>0</v>
      </c>
      <c r="AN28" s="141">
        <v>0</v>
      </c>
      <c r="AO28" s="141">
        <v>0</v>
      </c>
      <c r="AP28" s="141">
        <v>0</v>
      </c>
      <c r="AQ28" s="141">
        <v>0</v>
      </c>
      <c r="AR28" s="141">
        <v>0</v>
      </c>
      <c r="AS28" s="141">
        <v>0</v>
      </c>
      <c r="AT28" s="142">
        <v>0.627</v>
      </c>
      <c r="AU28" s="142">
        <v>0.113</v>
      </c>
      <c r="AV28" s="142">
        <v>489.22699999999998</v>
      </c>
      <c r="AW28" s="142">
        <v>88.063999999999993</v>
      </c>
      <c r="AX28" s="179">
        <v>577.29100000000005</v>
      </c>
      <c r="AY28" s="142">
        <v>0.74</v>
      </c>
      <c r="AZ28" s="141">
        <v>17</v>
      </c>
      <c r="BA28" s="140">
        <v>31.882999999999999</v>
      </c>
      <c r="BB28" s="141">
        <v>44</v>
      </c>
      <c r="BC28" s="141">
        <v>1913</v>
      </c>
      <c r="BD28" s="141">
        <v>1913</v>
      </c>
      <c r="BE28" s="141">
        <v>1913</v>
      </c>
      <c r="BF28" s="141">
        <v>0</v>
      </c>
      <c r="BG28" s="141">
        <v>0</v>
      </c>
      <c r="BH28" s="142">
        <v>6.86</v>
      </c>
      <c r="BI28" s="142">
        <v>1.2350000000000001</v>
      </c>
      <c r="BJ28" s="142">
        <v>5350.5550000000003</v>
      </c>
      <c r="BK28" s="142">
        <v>963.09900000000005</v>
      </c>
      <c r="BL28" s="179">
        <v>6313.6540000000005</v>
      </c>
      <c r="BM28" s="142">
        <v>8.0950000000000006</v>
      </c>
      <c r="BN28" s="141">
        <v>2861</v>
      </c>
      <c r="BO28" s="140">
        <v>0</v>
      </c>
      <c r="BP28" s="141">
        <v>0</v>
      </c>
      <c r="BQ28" s="141">
        <v>0</v>
      </c>
      <c r="BR28" s="141">
        <v>0</v>
      </c>
      <c r="BS28" s="141">
        <v>0</v>
      </c>
      <c r="BT28" s="141">
        <v>0</v>
      </c>
      <c r="BU28" s="141">
        <v>0</v>
      </c>
      <c r="BV28" s="142">
        <v>0</v>
      </c>
      <c r="BW28" s="142">
        <v>0</v>
      </c>
      <c r="BX28" s="142">
        <v>0</v>
      </c>
      <c r="BY28" s="142">
        <v>0</v>
      </c>
      <c r="BZ28" s="142">
        <v>0</v>
      </c>
      <c r="CA28" s="142">
        <v>0</v>
      </c>
      <c r="CB28" s="141">
        <v>16</v>
      </c>
      <c r="CC28" s="140">
        <v>14.2</v>
      </c>
      <c r="CD28" s="141">
        <v>24</v>
      </c>
      <c r="CE28" s="141">
        <v>852</v>
      </c>
      <c r="CF28" s="141">
        <v>852</v>
      </c>
      <c r="CG28" s="141">
        <v>852</v>
      </c>
      <c r="CH28" s="141">
        <v>0</v>
      </c>
      <c r="CI28" s="141">
        <v>0</v>
      </c>
      <c r="CJ28" s="142">
        <v>0</v>
      </c>
      <c r="CK28" s="142">
        <v>0</v>
      </c>
      <c r="CL28" s="142">
        <v>0</v>
      </c>
      <c r="CM28" s="142">
        <v>0</v>
      </c>
      <c r="CN28" s="179">
        <v>0</v>
      </c>
      <c r="CO28" s="142">
        <v>0</v>
      </c>
    </row>
    <row r="29" spans="1:93" ht="16.5" customHeight="1">
      <c r="A29" s="222"/>
      <c r="B29" s="220" t="s">
        <v>225</v>
      </c>
      <c r="C29" s="220"/>
      <c r="D29" s="220"/>
      <c r="E29" s="136" t="s">
        <v>220</v>
      </c>
      <c r="F29" s="136" t="s">
        <v>209</v>
      </c>
      <c r="G29" s="139">
        <v>2025</v>
      </c>
      <c r="H29" s="136" t="s">
        <v>210</v>
      </c>
      <c r="I29" s="221"/>
      <c r="J29" s="221"/>
      <c r="K29" s="140"/>
      <c r="L29" s="141"/>
      <c r="M29" s="141"/>
      <c r="N29" s="141"/>
      <c r="O29" s="141"/>
      <c r="P29" s="141"/>
      <c r="Q29" s="141"/>
      <c r="R29" s="142"/>
      <c r="S29" s="142"/>
      <c r="T29" s="142"/>
      <c r="U29" s="142"/>
      <c r="V29" s="179"/>
      <c r="W29" s="142"/>
      <c r="X29" s="141">
        <v>2</v>
      </c>
      <c r="Y29" s="140">
        <v>0.05</v>
      </c>
      <c r="Z29" s="141">
        <v>0</v>
      </c>
      <c r="AA29" s="141">
        <v>3</v>
      </c>
      <c r="AB29" s="141">
        <v>0</v>
      </c>
      <c r="AC29" s="141">
        <v>1</v>
      </c>
      <c r="AD29" s="141">
        <v>0</v>
      </c>
      <c r="AE29" s="141">
        <v>0</v>
      </c>
      <c r="AF29" s="142">
        <v>0</v>
      </c>
      <c r="AG29" s="142">
        <v>0</v>
      </c>
      <c r="AH29" s="142">
        <v>3.0000000000000001E-3</v>
      </c>
      <c r="AI29" s="142">
        <v>1E-3</v>
      </c>
      <c r="AJ29" s="179">
        <v>4.0000000000000001E-3</v>
      </c>
      <c r="AK29" s="142">
        <v>0</v>
      </c>
      <c r="AL29" s="141"/>
      <c r="AM29" s="140"/>
      <c r="AN29" s="141"/>
      <c r="AO29" s="141"/>
      <c r="AP29" s="141"/>
      <c r="AQ29" s="141"/>
      <c r="AR29" s="141"/>
      <c r="AS29" s="141"/>
      <c r="AT29" s="142"/>
      <c r="AU29" s="142"/>
      <c r="AV29" s="142"/>
      <c r="AW29" s="142"/>
      <c r="AX29" s="179"/>
      <c r="AY29" s="142"/>
      <c r="AZ29" s="141"/>
      <c r="BA29" s="140"/>
      <c r="BB29" s="141"/>
      <c r="BC29" s="141"/>
      <c r="BD29" s="141"/>
      <c r="BE29" s="141"/>
      <c r="BF29" s="141"/>
      <c r="BG29" s="141"/>
      <c r="BH29" s="142"/>
      <c r="BI29" s="142"/>
      <c r="BJ29" s="142"/>
      <c r="BK29" s="142"/>
      <c r="BL29" s="179"/>
      <c r="BM29" s="142"/>
      <c r="BN29" s="141">
        <v>2</v>
      </c>
      <c r="BO29" s="140">
        <v>0</v>
      </c>
      <c r="BP29" s="141">
        <v>0</v>
      </c>
      <c r="BQ29" s="141">
        <v>0</v>
      </c>
      <c r="BR29" s="141">
        <v>0</v>
      </c>
      <c r="BS29" s="141">
        <v>0</v>
      </c>
      <c r="BT29" s="141">
        <v>0</v>
      </c>
      <c r="BU29" s="141">
        <v>0</v>
      </c>
      <c r="BV29" s="142">
        <v>0</v>
      </c>
      <c r="BW29" s="142">
        <v>0</v>
      </c>
      <c r="BX29" s="142">
        <v>0</v>
      </c>
      <c r="BY29" s="142">
        <v>0</v>
      </c>
      <c r="BZ29" s="142">
        <v>0</v>
      </c>
      <c r="CA29" s="142">
        <v>0</v>
      </c>
      <c r="CB29" s="141"/>
      <c r="CC29" s="140"/>
      <c r="CD29" s="141"/>
      <c r="CE29" s="141"/>
      <c r="CF29" s="141"/>
      <c r="CG29" s="141"/>
      <c r="CH29" s="141"/>
      <c r="CI29" s="141"/>
      <c r="CJ29" s="142"/>
      <c r="CK29" s="142"/>
      <c r="CL29" s="142"/>
      <c r="CM29" s="142"/>
      <c r="CN29" s="179"/>
      <c r="CO29" s="142"/>
    </row>
    <row r="30" spans="1:93" ht="16.5" customHeight="1">
      <c r="A30" s="222"/>
      <c r="B30" s="220" t="s">
        <v>226</v>
      </c>
      <c r="C30" s="220"/>
      <c r="D30" s="220"/>
      <c r="E30" s="136" t="s">
        <v>227</v>
      </c>
      <c r="F30" s="136" t="s">
        <v>209</v>
      </c>
      <c r="G30" s="139">
        <v>2025</v>
      </c>
      <c r="H30" s="136" t="s">
        <v>210</v>
      </c>
      <c r="I30" s="221"/>
      <c r="J30" s="221"/>
      <c r="K30" s="140"/>
      <c r="L30" s="141"/>
      <c r="M30" s="141"/>
      <c r="N30" s="141"/>
      <c r="O30" s="141"/>
      <c r="P30" s="141"/>
      <c r="Q30" s="141"/>
      <c r="R30" s="142"/>
      <c r="S30" s="142"/>
      <c r="T30" s="142"/>
      <c r="U30" s="142"/>
      <c r="V30" s="179"/>
      <c r="W30" s="142"/>
      <c r="X30" s="141">
        <v>588682</v>
      </c>
      <c r="Y30" s="140">
        <v>1213892</v>
      </c>
      <c r="Z30" s="141">
        <v>0</v>
      </c>
      <c r="AA30" s="141">
        <v>72833520</v>
      </c>
      <c r="AB30" s="141">
        <v>66888</v>
      </c>
      <c r="AC30" s="141">
        <v>70244</v>
      </c>
      <c r="AD30" s="141">
        <v>20561</v>
      </c>
      <c r="AE30" s="141">
        <v>46328</v>
      </c>
      <c r="AF30" s="142">
        <v>0.57599999999999996</v>
      </c>
      <c r="AG30" s="142">
        <v>0.10199999999999999</v>
      </c>
      <c r="AH30" s="142">
        <v>449.19099999999997</v>
      </c>
      <c r="AI30" s="142">
        <v>79.403999999999996</v>
      </c>
      <c r="AJ30" s="179">
        <v>528.59500000000003</v>
      </c>
      <c r="AK30" s="142">
        <v>0.67800000000000005</v>
      </c>
      <c r="AL30" s="141"/>
      <c r="AM30" s="140"/>
      <c r="AN30" s="141"/>
      <c r="AO30" s="141"/>
      <c r="AP30" s="141"/>
      <c r="AQ30" s="141"/>
      <c r="AR30" s="141"/>
      <c r="AS30" s="141"/>
      <c r="AT30" s="142"/>
      <c r="AU30" s="142"/>
      <c r="AV30" s="142"/>
      <c r="AW30" s="142"/>
      <c r="AX30" s="179"/>
      <c r="AY30" s="142"/>
      <c r="AZ30" s="141"/>
      <c r="BA30" s="140"/>
      <c r="BB30" s="141"/>
      <c r="BC30" s="141"/>
      <c r="BD30" s="141"/>
      <c r="BE30" s="141"/>
      <c r="BF30" s="141"/>
      <c r="BG30" s="141"/>
      <c r="BH30" s="142"/>
      <c r="BI30" s="142"/>
      <c r="BJ30" s="142"/>
      <c r="BK30" s="142"/>
      <c r="BL30" s="179"/>
      <c r="BM30" s="142"/>
      <c r="BN30" s="141">
        <v>3</v>
      </c>
      <c r="BO30" s="140">
        <v>0</v>
      </c>
      <c r="BP30" s="141">
        <v>0</v>
      </c>
      <c r="BQ30" s="141">
        <v>0</v>
      </c>
      <c r="BR30" s="141">
        <v>0</v>
      </c>
      <c r="BS30" s="141">
        <v>0</v>
      </c>
      <c r="BT30" s="141">
        <v>0</v>
      </c>
      <c r="BU30" s="141">
        <v>0</v>
      </c>
      <c r="BV30" s="142">
        <v>0</v>
      </c>
      <c r="BW30" s="142">
        <v>0</v>
      </c>
      <c r="BX30" s="142">
        <v>0</v>
      </c>
      <c r="BY30" s="142">
        <v>0</v>
      </c>
      <c r="BZ30" s="142">
        <v>0</v>
      </c>
      <c r="CA30" s="142">
        <v>0</v>
      </c>
      <c r="CB30" s="141"/>
      <c r="CC30" s="140"/>
      <c r="CD30" s="141"/>
      <c r="CE30" s="141"/>
      <c r="CF30" s="141"/>
      <c r="CG30" s="141"/>
      <c r="CH30" s="141"/>
      <c r="CI30" s="141"/>
      <c r="CJ30" s="142"/>
      <c r="CK30" s="142"/>
      <c r="CL30" s="142"/>
      <c r="CM30" s="142"/>
      <c r="CN30" s="179"/>
      <c r="CO30" s="142"/>
    </row>
    <row r="31" spans="1:93" ht="16.5" customHeight="1">
      <c r="A31" s="222"/>
      <c r="B31" s="220" t="s">
        <v>228</v>
      </c>
      <c r="C31" s="220"/>
      <c r="D31" s="220"/>
      <c r="E31" s="136" t="s">
        <v>229</v>
      </c>
      <c r="F31" s="136" t="s">
        <v>209</v>
      </c>
      <c r="G31" s="139">
        <v>2025</v>
      </c>
      <c r="H31" s="136" t="s">
        <v>210</v>
      </c>
      <c r="I31" s="221"/>
      <c r="J31" s="221"/>
      <c r="K31" s="140"/>
      <c r="L31" s="141"/>
      <c r="M31" s="141"/>
      <c r="N31" s="141"/>
      <c r="O31" s="141"/>
      <c r="P31" s="141"/>
      <c r="Q31" s="141"/>
      <c r="R31" s="142"/>
      <c r="S31" s="142"/>
      <c r="T31" s="142"/>
      <c r="U31" s="142"/>
      <c r="V31" s="179"/>
      <c r="W31" s="142"/>
      <c r="X31" s="141">
        <v>921130</v>
      </c>
      <c r="Y31" s="140">
        <v>15580194.666999999</v>
      </c>
      <c r="Z31" s="141">
        <v>0</v>
      </c>
      <c r="AA31" s="141">
        <v>934811680</v>
      </c>
      <c r="AB31" s="141">
        <v>10425585</v>
      </c>
      <c r="AC31" s="141">
        <v>10450223</v>
      </c>
      <c r="AD31" s="141">
        <v>6857304</v>
      </c>
      <c r="AE31" s="141">
        <v>3568282</v>
      </c>
      <c r="AF31" s="142">
        <v>51.5</v>
      </c>
      <c r="AG31" s="142">
        <v>9.2710000000000008</v>
      </c>
      <c r="AH31" s="142">
        <v>40169.201999999997</v>
      </c>
      <c r="AI31" s="142">
        <v>7231.335</v>
      </c>
      <c r="AJ31" s="179">
        <v>47400.536999999997</v>
      </c>
      <c r="AK31" s="142">
        <v>60.771000000000001</v>
      </c>
      <c r="AL31" s="141">
        <v>744</v>
      </c>
      <c r="AM31" s="140">
        <v>0</v>
      </c>
      <c r="AN31" s="141">
        <v>0</v>
      </c>
      <c r="AO31" s="141">
        <v>0</v>
      </c>
      <c r="AP31" s="141">
        <v>0</v>
      </c>
      <c r="AQ31" s="141">
        <v>0</v>
      </c>
      <c r="AR31" s="141">
        <v>0</v>
      </c>
      <c r="AS31" s="141">
        <v>0</v>
      </c>
      <c r="AT31" s="142">
        <v>5.6310000000000002</v>
      </c>
      <c r="AU31" s="142">
        <v>1.0129999999999999</v>
      </c>
      <c r="AV31" s="142">
        <v>4392.3969999999999</v>
      </c>
      <c r="AW31" s="142">
        <v>790.38800000000003</v>
      </c>
      <c r="AX31" s="179">
        <v>5182.7849999999999</v>
      </c>
      <c r="AY31" s="142">
        <v>6.6449999999999996</v>
      </c>
      <c r="AZ31" s="141">
        <v>287</v>
      </c>
      <c r="BA31" s="140">
        <v>269.733</v>
      </c>
      <c r="BB31" s="141">
        <v>445</v>
      </c>
      <c r="BC31" s="141">
        <v>16184</v>
      </c>
      <c r="BD31" s="141">
        <v>16184</v>
      </c>
      <c r="BE31" s="141">
        <v>16184</v>
      </c>
      <c r="BF31" s="141">
        <v>0</v>
      </c>
      <c r="BG31" s="141">
        <v>0</v>
      </c>
      <c r="BH31" s="142">
        <v>30.565000000000001</v>
      </c>
      <c r="BI31" s="142">
        <v>5.5019999999999998</v>
      </c>
      <c r="BJ31" s="142">
        <v>23840.537</v>
      </c>
      <c r="BK31" s="142">
        <v>4291.3010000000004</v>
      </c>
      <c r="BL31" s="179">
        <v>28131.837</v>
      </c>
      <c r="BM31" s="142">
        <v>36.067</v>
      </c>
      <c r="BN31" s="141">
        <v>208281</v>
      </c>
      <c r="BO31" s="140">
        <v>0</v>
      </c>
      <c r="BP31" s="141">
        <v>0</v>
      </c>
      <c r="BQ31" s="141">
        <v>0</v>
      </c>
      <c r="BR31" s="141">
        <v>0</v>
      </c>
      <c r="BS31" s="141">
        <v>0</v>
      </c>
      <c r="BT31" s="141">
        <v>0</v>
      </c>
      <c r="BU31" s="141">
        <v>0</v>
      </c>
      <c r="BV31" s="142">
        <v>0</v>
      </c>
      <c r="BW31" s="142">
        <v>0</v>
      </c>
      <c r="BX31" s="142">
        <v>0</v>
      </c>
      <c r="BY31" s="142">
        <v>0</v>
      </c>
      <c r="BZ31" s="142">
        <v>0</v>
      </c>
      <c r="CA31" s="142">
        <v>0</v>
      </c>
      <c r="CB31" s="141">
        <v>503</v>
      </c>
      <c r="CC31" s="140">
        <v>436.65</v>
      </c>
      <c r="CD31" s="141">
        <v>728</v>
      </c>
      <c r="CE31" s="141">
        <v>26199</v>
      </c>
      <c r="CF31" s="141">
        <v>26199</v>
      </c>
      <c r="CG31" s="141">
        <v>26199</v>
      </c>
      <c r="CH31" s="141">
        <v>0</v>
      </c>
      <c r="CI31" s="141">
        <v>0</v>
      </c>
      <c r="CJ31" s="142">
        <v>0</v>
      </c>
      <c r="CK31" s="142">
        <v>0</v>
      </c>
      <c r="CL31" s="142">
        <v>0</v>
      </c>
      <c r="CM31" s="142">
        <v>0</v>
      </c>
      <c r="CN31" s="179">
        <v>0</v>
      </c>
      <c r="CO31" s="142">
        <v>0</v>
      </c>
    </row>
    <row r="32" spans="1:93" ht="16.5" customHeight="1">
      <c r="A32" s="222"/>
      <c r="B32" s="220" t="s">
        <v>230</v>
      </c>
      <c r="C32" s="220"/>
      <c r="D32" s="220"/>
      <c r="E32" s="136" t="s">
        <v>231</v>
      </c>
      <c r="F32" s="136" t="s">
        <v>209</v>
      </c>
      <c r="G32" s="139">
        <v>2025</v>
      </c>
      <c r="H32" s="136" t="s">
        <v>210</v>
      </c>
      <c r="I32" s="221"/>
      <c r="J32" s="221"/>
      <c r="K32" s="140"/>
      <c r="L32" s="141"/>
      <c r="M32" s="141"/>
      <c r="N32" s="141"/>
      <c r="O32" s="141"/>
      <c r="P32" s="141"/>
      <c r="Q32" s="141"/>
      <c r="R32" s="142"/>
      <c r="S32" s="142"/>
      <c r="T32" s="142"/>
      <c r="U32" s="142"/>
      <c r="V32" s="179"/>
      <c r="W32" s="142"/>
      <c r="X32" s="141"/>
      <c r="Y32" s="140"/>
      <c r="Z32" s="141"/>
      <c r="AA32" s="141"/>
      <c r="AB32" s="141"/>
      <c r="AC32" s="141"/>
      <c r="AD32" s="141"/>
      <c r="AE32" s="141"/>
      <c r="AF32" s="142"/>
      <c r="AG32" s="142"/>
      <c r="AH32" s="142"/>
      <c r="AI32" s="142"/>
      <c r="AJ32" s="179"/>
      <c r="AK32" s="142"/>
      <c r="AL32" s="141"/>
      <c r="AM32" s="140"/>
      <c r="AN32" s="141"/>
      <c r="AO32" s="141"/>
      <c r="AP32" s="141"/>
      <c r="AQ32" s="141"/>
      <c r="AR32" s="141"/>
      <c r="AS32" s="141"/>
      <c r="AT32" s="142"/>
      <c r="AU32" s="142"/>
      <c r="AV32" s="142"/>
      <c r="AW32" s="142"/>
      <c r="AX32" s="179"/>
      <c r="AY32" s="142"/>
      <c r="AZ32" s="141">
        <v>1</v>
      </c>
      <c r="BA32" s="140">
        <v>0.25</v>
      </c>
      <c r="BB32" s="141">
        <v>1</v>
      </c>
      <c r="BC32" s="141">
        <v>15</v>
      </c>
      <c r="BD32" s="141">
        <v>15</v>
      </c>
      <c r="BE32" s="141">
        <v>60</v>
      </c>
      <c r="BF32" s="141">
        <v>0</v>
      </c>
      <c r="BG32" s="141">
        <v>0</v>
      </c>
      <c r="BH32" s="142">
        <v>0.23899999999999999</v>
      </c>
      <c r="BI32" s="142">
        <v>4.2999999999999997E-2</v>
      </c>
      <c r="BJ32" s="142">
        <v>186.292</v>
      </c>
      <c r="BK32" s="142">
        <v>33.533000000000001</v>
      </c>
      <c r="BL32" s="179">
        <v>219.82400000000001</v>
      </c>
      <c r="BM32" s="142">
        <v>0.28199999999999997</v>
      </c>
      <c r="BN32" s="141">
        <v>73585</v>
      </c>
      <c r="BO32" s="140">
        <v>0</v>
      </c>
      <c r="BP32" s="141">
        <v>0</v>
      </c>
      <c r="BQ32" s="141">
        <v>0</v>
      </c>
      <c r="BR32" s="141">
        <v>0</v>
      </c>
      <c r="BS32" s="141">
        <v>0</v>
      </c>
      <c r="BT32" s="141">
        <v>0</v>
      </c>
      <c r="BU32" s="141">
        <v>0</v>
      </c>
      <c r="BV32" s="142">
        <v>0</v>
      </c>
      <c r="BW32" s="142">
        <v>0</v>
      </c>
      <c r="BX32" s="142">
        <v>0</v>
      </c>
      <c r="BY32" s="142">
        <v>0</v>
      </c>
      <c r="BZ32" s="142">
        <v>0</v>
      </c>
      <c r="CA32" s="142">
        <v>0</v>
      </c>
      <c r="CB32" s="141">
        <v>534</v>
      </c>
      <c r="CC32" s="140">
        <v>552.25</v>
      </c>
      <c r="CD32" s="141">
        <v>853</v>
      </c>
      <c r="CE32" s="141">
        <v>33135</v>
      </c>
      <c r="CF32" s="141">
        <v>33135</v>
      </c>
      <c r="CG32" s="141">
        <v>41100</v>
      </c>
      <c r="CH32" s="141">
        <v>0</v>
      </c>
      <c r="CI32" s="141">
        <v>0</v>
      </c>
      <c r="CJ32" s="142">
        <v>0</v>
      </c>
      <c r="CK32" s="142">
        <v>0</v>
      </c>
      <c r="CL32" s="142">
        <v>0</v>
      </c>
      <c r="CM32" s="142">
        <v>0</v>
      </c>
      <c r="CN32" s="179">
        <v>0</v>
      </c>
      <c r="CO32" s="142">
        <v>0</v>
      </c>
    </row>
    <row r="33" spans="1:93" ht="16.5" customHeight="1">
      <c r="A33" s="222"/>
      <c r="B33" s="220" t="s">
        <v>232</v>
      </c>
      <c r="C33" s="220"/>
      <c r="D33" s="220"/>
      <c r="E33" s="136" t="s">
        <v>233</v>
      </c>
      <c r="F33" s="136" t="s">
        <v>209</v>
      </c>
      <c r="G33" s="139">
        <v>2025</v>
      </c>
      <c r="H33" s="136" t="s">
        <v>210</v>
      </c>
      <c r="I33" s="221"/>
      <c r="J33" s="221"/>
      <c r="K33" s="140"/>
      <c r="L33" s="141"/>
      <c r="M33" s="141"/>
      <c r="N33" s="141"/>
      <c r="O33" s="141"/>
      <c r="P33" s="141"/>
      <c r="Q33" s="141"/>
      <c r="R33" s="142"/>
      <c r="S33" s="142"/>
      <c r="T33" s="142"/>
      <c r="U33" s="142"/>
      <c r="V33" s="179"/>
      <c r="W33" s="142"/>
      <c r="X33" s="141"/>
      <c r="Y33" s="140"/>
      <c r="Z33" s="141"/>
      <c r="AA33" s="141"/>
      <c r="AB33" s="141"/>
      <c r="AC33" s="141"/>
      <c r="AD33" s="141"/>
      <c r="AE33" s="141"/>
      <c r="AF33" s="142"/>
      <c r="AG33" s="142"/>
      <c r="AH33" s="142"/>
      <c r="AI33" s="142"/>
      <c r="AJ33" s="179"/>
      <c r="AK33" s="142"/>
      <c r="AL33" s="141"/>
      <c r="AM33" s="140"/>
      <c r="AN33" s="141"/>
      <c r="AO33" s="141"/>
      <c r="AP33" s="141"/>
      <c r="AQ33" s="141"/>
      <c r="AR33" s="141"/>
      <c r="AS33" s="141"/>
      <c r="AT33" s="142"/>
      <c r="AU33" s="142"/>
      <c r="AV33" s="142"/>
      <c r="AW33" s="142"/>
      <c r="AX33" s="179"/>
      <c r="AY33" s="142"/>
      <c r="AZ33" s="141"/>
      <c r="BA33" s="140"/>
      <c r="BB33" s="141"/>
      <c r="BC33" s="141"/>
      <c r="BD33" s="141"/>
      <c r="BE33" s="141"/>
      <c r="BF33" s="141"/>
      <c r="BG33" s="141"/>
      <c r="BH33" s="142"/>
      <c r="BI33" s="142"/>
      <c r="BJ33" s="142"/>
      <c r="BK33" s="142"/>
      <c r="BL33" s="179"/>
      <c r="BM33" s="142"/>
      <c r="BN33" s="141">
        <v>61</v>
      </c>
      <c r="BO33" s="140">
        <v>0</v>
      </c>
      <c r="BP33" s="141">
        <v>0</v>
      </c>
      <c r="BQ33" s="141">
        <v>0</v>
      </c>
      <c r="BR33" s="141">
        <v>0</v>
      </c>
      <c r="BS33" s="141">
        <v>0</v>
      </c>
      <c r="BT33" s="141">
        <v>0</v>
      </c>
      <c r="BU33" s="141">
        <v>0</v>
      </c>
      <c r="BV33" s="142">
        <v>0</v>
      </c>
      <c r="BW33" s="142">
        <v>0</v>
      </c>
      <c r="BX33" s="142">
        <v>0</v>
      </c>
      <c r="BY33" s="142">
        <v>0</v>
      </c>
      <c r="BZ33" s="142">
        <v>0</v>
      </c>
      <c r="CA33" s="142">
        <v>0</v>
      </c>
      <c r="CB33" s="141"/>
      <c r="CC33" s="140"/>
      <c r="CD33" s="141"/>
      <c r="CE33" s="141"/>
      <c r="CF33" s="141"/>
      <c r="CG33" s="141"/>
      <c r="CH33" s="141"/>
      <c r="CI33" s="141"/>
      <c r="CJ33" s="142"/>
      <c r="CK33" s="142"/>
      <c r="CL33" s="142"/>
      <c r="CM33" s="142"/>
      <c r="CN33" s="179"/>
      <c r="CO33" s="142"/>
    </row>
    <row r="34" spans="1:93" ht="16.5" customHeight="1">
      <c r="A34" s="222"/>
      <c r="B34" s="220" t="s">
        <v>234</v>
      </c>
      <c r="C34" s="220"/>
      <c r="D34" s="220"/>
      <c r="E34" s="136" t="s">
        <v>235</v>
      </c>
      <c r="F34" s="136" t="s">
        <v>209</v>
      </c>
      <c r="G34" s="139">
        <v>2025</v>
      </c>
      <c r="H34" s="136" t="s">
        <v>210</v>
      </c>
      <c r="I34" s="221"/>
      <c r="J34" s="221"/>
      <c r="K34" s="140"/>
      <c r="L34" s="141"/>
      <c r="M34" s="141"/>
      <c r="N34" s="141"/>
      <c r="O34" s="141"/>
      <c r="P34" s="141"/>
      <c r="Q34" s="141"/>
      <c r="R34" s="142"/>
      <c r="S34" s="142"/>
      <c r="T34" s="142"/>
      <c r="U34" s="142"/>
      <c r="V34" s="179"/>
      <c r="W34" s="142"/>
      <c r="X34" s="141"/>
      <c r="Y34" s="140"/>
      <c r="Z34" s="141"/>
      <c r="AA34" s="141"/>
      <c r="AB34" s="141"/>
      <c r="AC34" s="141"/>
      <c r="AD34" s="141"/>
      <c r="AE34" s="141"/>
      <c r="AF34" s="142"/>
      <c r="AG34" s="142"/>
      <c r="AH34" s="142"/>
      <c r="AI34" s="142"/>
      <c r="AJ34" s="179"/>
      <c r="AK34" s="142"/>
      <c r="AL34" s="141">
        <v>7</v>
      </c>
      <c r="AM34" s="140">
        <v>0</v>
      </c>
      <c r="AN34" s="141">
        <v>0</v>
      </c>
      <c r="AO34" s="141">
        <v>0</v>
      </c>
      <c r="AP34" s="141">
        <v>0</v>
      </c>
      <c r="AQ34" s="141">
        <v>0</v>
      </c>
      <c r="AR34" s="141">
        <v>0</v>
      </c>
      <c r="AS34" s="141">
        <v>0</v>
      </c>
      <c r="AT34" s="142">
        <v>0.75800000000000001</v>
      </c>
      <c r="AU34" s="142">
        <v>0.13600000000000001</v>
      </c>
      <c r="AV34" s="142">
        <v>591.45899999999995</v>
      </c>
      <c r="AW34" s="142">
        <v>106.46299999999999</v>
      </c>
      <c r="AX34" s="179">
        <v>697.923</v>
      </c>
      <c r="AY34" s="142">
        <v>0.89500000000000002</v>
      </c>
      <c r="AZ34" s="141">
        <v>7</v>
      </c>
      <c r="BA34" s="140">
        <v>6.9829999999999997</v>
      </c>
      <c r="BB34" s="141">
        <v>11</v>
      </c>
      <c r="BC34" s="141">
        <v>419</v>
      </c>
      <c r="BD34" s="141">
        <v>419</v>
      </c>
      <c r="BE34" s="141">
        <v>660</v>
      </c>
      <c r="BF34" s="141">
        <v>0</v>
      </c>
      <c r="BG34" s="141">
        <v>0</v>
      </c>
      <c r="BH34" s="142">
        <v>12.12</v>
      </c>
      <c r="BI34" s="142">
        <v>2.1819999999999999</v>
      </c>
      <c r="BJ34" s="142">
        <v>9453.6540000000005</v>
      </c>
      <c r="BK34" s="142">
        <v>1701.6590000000001</v>
      </c>
      <c r="BL34" s="179">
        <v>11155.312</v>
      </c>
      <c r="BM34" s="142">
        <v>14.302</v>
      </c>
      <c r="BN34" s="141">
        <v>30</v>
      </c>
      <c r="BO34" s="140">
        <v>0</v>
      </c>
      <c r="BP34" s="141">
        <v>0</v>
      </c>
      <c r="BQ34" s="141">
        <v>0</v>
      </c>
      <c r="BR34" s="141">
        <v>0</v>
      </c>
      <c r="BS34" s="141">
        <v>0</v>
      </c>
      <c r="BT34" s="141">
        <v>0</v>
      </c>
      <c r="BU34" s="141">
        <v>0</v>
      </c>
      <c r="BV34" s="142">
        <v>0</v>
      </c>
      <c r="BW34" s="142">
        <v>0</v>
      </c>
      <c r="BX34" s="142">
        <v>0</v>
      </c>
      <c r="BY34" s="142">
        <v>0</v>
      </c>
      <c r="BZ34" s="142">
        <v>0</v>
      </c>
      <c r="CA34" s="142">
        <v>0</v>
      </c>
      <c r="CB34" s="141"/>
      <c r="CC34" s="140"/>
      <c r="CD34" s="141"/>
      <c r="CE34" s="141"/>
      <c r="CF34" s="141"/>
      <c r="CG34" s="141"/>
      <c r="CH34" s="141"/>
      <c r="CI34" s="141"/>
      <c r="CJ34" s="142"/>
      <c r="CK34" s="142"/>
      <c r="CL34" s="142"/>
      <c r="CM34" s="142"/>
      <c r="CN34" s="179"/>
      <c r="CO34" s="142"/>
    </row>
    <row r="35" spans="1:93" ht="16.5" customHeight="1">
      <c r="A35" s="222"/>
      <c r="B35" s="220" t="s">
        <v>236</v>
      </c>
      <c r="C35" s="220"/>
      <c r="D35" s="220"/>
      <c r="E35" s="136" t="s">
        <v>237</v>
      </c>
      <c r="F35" s="136" t="s">
        <v>209</v>
      </c>
      <c r="G35" s="139">
        <v>2025</v>
      </c>
      <c r="H35" s="136" t="s">
        <v>210</v>
      </c>
      <c r="I35" s="221"/>
      <c r="J35" s="221"/>
      <c r="K35" s="140"/>
      <c r="L35" s="141"/>
      <c r="M35" s="141"/>
      <c r="N35" s="141"/>
      <c r="O35" s="141"/>
      <c r="P35" s="141"/>
      <c r="Q35" s="141"/>
      <c r="R35" s="142"/>
      <c r="S35" s="142"/>
      <c r="T35" s="142"/>
      <c r="U35" s="142"/>
      <c r="V35" s="179"/>
      <c r="W35" s="142"/>
      <c r="X35" s="141"/>
      <c r="Y35" s="140"/>
      <c r="Z35" s="141"/>
      <c r="AA35" s="141"/>
      <c r="AB35" s="141"/>
      <c r="AC35" s="141"/>
      <c r="AD35" s="141"/>
      <c r="AE35" s="141"/>
      <c r="AF35" s="142"/>
      <c r="AG35" s="142"/>
      <c r="AH35" s="142"/>
      <c r="AI35" s="142"/>
      <c r="AJ35" s="179"/>
      <c r="AK35" s="142"/>
      <c r="AL35" s="141">
        <v>38</v>
      </c>
      <c r="AM35" s="140">
        <v>0</v>
      </c>
      <c r="AN35" s="141">
        <v>0</v>
      </c>
      <c r="AO35" s="141">
        <v>0</v>
      </c>
      <c r="AP35" s="141">
        <v>0</v>
      </c>
      <c r="AQ35" s="141">
        <v>0</v>
      </c>
      <c r="AR35" s="141">
        <v>0</v>
      </c>
      <c r="AS35" s="141">
        <v>0</v>
      </c>
      <c r="AT35" s="142">
        <v>0.28799999999999998</v>
      </c>
      <c r="AU35" s="142">
        <v>5.1999999999999998E-2</v>
      </c>
      <c r="AV35" s="142">
        <v>224.34299999999999</v>
      </c>
      <c r="AW35" s="142">
        <v>40.369</v>
      </c>
      <c r="AX35" s="179">
        <v>264.71199999999999</v>
      </c>
      <c r="AY35" s="142">
        <v>0.33900000000000002</v>
      </c>
      <c r="AZ35" s="141"/>
      <c r="BA35" s="140"/>
      <c r="BB35" s="141"/>
      <c r="BC35" s="141"/>
      <c r="BD35" s="141"/>
      <c r="BE35" s="141"/>
      <c r="BF35" s="141"/>
      <c r="BG35" s="141"/>
      <c r="BH35" s="142"/>
      <c r="BI35" s="142"/>
      <c r="BJ35" s="142"/>
      <c r="BK35" s="142"/>
      <c r="BL35" s="179"/>
      <c r="BM35" s="142"/>
      <c r="BN35" s="141">
        <v>1580</v>
      </c>
      <c r="BO35" s="140">
        <v>0</v>
      </c>
      <c r="BP35" s="141">
        <v>0</v>
      </c>
      <c r="BQ35" s="141">
        <v>0</v>
      </c>
      <c r="BR35" s="141">
        <v>0</v>
      </c>
      <c r="BS35" s="141">
        <v>0</v>
      </c>
      <c r="BT35" s="141">
        <v>0</v>
      </c>
      <c r="BU35" s="141">
        <v>0</v>
      </c>
      <c r="BV35" s="142">
        <v>0</v>
      </c>
      <c r="BW35" s="142">
        <v>0</v>
      </c>
      <c r="BX35" s="142">
        <v>0</v>
      </c>
      <c r="BY35" s="142">
        <v>0</v>
      </c>
      <c r="BZ35" s="142">
        <v>0</v>
      </c>
      <c r="CA35" s="142">
        <v>0</v>
      </c>
      <c r="CB35" s="141">
        <v>3</v>
      </c>
      <c r="CC35" s="140">
        <v>2.6669999999999998</v>
      </c>
      <c r="CD35" s="141">
        <v>4</v>
      </c>
      <c r="CE35" s="141">
        <v>160</v>
      </c>
      <c r="CF35" s="141">
        <v>160</v>
      </c>
      <c r="CG35" s="141">
        <v>160</v>
      </c>
      <c r="CH35" s="141">
        <v>0</v>
      </c>
      <c r="CI35" s="141">
        <v>0</v>
      </c>
      <c r="CJ35" s="142">
        <v>0</v>
      </c>
      <c r="CK35" s="142">
        <v>0</v>
      </c>
      <c r="CL35" s="142">
        <v>0</v>
      </c>
      <c r="CM35" s="142">
        <v>0</v>
      </c>
      <c r="CN35" s="179">
        <v>0</v>
      </c>
      <c r="CO35" s="142">
        <v>0</v>
      </c>
    </row>
    <row r="36" spans="1:93" ht="16.5" customHeight="1">
      <c r="A36" s="222"/>
      <c r="B36" s="220" t="s">
        <v>238</v>
      </c>
      <c r="C36" s="220"/>
      <c r="D36" s="220"/>
      <c r="E36" s="136" t="s">
        <v>239</v>
      </c>
      <c r="F36" s="136" t="s">
        <v>209</v>
      </c>
      <c r="G36" s="139">
        <v>2025</v>
      </c>
      <c r="H36" s="136" t="s">
        <v>210</v>
      </c>
      <c r="I36" s="221"/>
      <c r="J36" s="221"/>
      <c r="K36" s="140"/>
      <c r="L36" s="141"/>
      <c r="M36" s="141"/>
      <c r="N36" s="141"/>
      <c r="O36" s="141"/>
      <c r="P36" s="141"/>
      <c r="Q36" s="141"/>
      <c r="R36" s="142"/>
      <c r="S36" s="142"/>
      <c r="T36" s="142"/>
      <c r="U36" s="142"/>
      <c r="V36" s="179"/>
      <c r="W36" s="142"/>
      <c r="X36" s="141">
        <v>5484</v>
      </c>
      <c r="Y36" s="140">
        <v>103865.167</v>
      </c>
      <c r="Z36" s="141">
        <v>0</v>
      </c>
      <c r="AA36" s="141">
        <v>6231910</v>
      </c>
      <c r="AB36" s="141">
        <v>608455</v>
      </c>
      <c r="AC36" s="141">
        <v>609280</v>
      </c>
      <c r="AD36" s="141">
        <v>305182</v>
      </c>
      <c r="AE36" s="141">
        <v>303273</v>
      </c>
      <c r="AF36" s="142">
        <v>7.5060000000000002</v>
      </c>
      <c r="AG36" s="142">
        <v>1.351</v>
      </c>
      <c r="AH36" s="142">
        <v>5854.4120000000003</v>
      </c>
      <c r="AI36" s="142">
        <v>1053.7560000000001</v>
      </c>
      <c r="AJ36" s="179">
        <v>6908.1679999999997</v>
      </c>
      <c r="AK36" s="142">
        <v>8.8569999999999993</v>
      </c>
      <c r="AL36" s="141">
        <v>43</v>
      </c>
      <c r="AM36" s="140">
        <v>0</v>
      </c>
      <c r="AN36" s="141">
        <v>0</v>
      </c>
      <c r="AO36" s="141">
        <v>0</v>
      </c>
      <c r="AP36" s="141">
        <v>0</v>
      </c>
      <c r="AQ36" s="141">
        <v>0</v>
      </c>
      <c r="AR36" s="141">
        <v>0</v>
      </c>
      <c r="AS36" s="141">
        <v>0</v>
      </c>
      <c r="AT36" s="142">
        <v>0.18099999999999999</v>
      </c>
      <c r="AU36" s="142">
        <v>3.3000000000000002E-2</v>
      </c>
      <c r="AV36" s="142">
        <v>141.03399999999999</v>
      </c>
      <c r="AW36" s="142">
        <v>25.39</v>
      </c>
      <c r="AX36" s="179">
        <v>166.42400000000001</v>
      </c>
      <c r="AY36" s="142">
        <v>0.21299999999999999</v>
      </c>
      <c r="AZ36" s="141">
        <v>21</v>
      </c>
      <c r="BA36" s="140">
        <v>20.350000000000001</v>
      </c>
      <c r="BB36" s="141">
        <v>32</v>
      </c>
      <c r="BC36" s="141">
        <v>1221</v>
      </c>
      <c r="BD36" s="141">
        <v>1221</v>
      </c>
      <c r="BE36" s="141">
        <v>1221</v>
      </c>
      <c r="BF36" s="141">
        <v>0</v>
      </c>
      <c r="BG36" s="141">
        <v>0</v>
      </c>
      <c r="BH36" s="142">
        <v>1.3919999999999999</v>
      </c>
      <c r="BI36" s="142">
        <v>0.251</v>
      </c>
      <c r="BJ36" s="142">
        <v>1085.6089999999999</v>
      </c>
      <c r="BK36" s="142">
        <v>195.411</v>
      </c>
      <c r="BL36" s="179">
        <v>1281.021</v>
      </c>
      <c r="BM36" s="142">
        <v>1.6419999999999999</v>
      </c>
      <c r="BN36" s="141">
        <v>523</v>
      </c>
      <c r="BO36" s="140">
        <v>0</v>
      </c>
      <c r="BP36" s="141">
        <v>0</v>
      </c>
      <c r="BQ36" s="141">
        <v>0</v>
      </c>
      <c r="BR36" s="141">
        <v>0</v>
      </c>
      <c r="BS36" s="141">
        <v>0</v>
      </c>
      <c r="BT36" s="141">
        <v>0</v>
      </c>
      <c r="BU36" s="141">
        <v>0</v>
      </c>
      <c r="BV36" s="142">
        <v>0</v>
      </c>
      <c r="BW36" s="142">
        <v>0</v>
      </c>
      <c r="BX36" s="142">
        <v>0</v>
      </c>
      <c r="BY36" s="142">
        <v>0</v>
      </c>
      <c r="BZ36" s="142">
        <v>0</v>
      </c>
      <c r="CA36" s="142">
        <v>0</v>
      </c>
      <c r="CB36" s="141">
        <v>16</v>
      </c>
      <c r="CC36" s="140">
        <v>27.766999999999999</v>
      </c>
      <c r="CD36" s="141">
        <v>38</v>
      </c>
      <c r="CE36" s="141">
        <v>1666</v>
      </c>
      <c r="CF36" s="141">
        <v>1666</v>
      </c>
      <c r="CG36" s="141">
        <v>1666</v>
      </c>
      <c r="CH36" s="141">
        <v>0</v>
      </c>
      <c r="CI36" s="141">
        <v>0</v>
      </c>
      <c r="CJ36" s="142">
        <v>0</v>
      </c>
      <c r="CK36" s="142">
        <v>0</v>
      </c>
      <c r="CL36" s="142">
        <v>0</v>
      </c>
      <c r="CM36" s="142">
        <v>0</v>
      </c>
      <c r="CN36" s="179">
        <v>0</v>
      </c>
      <c r="CO36" s="142">
        <v>0</v>
      </c>
    </row>
    <row r="37" spans="1:93" ht="16.5" customHeight="1">
      <c r="A37" s="222"/>
      <c r="B37" s="220" t="s">
        <v>240</v>
      </c>
      <c r="C37" s="220"/>
      <c r="D37" s="220"/>
      <c r="E37" s="136" t="s">
        <v>241</v>
      </c>
      <c r="F37" s="136" t="s">
        <v>209</v>
      </c>
      <c r="G37" s="139">
        <v>2025</v>
      </c>
      <c r="H37" s="136" t="s">
        <v>210</v>
      </c>
      <c r="I37" s="221"/>
      <c r="J37" s="221"/>
      <c r="K37" s="140"/>
      <c r="L37" s="141"/>
      <c r="M37" s="141"/>
      <c r="N37" s="141"/>
      <c r="O37" s="141"/>
      <c r="P37" s="141"/>
      <c r="Q37" s="141"/>
      <c r="R37" s="142"/>
      <c r="S37" s="142"/>
      <c r="T37" s="142"/>
      <c r="U37" s="142"/>
      <c r="V37" s="179"/>
      <c r="W37" s="142"/>
      <c r="X37" s="141">
        <v>38</v>
      </c>
      <c r="Y37" s="140">
        <v>55.033000000000001</v>
      </c>
      <c r="Z37" s="141">
        <v>0</v>
      </c>
      <c r="AA37" s="141">
        <v>3302</v>
      </c>
      <c r="AB37" s="141">
        <v>14648</v>
      </c>
      <c r="AC37" s="141">
        <v>14970</v>
      </c>
      <c r="AD37" s="141">
        <v>10859</v>
      </c>
      <c r="AE37" s="141">
        <v>3789</v>
      </c>
      <c r="AF37" s="142">
        <v>111.14400000000001</v>
      </c>
      <c r="AG37" s="142">
        <v>20.006</v>
      </c>
      <c r="AH37" s="142">
        <v>86691.240999999995</v>
      </c>
      <c r="AI37" s="142">
        <v>15604.427</v>
      </c>
      <c r="AJ37" s="179">
        <v>102295.66800000001</v>
      </c>
      <c r="AK37" s="142">
        <v>131.15</v>
      </c>
      <c r="AL37" s="141">
        <v>2</v>
      </c>
      <c r="AM37" s="140">
        <v>0</v>
      </c>
      <c r="AN37" s="141">
        <v>0</v>
      </c>
      <c r="AO37" s="141">
        <v>0</v>
      </c>
      <c r="AP37" s="141">
        <v>0</v>
      </c>
      <c r="AQ37" s="141">
        <v>0</v>
      </c>
      <c r="AR37" s="141">
        <v>0</v>
      </c>
      <c r="AS37" s="141">
        <v>0</v>
      </c>
      <c r="AT37" s="142">
        <v>0.217</v>
      </c>
      <c r="AU37" s="142">
        <v>3.9E-2</v>
      </c>
      <c r="AV37" s="142">
        <v>168.988</v>
      </c>
      <c r="AW37" s="142">
        <v>30.417999999999999</v>
      </c>
      <c r="AX37" s="179">
        <v>199.40700000000001</v>
      </c>
      <c r="AY37" s="142">
        <v>0.25600000000000001</v>
      </c>
      <c r="AZ37" s="141">
        <v>4</v>
      </c>
      <c r="BA37" s="140">
        <v>3.3330000000000002</v>
      </c>
      <c r="BB37" s="141">
        <v>6</v>
      </c>
      <c r="BC37" s="141">
        <v>200</v>
      </c>
      <c r="BD37" s="141">
        <v>200</v>
      </c>
      <c r="BE37" s="141">
        <v>360</v>
      </c>
      <c r="BF37" s="141">
        <v>0</v>
      </c>
      <c r="BG37" s="141">
        <v>0</v>
      </c>
      <c r="BH37" s="142">
        <v>1.4330000000000001</v>
      </c>
      <c r="BI37" s="142">
        <v>0.25800000000000001</v>
      </c>
      <c r="BJ37" s="142">
        <v>1117.75</v>
      </c>
      <c r="BK37" s="142">
        <v>201.196</v>
      </c>
      <c r="BL37" s="179">
        <v>1318.9459999999999</v>
      </c>
      <c r="BM37" s="142">
        <v>1.6910000000000001</v>
      </c>
      <c r="BN37" s="141">
        <v>35</v>
      </c>
      <c r="BO37" s="140">
        <v>0</v>
      </c>
      <c r="BP37" s="141">
        <v>0</v>
      </c>
      <c r="BQ37" s="141">
        <v>0</v>
      </c>
      <c r="BR37" s="141">
        <v>0</v>
      </c>
      <c r="BS37" s="141">
        <v>0</v>
      </c>
      <c r="BT37" s="141">
        <v>0</v>
      </c>
      <c r="BU37" s="141">
        <v>0</v>
      </c>
      <c r="BV37" s="142">
        <v>0</v>
      </c>
      <c r="BW37" s="142">
        <v>0</v>
      </c>
      <c r="BX37" s="142">
        <v>0</v>
      </c>
      <c r="BY37" s="142">
        <v>0</v>
      </c>
      <c r="BZ37" s="142">
        <v>0</v>
      </c>
      <c r="CA37" s="142">
        <v>0</v>
      </c>
      <c r="CB37" s="141"/>
      <c r="CC37" s="140"/>
      <c r="CD37" s="141"/>
      <c r="CE37" s="141"/>
      <c r="CF37" s="141"/>
      <c r="CG37" s="141"/>
      <c r="CH37" s="141"/>
      <c r="CI37" s="141"/>
      <c r="CJ37" s="142"/>
      <c r="CK37" s="142"/>
      <c r="CL37" s="142"/>
      <c r="CM37" s="142"/>
      <c r="CN37" s="179"/>
      <c r="CO37" s="142"/>
    </row>
    <row r="38" spans="1:93" ht="16.5" customHeight="1">
      <c r="A38" s="222"/>
      <c r="B38" s="220" t="s">
        <v>242</v>
      </c>
      <c r="C38" s="220"/>
      <c r="D38" s="220"/>
      <c r="E38" s="136" t="s">
        <v>243</v>
      </c>
      <c r="F38" s="136" t="s">
        <v>209</v>
      </c>
      <c r="G38" s="139">
        <v>2025</v>
      </c>
      <c r="H38" s="136" t="s">
        <v>210</v>
      </c>
      <c r="I38" s="221"/>
      <c r="J38" s="221"/>
      <c r="K38" s="140"/>
      <c r="L38" s="141"/>
      <c r="M38" s="141"/>
      <c r="N38" s="141"/>
      <c r="O38" s="141"/>
      <c r="P38" s="141"/>
      <c r="Q38" s="141"/>
      <c r="R38" s="142"/>
      <c r="S38" s="142"/>
      <c r="T38" s="142"/>
      <c r="U38" s="142"/>
      <c r="V38" s="179"/>
      <c r="W38" s="142"/>
      <c r="X38" s="141">
        <v>1</v>
      </c>
      <c r="Y38" s="140">
        <v>0.41699999999999998</v>
      </c>
      <c r="Z38" s="141">
        <v>0</v>
      </c>
      <c r="AA38" s="141">
        <v>25</v>
      </c>
      <c r="AB38" s="141">
        <v>684</v>
      </c>
      <c r="AC38" s="141">
        <v>690</v>
      </c>
      <c r="AD38" s="141">
        <v>664</v>
      </c>
      <c r="AE38" s="141">
        <v>21</v>
      </c>
      <c r="AF38" s="142">
        <v>5.1609999999999996</v>
      </c>
      <c r="AG38" s="142">
        <v>0.92900000000000005</v>
      </c>
      <c r="AH38" s="142">
        <v>4025.8870000000002</v>
      </c>
      <c r="AI38" s="142">
        <v>724.65899999999999</v>
      </c>
      <c r="AJ38" s="179">
        <v>4750.5460000000003</v>
      </c>
      <c r="AK38" s="142">
        <v>6.0910000000000002</v>
      </c>
      <c r="AL38" s="141"/>
      <c r="AM38" s="140"/>
      <c r="AN38" s="141"/>
      <c r="AO38" s="141"/>
      <c r="AP38" s="141"/>
      <c r="AQ38" s="141"/>
      <c r="AR38" s="141"/>
      <c r="AS38" s="141"/>
      <c r="AT38" s="142"/>
      <c r="AU38" s="142"/>
      <c r="AV38" s="142"/>
      <c r="AW38" s="142"/>
      <c r="AX38" s="179"/>
      <c r="AY38" s="142"/>
      <c r="AZ38" s="141"/>
      <c r="BA38" s="140"/>
      <c r="BB38" s="141"/>
      <c r="BC38" s="141"/>
      <c r="BD38" s="141"/>
      <c r="BE38" s="141"/>
      <c r="BF38" s="141"/>
      <c r="BG38" s="141"/>
      <c r="BH38" s="142"/>
      <c r="BI38" s="142"/>
      <c r="BJ38" s="142"/>
      <c r="BK38" s="142"/>
      <c r="BL38" s="179"/>
      <c r="BM38" s="142"/>
      <c r="BN38" s="141"/>
      <c r="BO38" s="140"/>
      <c r="BP38" s="141"/>
      <c r="BQ38" s="141"/>
      <c r="BR38" s="141"/>
      <c r="BS38" s="141"/>
      <c r="BT38" s="141"/>
      <c r="BU38" s="141"/>
      <c r="BV38" s="142"/>
      <c r="BW38" s="142"/>
      <c r="BX38" s="142"/>
      <c r="BY38" s="142"/>
      <c r="BZ38" s="142"/>
      <c r="CA38" s="142"/>
      <c r="CB38" s="141"/>
      <c r="CC38" s="140"/>
      <c r="CD38" s="141"/>
      <c r="CE38" s="141"/>
      <c r="CF38" s="141"/>
      <c r="CG38" s="141"/>
      <c r="CH38" s="141"/>
      <c r="CI38" s="141"/>
      <c r="CJ38" s="142"/>
      <c r="CK38" s="142"/>
      <c r="CL38" s="142"/>
      <c r="CM38" s="142"/>
      <c r="CN38" s="179"/>
      <c r="CO38" s="142"/>
    </row>
    <row r="39" spans="1:93" ht="16.5" customHeight="1">
      <c r="A39" s="222"/>
      <c r="B39" s="220" t="s">
        <v>244</v>
      </c>
      <c r="C39" s="220"/>
      <c r="D39" s="220"/>
      <c r="E39" s="136" t="s">
        <v>245</v>
      </c>
      <c r="F39" s="136" t="s">
        <v>209</v>
      </c>
      <c r="G39" s="139">
        <v>2025</v>
      </c>
      <c r="H39" s="136" t="s">
        <v>210</v>
      </c>
      <c r="I39" s="221"/>
      <c r="J39" s="221"/>
      <c r="K39" s="140"/>
      <c r="L39" s="141"/>
      <c r="M39" s="141"/>
      <c r="N39" s="141"/>
      <c r="O39" s="141"/>
      <c r="P39" s="141"/>
      <c r="Q39" s="141"/>
      <c r="R39" s="142"/>
      <c r="S39" s="142"/>
      <c r="T39" s="142"/>
      <c r="U39" s="142"/>
      <c r="V39" s="179"/>
      <c r="W39" s="142"/>
      <c r="X39" s="141">
        <v>12</v>
      </c>
      <c r="Y39" s="140">
        <v>17.016999999999999</v>
      </c>
      <c r="Z39" s="141">
        <v>0</v>
      </c>
      <c r="AA39" s="141">
        <v>1021</v>
      </c>
      <c r="AB39" s="141">
        <v>5891</v>
      </c>
      <c r="AC39" s="141">
        <v>5895</v>
      </c>
      <c r="AD39" s="141">
        <v>3820</v>
      </c>
      <c r="AE39" s="141">
        <v>2071</v>
      </c>
      <c r="AF39" s="142">
        <v>4.2000000000000003E-2</v>
      </c>
      <c r="AG39" s="142">
        <v>7.0000000000000001E-3</v>
      </c>
      <c r="AH39" s="142">
        <v>32.47</v>
      </c>
      <c r="AI39" s="142">
        <v>5.8449999999999998</v>
      </c>
      <c r="AJ39" s="179">
        <v>38.316000000000003</v>
      </c>
      <c r="AK39" s="142">
        <v>4.9000000000000002E-2</v>
      </c>
      <c r="AL39" s="141"/>
      <c r="AM39" s="140"/>
      <c r="AN39" s="141"/>
      <c r="AO39" s="141"/>
      <c r="AP39" s="141"/>
      <c r="AQ39" s="141"/>
      <c r="AR39" s="141"/>
      <c r="AS39" s="141"/>
      <c r="AT39" s="142"/>
      <c r="AU39" s="142"/>
      <c r="AV39" s="142"/>
      <c r="AW39" s="142"/>
      <c r="AX39" s="179"/>
      <c r="AY39" s="142"/>
      <c r="AZ39" s="141"/>
      <c r="BA39" s="140"/>
      <c r="BB39" s="141"/>
      <c r="BC39" s="141"/>
      <c r="BD39" s="141"/>
      <c r="BE39" s="141"/>
      <c r="BF39" s="141"/>
      <c r="BG39" s="141"/>
      <c r="BH39" s="142"/>
      <c r="BI39" s="142"/>
      <c r="BJ39" s="142"/>
      <c r="BK39" s="142"/>
      <c r="BL39" s="179"/>
      <c r="BM39" s="142"/>
      <c r="BN39" s="141">
        <v>9</v>
      </c>
      <c r="BO39" s="140">
        <v>0</v>
      </c>
      <c r="BP39" s="141">
        <v>0</v>
      </c>
      <c r="BQ39" s="141">
        <v>0</v>
      </c>
      <c r="BR39" s="141">
        <v>0</v>
      </c>
      <c r="BS39" s="141">
        <v>0</v>
      </c>
      <c r="BT39" s="141">
        <v>0</v>
      </c>
      <c r="BU39" s="141">
        <v>0</v>
      </c>
      <c r="BV39" s="142">
        <v>0</v>
      </c>
      <c r="BW39" s="142">
        <v>0</v>
      </c>
      <c r="BX39" s="142">
        <v>0</v>
      </c>
      <c r="BY39" s="142">
        <v>0</v>
      </c>
      <c r="BZ39" s="142">
        <v>0</v>
      </c>
      <c r="CA39" s="142">
        <v>0</v>
      </c>
      <c r="CB39" s="141"/>
      <c r="CC39" s="140"/>
      <c r="CD39" s="141"/>
      <c r="CE39" s="141"/>
      <c r="CF39" s="141"/>
      <c r="CG39" s="141"/>
      <c r="CH39" s="141"/>
      <c r="CI39" s="141"/>
      <c r="CJ39" s="142"/>
      <c r="CK39" s="142"/>
      <c r="CL39" s="142"/>
      <c r="CM39" s="142"/>
      <c r="CN39" s="179"/>
      <c r="CO39" s="142"/>
    </row>
    <row r="40" spans="1:93" ht="16.5" customHeight="1">
      <c r="A40" s="222"/>
      <c r="B40" s="220" t="s">
        <v>246</v>
      </c>
      <c r="C40" s="220"/>
      <c r="D40" s="220"/>
      <c r="E40" s="136" t="s">
        <v>247</v>
      </c>
      <c r="F40" s="136" t="s">
        <v>209</v>
      </c>
      <c r="G40" s="139">
        <v>2025</v>
      </c>
      <c r="H40" s="136" t="s">
        <v>210</v>
      </c>
      <c r="I40" s="221"/>
      <c r="J40" s="221"/>
      <c r="K40" s="140"/>
      <c r="L40" s="141"/>
      <c r="M40" s="141"/>
      <c r="N40" s="141"/>
      <c r="O40" s="141"/>
      <c r="P40" s="141"/>
      <c r="Q40" s="141"/>
      <c r="R40" s="142"/>
      <c r="S40" s="142"/>
      <c r="T40" s="142"/>
      <c r="U40" s="142"/>
      <c r="V40" s="179"/>
      <c r="W40" s="142"/>
      <c r="X40" s="141">
        <v>76331</v>
      </c>
      <c r="Y40" s="140">
        <v>453750.58299999998</v>
      </c>
      <c r="Z40" s="141">
        <v>0</v>
      </c>
      <c r="AA40" s="141">
        <v>27225035</v>
      </c>
      <c r="AB40" s="141">
        <v>44606893</v>
      </c>
      <c r="AC40" s="141">
        <v>44613600</v>
      </c>
      <c r="AD40" s="141">
        <v>30967722</v>
      </c>
      <c r="AE40" s="141">
        <v>13639171</v>
      </c>
      <c r="AF40" s="142">
        <v>549.596</v>
      </c>
      <c r="AG40" s="142">
        <v>98.927000000000007</v>
      </c>
      <c r="AH40" s="142">
        <v>428680.81400000001</v>
      </c>
      <c r="AI40" s="142">
        <v>77162.388999999996</v>
      </c>
      <c r="AJ40" s="179">
        <v>505843.20299999998</v>
      </c>
      <c r="AK40" s="142">
        <v>648.524</v>
      </c>
      <c r="AL40" s="141">
        <v>694</v>
      </c>
      <c r="AM40" s="140">
        <v>0</v>
      </c>
      <c r="AN40" s="141">
        <v>0</v>
      </c>
      <c r="AO40" s="141">
        <v>0</v>
      </c>
      <c r="AP40" s="141">
        <v>0</v>
      </c>
      <c r="AQ40" s="141">
        <v>0</v>
      </c>
      <c r="AR40" s="141">
        <v>0</v>
      </c>
      <c r="AS40" s="141">
        <v>0</v>
      </c>
      <c r="AT40" s="142">
        <v>2.9180000000000001</v>
      </c>
      <c r="AU40" s="142">
        <v>0.52500000000000002</v>
      </c>
      <c r="AV40" s="142">
        <v>2276.2269999999999</v>
      </c>
      <c r="AW40" s="142">
        <v>409.77499999999998</v>
      </c>
      <c r="AX40" s="179">
        <v>2686.002</v>
      </c>
      <c r="AY40" s="142">
        <v>3.444</v>
      </c>
      <c r="AZ40" s="141">
        <v>118</v>
      </c>
      <c r="BA40" s="140">
        <v>479.46699999999998</v>
      </c>
      <c r="BB40" s="141">
        <v>552</v>
      </c>
      <c r="BC40" s="141">
        <v>28768</v>
      </c>
      <c r="BD40" s="141">
        <v>28768</v>
      </c>
      <c r="BE40" s="141">
        <v>28768</v>
      </c>
      <c r="BF40" s="141">
        <v>0</v>
      </c>
      <c r="BG40" s="141">
        <v>0</v>
      </c>
      <c r="BH40" s="142">
        <v>29.279</v>
      </c>
      <c r="BI40" s="142">
        <v>5.27</v>
      </c>
      <c r="BJ40" s="142">
        <v>22837.147000000001</v>
      </c>
      <c r="BK40" s="142">
        <v>4110.6869999999999</v>
      </c>
      <c r="BL40" s="179">
        <v>26947.833999999999</v>
      </c>
      <c r="BM40" s="142">
        <v>34.548999999999999</v>
      </c>
      <c r="BN40" s="141">
        <v>4562</v>
      </c>
      <c r="BO40" s="140">
        <v>0</v>
      </c>
      <c r="BP40" s="141">
        <v>0</v>
      </c>
      <c r="BQ40" s="141">
        <v>0</v>
      </c>
      <c r="BR40" s="141">
        <v>0</v>
      </c>
      <c r="BS40" s="141">
        <v>0</v>
      </c>
      <c r="BT40" s="141">
        <v>0</v>
      </c>
      <c r="BU40" s="141">
        <v>0</v>
      </c>
      <c r="BV40" s="142">
        <v>0</v>
      </c>
      <c r="BW40" s="142">
        <v>0</v>
      </c>
      <c r="BX40" s="142">
        <v>0</v>
      </c>
      <c r="BY40" s="142">
        <v>0</v>
      </c>
      <c r="BZ40" s="142">
        <v>0</v>
      </c>
      <c r="CA40" s="142">
        <v>0</v>
      </c>
      <c r="CB40" s="141">
        <v>36</v>
      </c>
      <c r="CC40" s="140">
        <v>174.13300000000001</v>
      </c>
      <c r="CD40" s="141">
        <v>197</v>
      </c>
      <c r="CE40" s="141">
        <v>10448</v>
      </c>
      <c r="CF40" s="141">
        <v>10448</v>
      </c>
      <c r="CG40" s="141">
        <v>10448</v>
      </c>
      <c r="CH40" s="141">
        <v>0</v>
      </c>
      <c r="CI40" s="141">
        <v>0</v>
      </c>
      <c r="CJ40" s="142">
        <v>0</v>
      </c>
      <c r="CK40" s="142">
        <v>0</v>
      </c>
      <c r="CL40" s="142">
        <v>0</v>
      </c>
      <c r="CM40" s="142">
        <v>0</v>
      </c>
      <c r="CN40" s="179">
        <v>0</v>
      </c>
      <c r="CO40" s="142">
        <v>0</v>
      </c>
    </row>
    <row r="41" spans="1:93" ht="16.5" customHeight="1">
      <c r="A41" s="222"/>
      <c r="B41" s="220" t="s">
        <v>248</v>
      </c>
      <c r="C41" s="220"/>
      <c r="D41" s="220"/>
      <c r="E41" s="136" t="s">
        <v>249</v>
      </c>
      <c r="F41" s="136" t="s">
        <v>209</v>
      </c>
      <c r="G41" s="139">
        <v>2025</v>
      </c>
      <c r="H41" s="136" t="s">
        <v>210</v>
      </c>
      <c r="I41" s="221"/>
      <c r="J41" s="221"/>
      <c r="K41" s="140"/>
      <c r="L41" s="141"/>
      <c r="M41" s="141"/>
      <c r="N41" s="141"/>
      <c r="O41" s="141"/>
      <c r="P41" s="141"/>
      <c r="Q41" s="141"/>
      <c r="R41" s="142"/>
      <c r="S41" s="142"/>
      <c r="T41" s="142"/>
      <c r="U41" s="142"/>
      <c r="V41" s="179"/>
      <c r="W41" s="142"/>
      <c r="X41" s="141">
        <v>14128</v>
      </c>
      <c r="Y41" s="140">
        <v>241620.717</v>
      </c>
      <c r="Z41" s="141">
        <v>0</v>
      </c>
      <c r="AA41" s="141">
        <v>14497243</v>
      </c>
      <c r="AB41" s="141">
        <v>5050911</v>
      </c>
      <c r="AC41" s="141">
        <v>5051490</v>
      </c>
      <c r="AD41" s="141">
        <v>3224103</v>
      </c>
      <c r="AE41" s="141">
        <v>1826808</v>
      </c>
      <c r="AF41" s="142">
        <v>41.485999999999997</v>
      </c>
      <c r="AG41" s="142">
        <v>7.4669999999999996</v>
      </c>
      <c r="AH41" s="142">
        <v>32358.989000000001</v>
      </c>
      <c r="AI41" s="142">
        <v>5824.5590000000002</v>
      </c>
      <c r="AJ41" s="179">
        <v>38183.548000000003</v>
      </c>
      <c r="AK41" s="142">
        <v>48.954000000000001</v>
      </c>
      <c r="AL41" s="141">
        <v>14</v>
      </c>
      <c r="AM41" s="140">
        <v>0</v>
      </c>
      <c r="AN41" s="141">
        <v>0</v>
      </c>
      <c r="AO41" s="141">
        <v>0</v>
      </c>
      <c r="AP41" s="141">
        <v>0</v>
      </c>
      <c r="AQ41" s="141">
        <v>0</v>
      </c>
      <c r="AR41" s="141">
        <v>0</v>
      </c>
      <c r="AS41" s="141">
        <v>0</v>
      </c>
      <c r="AT41" s="142">
        <v>0.11799999999999999</v>
      </c>
      <c r="AU41" s="142">
        <v>2.1000000000000001E-2</v>
      </c>
      <c r="AV41" s="142">
        <v>91.835999999999999</v>
      </c>
      <c r="AW41" s="142">
        <v>16.533000000000001</v>
      </c>
      <c r="AX41" s="179">
        <v>108.369</v>
      </c>
      <c r="AY41" s="142">
        <v>0.13900000000000001</v>
      </c>
      <c r="AZ41" s="141">
        <v>16</v>
      </c>
      <c r="BA41" s="140">
        <v>41.767000000000003</v>
      </c>
      <c r="BB41" s="141">
        <v>54</v>
      </c>
      <c r="BC41" s="141">
        <v>2506</v>
      </c>
      <c r="BD41" s="141">
        <v>2506</v>
      </c>
      <c r="BE41" s="141">
        <v>2506</v>
      </c>
      <c r="BF41" s="141">
        <v>0</v>
      </c>
      <c r="BG41" s="141">
        <v>0</v>
      </c>
      <c r="BH41" s="142">
        <v>2.9809999999999999</v>
      </c>
      <c r="BI41" s="142">
        <v>0.53700000000000003</v>
      </c>
      <c r="BJ41" s="142">
        <v>2325.3679999999999</v>
      </c>
      <c r="BK41" s="142">
        <v>418.565</v>
      </c>
      <c r="BL41" s="179">
        <v>2743.933</v>
      </c>
      <c r="BM41" s="142">
        <v>3.5179999999999998</v>
      </c>
      <c r="BN41" s="141">
        <v>593</v>
      </c>
      <c r="BO41" s="140">
        <v>0</v>
      </c>
      <c r="BP41" s="141">
        <v>0</v>
      </c>
      <c r="BQ41" s="141">
        <v>0</v>
      </c>
      <c r="BR41" s="141">
        <v>0</v>
      </c>
      <c r="BS41" s="141">
        <v>0</v>
      </c>
      <c r="BT41" s="141">
        <v>0</v>
      </c>
      <c r="BU41" s="141">
        <v>0</v>
      </c>
      <c r="BV41" s="142">
        <v>0</v>
      </c>
      <c r="BW41" s="142">
        <v>0</v>
      </c>
      <c r="BX41" s="142">
        <v>0</v>
      </c>
      <c r="BY41" s="142">
        <v>0</v>
      </c>
      <c r="BZ41" s="142">
        <v>0</v>
      </c>
      <c r="CA41" s="142">
        <v>0</v>
      </c>
      <c r="CB41" s="141">
        <v>5</v>
      </c>
      <c r="CC41" s="140">
        <v>5.867</v>
      </c>
      <c r="CD41" s="141">
        <v>9</v>
      </c>
      <c r="CE41" s="141">
        <v>352</v>
      </c>
      <c r="CF41" s="141">
        <v>352</v>
      </c>
      <c r="CG41" s="141">
        <v>352</v>
      </c>
      <c r="CH41" s="141">
        <v>0</v>
      </c>
      <c r="CI41" s="141">
        <v>0</v>
      </c>
      <c r="CJ41" s="142">
        <v>0</v>
      </c>
      <c r="CK41" s="142">
        <v>0</v>
      </c>
      <c r="CL41" s="142">
        <v>0</v>
      </c>
      <c r="CM41" s="142">
        <v>0</v>
      </c>
      <c r="CN41" s="179">
        <v>0</v>
      </c>
      <c r="CO41" s="142">
        <v>0</v>
      </c>
    </row>
    <row r="42" spans="1:93" ht="16.5" customHeight="1">
      <c r="A42" s="222"/>
      <c r="B42" s="220" t="s">
        <v>250</v>
      </c>
      <c r="C42" s="220"/>
      <c r="D42" s="220"/>
      <c r="E42" s="136" t="s">
        <v>251</v>
      </c>
      <c r="F42" s="136" t="s">
        <v>209</v>
      </c>
      <c r="G42" s="139">
        <v>2025</v>
      </c>
      <c r="H42" s="136" t="s">
        <v>210</v>
      </c>
      <c r="I42" s="221"/>
      <c r="J42" s="221"/>
      <c r="K42" s="140"/>
      <c r="L42" s="141"/>
      <c r="M42" s="141"/>
      <c r="N42" s="141"/>
      <c r="O42" s="141"/>
      <c r="P42" s="141"/>
      <c r="Q42" s="141"/>
      <c r="R42" s="142"/>
      <c r="S42" s="142"/>
      <c r="T42" s="142"/>
      <c r="U42" s="142"/>
      <c r="V42" s="179"/>
      <c r="W42" s="142"/>
      <c r="X42" s="141">
        <v>365</v>
      </c>
      <c r="Y42" s="140">
        <v>13228.282999999999</v>
      </c>
      <c r="Z42" s="141">
        <v>0</v>
      </c>
      <c r="AA42" s="141">
        <v>793697</v>
      </c>
      <c r="AB42" s="141">
        <v>23887</v>
      </c>
      <c r="AC42" s="141">
        <v>24030</v>
      </c>
      <c r="AD42" s="141">
        <v>15357</v>
      </c>
      <c r="AE42" s="141">
        <v>8530</v>
      </c>
      <c r="AF42" s="142">
        <v>0.17799999999999999</v>
      </c>
      <c r="AG42" s="142">
        <v>3.2000000000000001E-2</v>
      </c>
      <c r="AH42" s="142">
        <v>138.54900000000001</v>
      </c>
      <c r="AI42" s="142">
        <v>24.952000000000002</v>
      </c>
      <c r="AJ42" s="179">
        <v>163.501</v>
      </c>
      <c r="AK42" s="142">
        <v>0.21</v>
      </c>
      <c r="AL42" s="141">
        <v>37</v>
      </c>
      <c r="AM42" s="140">
        <v>0</v>
      </c>
      <c r="AN42" s="141">
        <v>0</v>
      </c>
      <c r="AO42" s="141">
        <v>0</v>
      </c>
      <c r="AP42" s="141">
        <v>0</v>
      </c>
      <c r="AQ42" s="141">
        <v>0</v>
      </c>
      <c r="AR42" s="141">
        <v>0</v>
      </c>
      <c r="AS42" s="141">
        <v>0</v>
      </c>
      <c r="AT42" s="142">
        <v>0.311</v>
      </c>
      <c r="AU42" s="142">
        <v>5.6000000000000001E-2</v>
      </c>
      <c r="AV42" s="142">
        <v>242.71</v>
      </c>
      <c r="AW42" s="142">
        <v>43.694000000000003</v>
      </c>
      <c r="AX42" s="179">
        <v>286.404</v>
      </c>
      <c r="AY42" s="142">
        <v>0.36699999999999999</v>
      </c>
      <c r="AZ42" s="141"/>
      <c r="BA42" s="140"/>
      <c r="BB42" s="141"/>
      <c r="BC42" s="141"/>
      <c r="BD42" s="141"/>
      <c r="BE42" s="141"/>
      <c r="BF42" s="141"/>
      <c r="BG42" s="141"/>
      <c r="BH42" s="142"/>
      <c r="BI42" s="142"/>
      <c r="BJ42" s="142"/>
      <c r="BK42" s="142"/>
      <c r="BL42" s="179"/>
      <c r="BM42" s="142"/>
      <c r="BN42" s="141">
        <v>484</v>
      </c>
      <c r="BO42" s="140">
        <v>0</v>
      </c>
      <c r="BP42" s="141">
        <v>0</v>
      </c>
      <c r="BQ42" s="141">
        <v>0</v>
      </c>
      <c r="BR42" s="141">
        <v>0</v>
      </c>
      <c r="BS42" s="141">
        <v>0</v>
      </c>
      <c r="BT42" s="141">
        <v>0</v>
      </c>
      <c r="BU42" s="141">
        <v>0</v>
      </c>
      <c r="BV42" s="142">
        <v>0</v>
      </c>
      <c r="BW42" s="142">
        <v>0</v>
      </c>
      <c r="BX42" s="142">
        <v>0</v>
      </c>
      <c r="BY42" s="142">
        <v>0</v>
      </c>
      <c r="BZ42" s="142">
        <v>0</v>
      </c>
      <c r="CA42" s="142">
        <v>0</v>
      </c>
      <c r="CB42" s="141">
        <v>5</v>
      </c>
      <c r="CC42" s="140">
        <v>13.833</v>
      </c>
      <c r="CD42" s="141">
        <v>17</v>
      </c>
      <c r="CE42" s="141">
        <v>830</v>
      </c>
      <c r="CF42" s="141">
        <v>830</v>
      </c>
      <c r="CG42" s="141">
        <v>830</v>
      </c>
      <c r="CH42" s="141">
        <v>0</v>
      </c>
      <c r="CI42" s="141">
        <v>0</v>
      </c>
      <c r="CJ42" s="142">
        <v>0</v>
      </c>
      <c r="CK42" s="142">
        <v>0</v>
      </c>
      <c r="CL42" s="142">
        <v>0</v>
      </c>
      <c r="CM42" s="142">
        <v>0</v>
      </c>
      <c r="CN42" s="179">
        <v>0</v>
      </c>
      <c r="CO42" s="142">
        <v>0</v>
      </c>
    </row>
    <row r="43" spans="1:93" ht="16.5" customHeight="1">
      <c r="A43" s="222"/>
      <c r="B43" s="220" t="s">
        <v>252</v>
      </c>
      <c r="C43" s="220"/>
      <c r="D43" s="220"/>
      <c r="E43" s="136" t="s">
        <v>253</v>
      </c>
      <c r="F43" s="136" t="s">
        <v>209</v>
      </c>
      <c r="G43" s="139">
        <v>2025</v>
      </c>
      <c r="H43" s="136" t="s">
        <v>210</v>
      </c>
      <c r="I43" s="221"/>
      <c r="J43" s="221"/>
      <c r="K43" s="140"/>
      <c r="L43" s="141"/>
      <c r="M43" s="141"/>
      <c r="N43" s="141"/>
      <c r="O43" s="141"/>
      <c r="P43" s="141"/>
      <c r="Q43" s="141"/>
      <c r="R43" s="142"/>
      <c r="S43" s="142"/>
      <c r="T43" s="142"/>
      <c r="U43" s="142"/>
      <c r="V43" s="179"/>
      <c r="W43" s="142"/>
      <c r="X43" s="141">
        <v>61862</v>
      </c>
      <c r="Y43" s="140">
        <v>1208470.8999999999</v>
      </c>
      <c r="Z43" s="141">
        <v>0</v>
      </c>
      <c r="AA43" s="141">
        <v>72508254</v>
      </c>
      <c r="AB43" s="141">
        <v>17216991</v>
      </c>
      <c r="AC43" s="141">
        <v>17218752</v>
      </c>
      <c r="AD43" s="141">
        <v>13074736</v>
      </c>
      <c r="AE43" s="141">
        <v>4142255</v>
      </c>
      <c r="AF43" s="142">
        <v>70.706000000000003</v>
      </c>
      <c r="AG43" s="142">
        <v>12.727</v>
      </c>
      <c r="AH43" s="142">
        <v>55150.095999999998</v>
      </c>
      <c r="AI43" s="142">
        <v>9927.0509999999995</v>
      </c>
      <c r="AJ43" s="179">
        <v>65077.146999999997</v>
      </c>
      <c r="AK43" s="142">
        <v>83.433000000000007</v>
      </c>
      <c r="AL43" s="141">
        <v>421</v>
      </c>
      <c r="AM43" s="140">
        <v>0</v>
      </c>
      <c r="AN43" s="141">
        <v>0</v>
      </c>
      <c r="AO43" s="141">
        <v>0</v>
      </c>
      <c r="AP43" s="141">
        <v>0</v>
      </c>
      <c r="AQ43" s="141">
        <v>0</v>
      </c>
      <c r="AR43" s="141">
        <v>0</v>
      </c>
      <c r="AS43" s="141">
        <v>0</v>
      </c>
      <c r="AT43" s="142">
        <v>3.5409999999999999</v>
      </c>
      <c r="AU43" s="142">
        <v>0.63700000000000001</v>
      </c>
      <c r="AV43" s="142">
        <v>2761.6469999999999</v>
      </c>
      <c r="AW43" s="142">
        <v>497.16199999999998</v>
      </c>
      <c r="AX43" s="179">
        <v>3258.81</v>
      </c>
      <c r="AY43" s="142">
        <v>4.1779999999999999</v>
      </c>
      <c r="AZ43" s="141">
        <v>46</v>
      </c>
      <c r="BA43" s="140">
        <v>138.93299999999999</v>
      </c>
      <c r="BB43" s="141">
        <v>164</v>
      </c>
      <c r="BC43" s="141">
        <v>8336</v>
      </c>
      <c r="BD43" s="141">
        <v>8336</v>
      </c>
      <c r="BE43" s="141">
        <v>8336</v>
      </c>
      <c r="BF43" s="141">
        <v>0</v>
      </c>
      <c r="BG43" s="141">
        <v>0</v>
      </c>
      <c r="BH43" s="142">
        <v>35.052</v>
      </c>
      <c r="BI43" s="142">
        <v>6.3090000000000002</v>
      </c>
      <c r="BJ43" s="142">
        <v>27340.29</v>
      </c>
      <c r="BK43" s="142">
        <v>4921.2529999999997</v>
      </c>
      <c r="BL43" s="179">
        <v>32261.542000000001</v>
      </c>
      <c r="BM43" s="142">
        <v>41.360999999999997</v>
      </c>
      <c r="BN43" s="141">
        <v>2958</v>
      </c>
      <c r="BO43" s="140">
        <v>0</v>
      </c>
      <c r="BP43" s="141">
        <v>0</v>
      </c>
      <c r="BQ43" s="141">
        <v>0</v>
      </c>
      <c r="BR43" s="141">
        <v>0</v>
      </c>
      <c r="BS43" s="141">
        <v>0</v>
      </c>
      <c r="BT43" s="141">
        <v>0</v>
      </c>
      <c r="BU43" s="141">
        <v>0</v>
      </c>
      <c r="BV43" s="142">
        <v>0</v>
      </c>
      <c r="BW43" s="142">
        <v>0</v>
      </c>
      <c r="BX43" s="142">
        <v>0</v>
      </c>
      <c r="BY43" s="142">
        <v>0</v>
      </c>
      <c r="BZ43" s="142">
        <v>0</v>
      </c>
      <c r="CA43" s="142">
        <v>0</v>
      </c>
      <c r="CB43" s="141">
        <v>16</v>
      </c>
      <c r="CC43" s="140">
        <v>16.966999999999999</v>
      </c>
      <c r="CD43" s="141">
        <v>27</v>
      </c>
      <c r="CE43" s="141">
        <v>1018</v>
      </c>
      <c r="CF43" s="141">
        <v>1018</v>
      </c>
      <c r="CG43" s="141">
        <v>1018</v>
      </c>
      <c r="CH43" s="141">
        <v>0</v>
      </c>
      <c r="CI43" s="141">
        <v>0</v>
      </c>
      <c r="CJ43" s="142">
        <v>0</v>
      </c>
      <c r="CK43" s="142">
        <v>0</v>
      </c>
      <c r="CL43" s="142">
        <v>0</v>
      </c>
      <c r="CM43" s="142">
        <v>0</v>
      </c>
      <c r="CN43" s="179">
        <v>0</v>
      </c>
      <c r="CO43" s="142">
        <v>0</v>
      </c>
    </row>
    <row r="44" spans="1:93" ht="16.5" customHeight="1">
      <c r="A44" s="222"/>
      <c r="B44" s="220" t="s">
        <v>254</v>
      </c>
      <c r="C44" s="220"/>
      <c r="D44" s="220"/>
      <c r="E44" s="136" t="s">
        <v>255</v>
      </c>
      <c r="F44" s="136" t="s">
        <v>209</v>
      </c>
      <c r="G44" s="139">
        <v>2025</v>
      </c>
      <c r="H44" s="136" t="s">
        <v>210</v>
      </c>
      <c r="I44" s="221"/>
      <c r="J44" s="221"/>
      <c r="K44" s="140"/>
      <c r="L44" s="141"/>
      <c r="M44" s="141"/>
      <c r="N44" s="141"/>
      <c r="O44" s="141"/>
      <c r="P44" s="141"/>
      <c r="Q44" s="141"/>
      <c r="R44" s="142"/>
      <c r="S44" s="142"/>
      <c r="T44" s="142"/>
      <c r="U44" s="142"/>
      <c r="V44" s="179"/>
      <c r="W44" s="142"/>
      <c r="X44" s="141"/>
      <c r="Y44" s="140"/>
      <c r="Z44" s="141"/>
      <c r="AA44" s="141"/>
      <c r="AB44" s="141"/>
      <c r="AC44" s="141"/>
      <c r="AD44" s="141"/>
      <c r="AE44" s="141"/>
      <c r="AF44" s="142"/>
      <c r="AG44" s="142"/>
      <c r="AH44" s="142"/>
      <c r="AI44" s="142"/>
      <c r="AJ44" s="179"/>
      <c r="AK44" s="142"/>
      <c r="AL44" s="141">
        <v>185</v>
      </c>
      <c r="AM44" s="140">
        <v>0</v>
      </c>
      <c r="AN44" s="141">
        <v>0</v>
      </c>
      <c r="AO44" s="141">
        <v>0</v>
      </c>
      <c r="AP44" s="141">
        <v>0</v>
      </c>
      <c r="AQ44" s="141">
        <v>0</v>
      </c>
      <c r="AR44" s="141">
        <v>0</v>
      </c>
      <c r="AS44" s="141">
        <v>0</v>
      </c>
      <c r="AT44" s="142">
        <v>7.7789999999999999</v>
      </c>
      <c r="AU44" s="142">
        <v>1.4</v>
      </c>
      <c r="AV44" s="142">
        <v>6067.6080000000002</v>
      </c>
      <c r="AW44" s="142">
        <v>1092.1949999999999</v>
      </c>
      <c r="AX44" s="179">
        <v>7159.8040000000001</v>
      </c>
      <c r="AY44" s="142">
        <v>9.1790000000000003</v>
      </c>
      <c r="AZ44" s="141">
        <v>65</v>
      </c>
      <c r="BA44" s="140">
        <v>74.3</v>
      </c>
      <c r="BB44" s="141">
        <v>110</v>
      </c>
      <c r="BC44" s="141">
        <v>4458</v>
      </c>
      <c r="BD44" s="141">
        <v>4458</v>
      </c>
      <c r="BE44" s="141">
        <v>6600</v>
      </c>
      <c r="BF44" s="141">
        <v>0</v>
      </c>
      <c r="BG44" s="141">
        <v>0</v>
      </c>
      <c r="BH44" s="142">
        <v>15.222</v>
      </c>
      <c r="BI44" s="142">
        <v>2.74</v>
      </c>
      <c r="BJ44" s="142">
        <v>11872.831</v>
      </c>
      <c r="BK44" s="142">
        <v>2137.1149999999998</v>
      </c>
      <c r="BL44" s="179">
        <v>14009.946</v>
      </c>
      <c r="BM44" s="142">
        <v>17.962</v>
      </c>
      <c r="BN44" s="141">
        <v>8903</v>
      </c>
      <c r="BO44" s="140">
        <v>0</v>
      </c>
      <c r="BP44" s="141">
        <v>0</v>
      </c>
      <c r="BQ44" s="141">
        <v>0</v>
      </c>
      <c r="BR44" s="141">
        <v>0</v>
      </c>
      <c r="BS44" s="141">
        <v>0</v>
      </c>
      <c r="BT44" s="141">
        <v>0</v>
      </c>
      <c r="BU44" s="141">
        <v>0</v>
      </c>
      <c r="BV44" s="142">
        <v>0</v>
      </c>
      <c r="BW44" s="142">
        <v>0</v>
      </c>
      <c r="BX44" s="142">
        <v>0</v>
      </c>
      <c r="BY44" s="142">
        <v>0</v>
      </c>
      <c r="BZ44" s="142">
        <v>0</v>
      </c>
      <c r="CA44" s="142">
        <v>0</v>
      </c>
      <c r="CB44" s="141">
        <v>41</v>
      </c>
      <c r="CC44" s="140">
        <v>30.733000000000001</v>
      </c>
      <c r="CD44" s="141">
        <v>59</v>
      </c>
      <c r="CE44" s="141">
        <v>1844</v>
      </c>
      <c r="CF44" s="141">
        <v>1844</v>
      </c>
      <c r="CG44" s="141">
        <v>3540</v>
      </c>
      <c r="CH44" s="141">
        <v>0</v>
      </c>
      <c r="CI44" s="141">
        <v>0</v>
      </c>
      <c r="CJ44" s="142">
        <v>0.05</v>
      </c>
      <c r="CK44" s="142">
        <v>8.9999999999999993E-3</v>
      </c>
      <c r="CL44" s="142">
        <v>38.701999999999998</v>
      </c>
      <c r="CM44" s="142">
        <v>6.9580000000000002</v>
      </c>
      <c r="CN44" s="179">
        <v>45.66</v>
      </c>
      <c r="CO44" s="142">
        <v>5.8999999999999997E-2</v>
      </c>
    </row>
    <row r="45" spans="1:93" ht="16.5" customHeight="1">
      <c r="A45" s="222"/>
      <c r="B45" s="220" t="s">
        <v>256</v>
      </c>
      <c r="C45" s="220"/>
      <c r="D45" s="220"/>
      <c r="E45" s="136" t="s">
        <v>257</v>
      </c>
      <c r="F45" s="136" t="s">
        <v>209</v>
      </c>
      <c r="G45" s="139">
        <v>2025</v>
      </c>
      <c r="H45" s="136" t="s">
        <v>210</v>
      </c>
      <c r="I45" s="221"/>
      <c r="J45" s="221"/>
      <c r="K45" s="140"/>
      <c r="L45" s="141"/>
      <c r="M45" s="141"/>
      <c r="N45" s="141"/>
      <c r="O45" s="141"/>
      <c r="P45" s="141"/>
      <c r="Q45" s="141"/>
      <c r="R45" s="142"/>
      <c r="S45" s="142"/>
      <c r="T45" s="142"/>
      <c r="U45" s="142"/>
      <c r="V45" s="179"/>
      <c r="W45" s="142"/>
      <c r="X45" s="141">
        <v>107898</v>
      </c>
      <c r="Y45" s="140">
        <v>1996668.6</v>
      </c>
      <c r="Z45" s="141">
        <v>0</v>
      </c>
      <c r="AA45" s="141">
        <v>119800116</v>
      </c>
      <c r="AB45" s="141">
        <v>29113714</v>
      </c>
      <c r="AC45" s="141">
        <v>29114765</v>
      </c>
      <c r="AD45" s="141">
        <v>25511863</v>
      </c>
      <c r="AE45" s="141">
        <v>3601851</v>
      </c>
      <c r="AF45" s="142">
        <v>358.666</v>
      </c>
      <c r="AG45" s="142">
        <v>64.56</v>
      </c>
      <c r="AH45" s="142">
        <v>279756.43199999997</v>
      </c>
      <c r="AI45" s="142">
        <v>50356.135999999999</v>
      </c>
      <c r="AJ45" s="179">
        <v>330112.56800000003</v>
      </c>
      <c r="AK45" s="142">
        <v>423.226</v>
      </c>
      <c r="AL45" s="141">
        <v>198</v>
      </c>
      <c r="AM45" s="140">
        <v>0</v>
      </c>
      <c r="AN45" s="141">
        <v>0</v>
      </c>
      <c r="AO45" s="141">
        <v>0</v>
      </c>
      <c r="AP45" s="141">
        <v>0</v>
      </c>
      <c r="AQ45" s="141">
        <v>0</v>
      </c>
      <c r="AR45" s="141">
        <v>0</v>
      </c>
      <c r="AS45" s="141">
        <v>0</v>
      </c>
      <c r="AT45" s="142">
        <v>3.33</v>
      </c>
      <c r="AU45" s="142">
        <v>0.6</v>
      </c>
      <c r="AV45" s="142">
        <v>2597.654</v>
      </c>
      <c r="AW45" s="142">
        <v>467.64</v>
      </c>
      <c r="AX45" s="179">
        <v>3065.2939999999999</v>
      </c>
      <c r="AY45" s="142">
        <v>3.93</v>
      </c>
      <c r="AZ45" s="141">
        <v>25</v>
      </c>
      <c r="BA45" s="140">
        <v>9.8170000000000002</v>
      </c>
      <c r="BB45" s="141">
        <v>26</v>
      </c>
      <c r="BC45" s="141">
        <v>589</v>
      </c>
      <c r="BD45" s="141">
        <v>589</v>
      </c>
      <c r="BE45" s="141">
        <v>1560</v>
      </c>
      <c r="BF45" s="141">
        <v>0</v>
      </c>
      <c r="BG45" s="141">
        <v>0</v>
      </c>
      <c r="BH45" s="142">
        <v>1.5980000000000001</v>
      </c>
      <c r="BI45" s="142">
        <v>0.28799999999999998</v>
      </c>
      <c r="BJ45" s="142">
        <v>1246.32</v>
      </c>
      <c r="BK45" s="142">
        <v>224.34100000000001</v>
      </c>
      <c r="BL45" s="179">
        <v>1470.66</v>
      </c>
      <c r="BM45" s="142">
        <v>1.885</v>
      </c>
      <c r="BN45" s="141">
        <v>91</v>
      </c>
      <c r="BO45" s="140">
        <v>0</v>
      </c>
      <c r="BP45" s="141">
        <v>0</v>
      </c>
      <c r="BQ45" s="141">
        <v>0</v>
      </c>
      <c r="BR45" s="141">
        <v>0</v>
      </c>
      <c r="BS45" s="141">
        <v>0</v>
      </c>
      <c r="BT45" s="141">
        <v>0</v>
      </c>
      <c r="BU45" s="141">
        <v>0</v>
      </c>
      <c r="BV45" s="142">
        <v>0</v>
      </c>
      <c r="BW45" s="142">
        <v>0</v>
      </c>
      <c r="BX45" s="142">
        <v>0</v>
      </c>
      <c r="BY45" s="142">
        <v>0</v>
      </c>
      <c r="BZ45" s="142">
        <v>0</v>
      </c>
      <c r="CA45" s="142">
        <v>0</v>
      </c>
      <c r="CB45" s="141"/>
      <c r="CC45" s="140"/>
      <c r="CD45" s="141"/>
      <c r="CE45" s="141"/>
      <c r="CF45" s="141"/>
      <c r="CG45" s="141"/>
      <c r="CH45" s="141"/>
      <c r="CI45" s="141"/>
      <c r="CJ45" s="142"/>
      <c r="CK45" s="142"/>
      <c r="CL45" s="142"/>
      <c r="CM45" s="142"/>
      <c r="CN45" s="179"/>
      <c r="CO45" s="142"/>
    </row>
    <row r="46" spans="1:93" ht="16.5" customHeight="1">
      <c r="A46" s="222"/>
      <c r="B46" s="220" t="s">
        <v>258</v>
      </c>
      <c r="C46" s="220"/>
      <c r="D46" s="220"/>
      <c r="E46" s="136" t="s">
        <v>259</v>
      </c>
      <c r="F46" s="136" t="s">
        <v>209</v>
      </c>
      <c r="G46" s="139">
        <v>2025</v>
      </c>
      <c r="H46" s="136" t="s">
        <v>210</v>
      </c>
      <c r="I46" s="221"/>
      <c r="J46" s="221"/>
      <c r="K46" s="140"/>
      <c r="L46" s="141"/>
      <c r="M46" s="141"/>
      <c r="N46" s="141"/>
      <c r="O46" s="141"/>
      <c r="P46" s="141"/>
      <c r="Q46" s="141"/>
      <c r="R46" s="142"/>
      <c r="S46" s="142"/>
      <c r="T46" s="142"/>
      <c r="U46" s="142"/>
      <c r="V46" s="179"/>
      <c r="W46" s="142"/>
      <c r="X46" s="141">
        <v>989092</v>
      </c>
      <c r="Y46" s="140">
        <v>17109900.033</v>
      </c>
      <c r="Z46" s="141">
        <v>0</v>
      </c>
      <c r="AA46" s="141">
        <v>1026594002</v>
      </c>
      <c r="AB46" s="141">
        <v>9238158</v>
      </c>
      <c r="AC46" s="141">
        <v>9321945</v>
      </c>
      <c r="AD46" s="141">
        <v>3139222</v>
      </c>
      <c r="AE46" s="141">
        <v>6098937</v>
      </c>
      <c r="AF46" s="142">
        <v>45.944000000000003</v>
      </c>
      <c r="AG46" s="142">
        <v>8.2810000000000006</v>
      </c>
      <c r="AH46" s="142">
        <v>35836.275000000001</v>
      </c>
      <c r="AI46" s="142">
        <v>6459.1530000000002</v>
      </c>
      <c r="AJ46" s="179">
        <v>42295.427000000003</v>
      </c>
      <c r="AK46" s="142">
        <v>54.225000000000001</v>
      </c>
      <c r="AL46" s="141">
        <v>32</v>
      </c>
      <c r="AM46" s="140">
        <v>0</v>
      </c>
      <c r="AN46" s="141">
        <v>0</v>
      </c>
      <c r="AO46" s="141">
        <v>0</v>
      </c>
      <c r="AP46" s="141">
        <v>0</v>
      </c>
      <c r="AQ46" s="141">
        <v>0</v>
      </c>
      <c r="AR46" s="141">
        <v>0</v>
      </c>
      <c r="AS46" s="141">
        <v>0</v>
      </c>
      <c r="AT46" s="142">
        <v>0.24199999999999999</v>
      </c>
      <c r="AU46" s="142">
        <v>4.3999999999999997E-2</v>
      </c>
      <c r="AV46" s="142">
        <v>188.92</v>
      </c>
      <c r="AW46" s="142">
        <v>33.994999999999997</v>
      </c>
      <c r="AX46" s="179">
        <v>222.91499999999999</v>
      </c>
      <c r="AY46" s="142">
        <v>0.28599999999999998</v>
      </c>
      <c r="AZ46" s="141">
        <v>1123</v>
      </c>
      <c r="BA46" s="140">
        <v>1466.8</v>
      </c>
      <c r="BB46" s="141">
        <v>2016</v>
      </c>
      <c r="BC46" s="141">
        <v>88008</v>
      </c>
      <c r="BD46" s="141">
        <v>88008</v>
      </c>
      <c r="BE46" s="141">
        <v>88008</v>
      </c>
      <c r="BF46" s="141">
        <v>0</v>
      </c>
      <c r="BG46" s="141">
        <v>0</v>
      </c>
      <c r="BH46" s="142">
        <v>128.87100000000001</v>
      </c>
      <c r="BI46" s="142">
        <v>23.196999999999999</v>
      </c>
      <c r="BJ46" s="142">
        <v>100518.143</v>
      </c>
      <c r="BK46" s="142">
        <v>18093.253000000001</v>
      </c>
      <c r="BL46" s="179">
        <v>118611.39599999999</v>
      </c>
      <c r="BM46" s="142">
        <v>152.06700000000001</v>
      </c>
      <c r="BN46" s="141">
        <v>709857</v>
      </c>
      <c r="BO46" s="140">
        <v>0</v>
      </c>
      <c r="BP46" s="141">
        <v>0</v>
      </c>
      <c r="BQ46" s="141">
        <v>0</v>
      </c>
      <c r="BR46" s="141">
        <v>0</v>
      </c>
      <c r="BS46" s="141">
        <v>0</v>
      </c>
      <c r="BT46" s="141">
        <v>0</v>
      </c>
      <c r="BU46" s="141">
        <v>0</v>
      </c>
      <c r="BV46" s="142">
        <v>0</v>
      </c>
      <c r="BW46" s="142">
        <v>0</v>
      </c>
      <c r="BX46" s="142">
        <v>0</v>
      </c>
      <c r="BY46" s="142">
        <v>0</v>
      </c>
      <c r="BZ46" s="142">
        <v>0</v>
      </c>
      <c r="CA46" s="142">
        <v>0</v>
      </c>
      <c r="CB46" s="141">
        <v>1308</v>
      </c>
      <c r="CC46" s="140">
        <v>2017.5830000000001</v>
      </c>
      <c r="CD46" s="141">
        <v>2723</v>
      </c>
      <c r="CE46" s="141">
        <v>121055</v>
      </c>
      <c r="CF46" s="141">
        <v>121055</v>
      </c>
      <c r="CG46" s="141">
        <v>121055</v>
      </c>
      <c r="CH46" s="141">
        <v>0</v>
      </c>
      <c r="CI46" s="141">
        <v>0</v>
      </c>
      <c r="CJ46" s="142">
        <v>0</v>
      </c>
      <c r="CK46" s="142">
        <v>0</v>
      </c>
      <c r="CL46" s="142">
        <v>0</v>
      </c>
      <c r="CM46" s="142">
        <v>0</v>
      </c>
      <c r="CN46" s="179">
        <v>0</v>
      </c>
      <c r="CO46" s="142">
        <v>0</v>
      </c>
    </row>
    <row r="47" spans="1:93" ht="16.5" customHeight="1">
      <c r="A47" s="222"/>
      <c r="B47" s="220" t="s">
        <v>260</v>
      </c>
      <c r="C47" s="220"/>
      <c r="D47" s="220"/>
      <c r="E47" s="136" t="s">
        <v>261</v>
      </c>
      <c r="F47" s="136" t="s">
        <v>209</v>
      </c>
      <c r="G47" s="139">
        <v>2025</v>
      </c>
      <c r="H47" s="136" t="s">
        <v>210</v>
      </c>
      <c r="I47" s="221"/>
      <c r="J47" s="221"/>
      <c r="K47" s="140"/>
      <c r="L47" s="141"/>
      <c r="M47" s="141"/>
      <c r="N47" s="141"/>
      <c r="O47" s="141"/>
      <c r="P47" s="141"/>
      <c r="Q47" s="141"/>
      <c r="R47" s="142"/>
      <c r="S47" s="142"/>
      <c r="T47" s="142"/>
      <c r="U47" s="142"/>
      <c r="V47" s="179"/>
      <c r="W47" s="142"/>
      <c r="X47" s="141">
        <v>2687750</v>
      </c>
      <c r="Y47" s="140">
        <v>41866942.116999999</v>
      </c>
      <c r="Z47" s="141">
        <v>0</v>
      </c>
      <c r="AA47" s="141">
        <v>2512016527</v>
      </c>
      <c r="AB47" s="141">
        <v>231158076</v>
      </c>
      <c r="AC47" s="141">
        <v>231472949</v>
      </c>
      <c r="AD47" s="141">
        <v>175918731</v>
      </c>
      <c r="AE47" s="141">
        <v>55239346</v>
      </c>
      <c r="AF47" s="142">
        <v>1900.9380000000001</v>
      </c>
      <c r="AG47" s="142">
        <v>342.02300000000002</v>
      </c>
      <c r="AH47" s="142">
        <v>1482716.446</v>
      </c>
      <c r="AI47" s="142">
        <v>266775.01699999999</v>
      </c>
      <c r="AJ47" s="179">
        <v>1749491.4620000001</v>
      </c>
      <c r="AK47" s="142">
        <v>2242.9609999999998</v>
      </c>
      <c r="AL47" s="141">
        <v>3158</v>
      </c>
      <c r="AM47" s="140">
        <v>0</v>
      </c>
      <c r="AN47" s="141">
        <v>0</v>
      </c>
      <c r="AO47" s="141">
        <v>0</v>
      </c>
      <c r="AP47" s="141">
        <v>0</v>
      </c>
      <c r="AQ47" s="141">
        <v>0</v>
      </c>
      <c r="AR47" s="141">
        <v>0</v>
      </c>
      <c r="AS47" s="141">
        <v>0</v>
      </c>
      <c r="AT47" s="142">
        <v>26.559000000000001</v>
      </c>
      <c r="AU47" s="142">
        <v>4.7809999999999997</v>
      </c>
      <c r="AV47" s="142">
        <v>20715.635999999999</v>
      </c>
      <c r="AW47" s="142">
        <v>3729.3069999999998</v>
      </c>
      <c r="AX47" s="179">
        <v>24444.942999999999</v>
      </c>
      <c r="AY47" s="142">
        <v>31.34</v>
      </c>
      <c r="AZ47" s="141">
        <v>4287</v>
      </c>
      <c r="BA47" s="140">
        <v>5798.1</v>
      </c>
      <c r="BB47" s="141">
        <v>8116</v>
      </c>
      <c r="BC47" s="141">
        <v>347886</v>
      </c>
      <c r="BD47" s="141">
        <v>347886</v>
      </c>
      <c r="BE47" s="141">
        <v>347886</v>
      </c>
      <c r="BF47" s="141">
        <v>0</v>
      </c>
      <c r="BG47" s="141">
        <v>0</v>
      </c>
      <c r="BH47" s="142">
        <v>1601.693</v>
      </c>
      <c r="BI47" s="142">
        <v>288.30500000000001</v>
      </c>
      <c r="BJ47" s="142">
        <v>1249307.9850000001</v>
      </c>
      <c r="BK47" s="142">
        <v>224875.50899999999</v>
      </c>
      <c r="BL47" s="179">
        <v>1474183.4950000001</v>
      </c>
      <c r="BM47" s="142">
        <v>1889.998</v>
      </c>
      <c r="BN47" s="141">
        <v>321123</v>
      </c>
      <c r="BO47" s="140">
        <v>0</v>
      </c>
      <c r="BP47" s="141">
        <v>0</v>
      </c>
      <c r="BQ47" s="141">
        <v>0</v>
      </c>
      <c r="BR47" s="141">
        <v>0</v>
      </c>
      <c r="BS47" s="141">
        <v>0</v>
      </c>
      <c r="BT47" s="141">
        <v>0</v>
      </c>
      <c r="BU47" s="141">
        <v>0</v>
      </c>
      <c r="BV47" s="142">
        <v>0</v>
      </c>
      <c r="BW47" s="142">
        <v>0</v>
      </c>
      <c r="BX47" s="142">
        <v>0</v>
      </c>
      <c r="BY47" s="142">
        <v>0</v>
      </c>
      <c r="BZ47" s="142">
        <v>0</v>
      </c>
      <c r="CA47" s="142">
        <v>0</v>
      </c>
      <c r="CB47" s="141">
        <v>12724</v>
      </c>
      <c r="CC47" s="140">
        <v>25353.233</v>
      </c>
      <c r="CD47" s="141">
        <v>31997</v>
      </c>
      <c r="CE47" s="141">
        <v>1521194</v>
      </c>
      <c r="CF47" s="141">
        <v>1521194</v>
      </c>
      <c r="CG47" s="141">
        <v>1521194</v>
      </c>
      <c r="CH47" s="141">
        <v>0</v>
      </c>
      <c r="CI47" s="141">
        <v>0</v>
      </c>
      <c r="CJ47" s="142">
        <v>0</v>
      </c>
      <c r="CK47" s="142">
        <v>0</v>
      </c>
      <c r="CL47" s="142">
        <v>0</v>
      </c>
      <c r="CM47" s="142">
        <v>0</v>
      </c>
      <c r="CN47" s="179">
        <v>0</v>
      </c>
      <c r="CO47" s="142">
        <v>0</v>
      </c>
    </row>
    <row r="48" spans="1:93" ht="16.5" customHeight="1">
      <c r="A48" s="222"/>
      <c r="B48" s="220" t="s">
        <v>262</v>
      </c>
      <c r="C48" s="220"/>
      <c r="D48" s="220"/>
      <c r="E48" s="136" t="s">
        <v>263</v>
      </c>
      <c r="F48" s="136" t="s">
        <v>209</v>
      </c>
      <c r="G48" s="139">
        <v>2025</v>
      </c>
      <c r="H48" s="136" t="s">
        <v>210</v>
      </c>
      <c r="I48" s="221"/>
      <c r="J48" s="221"/>
      <c r="K48" s="140"/>
      <c r="L48" s="141"/>
      <c r="M48" s="141"/>
      <c r="N48" s="141"/>
      <c r="O48" s="141"/>
      <c r="P48" s="141"/>
      <c r="Q48" s="141"/>
      <c r="R48" s="142"/>
      <c r="S48" s="142"/>
      <c r="T48" s="142"/>
      <c r="U48" s="142"/>
      <c r="V48" s="179"/>
      <c r="W48" s="142"/>
      <c r="X48" s="141">
        <v>249109</v>
      </c>
      <c r="Y48" s="140">
        <v>4880653.983</v>
      </c>
      <c r="Z48" s="141">
        <v>0</v>
      </c>
      <c r="AA48" s="141">
        <v>292839239</v>
      </c>
      <c r="AB48" s="141">
        <v>6323</v>
      </c>
      <c r="AC48" s="141">
        <v>6765</v>
      </c>
      <c r="AD48" s="141">
        <v>4524</v>
      </c>
      <c r="AE48" s="141">
        <v>1799</v>
      </c>
      <c r="AF48" s="142">
        <v>5.5E-2</v>
      </c>
      <c r="AG48" s="142">
        <v>0.01</v>
      </c>
      <c r="AH48" s="142">
        <v>43.238999999999997</v>
      </c>
      <c r="AI48" s="142">
        <v>7.617</v>
      </c>
      <c r="AJ48" s="179">
        <v>50.854999999999997</v>
      </c>
      <c r="AK48" s="142">
        <v>6.5000000000000002E-2</v>
      </c>
      <c r="AL48" s="141">
        <v>87</v>
      </c>
      <c r="AM48" s="140">
        <v>0</v>
      </c>
      <c r="AN48" s="141">
        <v>0</v>
      </c>
      <c r="AO48" s="141">
        <v>0</v>
      </c>
      <c r="AP48" s="141">
        <v>0</v>
      </c>
      <c r="AQ48" s="141">
        <v>0</v>
      </c>
      <c r="AR48" s="141">
        <v>0</v>
      </c>
      <c r="AS48" s="141">
        <v>0</v>
      </c>
      <c r="AT48" s="142">
        <v>0.73199999999999998</v>
      </c>
      <c r="AU48" s="142">
        <v>0.13200000000000001</v>
      </c>
      <c r="AV48" s="142">
        <v>570.697</v>
      </c>
      <c r="AW48" s="142">
        <v>102.739</v>
      </c>
      <c r="AX48" s="179">
        <v>673.43600000000004</v>
      </c>
      <c r="AY48" s="142">
        <v>0.86299999999999999</v>
      </c>
      <c r="AZ48" s="141">
        <v>127</v>
      </c>
      <c r="BA48" s="140">
        <v>176.483</v>
      </c>
      <c r="BB48" s="141">
        <v>255</v>
      </c>
      <c r="BC48" s="141">
        <v>10589</v>
      </c>
      <c r="BD48" s="141">
        <v>10589</v>
      </c>
      <c r="BE48" s="141">
        <v>10589</v>
      </c>
      <c r="BF48" s="141">
        <v>0</v>
      </c>
      <c r="BG48" s="141">
        <v>0</v>
      </c>
      <c r="BH48" s="142">
        <v>60.728999999999999</v>
      </c>
      <c r="BI48" s="142">
        <v>10.930999999999999</v>
      </c>
      <c r="BJ48" s="142">
        <v>47368.298000000003</v>
      </c>
      <c r="BK48" s="142">
        <v>8526.2939999999999</v>
      </c>
      <c r="BL48" s="179">
        <v>55894.591999999997</v>
      </c>
      <c r="BM48" s="142">
        <v>71.66</v>
      </c>
      <c r="BN48" s="141">
        <v>95767</v>
      </c>
      <c r="BO48" s="140">
        <v>0</v>
      </c>
      <c r="BP48" s="141">
        <v>0</v>
      </c>
      <c r="BQ48" s="141">
        <v>0</v>
      </c>
      <c r="BR48" s="141">
        <v>0</v>
      </c>
      <c r="BS48" s="141">
        <v>0</v>
      </c>
      <c r="BT48" s="141">
        <v>0</v>
      </c>
      <c r="BU48" s="141">
        <v>0</v>
      </c>
      <c r="BV48" s="142">
        <v>0</v>
      </c>
      <c r="BW48" s="142">
        <v>0</v>
      </c>
      <c r="BX48" s="142">
        <v>0</v>
      </c>
      <c r="BY48" s="142">
        <v>0</v>
      </c>
      <c r="BZ48" s="142">
        <v>0</v>
      </c>
      <c r="CA48" s="142">
        <v>0</v>
      </c>
      <c r="CB48" s="141">
        <v>169</v>
      </c>
      <c r="CC48" s="140">
        <v>155</v>
      </c>
      <c r="CD48" s="141">
        <v>258</v>
      </c>
      <c r="CE48" s="141">
        <v>9300</v>
      </c>
      <c r="CF48" s="141">
        <v>9300</v>
      </c>
      <c r="CG48" s="141">
        <v>9300</v>
      </c>
      <c r="CH48" s="141">
        <v>0</v>
      </c>
      <c r="CI48" s="141">
        <v>0</v>
      </c>
      <c r="CJ48" s="142">
        <v>0</v>
      </c>
      <c r="CK48" s="142">
        <v>0</v>
      </c>
      <c r="CL48" s="142">
        <v>0</v>
      </c>
      <c r="CM48" s="142">
        <v>0</v>
      </c>
      <c r="CN48" s="179">
        <v>0</v>
      </c>
      <c r="CO48" s="142">
        <v>0</v>
      </c>
    </row>
    <row r="49" spans="1:93" ht="16.5" customHeight="1">
      <c r="A49" s="222"/>
      <c r="B49" s="220" t="s">
        <v>264</v>
      </c>
      <c r="C49" s="220"/>
      <c r="D49" s="220"/>
      <c r="E49" s="136" t="s">
        <v>265</v>
      </c>
      <c r="F49" s="136" t="s">
        <v>209</v>
      </c>
      <c r="G49" s="139">
        <v>2025</v>
      </c>
      <c r="H49" s="136" t="s">
        <v>210</v>
      </c>
      <c r="I49" s="221"/>
      <c r="J49" s="221"/>
      <c r="K49" s="140"/>
      <c r="L49" s="141"/>
      <c r="M49" s="141"/>
      <c r="N49" s="141"/>
      <c r="O49" s="141"/>
      <c r="P49" s="141"/>
      <c r="Q49" s="141"/>
      <c r="R49" s="142"/>
      <c r="S49" s="142"/>
      <c r="T49" s="142"/>
      <c r="U49" s="142"/>
      <c r="V49" s="179"/>
      <c r="W49" s="142"/>
      <c r="X49" s="141">
        <v>250</v>
      </c>
      <c r="Y49" s="140">
        <v>5880.2169999999996</v>
      </c>
      <c r="Z49" s="141">
        <v>0</v>
      </c>
      <c r="AA49" s="141">
        <v>352813</v>
      </c>
      <c r="AB49" s="141">
        <v>74322</v>
      </c>
      <c r="AC49" s="141">
        <v>74435</v>
      </c>
      <c r="AD49" s="141">
        <v>36942</v>
      </c>
      <c r="AE49" s="141">
        <v>37379</v>
      </c>
      <c r="AF49" s="142">
        <v>0.30599999999999999</v>
      </c>
      <c r="AG49" s="142">
        <v>5.5E-2</v>
      </c>
      <c r="AH49" s="142">
        <v>238.39400000000001</v>
      </c>
      <c r="AI49" s="142">
        <v>42.896999999999998</v>
      </c>
      <c r="AJ49" s="179">
        <v>281.291</v>
      </c>
      <c r="AK49" s="142">
        <v>0.36099999999999999</v>
      </c>
      <c r="AL49" s="141">
        <v>11</v>
      </c>
      <c r="AM49" s="140">
        <v>0</v>
      </c>
      <c r="AN49" s="141">
        <v>0</v>
      </c>
      <c r="AO49" s="141">
        <v>0</v>
      </c>
      <c r="AP49" s="141">
        <v>0</v>
      </c>
      <c r="AQ49" s="141">
        <v>0</v>
      </c>
      <c r="AR49" s="141">
        <v>0</v>
      </c>
      <c r="AS49" s="141">
        <v>0</v>
      </c>
      <c r="AT49" s="142">
        <v>0.435</v>
      </c>
      <c r="AU49" s="142">
        <v>7.8E-2</v>
      </c>
      <c r="AV49" s="142">
        <v>339.13</v>
      </c>
      <c r="AW49" s="142">
        <v>61.045999999999999</v>
      </c>
      <c r="AX49" s="179">
        <v>400.17599999999999</v>
      </c>
      <c r="AY49" s="142">
        <v>0.51300000000000001</v>
      </c>
      <c r="AZ49" s="141">
        <v>8</v>
      </c>
      <c r="BA49" s="140">
        <v>4.0330000000000004</v>
      </c>
      <c r="BB49" s="141">
        <v>8</v>
      </c>
      <c r="BC49" s="141">
        <v>242</v>
      </c>
      <c r="BD49" s="141">
        <v>242</v>
      </c>
      <c r="BE49" s="141">
        <v>242</v>
      </c>
      <c r="BF49" s="141">
        <v>0</v>
      </c>
      <c r="BG49" s="141">
        <v>0</v>
      </c>
      <c r="BH49" s="142">
        <v>0.60699999999999998</v>
      </c>
      <c r="BI49" s="142">
        <v>0.109</v>
      </c>
      <c r="BJ49" s="142">
        <v>473.49099999999999</v>
      </c>
      <c r="BK49" s="142">
        <v>85.227000000000004</v>
      </c>
      <c r="BL49" s="179">
        <v>558.71799999999996</v>
      </c>
      <c r="BM49" s="142">
        <v>0.71599999999999997</v>
      </c>
      <c r="BN49" s="141">
        <v>17072</v>
      </c>
      <c r="BO49" s="140">
        <v>0</v>
      </c>
      <c r="BP49" s="141">
        <v>0</v>
      </c>
      <c r="BQ49" s="141">
        <v>0</v>
      </c>
      <c r="BR49" s="141">
        <v>0</v>
      </c>
      <c r="BS49" s="141">
        <v>0</v>
      </c>
      <c r="BT49" s="141">
        <v>0</v>
      </c>
      <c r="BU49" s="141">
        <v>0</v>
      </c>
      <c r="BV49" s="142">
        <v>0</v>
      </c>
      <c r="BW49" s="142">
        <v>0</v>
      </c>
      <c r="BX49" s="142">
        <v>0</v>
      </c>
      <c r="BY49" s="142">
        <v>0</v>
      </c>
      <c r="BZ49" s="142">
        <v>0</v>
      </c>
      <c r="CA49" s="142">
        <v>0</v>
      </c>
      <c r="CB49" s="141">
        <v>27</v>
      </c>
      <c r="CC49" s="140">
        <v>45.65</v>
      </c>
      <c r="CD49" s="141">
        <v>60</v>
      </c>
      <c r="CE49" s="141">
        <v>2739</v>
      </c>
      <c r="CF49" s="141">
        <v>2739</v>
      </c>
      <c r="CG49" s="141">
        <v>2739</v>
      </c>
      <c r="CH49" s="141">
        <v>0</v>
      </c>
      <c r="CI49" s="141">
        <v>0</v>
      </c>
      <c r="CJ49" s="142">
        <v>0</v>
      </c>
      <c r="CK49" s="142">
        <v>0</v>
      </c>
      <c r="CL49" s="142">
        <v>0</v>
      </c>
      <c r="CM49" s="142">
        <v>0</v>
      </c>
      <c r="CN49" s="179">
        <v>0</v>
      </c>
      <c r="CO49" s="142">
        <v>0</v>
      </c>
    </row>
    <row r="50" spans="1:93" ht="16.5" customHeight="1">
      <c r="A50" s="222"/>
      <c r="B50" s="220" t="s">
        <v>266</v>
      </c>
      <c r="C50" s="220"/>
      <c r="D50" s="220"/>
      <c r="E50" s="136" t="s">
        <v>267</v>
      </c>
      <c r="F50" s="136" t="s">
        <v>209</v>
      </c>
      <c r="G50" s="139">
        <v>2025</v>
      </c>
      <c r="H50" s="136" t="s">
        <v>210</v>
      </c>
      <c r="I50" s="221"/>
      <c r="J50" s="221"/>
      <c r="K50" s="140"/>
      <c r="L50" s="141"/>
      <c r="M50" s="141"/>
      <c r="N50" s="141"/>
      <c r="O50" s="141"/>
      <c r="P50" s="141"/>
      <c r="Q50" s="141"/>
      <c r="R50" s="142"/>
      <c r="S50" s="142"/>
      <c r="T50" s="142"/>
      <c r="U50" s="142"/>
      <c r="V50" s="179"/>
      <c r="W50" s="142"/>
      <c r="X50" s="141">
        <v>15854</v>
      </c>
      <c r="Y50" s="140">
        <v>236070.43299999999</v>
      </c>
      <c r="Z50" s="141">
        <v>0</v>
      </c>
      <c r="AA50" s="141">
        <v>14164226</v>
      </c>
      <c r="AB50" s="141">
        <v>54720</v>
      </c>
      <c r="AC50" s="141">
        <v>56182</v>
      </c>
      <c r="AD50" s="141">
        <v>41723</v>
      </c>
      <c r="AE50" s="141">
        <v>12997</v>
      </c>
      <c r="AF50" s="142">
        <v>0.46100000000000002</v>
      </c>
      <c r="AG50" s="142">
        <v>8.2000000000000003E-2</v>
      </c>
      <c r="AH50" s="142">
        <v>359.43400000000003</v>
      </c>
      <c r="AI50" s="142">
        <v>63.767000000000003</v>
      </c>
      <c r="AJ50" s="179">
        <v>423.202</v>
      </c>
      <c r="AK50" s="142">
        <v>0.54300000000000004</v>
      </c>
      <c r="AL50" s="141">
        <v>10</v>
      </c>
      <c r="AM50" s="140">
        <v>0</v>
      </c>
      <c r="AN50" s="141">
        <v>0</v>
      </c>
      <c r="AO50" s="141">
        <v>0</v>
      </c>
      <c r="AP50" s="141">
        <v>0</v>
      </c>
      <c r="AQ50" s="141">
        <v>0</v>
      </c>
      <c r="AR50" s="141">
        <v>0</v>
      </c>
      <c r="AS50" s="141">
        <v>0</v>
      </c>
      <c r="AT50" s="142">
        <v>8.4000000000000005E-2</v>
      </c>
      <c r="AU50" s="142">
        <v>1.4999999999999999E-2</v>
      </c>
      <c r="AV50" s="142">
        <v>65.596999999999994</v>
      </c>
      <c r="AW50" s="142">
        <v>11.808999999999999</v>
      </c>
      <c r="AX50" s="179">
        <v>77.406000000000006</v>
      </c>
      <c r="AY50" s="142">
        <v>9.9000000000000005E-2</v>
      </c>
      <c r="AZ50" s="141">
        <v>6</v>
      </c>
      <c r="BA50" s="140">
        <v>3.65</v>
      </c>
      <c r="BB50" s="141">
        <v>8</v>
      </c>
      <c r="BC50" s="141">
        <v>219</v>
      </c>
      <c r="BD50" s="141">
        <v>219</v>
      </c>
      <c r="BE50" s="141">
        <v>219</v>
      </c>
      <c r="BF50" s="141">
        <v>0</v>
      </c>
      <c r="BG50" s="141">
        <v>0</v>
      </c>
      <c r="BH50" s="142">
        <v>1.06</v>
      </c>
      <c r="BI50" s="142">
        <v>0.191</v>
      </c>
      <c r="BJ50" s="142">
        <v>826.505</v>
      </c>
      <c r="BK50" s="142">
        <v>148.77000000000001</v>
      </c>
      <c r="BL50" s="179">
        <v>975.27499999999998</v>
      </c>
      <c r="BM50" s="142">
        <v>1.25</v>
      </c>
      <c r="BN50" s="141">
        <v>16906</v>
      </c>
      <c r="BO50" s="140">
        <v>0</v>
      </c>
      <c r="BP50" s="141">
        <v>0</v>
      </c>
      <c r="BQ50" s="141">
        <v>0</v>
      </c>
      <c r="BR50" s="141">
        <v>0</v>
      </c>
      <c r="BS50" s="141">
        <v>0</v>
      </c>
      <c r="BT50" s="141">
        <v>0</v>
      </c>
      <c r="BU50" s="141">
        <v>0</v>
      </c>
      <c r="BV50" s="142">
        <v>0</v>
      </c>
      <c r="BW50" s="142">
        <v>0</v>
      </c>
      <c r="BX50" s="142">
        <v>0</v>
      </c>
      <c r="BY50" s="142">
        <v>0</v>
      </c>
      <c r="BZ50" s="142">
        <v>0</v>
      </c>
      <c r="CA50" s="142">
        <v>0</v>
      </c>
      <c r="CB50" s="141">
        <v>21</v>
      </c>
      <c r="CC50" s="140">
        <v>21.35</v>
      </c>
      <c r="CD50" s="141">
        <v>34</v>
      </c>
      <c r="CE50" s="141">
        <v>1281</v>
      </c>
      <c r="CF50" s="141">
        <v>1281</v>
      </c>
      <c r="CG50" s="141">
        <v>1281</v>
      </c>
      <c r="CH50" s="141">
        <v>0</v>
      </c>
      <c r="CI50" s="141">
        <v>0</v>
      </c>
      <c r="CJ50" s="142">
        <v>0</v>
      </c>
      <c r="CK50" s="142">
        <v>0</v>
      </c>
      <c r="CL50" s="142">
        <v>0</v>
      </c>
      <c r="CM50" s="142">
        <v>0</v>
      </c>
      <c r="CN50" s="179">
        <v>0</v>
      </c>
      <c r="CO50" s="142">
        <v>0</v>
      </c>
    </row>
    <row r="51" spans="1:93" ht="16.5" customHeight="1">
      <c r="A51" s="222"/>
      <c r="B51" s="220" t="s">
        <v>268</v>
      </c>
      <c r="C51" s="220"/>
      <c r="D51" s="220"/>
      <c r="E51" s="136" t="s">
        <v>269</v>
      </c>
      <c r="F51" s="136" t="s">
        <v>209</v>
      </c>
      <c r="G51" s="139">
        <v>2025</v>
      </c>
      <c r="H51" s="136" t="s">
        <v>210</v>
      </c>
      <c r="I51" s="221"/>
      <c r="J51" s="221"/>
      <c r="K51" s="140"/>
      <c r="L51" s="141"/>
      <c r="M51" s="141"/>
      <c r="N51" s="141"/>
      <c r="O51" s="141"/>
      <c r="P51" s="141"/>
      <c r="Q51" s="141"/>
      <c r="R51" s="142"/>
      <c r="S51" s="142"/>
      <c r="T51" s="142"/>
      <c r="U51" s="142"/>
      <c r="V51" s="179"/>
      <c r="W51" s="142"/>
      <c r="X51" s="141"/>
      <c r="Y51" s="140"/>
      <c r="Z51" s="141"/>
      <c r="AA51" s="141"/>
      <c r="AB51" s="141"/>
      <c r="AC51" s="141"/>
      <c r="AD51" s="141"/>
      <c r="AE51" s="141"/>
      <c r="AF51" s="142"/>
      <c r="AG51" s="142"/>
      <c r="AH51" s="142"/>
      <c r="AI51" s="142"/>
      <c r="AJ51" s="179"/>
      <c r="AK51" s="142"/>
      <c r="AL51" s="141"/>
      <c r="AM51" s="140"/>
      <c r="AN51" s="141"/>
      <c r="AO51" s="141"/>
      <c r="AP51" s="141"/>
      <c r="AQ51" s="141"/>
      <c r="AR51" s="141"/>
      <c r="AS51" s="141"/>
      <c r="AT51" s="142"/>
      <c r="AU51" s="142"/>
      <c r="AV51" s="142"/>
      <c r="AW51" s="142"/>
      <c r="AX51" s="179"/>
      <c r="AY51" s="142"/>
      <c r="AZ51" s="141"/>
      <c r="BA51" s="140"/>
      <c r="BB51" s="141"/>
      <c r="BC51" s="141"/>
      <c r="BD51" s="141"/>
      <c r="BE51" s="141"/>
      <c r="BF51" s="141"/>
      <c r="BG51" s="141"/>
      <c r="BH51" s="142"/>
      <c r="BI51" s="142"/>
      <c r="BJ51" s="142"/>
      <c r="BK51" s="142"/>
      <c r="BL51" s="179"/>
      <c r="BM51" s="142"/>
      <c r="BN51" s="141">
        <v>23</v>
      </c>
      <c r="BO51" s="140">
        <v>0</v>
      </c>
      <c r="BP51" s="141">
        <v>0</v>
      </c>
      <c r="BQ51" s="141">
        <v>0</v>
      </c>
      <c r="BR51" s="141">
        <v>0</v>
      </c>
      <c r="BS51" s="141">
        <v>0</v>
      </c>
      <c r="BT51" s="141">
        <v>0</v>
      </c>
      <c r="BU51" s="141">
        <v>0</v>
      </c>
      <c r="BV51" s="142">
        <v>0</v>
      </c>
      <c r="BW51" s="142">
        <v>0</v>
      </c>
      <c r="BX51" s="142">
        <v>0</v>
      </c>
      <c r="BY51" s="142">
        <v>0</v>
      </c>
      <c r="BZ51" s="142">
        <v>0</v>
      </c>
      <c r="CA51" s="142">
        <v>0</v>
      </c>
      <c r="CB51" s="141"/>
      <c r="CC51" s="140"/>
      <c r="CD51" s="141"/>
      <c r="CE51" s="141"/>
      <c r="CF51" s="141"/>
      <c r="CG51" s="141"/>
      <c r="CH51" s="141"/>
      <c r="CI51" s="141"/>
      <c r="CJ51" s="142"/>
      <c r="CK51" s="142"/>
      <c r="CL51" s="142"/>
      <c r="CM51" s="142"/>
      <c r="CN51" s="179"/>
      <c r="CO51" s="142"/>
    </row>
    <row r="52" spans="1:93" ht="16.5" customHeight="1">
      <c r="A52" s="222"/>
      <c r="B52" s="220" t="s">
        <v>270</v>
      </c>
      <c r="C52" s="220"/>
      <c r="D52" s="220"/>
      <c r="E52" s="136" t="s">
        <v>271</v>
      </c>
      <c r="F52" s="136" t="s">
        <v>209</v>
      </c>
      <c r="G52" s="139">
        <v>2025</v>
      </c>
      <c r="H52" s="136" t="s">
        <v>210</v>
      </c>
      <c r="I52" s="221"/>
      <c r="J52" s="221"/>
      <c r="K52" s="140"/>
      <c r="L52" s="141"/>
      <c r="M52" s="141"/>
      <c r="N52" s="141"/>
      <c r="O52" s="141"/>
      <c r="P52" s="141"/>
      <c r="Q52" s="141"/>
      <c r="R52" s="142"/>
      <c r="S52" s="142"/>
      <c r="T52" s="142"/>
      <c r="U52" s="142"/>
      <c r="V52" s="179"/>
      <c r="W52" s="142"/>
      <c r="X52" s="141">
        <v>42</v>
      </c>
      <c r="Y52" s="140">
        <v>331</v>
      </c>
      <c r="Z52" s="141">
        <v>0</v>
      </c>
      <c r="AA52" s="141">
        <v>19860</v>
      </c>
      <c r="AB52" s="141">
        <v>566</v>
      </c>
      <c r="AC52" s="141">
        <v>567</v>
      </c>
      <c r="AD52" s="141">
        <v>411</v>
      </c>
      <c r="AE52" s="141">
        <v>154</v>
      </c>
      <c r="AF52" s="142">
        <v>4.0000000000000001E-3</v>
      </c>
      <c r="AG52" s="142">
        <v>1E-3</v>
      </c>
      <c r="AH52" s="142">
        <v>2.9060000000000001</v>
      </c>
      <c r="AI52" s="142">
        <v>0.52300000000000002</v>
      </c>
      <c r="AJ52" s="179">
        <v>3.4289999999999998</v>
      </c>
      <c r="AK52" s="142">
        <v>4.0000000000000001E-3</v>
      </c>
      <c r="AL52" s="141"/>
      <c r="AM52" s="140"/>
      <c r="AN52" s="141"/>
      <c r="AO52" s="141"/>
      <c r="AP52" s="141"/>
      <c r="AQ52" s="141"/>
      <c r="AR52" s="141"/>
      <c r="AS52" s="141"/>
      <c r="AT52" s="142"/>
      <c r="AU52" s="142"/>
      <c r="AV52" s="142"/>
      <c r="AW52" s="142"/>
      <c r="AX52" s="179"/>
      <c r="AY52" s="142"/>
      <c r="AZ52" s="141"/>
      <c r="BA52" s="140"/>
      <c r="BB52" s="141"/>
      <c r="BC52" s="141"/>
      <c r="BD52" s="141"/>
      <c r="BE52" s="141"/>
      <c r="BF52" s="141"/>
      <c r="BG52" s="141"/>
      <c r="BH52" s="142"/>
      <c r="BI52" s="142"/>
      <c r="BJ52" s="142"/>
      <c r="BK52" s="142"/>
      <c r="BL52" s="179"/>
      <c r="BM52" s="142"/>
      <c r="BN52" s="141"/>
      <c r="BO52" s="140"/>
      <c r="BP52" s="141"/>
      <c r="BQ52" s="141"/>
      <c r="BR52" s="141"/>
      <c r="BS52" s="141"/>
      <c r="BT52" s="141"/>
      <c r="BU52" s="141"/>
      <c r="BV52" s="142"/>
      <c r="BW52" s="142"/>
      <c r="BX52" s="142"/>
      <c r="BY52" s="142"/>
      <c r="BZ52" s="142"/>
      <c r="CA52" s="142"/>
      <c r="CB52" s="141"/>
      <c r="CC52" s="140"/>
      <c r="CD52" s="141"/>
      <c r="CE52" s="141"/>
      <c r="CF52" s="141"/>
      <c r="CG52" s="141"/>
      <c r="CH52" s="141"/>
      <c r="CI52" s="141"/>
      <c r="CJ52" s="142"/>
      <c r="CK52" s="142"/>
      <c r="CL52" s="142"/>
      <c r="CM52" s="142"/>
      <c r="CN52" s="179"/>
      <c r="CO52" s="142"/>
    </row>
    <row r="53" spans="1:93" ht="16.5" customHeight="1">
      <c r="A53" s="222"/>
      <c r="B53" s="220" t="s">
        <v>272</v>
      </c>
      <c r="C53" s="220"/>
      <c r="D53" s="220"/>
      <c r="E53" s="136" t="s">
        <v>273</v>
      </c>
      <c r="F53" s="136" t="s">
        <v>209</v>
      </c>
      <c r="G53" s="139">
        <v>2025</v>
      </c>
      <c r="H53" s="136" t="s">
        <v>210</v>
      </c>
      <c r="I53" s="221"/>
      <c r="J53" s="221"/>
      <c r="K53" s="140"/>
      <c r="L53" s="141"/>
      <c r="M53" s="141"/>
      <c r="N53" s="141"/>
      <c r="O53" s="141"/>
      <c r="P53" s="141"/>
      <c r="Q53" s="141"/>
      <c r="R53" s="142"/>
      <c r="S53" s="142"/>
      <c r="T53" s="142"/>
      <c r="U53" s="142"/>
      <c r="V53" s="179"/>
      <c r="W53" s="142"/>
      <c r="X53" s="141"/>
      <c r="Y53" s="140"/>
      <c r="Z53" s="141"/>
      <c r="AA53" s="141"/>
      <c r="AB53" s="141"/>
      <c r="AC53" s="141"/>
      <c r="AD53" s="141"/>
      <c r="AE53" s="141"/>
      <c r="AF53" s="142"/>
      <c r="AG53" s="142"/>
      <c r="AH53" s="142"/>
      <c r="AI53" s="142"/>
      <c r="AJ53" s="179"/>
      <c r="AK53" s="142"/>
      <c r="AL53" s="141"/>
      <c r="AM53" s="140"/>
      <c r="AN53" s="141"/>
      <c r="AO53" s="141"/>
      <c r="AP53" s="141"/>
      <c r="AQ53" s="141"/>
      <c r="AR53" s="141"/>
      <c r="AS53" s="141"/>
      <c r="AT53" s="142"/>
      <c r="AU53" s="142"/>
      <c r="AV53" s="142"/>
      <c r="AW53" s="142"/>
      <c r="AX53" s="179"/>
      <c r="AY53" s="142"/>
      <c r="AZ53" s="141"/>
      <c r="BA53" s="140"/>
      <c r="BB53" s="141"/>
      <c r="BC53" s="141"/>
      <c r="BD53" s="141"/>
      <c r="BE53" s="141"/>
      <c r="BF53" s="141"/>
      <c r="BG53" s="141"/>
      <c r="BH53" s="142"/>
      <c r="BI53" s="142"/>
      <c r="BJ53" s="142"/>
      <c r="BK53" s="142"/>
      <c r="BL53" s="179"/>
      <c r="BM53" s="142"/>
      <c r="BN53" s="141">
        <v>788</v>
      </c>
      <c r="BO53" s="140">
        <v>0</v>
      </c>
      <c r="BP53" s="141">
        <v>0</v>
      </c>
      <c r="BQ53" s="141">
        <v>0</v>
      </c>
      <c r="BR53" s="141">
        <v>0</v>
      </c>
      <c r="BS53" s="141">
        <v>0</v>
      </c>
      <c r="BT53" s="141">
        <v>0</v>
      </c>
      <c r="BU53" s="141">
        <v>0</v>
      </c>
      <c r="BV53" s="142">
        <v>0</v>
      </c>
      <c r="BW53" s="142">
        <v>0</v>
      </c>
      <c r="BX53" s="142">
        <v>0</v>
      </c>
      <c r="BY53" s="142">
        <v>0</v>
      </c>
      <c r="BZ53" s="142">
        <v>0</v>
      </c>
      <c r="CA53" s="142">
        <v>0</v>
      </c>
      <c r="CB53" s="141"/>
      <c r="CC53" s="140"/>
      <c r="CD53" s="141"/>
      <c r="CE53" s="141"/>
      <c r="CF53" s="141"/>
      <c r="CG53" s="141"/>
      <c r="CH53" s="141"/>
      <c r="CI53" s="141"/>
      <c r="CJ53" s="142"/>
      <c r="CK53" s="142"/>
      <c r="CL53" s="142"/>
      <c r="CM53" s="142"/>
      <c r="CN53" s="179"/>
      <c r="CO53" s="142"/>
    </row>
    <row r="54" spans="1:93" ht="16.5" customHeight="1">
      <c r="A54" s="222"/>
      <c r="B54" s="220" t="s">
        <v>274</v>
      </c>
      <c r="C54" s="220"/>
      <c r="D54" s="220"/>
      <c r="E54" s="136" t="s">
        <v>275</v>
      </c>
      <c r="F54" s="136" t="s">
        <v>209</v>
      </c>
      <c r="G54" s="139">
        <v>2025</v>
      </c>
      <c r="H54" s="136" t="s">
        <v>210</v>
      </c>
      <c r="I54" s="221"/>
      <c r="J54" s="221"/>
      <c r="K54" s="140"/>
      <c r="L54" s="141"/>
      <c r="M54" s="141"/>
      <c r="N54" s="141"/>
      <c r="O54" s="141"/>
      <c r="P54" s="141"/>
      <c r="Q54" s="141"/>
      <c r="R54" s="142"/>
      <c r="S54" s="142"/>
      <c r="T54" s="142"/>
      <c r="U54" s="142"/>
      <c r="V54" s="179"/>
      <c r="W54" s="142"/>
      <c r="X54" s="141">
        <v>1744</v>
      </c>
      <c r="Y54" s="140">
        <v>34036.216999999997</v>
      </c>
      <c r="Z54" s="141">
        <v>0</v>
      </c>
      <c r="AA54" s="141">
        <v>2042173</v>
      </c>
      <c r="AB54" s="141">
        <v>133832</v>
      </c>
      <c r="AC54" s="141">
        <v>133974</v>
      </c>
      <c r="AD54" s="141">
        <v>114609</v>
      </c>
      <c r="AE54" s="141">
        <v>19223</v>
      </c>
      <c r="AF54" s="142">
        <v>0.88</v>
      </c>
      <c r="AG54" s="142">
        <v>0.158</v>
      </c>
      <c r="AH54" s="142">
        <v>686.57</v>
      </c>
      <c r="AI54" s="142">
        <v>123.583</v>
      </c>
      <c r="AJ54" s="179">
        <v>810.15300000000002</v>
      </c>
      <c r="AK54" s="142">
        <v>1.0389999999999999</v>
      </c>
      <c r="AL54" s="141">
        <v>5</v>
      </c>
      <c r="AM54" s="140">
        <v>0</v>
      </c>
      <c r="AN54" s="141">
        <v>0</v>
      </c>
      <c r="AO54" s="141">
        <v>0</v>
      </c>
      <c r="AP54" s="141">
        <v>0</v>
      </c>
      <c r="AQ54" s="141">
        <v>0</v>
      </c>
      <c r="AR54" s="141">
        <v>0</v>
      </c>
      <c r="AS54" s="141">
        <v>0</v>
      </c>
      <c r="AT54" s="142">
        <v>0.16800000000000001</v>
      </c>
      <c r="AU54" s="142">
        <v>0.03</v>
      </c>
      <c r="AV54" s="142">
        <v>131.191</v>
      </c>
      <c r="AW54" s="142">
        <v>23.614000000000001</v>
      </c>
      <c r="AX54" s="179">
        <v>154.80500000000001</v>
      </c>
      <c r="AY54" s="142">
        <v>0.19800000000000001</v>
      </c>
      <c r="AZ54" s="141"/>
      <c r="BA54" s="140"/>
      <c r="BB54" s="141"/>
      <c r="BC54" s="141"/>
      <c r="BD54" s="141"/>
      <c r="BE54" s="141"/>
      <c r="BF54" s="141"/>
      <c r="BG54" s="141"/>
      <c r="BH54" s="142"/>
      <c r="BI54" s="142"/>
      <c r="BJ54" s="142"/>
      <c r="BK54" s="142"/>
      <c r="BL54" s="179"/>
      <c r="BM54" s="142"/>
      <c r="BN54" s="141">
        <v>163</v>
      </c>
      <c r="BO54" s="140">
        <v>0</v>
      </c>
      <c r="BP54" s="141">
        <v>0</v>
      </c>
      <c r="BQ54" s="141">
        <v>0</v>
      </c>
      <c r="BR54" s="141">
        <v>0</v>
      </c>
      <c r="BS54" s="141">
        <v>0</v>
      </c>
      <c r="BT54" s="141">
        <v>0</v>
      </c>
      <c r="BU54" s="141">
        <v>0</v>
      </c>
      <c r="BV54" s="142">
        <v>0</v>
      </c>
      <c r="BW54" s="142">
        <v>0</v>
      </c>
      <c r="BX54" s="142">
        <v>0</v>
      </c>
      <c r="BY54" s="142">
        <v>0</v>
      </c>
      <c r="BZ54" s="142">
        <v>0</v>
      </c>
      <c r="CA54" s="142">
        <v>0</v>
      </c>
      <c r="CB54" s="141"/>
      <c r="CC54" s="140"/>
      <c r="CD54" s="141"/>
      <c r="CE54" s="141"/>
      <c r="CF54" s="141"/>
      <c r="CG54" s="141"/>
      <c r="CH54" s="141"/>
      <c r="CI54" s="141"/>
      <c r="CJ54" s="142"/>
      <c r="CK54" s="142"/>
      <c r="CL54" s="142"/>
      <c r="CM54" s="142"/>
      <c r="CN54" s="179"/>
      <c r="CO54" s="142"/>
    </row>
    <row r="55" spans="1:93" ht="16.5" customHeight="1">
      <c r="A55" s="222"/>
      <c r="B55" s="220" t="s">
        <v>276</v>
      </c>
      <c r="C55" s="220"/>
      <c r="D55" s="220"/>
      <c r="E55" s="136" t="s">
        <v>277</v>
      </c>
      <c r="F55" s="136" t="s">
        <v>209</v>
      </c>
      <c r="G55" s="139">
        <v>2025</v>
      </c>
      <c r="H55" s="136" t="s">
        <v>210</v>
      </c>
      <c r="I55" s="221"/>
      <c r="J55" s="221"/>
      <c r="K55" s="140"/>
      <c r="L55" s="141"/>
      <c r="M55" s="141"/>
      <c r="N55" s="141"/>
      <c r="O55" s="141"/>
      <c r="P55" s="141"/>
      <c r="Q55" s="141"/>
      <c r="R55" s="142"/>
      <c r="S55" s="142"/>
      <c r="T55" s="142"/>
      <c r="U55" s="142"/>
      <c r="V55" s="179"/>
      <c r="W55" s="142"/>
      <c r="X55" s="141">
        <v>33703</v>
      </c>
      <c r="Y55" s="140">
        <v>448798.7</v>
      </c>
      <c r="Z55" s="141">
        <v>0</v>
      </c>
      <c r="AA55" s="141">
        <v>26927922</v>
      </c>
      <c r="AB55" s="141">
        <v>35195172</v>
      </c>
      <c r="AC55" s="141">
        <v>35201193</v>
      </c>
      <c r="AD55" s="141">
        <v>30480236</v>
      </c>
      <c r="AE55" s="141">
        <v>4714936</v>
      </c>
      <c r="AF55" s="142">
        <v>231.27799999999999</v>
      </c>
      <c r="AG55" s="142">
        <v>41.63</v>
      </c>
      <c r="AH55" s="142">
        <v>180394.753</v>
      </c>
      <c r="AI55" s="142">
        <v>32470.79</v>
      </c>
      <c r="AJ55" s="179">
        <v>212865.54399999999</v>
      </c>
      <c r="AK55" s="142">
        <v>272.90699999999998</v>
      </c>
      <c r="AL55" s="141">
        <v>7</v>
      </c>
      <c r="AM55" s="140">
        <v>0</v>
      </c>
      <c r="AN55" s="141">
        <v>0</v>
      </c>
      <c r="AO55" s="141">
        <v>0</v>
      </c>
      <c r="AP55" s="141">
        <v>0</v>
      </c>
      <c r="AQ55" s="141">
        <v>0</v>
      </c>
      <c r="AR55" s="141">
        <v>0</v>
      </c>
      <c r="AS55" s="141">
        <v>0</v>
      </c>
      <c r="AT55" s="142">
        <v>0.11799999999999999</v>
      </c>
      <c r="AU55" s="142">
        <v>2.1000000000000001E-2</v>
      </c>
      <c r="AV55" s="142">
        <v>91.835999999999999</v>
      </c>
      <c r="AW55" s="142">
        <v>16.533000000000001</v>
      </c>
      <c r="AX55" s="179">
        <v>108.369</v>
      </c>
      <c r="AY55" s="142">
        <v>0.13900000000000001</v>
      </c>
      <c r="AZ55" s="141">
        <v>16</v>
      </c>
      <c r="BA55" s="140">
        <v>43.8</v>
      </c>
      <c r="BB55" s="141">
        <v>54</v>
      </c>
      <c r="BC55" s="141">
        <v>2628</v>
      </c>
      <c r="BD55" s="141">
        <v>2628</v>
      </c>
      <c r="BE55" s="141">
        <v>2628</v>
      </c>
      <c r="BF55" s="141">
        <v>0</v>
      </c>
      <c r="BG55" s="141">
        <v>0</v>
      </c>
      <c r="BH55" s="142">
        <v>5.0430000000000001</v>
      </c>
      <c r="BI55" s="142">
        <v>0.90800000000000003</v>
      </c>
      <c r="BJ55" s="142">
        <v>3933.777</v>
      </c>
      <c r="BK55" s="142">
        <v>708.08</v>
      </c>
      <c r="BL55" s="179">
        <v>4641.8559999999998</v>
      </c>
      <c r="BM55" s="142">
        <v>5.9509999999999996</v>
      </c>
      <c r="BN55" s="141">
        <v>1099</v>
      </c>
      <c r="BO55" s="140">
        <v>0</v>
      </c>
      <c r="BP55" s="141">
        <v>0</v>
      </c>
      <c r="BQ55" s="141">
        <v>0</v>
      </c>
      <c r="BR55" s="141">
        <v>0</v>
      </c>
      <c r="BS55" s="141">
        <v>0</v>
      </c>
      <c r="BT55" s="141">
        <v>0</v>
      </c>
      <c r="BU55" s="141">
        <v>0</v>
      </c>
      <c r="BV55" s="142">
        <v>0</v>
      </c>
      <c r="BW55" s="142">
        <v>0</v>
      </c>
      <c r="BX55" s="142">
        <v>0</v>
      </c>
      <c r="BY55" s="142">
        <v>0</v>
      </c>
      <c r="BZ55" s="142">
        <v>0</v>
      </c>
      <c r="CA55" s="142">
        <v>0</v>
      </c>
      <c r="CB55" s="141"/>
      <c r="CC55" s="140"/>
      <c r="CD55" s="141"/>
      <c r="CE55" s="141"/>
      <c r="CF55" s="141"/>
      <c r="CG55" s="141"/>
      <c r="CH55" s="141"/>
      <c r="CI55" s="141"/>
      <c r="CJ55" s="142"/>
      <c r="CK55" s="142"/>
      <c r="CL55" s="142"/>
      <c r="CM55" s="142"/>
      <c r="CN55" s="179"/>
      <c r="CO55" s="142"/>
    </row>
    <row r="56" spans="1:93" ht="16.5" customHeight="1">
      <c r="A56" s="222"/>
      <c r="B56" s="220" t="s">
        <v>278</v>
      </c>
      <c r="C56" s="220"/>
      <c r="D56" s="220"/>
      <c r="E56" s="136" t="s">
        <v>279</v>
      </c>
      <c r="F56" s="136" t="s">
        <v>209</v>
      </c>
      <c r="G56" s="139">
        <v>2025</v>
      </c>
      <c r="H56" s="136" t="s">
        <v>210</v>
      </c>
      <c r="I56" s="221"/>
      <c r="J56" s="221"/>
      <c r="K56" s="140"/>
      <c r="L56" s="141"/>
      <c r="M56" s="141"/>
      <c r="N56" s="141"/>
      <c r="O56" s="141"/>
      <c r="P56" s="141"/>
      <c r="Q56" s="141"/>
      <c r="R56" s="142"/>
      <c r="S56" s="142"/>
      <c r="T56" s="142"/>
      <c r="U56" s="142"/>
      <c r="V56" s="179"/>
      <c r="W56" s="142"/>
      <c r="X56" s="141">
        <v>42870</v>
      </c>
      <c r="Y56" s="140">
        <v>793176.3</v>
      </c>
      <c r="Z56" s="141">
        <v>0</v>
      </c>
      <c r="AA56" s="141">
        <v>47590578</v>
      </c>
      <c r="AB56" s="141">
        <v>18196797</v>
      </c>
      <c r="AC56" s="141">
        <v>18199948</v>
      </c>
      <c r="AD56" s="141">
        <v>13101016</v>
      </c>
      <c r="AE56" s="141">
        <v>5095781</v>
      </c>
      <c r="AF56" s="142">
        <v>119.577</v>
      </c>
      <c r="AG56" s="142">
        <v>21.524000000000001</v>
      </c>
      <c r="AH56" s="142">
        <v>93268.804000000004</v>
      </c>
      <c r="AI56" s="142">
        <v>16788.198</v>
      </c>
      <c r="AJ56" s="179">
        <v>110057.00199999999</v>
      </c>
      <c r="AK56" s="142">
        <v>141.1</v>
      </c>
      <c r="AL56" s="141">
        <v>35</v>
      </c>
      <c r="AM56" s="140">
        <v>0</v>
      </c>
      <c r="AN56" s="141">
        <v>0</v>
      </c>
      <c r="AO56" s="141">
        <v>0</v>
      </c>
      <c r="AP56" s="141">
        <v>0</v>
      </c>
      <c r="AQ56" s="141">
        <v>0</v>
      </c>
      <c r="AR56" s="141">
        <v>0</v>
      </c>
      <c r="AS56" s="141">
        <v>0</v>
      </c>
      <c r="AT56" s="142">
        <v>1.177</v>
      </c>
      <c r="AU56" s="142">
        <v>0.21199999999999999</v>
      </c>
      <c r="AV56" s="142">
        <v>918.33500000000004</v>
      </c>
      <c r="AW56" s="142">
        <v>165.3</v>
      </c>
      <c r="AX56" s="179">
        <v>1083.635</v>
      </c>
      <c r="AY56" s="142">
        <v>1.389</v>
      </c>
      <c r="AZ56" s="141">
        <v>44</v>
      </c>
      <c r="BA56" s="140">
        <v>51.267000000000003</v>
      </c>
      <c r="BB56" s="141">
        <v>82</v>
      </c>
      <c r="BC56" s="141">
        <v>3076</v>
      </c>
      <c r="BD56" s="141">
        <v>3076</v>
      </c>
      <c r="BE56" s="141">
        <v>3076</v>
      </c>
      <c r="BF56" s="141">
        <v>0</v>
      </c>
      <c r="BG56" s="141">
        <v>0</v>
      </c>
      <c r="BH56" s="142">
        <v>4.8579999999999997</v>
      </c>
      <c r="BI56" s="142">
        <v>0.874</v>
      </c>
      <c r="BJ56" s="142">
        <v>3789.2469999999998</v>
      </c>
      <c r="BK56" s="142">
        <v>682.06500000000005</v>
      </c>
      <c r="BL56" s="179">
        <v>4471.3119999999999</v>
      </c>
      <c r="BM56" s="142">
        <v>5.7329999999999997</v>
      </c>
      <c r="BN56" s="141">
        <v>1380</v>
      </c>
      <c r="BO56" s="140">
        <v>0</v>
      </c>
      <c r="BP56" s="141">
        <v>0</v>
      </c>
      <c r="BQ56" s="141">
        <v>0</v>
      </c>
      <c r="BR56" s="141">
        <v>0</v>
      </c>
      <c r="BS56" s="141">
        <v>0</v>
      </c>
      <c r="BT56" s="141">
        <v>0</v>
      </c>
      <c r="BU56" s="141">
        <v>0</v>
      </c>
      <c r="BV56" s="142">
        <v>0</v>
      </c>
      <c r="BW56" s="142">
        <v>0</v>
      </c>
      <c r="BX56" s="142">
        <v>0</v>
      </c>
      <c r="BY56" s="142">
        <v>0</v>
      </c>
      <c r="BZ56" s="142">
        <v>0</v>
      </c>
      <c r="CA56" s="142">
        <v>0</v>
      </c>
      <c r="CB56" s="141">
        <v>34</v>
      </c>
      <c r="CC56" s="140">
        <v>49.533000000000001</v>
      </c>
      <c r="CD56" s="141">
        <v>70</v>
      </c>
      <c r="CE56" s="141">
        <v>2972</v>
      </c>
      <c r="CF56" s="141">
        <v>2972</v>
      </c>
      <c r="CG56" s="141">
        <v>2972</v>
      </c>
      <c r="CH56" s="141">
        <v>0</v>
      </c>
      <c r="CI56" s="141">
        <v>0</v>
      </c>
      <c r="CJ56" s="142">
        <v>0</v>
      </c>
      <c r="CK56" s="142">
        <v>0</v>
      </c>
      <c r="CL56" s="142">
        <v>0</v>
      </c>
      <c r="CM56" s="142">
        <v>0</v>
      </c>
      <c r="CN56" s="179">
        <v>0</v>
      </c>
      <c r="CO56" s="142">
        <v>0</v>
      </c>
    </row>
    <row r="57" spans="1:93" ht="16.5" customHeight="1">
      <c r="A57" s="222"/>
      <c r="B57" s="220" t="s">
        <v>280</v>
      </c>
      <c r="C57" s="220"/>
      <c r="D57" s="220"/>
      <c r="E57" s="136" t="s">
        <v>281</v>
      </c>
      <c r="F57" s="136" t="s">
        <v>209</v>
      </c>
      <c r="G57" s="139">
        <v>2025</v>
      </c>
      <c r="H57" s="136" t="s">
        <v>210</v>
      </c>
      <c r="I57" s="221"/>
      <c r="J57" s="221"/>
      <c r="K57" s="140"/>
      <c r="L57" s="141"/>
      <c r="M57" s="141"/>
      <c r="N57" s="141"/>
      <c r="O57" s="141"/>
      <c r="P57" s="141"/>
      <c r="Q57" s="141"/>
      <c r="R57" s="142"/>
      <c r="S57" s="142"/>
      <c r="T57" s="142"/>
      <c r="U57" s="142"/>
      <c r="V57" s="179"/>
      <c r="W57" s="142"/>
      <c r="X57" s="141">
        <v>363</v>
      </c>
      <c r="Y57" s="140">
        <v>6802.8670000000002</v>
      </c>
      <c r="Z57" s="141">
        <v>0</v>
      </c>
      <c r="AA57" s="141">
        <v>408172</v>
      </c>
      <c r="AB57" s="141">
        <v>54866</v>
      </c>
      <c r="AC57" s="141">
        <v>54973</v>
      </c>
      <c r="AD57" s="141">
        <v>47068</v>
      </c>
      <c r="AE57" s="141">
        <v>7798</v>
      </c>
      <c r="AF57" s="142">
        <v>9.0299999999999994</v>
      </c>
      <c r="AG57" s="142">
        <v>1.625</v>
      </c>
      <c r="AH57" s="142">
        <v>7042.9650000000001</v>
      </c>
      <c r="AI57" s="142">
        <v>1267.751</v>
      </c>
      <c r="AJ57" s="179">
        <v>8310.7160000000003</v>
      </c>
      <c r="AK57" s="142">
        <v>10.654999999999999</v>
      </c>
      <c r="AL57" s="141">
        <v>97</v>
      </c>
      <c r="AM57" s="140">
        <v>0</v>
      </c>
      <c r="AN57" s="141">
        <v>0</v>
      </c>
      <c r="AO57" s="141">
        <v>0</v>
      </c>
      <c r="AP57" s="141">
        <v>0</v>
      </c>
      <c r="AQ57" s="141">
        <v>0</v>
      </c>
      <c r="AR57" s="141">
        <v>0</v>
      </c>
      <c r="AS57" s="141">
        <v>0</v>
      </c>
      <c r="AT57" s="142">
        <v>4.0789999999999997</v>
      </c>
      <c r="AU57" s="142">
        <v>0.73399999999999999</v>
      </c>
      <c r="AV57" s="142">
        <v>3181.395</v>
      </c>
      <c r="AW57" s="142">
        <v>572.66499999999996</v>
      </c>
      <c r="AX57" s="179">
        <v>3754.0590000000002</v>
      </c>
      <c r="AY57" s="142">
        <v>4.8129999999999997</v>
      </c>
      <c r="AZ57" s="141">
        <v>54</v>
      </c>
      <c r="BA57" s="140">
        <v>21.233000000000001</v>
      </c>
      <c r="BB57" s="141">
        <v>59</v>
      </c>
      <c r="BC57" s="141">
        <v>1274</v>
      </c>
      <c r="BD57" s="141">
        <v>1274</v>
      </c>
      <c r="BE57" s="141">
        <v>1274</v>
      </c>
      <c r="BF57" s="141">
        <v>0</v>
      </c>
      <c r="BG57" s="141">
        <v>0</v>
      </c>
      <c r="BH57" s="142">
        <v>4.4640000000000004</v>
      </c>
      <c r="BI57" s="142">
        <v>0.80400000000000005</v>
      </c>
      <c r="BJ57" s="142">
        <v>3482.04</v>
      </c>
      <c r="BK57" s="142">
        <v>626.76300000000003</v>
      </c>
      <c r="BL57" s="179">
        <v>4108.8029999999999</v>
      </c>
      <c r="BM57" s="142">
        <v>5.2679999999999998</v>
      </c>
      <c r="BN57" s="141">
        <v>2370</v>
      </c>
      <c r="BO57" s="140">
        <v>0</v>
      </c>
      <c r="BP57" s="141">
        <v>0</v>
      </c>
      <c r="BQ57" s="141">
        <v>0</v>
      </c>
      <c r="BR57" s="141">
        <v>0</v>
      </c>
      <c r="BS57" s="141">
        <v>0</v>
      </c>
      <c r="BT57" s="141">
        <v>0</v>
      </c>
      <c r="BU57" s="141">
        <v>0</v>
      </c>
      <c r="BV57" s="142">
        <v>0</v>
      </c>
      <c r="BW57" s="142">
        <v>0</v>
      </c>
      <c r="BX57" s="142">
        <v>0</v>
      </c>
      <c r="BY57" s="142">
        <v>0</v>
      </c>
      <c r="BZ57" s="142">
        <v>0</v>
      </c>
      <c r="CA57" s="142">
        <v>0</v>
      </c>
      <c r="CB57" s="141">
        <v>83</v>
      </c>
      <c r="CC57" s="140">
        <v>27.15</v>
      </c>
      <c r="CD57" s="141">
        <v>85</v>
      </c>
      <c r="CE57" s="141">
        <v>1629</v>
      </c>
      <c r="CF57" s="141">
        <v>1629</v>
      </c>
      <c r="CG57" s="141">
        <v>1629</v>
      </c>
      <c r="CH57" s="141">
        <v>0</v>
      </c>
      <c r="CI57" s="141">
        <v>0</v>
      </c>
      <c r="CJ57" s="142">
        <v>0</v>
      </c>
      <c r="CK57" s="142">
        <v>0</v>
      </c>
      <c r="CL57" s="142">
        <v>0</v>
      </c>
      <c r="CM57" s="142">
        <v>0</v>
      </c>
      <c r="CN57" s="179">
        <v>0</v>
      </c>
      <c r="CO57" s="142">
        <v>0</v>
      </c>
    </row>
    <row r="58" spans="1:93" ht="16.5" customHeight="1">
      <c r="A58" s="222"/>
      <c r="B58" s="220" t="s">
        <v>282</v>
      </c>
      <c r="C58" s="220"/>
      <c r="D58" s="220"/>
      <c r="E58" s="136" t="s">
        <v>283</v>
      </c>
      <c r="F58" s="136" t="s">
        <v>209</v>
      </c>
      <c r="G58" s="139">
        <v>2025</v>
      </c>
      <c r="H58" s="136" t="s">
        <v>210</v>
      </c>
      <c r="I58" s="221"/>
      <c r="J58" s="221"/>
      <c r="K58" s="140"/>
      <c r="L58" s="141"/>
      <c r="M58" s="141"/>
      <c r="N58" s="141"/>
      <c r="O58" s="141"/>
      <c r="P58" s="141"/>
      <c r="Q58" s="141"/>
      <c r="R58" s="142"/>
      <c r="S58" s="142"/>
      <c r="T58" s="142"/>
      <c r="U58" s="142"/>
      <c r="V58" s="179"/>
      <c r="W58" s="142"/>
      <c r="X58" s="141">
        <v>1226</v>
      </c>
      <c r="Y58" s="140">
        <v>21972.717000000001</v>
      </c>
      <c r="Z58" s="141">
        <v>0</v>
      </c>
      <c r="AA58" s="141">
        <v>1318363</v>
      </c>
      <c r="AB58" s="141">
        <v>67562</v>
      </c>
      <c r="AC58" s="141">
        <v>67979</v>
      </c>
      <c r="AD58" s="141">
        <v>38015</v>
      </c>
      <c r="AE58" s="141">
        <v>29547</v>
      </c>
      <c r="AF58" s="142">
        <v>11.166</v>
      </c>
      <c r="AG58" s="142">
        <v>2.0099999999999998</v>
      </c>
      <c r="AH58" s="142">
        <v>8709.1859999999997</v>
      </c>
      <c r="AI58" s="142">
        <v>1567.81</v>
      </c>
      <c r="AJ58" s="179">
        <v>10276.995999999999</v>
      </c>
      <c r="AK58" s="142">
        <v>13.176</v>
      </c>
      <c r="AL58" s="141">
        <v>27</v>
      </c>
      <c r="AM58" s="140">
        <v>0</v>
      </c>
      <c r="AN58" s="141">
        <v>0</v>
      </c>
      <c r="AO58" s="141">
        <v>0</v>
      </c>
      <c r="AP58" s="141">
        <v>0</v>
      </c>
      <c r="AQ58" s="141">
        <v>0</v>
      </c>
      <c r="AR58" s="141">
        <v>0</v>
      </c>
      <c r="AS58" s="141">
        <v>0</v>
      </c>
      <c r="AT58" s="142">
        <v>1.135</v>
      </c>
      <c r="AU58" s="142">
        <v>0.20399999999999999</v>
      </c>
      <c r="AV58" s="142">
        <v>885.54300000000001</v>
      </c>
      <c r="AW58" s="142">
        <v>159.40199999999999</v>
      </c>
      <c r="AX58" s="179">
        <v>1044.944</v>
      </c>
      <c r="AY58" s="142">
        <v>1.34</v>
      </c>
      <c r="AZ58" s="141">
        <v>64</v>
      </c>
      <c r="BA58" s="140">
        <v>150.13300000000001</v>
      </c>
      <c r="BB58" s="141">
        <v>186</v>
      </c>
      <c r="BC58" s="141">
        <v>9008</v>
      </c>
      <c r="BD58" s="141">
        <v>9008</v>
      </c>
      <c r="BE58" s="141">
        <v>9008</v>
      </c>
      <c r="BF58" s="141">
        <v>0</v>
      </c>
      <c r="BG58" s="141">
        <v>0</v>
      </c>
      <c r="BH58" s="142">
        <v>31.565000000000001</v>
      </c>
      <c r="BI58" s="142">
        <v>5.6820000000000004</v>
      </c>
      <c r="BJ58" s="142">
        <v>24620.256000000001</v>
      </c>
      <c r="BK58" s="142">
        <v>4431.6450000000004</v>
      </c>
      <c r="BL58" s="179">
        <v>29051.901000000002</v>
      </c>
      <c r="BM58" s="142">
        <v>37.246000000000002</v>
      </c>
      <c r="BN58" s="141">
        <v>1218</v>
      </c>
      <c r="BO58" s="140">
        <v>0</v>
      </c>
      <c r="BP58" s="141">
        <v>0</v>
      </c>
      <c r="BQ58" s="141">
        <v>0</v>
      </c>
      <c r="BR58" s="141">
        <v>0</v>
      </c>
      <c r="BS58" s="141">
        <v>0</v>
      </c>
      <c r="BT58" s="141">
        <v>0</v>
      </c>
      <c r="BU58" s="141">
        <v>0</v>
      </c>
      <c r="BV58" s="142">
        <v>0</v>
      </c>
      <c r="BW58" s="142">
        <v>0</v>
      </c>
      <c r="BX58" s="142">
        <v>0</v>
      </c>
      <c r="BY58" s="142">
        <v>0</v>
      </c>
      <c r="BZ58" s="142">
        <v>0</v>
      </c>
      <c r="CA58" s="142">
        <v>0</v>
      </c>
      <c r="CB58" s="141">
        <v>47</v>
      </c>
      <c r="CC58" s="140">
        <v>31.533000000000001</v>
      </c>
      <c r="CD58" s="141">
        <v>63</v>
      </c>
      <c r="CE58" s="141">
        <v>1892</v>
      </c>
      <c r="CF58" s="141">
        <v>1892</v>
      </c>
      <c r="CG58" s="141">
        <v>1892</v>
      </c>
      <c r="CH58" s="141">
        <v>0</v>
      </c>
      <c r="CI58" s="141">
        <v>0</v>
      </c>
      <c r="CJ58" s="142">
        <v>0</v>
      </c>
      <c r="CK58" s="142">
        <v>0</v>
      </c>
      <c r="CL58" s="142">
        <v>0</v>
      </c>
      <c r="CM58" s="142">
        <v>0</v>
      </c>
      <c r="CN58" s="179">
        <v>0</v>
      </c>
      <c r="CO58" s="142">
        <v>0</v>
      </c>
    </row>
    <row r="59" spans="1:93" ht="16.5" customHeight="1">
      <c r="A59" s="222"/>
      <c r="B59" s="220" t="s">
        <v>284</v>
      </c>
      <c r="C59" s="220"/>
      <c r="D59" s="220"/>
      <c r="E59" s="136" t="s">
        <v>285</v>
      </c>
      <c r="F59" s="136" t="s">
        <v>209</v>
      </c>
      <c r="G59" s="139">
        <v>2025</v>
      </c>
      <c r="H59" s="136" t="s">
        <v>210</v>
      </c>
      <c r="I59" s="221"/>
      <c r="J59" s="221"/>
      <c r="K59" s="140"/>
      <c r="L59" s="141"/>
      <c r="M59" s="141"/>
      <c r="N59" s="141"/>
      <c r="O59" s="141"/>
      <c r="P59" s="141"/>
      <c r="Q59" s="141"/>
      <c r="R59" s="142"/>
      <c r="S59" s="142"/>
      <c r="T59" s="142"/>
      <c r="U59" s="142"/>
      <c r="V59" s="179"/>
      <c r="W59" s="142"/>
      <c r="X59" s="141"/>
      <c r="Y59" s="140"/>
      <c r="Z59" s="141"/>
      <c r="AA59" s="141"/>
      <c r="AB59" s="141"/>
      <c r="AC59" s="141"/>
      <c r="AD59" s="141"/>
      <c r="AE59" s="141"/>
      <c r="AF59" s="142"/>
      <c r="AG59" s="142"/>
      <c r="AH59" s="142"/>
      <c r="AI59" s="142"/>
      <c r="AJ59" s="179"/>
      <c r="AK59" s="142"/>
      <c r="AL59" s="141">
        <v>11</v>
      </c>
      <c r="AM59" s="140">
        <v>0</v>
      </c>
      <c r="AN59" s="141">
        <v>0</v>
      </c>
      <c r="AO59" s="141">
        <v>0</v>
      </c>
      <c r="AP59" s="141">
        <v>0</v>
      </c>
      <c r="AQ59" s="141">
        <v>0</v>
      </c>
      <c r="AR59" s="141">
        <v>0</v>
      </c>
      <c r="AS59" s="141">
        <v>0</v>
      </c>
      <c r="AT59" s="142">
        <v>1.1919999999999999</v>
      </c>
      <c r="AU59" s="142">
        <v>0.214</v>
      </c>
      <c r="AV59" s="142">
        <v>929.43600000000004</v>
      </c>
      <c r="AW59" s="142">
        <v>167.3</v>
      </c>
      <c r="AX59" s="179">
        <v>1096.7360000000001</v>
      </c>
      <c r="AY59" s="142">
        <v>1.4059999999999999</v>
      </c>
      <c r="AZ59" s="141">
        <v>3</v>
      </c>
      <c r="BA59" s="140">
        <v>2.4169999999999998</v>
      </c>
      <c r="BB59" s="141">
        <v>4</v>
      </c>
      <c r="BC59" s="141">
        <v>145</v>
      </c>
      <c r="BD59" s="141">
        <v>145</v>
      </c>
      <c r="BE59" s="141">
        <v>240</v>
      </c>
      <c r="BF59" s="141">
        <v>0</v>
      </c>
      <c r="BG59" s="141">
        <v>0</v>
      </c>
      <c r="BH59" s="142">
        <v>2.1419999999999999</v>
      </c>
      <c r="BI59" s="142">
        <v>0.38600000000000001</v>
      </c>
      <c r="BJ59" s="142">
        <v>1670.723</v>
      </c>
      <c r="BK59" s="142">
        <v>300.73099999999999</v>
      </c>
      <c r="BL59" s="179">
        <v>1971.453</v>
      </c>
      <c r="BM59" s="142">
        <v>2.528</v>
      </c>
      <c r="BN59" s="141">
        <v>41</v>
      </c>
      <c r="BO59" s="140">
        <v>0</v>
      </c>
      <c r="BP59" s="141">
        <v>0</v>
      </c>
      <c r="BQ59" s="141">
        <v>0</v>
      </c>
      <c r="BR59" s="141">
        <v>0</v>
      </c>
      <c r="BS59" s="141">
        <v>0</v>
      </c>
      <c r="BT59" s="141">
        <v>0</v>
      </c>
      <c r="BU59" s="141">
        <v>0</v>
      </c>
      <c r="BV59" s="142">
        <v>0</v>
      </c>
      <c r="BW59" s="142">
        <v>0</v>
      </c>
      <c r="BX59" s="142">
        <v>0</v>
      </c>
      <c r="BY59" s="142">
        <v>0</v>
      </c>
      <c r="BZ59" s="142">
        <v>0</v>
      </c>
      <c r="CA59" s="142">
        <v>0</v>
      </c>
      <c r="CB59" s="141">
        <v>2</v>
      </c>
      <c r="CC59" s="140">
        <v>5.3</v>
      </c>
      <c r="CD59" s="141">
        <v>6</v>
      </c>
      <c r="CE59" s="141">
        <v>318</v>
      </c>
      <c r="CF59" s="141">
        <v>318</v>
      </c>
      <c r="CG59" s="141">
        <v>330</v>
      </c>
      <c r="CH59" s="141">
        <v>0</v>
      </c>
      <c r="CI59" s="141">
        <v>0</v>
      </c>
      <c r="CJ59" s="142">
        <v>0</v>
      </c>
      <c r="CK59" s="142">
        <v>0</v>
      </c>
      <c r="CL59" s="142">
        <v>0</v>
      </c>
      <c r="CM59" s="142">
        <v>0</v>
      </c>
      <c r="CN59" s="179">
        <v>0</v>
      </c>
      <c r="CO59" s="142">
        <v>0</v>
      </c>
    </row>
    <row r="60" spans="1:93" ht="16.5" customHeight="1">
      <c r="A60" s="222"/>
      <c r="B60" s="220" t="s">
        <v>286</v>
      </c>
      <c r="C60" s="220"/>
      <c r="D60" s="220"/>
      <c r="E60" s="136" t="s">
        <v>287</v>
      </c>
      <c r="F60" s="136" t="s">
        <v>209</v>
      </c>
      <c r="G60" s="139">
        <v>2025</v>
      </c>
      <c r="H60" s="136" t="s">
        <v>210</v>
      </c>
      <c r="I60" s="221"/>
      <c r="J60" s="221"/>
      <c r="K60" s="140"/>
      <c r="L60" s="141"/>
      <c r="M60" s="141"/>
      <c r="N60" s="141"/>
      <c r="O60" s="141"/>
      <c r="P60" s="141"/>
      <c r="Q60" s="141"/>
      <c r="R60" s="142"/>
      <c r="S60" s="142"/>
      <c r="T60" s="142"/>
      <c r="U60" s="142"/>
      <c r="V60" s="179"/>
      <c r="W60" s="142"/>
      <c r="X60" s="141">
        <v>51</v>
      </c>
      <c r="Y60" s="140">
        <v>570.43299999999999</v>
      </c>
      <c r="Z60" s="141">
        <v>0</v>
      </c>
      <c r="AA60" s="141">
        <v>34226</v>
      </c>
      <c r="AB60" s="141">
        <v>672</v>
      </c>
      <c r="AC60" s="141">
        <v>674</v>
      </c>
      <c r="AD60" s="141">
        <v>17</v>
      </c>
      <c r="AE60" s="141">
        <v>655</v>
      </c>
      <c r="AF60" s="142">
        <v>6.0000000000000001E-3</v>
      </c>
      <c r="AG60" s="142">
        <v>1E-3</v>
      </c>
      <c r="AH60" s="142">
        <v>4.3170000000000002</v>
      </c>
      <c r="AI60" s="142">
        <v>0.77800000000000002</v>
      </c>
      <c r="AJ60" s="179">
        <v>5.0949999999999998</v>
      </c>
      <c r="AK60" s="142">
        <v>7.0000000000000001E-3</v>
      </c>
      <c r="AL60" s="141"/>
      <c r="AM60" s="140"/>
      <c r="AN60" s="141"/>
      <c r="AO60" s="141"/>
      <c r="AP60" s="141"/>
      <c r="AQ60" s="141"/>
      <c r="AR60" s="141"/>
      <c r="AS60" s="141"/>
      <c r="AT60" s="142"/>
      <c r="AU60" s="142"/>
      <c r="AV60" s="142"/>
      <c r="AW60" s="142"/>
      <c r="AX60" s="179"/>
      <c r="AY60" s="142"/>
      <c r="AZ60" s="141"/>
      <c r="BA60" s="140"/>
      <c r="BB60" s="141"/>
      <c r="BC60" s="141"/>
      <c r="BD60" s="141"/>
      <c r="BE60" s="141"/>
      <c r="BF60" s="141"/>
      <c r="BG60" s="141"/>
      <c r="BH60" s="142"/>
      <c r="BI60" s="142"/>
      <c r="BJ60" s="142"/>
      <c r="BK60" s="142"/>
      <c r="BL60" s="179"/>
      <c r="BM60" s="142"/>
      <c r="BN60" s="141"/>
      <c r="BO60" s="140"/>
      <c r="BP60" s="141"/>
      <c r="BQ60" s="141"/>
      <c r="BR60" s="141"/>
      <c r="BS60" s="141"/>
      <c r="BT60" s="141"/>
      <c r="BU60" s="141"/>
      <c r="BV60" s="142"/>
      <c r="BW60" s="142"/>
      <c r="BX60" s="142"/>
      <c r="BY60" s="142"/>
      <c r="BZ60" s="142"/>
      <c r="CA60" s="142"/>
      <c r="CB60" s="141"/>
      <c r="CC60" s="140"/>
      <c r="CD60" s="141"/>
      <c r="CE60" s="141"/>
      <c r="CF60" s="141"/>
      <c r="CG60" s="141"/>
      <c r="CH60" s="141"/>
      <c r="CI60" s="141"/>
      <c r="CJ60" s="142"/>
      <c r="CK60" s="142"/>
      <c r="CL60" s="142"/>
      <c r="CM60" s="142"/>
      <c r="CN60" s="179"/>
      <c r="CO60" s="142"/>
    </row>
    <row r="61" spans="1:93" ht="16.5" customHeight="1">
      <c r="A61" s="222"/>
      <c r="B61" s="220" t="s">
        <v>288</v>
      </c>
      <c r="C61" s="220"/>
      <c r="D61" s="220"/>
      <c r="E61" s="136" t="s">
        <v>289</v>
      </c>
      <c r="F61" s="136" t="s">
        <v>209</v>
      </c>
      <c r="G61" s="139">
        <v>2025</v>
      </c>
      <c r="H61" s="136" t="s">
        <v>210</v>
      </c>
      <c r="I61" s="221"/>
      <c r="J61" s="221"/>
      <c r="K61" s="140"/>
      <c r="L61" s="141"/>
      <c r="M61" s="141"/>
      <c r="N61" s="141"/>
      <c r="O61" s="141"/>
      <c r="P61" s="141"/>
      <c r="Q61" s="141"/>
      <c r="R61" s="142"/>
      <c r="S61" s="142"/>
      <c r="T61" s="142"/>
      <c r="U61" s="142"/>
      <c r="V61" s="179"/>
      <c r="W61" s="142"/>
      <c r="X61" s="141"/>
      <c r="Y61" s="140"/>
      <c r="Z61" s="141"/>
      <c r="AA61" s="141"/>
      <c r="AB61" s="141"/>
      <c r="AC61" s="141"/>
      <c r="AD61" s="141"/>
      <c r="AE61" s="141"/>
      <c r="AF61" s="142"/>
      <c r="AG61" s="142"/>
      <c r="AH61" s="142"/>
      <c r="AI61" s="142"/>
      <c r="AJ61" s="179"/>
      <c r="AK61" s="142"/>
      <c r="AL61" s="141">
        <v>8</v>
      </c>
      <c r="AM61" s="140">
        <v>0</v>
      </c>
      <c r="AN61" s="141">
        <v>0</v>
      </c>
      <c r="AO61" s="141">
        <v>0</v>
      </c>
      <c r="AP61" s="141">
        <v>0</v>
      </c>
      <c r="AQ61" s="141">
        <v>0</v>
      </c>
      <c r="AR61" s="141">
        <v>0</v>
      </c>
      <c r="AS61" s="141">
        <v>0</v>
      </c>
      <c r="AT61" s="142">
        <v>0.86699999999999999</v>
      </c>
      <c r="AU61" s="142">
        <v>0.156</v>
      </c>
      <c r="AV61" s="142">
        <v>675.95399999999995</v>
      </c>
      <c r="AW61" s="142">
        <v>121.673</v>
      </c>
      <c r="AX61" s="179">
        <v>797.62599999999998</v>
      </c>
      <c r="AY61" s="142">
        <v>1.0229999999999999</v>
      </c>
      <c r="AZ61" s="141"/>
      <c r="BA61" s="140"/>
      <c r="BB61" s="141"/>
      <c r="BC61" s="141"/>
      <c r="BD61" s="141"/>
      <c r="BE61" s="141"/>
      <c r="BF61" s="141"/>
      <c r="BG61" s="141"/>
      <c r="BH61" s="142"/>
      <c r="BI61" s="142"/>
      <c r="BJ61" s="142"/>
      <c r="BK61" s="142"/>
      <c r="BL61" s="179"/>
      <c r="BM61" s="142"/>
      <c r="BN61" s="141">
        <v>4063</v>
      </c>
      <c r="BO61" s="140">
        <v>0</v>
      </c>
      <c r="BP61" s="141">
        <v>0</v>
      </c>
      <c r="BQ61" s="141">
        <v>0</v>
      </c>
      <c r="BR61" s="141">
        <v>0</v>
      </c>
      <c r="BS61" s="141">
        <v>0</v>
      </c>
      <c r="BT61" s="141">
        <v>0</v>
      </c>
      <c r="BU61" s="141">
        <v>0</v>
      </c>
      <c r="BV61" s="142">
        <v>0</v>
      </c>
      <c r="BW61" s="142">
        <v>0</v>
      </c>
      <c r="BX61" s="142">
        <v>0</v>
      </c>
      <c r="BY61" s="142">
        <v>0</v>
      </c>
      <c r="BZ61" s="142">
        <v>0</v>
      </c>
      <c r="CA61" s="142">
        <v>0</v>
      </c>
      <c r="CB61" s="141">
        <v>5</v>
      </c>
      <c r="CC61" s="140">
        <v>23.766999999999999</v>
      </c>
      <c r="CD61" s="141">
        <v>27</v>
      </c>
      <c r="CE61" s="141">
        <v>1426</v>
      </c>
      <c r="CF61" s="141">
        <v>1426</v>
      </c>
      <c r="CG61" s="141">
        <v>1500</v>
      </c>
      <c r="CH61" s="141">
        <v>0</v>
      </c>
      <c r="CI61" s="141">
        <v>0</v>
      </c>
      <c r="CJ61" s="142">
        <v>0</v>
      </c>
      <c r="CK61" s="142">
        <v>0</v>
      </c>
      <c r="CL61" s="142">
        <v>0</v>
      </c>
      <c r="CM61" s="142">
        <v>0</v>
      </c>
      <c r="CN61" s="179">
        <v>0</v>
      </c>
      <c r="CO61" s="142">
        <v>0</v>
      </c>
    </row>
    <row r="62" spans="1:93" ht="16.5" customHeight="1">
      <c r="A62" s="222"/>
      <c r="B62" s="220" t="s">
        <v>290</v>
      </c>
      <c r="C62" s="220"/>
      <c r="D62" s="220"/>
      <c r="E62" s="136" t="s">
        <v>291</v>
      </c>
      <c r="F62" s="136" t="s">
        <v>209</v>
      </c>
      <c r="G62" s="139">
        <v>2025</v>
      </c>
      <c r="H62" s="136" t="s">
        <v>210</v>
      </c>
      <c r="I62" s="221"/>
      <c r="J62" s="221"/>
      <c r="K62" s="140"/>
      <c r="L62" s="141"/>
      <c r="M62" s="141"/>
      <c r="N62" s="141"/>
      <c r="O62" s="141"/>
      <c r="P62" s="141"/>
      <c r="Q62" s="141"/>
      <c r="R62" s="142"/>
      <c r="S62" s="142"/>
      <c r="T62" s="142"/>
      <c r="U62" s="142"/>
      <c r="V62" s="179"/>
      <c r="W62" s="142"/>
      <c r="X62" s="141">
        <v>24506</v>
      </c>
      <c r="Y62" s="140">
        <v>361665.717</v>
      </c>
      <c r="Z62" s="141">
        <v>0</v>
      </c>
      <c r="AA62" s="141">
        <v>21699943</v>
      </c>
      <c r="AB62" s="141">
        <v>3242595</v>
      </c>
      <c r="AC62" s="141">
        <v>3242878</v>
      </c>
      <c r="AD62" s="141">
        <v>2739978</v>
      </c>
      <c r="AE62" s="141">
        <v>502617</v>
      </c>
      <c r="AF62" s="142">
        <v>26.632999999999999</v>
      </c>
      <c r="AG62" s="142">
        <v>4.7939999999999996</v>
      </c>
      <c r="AH62" s="142">
        <v>20773.337</v>
      </c>
      <c r="AI62" s="142">
        <v>3739.1759999999999</v>
      </c>
      <c r="AJ62" s="179">
        <v>24512.511999999999</v>
      </c>
      <c r="AK62" s="142">
        <v>31.427</v>
      </c>
      <c r="AL62" s="141">
        <v>20</v>
      </c>
      <c r="AM62" s="140">
        <v>0</v>
      </c>
      <c r="AN62" s="141">
        <v>0</v>
      </c>
      <c r="AO62" s="141">
        <v>0</v>
      </c>
      <c r="AP62" s="141">
        <v>0</v>
      </c>
      <c r="AQ62" s="141">
        <v>0</v>
      </c>
      <c r="AR62" s="141">
        <v>0</v>
      </c>
      <c r="AS62" s="141">
        <v>0</v>
      </c>
      <c r="AT62" s="142">
        <v>0.67300000000000004</v>
      </c>
      <c r="AU62" s="142">
        <v>0.121</v>
      </c>
      <c r="AV62" s="142">
        <v>524.76300000000003</v>
      </c>
      <c r="AW62" s="142">
        <v>94.456999999999994</v>
      </c>
      <c r="AX62" s="179">
        <v>619.22</v>
      </c>
      <c r="AY62" s="142">
        <v>0.79400000000000004</v>
      </c>
      <c r="AZ62" s="141"/>
      <c r="BA62" s="140"/>
      <c r="BB62" s="141"/>
      <c r="BC62" s="141"/>
      <c r="BD62" s="141"/>
      <c r="BE62" s="141"/>
      <c r="BF62" s="141"/>
      <c r="BG62" s="141"/>
      <c r="BH62" s="142"/>
      <c r="BI62" s="142"/>
      <c r="BJ62" s="142"/>
      <c r="BK62" s="142"/>
      <c r="BL62" s="179"/>
      <c r="BM62" s="142"/>
      <c r="BN62" s="141">
        <v>2527</v>
      </c>
      <c r="BO62" s="140">
        <v>0</v>
      </c>
      <c r="BP62" s="141">
        <v>0</v>
      </c>
      <c r="BQ62" s="141">
        <v>0</v>
      </c>
      <c r="BR62" s="141">
        <v>0</v>
      </c>
      <c r="BS62" s="141">
        <v>0</v>
      </c>
      <c r="BT62" s="141">
        <v>0</v>
      </c>
      <c r="BU62" s="141">
        <v>0</v>
      </c>
      <c r="BV62" s="142">
        <v>0</v>
      </c>
      <c r="BW62" s="142">
        <v>0</v>
      </c>
      <c r="BX62" s="142">
        <v>0</v>
      </c>
      <c r="BY62" s="142">
        <v>0</v>
      </c>
      <c r="BZ62" s="142">
        <v>0</v>
      </c>
      <c r="CA62" s="142">
        <v>0</v>
      </c>
      <c r="CB62" s="141"/>
      <c r="CC62" s="140"/>
      <c r="CD62" s="141"/>
      <c r="CE62" s="141"/>
      <c r="CF62" s="141"/>
      <c r="CG62" s="141"/>
      <c r="CH62" s="141"/>
      <c r="CI62" s="141"/>
      <c r="CJ62" s="142"/>
      <c r="CK62" s="142"/>
      <c r="CL62" s="142"/>
      <c r="CM62" s="142"/>
      <c r="CN62" s="179"/>
      <c r="CO62" s="142"/>
    </row>
    <row r="63" spans="1:93" ht="16.5" customHeight="1">
      <c r="A63" s="222"/>
      <c r="B63" s="220" t="s">
        <v>292</v>
      </c>
      <c r="C63" s="220"/>
      <c r="D63" s="220"/>
      <c r="E63" s="136" t="s">
        <v>293</v>
      </c>
      <c r="F63" s="136" t="s">
        <v>209</v>
      </c>
      <c r="G63" s="139">
        <v>2025</v>
      </c>
      <c r="H63" s="136" t="s">
        <v>210</v>
      </c>
      <c r="I63" s="221"/>
      <c r="J63" s="221"/>
      <c r="K63" s="140"/>
      <c r="L63" s="141"/>
      <c r="M63" s="141"/>
      <c r="N63" s="141"/>
      <c r="O63" s="141"/>
      <c r="P63" s="141"/>
      <c r="Q63" s="141"/>
      <c r="R63" s="142"/>
      <c r="S63" s="142"/>
      <c r="T63" s="142"/>
      <c r="U63" s="142"/>
      <c r="V63" s="179"/>
      <c r="W63" s="142"/>
      <c r="X63" s="141">
        <v>70</v>
      </c>
      <c r="Y63" s="140">
        <v>1162.05</v>
      </c>
      <c r="Z63" s="141">
        <v>0</v>
      </c>
      <c r="AA63" s="141">
        <v>69723</v>
      </c>
      <c r="AB63" s="141">
        <v>65469</v>
      </c>
      <c r="AC63" s="141">
        <v>65489</v>
      </c>
      <c r="AD63" s="141">
        <v>13933</v>
      </c>
      <c r="AE63" s="141">
        <v>51537</v>
      </c>
      <c r="AF63" s="142">
        <v>0.68400000000000005</v>
      </c>
      <c r="AG63" s="142">
        <v>0.123</v>
      </c>
      <c r="AH63" s="142">
        <v>533.27700000000004</v>
      </c>
      <c r="AI63" s="142">
        <v>95.992999999999995</v>
      </c>
      <c r="AJ63" s="179">
        <v>629.26900000000001</v>
      </c>
      <c r="AK63" s="142">
        <v>0.80700000000000005</v>
      </c>
      <c r="AL63" s="141"/>
      <c r="AM63" s="140"/>
      <c r="AN63" s="141"/>
      <c r="AO63" s="141"/>
      <c r="AP63" s="141"/>
      <c r="AQ63" s="141"/>
      <c r="AR63" s="141"/>
      <c r="AS63" s="141"/>
      <c r="AT63" s="142"/>
      <c r="AU63" s="142"/>
      <c r="AV63" s="142"/>
      <c r="AW63" s="142"/>
      <c r="AX63" s="179"/>
      <c r="AY63" s="142"/>
      <c r="AZ63" s="141"/>
      <c r="BA63" s="140"/>
      <c r="BB63" s="141"/>
      <c r="BC63" s="141"/>
      <c r="BD63" s="141"/>
      <c r="BE63" s="141"/>
      <c r="BF63" s="141"/>
      <c r="BG63" s="141"/>
      <c r="BH63" s="142"/>
      <c r="BI63" s="142"/>
      <c r="BJ63" s="142"/>
      <c r="BK63" s="142"/>
      <c r="BL63" s="179"/>
      <c r="BM63" s="142"/>
      <c r="BN63" s="141"/>
      <c r="BO63" s="140"/>
      <c r="BP63" s="141"/>
      <c r="BQ63" s="141"/>
      <c r="BR63" s="141"/>
      <c r="BS63" s="141"/>
      <c r="BT63" s="141"/>
      <c r="BU63" s="141"/>
      <c r="BV63" s="142"/>
      <c r="BW63" s="142"/>
      <c r="BX63" s="142"/>
      <c r="BY63" s="142"/>
      <c r="BZ63" s="142"/>
      <c r="CA63" s="142"/>
      <c r="CB63" s="141"/>
      <c r="CC63" s="140"/>
      <c r="CD63" s="141"/>
      <c r="CE63" s="141"/>
      <c r="CF63" s="141"/>
      <c r="CG63" s="141"/>
      <c r="CH63" s="141"/>
      <c r="CI63" s="141"/>
      <c r="CJ63" s="142"/>
      <c r="CK63" s="142"/>
      <c r="CL63" s="142"/>
      <c r="CM63" s="142"/>
      <c r="CN63" s="179"/>
      <c r="CO63" s="142"/>
    </row>
    <row r="64" spans="1:93" ht="16.5" customHeight="1">
      <c r="A64" s="222"/>
      <c r="B64" s="220" t="s">
        <v>294</v>
      </c>
      <c r="C64" s="220"/>
      <c r="D64" s="220"/>
      <c r="E64" s="136" t="s">
        <v>295</v>
      </c>
      <c r="F64" s="136" t="s">
        <v>209</v>
      </c>
      <c r="G64" s="139">
        <v>2025</v>
      </c>
      <c r="H64" s="136" t="s">
        <v>210</v>
      </c>
      <c r="I64" s="221"/>
      <c r="J64" s="221"/>
      <c r="K64" s="140"/>
      <c r="L64" s="141"/>
      <c r="M64" s="141"/>
      <c r="N64" s="141"/>
      <c r="O64" s="141"/>
      <c r="P64" s="141"/>
      <c r="Q64" s="141"/>
      <c r="R64" s="142"/>
      <c r="S64" s="142"/>
      <c r="T64" s="142"/>
      <c r="U64" s="142"/>
      <c r="V64" s="179"/>
      <c r="W64" s="142"/>
      <c r="X64" s="141">
        <v>1423251</v>
      </c>
      <c r="Y64" s="140">
        <v>10678834.416999999</v>
      </c>
      <c r="Z64" s="141">
        <v>0</v>
      </c>
      <c r="AA64" s="141">
        <v>640730065</v>
      </c>
      <c r="AB64" s="141">
        <v>171624209</v>
      </c>
      <c r="AC64" s="141">
        <v>172113394</v>
      </c>
      <c r="AD64" s="141">
        <v>157025318</v>
      </c>
      <c r="AE64" s="141">
        <v>14598890</v>
      </c>
      <c r="AF64" s="142">
        <v>1131.163</v>
      </c>
      <c r="AG64" s="142">
        <v>203.38900000000001</v>
      </c>
      <c r="AH64" s="142">
        <v>882298.20299999998</v>
      </c>
      <c r="AI64" s="142">
        <v>158641.83300000001</v>
      </c>
      <c r="AJ64" s="179">
        <v>1040940.036</v>
      </c>
      <c r="AK64" s="142">
        <v>1334.5519999999999</v>
      </c>
      <c r="AL64" s="141">
        <v>174</v>
      </c>
      <c r="AM64" s="140">
        <v>0</v>
      </c>
      <c r="AN64" s="141">
        <v>0</v>
      </c>
      <c r="AO64" s="141">
        <v>0</v>
      </c>
      <c r="AP64" s="141">
        <v>0</v>
      </c>
      <c r="AQ64" s="141">
        <v>0</v>
      </c>
      <c r="AR64" s="141">
        <v>0</v>
      </c>
      <c r="AS64" s="141">
        <v>0</v>
      </c>
      <c r="AT64" s="142">
        <v>5.8529999999999998</v>
      </c>
      <c r="AU64" s="142">
        <v>1.054</v>
      </c>
      <c r="AV64" s="142">
        <v>4565.4380000000001</v>
      </c>
      <c r="AW64" s="142">
        <v>821.77599999999995</v>
      </c>
      <c r="AX64" s="179">
        <v>5387.2139999999999</v>
      </c>
      <c r="AY64" s="142">
        <v>6.907</v>
      </c>
      <c r="AZ64" s="141">
        <v>141</v>
      </c>
      <c r="BA64" s="140">
        <v>725.28300000000002</v>
      </c>
      <c r="BB64" s="141">
        <v>796</v>
      </c>
      <c r="BC64" s="141">
        <v>43517</v>
      </c>
      <c r="BD64" s="141">
        <v>43517</v>
      </c>
      <c r="BE64" s="141">
        <v>43517</v>
      </c>
      <c r="BF64" s="141">
        <v>0</v>
      </c>
      <c r="BG64" s="141">
        <v>0</v>
      </c>
      <c r="BH64" s="142">
        <v>78.691999999999993</v>
      </c>
      <c r="BI64" s="142">
        <v>14.164999999999999</v>
      </c>
      <c r="BJ64" s="142">
        <v>61378.991999999998</v>
      </c>
      <c r="BK64" s="142">
        <v>11048.22</v>
      </c>
      <c r="BL64" s="179">
        <v>72427.212</v>
      </c>
      <c r="BM64" s="142">
        <v>92.855999999999995</v>
      </c>
      <c r="BN64" s="141">
        <v>33261</v>
      </c>
      <c r="BO64" s="140">
        <v>0</v>
      </c>
      <c r="BP64" s="141">
        <v>0</v>
      </c>
      <c r="BQ64" s="141">
        <v>0</v>
      </c>
      <c r="BR64" s="141">
        <v>0</v>
      </c>
      <c r="BS64" s="141">
        <v>0</v>
      </c>
      <c r="BT64" s="141">
        <v>0</v>
      </c>
      <c r="BU64" s="141">
        <v>0</v>
      </c>
      <c r="BV64" s="142">
        <v>0</v>
      </c>
      <c r="BW64" s="142">
        <v>0</v>
      </c>
      <c r="BX64" s="142">
        <v>0</v>
      </c>
      <c r="BY64" s="142">
        <v>0</v>
      </c>
      <c r="BZ64" s="142">
        <v>0</v>
      </c>
      <c r="CA64" s="142">
        <v>0</v>
      </c>
      <c r="CB64" s="141">
        <v>154</v>
      </c>
      <c r="CC64" s="140">
        <v>123.983</v>
      </c>
      <c r="CD64" s="141">
        <v>227</v>
      </c>
      <c r="CE64" s="141">
        <v>7439</v>
      </c>
      <c r="CF64" s="141">
        <v>7439</v>
      </c>
      <c r="CG64" s="141">
        <v>7439</v>
      </c>
      <c r="CH64" s="141">
        <v>0</v>
      </c>
      <c r="CI64" s="141">
        <v>0</v>
      </c>
      <c r="CJ64" s="142">
        <v>0</v>
      </c>
      <c r="CK64" s="142">
        <v>0</v>
      </c>
      <c r="CL64" s="142">
        <v>0</v>
      </c>
      <c r="CM64" s="142">
        <v>0</v>
      </c>
      <c r="CN64" s="179">
        <v>0</v>
      </c>
      <c r="CO64" s="142">
        <v>0</v>
      </c>
    </row>
    <row r="65" spans="1:93" ht="16.5" customHeight="1">
      <c r="A65" s="222"/>
      <c r="B65" s="220" t="s">
        <v>296</v>
      </c>
      <c r="C65" s="220"/>
      <c r="D65" s="220"/>
      <c r="E65" s="136" t="s">
        <v>297</v>
      </c>
      <c r="F65" s="136" t="s">
        <v>209</v>
      </c>
      <c r="G65" s="139">
        <v>2025</v>
      </c>
      <c r="H65" s="136" t="s">
        <v>210</v>
      </c>
      <c r="I65" s="221"/>
      <c r="J65" s="221"/>
      <c r="K65" s="140"/>
      <c r="L65" s="141"/>
      <c r="M65" s="141"/>
      <c r="N65" s="141"/>
      <c r="O65" s="141"/>
      <c r="P65" s="141"/>
      <c r="Q65" s="141"/>
      <c r="R65" s="142"/>
      <c r="S65" s="142"/>
      <c r="T65" s="142"/>
      <c r="U65" s="142"/>
      <c r="V65" s="179"/>
      <c r="W65" s="142"/>
      <c r="X65" s="141"/>
      <c r="Y65" s="140"/>
      <c r="Z65" s="141"/>
      <c r="AA65" s="141"/>
      <c r="AB65" s="141"/>
      <c r="AC65" s="141"/>
      <c r="AD65" s="141"/>
      <c r="AE65" s="141"/>
      <c r="AF65" s="142"/>
      <c r="AG65" s="142"/>
      <c r="AH65" s="142"/>
      <c r="AI65" s="142"/>
      <c r="AJ65" s="179"/>
      <c r="AK65" s="142"/>
      <c r="AL65" s="141">
        <v>76</v>
      </c>
      <c r="AM65" s="140">
        <v>0</v>
      </c>
      <c r="AN65" s="141">
        <v>0</v>
      </c>
      <c r="AO65" s="141">
        <v>0</v>
      </c>
      <c r="AP65" s="141">
        <v>0</v>
      </c>
      <c r="AQ65" s="141">
        <v>0</v>
      </c>
      <c r="AR65" s="141">
        <v>0</v>
      </c>
      <c r="AS65" s="141">
        <v>0</v>
      </c>
      <c r="AT65" s="142">
        <v>0.433</v>
      </c>
      <c r="AU65" s="142">
        <v>7.8E-2</v>
      </c>
      <c r="AV65" s="142">
        <v>338.01100000000002</v>
      </c>
      <c r="AW65" s="142">
        <v>60.820999999999998</v>
      </c>
      <c r="AX65" s="179">
        <v>398.83199999999999</v>
      </c>
      <c r="AY65" s="142">
        <v>0.51100000000000001</v>
      </c>
      <c r="AZ65" s="141">
        <v>2</v>
      </c>
      <c r="BA65" s="140">
        <v>5.75</v>
      </c>
      <c r="BB65" s="141">
        <v>7</v>
      </c>
      <c r="BC65" s="141">
        <v>345</v>
      </c>
      <c r="BD65" s="141">
        <v>345</v>
      </c>
      <c r="BE65" s="141">
        <v>345</v>
      </c>
      <c r="BF65" s="141">
        <v>0</v>
      </c>
      <c r="BG65" s="141">
        <v>0</v>
      </c>
      <c r="BH65" s="142">
        <v>0.41</v>
      </c>
      <c r="BI65" s="142">
        <v>7.3999999999999996E-2</v>
      </c>
      <c r="BJ65" s="142">
        <v>319.65600000000001</v>
      </c>
      <c r="BK65" s="142">
        <v>57.537999999999997</v>
      </c>
      <c r="BL65" s="179">
        <v>377.19499999999999</v>
      </c>
      <c r="BM65" s="142">
        <v>0.48399999999999999</v>
      </c>
      <c r="BN65" s="141">
        <v>9145</v>
      </c>
      <c r="BO65" s="140">
        <v>0</v>
      </c>
      <c r="BP65" s="141">
        <v>0</v>
      </c>
      <c r="BQ65" s="141">
        <v>0</v>
      </c>
      <c r="BR65" s="141">
        <v>0</v>
      </c>
      <c r="BS65" s="141">
        <v>0</v>
      </c>
      <c r="BT65" s="141">
        <v>0</v>
      </c>
      <c r="BU65" s="141">
        <v>0</v>
      </c>
      <c r="BV65" s="142">
        <v>0</v>
      </c>
      <c r="BW65" s="142">
        <v>0</v>
      </c>
      <c r="BX65" s="142">
        <v>0</v>
      </c>
      <c r="BY65" s="142">
        <v>0</v>
      </c>
      <c r="BZ65" s="142">
        <v>0</v>
      </c>
      <c r="CA65" s="142">
        <v>0</v>
      </c>
      <c r="CB65" s="141">
        <v>134</v>
      </c>
      <c r="CC65" s="140">
        <v>78.7</v>
      </c>
      <c r="CD65" s="141">
        <v>158</v>
      </c>
      <c r="CE65" s="141">
        <v>4722</v>
      </c>
      <c r="CF65" s="141">
        <v>4722</v>
      </c>
      <c r="CG65" s="141">
        <v>4722</v>
      </c>
      <c r="CH65" s="141">
        <v>0</v>
      </c>
      <c r="CI65" s="141">
        <v>0</v>
      </c>
      <c r="CJ65" s="142">
        <v>0</v>
      </c>
      <c r="CK65" s="142">
        <v>0</v>
      </c>
      <c r="CL65" s="142">
        <v>0</v>
      </c>
      <c r="CM65" s="142">
        <v>0</v>
      </c>
      <c r="CN65" s="179">
        <v>0</v>
      </c>
      <c r="CO65" s="142">
        <v>0</v>
      </c>
    </row>
    <row r="66" spans="1:93" ht="16.5" customHeight="1">
      <c r="A66" s="222"/>
      <c r="B66" s="220" t="s">
        <v>298</v>
      </c>
      <c r="C66" s="220"/>
      <c r="D66" s="220"/>
      <c r="E66" s="136" t="s">
        <v>299</v>
      </c>
      <c r="F66" s="136" t="s">
        <v>209</v>
      </c>
      <c r="G66" s="139">
        <v>2025</v>
      </c>
      <c r="H66" s="136" t="s">
        <v>210</v>
      </c>
      <c r="I66" s="221"/>
      <c r="J66" s="221"/>
      <c r="K66" s="140"/>
      <c r="L66" s="141"/>
      <c r="M66" s="141"/>
      <c r="N66" s="141"/>
      <c r="O66" s="141"/>
      <c r="P66" s="141"/>
      <c r="Q66" s="141"/>
      <c r="R66" s="142"/>
      <c r="S66" s="142"/>
      <c r="T66" s="142"/>
      <c r="U66" s="142"/>
      <c r="V66" s="179"/>
      <c r="W66" s="142"/>
      <c r="X66" s="141">
        <v>310585</v>
      </c>
      <c r="Y66" s="140">
        <v>140057.43299999999</v>
      </c>
      <c r="Z66" s="141">
        <v>0</v>
      </c>
      <c r="AA66" s="141">
        <v>8403446</v>
      </c>
      <c r="AB66" s="141">
        <v>4527</v>
      </c>
      <c r="AC66" s="141">
        <v>4703</v>
      </c>
      <c r="AD66" s="141">
        <v>3068</v>
      </c>
      <c r="AE66" s="141">
        <v>1459</v>
      </c>
      <c r="AF66" s="142">
        <v>0.77200000000000002</v>
      </c>
      <c r="AG66" s="142">
        <v>0.13900000000000001</v>
      </c>
      <c r="AH66" s="142">
        <v>602.495</v>
      </c>
      <c r="AI66" s="142">
        <v>108.52</v>
      </c>
      <c r="AJ66" s="179">
        <v>711.01499999999999</v>
      </c>
      <c r="AK66" s="142">
        <v>0.91200000000000003</v>
      </c>
      <c r="AL66" s="141"/>
      <c r="AM66" s="140"/>
      <c r="AN66" s="141"/>
      <c r="AO66" s="141"/>
      <c r="AP66" s="141"/>
      <c r="AQ66" s="141"/>
      <c r="AR66" s="141"/>
      <c r="AS66" s="141"/>
      <c r="AT66" s="142"/>
      <c r="AU66" s="142"/>
      <c r="AV66" s="142"/>
      <c r="AW66" s="142"/>
      <c r="AX66" s="179"/>
      <c r="AY66" s="142"/>
      <c r="AZ66" s="141"/>
      <c r="BA66" s="140"/>
      <c r="BB66" s="141"/>
      <c r="BC66" s="141"/>
      <c r="BD66" s="141"/>
      <c r="BE66" s="141"/>
      <c r="BF66" s="141"/>
      <c r="BG66" s="141"/>
      <c r="BH66" s="142"/>
      <c r="BI66" s="142"/>
      <c r="BJ66" s="142"/>
      <c r="BK66" s="142"/>
      <c r="BL66" s="179"/>
      <c r="BM66" s="142"/>
      <c r="BN66" s="141"/>
      <c r="BO66" s="140"/>
      <c r="BP66" s="141"/>
      <c r="BQ66" s="141"/>
      <c r="BR66" s="141"/>
      <c r="BS66" s="141"/>
      <c r="BT66" s="141"/>
      <c r="BU66" s="141"/>
      <c r="BV66" s="142"/>
      <c r="BW66" s="142"/>
      <c r="BX66" s="142"/>
      <c r="BY66" s="142"/>
      <c r="BZ66" s="142"/>
      <c r="CA66" s="142"/>
      <c r="CB66" s="141"/>
      <c r="CC66" s="140"/>
      <c r="CD66" s="141"/>
      <c r="CE66" s="141"/>
      <c r="CF66" s="141"/>
      <c r="CG66" s="141"/>
      <c r="CH66" s="141"/>
      <c r="CI66" s="141"/>
      <c r="CJ66" s="142"/>
      <c r="CK66" s="142"/>
      <c r="CL66" s="142"/>
      <c r="CM66" s="142"/>
      <c r="CN66" s="179"/>
      <c r="CO66" s="142"/>
    </row>
    <row r="67" spans="1:93" ht="16.5" customHeight="1">
      <c r="A67" s="222"/>
      <c r="B67" s="220" t="s">
        <v>300</v>
      </c>
      <c r="C67" s="220"/>
      <c r="D67" s="220"/>
      <c r="E67" s="136" t="s">
        <v>301</v>
      </c>
      <c r="F67" s="136" t="s">
        <v>209</v>
      </c>
      <c r="G67" s="139">
        <v>2025</v>
      </c>
      <c r="H67" s="136" t="s">
        <v>210</v>
      </c>
      <c r="I67" s="221"/>
      <c r="J67" s="221"/>
      <c r="K67" s="140"/>
      <c r="L67" s="141"/>
      <c r="M67" s="141"/>
      <c r="N67" s="141"/>
      <c r="O67" s="141"/>
      <c r="P67" s="141"/>
      <c r="Q67" s="141"/>
      <c r="R67" s="142"/>
      <c r="S67" s="142"/>
      <c r="T67" s="142"/>
      <c r="U67" s="142"/>
      <c r="V67" s="179"/>
      <c r="W67" s="142"/>
      <c r="X67" s="141">
        <v>2214</v>
      </c>
      <c r="Y67" s="140">
        <v>43914.3</v>
      </c>
      <c r="Z67" s="141">
        <v>0</v>
      </c>
      <c r="AA67" s="141">
        <v>2634858</v>
      </c>
      <c r="AB67" s="141">
        <v>3242</v>
      </c>
      <c r="AC67" s="141">
        <v>3311</v>
      </c>
      <c r="AD67" s="141">
        <v>1559</v>
      </c>
      <c r="AE67" s="141">
        <v>1684</v>
      </c>
      <c r="AF67" s="142">
        <v>2.1999999999999999E-2</v>
      </c>
      <c r="AG67" s="142">
        <v>4.0000000000000001E-3</v>
      </c>
      <c r="AH67" s="142">
        <v>16.994</v>
      </c>
      <c r="AI67" s="142">
        <v>3.0449999999999999</v>
      </c>
      <c r="AJ67" s="179">
        <v>20.04</v>
      </c>
      <c r="AK67" s="142">
        <v>2.5999999999999999E-2</v>
      </c>
      <c r="AL67" s="141"/>
      <c r="AM67" s="140"/>
      <c r="AN67" s="141"/>
      <c r="AO67" s="141"/>
      <c r="AP67" s="141"/>
      <c r="AQ67" s="141"/>
      <c r="AR67" s="141"/>
      <c r="AS67" s="141"/>
      <c r="AT67" s="142"/>
      <c r="AU67" s="142"/>
      <c r="AV67" s="142"/>
      <c r="AW67" s="142"/>
      <c r="AX67" s="179"/>
      <c r="AY67" s="142"/>
      <c r="AZ67" s="141"/>
      <c r="BA67" s="140"/>
      <c r="BB67" s="141"/>
      <c r="BC67" s="141"/>
      <c r="BD67" s="141"/>
      <c r="BE67" s="141"/>
      <c r="BF67" s="141"/>
      <c r="BG67" s="141"/>
      <c r="BH67" s="142"/>
      <c r="BI67" s="142"/>
      <c r="BJ67" s="142"/>
      <c r="BK67" s="142"/>
      <c r="BL67" s="179"/>
      <c r="BM67" s="142"/>
      <c r="BN67" s="141">
        <v>116</v>
      </c>
      <c r="BO67" s="140">
        <v>0</v>
      </c>
      <c r="BP67" s="141">
        <v>0</v>
      </c>
      <c r="BQ67" s="141">
        <v>0</v>
      </c>
      <c r="BR67" s="141">
        <v>0</v>
      </c>
      <c r="BS67" s="141">
        <v>0</v>
      </c>
      <c r="BT67" s="141">
        <v>0</v>
      </c>
      <c r="BU67" s="141">
        <v>0</v>
      </c>
      <c r="BV67" s="142">
        <v>0</v>
      </c>
      <c r="BW67" s="142">
        <v>0</v>
      </c>
      <c r="BX67" s="142">
        <v>0</v>
      </c>
      <c r="BY67" s="142">
        <v>0</v>
      </c>
      <c r="BZ67" s="142">
        <v>0</v>
      </c>
      <c r="CA67" s="142">
        <v>0</v>
      </c>
      <c r="CB67" s="141">
        <v>5</v>
      </c>
      <c r="CC67" s="140">
        <v>6.0830000000000002</v>
      </c>
      <c r="CD67" s="141">
        <v>10</v>
      </c>
      <c r="CE67" s="141">
        <v>365</v>
      </c>
      <c r="CF67" s="141">
        <v>365</v>
      </c>
      <c r="CG67" s="141">
        <v>365</v>
      </c>
      <c r="CH67" s="141">
        <v>0</v>
      </c>
      <c r="CI67" s="141">
        <v>0</v>
      </c>
      <c r="CJ67" s="142">
        <v>0</v>
      </c>
      <c r="CK67" s="142">
        <v>0</v>
      </c>
      <c r="CL67" s="142">
        <v>0</v>
      </c>
      <c r="CM67" s="142">
        <v>0</v>
      </c>
      <c r="CN67" s="179">
        <v>0</v>
      </c>
      <c r="CO67" s="142">
        <v>0</v>
      </c>
    </row>
    <row r="68" spans="1:93" ht="16.5" customHeight="1">
      <c r="A68" s="222"/>
      <c r="B68" s="220" t="s">
        <v>302</v>
      </c>
      <c r="C68" s="220"/>
      <c r="D68" s="220"/>
      <c r="E68" s="136" t="s">
        <v>303</v>
      </c>
      <c r="F68" s="136" t="s">
        <v>209</v>
      </c>
      <c r="G68" s="139">
        <v>2025</v>
      </c>
      <c r="H68" s="136" t="s">
        <v>210</v>
      </c>
      <c r="I68" s="221"/>
      <c r="J68" s="221"/>
      <c r="K68" s="140"/>
      <c r="L68" s="141"/>
      <c r="M68" s="141"/>
      <c r="N68" s="141"/>
      <c r="O68" s="141"/>
      <c r="P68" s="141"/>
      <c r="Q68" s="141"/>
      <c r="R68" s="142"/>
      <c r="S68" s="142"/>
      <c r="T68" s="142"/>
      <c r="U68" s="142"/>
      <c r="V68" s="179"/>
      <c r="W68" s="142"/>
      <c r="X68" s="141"/>
      <c r="Y68" s="140"/>
      <c r="Z68" s="141"/>
      <c r="AA68" s="141"/>
      <c r="AB68" s="141"/>
      <c r="AC68" s="141"/>
      <c r="AD68" s="141"/>
      <c r="AE68" s="141"/>
      <c r="AF68" s="142"/>
      <c r="AG68" s="142"/>
      <c r="AH68" s="142"/>
      <c r="AI68" s="142"/>
      <c r="AJ68" s="179"/>
      <c r="AK68" s="142"/>
      <c r="AL68" s="141"/>
      <c r="AM68" s="140"/>
      <c r="AN68" s="141"/>
      <c r="AO68" s="141"/>
      <c r="AP68" s="141"/>
      <c r="AQ68" s="141"/>
      <c r="AR68" s="141"/>
      <c r="AS68" s="141"/>
      <c r="AT68" s="142"/>
      <c r="AU68" s="142"/>
      <c r="AV68" s="142"/>
      <c r="AW68" s="142"/>
      <c r="AX68" s="179"/>
      <c r="AY68" s="142"/>
      <c r="AZ68" s="141"/>
      <c r="BA68" s="140"/>
      <c r="BB68" s="141"/>
      <c r="BC68" s="141"/>
      <c r="BD68" s="141"/>
      <c r="BE68" s="141"/>
      <c r="BF68" s="141"/>
      <c r="BG68" s="141"/>
      <c r="BH68" s="142"/>
      <c r="BI68" s="142"/>
      <c r="BJ68" s="142"/>
      <c r="BK68" s="142"/>
      <c r="BL68" s="179"/>
      <c r="BM68" s="142"/>
      <c r="BN68" s="141">
        <v>1</v>
      </c>
      <c r="BO68" s="140">
        <v>0</v>
      </c>
      <c r="BP68" s="141">
        <v>0</v>
      </c>
      <c r="BQ68" s="141">
        <v>0</v>
      </c>
      <c r="BR68" s="141">
        <v>0</v>
      </c>
      <c r="BS68" s="141">
        <v>0</v>
      </c>
      <c r="BT68" s="141">
        <v>0</v>
      </c>
      <c r="BU68" s="141">
        <v>0</v>
      </c>
      <c r="BV68" s="142">
        <v>0</v>
      </c>
      <c r="BW68" s="142">
        <v>0</v>
      </c>
      <c r="BX68" s="142">
        <v>0</v>
      </c>
      <c r="BY68" s="142">
        <v>0</v>
      </c>
      <c r="BZ68" s="142">
        <v>0</v>
      </c>
      <c r="CA68" s="142">
        <v>0</v>
      </c>
      <c r="CB68" s="141"/>
      <c r="CC68" s="140"/>
      <c r="CD68" s="141"/>
      <c r="CE68" s="141"/>
      <c r="CF68" s="141"/>
      <c r="CG68" s="141"/>
      <c r="CH68" s="141"/>
      <c r="CI68" s="141"/>
      <c r="CJ68" s="142"/>
      <c r="CK68" s="142"/>
      <c r="CL68" s="142"/>
      <c r="CM68" s="142"/>
      <c r="CN68" s="179"/>
      <c r="CO68" s="142"/>
    </row>
    <row r="69" spans="1:93" ht="16.5" customHeight="1">
      <c r="A69" s="222"/>
      <c r="B69" s="220" t="s">
        <v>304</v>
      </c>
      <c r="C69" s="220"/>
      <c r="D69" s="220"/>
      <c r="E69" s="136" t="s">
        <v>305</v>
      </c>
      <c r="F69" s="136" t="s">
        <v>209</v>
      </c>
      <c r="G69" s="139">
        <v>2025</v>
      </c>
      <c r="H69" s="136" t="s">
        <v>210</v>
      </c>
      <c r="I69" s="221"/>
      <c r="J69" s="221"/>
      <c r="K69" s="140"/>
      <c r="L69" s="141"/>
      <c r="M69" s="141"/>
      <c r="N69" s="141"/>
      <c r="O69" s="141"/>
      <c r="P69" s="141"/>
      <c r="Q69" s="141"/>
      <c r="R69" s="142"/>
      <c r="S69" s="142"/>
      <c r="T69" s="142"/>
      <c r="U69" s="142"/>
      <c r="V69" s="179"/>
      <c r="W69" s="142"/>
      <c r="X69" s="141">
        <v>24</v>
      </c>
      <c r="Y69" s="140">
        <v>24.283000000000001</v>
      </c>
      <c r="Z69" s="141">
        <v>0</v>
      </c>
      <c r="AA69" s="141">
        <v>1457</v>
      </c>
      <c r="AB69" s="141">
        <v>123</v>
      </c>
      <c r="AC69" s="141">
        <v>240</v>
      </c>
      <c r="AD69" s="141">
        <v>8</v>
      </c>
      <c r="AE69" s="141">
        <v>115</v>
      </c>
      <c r="AF69" s="142">
        <v>2.8029999999999999</v>
      </c>
      <c r="AG69" s="142">
        <v>0.505</v>
      </c>
      <c r="AH69" s="142">
        <v>2186.3180000000002</v>
      </c>
      <c r="AI69" s="142">
        <v>393.53899999999999</v>
      </c>
      <c r="AJ69" s="179">
        <v>2579.8560000000002</v>
      </c>
      <c r="AK69" s="142">
        <v>3.3079999999999998</v>
      </c>
      <c r="AL69" s="141"/>
      <c r="AM69" s="140"/>
      <c r="AN69" s="141"/>
      <c r="AO69" s="141"/>
      <c r="AP69" s="141"/>
      <c r="AQ69" s="141"/>
      <c r="AR69" s="141"/>
      <c r="AS69" s="141"/>
      <c r="AT69" s="142"/>
      <c r="AU69" s="142"/>
      <c r="AV69" s="142"/>
      <c r="AW69" s="142"/>
      <c r="AX69" s="179"/>
      <c r="AY69" s="142"/>
      <c r="AZ69" s="141"/>
      <c r="BA69" s="140"/>
      <c r="BB69" s="141"/>
      <c r="BC69" s="141"/>
      <c r="BD69" s="141"/>
      <c r="BE69" s="141"/>
      <c r="BF69" s="141"/>
      <c r="BG69" s="141"/>
      <c r="BH69" s="142"/>
      <c r="BI69" s="142"/>
      <c r="BJ69" s="142"/>
      <c r="BK69" s="142"/>
      <c r="BL69" s="179"/>
      <c r="BM69" s="142"/>
      <c r="BN69" s="141"/>
      <c r="BO69" s="140"/>
      <c r="BP69" s="141"/>
      <c r="BQ69" s="141"/>
      <c r="BR69" s="141"/>
      <c r="BS69" s="141"/>
      <c r="BT69" s="141"/>
      <c r="BU69" s="141"/>
      <c r="BV69" s="142"/>
      <c r="BW69" s="142"/>
      <c r="BX69" s="142"/>
      <c r="BY69" s="142"/>
      <c r="BZ69" s="142"/>
      <c r="CA69" s="142"/>
      <c r="CB69" s="141"/>
      <c r="CC69" s="140"/>
      <c r="CD69" s="141"/>
      <c r="CE69" s="141"/>
      <c r="CF69" s="141"/>
      <c r="CG69" s="141"/>
      <c r="CH69" s="141"/>
      <c r="CI69" s="141"/>
      <c r="CJ69" s="142"/>
      <c r="CK69" s="142"/>
      <c r="CL69" s="142"/>
      <c r="CM69" s="142"/>
      <c r="CN69" s="179"/>
      <c r="CO69" s="142"/>
    </row>
    <row r="70" spans="1:93" ht="16.5" customHeight="1">
      <c r="A70" s="222"/>
      <c r="B70" s="220" t="s">
        <v>306</v>
      </c>
      <c r="C70" s="220"/>
      <c r="D70" s="220"/>
      <c r="E70" s="136" t="s">
        <v>307</v>
      </c>
      <c r="F70" s="136" t="s">
        <v>209</v>
      </c>
      <c r="G70" s="139">
        <v>2025</v>
      </c>
      <c r="H70" s="136" t="s">
        <v>210</v>
      </c>
      <c r="I70" s="221">
        <v>8</v>
      </c>
      <c r="J70" s="221"/>
      <c r="K70" s="140">
        <v>37.417000000000002</v>
      </c>
      <c r="L70" s="141">
        <v>0</v>
      </c>
      <c r="M70" s="141">
        <v>2245</v>
      </c>
      <c r="N70" s="141">
        <v>466</v>
      </c>
      <c r="O70" s="141">
        <v>471</v>
      </c>
      <c r="P70" s="141">
        <v>447</v>
      </c>
      <c r="Q70" s="141">
        <v>20</v>
      </c>
      <c r="R70" s="142">
        <v>1E-3</v>
      </c>
      <c r="S70" s="142">
        <v>0</v>
      </c>
      <c r="T70" s="142">
        <v>0.76700000000000002</v>
      </c>
      <c r="U70" s="142">
        <v>0.14000000000000001</v>
      </c>
      <c r="V70" s="179">
        <v>0.90600000000000003</v>
      </c>
      <c r="W70" s="142">
        <v>1E-3</v>
      </c>
      <c r="X70" s="141">
        <v>116771</v>
      </c>
      <c r="Y70" s="140">
        <v>2931665.4</v>
      </c>
      <c r="Z70" s="141">
        <v>0</v>
      </c>
      <c r="AA70" s="141">
        <v>175899924</v>
      </c>
      <c r="AB70" s="141">
        <v>225461001</v>
      </c>
      <c r="AC70" s="141">
        <v>225481832</v>
      </c>
      <c r="AD70" s="141">
        <v>191038371</v>
      </c>
      <c r="AE70" s="141">
        <v>34422631</v>
      </c>
      <c r="AF70" s="142">
        <v>470.79899999999998</v>
      </c>
      <c r="AG70" s="142">
        <v>84.745000000000005</v>
      </c>
      <c r="AH70" s="142">
        <v>367219.15500000003</v>
      </c>
      <c r="AI70" s="142">
        <v>66100.646999999997</v>
      </c>
      <c r="AJ70" s="179">
        <v>433319.80200000003</v>
      </c>
      <c r="AK70" s="142">
        <v>555.54399999999998</v>
      </c>
      <c r="AL70" s="141">
        <v>238</v>
      </c>
      <c r="AM70" s="140">
        <v>0</v>
      </c>
      <c r="AN70" s="141">
        <v>0</v>
      </c>
      <c r="AO70" s="141">
        <v>0</v>
      </c>
      <c r="AP70" s="141">
        <v>0</v>
      </c>
      <c r="AQ70" s="141">
        <v>0</v>
      </c>
      <c r="AR70" s="141">
        <v>0</v>
      </c>
      <c r="AS70" s="141">
        <v>0</v>
      </c>
      <c r="AT70" s="142">
        <v>1.696</v>
      </c>
      <c r="AU70" s="142">
        <v>0.30499999999999999</v>
      </c>
      <c r="AV70" s="142">
        <v>1323.0429999999999</v>
      </c>
      <c r="AW70" s="142">
        <v>238.17400000000001</v>
      </c>
      <c r="AX70" s="179">
        <v>1561.2159999999999</v>
      </c>
      <c r="AY70" s="142">
        <v>2.0019999999999998</v>
      </c>
      <c r="AZ70" s="141">
        <v>58</v>
      </c>
      <c r="BA70" s="140">
        <v>81.082999999999998</v>
      </c>
      <c r="BB70" s="141">
        <v>121</v>
      </c>
      <c r="BC70" s="141">
        <v>4865</v>
      </c>
      <c r="BD70" s="141">
        <v>4865</v>
      </c>
      <c r="BE70" s="141">
        <v>4865</v>
      </c>
      <c r="BF70" s="141">
        <v>0</v>
      </c>
      <c r="BG70" s="141">
        <v>0</v>
      </c>
      <c r="BH70" s="142">
        <v>11.205</v>
      </c>
      <c r="BI70" s="142">
        <v>2.0169999999999999</v>
      </c>
      <c r="BJ70" s="142">
        <v>8739.6110000000008</v>
      </c>
      <c r="BK70" s="142">
        <v>1573.1289999999999</v>
      </c>
      <c r="BL70" s="179">
        <v>10312.74</v>
      </c>
      <c r="BM70" s="142">
        <v>13.222</v>
      </c>
      <c r="BN70" s="141">
        <v>1320</v>
      </c>
      <c r="BO70" s="140">
        <v>0</v>
      </c>
      <c r="BP70" s="141">
        <v>0</v>
      </c>
      <c r="BQ70" s="141">
        <v>0</v>
      </c>
      <c r="BR70" s="141">
        <v>0</v>
      </c>
      <c r="BS70" s="141">
        <v>0</v>
      </c>
      <c r="BT70" s="141">
        <v>0</v>
      </c>
      <c r="BU70" s="141">
        <v>0</v>
      </c>
      <c r="BV70" s="142">
        <v>0</v>
      </c>
      <c r="BW70" s="142">
        <v>0</v>
      </c>
      <c r="BX70" s="142">
        <v>0</v>
      </c>
      <c r="BY70" s="142">
        <v>0</v>
      </c>
      <c r="BZ70" s="142">
        <v>0</v>
      </c>
      <c r="CA70" s="142">
        <v>0</v>
      </c>
      <c r="CB70" s="141">
        <v>70</v>
      </c>
      <c r="CC70" s="140">
        <v>81.332999999999998</v>
      </c>
      <c r="CD70" s="141">
        <v>126</v>
      </c>
      <c r="CE70" s="141">
        <v>4880</v>
      </c>
      <c r="CF70" s="141">
        <v>4880</v>
      </c>
      <c r="CG70" s="141">
        <v>4880</v>
      </c>
      <c r="CH70" s="141">
        <v>0</v>
      </c>
      <c r="CI70" s="141">
        <v>0</v>
      </c>
      <c r="CJ70" s="142">
        <v>0</v>
      </c>
      <c r="CK70" s="142">
        <v>0</v>
      </c>
      <c r="CL70" s="142">
        <v>0</v>
      </c>
      <c r="CM70" s="142">
        <v>0</v>
      </c>
      <c r="CN70" s="179">
        <v>0</v>
      </c>
      <c r="CO70" s="142">
        <v>0</v>
      </c>
    </row>
    <row r="71" spans="1:93" ht="16.5" customHeight="1">
      <c r="A71" s="222"/>
      <c r="B71" s="220" t="s">
        <v>308</v>
      </c>
      <c r="C71" s="220"/>
      <c r="D71" s="220"/>
      <c r="E71" s="136" t="s">
        <v>309</v>
      </c>
      <c r="F71" s="136" t="s">
        <v>209</v>
      </c>
      <c r="G71" s="139">
        <v>2025</v>
      </c>
      <c r="H71" s="136" t="s">
        <v>210</v>
      </c>
      <c r="I71" s="221"/>
      <c r="J71" s="221"/>
      <c r="K71" s="140"/>
      <c r="L71" s="141"/>
      <c r="M71" s="141"/>
      <c r="N71" s="141"/>
      <c r="O71" s="141"/>
      <c r="P71" s="141"/>
      <c r="Q71" s="141"/>
      <c r="R71" s="142"/>
      <c r="S71" s="142"/>
      <c r="T71" s="142"/>
      <c r="U71" s="142"/>
      <c r="V71" s="179"/>
      <c r="W71" s="142"/>
      <c r="X71" s="141">
        <v>332078</v>
      </c>
      <c r="Y71" s="140">
        <v>4287739.7170000002</v>
      </c>
      <c r="Z71" s="141">
        <v>0</v>
      </c>
      <c r="AA71" s="141">
        <v>257264383</v>
      </c>
      <c r="AB71" s="141">
        <v>1860236384</v>
      </c>
      <c r="AC71" s="141">
        <v>1860295090</v>
      </c>
      <c r="AD71" s="141">
        <v>1548133717</v>
      </c>
      <c r="AE71" s="141">
        <v>312102667</v>
      </c>
      <c r="AF71" s="142">
        <v>10358.499</v>
      </c>
      <c r="AG71" s="142">
        <v>1864.5250000000001</v>
      </c>
      <c r="AH71" s="142">
        <v>8079546.0669999998</v>
      </c>
      <c r="AI71" s="142">
        <v>1454314.2919999999</v>
      </c>
      <c r="AJ71" s="179">
        <v>9533860.3589999992</v>
      </c>
      <c r="AK71" s="142">
        <v>12223.022999999999</v>
      </c>
      <c r="AL71" s="141">
        <v>1348</v>
      </c>
      <c r="AM71" s="140">
        <v>0</v>
      </c>
      <c r="AN71" s="141">
        <v>0</v>
      </c>
      <c r="AO71" s="141">
        <v>0</v>
      </c>
      <c r="AP71" s="141">
        <v>0</v>
      </c>
      <c r="AQ71" s="141">
        <v>0</v>
      </c>
      <c r="AR71" s="141">
        <v>0</v>
      </c>
      <c r="AS71" s="141">
        <v>0</v>
      </c>
      <c r="AT71" s="142">
        <v>7.6859999999999999</v>
      </c>
      <c r="AU71" s="142">
        <v>1.383</v>
      </c>
      <c r="AV71" s="142">
        <v>5995.2489999999998</v>
      </c>
      <c r="AW71" s="142">
        <v>1078.7660000000001</v>
      </c>
      <c r="AX71" s="179">
        <v>7074.0159999999996</v>
      </c>
      <c r="AY71" s="142">
        <v>9.0690000000000008</v>
      </c>
      <c r="AZ71" s="141">
        <v>455</v>
      </c>
      <c r="BA71" s="140">
        <v>852.63300000000004</v>
      </c>
      <c r="BB71" s="141">
        <v>1140</v>
      </c>
      <c r="BC71" s="141">
        <v>51158</v>
      </c>
      <c r="BD71" s="141">
        <v>51158</v>
      </c>
      <c r="BE71" s="141">
        <v>51158</v>
      </c>
      <c r="BF71" s="141">
        <v>0</v>
      </c>
      <c r="BG71" s="141">
        <v>0</v>
      </c>
      <c r="BH71" s="142">
        <v>103.503</v>
      </c>
      <c r="BI71" s="142">
        <v>18.631</v>
      </c>
      <c r="BJ71" s="142">
        <v>80731.448999999993</v>
      </c>
      <c r="BK71" s="142">
        <v>14531.67</v>
      </c>
      <c r="BL71" s="179">
        <v>95263.119000000006</v>
      </c>
      <c r="BM71" s="142">
        <v>122.133</v>
      </c>
      <c r="BN71" s="141">
        <v>8614</v>
      </c>
      <c r="BO71" s="140">
        <v>0</v>
      </c>
      <c r="BP71" s="141">
        <v>0</v>
      </c>
      <c r="BQ71" s="141">
        <v>0</v>
      </c>
      <c r="BR71" s="141">
        <v>0</v>
      </c>
      <c r="BS71" s="141">
        <v>0</v>
      </c>
      <c r="BT71" s="141">
        <v>0</v>
      </c>
      <c r="BU71" s="141">
        <v>0</v>
      </c>
      <c r="BV71" s="142">
        <v>0</v>
      </c>
      <c r="BW71" s="142">
        <v>0</v>
      </c>
      <c r="BX71" s="142">
        <v>0</v>
      </c>
      <c r="BY71" s="142">
        <v>0</v>
      </c>
      <c r="BZ71" s="142">
        <v>0</v>
      </c>
      <c r="CA71" s="142">
        <v>0</v>
      </c>
      <c r="CB71" s="141">
        <v>270</v>
      </c>
      <c r="CC71" s="140">
        <v>528.08299999999997</v>
      </c>
      <c r="CD71" s="141">
        <v>701</v>
      </c>
      <c r="CE71" s="141">
        <v>31685</v>
      </c>
      <c r="CF71" s="141">
        <v>31685</v>
      </c>
      <c r="CG71" s="141">
        <v>31685</v>
      </c>
      <c r="CH71" s="141">
        <v>0</v>
      </c>
      <c r="CI71" s="141">
        <v>0</v>
      </c>
      <c r="CJ71" s="142">
        <v>0</v>
      </c>
      <c r="CK71" s="142">
        <v>0</v>
      </c>
      <c r="CL71" s="142">
        <v>0</v>
      </c>
      <c r="CM71" s="142">
        <v>0</v>
      </c>
      <c r="CN71" s="179">
        <v>0</v>
      </c>
      <c r="CO71" s="142">
        <v>0</v>
      </c>
    </row>
    <row r="72" spans="1:93" ht="16.5" customHeight="1">
      <c r="A72" s="222"/>
      <c r="B72" s="220" t="s">
        <v>310</v>
      </c>
      <c r="C72" s="220"/>
      <c r="D72" s="220"/>
      <c r="E72" s="136" t="s">
        <v>311</v>
      </c>
      <c r="F72" s="136" t="s">
        <v>209</v>
      </c>
      <c r="G72" s="139">
        <v>2025</v>
      </c>
      <c r="H72" s="136" t="s">
        <v>210</v>
      </c>
      <c r="I72" s="221"/>
      <c r="J72" s="221"/>
      <c r="K72" s="140"/>
      <c r="L72" s="141"/>
      <c r="M72" s="141"/>
      <c r="N72" s="141"/>
      <c r="O72" s="141"/>
      <c r="P72" s="141"/>
      <c r="Q72" s="141"/>
      <c r="R72" s="142"/>
      <c r="S72" s="142"/>
      <c r="T72" s="142"/>
      <c r="U72" s="142"/>
      <c r="V72" s="179"/>
      <c r="W72" s="142"/>
      <c r="X72" s="141">
        <v>391725</v>
      </c>
      <c r="Y72" s="140">
        <v>6552493.4500000002</v>
      </c>
      <c r="Z72" s="141">
        <v>0</v>
      </c>
      <c r="AA72" s="141">
        <v>393149607</v>
      </c>
      <c r="AB72" s="141">
        <v>36298661</v>
      </c>
      <c r="AC72" s="141">
        <v>36307904</v>
      </c>
      <c r="AD72" s="141">
        <v>28221532</v>
      </c>
      <c r="AE72" s="141">
        <v>8077129</v>
      </c>
      <c r="AF72" s="142">
        <v>75.808999999999997</v>
      </c>
      <c r="AG72" s="142">
        <v>13.644</v>
      </c>
      <c r="AH72" s="142">
        <v>59130.474999999999</v>
      </c>
      <c r="AI72" s="142">
        <v>10641.928</v>
      </c>
      <c r="AJ72" s="179">
        <v>69772.403999999995</v>
      </c>
      <c r="AK72" s="142">
        <v>89.453000000000003</v>
      </c>
      <c r="AL72" s="141">
        <v>2807</v>
      </c>
      <c r="AM72" s="140">
        <v>0</v>
      </c>
      <c r="AN72" s="141">
        <v>0</v>
      </c>
      <c r="AO72" s="141">
        <v>0</v>
      </c>
      <c r="AP72" s="141">
        <v>0</v>
      </c>
      <c r="AQ72" s="141">
        <v>0</v>
      </c>
      <c r="AR72" s="141">
        <v>0</v>
      </c>
      <c r="AS72" s="141">
        <v>0</v>
      </c>
      <c r="AT72" s="142">
        <v>20.004999999999999</v>
      </c>
      <c r="AU72" s="142">
        <v>3.601</v>
      </c>
      <c r="AV72" s="142">
        <v>15604.120999999999</v>
      </c>
      <c r="AW72" s="142">
        <v>2809.0479999999998</v>
      </c>
      <c r="AX72" s="179">
        <v>18413.169999999998</v>
      </c>
      <c r="AY72" s="142">
        <v>23.606999999999999</v>
      </c>
      <c r="AZ72" s="141">
        <v>404</v>
      </c>
      <c r="BA72" s="140">
        <v>817.41700000000003</v>
      </c>
      <c r="BB72" s="141">
        <v>1089</v>
      </c>
      <c r="BC72" s="141">
        <v>49045</v>
      </c>
      <c r="BD72" s="141">
        <v>49045</v>
      </c>
      <c r="BE72" s="141">
        <v>49045</v>
      </c>
      <c r="BF72" s="141">
        <v>0</v>
      </c>
      <c r="BG72" s="141">
        <v>0</v>
      </c>
      <c r="BH72" s="142">
        <v>76.403000000000006</v>
      </c>
      <c r="BI72" s="142">
        <v>13.753</v>
      </c>
      <c r="BJ72" s="142">
        <v>59593.701999999997</v>
      </c>
      <c r="BK72" s="142">
        <v>10726.861999999999</v>
      </c>
      <c r="BL72" s="179">
        <v>70320.563999999998</v>
      </c>
      <c r="BM72" s="142">
        <v>90.155000000000001</v>
      </c>
      <c r="BN72" s="141">
        <v>24758</v>
      </c>
      <c r="BO72" s="140">
        <v>0</v>
      </c>
      <c r="BP72" s="141">
        <v>0</v>
      </c>
      <c r="BQ72" s="141">
        <v>0</v>
      </c>
      <c r="BR72" s="141">
        <v>0</v>
      </c>
      <c r="BS72" s="141">
        <v>0</v>
      </c>
      <c r="BT72" s="141">
        <v>0</v>
      </c>
      <c r="BU72" s="141">
        <v>0</v>
      </c>
      <c r="BV72" s="142">
        <v>0</v>
      </c>
      <c r="BW72" s="142">
        <v>0</v>
      </c>
      <c r="BX72" s="142">
        <v>0</v>
      </c>
      <c r="BY72" s="142">
        <v>0</v>
      </c>
      <c r="BZ72" s="142">
        <v>0</v>
      </c>
      <c r="CA72" s="142">
        <v>0</v>
      </c>
      <c r="CB72" s="141">
        <v>519</v>
      </c>
      <c r="CC72" s="140">
        <v>678.01700000000005</v>
      </c>
      <c r="CD72" s="141">
        <v>1013</v>
      </c>
      <c r="CE72" s="141">
        <v>40681</v>
      </c>
      <c r="CF72" s="141">
        <v>40681</v>
      </c>
      <c r="CG72" s="141">
        <v>40681</v>
      </c>
      <c r="CH72" s="141">
        <v>0</v>
      </c>
      <c r="CI72" s="141">
        <v>0</v>
      </c>
      <c r="CJ72" s="142">
        <v>0</v>
      </c>
      <c r="CK72" s="142">
        <v>0</v>
      </c>
      <c r="CL72" s="142">
        <v>0</v>
      </c>
      <c r="CM72" s="142">
        <v>0</v>
      </c>
      <c r="CN72" s="179">
        <v>0</v>
      </c>
      <c r="CO72" s="142">
        <v>0</v>
      </c>
    </row>
    <row r="73" spans="1:93" ht="16.5" customHeight="1">
      <c r="A73" s="222"/>
      <c r="B73" s="220" t="s">
        <v>312</v>
      </c>
      <c r="C73" s="220"/>
      <c r="D73" s="220"/>
      <c r="E73" s="136" t="s">
        <v>313</v>
      </c>
      <c r="F73" s="136" t="s">
        <v>209</v>
      </c>
      <c r="G73" s="139">
        <v>2025</v>
      </c>
      <c r="H73" s="136" t="s">
        <v>210</v>
      </c>
      <c r="I73" s="221">
        <v>378</v>
      </c>
      <c r="J73" s="221"/>
      <c r="K73" s="140">
        <v>13564.717000000001</v>
      </c>
      <c r="L73" s="141">
        <v>0</v>
      </c>
      <c r="M73" s="141">
        <v>813883</v>
      </c>
      <c r="N73" s="141">
        <v>279505</v>
      </c>
      <c r="O73" s="141">
        <v>279678</v>
      </c>
      <c r="P73" s="141">
        <v>232659</v>
      </c>
      <c r="Q73" s="141">
        <v>46846</v>
      </c>
      <c r="R73" s="142">
        <v>1.8380000000000001</v>
      </c>
      <c r="S73" s="142">
        <v>0.33100000000000002</v>
      </c>
      <c r="T73" s="142">
        <v>1433.277</v>
      </c>
      <c r="U73" s="142">
        <v>257.97800000000001</v>
      </c>
      <c r="V73" s="179">
        <v>1691.2550000000001</v>
      </c>
      <c r="W73" s="142">
        <v>2.1680000000000001</v>
      </c>
      <c r="X73" s="141">
        <v>1197</v>
      </c>
      <c r="Y73" s="140">
        <v>2299.9</v>
      </c>
      <c r="Z73" s="141">
        <v>0</v>
      </c>
      <c r="AA73" s="141">
        <v>137994</v>
      </c>
      <c r="AB73" s="141">
        <v>4693</v>
      </c>
      <c r="AC73" s="141">
        <v>5386</v>
      </c>
      <c r="AD73" s="141">
        <v>1705</v>
      </c>
      <c r="AE73" s="141">
        <v>2988</v>
      </c>
      <c r="AF73" s="142">
        <v>3.5000000000000003E-2</v>
      </c>
      <c r="AG73" s="142">
        <v>6.0000000000000001E-3</v>
      </c>
      <c r="AH73" s="142">
        <v>27.597999999999999</v>
      </c>
      <c r="AI73" s="142">
        <v>5.0039999999999996</v>
      </c>
      <c r="AJ73" s="179">
        <v>32.603000000000002</v>
      </c>
      <c r="AK73" s="142">
        <v>4.2000000000000003E-2</v>
      </c>
      <c r="AL73" s="141">
        <v>64</v>
      </c>
      <c r="AM73" s="140">
        <v>0</v>
      </c>
      <c r="AN73" s="141">
        <v>0</v>
      </c>
      <c r="AO73" s="141">
        <v>0</v>
      </c>
      <c r="AP73" s="141">
        <v>0</v>
      </c>
      <c r="AQ73" s="141">
        <v>0</v>
      </c>
      <c r="AR73" s="141">
        <v>0</v>
      </c>
      <c r="AS73" s="141">
        <v>0</v>
      </c>
      <c r="AT73" s="142">
        <v>1.0760000000000001</v>
      </c>
      <c r="AU73" s="142">
        <v>0.19400000000000001</v>
      </c>
      <c r="AV73" s="142">
        <v>839.64599999999996</v>
      </c>
      <c r="AW73" s="142">
        <v>151.15600000000001</v>
      </c>
      <c r="AX73" s="179">
        <v>990.80200000000002</v>
      </c>
      <c r="AY73" s="142">
        <v>1.27</v>
      </c>
      <c r="AZ73" s="141">
        <v>93</v>
      </c>
      <c r="BA73" s="140">
        <v>128.28299999999999</v>
      </c>
      <c r="BB73" s="141">
        <v>183</v>
      </c>
      <c r="BC73" s="141">
        <v>7697</v>
      </c>
      <c r="BD73" s="141">
        <v>7697</v>
      </c>
      <c r="BE73" s="141">
        <v>7697</v>
      </c>
      <c r="BF73" s="141">
        <v>0</v>
      </c>
      <c r="BG73" s="141">
        <v>0</v>
      </c>
      <c r="BH73" s="142">
        <v>28.66</v>
      </c>
      <c r="BI73" s="142">
        <v>5.1589999999999998</v>
      </c>
      <c r="BJ73" s="142">
        <v>22354.473000000002</v>
      </c>
      <c r="BK73" s="142">
        <v>4023.8090000000002</v>
      </c>
      <c r="BL73" s="179">
        <v>26378.282999999999</v>
      </c>
      <c r="BM73" s="142">
        <v>33.819000000000003</v>
      </c>
      <c r="BN73" s="141">
        <v>6148</v>
      </c>
      <c r="BO73" s="140">
        <v>0</v>
      </c>
      <c r="BP73" s="141">
        <v>0</v>
      </c>
      <c r="BQ73" s="141">
        <v>0</v>
      </c>
      <c r="BR73" s="141">
        <v>0</v>
      </c>
      <c r="BS73" s="141">
        <v>0</v>
      </c>
      <c r="BT73" s="141">
        <v>0</v>
      </c>
      <c r="BU73" s="141">
        <v>0</v>
      </c>
      <c r="BV73" s="142">
        <v>0</v>
      </c>
      <c r="BW73" s="142">
        <v>0</v>
      </c>
      <c r="BX73" s="142">
        <v>0</v>
      </c>
      <c r="BY73" s="142">
        <v>0</v>
      </c>
      <c r="BZ73" s="142">
        <v>0</v>
      </c>
      <c r="CA73" s="142">
        <v>0</v>
      </c>
      <c r="CB73" s="141">
        <v>127</v>
      </c>
      <c r="CC73" s="140">
        <v>120.9</v>
      </c>
      <c r="CD73" s="141">
        <v>208</v>
      </c>
      <c r="CE73" s="141">
        <v>7254</v>
      </c>
      <c r="CF73" s="141">
        <v>7254</v>
      </c>
      <c r="CG73" s="141">
        <v>7254</v>
      </c>
      <c r="CH73" s="141">
        <v>0</v>
      </c>
      <c r="CI73" s="141">
        <v>0</v>
      </c>
      <c r="CJ73" s="142">
        <v>0</v>
      </c>
      <c r="CK73" s="142">
        <v>0</v>
      </c>
      <c r="CL73" s="142">
        <v>0</v>
      </c>
      <c r="CM73" s="142">
        <v>0</v>
      </c>
      <c r="CN73" s="179">
        <v>0</v>
      </c>
      <c r="CO73" s="142">
        <v>0</v>
      </c>
    </row>
    <row r="74" spans="1:93" ht="16.5" customHeight="1">
      <c r="A74" s="222"/>
      <c r="B74" s="220" t="s">
        <v>314</v>
      </c>
      <c r="C74" s="220"/>
      <c r="D74" s="220"/>
      <c r="E74" s="136" t="s">
        <v>315</v>
      </c>
      <c r="F74" s="136" t="s">
        <v>209</v>
      </c>
      <c r="G74" s="139">
        <v>2025</v>
      </c>
      <c r="H74" s="136" t="s">
        <v>210</v>
      </c>
      <c r="I74" s="221">
        <v>13</v>
      </c>
      <c r="J74" s="221"/>
      <c r="K74" s="140">
        <v>4.2830000000000004</v>
      </c>
      <c r="L74" s="141">
        <v>0</v>
      </c>
      <c r="M74" s="141">
        <v>257</v>
      </c>
      <c r="N74" s="141">
        <v>14</v>
      </c>
      <c r="O74" s="141">
        <v>23</v>
      </c>
      <c r="P74" s="141">
        <v>5</v>
      </c>
      <c r="Q74" s="141">
        <v>10</v>
      </c>
      <c r="R74" s="142">
        <v>0</v>
      </c>
      <c r="S74" s="142">
        <v>0</v>
      </c>
      <c r="T74" s="142">
        <v>0.11799999999999999</v>
      </c>
      <c r="U74" s="142">
        <v>1.7999999999999999E-2</v>
      </c>
      <c r="V74" s="179">
        <v>0.13600000000000001</v>
      </c>
      <c r="W74" s="142">
        <v>0</v>
      </c>
      <c r="X74" s="141">
        <v>4813</v>
      </c>
      <c r="Y74" s="140">
        <v>205144.717</v>
      </c>
      <c r="Z74" s="141">
        <v>0</v>
      </c>
      <c r="AA74" s="141">
        <v>12308683</v>
      </c>
      <c r="AB74" s="141">
        <v>141412</v>
      </c>
      <c r="AC74" s="141">
        <v>143393</v>
      </c>
      <c r="AD74" s="141">
        <v>97035</v>
      </c>
      <c r="AE74" s="141">
        <v>44377</v>
      </c>
      <c r="AF74" s="142">
        <v>0.94199999999999995</v>
      </c>
      <c r="AG74" s="142">
        <v>0.16900000000000001</v>
      </c>
      <c r="AH74" s="142">
        <v>735.01499999999999</v>
      </c>
      <c r="AI74" s="142">
        <v>131.87899999999999</v>
      </c>
      <c r="AJ74" s="179">
        <v>866.89300000000003</v>
      </c>
      <c r="AK74" s="142">
        <v>1.111</v>
      </c>
      <c r="AL74" s="141">
        <v>3758</v>
      </c>
      <c r="AM74" s="140">
        <v>0</v>
      </c>
      <c r="AN74" s="141">
        <v>0</v>
      </c>
      <c r="AO74" s="141">
        <v>0</v>
      </c>
      <c r="AP74" s="141">
        <v>0</v>
      </c>
      <c r="AQ74" s="141">
        <v>0</v>
      </c>
      <c r="AR74" s="141">
        <v>0</v>
      </c>
      <c r="AS74" s="141">
        <v>0</v>
      </c>
      <c r="AT74" s="142">
        <v>94.811000000000007</v>
      </c>
      <c r="AU74" s="142">
        <v>17.065000000000001</v>
      </c>
      <c r="AV74" s="142">
        <v>73951.494999999995</v>
      </c>
      <c r="AW74" s="142">
        <v>13310.624</v>
      </c>
      <c r="AX74" s="179">
        <v>87262.12</v>
      </c>
      <c r="AY74" s="142">
        <v>111.876</v>
      </c>
      <c r="AZ74" s="141">
        <v>743</v>
      </c>
      <c r="BA74" s="140">
        <v>1277.5</v>
      </c>
      <c r="BB74" s="141">
        <v>1753</v>
      </c>
      <c r="BC74" s="141">
        <v>76650</v>
      </c>
      <c r="BD74" s="141">
        <v>76650</v>
      </c>
      <c r="BE74" s="141">
        <v>76650</v>
      </c>
      <c r="BF74" s="141">
        <v>0</v>
      </c>
      <c r="BG74" s="141">
        <v>0</v>
      </c>
      <c r="BH74" s="142">
        <v>295.08300000000003</v>
      </c>
      <c r="BI74" s="142">
        <v>53.115000000000002</v>
      </c>
      <c r="BJ74" s="142">
        <v>230162.217</v>
      </c>
      <c r="BK74" s="142">
        <v>41429.199000000001</v>
      </c>
      <c r="BL74" s="179">
        <v>271591.41600000003</v>
      </c>
      <c r="BM74" s="142">
        <v>348.19799999999998</v>
      </c>
      <c r="BN74" s="141">
        <v>27331</v>
      </c>
      <c r="BO74" s="140">
        <v>0</v>
      </c>
      <c r="BP74" s="141">
        <v>0</v>
      </c>
      <c r="BQ74" s="141">
        <v>0</v>
      </c>
      <c r="BR74" s="141">
        <v>0</v>
      </c>
      <c r="BS74" s="141">
        <v>0</v>
      </c>
      <c r="BT74" s="141">
        <v>0</v>
      </c>
      <c r="BU74" s="141">
        <v>0</v>
      </c>
      <c r="BV74" s="142">
        <v>0</v>
      </c>
      <c r="BW74" s="142">
        <v>0</v>
      </c>
      <c r="BX74" s="142">
        <v>0</v>
      </c>
      <c r="BY74" s="142">
        <v>0</v>
      </c>
      <c r="BZ74" s="142">
        <v>0</v>
      </c>
      <c r="CA74" s="142">
        <v>0</v>
      </c>
      <c r="CB74" s="141">
        <v>678</v>
      </c>
      <c r="CC74" s="140">
        <v>885.61699999999996</v>
      </c>
      <c r="CD74" s="141">
        <v>1332</v>
      </c>
      <c r="CE74" s="141">
        <v>53137</v>
      </c>
      <c r="CF74" s="141">
        <v>53137</v>
      </c>
      <c r="CG74" s="141">
        <v>53137</v>
      </c>
      <c r="CH74" s="141">
        <v>0</v>
      </c>
      <c r="CI74" s="141">
        <v>0</v>
      </c>
      <c r="CJ74" s="142">
        <v>0</v>
      </c>
      <c r="CK74" s="142">
        <v>0</v>
      </c>
      <c r="CL74" s="142">
        <v>0</v>
      </c>
      <c r="CM74" s="142">
        <v>0</v>
      </c>
      <c r="CN74" s="179">
        <v>0</v>
      </c>
      <c r="CO74" s="142">
        <v>0</v>
      </c>
    </row>
    <row r="75" spans="1:93" ht="16.5" customHeight="1">
      <c r="A75" s="222"/>
      <c r="B75" s="220" t="s">
        <v>316</v>
      </c>
      <c r="C75" s="220"/>
      <c r="D75" s="220"/>
      <c r="E75" s="136" t="s">
        <v>317</v>
      </c>
      <c r="F75" s="136" t="s">
        <v>209</v>
      </c>
      <c r="G75" s="139">
        <v>2025</v>
      </c>
      <c r="H75" s="136" t="s">
        <v>210</v>
      </c>
      <c r="I75" s="221"/>
      <c r="J75" s="221"/>
      <c r="K75" s="140"/>
      <c r="L75" s="141"/>
      <c r="M75" s="141"/>
      <c r="N75" s="141"/>
      <c r="O75" s="141"/>
      <c r="P75" s="141"/>
      <c r="Q75" s="141"/>
      <c r="R75" s="142"/>
      <c r="S75" s="142"/>
      <c r="T75" s="142"/>
      <c r="U75" s="142"/>
      <c r="V75" s="179"/>
      <c r="W75" s="142"/>
      <c r="X75" s="141"/>
      <c r="Y75" s="140"/>
      <c r="Z75" s="141"/>
      <c r="AA75" s="141"/>
      <c r="AB75" s="141"/>
      <c r="AC75" s="141"/>
      <c r="AD75" s="141"/>
      <c r="AE75" s="141"/>
      <c r="AF75" s="142"/>
      <c r="AG75" s="142"/>
      <c r="AH75" s="142"/>
      <c r="AI75" s="142"/>
      <c r="AJ75" s="179"/>
      <c r="AK75" s="142"/>
      <c r="AL75" s="141">
        <v>37</v>
      </c>
      <c r="AM75" s="140">
        <v>0</v>
      </c>
      <c r="AN75" s="141">
        <v>0</v>
      </c>
      <c r="AO75" s="141">
        <v>0</v>
      </c>
      <c r="AP75" s="141">
        <v>0</v>
      </c>
      <c r="AQ75" s="141">
        <v>0</v>
      </c>
      <c r="AR75" s="141">
        <v>0</v>
      </c>
      <c r="AS75" s="141">
        <v>0</v>
      </c>
      <c r="AT75" s="142">
        <v>0.26400000000000001</v>
      </c>
      <c r="AU75" s="142">
        <v>4.7E-2</v>
      </c>
      <c r="AV75" s="142">
        <v>205.68299999999999</v>
      </c>
      <c r="AW75" s="142">
        <v>37.027000000000001</v>
      </c>
      <c r="AX75" s="179">
        <v>242.71</v>
      </c>
      <c r="AY75" s="142">
        <v>0.311</v>
      </c>
      <c r="AZ75" s="141">
        <v>34</v>
      </c>
      <c r="BA75" s="140">
        <v>129.667</v>
      </c>
      <c r="BB75" s="141">
        <v>150</v>
      </c>
      <c r="BC75" s="141">
        <v>7780</v>
      </c>
      <c r="BD75" s="141">
        <v>7780</v>
      </c>
      <c r="BE75" s="141">
        <v>7780</v>
      </c>
      <c r="BF75" s="141">
        <v>0</v>
      </c>
      <c r="BG75" s="141">
        <v>0</v>
      </c>
      <c r="BH75" s="142">
        <v>29.786000000000001</v>
      </c>
      <c r="BI75" s="142">
        <v>5.3609999999999998</v>
      </c>
      <c r="BJ75" s="142">
        <v>23232.748</v>
      </c>
      <c r="BK75" s="142">
        <v>4181.893</v>
      </c>
      <c r="BL75" s="179">
        <v>27414.641</v>
      </c>
      <c r="BM75" s="142">
        <v>35.146999999999998</v>
      </c>
      <c r="BN75" s="141"/>
      <c r="BO75" s="140"/>
      <c r="BP75" s="141"/>
      <c r="BQ75" s="141"/>
      <c r="BR75" s="141"/>
      <c r="BS75" s="141"/>
      <c r="BT75" s="141"/>
      <c r="BU75" s="141"/>
      <c r="BV75" s="142"/>
      <c r="BW75" s="142"/>
      <c r="BX75" s="142"/>
      <c r="BY75" s="142"/>
      <c r="BZ75" s="142"/>
      <c r="CA75" s="142"/>
      <c r="CB75" s="141">
        <v>9</v>
      </c>
      <c r="CC75" s="140">
        <v>84.417000000000002</v>
      </c>
      <c r="CD75" s="141">
        <v>90</v>
      </c>
      <c r="CE75" s="141">
        <v>5065</v>
      </c>
      <c r="CF75" s="141">
        <v>5065</v>
      </c>
      <c r="CG75" s="141">
        <v>5065</v>
      </c>
      <c r="CH75" s="141">
        <v>0</v>
      </c>
      <c r="CI75" s="141">
        <v>0</v>
      </c>
      <c r="CJ75" s="142">
        <v>0</v>
      </c>
      <c r="CK75" s="142">
        <v>0</v>
      </c>
      <c r="CL75" s="142">
        <v>0</v>
      </c>
      <c r="CM75" s="142">
        <v>0</v>
      </c>
      <c r="CN75" s="179">
        <v>0</v>
      </c>
      <c r="CO75" s="142">
        <v>0</v>
      </c>
    </row>
    <row r="76" spans="1:93" ht="16.5" customHeight="1">
      <c r="A76" s="222"/>
      <c r="B76" s="220" t="s">
        <v>318</v>
      </c>
      <c r="C76" s="220"/>
      <c r="D76" s="220"/>
      <c r="E76" s="136" t="s">
        <v>319</v>
      </c>
      <c r="F76" s="136" t="s">
        <v>209</v>
      </c>
      <c r="G76" s="139">
        <v>2025</v>
      </c>
      <c r="H76" s="136" t="s">
        <v>210</v>
      </c>
      <c r="I76" s="221"/>
      <c r="J76" s="221"/>
      <c r="K76" s="140"/>
      <c r="L76" s="141"/>
      <c r="M76" s="141"/>
      <c r="N76" s="141"/>
      <c r="O76" s="141"/>
      <c r="P76" s="141"/>
      <c r="Q76" s="141"/>
      <c r="R76" s="142"/>
      <c r="S76" s="142"/>
      <c r="T76" s="142"/>
      <c r="U76" s="142"/>
      <c r="V76" s="179"/>
      <c r="W76" s="142"/>
      <c r="X76" s="141">
        <v>417992</v>
      </c>
      <c r="Y76" s="140">
        <v>8134838.7000000002</v>
      </c>
      <c r="Z76" s="141">
        <v>0</v>
      </c>
      <c r="AA76" s="141">
        <v>488090322</v>
      </c>
      <c r="AB76" s="141">
        <v>628384</v>
      </c>
      <c r="AC76" s="141">
        <v>630325</v>
      </c>
      <c r="AD76" s="141">
        <v>312587</v>
      </c>
      <c r="AE76" s="141">
        <v>315797</v>
      </c>
      <c r="AF76" s="142">
        <v>3.1059999999999999</v>
      </c>
      <c r="AG76" s="142">
        <v>0.55900000000000005</v>
      </c>
      <c r="AH76" s="142">
        <v>2422.7739999999999</v>
      </c>
      <c r="AI76" s="142">
        <v>436.25400000000002</v>
      </c>
      <c r="AJ76" s="179">
        <v>2859.029</v>
      </c>
      <c r="AK76" s="142">
        <v>3.665</v>
      </c>
      <c r="AL76" s="141">
        <v>2</v>
      </c>
      <c r="AM76" s="140">
        <v>0</v>
      </c>
      <c r="AN76" s="141">
        <v>0</v>
      </c>
      <c r="AO76" s="141">
        <v>0</v>
      </c>
      <c r="AP76" s="141">
        <v>0</v>
      </c>
      <c r="AQ76" s="141">
        <v>0</v>
      </c>
      <c r="AR76" s="141">
        <v>0</v>
      </c>
      <c r="AS76" s="141">
        <v>0</v>
      </c>
      <c r="AT76" s="142">
        <v>1.4999999999999999E-2</v>
      </c>
      <c r="AU76" s="142">
        <v>3.0000000000000001E-3</v>
      </c>
      <c r="AV76" s="142">
        <v>11.808</v>
      </c>
      <c r="AW76" s="142">
        <v>2.125</v>
      </c>
      <c r="AX76" s="179">
        <v>13.932</v>
      </c>
      <c r="AY76" s="142">
        <v>1.7999999999999999E-2</v>
      </c>
      <c r="AZ76" s="141">
        <v>90</v>
      </c>
      <c r="BA76" s="140">
        <v>96.2</v>
      </c>
      <c r="BB76" s="141">
        <v>136</v>
      </c>
      <c r="BC76" s="141">
        <v>5772</v>
      </c>
      <c r="BD76" s="141">
        <v>5772</v>
      </c>
      <c r="BE76" s="141">
        <v>5772</v>
      </c>
      <c r="BF76" s="141">
        <v>0</v>
      </c>
      <c r="BG76" s="141">
        <v>0</v>
      </c>
      <c r="BH76" s="142">
        <v>19.643000000000001</v>
      </c>
      <c r="BI76" s="142">
        <v>3.536</v>
      </c>
      <c r="BJ76" s="142">
        <v>15321.513999999999</v>
      </c>
      <c r="BK76" s="142">
        <v>2757.873</v>
      </c>
      <c r="BL76" s="179">
        <v>18079.386999999999</v>
      </c>
      <c r="BM76" s="142">
        <v>23.178999999999998</v>
      </c>
      <c r="BN76" s="141">
        <v>31214</v>
      </c>
      <c r="BO76" s="140">
        <v>0</v>
      </c>
      <c r="BP76" s="141">
        <v>0</v>
      </c>
      <c r="BQ76" s="141">
        <v>0</v>
      </c>
      <c r="BR76" s="141">
        <v>0</v>
      </c>
      <c r="BS76" s="141">
        <v>0</v>
      </c>
      <c r="BT76" s="141">
        <v>0</v>
      </c>
      <c r="BU76" s="141">
        <v>0</v>
      </c>
      <c r="BV76" s="142">
        <v>0</v>
      </c>
      <c r="BW76" s="142">
        <v>0</v>
      </c>
      <c r="BX76" s="142">
        <v>0</v>
      </c>
      <c r="BY76" s="142">
        <v>0</v>
      </c>
      <c r="BZ76" s="142">
        <v>0</v>
      </c>
      <c r="CA76" s="142">
        <v>0</v>
      </c>
      <c r="CB76" s="141">
        <v>232</v>
      </c>
      <c r="CC76" s="140">
        <v>222.417</v>
      </c>
      <c r="CD76" s="141">
        <v>342</v>
      </c>
      <c r="CE76" s="141">
        <v>13345</v>
      </c>
      <c r="CF76" s="141">
        <v>13345</v>
      </c>
      <c r="CG76" s="141">
        <v>13345</v>
      </c>
      <c r="CH76" s="141">
        <v>0</v>
      </c>
      <c r="CI76" s="141">
        <v>0</v>
      </c>
      <c r="CJ76" s="142">
        <v>0</v>
      </c>
      <c r="CK76" s="142">
        <v>0</v>
      </c>
      <c r="CL76" s="142">
        <v>0</v>
      </c>
      <c r="CM76" s="142">
        <v>0</v>
      </c>
      <c r="CN76" s="179">
        <v>0</v>
      </c>
      <c r="CO76" s="142">
        <v>0</v>
      </c>
    </row>
    <row r="77" spans="1:93" ht="16.5" customHeight="1">
      <c r="A77" s="222"/>
      <c r="B77" s="220" t="s">
        <v>320</v>
      </c>
      <c r="C77" s="220"/>
      <c r="D77" s="220"/>
      <c r="E77" s="136" t="s">
        <v>321</v>
      </c>
      <c r="F77" s="136" t="s">
        <v>209</v>
      </c>
      <c r="G77" s="139">
        <v>2025</v>
      </c>
      <c r="H77" s="136" t="s">
        <v>210</v>
      </c>
      <c r="I77" s="221"/>
      <c r="J77" s="221"/>
      <c r="K77" s="140"/>
      <c r="L77" s="141"/>
      <c r="M77" s="141"/>
      <c r="N77" s="141"/>
      <c r="O77" s="141"/>
      <c r="P77" s="141"/>
      <c r="Q77" s="141"/>
      <c r="R77" s="142"/>
      <c r="S77" s="142"/>
      <c r="T77" s="142"/>
      <c r="U77" s="142"/>
      <c r="V77" s="179"/>
      <c r="W77" s="142"/>
      <c r="X77" s="141">
        <v>7</v>
      </c>
      <c r="Y77" s="140">
        <v>36.017000000000003</v>
      </c>
      <c r="Z77" s="141">
        <v>0</v>
      </c>
      <c r="AA77" s="141">
        <v>2161</v>
      </c>
      <c r="AB77" s="141">
        <v>5554</v>
      </c>
      <c r="AC77" s="141">
        <v>5558</v>
      </c>
      <c r="AD77" s="141">
        <v>4129</v>
      </c>
      <c r="AE77" s="141">
        <v>1425</v>
      </c>
      <c r="AF77" s="142">
        <v>5.7000000000000002E-2</v>
      </c>
      <c r="AG77" s="142">
        <v>0.01</v>
      </c>
      <c r="AH77" s="142">
        <v>44.363999999999997</v>
      </c>
      <c r="AI77" s="142">
        <v>7.9859999999999998</v>
      </c>
      <c r="AJ77" s="179">
        <v>52.348999999999997</v>
      </c>
      <c r="AK77" s="142">
        <v>6.7000000000000004E-2</v>
      </c>
      <c r="AL77" s="141"/>
      <c r="AM77" s="140"/>
      <c r="AN77" s="141"/>
      <c r="AO77" s="141"/>
      <c r="AP77" s="141"/>
      <c r="AQ77" s="141"/>
      <c r="AR77" s="141"/>
      <c r="AS77" s="141"/>
      <c r="AT77" s="142"/>
      <c r="AU77" s="142"/>
      <c r="AV77" s="142"/>
      <c r="AW77" s="142"/>
      <c r="AX77" s="179"/>
      <c r="AY77" s="142"/>
      <c r="AZ77" s="141"/>
      <c r="BA77" s="140"/>
      <c r="BB77" s="141"/>
      <c r="BC77" s="141"/>
      <c r="BD77" s="141"/>
      <c r="BE77" s="141"/>
      <c r="BF77" s="141"/>
      <c r="BG77" s="141"/>
      <c r="BH77" s="142"/>
      <c r="BI77" s="142"/>
      <c r="BJ77" s="142"/>
      <c r="BK77" s="142"/>
      <c r="BL77" s="179"/>
      <c r="BM77" s="142"/>
      <c r="BN77" s="141">
        <v>20</v>
      </c>
      <c r="BO77" s="140">
        <v>0</v>
      </c>
      <c r="BP77" s="141">
        <v>0</v>
      </c>
      <c r="BQ77" s="141">
        <v>0</v>
      </c>
      <c r="BR77" s="141">
        <v>0</v>
      </c>
      <c r="BS77" s="141">
        <v>0</v>
      </c>
      <c r="BT77" s="141">
        <v>0</v>
      </c>
      <c r="BU77" s="141">
        <v>0</v>
      </c>
      <c r="BV77" s="142">
        <v>0</v>
      </c>
      <c r="BW77" s="142">
        <v>0</v>
      </c>
      <c r="BX77" s="142">
        <v>0</v>
      </c>
      <c r="BY77" s="142">
        <v>0</v>
      </c>
      <c r="BZ77" s="142">
        <v>0</v>
      </c>
      <c r="CA77" s="142">
        <v>0</v>
      </c>
      <c r="CB77" s="141"/>
      <c r="CC77" s="140"/>
      <c r="CD77" s="141"/>
      <c r="CE77" s="141"/>
      <c r="CF77" s="141"/>
      <c r="CG77" s="141"/>
      <c r="CH77" s="141"/>
      <c r="CI77" s="141"/>
      <c r="CJ77" s="142"/>
      <c r="CK77" s="142"/>
      <c r="CL77" s="142"/>
      <c r="CM77" s="142"/>
      <c r="CN77" s="179"/>
      <c r="CO77" s="142"/>
    </row>
    <row r="78" spans="1:93" ht="16.5" customHeight="1">
      <c r="A78" s="222"/>
      <c r="B78" s="220" t="s">
        <v>322</v>
      </c>
      <c r="C78" s="220"/>
      <c r="D78" s="220"/>
      <c r="E78" s="136" t="s">
        <v>323</v>
      </c>
      <c r="F78" s="136" t="s">
        <v>209</v>
      </c>
      <c r="G78" s="139">
        <v>2025</v>
      </c>
      <c r="H78" s="136" t="s">
        <v>210</v>
      </c>
      <c r="I78" s="221"/>
      <c r="J78" s="221"/>
      <c r="K78" s="140"/>
      <c r="L78" s="141"/>
      <c r="M78" s="141"/>
      <c r="N78" s="141"/>
      <c r="O78" s="141"/>
      <c r="P78" s="141"/>
      <c r="Q78" s="141"/>
      <c r="R78" s="142"/>
      <c r="S78" s="142"/>
      <c r="T78" s="142"/>
      <c r="U78" s="142"/>
      <c r="V78" s="179"/>
      <c r="W78" s="142"/>
      <c r="X78" s="141">
        <v>1863395</v>
      </c>
      <c r="Y78" s="140">
        <v>27518522.217</v>
      </c>
      <c r="Z78" s="141">
        <v>0</v>
      </c>
      <c r="AA78" s="141">
        <v>1651111333</v>
      </c>
      <c r="AB78" s="141">
        <v>5293365</v>
      </c>
      <c r="AC78" s="141">
        <v>5822639</v>
      </c>
      <c r="AD78" s="141">
        <v>1662762</v>
      </c>
      <c r="AE78" s="141">
        <v>3630603</v>
      </c>
      <c r="AF78" s="142">
        <v>478.05900000000003</v>
      </c>
      <c r="AG78" s="142">
        <v>86.242999999999995</v>
      </c>
      <c r="AH78" s="142">
        <v>372882.16</v>
      </c>
      <c r="AI78" s="142">
        <v>67268.748999999996</v>
      </c>
      <c r="AJ78" s="179">
        <v>440150.908</v>
      </c>
      <c r="AK78" s="142">
        <v>564.30200000000002</v>
      </c>
      <c r="AL78" s="141">
        <v>7</v>
      </c>
      <c r="AM78" s="140">
        <v>0</v>
      </c>
      <c r="AN78" s="141">
        <v>0</v>
      </c>
      <c r="AO78" s="141">
        <v>0</v>
      </c>
      <c r="AP78" s="141">
        <v>0</v>
      </c>
      <c r="AQ78" s="141">
        <v>0</v>
      </c>
      <c r="AR78" s="141">
        <v>0</v>
      </c>
      <c r="AS78" s="141">
        <v>0</v>
      </c>
      <c r="AT78" s="142">
        <v>0.29399999999999998</v>
      </c>
      <c r="AU78" s="142">
        <v>5.2999999999999999E-2</v>
      </c>
      <c r="AV78" s="142">
        <v>229.58500000000001</v>
      </c>
      <c r="AW78" s="142">
        <v>41.326000000000001</v>
      </c>
      <c r="AX78" s="179">
        <v>270.91199999999998</v>
      </c>
      <c r="AY78" s="142">
        <v>0.34699999999999998</v>
      </c>
      <c r="AZ78" s="141"/>
      <c r="BA78" s="140"/>
      <c r="BB78" s="141"/>
      <c r="BC78" s="141"/>
      <c r="BD78" s="141"/>
      <c r="BE78" s="141"/>
      <c r="BF78" s="141"/>
      <c r="BG78" s="141"/>
      <c r="BH78" s="142"/>
      <c r="BI78" s="142"/>
      <c r="BJ78" s="142"/>
      <c r="BK78" s="142"/>
      <c r="BL78" s="179"/>
      <c r="BM78" s="142"/>
      <c r="BN78" s="141">
        <v>3993</v>
      </c>
      <c r="BO78" s="140">
        <v>0</v>
      </c>
      <c r="BP78" s="141">
        <v>0</v>
      </c>
      <c r="BQ78" s="141">
        <v>0</v>
      </c>
      <c r="BR78" s="141">
        <v>0</v>
      </c>
      <c r="BS78" s="141">
        <v>0</v>
      </c>
      <c r="BT78" s="141">
        <v>0</v>
      </c>
      <c r="BU78" s="141">
        <v>0</v>
      </c>
      <c r="BV78" s="142">
        <v>0</v>
      </c>
      <c r="BW78" s="142">
        <v>0</v>
      </c>
      <c r="BX78" s="142">
        <v>0</v>
      </c>
      <c r="BY78" s="142">
        <v>0</v>
      </c>
      <c r="BZ78" s="142">
        <v>0</v>
      </c>
      <c r="CA78" s="142">
        <v>0</v>
      </c>
      <c r="CB78" s="141"/>
      <c r="CC78" s="140"/>
      <c r="CD78" s="141"/>
      <c r="CE78" s="141"/>
      <c r="CF78" s="141"/>
      <c r="CG78" s="141"/>
      <c r="CH78" s="141"/>
      <c r="CI78" s="141"/>
      <c r="CJ78" s="142"/>
      <c r="CK78" s="142"/>
      <c r="CL78" s="142"/>
      <c r="CM78" s="142"/>
      <c r="CN78" s="179"/>
      <c r="CO78" s="142"/>
    </row>
    <row r="79" spans="1:93" ht="16.5" customHeight="1">
      <c r="A79" s="222"/>
      <c r="B79" s="220" t="s">
        <v>324</v>
      </c>
      <c r="C79" s="220"/>
      <c r="D79" s="220"/>
      <c r="E79" s="136" t="s">
        <v>325</v>
      </c>
      <c r="F79" s="136" t="s">
        <v>209</v>
      </c>
      <c r="G79" s="139">
        <v>2025</v>
      </c>
      <c r="H79" s="136" t="s">
        <v>210</v>
      </c>
      <c r="I79" s="221"/>
      <c r="J79" s="221"/>
      <c r="K79" s="140"/>
      <c r="L79" s="141"/>
      <c r="M79" s="141"/>
      <c r="N79" s="141"/>
      <c r="O79" s="141"/>
      <c r="P79" s="141"/>
      <c r="Q79" s="141"/>
      <c r="R79" s="142"/>
      <c r="S79" s="142"/>
      <c r="T79" s="142"/>
      <c r="U79" s="142"/>
      <c r="V79" s="179"/>
      <c r="W79" s="142"/>
      <c r="X79" s="141">
        <v>992</v>
      </c>
      <c r="Y79" s="140">
        <v>23822.133000000002</v>
      </c>
      <c r="Z79" s="141">
        <v>0</v>
      </c>
      <c r="AA79" s="141">
        <v>1429328</v>
      </c>
      <c r="AB79" s="141">
        <v>19365</v>
      </c>
      <c r="AC79" s="141">
        <v>19654</v>
      </c>
      <c r="AD79" s="141">
        <v>7167</v>
      </c>
      <c r="AE79" s="141">
        <v>12198</v>
      </c>
      <c r="AF79" s="142">
        <v>0.161</v>
      </c>
      <c r="AG79" s="142">
        <v>2.9000000000000001E-2</v>
      </c>
      <c r="AH79" s="142">
        <v>125.846</v>
      </c>
      <c r="AI79" s="142">
        <v>22.58</v>
      </c>
      <c r="AJ79" s="179">
        <v>148.42599999999999</v>
      </c>
      <c r="AK79" s="142">
        <v>0.19</v>
      </c>
      <c r="AL79" s="141">
        <v>22</v>
      </c>
      <c r="AM79" s="140">
        <v>0</v>
      </c>
      <c r="AN79" s="141">
        <v>0</v>
      </c>
      <c r="AO79" s="141">
        <v>0</v>
      </c>
      <c r="AP79" s="141">
        <v>0</v>
      </c>
      <c r="AQ79" s="141">
        <v>0</v>
      </c>
      <c r="AR79" s="141">
        <v>0</v>
      </c>
      <c r="AS79" s="141">
        <v>0</v>
      </c>
      <c r="AT79" s="142">
        <v>0.185</v>
      </c>
      <c r="AU79" s="142">
        <v>3.3000000000000002E-2</v>
      </c>
      <c r="AV79" s="142">
        <v>144.31399999999999</v>
      </c>
      <c r="AW79" s="142">
        <v>25.98</v>
      </c>
      <c r="AX79" s="179">
        <v>170.29400000000001</v>
      </c>
      <c r="AY79" s="142">
        <v>0.218</v>
      </c>
      <c r="AZ79" s="141">
        <v>6</v>
      </c>
      <c r="BA79" s="140">
        <v>12.7</v>
      </c>
      <c r="BB79" s="141">
        <v>17</v>
      </c>
      <c r="BC79" s="141">
        <v>762</v>
      </c>
      <c r="BD79" s="141">
        <v>762</v>
      </c>
      <c r="BE79" s="141">
        <v>762</v>
      </c>
      <c r="BF79" s="141">
        <v>0</v>
      </c>
      <c r="BG79" s="141">
        <v>0</v>
      </c>
      <c r="BH79" s="142">
        <v>0.33</v>
      </c>
      <c r="BI79" s="142">
        <v>5.8999999999999997E-2</v>
      </c>
      <c r="BJ79" s="142">
        <v>257.13499999999999</v>
      </c>
      <c r="BK79" s="142">
        <v>46.283999999999999</v>
      </c>
      <c r="BL79" s="179">
        <v>303.41800000000001</v>
      </c>
      <c r="BM79" s="142">
        <v>0.38900000000000001</v>
      </c>
      <c r="BN79" s="141">
        <v>1215</v>
      </c>
      <c r="BO79" s="140">
        <v>0</v>
      </c>
      <c r="BP79" s="141">
        <v>0</v>
      </c>
      <c r="BQ79" s="141">
        <v>0</v>
      </c>
      <c r="BR79" s="141">
        <v>0</v>
      </c>
      <c r="BS79" s="141">
        <v>0</v>
      </c>
      <c r="BT79" s="141">
        <v>0</v>
      </c>
      <c r="BU79" s="141">
        <v>0</v>
      </c>
      <c r="BV79" s="142">
        <v>0</v>
      </c>
      <c r="BW79" s="142">
        <v>0</v>
      </c>
      <c r="BX79" s="142">
        <v>0</v>
      </c>
      <c r="BY79" s="142">
        <v>0</v>
      </c>
      <c r="BZ79" s="142">
        <v>0</v>
      </c>
      <c r="CA79" s="142">
        <v>0</v>
      </c>
      <c r="CB79" s="141">
        <v>22</v>
      </c>
      <c r="CC79" s="140">
        <v>37.783000000000001</v>
      </c>
      <c r="CD79" s="141">
        <v>47</v>
      </c>
      <c r="CE79" s="141">
        <v>2267</v>
      </c>
      <c r="CF79" s="141">
        <v>2267</v>
      </c>
      <c r="CG79" s="141">
        <v>2267</v>
      </c>
      <c r="CH79" s="141">
        <v>0</v>
      </c>
      <c r="CI79" s="141">
        <v>0</v>
      </c>
      <c r="CJ79" s="142">
        <v>0</v>
      </c>
      <c r="CK79" s="142">
        <v>0</v>
      </c>
      <c r="CL79" s="142">
        <v>0</v>
      </c>
      <c r="CM79" s="142">
        <v>0</v>
      </c>
      <c r="CN79" s="179">
        <v>0</v>
      </c>
      <c r="CO79" s="142">
        <v>0</v>
      </c>
    </row>
    <row r="80" spans="1:93" ht="16.5" customHeight="1">
      <c r="A80" s="222"/>
      <c r="B80" s="220" t="s">
        <v>326</v>
      </c>
      <c r="C80" s="220"/>
      <c r="D80" s="220"/>
      <c r="E80" s="136" t="s">
        <v>327</v>
      </c>
      <c r="F80" s="136" t="s">
        <v>209</v>
      </c>
      <c r="G80" s="139">
        <v>2025</v>
      </c>
      <c r="H80" s="136" t="s">
        <v>210</v>
      </c>
      <c r="I80" s="221"/>
      <c r="J80" s="221"/>
      <c r="K80" s="140"/>
      <c r="L80" s="141"/>
      <c r="M80" s="141"/>
      <c r="N80" s="141"/>
      <c r="O80" s="141"/>
      <c r="P80" s="141"/>
      <c r="Q80" s="141"/>
      <c r="R80" s="142"/>
      <c r="S80" s="142"/>
      <c r="T80" s="142"/>
      <c r="U80" s="142"/>
      <c r="V80" s="179"/>
      <c r="W80" s="142"/>
      <c r="X80" s="141"/>
      <c r="Y80" s="140"/>
      <c r="Z80" s="141"/>
      <c r="AA80" s="141"/>
      <c r="AB80" s="141"/>
      <c r="AC80" s="141"/>
      <c r="AD80" s="141"/>
      <c r="AE80" s="141"/>
      <c r="AF80" s="142"/>
      <c r="AG80" s="142"/>
      <c r="AH80" s="142"/>
      <c r="AI80" s="142"/>
      <c r="AJ80" s="179"/>
      <c r="AK80" s="142"/>
      <c r="AL80" s="141"/>
      <c r="AM80" s="140"/>
      <c r="AN80" s="141"/>
      <c r="AO80" s="141"/>
      <c r="AP80" s="141"/>
      <c r="AQ80" s="141"/>
      <c r="AR80" s="141"/>
      <c r="AS80" s="141"/>
      <c r="AT80" s="142"/>
      <c r="AU80" s="142"/>
      <c r="AV80" s="142"/>
      <c r="AW80" s="142"/>
      <c r="AX80" s="179"/>
      <c r="AY80" s="142"/>
      <c r="AZ80" s="141"/>
      <c r="BA80" s="140"/>
      <c r="BB80" s="141"/>
      <c r="BC80" s="141"/>
      <c r="BD80" s="141"/>
      <c r="BE80" s="141"/>
      <c r="BF80" s="141"/>
      <c r="BG80" s="141"/>
      <c r="BH80" s="142"/>
      <c r="BI80" s="142"/>
      <c r="BJ80" s="142"/>
      <c r="BK80" s="142"/>
      <c r="BL80" s="179"/>
      <c r="BM80" s="142"/>
      <c r="BN80" s="141">
        <v>3</v>
      </c>
      <c r="BO80" s="140">
        <v>0</v>
      </c>
      <c r="BP80" s="141">
        <v>0</v>
      </c>
      <c r="BQ80" s="141">
        <v>0</v>
      </c>
      <c r="BR80" s="141">
        <v>0</v>
      </c>
      <c r="BS80" s="141">
        <v>0</v>
      </c>
      <c r="BT80" s="141">
        <v>0</v>
      </c>
      <c r="BU80" s="141">
        <v>0</v>
      </c>
      <c r="BV80" s="142">
        <v>0</v>
      </c>
      <c r="BW80" s="142">
        <v>0</v>
      </c>
      <c r="BX80" s="142">
        <v>0</v>
      </c>
      <c r="BY80" s="142">
        <v>0</v>
      </c>
      <c r="BZ80" s="142">
        <v>0</v>
      </c>
      <c r="CA80" s="142">
        <v>0</v>
      </c>
      <c r="CB80" s="141"/>
      <c r="CC80" s="140"/>
      <c r="CD80" s="141"/>
      <c r="CE80" s="141"/>
      <c r="CF80" s="141"/>
      <c r="CG80" s="141"/>
      <c r="CH80" s="141"/>
      <c r="CI80" s="141"/>
      <c r="CJ80" s="142"/>
      <c r="CK80" s="142"/>
      <c r="CL80" s="142"/>
      <c r="CM80" s="142"/>
      <c r="CN80" s="179"/>
      <c r="CO80" s="142"/>
    </row>
    <row r="81" spans="1:93" ht="16.5" customHeight="1">
      <c r="A81" s="222"/>
      <c r="B81" s="220" t="s">
        <v>328</v>
      </c>
      <c r="C81" s="220"/>
      <c r="D81" s="220"/>
      <c r="E81" s="136" t="s">
        <v>329</v>
      </c>
      <c r="F81" s="136" t="s">
        <v>209</v>
      </c>
      <c r="G81" s="139">
        <v>2025</v>
      </c>
      <c r="H81" s="136" t="s">
        <v>210</v>
      </c>
      <c r="I81" s="221"/>
      <c r="J81" s="221"/>
      <c r="K81" s="140"/>
      <c r="L81" s="141"/>
      <c r="M81" s="141"/>
      <c r="N81" s="141"/>
      <c r="O81" s="141"/>
      <c r="P81" s="141"/>
      <c r="Q81" s="141"/>
      <c r="R81" s="142"/>
      <c r="S81" s="142"/>
      <c r="T81" s="142"/>
      <c r="U81" s="142"/>
      <c r="V81" s="179"/>
      <c r="W81" s="142"/>
      <c r="X81" s="141">
        <v>49614</v>
      </c>
      <c r="Y81" s="140">
        <v>488075.66700000002</v>
      </c>
      <c r="Z81" s="141">
        <v>0</v>
      </c>
      <c r="AA81" s="141">
        <v>29284540</v>
      </c>
      <c r="AB81" s="141">
        <v>686640</v>
      </c>
      <c r="AC81" s="141">
        <v>690677</v>
      </c>
      <c r="AD81" s="141">
        <v>310416</v>
      </c>
      <c r="AE81" s="141">
        <v>376224</v>
      </c>
      <c r="AF81" s="142">
        <v>4.5369999999999999</v>
      </c>
      <c r="AG81" s="142">
        <v>0.81699999999999995</v>
      </c>
      <c r="AH81" s="142">
        <v>3539.2</v>
      </c>
      <c r="AI81" s="142">
        <v>637.01199999999994</v>
      </c>
      <c r="AJ81" s="179">
        <v>4176.2110000000002</v>
      </c>
      <c r="AK81" s="142">
        <v>5.3540000000000001</v>
      </c>
      <c r="AL81" s="141"/>
      <c r="AM81" s="140"/>
      <c r="AN81" s="141"/>
      <c r="AO81" s="141"/>
      <c r="AP81" s="141"/>
      <c r="AQ81" s="141"/>
      <c r="AR81" s="141"/>
      <c r="AS81" s="141"/>
      <c r="AT81" s="142"/>
      <c r="AU81" s="142"/>
      <c r="AV81" s="142"/>
      <c r="AW81" s="142"/>
      <c r="AX81" s="179"/>
      <c r="AY81" s="142"/>
      <c r="AZ81" s="141"/>
      <c r="BA81" s="140"/>
      <c r="BB81" s="141"/>
      <c r="BC81" s="141"/>
      <c r="BD81" s="141"/>
      <c r="BE81" s="141"/>
      <c r="BF81" s="141"/>
      <c r="BG81" s="141"/>
      <c r="BH81" s="142"/>
      <c r="BI81" s="142"/>
      <c r="BJ81" s="142"/>
      <c r="BK81" s="142"/>
      <c r="BL81" s="179"/>
      <c r="BM81" s="142"/>
      <c r="BN81" s="141"/>
      <c r="BO81" s="140"/>
      <c r="BP81" s="141"/>
      <c r="BQ81" s="141"/>
      <c r="BR81" s="141"/>
      <c r="BS81" s="141"/>
      <c r="BT81" s="141"/>
      <c r="BU81" s="141"/>
      <c r="BV81" s="142"/>
      <c r="BW81" s="142"/>
      <c r="BX81" s="142"/>
      <c r="BY81" s="142"/>
      <c r="BZ81" s="142"/>
      <c r="CA81" s="142"/>
      <c r="CB81" s="141"/>
      <c r="CC81" s="140"/>
      <c r="CD81" s="141"/>
      <c r="CE81" s="141"/>
      <c r="CF81" s="141"/>
      <c r="CG81" s="141"/>
      <c r="CH81" s="141"/>
      <c r="CI81" s="141"/>
      <c r="CJ81" s="142"/>
      <c r="CK81" s="142"/>
      <c r="CL81" s="142"/>
      <c r="CM81" s="142"/>
      <c r="CN81" s="179"/>
      <c r="CO81" s="142"/>
    </row>
    <row r="82" spans="1:93" ht="16.5" customHeight="1">
      <c r="A82" s="222"/>
      <c r="B82" s="220" t="s">
        <v>330</v>
      </c>
      <c r="C82" s="220"/>
      <c r="D82" s="220"/>
      <c r="E82" s="136" t="s">
        <v>331</v>
      </c>
      <c r="F82" s="136" t="s">
        <v>209</v>
      </c>
      <c r="G82" s="139">
        <v>2025</v>
      </c>
      <c r="H82" s="136" t="s">
        <v>210</v>
      </c>
      <c r="I82" s="221"/>
      <c r="J82" s="221"/>
      <c r="K82" s="140"/>
      <c r="L82" s="141"/>
      <c r="M82" s="141"/>
      <c r="N82" s="141"/>
      <c r="O82" s="141"/>
      <c r="P82" s="141"/>
      <c r="Q82" s="141"/>
      <c r="R82" s="142"/>
      <c r="S82" s="142"/>
      <c r="T82" s="142"/>
      <c r="U82" s="142"/>
      <c r="V82" s="179"/>
      <c r="W82" s="142"/>
      <c r="X82" s="141"/>
      <c r="Y82" s="140"/>
      <c r="Z82" s="141"/>
      <c r="AA82" s="141"/>
      <c r="AB82" s="141"/>
      <c r="AC82" s="141"/>
      <c r="AD82" s="141"/>
      <c r="AE82" s="141"/>
      <c r="AF82" s="142"/>
      <c r="AG82" s="142"/>
      <c r="AH82" s="142"/>
      <c r="AI82" s="142"/>
      <c r="AJ82" s="179"/>
      <c r="AK82" s="142"/>
      <c r="AL82" s="141"/>
      <c r="AM82" s="140"/>
      <c r="AN82" s="141"/>
      <c r="AO82" s="141"/>
      <c r="AP82" s="141"/>
      <c r="AQ82" s="141"/>
      <c r="AR82" s="141"/>
      <c r="AS82" s="141"/>
      <c r="AT82" s="142"/>
      <c r="AU82" s="142"/>
      <c r="AV82" s="142"/>
      <c r="AW82" s="142"/>
      <c r="AX82" s="179"/>
      <c r="AY82" s="142"/>
      <c r="AZ82" s="141"/>
      <c r="BA82" s="140"/>
      <c r="BB82" s="141"/>
      <c r="BC82" s="141"/>
      <c r="BD82" s="141"/>
      <c r="BE82" s="141"/>
      <c r="BF82" s="141"/>
      <c r="BG82" s="141"/>
      <c r="BH82" s="142"/>
      <c r="BI82" s="142"/>
      <c r="BJ82" s="142"/>
      <c r="BK82" s="142"/>
      <c r="BL82" s="179"/>
      <c r="BM82" s="142"/>
      <c r="BN82" s="141">
        <v>111</v>
      </c>
      <c r="BO82" s="140">
        <v>0</v>
      </c>
      <c r="BP82" s="141">
        <v>0</v>
      </c>
      <c r="BQ82" s="141">
        <v>0</v>
      </c>
      <c r="BR82" s="141">
        <v>0</v>
      </c>
      <c r="BS82" s="141">
        <v>0</v>
      </c>
      <c r="BT82" s="141">
        <v>0</v>
      </c>
      <c r="BU82" s="141">
        <v>0</v>
      </c>
      <c r="BV82" s="142">
        <v>0</v>
      </c>
      <c r="BW82" s="142">
        <v>0</v>
      </c>
      <c r="BX82" s="142">
        <v>0</v>
      </c>
      <c r="BY82" s="142">
        <v>0</v>
      </c>
      <c r="BZ82" s="142">
        <v>0</v>
      </c>
      <c r="CA82" s="142">
        <v>0</v>
      </c>
      <c r="CB82" s="141"/>
      <c r="CC82" s="140"/>
      <c r="CD82" s="141"/>
      <c r="CE82" s="141"/>
      <c r="CF82" s="141"/>
      <c r="CG82" s="141"/>
      <c r="CH82" s="141"/>
      <c r="CI82" s="141"/>
      <c r="CJ82" s="142"/>
      <c r="CK82" s="142"/>
      <c r="CL82" s="142"/>
      <c r="CM82" s="142"/>
      <c r="CN82" s="179"/>
      <c r="CO82" s="142"/>
    </row>
    <row r="83" spans="1:93" ht="16.5" customHeight="1">
      <c r="A83" s="222"/>
      <c r="B83" s="220" t="s">
        <v>332</v>
      </c>
      <c r="C83" s="220"/>
      <c r="D83" s="220"/>
      <c r="E83" s="136" t="s">
        <v>333</v>
      </c>
      <c r="F83" s="136" t="s">
        <v>209</v>
      </c>
      <c r="G83" s="139">
        <v>2025</v>
      </c>
      <c r="H83" s="136" t="s">
        <v>210</v>
      </c>
      <c r="I83" s="221"/>
      <c r="J83" s="221"/>
      <c r="K83" s="140"/>
      <c r="L83" s="141"/>
      <c r="M83" s="141"/>
      <c r="N83" s="141"/>
      <c r="O83" s="141"/>
      <c r="P83" s="141"/>
      <c r="Q83" s="141"/>
      <c r="R83" s="142"/>
      <c r="S83" s="142"/>
      <c r="T83" s="142"/>
      <c r="U83" s="142"/>
      <c r="V83" s="179"/>
      <c r="W83" s="142"/>
      <c r="X83" s="141">
        <v>74987</v>
      </c>
      <c r="Y83" s="140">
        <v>115358.1</v>
      </c>
      <c r="Z83" s="141">
        <v>0</v>
      </c>
      <c r="AA83" s="141">
        <v>6921486</v>
      </c>
      <c r="AB83" s="141">
        <v>836453</v>
      </c>
      <c r="AC83" s="141">
        <v>875824</v>
      </c>
      <c r="AD83" s="141">
        <v>711730</v>
      </c>
      <c r="AE83" s="141">
        <v>124723</v>
      </c>
      <c r="AF83" s="142">
        <v>1.0629999999999999</v>
      </c>
      <c r="AG83" s="142">
        <v>0.17899999999999999</v>
      </c>
      <c r="AH83" s="142">
        <v>829.38300000000004</v>
      </c>
      <c r="AI83" s="142">
        <v>139.816</v>
      </c>
      <c r="AJ83" s="179">
        <v>969.19899999999996</v>
      </c>
      <c r="AK83" s="142">
        <v>1.2430000000000001</v>
      </c>
      <c r="AL83" s="141">
        <v>16</v>
      </c>
      <c r="AM83" s="140">
        <v>0</v>
      </c>
      <c r="AN83" s="141">
        <v>0</v>
      </c>
      <c r="AO83" s="141">
        <v>0</v>
      </c>
      <c r="AP83" s="141">
        <v>0</v>
      </c>
      <c r="AQ83" s="141">
        <v>0</v>
      </c>
      <c r="AR83" s="141">
        <v>0</v>
      </c>
      <c r="AS83" s="141">
        <v>0</v>
      </c>
      <c r="AT83" s="142">
        <v>0.78200000000000003</v>
      </c>
      <c r="AU83" s="142">
        <v>0.14099999999999999</v>
      </c>
      <c r="AV83" s="142">
        <v>609.779</v>
      </c>
      <c r="AW83" s="142">
        <v>109.76</v>
      </c>
      <c r="AX83" s="179">
        <v>719.54</v>
      </c>
      <c r="AY83" s="142">
        <v>0.92200000000000004</v>
      </c>
      <c r="AZ83" s="141">
        <v>34</v>
      </c>
      <c r="BA83" s="140">
        <v>19.067</v>
      </c>
      <c r="BB83" s="141">
        <v>37</v>
      </c>
      <c r="BC83" s="141">
        <v>1144</v>
      </c>
      <c r="BD83" s="141">
        <v>1144</v>
      </c>
      <c r="BE83" s="141">
        <v>1144</v>
      </c>
      <c r="BF83" s="141">
        <v>0</v>
      </c>
      <c r="BG83" s="141">
        <v>0</v>
      </c>
      <c r="BH83" s="142">
        <v>2.016</v>
      </c>
      <c r="BI83" s="142">
        <v>0.36299999999999999</v>
      </c>
      <c r="BJ83" s="142">
        <v>1572.3240000000001</v>
      </c>
      <c r="BK83" s="142">
        <v>283.017</v>
      </c>
      <c r="BL83" s="179">
        <v>1855.3409999999999</v>
      </c>
      <c r="BM83" s="142">
        <v>2.379</v>
      </c>
      <c r="BN83" s="141">
        <v>17492</v>
      </c>
      <c r="BO83" s="140">
        <v>0</v>
      </c>
      <c r="BP83" s="141">
        <v>0</v>
      </c>
      <c r="BQ83" s="141">
        <v>0</v>
      </c>
      <c r="BR83" s="141">
        <v>0</v>
      </c>
      <c r="BS83" s="141">
        <v>0</v>
      </c>
      <c r="BT83" s="141">
        <v>0</v>
      </c>
      <c r="BU83" s="141">
        <v>0</v>
      </c>
      <c r="BV83" s="142">
        <v>0</v>
      </c>
      <c r="BW83" s="142">
        <v>0</v>
      </c>
      <c r="BX83" s="142">
        <v>0</v>
      </c>
      <c r="BY83" s="142">
        <v>0</v>
      </c>
      <c r="BZ83" s="142">
        <v>0</v>
      </c>
      <c r="CA83" s="142">
        <v>0</v>
      </c>
      <c r="CB83" s="141">
        <v>876</v>
      </c>
      <c r="CC83" s="140">
        <v>3584.9</v>
      </c>
      <c r="CD83" s="141">
        <v>4053</v>
      </c>
      <c r="CE83" s="141">
        <v>215094</v>
      </c>
      <c r="CF83" s="141">
        <v>215094</v>
      </c>
      <c r="CG83" s="141">
        <v>215094</v>
      </c>
      <c r="CH83" s="141">
        <v>0</v>
      </c>
      <c r="CI83" s="141">
        <v>0</v>
      </c>
      <c r="CJ83" s="142">
        <v>0</v>
      </c>
      <c r="CK83" s="142">
        <v>0</v>
      </c>
      <c r="CL83" s="142">
        <v>0</v>
      </c>
      <c r="CM83" s="142">
        <v>0</v>
      </c>
      <c r="CN83" s="179">
        <v>0</v>
      </c>
      <c r="CO83" s="142">
        <v>0</v>
      </c>
    </row>
    <row r="84" spans="1:93" ht="16.5" customHeight="1">
      <c r="A84" s="222"/>
      <c r="B84" s="220" t="s">
        <v>334</v>
      </c>
      <c r="C84" s="220"/>
      <c r="D84" s="220"/>
      <c r="E84" s="136" t="s">
        <v>335</v>
      </c>
      <c r="F84" s="136" t="s">
        <v>209</v>
      </c>
      <c r="G84" s="139">
        <v>2025</v>
      </c>
      <c r="H84" s="136" t="s">
        <v>210</v>
      </c>
      <c r="I84" s="221"/>
      <c r="J84" s="221"/>
      <c r="K84" s="140"/>
      <c r="L84" s="141"/>
      <c r="M84" s="141"/>
      <c r="N84" s="141"/>
      <c r="O84" s="141"/>
      <c r="P84" s="141"/>
      <c r="Q84" s="141"/>
      <c r="R84" s="142"/>
      <c r="S84" s="142"/>
      <c r="T84" s="142"/>
      <c r="U84" s="142"/>
      <c r="V84" s="179"/>
      <c r="W84" s="142"/>
      <c r="X84" s="141">
        <v>11354</v>
      </c>
      <c r="Y84" s="140">
        <v>100378.95</v>
      </c>
      <c r="Z84" s="141">
        <v>0</v>
      </c>
      <c r="AA84" s="141">
        <v>6022737</v>
      </c>
      <c r="AB84" s="141">
        <v>468055</v>
      </c>
      <c r="AC84" s="141">
        <v>473413</v>
      </c>
      <c r="AD84" s="141">
        <v>178607</v>
      </c>
      <c r="AE84" s="141">
        <v>289448</v>
      </c>
      <c r="AF84" s="142">
        <v>0.56000000000000005</v>
      </c>
      <c r="AG84" s="142">
        <v>0.1</v>
      </c>
      <c r="AH84" s="142">
        <v>436.66</v>
      </c>
      <c r="AI84" s="142">
        <v>78.088999999999999</v>
      </c>
      <c r="AJ84" s="179">
        <v>514.74900000000002</v>
      </c>
      <c r="AK84" s="142">
        <v>0.66</v>
      </c>
      <c r="AL84" s="141">
        <v>13</v>
      </c>
      <c r="AM84" s="140">
        <v>0</v>
      </c>
      <c r="AN84" s="141">
        <v>0</v>
      </c>
      <c r="AO84" s="141">
        <v>0</v>
      </c>
      <c r="AP84" s="141">
        <v>0</v>
      </c>
      <c r="AQ84" s="141">
        <v>0</v>
      </c>
      <c r="AR84" s="141">
        <v>0</v>
      </c>
      <c r="AS84" s="141">
        <v>0</v>
      </c>
      <c r="AT84" s="142">
        <v>0.63600000000000001</v>
      </c>
      <c r="AU84" s="142">
        <v>0.114</v>
      </c>
      <c r="AV84" s="142">
        <v>495.75</v>
      </c>
      <c r="AW84" s="142">
        <v>89.230999999999995</v>
      </c>
      <c r="AX84" s="179">
        <v>584.98099999999999</v>
      </c>
      <c r="AY84" s="142">
        <v>0.75</v>
      </c>
      <c r="AZ84" s="141">
        <v>281</v>
      </c>
      <c r="BA84" s="140">
        <v>92.283000000000001</v>
      </c>
      <c r="BB84" s="141">
        <v>302</v>
      </c>
      <c r="BC84" s="141">
        <v>5537</v>
      </c>
      <c r="BD84" s="141">
        <v>5537</v>
      </c>
      <c r="BE84" s="141">
        <v>5537</v>
      </c>
      <c r="BF84" s="141">
        <v>0</v>
      </c>
      <c r="BG84" s="141">
        <v>0</v>
      </c>
      <c r="BH84" s="142">
        <v>11.186999999999999</v>
      </c>
      <c r="BI84" s="142">
        <v>2.0139999999999998</v>
      </c>
      <c r="BJ84" s="142">
        <v>8725.8529999999992</v>
      </c>
      <c r="BK84" s="142">
        <v>1570.6569999999999</v>
      </c>
      <c r="BL84" s="179">
        <v>10296.511</v>
      </c>
      <c r="BM84" s="142">
        <v>13.201000000000001</v>
      </c>
      <c r="BN84" s="141">
        <v>7424</v>
      </c>
      <c r="BO84" s="140">
        <v>0</v>
      </c>
      <c r="BP84" s="141">
        <v>0</v>
      </c>
      <c r="BQ84" s="141">
        <v>0</v>
      </c>
      <c r="BR84" s="141">
        <v>0</v>
      </c>
      <c r="BS84" s="141">
        <v>0</v>
      </c>
      <c r="BT84" s="141">
        <v>0</v>
      </c>
      <c r="BU84" s="141">
        <v>0</v>
      </c>
      <c r="BV84" s="142">
        <v>0</v>
      </c>
      <c r="BW84" s="142">
        <v>0</v>
      </c>
      <c r="BX84" s="142">
        <v>0</v>
      </c>
      <c r="BY84" s="142">
        <v>0</v>
      </c>
      <c r="BZ84" s="142">
        <v>0</v>
      </c>
      <c r="CA84" s="142">
        <v>0</v>
      </c>
      <c r="CB84" s="141">
        <v>1117</v>
      </c>
      <c r="CC84" s="140">
        <v>3083.95</v>
      </c>
      <c r="CD84" s="141">
        <v>3752</v>
      </c>
      <c r="CE84" s="141">
        <v>185037</v>
      </c>
      <c r="CF84" s="141">
        <v>185037</v>
      </c>
      <c r="CG84" s="141">
        <v>185037</v>
      </c>
      <c r="CH84" s="141">
        <v>0</v>
      </c>
      <c r="CI84" s="141">
        <v>0</v>
      </c>
      <c r="CJ84" s="142">
        <v>0</v>
      </c>
      <c r="CK84" s="142">
        <v>0</v>
      </c>
      <c r="CL84" s="142">
        <v>0</v>
      </c>
      <c r="CM84" s="142">
        <v>0</v>
      </c>
      <c r="CN84" s="179">
        <v>0</v>
      </c>
      <c r="CO84" s="142">
        <v>0</v>
      </c>
    </row>
    <row r="85" spans="1:93" ht="16.5" customHeight="1">
      <c r="A85" s="222"/>
      <c r="B85" s="220" t="s">
        <v>336</v>
      </c>
      <c r="C85" s="220"/>
      <c r="D85" s="220"/>
      <c r="E85" s="136" t="s">
        <v>337</v>
      </c>
      <c r="F85" s="136" t="s">
        <v>209</v>
      </c>
      <c r="G85" s="139">
        <v>2025</v>
      </c>
      <c r="H85" s="136" t="s">
        <v>210</v>
      </c>
      <c r="I85" s="221"/>
      <c r="J85" s="221"/>
      <c r="K85" s="140"/>
      <c r="L85" s="141"/>
      <c r="M85" s="141"/>
      <c r="N85" s="141"/>
      <c r="O85" s="141"/>
      <c r="P85" s="141"/>
      <c r="Q85" s="141"/>
      <c r="R85" s="142"/>
      <c r="S85" s="142"/>
      <c r="T85" s="142"/>
      <c r="U85" s="142"/>
      <c r="V85" s="179"/>
      <c r="W85" s="142"/>
      <c r="X85" s="141">
        <v>6194</v>
      </c>
      <c r="Y85" s="140">
        <v>75253.683000000005</v>
      </c>
      <c r="Z85" s="141">
        <v>0</v>
      </c>
      <c r="AA85" s="141">
        <v>4515221</v>
      </c>
      <c r="AB85" s="141">
        <v>5245814</v>
      </c>
      <c r="AC85" s="141">
        <v>5247782</v>
      </c>
      <c r="AD85" s="141">
        <v>4365336</v>
      </c>
      <c r="AE85" s="141">
        <v>880478</v>
      </c>
      <c r="AF85" s="142">
        <v>21.548999999999999</v>
      </c>
      <c r="AG85" s="142">
        <v>3.879</v>
      </c>
      <c r="AH85" s="142">
        <v>16807.839</v>
      </c>
      <c r="AI85" s="142">
        <v>3025.7660000000001</v>
      </c>
      <c r="AJ85" s="179">
        <v>19833.605</v>
      </c>
      <c r="AK85" s="142">
        <v>25.428000000000001</v>
      </c>
      <c r="AL85" s="141">
        <v>1243</v>
      </c>
      <c r="AM85" s="140">
        <v>0</v>
      </c>
      <c r="AN85" s="141">
        <v>0</v>
      </c>
      <c r="AO85" s="141">
        <v>0</v>
      </c>
      <c r="AP85" s="141">
        <v>0</v>
      </c>
      <c r="AQ85" s="141">
        <v>0</v>
      </c>
      <c r="AR85" s="141">
        <v>0</v>
      </c>
      <c r="AS85" s="141">
        <v>0</v>
      </c>
      <c r="AT85" s="142">
        <v>49.131</v>
      </c>
      <c r="AU85" s="142">
        <v>8.8439999999999994</v>
      </c>
      <c r="AV85" s="142">
        <v>38321.644999999997</v>
      </c>
      <c r="AW85" s="142">
        <v>6898.2060000000001</v>
      </c>
      <c r="AX85" s="179">
        <v>45219.851000000002</v>
      </c>
      <c r="AY85" s="142">
        <v>57.975000000000001</v>
      </c>
      <c r="AZ85" s="141">
        <v>462</v>
      </c>
      <c r="BA85" s="140">
        <v>273.767</v>
      </c>
      <c r="BB85" s="141">
        <v>572</v>
      </c>
      <c r="BC85" s="141">
        <v>16426</v>
      </c>
      <c r="BD85" s="141">
        <v>16426</v>
      </c>
      <c r="BE85" s="141">
        <v>16426</v>
      </c>
      <c r="BF85" s="141">
        <v>0</v>
      </c>
      <c r="BG85" s="141">
        <v>0</v>
      </c>
      <c r="BH85" s="142">
        <v>33.706000000000003</v>
      </c>
      <c r="BI85" s="142">
        <v>6.0670000000000002</v>
      </c>
      <c r="BJ85" s="142">
        <v>26290.418000000001</v>
      </c>
      <c r="BK85" s="142">
        <v>4732.2690000000002</v>
      </c>
      <c r="BL85" s="179">
        <v>31022.687000000002</v>
      </c>
      <c r="BM85" s="142">
        <v>39.773000000000003</v>
      </c>
      <c r="BN85" s="141">
        <v>16859</v>
      </c>
      <c r="BO85" s="140">
        <v>0</v>
      </c>
      <c r="BP85" s="141">
        <v>0</v>
      </c>
      <c r="BQ85" s="141">
        <v>0</v>
      </c>
      <c r="BR85" s="141">
        <v>0</v>
      </c>
      <c r="BS85" s="141">
        <v>0</v>
      </c>
      <c r="BT85" s="141">
        <v>0</v>
      </c>
      <c r="BU85" s="141">
        <v>0</v>
      </c>
      <c r="BV85" s="142">
        <v>0</v>
      </c>
      <c r="BW85" s="142">
        <v>0</v>
      </c>
      <c r="BX85" s="142">
        <v>0</v>
      </c>
      <c r="BY85" s="142">
        <v>0</v>
      </c>
      <c r="BZ85" s="142">
        <v>0</v>
      </c>
      <c r="CA85" s="142">
        <v>0</v>
      </c>
      <c r="CB85" s="141">
        <v>7730</v>
      </c>
      <c r="CC85" s="140">
        <v>36378.517</v>
      </c>
      <c r="CD85" s="141">
        <v>40358</v>
      </c>
      <c r="CE85" s="141">
        <v>2182711</v>
      </c>
      <c r="CF85" s="141">
        <v>2182711</v>
      </c>
      <c r="CG85" s="141">
        <v>2182711</v>
      </c>
      <c r="CH85" s="141">
        <v>0</v>
      </c>
      <c r="CI85" s="141">
        <v>0</v>
      </c>
      <c r="CJ85" s="142">
        <v>0</v>
      </c>
      <c r="CK85" s="142">
        <v>0</v>
      </c>
      <c r="CL85" s="142">
        <v>0</v>
      </c>
      <c r="CM85" s="142">
        <v>0</v>
      </c>
      <c r="CN85" s="179">
        <v>0</v>
      </c>
      <c r="CO85" s="142">
        <v>0</v>
      </c>
    </row>
    <row r="86" spans="1:93" ht="16.5" customHeight="1">
      <c r="A86" s="222"/>
      <c r="B86" s="220" t="s">
        <v>338</v>
      </c>
      <c r="C86" s="220"/>
      <c r="D86" s="220"/>
      <c r="E86" s="136" t="s">
        <v>339</v>
      </c>
      <c r="F86" s="136" t="s">
        <v>209</v>
      </c>
      <c r="G86" s="139">
        <v>2025</v>
      </c>
      <c r="H86" s="136" t="s">
        <v>210</v>
      </c>
      <c r="I86" s="221"/>
      <c r="J86" s="221"/>
      <c r="K86" s="140"/>
      <c r="L86" s="141"/>
      <c r="M86" s="141"/>
      <c r="N86" s="141"/>
      <c r="O86" s="141"/>
      <c r="P86" s="141"/>
      <c r="Q86" s="141"/>
      <c r="R86" s="142"/>
      <c r="S86" s="142"/>
      <c r="T86" s="142"/>
      <c r="U86" s="142"/>
      <c r="V86" s="179"/>
      <c r="W86" s="142"/>
      <c r="X86" s="141">
        <v>462</v>
      </c>
      <c r="Y86" s="140">
        <v>9700.9330000000009</v>
      </c>
      <c r="Z86" s="141">
        <v>0</v>
      </c>
      <c r="AA86" s="141">
        <v>582056</v>
      </c>
      <c r="AB86" s="141">
        <v>7123</v>
      </c>
      <c r="AC86" s="141">
        <v>7338</v>
      </c>
      <c r="AD86" s="141">
        <v>1729</v>
      </c>
      <c r="AE86" s="141">
        <v>5394</v>
      </c>
      <c r="AF86" s="142">
        <v>8.9999999999999993E-3</v>
      </c>
      <c r="AG86" s="142">
        <v>2E-3</v>
      </c>
      <c r="AH86" s="142">
        <v>6.75</v>
      </c>
      <c r="AI86" s="142">
        <v>1.1910000000000001</v>
      </c>
      <c r="AJ86" s="179">
        <v>7.9409999999999998</v>
      </c>
      <c r="AK86" s="142">
        <v>0.01</v>
      </c>
      <c r="AL86" s="141"/>
      <c r="AM86" s="140"/>
      <c r="AN86" s="141"/>
      <c r="AO86" s="141"/>
      <c r="AP86" s="141"/>
      <c r="AQ86" s="141"/>
      <c r="AR86" s="141"/>
      <c r="AS86" s="141"/>
      <c r="AT86" s="142"/>
      <c r="AU86" s="142"/>
      <c r="AV86" s="142"/>
      <c r="AW86" s="142"/>
      <c r="AX86" s="179"/>
      <c r="AY86" s="142"/>
      <c r="AZ86" s="141">
        <v>2</v>
      </c>
      <c r="BA86" s="140">
        <v>0.23300000000000001</v>
      </c>
      <c r="BB86" s="141">
        <v>2</v>
      </c>
      <c r="BC86" s="141">
        <v>14</v>
      </c>
      <c r="BD86" s="141">
        <v>14</v>
      </c>
      <c r="BE86" s="141">
        <v>14</v>
      </c>
      <c r="BF86" s="141">
        <v>0</v>
      </c>
      <c r="BG86" s="141">
        <v>0</v>
      </c>
      <c r="BH86" s="142">
        <v>4.5999999999999999E-2</v>
      </c>
      <c r="BI86" s="142">
        <v>8.0000000000000002E-3</v>
      </c>
      <c r="BJ86" s="142">
        <v>35.593000000000004</v>
      </c>
      <c r="BK86" s="142">
        <v>6.407</v>
      </c>
      <c r="BL86" s="179">
        <v>41.999000000000002</v>
      </c>
      <c r="BM86" s="142">
        <v>5.3999999999999999E-2</v>
      </c>
      <c r="BN86" s="141">
        <v>48</v>
      </c>
      <c r="BO86" s="140">
        <v>0</v>
      </c>
      <c r="BP86" s="141">
        <v>0</v>
      </c>
      <c r="BQ86" s="141">
        <v>0</v>
      </c>
      <c r="BR86" s="141">
        <v>0</v>
      </c>
      <c r="BS86" s="141">
        <v>0</v>
      </c>
      <c r="BT86" s="141">
        <v>0</v>
      </c>
      <c r="BU86" s="141">
        <v>0</v>
      </c>
      <c r="BV86" s="142">
        <v>0</v>
      </c>
      <c r="BW86" s="142">
        <v>0</v>
      </c>
      <c r="BX86" s="142">
        <v>0</v>
      </c>
      <c r="BY86" s="142">
        <v>0</v>
      </c>
      <c r="BZ86" s="142">
        <v>0</v>
      </c>
      <c r="CA86" s="142">
        <v>0</v>
      </c>
      <c r="CB86" s="141">
        <v>18</v>
      </c>
      <c r="CC86" s="140">
        <v>16</v>
      </c>
      <c r="CD86" s="141">
        <v>27</v>
      </c>
      <c r="CE86" s="141">
        <v>960</v>
      </c>
      <c r="CF86" s="141">
        <v>960</v>
      </c>
      <c r="CG86" s="141">
        <v>960</v>
      </c>
      <c r="CH86" s="141">
        <v>0</v>
      </c>
      <c r="CI86" s="141">
        <v>0</v>
      </c>
      <c r="CJ86" s="142">
        <v>0</v>
      </c>
      <c r="CK86" s="142">
        <v>0</v>
      </c>
      <c r="CL86" s="142">
        <v>0</v>
      </c>
      <c r="CM86" s="142">
        <v>0</v>
      </c>
      <c r="CN86" s="179">
        <v>0</v>
      </c>
      <c r="CO86" s="142">
        <v>0</v>
      </c>
    </row>
    <row r="87" spans="1:93" ht="16.5" customHeight="1">
      <c r="A87" s="222"/>
      <c r="B87" s="220" t="s">
        <v>340</v>
      </c>
      <c r="C87" s="220"/>
      <c r="D87" s="220"/>
      <c r="E87" s="136" t="s">
        <v>341</v>
      </c>
      <c r="F87" s="136" t="s">
        <v>209</v>
      </c>
      <c r="G87" s="139">
        <v>2025</v>
      </c>
      <c r="H87" s="136" t="s">
        <v>210</v>
      </c>
      <c r="I87" s="221"/>
      <c r="J87" s="221"/>
      <c r="K87" s="140"/>
      <c r="L87" s="141"/>
      <c r="M87" s="141"/>
      <c r="N87" s="141"/>
      <c r="O87" s="141"/>
      <c r="P87" s="141"/>
      <c r="Q87" s="141"/>
      <c r="R87" s="142"/>
      <c r="S87" s="142"/>
      <c r="T87" s="142"/>
      <c r="U87" s="142"/>
      <c r="V87" s="179"/>
      <c r="W87" s="142"/>
      <c r="X87" s="141">
        <v>22</v>
      </c>
      <c r="Y87" s="140">
        <v>661.11699999999996</v>
      </c>
      <c r="Z87" s="141">
        <v>0</v>
      </c>
      <c r="AA87" s="141">
        <v>39667</v>
      </c>
      <c r="AB87" s="141">
        <v>4</v>
      </c>
      <c r="AC87" s="141">
        <v>10</v>
      </c>
      <c r="AD87" s="141">
        <v>1</v>
      </c>
      <c r="AE87" s="141">
        <v>2</v>
      </c>
      <c r="AF87" s="142">
        <v>0</v>
      </c>
      <c r="AG87" s="142">
        <v>0</v>
      </c>
      <c r="AH87" s="142">
        <v>6.2E-2</v>
      </c>
      <c r="AI87" s="142">
        <v>8.9999999999999993E-3</v>
      </c>
      <c r="AJ87" s="179">
        <v>7.0999999999999994E-2</v>
      </c>
      <c r="AK87" s="142">
        <v>0</v>
      </c>
      <c r="AL87" s="141">
        <v>71</v>
      </c>
      <c r="AM87" s="140">
        <v>0</v>
      </c>
      <c r="AN87" s="141">
        <v>0</v>
      </c>
      <c r="AO87" s="141">
        <v>0</v>
      </c>
      <c r="AP87" s="141">
        <v>0</v>
      </c>
      <c r="AQ87" s="141">
        <v>0</v>
      </c>
      <c r="AR87" s="141">
        <v>0</v>
      </c>
      <c r="AS87" s="141">
        <v>0</v>
      </c>
      <c r="AT87" s="142">
        <v>0.59699999999999998</v>
      </c>
      <c r="AU87" s="142">
        <v>0.107</v>
      </c>
      <c r="AV87" s="142">
        <v>465.74099999999999</v>
      </c>
      <c r="AW87" s="142">
        <v>83.843999999999994</v>
      </c>
      <c r="AX87" s="179">
        <v>549.58500000000004</v>
      </c>
      <c r="AY87" s="142">
        <v>0.70499999999999996</v>
      </c>
      <c r="AZ87" s="141">
        <v>103</v>
      </c>
      <c r="BA87" s="140">
        <v>95.3</v>
      </c>
      <c r="BB87" s="141">
        <v>148</v>
      </c>
      <c r="BC87" s="141">
        <v>5718</v>
      </c>
      <c r="BD87" s="141">
        <v>5718</v>
      </c>
      <c r="BE87" s="141">
        <v>5718</v>
      </c>
      <c r="BF87" s="141">
        <v>0</v>
      </c>
      <c r="BG87" s="141">
        <v>0</v>
      </c>
      <c r="BH87" s="142">
        <v>26.567</v>
      </c>
      <c r="BI87" s="142">
        <v>4.782</v>
      </c>
      <c r="BJ87" s="142">
        <v>20721.681</v>
      </c>
      <c r="BK87" s="142">
        <v>3729.9050000000002</v>
      </c>
      <c r="BL87" s="179">
        <v>24451.584999999999</v>
      </c>
      <c r="BM87" s="142">
        <v>31.349</v>
      </c>
      <c r="BN87" s="141">
        <v>7761</v>
      </c>
      <c r="BO87" s="140">
        <v>0</v>
      </c>
      <c r="BP87" s="141">
        <v>0</v>
      </c>
      <c r="BQ87" s="141">
        <v>0</v>
      </c>
      <c r="BR87" s="141">
        <v>0</v>
      </c>
      <c r="BS87" s="141">
        <v>0</v>
      </c>
      <c r="BT87" s="141">
        <v>0</v>
      </c>
      <c r="BU87" s="141">
        <v>0</v>
      </c>
      <c r="BV87" s="142">
        <v>0</v>
      </c>
      <c r="BW87" s="142">
        <v>0</v>
      </c>
      <c r="BX87" s="142">
        <v>0</v>
      </c>
      <c r="BY87" s="142">
        <v>0</v>
      </c>
      <c r="BZ87" s="142">
        <v>0</v>
      </c>
      <c r="CA87" s="142">
        <v>0</v>
      </c>
      <c r="CB87" s="141">
        <v>114</v>
      </c>
      <c r="CC87" s="140">
        <v>83.8</v>
      </c>
      <c r="CD87" s="141">
        <v>150</v>
      </c>
      <c r="CE87" s="141">
        <v>5028</v>
      </c>
      <c r="CF87" s="141">
        <v>5028</v>
      </c>
      <c r="CG87" s="141">
        <v>5028</v>
      </c>
      <c r="CH87" s="141">
        <v>0</v>
      </c>
      <c r="CI87" s="141">
        <v>0</v>
      </c>
      <c r="CJ87" s="142">
        <v>0</v>
      </c>
      <c r="CK87" s="142">
        <v>0</v>
      </c>
      <c r="CL87" s="142">
        <v>0</v>
      </c>
      <c r="CM87" s="142">
        <v>0</v>
      </c>
      <c r="CN87" s="179">
        <v>0</v>
      </c>
      <c r="CO87" s="142">
        <v>0</v>
      </c>
    </row>
    <row r="88" spans="1:93" ht="16.5" customHeight="1">
      <c r="A88" s="222"/>
      <c r="B88" s="220" t="s">
        <v>342</v>
      </c>
      <c r="C88" s="220"/>
      <c r="D88" s="220"/>
      <c r="E88" s="136" t="s">
        <v>343</v>
      </c>
      <c r="F88" s="136" t="s">
        <v>209</v>
      </c>
      <c r="G88" s="139">
        <v>2025</v>
      </c>
      <c r="H88" s="136" t="s">
        <v>210</v>
      </c>
      <c r="I88" s="221"/>
      <c r="J88" s="221"/>
      <c r="K88" s="140"/>
      <c r="L88" s="141"/>
      <c r="M88" s="141"/>
      <c r="N88" s="141"/>
      <c r="O88" s="141"/>
      <c r="P88" s="141"/>
      <c r="Q88" s="141"/>
      <c r="R88" s="142"/>
      <c r="S88" s="142"/>
      <c r="T88" s="142"/>
      <c r="U88" s="142"/>
      <c r="V88" s="179"/>
      <c r="W88" s="142"/>
      <c r="X88" s="141"/>
      <c r="Y88" s="140"/>
      <c r="Z88" s="141"/>
      <c r="AA88" s="141"/>
      <c r="AB88" s="141"/>
      <c r="AC88" s="141"/>
      <c r="AD88" s="141"/>
      <c r="AE88" s="141"/>
      <c r="AF88" s="142"/>
      <c r="AG88" s="142"/>
      <c r="AH88" s="142"/>
      <c r="AI88" s="142"/>
      <c r="AJ88" s="179"/>
      <c r="AK88" s="142"/>
      <c r="AL88" s="141">
        <v>7</v>
      </c>
      <c r="AM88" s="140">
        <v>0</v>
      </c>
      <c r="AN88" s="141">
        <v>0</v>
      </c>
      <c r="AO88" s="141">
        <v>0</v>
      </c>
      <c r="AP88" s="141">
        <v>0</v>
      </c>
      <c r="AQ88" s="141">
        <v>0</v>
      </c>
      <c r="AR88" s="141">
        <v>0</v>
      </c>
      <c r="AS88" s="141">
        <v>0</v>
      </c>
      <c r="AT88" s="142">
        <v>0.75800000000000001</v>
      </c>
      <c r="AU88" s="142">
        <v>0.13600000000000001</v>
      </c>
      <c r="AV88" s="142">
        <v>591.45899999999995</v>
      </c>
      <c r="AW88" s="142">
        <v>106.46299999999999</v>
      </c>
      <c r="AX88" s="179">
        <v>697.923</v>
      </c>
      <c r="AY88" s="142">
        <v>0.89500000000000002</v>
      </c>
      <c r="AZ88" s="141">
        <v>10</v>
      </c>
      <c r="BA88" s="140">
        <v>19.766999999999999</v>
      </c>
      <c r="BB88" s="141">
        <v>26</v>
      </c>
      <c r="BC88" s="141">
        <v>1186</v>
      </c>
      <c r="BD88" s="141">
        <v>1186</v>
      </c>
      <c r="BE88" s="141">
        <v>1560</v>
      </c>
      <c r="BF88" s="141">
        <v>0</v>
      </c>
      <c r="BG88" s="141">
        <v>0</v>
      </c>
      <c r="BH88" s="142">
        <v>35.875</v>
      </c>
      <c r="BI88" s="142">
        <v>6.4580000000000002</v>
      </c>
      <c r="BJ88" s="142">
        <v>27982.473999999998</v>
      </c>
      <c r="BK88" s="142">
        <v>5036.8469999999998</v>
      </c>
      <c r="BL88" s="179">
        <v>33019.321000000004</v>
      </c>
      <c r="BM88" s="142">
        <v>42.332999999999998</v>
      </c>
      <c r="BN88" s="141">
        <v>1</v>
      </c>
      <c r="BO88" s="140">
        <v>0</v>
      </c>
      <c r="BP88" s="141">
        <v>0</v>
      </c>
      <c r="BQ88" s="141">
        <v>0</v>
      </c>
      <c r="BR88" s="141">
        <v>0</v>
      </c>
      <c r="BS88" s="141">
        <v>0</v>
      </c>
      <c r="BT88" s="141">
        <v>0</v>
      </c>
      <c r="BU88" s="141">
        <v>0</v>
      </c>
      <c r="BV88" s="142">
        <v>0</v>
      </c>
      <c r="BW88" s="142">
        <v>0</v>
      </c>
      <c r="BX88" s="142">
        <v>0</v>
      </c>
      <c r="BY88" s="142">
        <v>0</v>
      </c>
      <c r="BZ88" s="142">
        <v>0</v>
      </c>
      <c r="CA88" s="142">
        <v>0</v>
      </c>
      <c r="CB88" s="141">
        <v>8</v>
      </c>
      <c r="CC88" s="140">
        <v>12.782999999999999</v>
      </c>
      <c r="CD88" s="141">
        <v>17</v>
      </c>
      <c r="CE88" s="141">
        <v>767</v>
      </c>
      <c r="CF88" s="141">
        <v>767</v>
      </c>
      <c r="CG88" s="141">
        <v>900</v>
      </c>
      <c r="CH88" s="141">
        <v>0</v>
      </c>
      <c r="CI88" s="141">
        <v>0</v>
      </c>
      <c r="CJ88" s="142">
        <v>0</v>
      </c>
      <c r="CK88" s="142">
        <v>0</v>
      </c>
      <c r="CL88" s="142">
        <v>0</v>
      </c>
      <c r="CM88" s="142">
        <v>0</v>
      </c>
      <c r="CN88" s="179">
        <v>0</v>
      </c>
      <c r="CO88" s="142">
        <v>0</v>
      </c>
    </row>
    <row r="89" spans="1:93" ht="16.5" customHeight="1">
      <c r="A89" s="222"/>
      <c r="B89" s="220" t="s">
        <v>344</v>
      </c>
      <c r="C89" s="220"/>
      <c r="D89" s="220"/>
      <c r="E89" s="136" t="s">
        <v>345</v>
      </c>
      <c r="F89" s="136" t="s">
        <v>209</v>
      </c>
      <c r="G89" s="139">
        <v>2025</v>
      </c>
      <c r="H89" s="136" t="s">
        <v>210</v>
      </c>
      <c r="I89" s="221"/>
      <c r="J89" s="221"/>
      <c r="K89" s="140"/>
      <c r="L89" s="141"/>
      <c r="M89" s="141"/>
      <c r="N89" s="141"/>
      <c r="O89" s="141"/>
      <c r="P89" s="141"/>
      <c r="Q89" s="141"/>
      <c r="R89" s="142"/>
      <c r="S89" s="142"/>
      <c r="T89" s="142"/>
      <c r="U89" s="142"/>
      <c r="V89" s="179"/>
      <c r="W89" s="142"/>
      <c r="X89" s="141"/>
      <c r="Y89" s="140"/>
      <c r="Z89" s="141"/>
      <c r="AA89" s="141"/>
      <c r="AB89" s="141"/>
      <c r="AC89" s="141"/>
      <c r="AD89" s="141"/>
      <c r="AE89" s="141"/>
      <c r="AF89" s="142"/>
      <c r="AG89" s="142"/>
      <c r="AH89" s="142"/>
      <c r="AI89" s="142"/>
      <c r="AJ89" s="179"/>
      <c r="AK89" s="142"/>
      <c r="AL89" s="141"/>
      <c r="AM89" s="140"/>
      <c r="AN89" s="141"/>
      <c r="AO89" s="141"/>
      <c r="AP89" s="141"/>
      <c r="AQ89" s="141"/>
      <c r="AR89" s="141"/>
      <c r="AS89" s="141"/>
      <c r="AT89" s="142"/>
      <c r="AU89" s="142"/>
      <c r="AV89" s="142"/>
      <c r="AW89" s="142"/>
      <c r="AX89" s="179"/>
      <c r="AY89" s="142"/>
      <c r="AZ89" s="141"/>
      <c r="BA89" s="140"/>
      <c r="BB89" s="141"/>
      <c r="BC89" s="141"/>
      <c r="BD89" s="141"/>
      <c r="BE89" s="141"/>
      <c r="BF89" s="141"/>
      <c r="BG89" s="141"/>
      <c r="BH89" s="142"/>
      <c r="BI89" s="142"/>
      <c r="BJ89" s="142"/>
      <c r="BK89" s="142"/>
      <c r="BL89" s="179"/>
      <c r="BM89" s="142"/>
      <c r="BN89" s="141">
        <v>6</v>
      </c>
      <c r="BO89" s="140">
        <v>0</v>
      </c>
      <c r="BP89" s="141">
        <v>0</v>
      </c>
      <c r="BQ89" s="141">
        <v>0</v>
      </c>
      <c r="BR89" s="141">
        <v>0</v>
      </c>
      <c r="BS89" s="141">
        <v>0</v>
      </c>
      <c r="BT89" s="141">
        <v>0</v>
      </c>
      <c r="BU89" s="141">
        <v>0</v>
      </c>
      <c r="BV89" s="142">
        <v>0</v>
      </c>
      <c r="BW89" s="142">
        <v>0</v>
      </c>
      <c r="BX89" s="142">
        <v>0</v>
      </c>
      <c r="BY89" s="142">
        <v>0</v>
      </c>
      <c r="BZ89" s="142">
        <v>0</v>
      </c>
      <c r="CA89" s="142">
        <v>0</v>
      </c>
      <c r="CB89" s="141"/>
      <c r="CC89" s="140"/>
      <c r="CD89" s="141"/>
      <c r="CE89" s="141"/>
      <c r="CF89" s="141"/>
      <c r="CG89" s="141"/>
      <c r="CH89" s="141"/>
      <c r="CI89" s="141"/>
      <c r="CJ89" s="142"/>
      <c r="CK89" s="142"/>
      <c r="CL89" s="142"/>
      <c r="CM89" s="142"/>
      <c r="CN89" s="179"/>
      <c r="CO89" s="142"/>
    </row>
    <row r="90" spans="1:93" ht="16.5" customHeight="1">
      <c r="A90" s="222"/>
      <c r="B90" s="220" t="s">
        <v>346</v>
      </c>
      <c r="C90" s="220"/>
      <c r="D90" s="220"/>
      <c r="E90" s="136" t="s">
        <v>341</v>
      </c>
      <c r="F90" s="136" t="s">
        <v>209</v>
      </c>
      <c r="G90" s="139">
        <v>2025</v>
      </c>
      <c r="H90" s="136" t="s">
        <v>210</v>
      </c>
      <c r="I90" s="221"/>
      <c r="J90" s="221"/>
      <c r="K90" s="140"/>
      <c r="L90" s="141"/>
      <c r="M90" s="141"/>
      <c r="N90" s="141"/>
      <c r="O90" s="141"/>
      <c r="P90" s="141"/>
      <c r="Q90" s="141"/>
      <c r="R90" s="142"/>
      <c r="S90" s="142"/>
      <c r="T90" s="142"/>
      <c r="U90" s="142"/>
      <c r="V90" s="179"/>
      <c r="W90" s="142"/>
      <c r="X90" s="141"/>
      <c r="Y90" s="140"/>
      <c r="Z90" s="141"/>
      <c r="AA90" s="141"/>
      <c r="AB90" s="141"/>
      <c r="AC90" s="141"/>
      <c r="AD90" s="141"/>
      <c r="AE90" s="141"/>
      <c r="AF90" s="142"/>
      <c r="AG90" s="142"/>
      <c r="AH90" s="142"/>
      <c r="AI90" s="142"/>
      <c r="AJ90" s="179"/>
      <c r="AK90" s="142"/>
      <c r="AL90" s="141"/>
      <c r="AM90" s="140"/>
      <c r="AN90" s="141"/>
      <c r="AO90" s="141"/>
      <c r="AP90" s="141"/>
      <c r="AQ90" s="141"/>
      <c r="AR90" s="141"/>
      <c r="AS90" s="141"/>
      <c r="AT90" s="142"/>
      <c r="AU90" s="142"/>
      <c r="AV90" s="142"/>
      <c r="AW90" s="142"/>
      <c r="AX90" s="179"/>
      <c r="AY90" s="142"/>
      <c r="AZ90" s="141"/>
      <c r="BA90" s="140"/>
      <c r="BB90" s="141"/>
      <c r="BC90" s="141"/>
      <c r="BD90" s="141"/>
      <c r="BE90" s="141"/>
      <c r="BF90" s="141"/>
      <c r="BG90" s="141"/>
      <c r="BH90" s="142"/>
      <c r="BI90" s="142"/>
      <c r="BJ90" s="142"/>
      <c r="BK90" s="142"/>
      <c r="BL90" s="179"/>
      <c r="BM90" s="142"/>
      <c r="BN90" s="141">
        <v>874</v>
      </c>
      <c r="BO90" s="140">
        <v>0</v>
      </c>
      <c r="BP90" s="141">
        <v>0</v>
      </c>
      <c r="BQ90" s="141">
        <v>0</v>
      </c>
      <c r="BR90" s="141">
        <v>0</v>
      </c>
      <c r="BS90" s="141">
        <v>0</v>
      </c>
      <c r="BT90" s="141">
        <v>0</v>
      </c>
      <c r="BU90" s="141">
        <v>0</v>
      </c>
      <c r="BV90" s="142">
        <v>0</v>
      </c>
      <c r="BW90" s="142">
        <v>0</v>
      </c>
      <c r="BX90" s="142">
        <v>0</v>
      </c>
      <c r="BY90" s="142">
        <v>0</v>
      </c>
      <c r="BZ90" s="142">
        <v>0</v>
      </c>
      <c r="CA90" s="142">
        <v>0</v>
      </c>
      <c r="CB90" s="141"/>
      <c r="CC90" s="140"/>
      <c r="CD90" s="141"/>
      <c r="CE90" s="141"/>
      <c r="CF90" s="141"/>
      <c r="CG90" s="141"/>
      <c r="CH90" s="141"/>
      <c r="CI90" s="141"/>
      <c r="CJ90" s="142"/>
      <c r="CK90" s="142"/>
      <c r="CL90" s="142"/>
      <c r="CM90" s="142"/>
      <c r="CN90" s="179"/>
      <c r="CO90" s="142"/>
    </row>
    <row r="91" spans="1:93" ht="16.5" customHeight="1">
      <c r="A91" s="222"/>
      <c r="B91" s="220" t="s">
        <v>347</v>
      </c>
      <c r="C91" s="220"/>
      <c r="D91" s="220"/>
      <c r="E91" s="136" t="s">
        <v>348</v>
      </c>
      <c r="F91" s="136" t="s">
        <v>209</v>
      </c>
      <c r="G91" s="139">
        <v>2025</v>
      </c>
      <c r="H91" s="136" t="s">
        <v>210</v>
      </c>
      <c r="I91" s="221"/>
      <c r="J91" s="221"/>
      <c r="K91" s="140"/>
      <c r="L91" s="141"/>
      <c r="M91" s="141"/>
      <c r="N91" s="141"/>
      <c r="O91" s="141"/>
      <c r="P91" s="141"/>
      <c r="Q91" s="141"/>
      <c r="R91" s="142"/>
      <c r="S91" s="142"/>
      <c r="T91" s="142"/>
      <c r="U91" s="142"/>
      <c r="V91" s="179"/>
      <c r="W91" s="142"/>
      <c r="X91" s="141"/>
      <c r="Y91" s="140"/>
      <c r="Z91" s="141"/>
      <c r="AA91" s="141"/>
      <c r="AB91" s="141"/>
      <c r="AC91" s="141"/>
      <c r="AD91" s="141"/>
      <c r="AE91" s="141"/>
      <c r="AF91" s="142"/>
      <c r="AG91" s="142"/>
      <c r="AH91" s="142"/>
      <c r="AI91" s="142"/>
      <c r="AJ91" s="179"/>
      <c r="AK91" s="142"/>
      <c r="AL91" s="141"/>
      <c r="AM91" s="140"/>
      <c r="AN91" s="141"/>
      <c r="AO91" s="141"/>
      <c r="AP91" s="141"/>
      <c r="AQ91" s="141"/>
      <c r="AR91" s="141"/>
      <c r="AS91" s="141"/>
      <c r="AT91" s="142"/>
      <c r="AU91" s="142"/>
      <c r="AV91" s="142"/>
      <c r="AW91" s="142"/>
      <c r="AX91" s="179"/>
      <c r="AY91" s="142"/>
      <c r="AZ91" s="141"/>
      <c r="BA91" s="140"/>
      <c r="BB91" s="141"/>
      <c r="BC91" s="141"/>
      <c r="BD91" s="141"/>
      <c r="BE91" s="141"/>
      <c r="BF91" s="141"/>
      <c r="BG91" s="141"/>
      <c r="BH91" s="142"/>
      <c r="BI91" s="142"/>
      <c r="BJ91" s="142"/>
      <c r="BK91" s="142"/>
      <c r="BL91" s="179"/>
      <c r="BM91" s="142"/>
      <c r="BN91" s="141">
        <v>123</v>
      </c>
      <c r="BO91" s="140">
        <v>0</v>
      </c>
      <c r="BP91" s="141">
        <v>0</v>
      </c>
      <c r="BQ91" s="141">
        <v>0</v>
      </c>
      <c r="BR91" s="141">
        <v>0</v>
      </c>
      <c r="BS91" s="141">
        <v>0</v>
      </c>
      <c r="BT91" s="141">
        <v>0</v>
      </c>
      <c r="BU91" s="141">
        <v>0</v>
      </c>
      <c r="BV91" s="142">
        <v>0</v>
      </c>
      <c r="BW91" s="142">
        <v>0</v>
      </c>
      <c r="BX91" s="142">
        <v>0</v>
      </c>
      <c r="BY91" s="142">
        <v>0</v>
      </c>
      <c r="BZ91" s="142">
        <v>0</v>
      </c>
      <c r="CA91" s="142">
        <v>0</v>
      </c>
      <c r="CB91" s="141">
        <v>3</v>
      </c>
      <c r="CC91" s="140">
        <v>3.0329999999999999</v>
      </c>
      <c r="CD91" s="141">
        <v>5</v>
      </c>
      <c r="CE91" s="141">
        <v>182</v>
      </c>
      <c r="CF91" s="141">
        <v>182</v>
      </c>
      <c r="CG91" s="141">
        <v>182</v>
      </c>
      <c r="CH91" s="141">
        <v>0</v>
      </c>
      <c r="CI91" s="141">
        <v>0</v>
      </c>
      <c r="CJ91" s="142">
        <v>0</v>
      </c>
      <c r="CK91" s="142">
        <v>0</v>
      </c>
      <c r="CL91" s="142">
        <v>0</v>
      </c>
      <c r="CM91" s="142">
        <v>0</v>
      </c>
      <c r="CN91" s="179">
        <v>0</v>
      </c>
      <c r="CO91" s="142">
        <v>0</v>
      </c>
    </row>
    <row r="92" spans="1:93" ht="16.5" customHeight="1">
      <c r="A92" s="222"/>
      <c r="B92" s="220" t="s">
        <v>349</v>
      </c>
      <c r="C92" s="220"/>
      <c r="D92" s="220"/>
      <c r="E92" s="136" t="s">
        <v>350</v>
      </c>
      <c r="F92" s="136" t="s">
        <v>209</v>
      </c>
      <c r="G92" s="139">
        <v>2025</v>
      </c>
      <c r="H92" s="136" t="s">
        <v>210</v>
      </c>
      <c r="I92" s="221"/>
      <c r="J92" s="221"/>
      <c r="K92" s="140"/>
      <c r="L92" s="141"/>
      <c r="M92" s="141"/>
      <c r="N92" s="141"/>
      <c r="O92" s="141"/>
      <c r="P92" s="141"/>
      <c r="Q92" s="141"/>
      <c r="R92" s="142"/>
      <c r="S92" s="142"/>
      <c r="T92" s="142"/>
      <c r="U92" s="142"/>
      <c r="V92" s="179"/>
      <c r="W92" s="142"/>
      <c r="X92" s="141"/>
      <c r="Y92" s="140"/>
      <c r="Z92" s="141"/>
      <c r="AA92" s="141"/>
      <c r="AB92" s="141"/>
      <c r="AC92" s="141"/>
      <c r="AD92" s="141"/>
      <c r="AE92" s="141"/>
      <c r="AF92" s="142"/>
      <c r="AG92" s="142"/>
      <c r="AH92" s="142"/>
      <c r="AI92" s="142"/>
      <c r="AJ92" s="179"/>
      <c r="AK92" s="142"/>
      <c r="AL92" s="141">
        <v>24</v>
      </c>
      <c r="AM92" s="140">
        <v>0</v>
      </c>
      <c r="AN92" s="141">
        <v>0</v>
      </c>
      <c r="AO92" s="141">
        <v>0</v>
      </c>
      <c r="AP92" s="141">
        <v>0</v>
      </c>
      <c r="AQ92" s="141">
        <v>0</v>
      </c>
      <c r="AR92" s="141">
        <v>0</v>
      </c>
      <c r="AS92" s="141">
        <v>0</v>
      </c>
      <c r="AT92" s="142">
        <v>2.6</v>
      </c>
      <c r="AU92" s="142">
        <v>0.46800000000000003</v>
      </c>
      <c r="AV92" s="142">
        <v>2027.8610000000001</v>
      </c>
      <c r="AW92" s="142">
        <v>365.01799999999997</v>
      </c>
      <c r="AX92" s="179">
        <v>2392.8780000000002</v>
      </c>
      <c r="AY92" s="142">
        <v>3.0680000000000001</v>
      </c>
      <c r="AZ92" s="141">
        <v>13</v>
      </c>
      <c r="BA92" s="140">
        <v>31.2</v>
      </c>
      <c r="BB92" s="141">
        <v>36</v>
      </c>
      <c r="BC92" s="141">
        <v>1872</v>
      </c>
      <c r="BD92" s="141">
        <v>1872</v>
      </c>
      <c r="BE92" s="141">
        <v>2160</v>
      </c>
      <c r="BF92" s="141">
        <v>0</v>
      </c>
      <c r="BG92" s="141">
        <v>0</v>
      </c>
      <c r="BH92" s="142">
        <v>20.452999999999999</v>
      </c>
      <c r="BI92" s="142">
        <v>3.681</v>
      </c>
      <c r="BJ92" s="142">
        <v>15952.874</v>
      </c>
      <c r="BK92" s="142">
        <v>2871.5189999999998</v>
      </c>
      <c r="BL92" s="179">
        <v>18824.392</v>
      </c>
      <c r="BM92" s="142">
        <v>24.134</v>
      </c>
      <c r="BN92" s="141">
        <v>2567</v>
      </c>
      <c r="BO92" s="140">
        <v>0</v>
      </c>
      <c r="BP92" s="141">
        <v>0</v>
      </c>
      <c r="BQ92" s="141">
        <v>0</v>
      </c>
      <c r="BR92" s="141">
        <v>0</v>
      </c>
      <c r="BS92" s="141">
        <v>0</v>
      </c>
      <c r="BT92" s="141">
        <v>0</v>
      </c>
      <c r="BU92" s="141">
        <v>0</v>
      </c>
      <c r="BV92" s="142">
        <v>0</v>
      </c>
      <c r="BW92" s="142">
        <v>0</v>
      </c>
      <c r="BX92" s="142">
        <v>0</v>
      </c>
      <c r="BY92" s="142">
        <v>0</v>
      </c>
      <c r="BZ92" s="142">
        <v>0</v>
      </c>
      <c r="CA92" s="142">
        <v>0</v>
      </c>
      <c r="CB92" s="141">
        <v>49</v>
      </c>
      <c r="CC92" s="140">
        <v>50.7</v>
      </c>
      <c r="CD92" s="141">
        <v>74</v>
      </c>
      <c r="CE92" s="141">
        <v>3042</v>
      </c>
      <c r="CF92" s="141">
        <v>3042</v>
      </c>
      <c r="CG92" s="141">
        <v>3720</v>
      </c>
      <c r="CH92" s="141">
        <v>0</v>
      </c>
      <c r="CI92" s="141">
        <v>0</v>
      </c>
      <c r="CJ92" s="142">
        <v>0</v>
      </c>
      <c r="CK92" s="142">
        <v>0</v>
      </c>
      <c r="CL92" s="142">
        <v>0</v>
      </c>
      <c r="CM92" s="142">
        <v>0</v>
      </c>
      <c r="CN92" s="179">
        <v>0</v>
      </c>
      <c r="CO92" s="142">
        <v>0</v>
      </c>
    </row>
    <row r="93" spans="1:93" ht="16.5" customHeight="1">
      <c r="A93" s="222"/>
      <c r="B93" s="220" t="s">
        <v>351</v>
      </c>
      <c r="C93" s="220"/>
      <c r="D93" s="220"/>
      <c r="E93" s="136" t="s">
        <v>352</v>
      </c>
      <c r="F93" s="136" t="s">
        <v>209</v>
      </c>
      <c r="G93" s="139">
        <v>2025</v>
      </c>
      <c r="H93" s="136" t="s">
        <v>210</v>
      </c>
      <c r="I93" s="221"/>
      <c r="J93" s="221"/>
      <c r="K93" s="140"/>
      <c r="L93" s="141"/>
      <c r="M93" s="141"/>
      <c r="N93" s="141"/>
      <c r="O93" s="141"/>
      <c r="P93" s="141"/>
      <c r="Q93" s="141"/>
      <c r="R93" s="142"/>
      <c r="S93" s="142"/>
      <c r="T93" s="142"/>
      <c r="U93" s="142"/>
      <c r="V93" s="179"/>
      <c r="W93" s="142"/>
      <c r="X93" s="141">
        <v>7278</v>
      </c>
      <c r="Y93" s="140">
        <v>101871.6</v>
      </c>
      <c r="Z93" s="141">
        <v>0</v>
      </c>
      <c r="AA93" s="141">
        <v>6112296</v>
      </c>
      <c r="AB93" s="141">
        <v>325103</v>
      </c>
      <c r="AC93" s="141">
        <v>325388</v>
      </c>
      <c r="AD93" s="141">
        <v>220117</v>
      </c>
      <c r="AE93" s="141">
        <v>104986</v>
      </c>
      <c r="AF93" s="142">
        <v>2.1379999999999999</v>
      </c>
      <c r="AG93" s="142">
        <v>0.38500000000000001</v>
      </c>
      <c r="AH93" s="142">
        <v>1667.5830000000001</v>
      </c>
      <c r="AI93" s="142">
        <v>300.11799999999999</v>
      </c>
      <c r="AJ93" s="179">
        <v>1967.701</v>
      </c>
      <c r="AK93" s="142">
        <v>2.5230000000000001</v>
      </c>
      <c r="AL93" s="141"/>
      <c r="AM93" s="140"/>
      <c r="AN93" s="141"/>
      <c r="AO93" s="141"/>
      <c r="AP93" s="141"/>
      <c r="AQ93" s="141"/>
      <c r="AR93" s="141"/>
      <c r="AS93" s="141"/>
      <c r="AT93" s="142"/>
      <c r="AU93" s="142"/>
      <c r="AV93" s="142"/>
      <c r="AW93" s="142"/>
      <c r="AX93" s="179"/>
      <c r="AY93" s="142"/>
      <c r="AZ93" s="141">
        <v>7</v>
      </c>
      <c r="BA93" s="140">
        <v>41.65</v>
      </c>
      <c r="BB93" s="141">
        <v>46</v>
      </c>
      <c r="BC93" s="141">
        <v>2499</v>
      </c>
      <c r="BD93" s="141">
        <v>2499</v>
      </c>
      <c r="BE93" s="141">
        <v>2499</v>
      </c>
      <c r="BF93" s="141">
        <v>0</v>
      </c>
      <c r="BG93" s="141">
        <v>0</v>
      </c>
      <c r="BH93" s="142">
        <v>8.0839999999999996</v>
      </c>
      <c r="BI93" s="142">
        <v>1.4550000000000001</v>
      </c>
      <c r="BJ93" s="142">
        <v>6305.2780000000002</v>
      </c>
      <c r="BK93" s="142">
        <v>1134.95</v>
      </c>
      <c r="BL93" s="179">
        <v>7440.2280000000001</v>
      </c>
      <c r="BM93" s="142">
        <v>9.5389999999999997</v>
      </c>
      <c r="BN93" s="141">
        <v>348</v>
      </c>
      <c r="BO93" s="140">
        <v>0</v>
      </c>
      <c r="BP93" s="141">
        <v>0</v>
      </c>
      <c r="BQ93" s="141">
        <v>0</v>
      </c>
      <c r="BR93" s="141">
        <v>0</v>
      </c>
      <c r="BS93" s="141">
        <v>0</v>
      </c>
      <c r="BT93" s="141">
        <v>0</v>
      </c>
      <c r="BU93" s="141">
        <v>0</v>
      </c>
      <c r="BV93" s="142">
        <v>0</v>
      </c>
      <c r="BW93" s="142">
        <v>0</v>
      </c>
      <c r="BX93" s="142">
        <v>0</v>
      </c>
      <c r="BY93" s="142">
        <v>0</v>
      </c>
      <c r="BZ93" s="142">
        <v>0</v>
      </c>
      <c r="CA93" s="142">
        <v>0</v>
      </c>
      <c r="CB93" s="141">
        <v>9</v>
      </c>
      <c r="CC93" s="140">
        <v>27.266999999999999</v>
      </c>
      <c r="CD93" s="141">
        <v>32</v>
      </c>
      <c r="CE93" s="141">
        <v>1636</v>
      </c>
      <c r="CF93" s="141">
        <v>1636</v>
      </c>
      <c r="CG93" s="141">
        <v>1636</v>
      </c>
      <c r="CH93" s="141">
        <v>0</v>
      </c>
      <c r="CI93" s="141">
        <v>0</v>
      </c>
      <c r="CJ93" s="142">
        <v>0</v>
      </c>
      <c r="CK93" s="142">
        <v>0</v>
      </c>
      <c r="CL93" s="142">
        <v>0</v>
      </c>
      <c r="CM93" s="142">
        <v>0</v>
      </c>
      <c r="CN93" s="179">
        <v>0</v>
      </c>
      <c r="CO93" s="142">
        <v>0</v>
      </c>
    </row>
    <row r="94" spans="1:93" ht="16.5" customHeight="1">
      <c r="A94" s="222"/>
      <c r="B94" s="220" t="s">
        <v>353</v>
      </c>
      <c r="C94" s="220"/>
      <c r="D94" s="220"/>
      <c r="E94" s="136" t="s">
        <v>354</v>
      </c>
      <c r="F94" s="136" t="s">
        <v>209</v>
      </c>
      <c r="G94" s="139">
        <v>2025</v>
      </c>
      <c r="H94" s="136" t="s">
        <v>210</v>
      </c>
      <c r="I94" s="221"/>
      <c r="J94" s="221"/>
      <c r="K94" s="140"/>
      <c r="L94" s="141"/>
      <c r="M94" s="141"/>
      <c r="N94" s="141"/>
      <c r="O94" s="141"/>
      <c r="P94" s="141"/>
      <c r="Q94" s="141"/>
      <c r="R94" s="142"/>
      <c r="S94" s="142"/>
      <c r="T94" s="142"/>
      <c r="U94" s="142"/>
      <c r="V94" s="179"/>
      <c r="W94" s="142"/>
      <c r="X94" s="141">
        <v>3606</v>
      </c>
      <c r="Y94" s="140">
        <v>63527.65</v>
      </c>
      <c r="Z94" s="141">
        <v>0</v>
      </c>
      <c r="AA94" s="141">
        <v>3811659</v>
      </c>
      <c r="AB94" s="141">
        <v>102422</v>
      </c>
      <c r="AC94" s="141">
        <v>102867</v>
      </c>
      <c r="AD94" s="141">
        <v>55951</v>
      </c>
      <c r="AE94" s="141">
        <v>46471</v>
      </c>
      <c r="AF94" s="142">
        <v>0.67600000000000005</v>
      </c>
      <c r="AG94" s="142">
        <v>0.122</v>
      </c>
      <c r="AH94" s="142">
        <v>527.27700000000004</v>
      </c>
      <c r="AI94" s="142">
        <v>94.84</v>
      </c>
      <c r="AJ94" s="179">
        <v>622.11699999999996</v>
      </c>
      <c r="AK94" s="142">
        <v>0.79800000000000004</v>
      </c>
      <c r="AL94" s="141">
        <v>11</v>
      </c>
      <c r="AM94" s="140">
        <v>0</v>
      </c>
      <c r="AN94" s="141">
        <v>0</v>
      </c>
      <c r="AO94" s="141">
        <v>0</v>
      </c>
      <c r="AP94" s="141">
        <v>0</v>
      </c>
      <c r="AQ94" s="141">
        <v>0</v>
      </c>
      <c r="AR94" s="141">
        <v>0</v>
      </c>
      <c r="AS94" s="141">
        <v>0</v>
      </c>
      <c r="AT94" s="142">
        <v>0.37</v>
      </c>
      <c r="AU94" s="142">
        <v>6.7000000000000004E-2</v>
      </c>
      <c r="AV94" s="142">
        <v>288.62</v>
      </c>
      <c r="AW94" s="142">
        <v>51.951000000000001</v>
      </c>
      <c r="AX94" s="179">
        <v>340.57100000000003</v>
      </c>
      <c r="AY94" s="142">
        <v>0.437</v>
      </c>
      <c r="AZ94" s="141">
        <v>18</v>
      </c>
      <c r="BA94" s="140">
        <v>48.383000000000003</v>
      </c>
      <c r="BB94" s="141">
        <v>60</v>
      </c>
      <c r="BC94" s="141">
        <v>2903</v>
      </c>
      <c r="BD94" s="141">
        <v>2903</v>
      </c>
      <c r="BE94" s="141">
        <v>2903</v>
      </c>
      <c r="BF94" s="141">
        <v>0</v>
      </c>
      <c r="BG94" s="141">
        <v>0</v>
      </c>
      <c r="BH94" s="142">
        <v>4.1219999999999999</v>
      </c>
      <c r="BI94" s="142">
        <v>0.74199999999999999</v>
      </c>
      <c r="BJ94" s="142">
        <v>3215.2809999999999</v>
      </c>
      <c r="BK94" s="142">
        <v>578.75199999999995</v>
      </c>
      <c r="BL94" s="179">
        <v>3794.0329999999999</v>
      </c>
      <c r="BM94" s="142">
        <v>4.8639999999999999</v>
      </c>
      <c r="BN94" s="141">
        <v>223</v>
      </c>
      <c r="BO94" s="140">
        <v>0</v>
      </c>
      <c r="BP94" s="141">
        <v>0</v>
      </c>
      <c r="BQ94" s="141">
        <v>0</v>
      </c>
      <c r="BR94" s="141">
        <v>0</v>
      </c>
      <c r="BS94" s="141">
        <v>0</v>
      </c>
      <c r="BT94" s="141">
        <v>0</v>
      </c>
      <c r="BU94" s="141">
        <v>0</v>
      </c>
      <c r="BV94" s="142">
        <v>0</v>
      </c>
      <c r="BW94" s="142">
        <v>0</v>
      </c>
      <c r="BX94" s="142">
        <v>0</v>
      </c>
      <c r="BY94" s="142">
        <v>0</v>
      </c>
      <c r="BZ94" s="142">
        <v>0</v>
      </c>
      <c r="CA94" s="142">
        <v>0</v>
      </c>
      <c r="CB94" s="141">
        <v>12</v>
      </c>
      <c r="CC94" s="140">
        <v>52.55</v>
      </c>
      <c r="CD94" s="141">
        <v>57</v>
      </c>
      <c r="CE94" s="141">
        <v>3153</v>
      </c>
      <c r="CF94" s="141">
        <v>3153</v>
      </c>
      <c r="CG94" s="141">
        <v>3153</v>
      </c>
      <c r="CH94" s="141">
        <v>0</v>
      </c>
      <c r="CI94" s="141">
        <v>0</v>
      </c>
      <c r="CJ94" s="142">
        <v>0</v>
      </c>
      <c r="CK94" s="142">
        <v>0</v>
      </c>
      <c r="CL94" s="142">
        <v>0</v>
      </c>
      <c r="CM94" s="142">
        <v>0</v>
      </c>
      <c r="CN94" s="179">
        <v>0</v>
      </c>
      <c r="CO94" s="142">
        <v>0</v>
      </c>
    </row>
    <row r="95" spans="1:93" ht="16.5" customHeight="1">
      <c r="A95" s="222"/>
      <c r="B95" s="220" t="s">
        <v>355</v>
      </c>
      <c r="C95" s="220"/>
      <c r="D95" s="220"/>
      <c r="E95" s="136" t="s">
        <v>356</v>
      </c>
      <c r="F95" s="136" t="s">
        <v>209</v>
      </c>
      <c r="G95" s="139">
        <v>2025</v>
      </c>
      <c r="H95" s="136" t="s">
        <v>210</v>
      </c>
      <c r="I95" s="221"/>
      <c r="J95" s="221"/>
      <c r="K95" s="140"/>
      <c r="L95" s="141"/>
      <c r="M95" s="141"/>
      <c r="N95" s="141"/>
      <c r="O95" s="141"/>
      <c r="P95" s="141"/>
      <c r="Q95" s="141"/>
      <c r="R95" s="142"/>
      <c r="S95" s="142"/>
      <c r="T95" s="142"/>
      <c r="U95" s="142"/>
      <c r="V95" s="179"/>
      <c r="W95" s="142"/>
      <c r="X95" s="141">
        <v>2</v>
      </c>
      <c r="Y95" s="140">
        <v>0.48299999999999998</v>
      </c>
      <c r="Z95" s="141">
        <v>0</v>
      </c>
      <c r="AA95" s="141">
        <v>29</v>
      </c>
      <c r="AB95" s="141">
        <v>121</v>
      </c>
      <c r="AC95" s="141">
        <v>150</v>
      </c>
      <c r="AD95" s="141">
        <v>114</v>
      </c>
      <c r="AE95" s="141">
        <v>7</v>
      </c>
      <c r="AF95" s="142">
        <v>1.44</v>
      </c>
      <c r="AG95" s="142">
        <v>0.25900000000000001</v>
      </c>
      <c r="AH95" s="142">
        <v>1123.088</v>
      </c>
      <c r="AI95" s="142">
        <v>202.15600000000001</v>
      </c>
      <c r="AJ95" s="179">
        <v>1325.2439999999999</v>
      </c>
      <c r="AK95" s="142">
        <v>1.6990000000000001</v>
      </c>
      <c r="AL95" s="141"/>
      <c r="AM95" s="140"/>
      <c r="AN95" s="141"/>
      <c r="AO95" s="141"/>
      <c r="AP95" s="141"/>
      <c r="AQ95" s="141"/>
      <c r="AR95" s="141"/>
      <c r="AS95" s="141"/>
      <c r="AT95" s="142"/>
      <c r="AU95" s="142"/>
      <c r="AV95" s="142"/>
      <c r="AW95" s="142"/>
      <c r="AX95" s="179"/>
      <c r="AY95" s="142"/>
      <c r="AZ95" s="141"/>
      <c r="BA95" s="140"/>
      <c r="BB95" s="141"/>
      <c r="BC95" s="141"/>
      <c r="BD95" s="141"/>
      <c r="BE95" s="141"/>
      <c r="BF95" s="141"/>
      <c r="BG95" s="141"/>
      <c r="BH95" s="142"/>
      <c r="BI95" s="142"/>
      <c r="BJ95" s="142"/>
      <c r="BK95" s="142"/>
      <c r="BL95" s="179"/>
      <c r="BM95" s="142"/>
      <c r="BN95" s="141">
        <v>1</v>
      </c>
      <c r="BO95" s="140">
        <v>0</v>
      </c>
      <c r="BP95" s="141">
        <v>0</v>
      </c>
      <c r="BQ95" s="141">
        <v>0</v>
      </c>
      <c r="BR95" s="141">
        <v>0</v>
      </c>
      <c r="BS95" s="141">
        <v>0</v>
      </c>
      <c r="BT95" s="141">
        <v>0</v>
      </c>
      <c r="BU95" s="141">
        <v>0</v>
      </c>
      <c r="BV95" s="142">
        <v>0</v>
      </c>
      <c r="BW95" s="142">
        <v>0</v>
      </c>
      <c r="BX95" s="142">
        <v>0</v>
      </c>
      <c r="BY95" s="142">
        <v>0</v>
      </c>
      <c r="BZ95" s="142">
        <v>0</v>
      </c>
      <c r="CA95" s="142">
        <v>0</v>
      </c>
      <c r="CB95" s="141"/>
      <c r="CC95" s="140"/>
      <c r="CD95" s="141"/>
      <c r="CE95" s="141"/>
      <c r="CF95" s="141"/>
      <c r="CG95" s="141"/>
      <c r="CH95" s="141"/>
      <c r="CI95" s="141"/>
      <c r="CJ95" s="142"/>
      <c r="CK95" s="142"/>
      <c r="CL95" s="142"/>
      <c r="CM95" s="142"/>
      <c r="CN95" s="179"/>
      <c r="CO95" s="142"/>
    </row>
    <row r="96" spans="1:93" ht="16.5" customHeight="1">
      <c r="A96" s="222"/>
      <c r="B96" s="220" t="s">
        <v>357</v>
      </c>
      <c r="C96" s="220"/>
      <c r="D96" s="220"/>
      <c r="E96" s="136" t="s">
        <v>358</v>
      </c>
      <c r="F96" s="136" t="s">
        <v>209</v>
      </c>
      <c r="G96" s="139">
        <v>2025</v>
      </c>
      <c r="H96" s="136" t="s">
        <v>210</v>
      </c>
      <c r="I96" s="221"/>
      <c r="J96" s="221"/>
      <c r="K96" s="140"/>
      <c r="L96" s="141"/>
      <c r="M96" s="141"/>
      <c r="N96" s="141"/>
      <c r="O96" s="141"/>
      <c r="P96" s="141"/>
      <c r="Q96" s="141"/>
      <c r="R96" s="142"/>
      <c r="S96" s="142"/>
      <c r="T96" s="142"/>
      <c r="U96" s="142"/>
      <c r="V96" s="179"/>
      <c r="W96" s="142"/>
      <c r="X96" s="141"/>
      <c r="Y96" s="140"/>
      <c r="Z96" s="141"/>
      <c r="AA96" s="141"/>
      <c r="AB96" s="141"/>
      <c r="AC96" s="141"/>
      <c r="AD96" s="141"/>
      <c r="AE96" s="141"/>
      <c r="AF96" s="142"/>
      <c r="AG96" s="142"/>
      <c r="AH96" s="142"/>
      <c r="AI96" s="142"/>
      <c r="AJ96" s="179"/>
      <c r="AK96" s="142"/>
      <c r="AL96" s="141"/>
      <c r="AM96" s="140"/>
      <c r="AN96" s="141"/>
      <c r="AO96" s="141"/>
      <c r="AP96" s="141"/>
      <c r="AQ96" s="141"/>
      <c r="AR96" s="141"/>
      <c r="AS96" s="141"/>
      <c r="AT96" s="142"/>
      <c r="AU96" s="142"/>
      <c r="AV96" s="142"/>
      <c r="AW96" s="142"/>
      <c r="AX96" s="179"/>
      <c r="AY96" s="142"/>
      <c r="AZ96" s="141"/>
      <c r="BA96" s="140"/>
      <c r="BB96" s="141"/>
      <c r="BC96" s="141"/>
      <c r="BD96" s="141"/>
      <c r="BE96" s="141"/>
      <c r="BF96" s="141"/>
      <c r="BG96" s="141"/>
      <c r="BH96" s="142"/>
      <c r="BI96" s="142"/>
      <c r="BJ96" s="142"/>
      <c r="BK96" s="142"/>
      <c r="BL96" s="179"/>
      <c r="BM96" s="142"/>
      <c r="BN96" s="141">
        <v>6</v>
      </c>
      <c r="BO96" s="140">
        <v>0</v>
      </c>
      <c r="BP96" s="141">
        <v>0</v>
      </c>
      <c r="BQ96" s="141">
        <v>0</v>
      </c>
      <c r="BR96" s="141">
        <v>0</v>
      </c>
      <c r="BS96" s="141">
        <v>0</v>
      </c>
      <c r="BT96" s="141">
        <v>0</v>
      </c>
      <c r="BU96" s="141">
        <v>0</v>
      </c>
      <c r="BV96" s="142">
        <v>0</v>
      </c>
      <c r="BW96" s="142">
        <v>0</v>
      </c>
      <c r="BX96" s="142">
        <v>0</v>
      </c>
      <c r="BY96" s="142">
        <v>0</v>
      </c>
      <c r="BZ96" s="142">
        <v>0</v>
      </c>
      <c r="CA96" s="142">
        <v>0</v>
      </c>
      <c r="CB96" s="141"/>
      <c r="CC96" s="140"/>
      <c r="CD96" s="141"/>
      <c r="CE96" s="141"/>
      <c r="CF96" s="141"/>
      <c r="CG96" s="141"/>
      <c r="CH96" s="141"/>
      <c r="CI96" s="141"/>
      <c r="CJ96" s="142"/>
      <c r="CK96" s="142"/>
      <c r="CL96" s="142"/>
      <c r="CM96" s="142"/>
      <c r="CN96" s="179"/>
      <c r="CO96" s="142"/>
    </row>
    <row r="97" spans="1:93" ht="16.5" customHeight="1">
      <c r="A97" s="222"/>
      <c r="B97" s="220" t="s">
        <v>359</v>
      </c>
      <c r="C97" s="220"/>
      <c r="D97" s="220"/>
      <c r="E97" s="136" t="s">
        <v>360</v>
      </c>
      <c r="F97" s="136" t="s">
        <v>209</v>
      </c>
      <c r="G97" s="139">
        <v>2025</v>
      </c>
      <c r="H97" s="136" t="s">
        <v>210</v>
      </c>
      <c r="I97" s="221"/>
      <c r="J97" s="221"/>
      <c r="K97" s="140"/>
      <c r="L97" s="141"/>
      <c r="M97" s="141"/>
      <c r="N97" s="141"/>
      <c r="O97" s="141"/>
      <c r="P97" s="141"/>
      <c r="Q97" s="141"/>
      <c r="R97" s="142"/>
      <c r="S97" s="142"/>
      <c r="T97" s="142"/>
      <c r="U97" s="142"/>
      <c r="V97" s="179"/>
      <c r="W97" s="142"/>
      <c r="X97" s="141">
        <v>3965</v>
      </c>
      <c r="Y97" s="140">
        <v>78221.082999999999</v>
      </c>
      <c r="Z97" s="141">
        <v>0</v>
      </c>
      <c r="AA97" s="141">
        <v>4693265</v>
      </c>
      <c r="AB97" s="141">
        <v>6886</v>
      </c>
      <c r="AC97" s="141">
        <v>6887</v>
      </c>
      <c r="AD97" s="141">
        <v>5118</v>
      </c>
      <c r="AE97" s="141">
        <v>1768</v>
      </c>
      <c r="AF97" s="142">
        <v>4.4999999999999998E-2</v>
      </c>
      <c r="AG97" s="142">
        <v>8.0000000000000002E-3</v>
      </c>
      <c r="AH97" s="142">
        <v>35.293999999999997</v>
      </c>
      <c r="AI97" s="142">
        <v>6.3520000000000003</v>
      </c>
      <c r="AJ97" s="179">
        <v>41.646000000000001</v>
      </c>
      <c r="AK97" s="142">
        <v>5.2999999999999999E-2</v>
      </c>
      <c r="AL97" s="141">
        <v>7</v>
      </c>
      <c r="AM97" s="140">
        <v>0</v>
      </c>
      <c r="AN97" s="141">
        <v>0</v>
      </c>
      <c r="AO97" s="141">
        <v>0</v>
      </c>
      <c r="AP97" s="141">
        <v>0</v>
      </c>
      <c r="AQ97" s="141">
        <v>0</v>
      </c>
      <c r="AR97" s="141">
        <v>0</v>
      </c>
      <c r="AS97" s="141">
        <v>0</v>
      </c>
      <c r="AT97" s="142">
        <v>0.23499999999999999</v>
      </c>
      <c r="AU97" s="142">
        <v>4.2000000000000003E-2</v>
      </c>
      <c r="AV97" s="142">
        <v>183.667</v>
      </c>
      <c r="AW97" s="142">
        <v>33.06</v>
      </c>
      <c r="AX97" s="179">
        <v>216.727</v>
      </c>
      <c r="AY97" s="142">
        <v>0.27800000000000002</v>
      </c>
      <c r="AZ97" s="141">
        <v>4</v>
      </c>
      <c r="BA97" s="140">
        <v>1.05</v>
      </c>
      <c r="BB97" s="141">
        <v>4</v>
      </c>
      <c r="BC97" s="141">
        <v>63</v>
      </c>
      <c r="BD97" s="141">
        <v>63</v>
      </c>
      <c r="BE97" s="141">
        <v>63</v>
      </c>
      <c r="BF97" s="141">
        <v>0</v>
      </c>
      <c r="BG97" s="141">
        <v>0</v>
      </c>
      <c r="BH97" s="142">
        <v>0.182</v>
      </c>
      <c r="BI97" s="142">
        <v>3.3000000000000002E-2</v>
      </c>
      <c r="BJ97" s="142">
        <v>142.124</v>
      </c>
      <c r="BK97" s="142">
        <v>25.582000000000001</v>
      </c>
      <c r="BL97" s="179">
        <v>167.70599999999999</v>
      </c>
      <c r="BM97" s="142">
        <v>0.215</v>
      </c>
      <c r="BN97" s="141">
        <v>106</v>
      </c>
      <c r="BO97" s="140">
        <v>0</v>
      </c>
      <c r="BP97" s="141">
        <v>0</v>
      </c>
      <c r="BQ97" s="141">
        <v>0</v>
      </c>
      <c r="BR97" s="141">
        <v>0</v>
      </c>
      <c r="BS97" s="141">
        <v>0</v>
      </c>
      <c r="BT97" s="141">
        <v>0</v>
      </c>
      <c r="BU97" s="141">
        <v>0</v>
      </c>
      <c r="BV97" s="142">
        <v>0</v>
      </c>
      <c r="BW97" s="142">
        <v>0</v>
      </c>
      <c r="BX97" s="142">
        <v>0</v>
      </c>
      <c r="BY97" s="142">
        <v>0</v>
      </c>
      <c r="BZ97" s="142">
        <v>0</v>
      </c>
      <c r="CA97" s="142">
        <v>0</v>
      </c>
      <c r="CB97" s="141">
        <v>8</v>
      </c>
      <c r="CC97" s="140">
        <v>24.2</v>
      </c>
      <c r="CD97" s="141">
        <v>28</v>
      </c>
      <c r="CE97" s="141">
        <v>1452</v>
      </c>
      <c r="CF97" s="141">
        <v>1452</v>
      </c>
      <c r="CG97" s="141">
        <v>1452</v>
      </c>
      <c r="CH97" s="141">
        <v>0</v>
      </c>
      <c r="CI97" s="141">
        <v>0</v>
      </c>
      <c r="CJ97" s="142">
        <v>0</v>
      </c>
      <c r="CK97" s="142">
        <v>0</v>
      </c>
      <c r="CL97" s="142">
        <v>0</v>
      </c>
      <c r="CM97" s="142">
        <v>0</v>
      </c>
      <c r="CN97" s="179">
        <v>0</v>
      </c>
      <c r="CO97" s="142">
        <v>0</v>
      </c>
    </row>
    <row r="98" spans="1:93" ht="16.5" customHeight="1">
      <c r="A98" s="222"/>
      <c r="B98" s="220" t="s">
        <v>361</v>
      </c>
      <c r="C98" s="220"/>
      <c r="D98" s="220"/>
      <c r="E98" s="136" t="s">
        <v>362</v>
      </c>
      <c r="F98" s="136" t="s">
        <v>209</v>
      </c>
      <c r="G98" s="139">
        <v>2025</v>
      </c>
      <c r="H98" s="136" t="s">
        <v>210</v>
      </c>
      <c r="I98" s="221"/>
      <c r="J98" s="221"/>
      <c r="K98" s="140"/>
      <c r="L98" s="141"/>
      <c r="M98" s="141"/>
      <c r="N98" s="141"/>
      <c r="O98" s="141"/>
      <c r="P98" s="141"/>
      <c r="Q98" s="141"/>
      <c r="R98" s="142"/>
      <c r="S98" s="142"/>
      <c r="T98" s="142"/>
      <c r="U98" s="142"/>
      <c r="V98" s="179"/>
      <c r="W98" s="142"/>
      <c r="X98" s="141"/>
      <c r="Y98" s="140"/>
      <c r="Z98" s="141"/>
      <c r="AA98" s="141"/>
      <c r="AB98" s="141"/>
      <c r="AC98" s="141"/>
      <c r="AD98" s="141"/>
      <c r="AE98" s="141"/>
      <c r="AF98" s="142"/>
      <c r="AG98" s="142"/>
      <c r="AH98" s="142"/>
      <c r="AI98" s="142"/>
      <c r="AJ98" s="179"/>
      <c r="AK98" s="142"/>
      <c r="AL98" s="141">
        <v>6</v>
      </c>
      <c r="AM98" s="140">
        <v>0</v>
      </c>
      <c r="AN98" s="141">
        <v>0</v>
      </c>
      <c r="AO98" s="141">
        <v>0</v>
      </c>
      <c r="AP98" s="141">
        <v>0</v>
      </c>
      <c r="AQ98" s="141">
        <v>0</v>
      </c>
      <c r="AR98" s="141">
        <v>0</v>
      </c>
      <c r="AS98" s="141">
        <v>0</v>
      </c>
      <c r="AT98" s="142">
        <v>4.8000000000000001E-2</v>
      </c>
      <c r="AU98" s="142">
        <v>8.9999999999999993E-3</v>
      </c>
      <c r="AV98" s="142">
        <v>37.387999999999998</v>
      </c>
      <c r="AW98" s="142">
        <v>6.73</v>
      </c>
      <c r="AX98" s="179">
        <v>44.118000000000002</v>
      </c>
      <c r="AY98" s="142">
        <v>5.7000000000000002E-2</v>
      </c>
      <c r="AZ98" s="141"/>
      <c r="BA98" s="140"/>
      <c r="BB98" s="141"/>
      <c r="BC98" s="141"/>
      <c r="BD98" s="141"/>
      <c r="BE98" s="141"/>
      <c r="BF98" s="141"/>
      <c r="BG98" s="141"/>
      <c r="BH98" s="142"/>
      <c r="BI98" s="142"/>
      <c r="BJ98" s="142"/>
      <c r="BK98" s="142"/>
      <c r="BL98" s="179"/>
      <c r="BM98" s="142"/>
      <c r="BN98" s="141">
        <v>1549</v>
      </c>
      <c r="BO98" s="140">
        <v>0</v>
      </c>
      <c r="BP98" s="141">
        <v>0</v>
      </c>
      <c r="BQ98" s="141">
        <v>0</v>
      </c>
      <c r="BR98" s="141">
        <v>0</v>
      </c>
      <c r="BS98" s="141">
        <v>0</v>
      </c>
      <c r="BT98" s="141">
        <v>0</v>
      </c>
      <c r="BU98" s="141">
        <v>0</v>
      </c>
      <c r="BV98" s="142">
        <v>0</v>
      </c>
      <c r="BW98" s="142">
        <v>0</v>
      </c>
      <c r="BX98" s="142">
        <v>0</v>
      </c>
      <c r="BY98" s="142">
        <v>0</v>
      </c>
      <c r="BZ98" s="142">
        <v>0</v>
      </c>
      <c r="CA98" s="142">
        <v>0</v>
      </c>
      <c r="CB98" s="141">
        <v>10</v>
      </c>
      <c r="CC98" s="140">
        <v>1.85</v>
      </c>
      <c r="CD98" s="141">
        <v>10</v>
      </c>
      <c r="CE98" s="141">
        <v>111</v>
      </c>
      <c r="CF98" s="141">
        <v>111</v>
      </c>
      <c r="CG98" s="141">
        <v>111</v>
      </c>
      <c r="CH98" s="141">
        <v>0</v>
      </c>
      <c r="CI98" s="141">
        <v>0</v>
      </c>
      <c r="CJ98" s="142">
        <v>0</v>
      </c>
      <c r="CK98" s="142">
        <v>0</v>
      </c>
      <c r="CL98" s="142">
        <v>0</v>
      </c>
      <c r="CM98" s="142">
        <v>0</v>
      </c>
      <c r="CN98" s="179">
        <v>0</v>
      </c>
      <c r="CO98" s="142">
        <v>0</v>
      </c>
    </row>
    <row r="99" spans="1:93" ht="16.5" customHeight="1">
      <c r="A99" s="222"/>
      <c r="B99" s="220" t="s">
        <v>363</v>
      </c>
      <c r="C99" s="220"/>
      <c r="D99" s="220"/>
      <c r="E99" s="136" t="s">
        <v>364</v>
      </c>
      <c r="F99" s="136" t="s">
        <v>209</v>
      </c>
      <c r="G99" s="139">
        <v>2025</v>
      </c>
      <c r="H99" s="136" t="s">
        <v>210</v>
      </c>
      <c r="I99" s="221"/>
      <c r="J99" s="221"/>
      <c r="K99" s="140"/>
      <c r="L99" s="141"/>
      <c r="M99" s="141"/>
      <c r="N99" s="141"/>
      <c r="O99" s="141"/>
      <c r="P99" s="141"/>
      <c r="Q99" s="141"/>
      <c r="R99" s="142"/>
      <c r="S99" s="142"/>
      <c r="T99" s="142"/>
      <c r="U99" s="142"/>
      <c r="V99" s="179"/>
      <c r="W99" s="142"/>
      <c r="X99" s="141">
        <v>10755</v>
      </c>
      <c r="Y99" s="140">
        <v>193056.16699999999</v>
      </c>
      <c r="Z99" s="141">
        <v>0</v>
      </c>
      <c r="AA99" s="141">
        <v>11583370</v>
      </c>
      <c r="AB99" s="141">
        <v>1123373</v>
      </c>
      <c r="AC99" s="141">
        <v>1123743</v>
      </c>
      <c r="AD99" s="141">
        <v>1072016</v>
      </c>
      <c r="AE99" s="141">
        <v>51358</v>
      </c>
      <c r="AF99" s="142">
        <v>4.43</v>
      </c>
      <c r="AG99" s="142">
        <v>0.79800000000000004</v>
      </c>
      <c r="AH99" s="142">
        <v>3455.308</v>
      </c>
      <c r="AI99" s="142">
        <v>622.06299999999999</v>
      </c>
      <c r="AJ99" s="179">
        <v>4077.3710000000001</v>
      </c>
      <c r="AK99" s="142">
        <v>5.2270000000000003</v>
      </c>
      <c r="AL99" s="141">
        <v>8</v>
      </c>
      <c r="AM99" s="140">
        <v>0</v>
      </c>
      <c r="AN99" s="141">
        <v>0</v>
      </c>
      <c r="AO99" s="141">
        <v>0</v>
      </c>
      <c r="AP99" s="141">
        <v>0</v>
      </c>
      <c r="AQ99" s="141">
        <v>0</v>
      </c>
      <c r="AR99" s="141">
        <v>0</v>
      </c>
      <c r="AS99" s="141">
        <v>0</v>
      </c>
      <c r="AT99" s="142">
        <v>6.4000000000000001E-2</v>
      </c>
      <c r="AU99" s="142">
        <v>1.2E-2</v>
      </c>
      <c r="AV99" s="142">
        <v>49.850999999999999</v>
      </c>
      <c r="AW99" s="142">
        <v>8.9730000000000008</v>
      </c>
      <c r="AX99" s="179">
        <v>58.823999999999998</v>
      </c>
      <c r="AY99" s="142">
        <v>7.4999999999999997E-2</v>
      </c>
      <c r="AZ99" s="141">
        <v>3</v>
      </c>
      <c r="BA99" s="140">
        <v>2.5499999999999998</v>
      </c>
      <c r="BB99" s="141">
        <v>5</v>
      </c>
      <c r="BC99" s="141">
        <v>153</v>
      </c>
      <c r="BD99" s="141">
        <v>153</v>
      </c>
      <c r="BE99" s="141">
        <v>153</v>
      </c>
      <c r="BF99" s="141">
        <v>0</v>
      </c>
      <c r="BG99" s="141">
        <v>0</v>
      </c>
      <c r="BH99" s="142">
        <v>4.1000000000000002E-2</v>
      </c>
      <c r="BI99" s="142">
        <v>7.0000000000000001E-3</v>
      </c>
      <c r="BJ99" s="142">
        <v>31.782</v>
      </c>
      <c r="BK99" s="142">
        <v>5.7210000000000001</v>
      </c>
      <c r="BL99" s="179">
        <v>37.503999999999998</v>
      </c>
      <c r="BM99" s="142">
        <v>4.8000000000000001E-2</v>
      </c>
      <c r="BN99" s="141">
        <v>946</v>
      </c>
      <c r="BO99" s="140">
        <v>0</v>
      </c>
      <c r="BP99" s="141">
        <v>0</v>
      </c>
      <c r="BQ99" s="141">
        <v>0</v>
      </c>
      <c r="BR99" s="141">
        <v>0</v>
      </c>
      <c r="BS99" s="141">
        <v>0</v>
      </c>
      <c r="BT99" s="141">
        <v>0</v>
      </c>
      <c r="BU99" s="141">
        <v>0</v>
      </c>
      <c r="BV99" s="142">
        <v>0</v>
      </c>
      <c r="BW99" s="142">
        <v>0</v>
      </c>
      <c r="BX99" s="142">
        <v>0</v>
      </c>
      <c r="BY99" s="142">
        <v>0</v>
      </c>
      <c r="BZ99" s="142">
        <v>0</v>
      </c>
      <c r="CA99" s="142">
        <v>0</v>
      </c>
      <c r="CB99" s="141">
        <v>3</v>
      </c>
      <c r="CC99" s="140">
        <v>7.9169999999999998</v>
      </c>
      <c r="CD99" s="141">
        <v>10</v>
      </c>
      <c r="CE99" s="141">
        <v>475</v>
      </c>
      <c r="CF99" s="141">
        <v>475</v>
      </c>
      <c r="CG99" s="141">
        <v>475</v>
      </c>
      <c r="CH99" s="141">
        <v>0</v>
      </c>
      <c r="CI99" s="141">
        <v>0</v>
      </c>
      <c r="CJ99" s="142">
        <v>0</v>
      </c>
      <c r="CK99" s="142">
        <v>0</v>
      </c>
      <c r="CL99" s="142">
        <v>0</v>
      </c>
      <c r="CM99" s="142">
        <v>0</v>
      </c>
      <c r="CN99" s="179">
        <v>0</v>
      </c>
      <c r="CO99" s="142">
        <v>0</v>
      </c>
    </row>
    <row r="100" spans="1:93" ht="16.5" customHeight="1">
      <c r="A100" s="222"/>
      <c r="B100" s="220" t="s">
        <v>365</v>
      </c>
      <c r="C100" s="220"/>
      <c r="D100" s="220"/>
      <c r="E100" s="136" t="s">
        <v>366</v>
      </c>
      <c r="F100" s="136" t="s">
        <v>209</v>
      </c>
      <c r="G100" s="139">
        <v>2025</v>
      </c>
      <c r="H100" s="136" t="s">
        <v>210</v>
      </c>
      <c r="I100" s="221"/>
      <c r="J100" s="221"/>
      <c r="K100" s="140"/>
      <c r="L100" s="141"/>
      <c r="M100" s="141"/>
      <c r="N100" s="141"/>
      <c r="O100" s="141"/>
      <c r="P100" s="141"/>
      <c r="Q100" s="141"/>
      <c r="R100" s="142"/>
      <c r="S100" s="142"/>
      <c r="T100" s="142"/>
      <c r="U100" s="142"/>
      <c r="V100" s="179"/>
      <c r="W100" s="142"/>
      <c r="X100" s="141">
        <v>42334</v>
      </c>
      <c r="Y100" s="140">
        <v>763360.55</v>
      </c>
      <c r="Z100" s="141">
        <v>0</v>
      </c>
      <c r="AA100" s="141">
        <v>45801633</v>
      </c>
      <c r="AB100" s="141">
        <v>53981</v>
      </c>
      <c r="AC100" s="141">
        <v>54766</v>
      </c>
      <c r="AD100" s="141">
        <v>14979</v>
      </c>
      <c r="AE100" s="141">
        <v>39002</v>
      </c>
      <c r="AF100" s="142">
        <v>0.216</v>
      </c>
      <c r="AG100" s="142">
        <v>3.9E-2</v>
      </c>
      <c r="AH100" s="142">
        <v>168.501</v>
      </c>
      <c r="AI100" s="142">
        <v>30.376999999999999</v>
      </c>
      <c r="AJ100" s="179">
        <v>198.87799999999999</v>
      </c>
      <c r="AK100" s="142">
        <v>0.255</v>
      </c>
      <c r="AL100" s="141">
        <v>29</v>
      </c>
      <c r="AM100" s="140">
        <v>0</v>
      </c>
      <c r="AN100" s="141">
        <v>0</v>
      </c>
      <c r="AO100" s="141">
        <v>0</v>
      </c>
      <c r="AP100" s="141">
        <v>0</v>
      </c>
      <c r="AQ100" s="141">
        <v>0</v>
      </c>
      <c r="AR100" s="141">
        <v>0</v>
      </c>
      <c r="AS100" s="141">
        <v>0</v>
      </c>
      <c r="AT100" s="142">
        <v>0.23200000000000001</v>
      </c>
      <c r="AU100" s="142">
        <v>4.2000000000000003E-2</v>
      </c>
      <c r="AV100" s="142">
        <v>180.709</v>
      </c>
      <c r="AW100" s="142">
        <v>32.527000000000001</v>
      </c>
      <c r="AX100" s="179">
        <v>213.23699999999999</v>
      </c>
      <c r="AY100" s="142">
        <v>0.27300000000000002</v>
      </c>
      <c r="AZ100" s="141">
        <v>6</v>
      </c>
      <c r="BA100" s="140">
        <v>3.2669999999999999</v>
      </c>
      <c r="BB100" s="141">
        <v>6</v>
      </c>
      <c r="BC100" s="141">
        <v>196</v>
      </c>
      <c r="BD100" s="141">
        <v>196</v>
      </c>
      <c r="BE100" s="141">
        <v>196</v>
      </c>
      <c r="BF100" s="141">
        <v>0</v>
      </c>
      <c r="BG100" s="141">
        <v>0</v>
      </c>
      <c r="BH100" s="142">
        <v>0.436</v>
      </c>
      <c r="BI100" s="142">
        <v>7.8E-2</v>
      </c>
      <c r="BJ100" s="142">
        <v>339.76499999999999</v>
      </c>
      <c r="BK100" s="142">
        <v>61.158000000000001</v>
      </c>
      <c r="BL100" s="179">
        <v>400.92200000000003</v>
      </c>
      <c r="BM100" s="142">
        <v>0.51400000000000001</v>
      </c>
      <c r="BN100" s="141">
        <v>3367</v>
      </c>
      <c r="BO100" s="140">
        <v>0</v>
      </c>
      <c r="BP100" s="141">
        <v>0</v>
      </c>
      <c r="BQ100" s="141">
        <v>0</v>
      </c>
      <c r="BR100" s="141">
        <v>0</v>
      </c>
      <c r="BS100" s="141">
        <v>0</v>
      </c>
      <c r="BT100" s="141">
        <v>0</v>
      </c>
      <c r="BU100" s="141">
        <v>0</v>
      </c>
      <c r="BV100" s="142">
        <v>0</v>
      </c>
      <c r="BW100" s="142">
        <v>0</v>
      </c>
      <c r="BX100" s="142">
        <v>0</v>
      </c>
      <c r="BY100" s="142">
        <v>0</v>
      </c>
      <c r="BZ100" s="142">
        <v>0</v>
      </c>
      <c r="CA100" s="142">
        <v>0</v>
      </c>
      <c r="CB100" s="141">
        <v>10</v>
      </c>
      <c r="CC100" s="140">
        <v>9.2669999999999995</v>
      </c>
      <c r="CD100" s="141">
        <v>14</v>
      </c>
      <c r="CE100" s="141">
        <v>556</v>
      </c>
      <c r="CF100" s="141">
        <v>556</v>
      </c>
      <c r="CG100" s="141">
        <v>556</v>
      </c>
      <c r="CH100" s="141">
        <v>0</v>
      </c>
      <c r="CI100" s="141">
        <v>0</v>
      </c>
      <c r="CJ100" s="142">
        <v>0</v>
      </c>
      <c r="CK100" s="142">
        <v>0</v>
      </c>
      <c r="CL100" s="142">
        <v>0</v>
      </c>
      <c r="CM100" s="142">
        <v>0</v>
      </c>
      <c r="CN100" s="179">
        <v>0</v>
      </c>
      <c r="CO100" s="142">
        <v>0</v>
      </c>
    </row>
    <row r="101" spans="1:93" ht="16.5" customHeight="1">
      <c r="A101" s="222"/>
      <c r="B101" s="220" t="s">
        <v>367</v>
      </c>
      <c r="C101" s="220"/>
      <c r="D101" s="220"/>
      <c r="E101" s="136" t="s">
        <v>368</v>
      </c>
      <c r="F101" s="136" t="s">
        <v>209</v>
      </c>
      <c r="G101" s="139">
        <v>2025</v>
      </c>
      <c r="H101" s="136" t="s">
        <v>210</v>
      </c>
      <c r="I101" s="221"/>
      <c r="J101" s="221"/>
      <c r="K101" s="140"/>
      <c r="L101" s="141"/>
      <c r="M101" s="141"/>
      <c r="N101" s="141"/>
      <c r="O101" s="141"/>
      <c r="P101" s="141"/>
      <c r="Q101" s="141"/>
      <c r="R101" s="142"/>
      <c r="S101" s="142"/>
      <c r="T101" s="142"/>
      <c r="U101" s="142"/>
      <c r="V101" s="179"/>
      <c r="W101" s="142"/>
      <c r="X101" s="141"/>
      <c r="Y101" s="140"/>
      <c r="Z101" s="141"/>
      <c r="AA101" s="141"/>
      <c r="AB101" s="141"/>
      <c r="AC101" s="141"/>
      <c r="AD101" s="141"/>
      <c r="AE101" s="141"/>
      <c r="AF101" s="142"/>
      <c r="AG101" s="142"/>
      <c r="AH101" s="142"/>
      <c r="AI101" s="142"/>
      <c r="AJ101" s="179"/>
      <c r="AK101" s="142"/>
      <c r="AL101" s="141">
        <v>20</v>
      </c>
      <c r="AM101" s="140">
        <v>0</v>
      </c>
      <c r="AN101" s="141">
        <v>0</v>
      </c>
      <c r="AO101" s="141">
        <v>0</v>
      </c>
      <c r="AP101" s="141">
        <v>0</v>
      </c>
      <c r="AQ101" s="141">
        <v>0</v>
      </c>
      <c r="AR101" s="141">
        <v>0</v>
      </c>
      <c r="AS101" s="141">
        <v>0</v>
      </c>
      <c r="AT101" s="142">
        <v>0.16</v>
      </c>
      <c r="AU101" s="142">
        <v>2.9000000000000001E-2</v>
      </c>
      <c r="AV101" s="142">
        <v>124.627</v>
      </c>
      <c r="AW101" s="142">
        <v>22.433</v>
      </c>
      <c r="AX101" s="179">
        <v>147.06</v>
      </c>
      <c r="AY101" s="142">
        <v>0.189</v>
      </c>
      <c r="AZ101" s="141">
        <v>16</v>
      </c>
      <c r="BA101" s="140">
        <v>137.483</v>
      </c>
      <c r="BB101" s="141">
        <v>147</v>
      </c>
      <c r="BC101" s="141">
        <v>8249</v>
      </c>
      <c r="BD101" s="141">
        <v>8249</v>
      </c>
      <c r="BE101" s="141">
        <v>8249</v>
      </c>
      <c r="BF101" s="141">
        <v>0</v>
      </c>
      <c r="BG101" s="141">
        <v>0</v>
      </c>
      <c r="BH101" s="142">
        <v>5.899</v>
      </c>
      <c r="BI101" s="142">
        <v>1.0620000000000001</v>
      </c>
      <c r="BJ101" s="142">
        <v>4601.4080000000004</v>
      </c>
      <c r="BK101" s="142">
        <v>828.25300000000004</v>
      </c>
      <c r="BL101" s="179">
        <v>5429.6620000000003</v>
      </c>
      <c r="BM101" s="142">
        <v>6.9610000000000003</v>
      </c>
      <c r="BN101" s="141">
        <v>506</v>
      </c>
      <c r="BO101" s="140">
        <v>0</v>
      </c>
      <c r="BP101" s="141">
        <v>0</v>
      </c>
      <c r="BQ101" s="141">
        <v>0</v>
      </c>
      <c r="BR101" s="141">
        <v>0</v>
      </c>
      <c r="BS101" s="141">
        <v>0</v>
      </c>
      <c r="BT101" s="141">
        <v>0</v>
      </c>
      <c r="BU101" s="141">
        <v>0</v>
      </c>
      <c r="BV101" s="142">
        <v>0</v>
      </c>
      <c r="BW101" s="142">
        <v>0</v>
      </c>
      <c r="BX101" s="142">
        <v>0</v>
      </c>
      <c r="BY101" s="142">
        <v>0</v>
      </c>
      <c r="BZ101" s="142">
        <v>0</v>
      </c>
      <c r="CA101" s="142">
        <v>0</v>
      </c>
      <c r="CB101" s="141">
        <v>3</v>
      </c>
      <c r="CC101" s="140">
        <v>3.05</v>
      </c>
      <c r="CD101" s="141">
        <v>5</v>
      </c>
      <c r="CE101" s="141">
        <v>183</v>
      </c>
      <c r="CF101" s="141">
        <v>183</v>
      </c>
      <c r="CG101" s="141">
        <v>183</v>
      </c>
      <c r="CH101" s="141">
        <v>0</v>
      </c>
      <c r="CI101" s="141">
        <v>0</v>
      </c>
      <c r="CJ101" s="142">
        <v>0</v>
      </c>
      <c r="CK101" s="142">
        <v>0</v>
      </c>
      <c r="CL101" s="142">
        <v>0</v>
      </c>
      <c r="CM101" s="142">
        <v>0</v>
      </c>
      <c r="CN101" s="179">
        <v>0</v>
      </c>
      <c r="CO101" s="142">
        <v>0</v>
      </c>
    </row>
    <row r="102" spans="1:93" ht="16.5" customHeight="1">
      <c r="A102" s="222"/>
      <c r="B102" s="220" t="s">
        <v>369</v>
      </c>
      <c r="C102" s="220"/>
      <c r="D102" s="220"/>
      <c r="E102" s="136" t="s">
        <v>370</v>
      </c>
      <c r="F102" s="136" t="s">
        <v>209</v>
      </c>
      <c r="G102" s="139">
        <v>2025</v>
      </c>
      <c r="H102" s="136" t="s">
        <v>210</v>
      </c>
      <c r="I102" s="221"/>
      <c r="J102" s="221"/>
      <c r="K102" s="140"/>
      <c r="L102" s="141"/>
      <c r="M102" s="141"/>
      <c r="N102" s="141"/>
      <c r="O102" s="141"/>
      <c r="P102" s="141"/>
      <c r="Q102" s="141"/>
      <c r="R102" s="142"/>
      <c r="S102" s="142"/>
      <c r="T102" s="142"/>
      <c r="U102" s="142"/>
      <c r="V102" s="179"/>
      <c r="W102" s="142"/>
      <c r="X102" s="141">
        <v>38285</v>
      </c>
      <c r="Y102" s="140">
        <v>584386.01699999999</v>
      </c>
      <c r="Z102" s="141">
        <v>0</v>
      </c>
      <c r="AA102" s="141">
        <v>35063161</v>
      </c>
      <c r="AB102" s="141">
        <v>8793665</v>
      </c>
      <c r="AC102" s="141">
        <v>8795709</v>
      </c>
      <c r="AD102" s="141">
        <v>7527839</v>
      </c>
      <c r="AE102" s="141">
        <v>1265827</v>
      </c>
      <c r="AF102" s="142">
        <v>34.673999999999999</v>
      </c>
      <c r="AG102" s="142">
        <v>6.242</v>
      </c>
      <c r="AH102" s="142">
        <v>27045.18</v>
      </c>
      <c r="AI102" s="142">
        <v>4868.6440000000002</v>
      </c>
      <c r="AJ102" s="179">
        <v>31913.824000000001</v>
      </c>
      <c r="AK102" s="142">
        <v>40.915999999999997</v>
      </c>
      <c r="AL102" s="141">
        <v>23</v>
      </c>
      <c r="AM102" s="140">
        <v>0</v>
      </c>
      <c r="AN102" s="141">
        <v>0</v>
      </c>
      <c r="AO102" s="141">
        <v>0</v>
      </c>
      <c r="AP102" s="141">
        <v>0</v>
      </c>
      <c r="AQ102" s="141">
        <v>0</v>
      </c>
      <c r="AR102" s="141">
        <v>0</v>
      </c>
      <c r="AS102" s="141">
        <v>0</v>
      </c>
      <c r="AT102" s="142">
        <v>0.184</v>
      </c>
      <c r="AU102" s="142">
        <v>3.3000000000000002E-2</v>
      </c>
      <c r="AV102" s="142">
        <v>143.321</v>
      </c>
      <c r="AW102" s="142">
        <v>25.797000000000001</v>
      </c>
      <c r="AX102" s="179">
        <v>169.119</v>
      </c>
      <c r="AY102" s="142">
        <v>0.217</v>
      </c>
      <c r="AZ102" s="141">
        <v>30</v>
      </c>
      <c r="BA102" s="140">
        <v>144.75</v>
      </c>
      <c r="BB102" s="141">
        <v>162</v>
      </c>
      <c r="BC102" s="141">
        <v>8685</v>
      </c>
      <c r="BD102" s="141">
        <v>8685</v>
      </c>
      <c r="BE102" s="141">
        <v>8685</v>
      </c>
      <c r="BF102" s="141">
        <v>0</v>
      </c>
      <c r="BG102" s="141">
        <v>0</v>
      </c>
      <c r="BH102" s="142">
        <v>5.8310000000000004</v>
      </c>
      <c r="BI102" s="142">
        <v>1.05</v>
      </c>
      <c r="BJ102" s="142">
        <v>4547.8249999999998</v>
      </c>
      <c r="BK102" s="142">
        <v>818.60900000000004</v>
      </c>
      <c r="BL102" s="179">
        <v>5366.4340000000002</v>
      </c>
      <c r="BM102" s="142">
        <v>6.88</v>
      </c>
      <c r="BN102" s="141">
        <v>2140</v>
      </c>
      <c r="BO102" s="140">
        <v>0</v>
      </c>
      <c r="BP102" s="141">
        <v>0</v>
      </c>
      <c r="BQ102" s="141">
        <v>0</v>
      </c>
      <c r="BR102" s="141">
        <v>0</v>
      </c>
      <c r="BS102" s="141">
        <v>0</v>
      </c>
      <c r="BT102" s="141">
        <v>0</v>
      </c>
      <c r="BU102" s="141">
        <v>0</v>
      </c>
      <c r="BV102" s="142">
        <v>0</v>
      </c>
      <c r="BW102" s="142">
        <v>0</v>
      </c>
      <c r="BX102" s="142">
        <v>0</v>
      </c>
      <c r="BY102" s="142">
        <v>0</v>
      </c>
      <c r="BZ102" s="142">
        <v>0</v>
      </c>
      <c r="CA102" s="142">
        <v>0</v>
      </c>
      <c r="CB102" s="141">
        <v>47</v>
      </c>
      <c r="CC102" s="140">
        <v>85.316999999999993</v>
      </c>
      <c r="CD102" s="141">
        <v>115</v>
      </c>
      <c r="CE102" s="141">
        <v>5119</v>
      </c>
      <c r="CF102" s="141">
        <v>5119</v>
      </c>
      <c r="CG102" s="141">
        <v>5119</v>
      </c>
      <c r="CH102" s="141">
        <v>0</v>
      </c>
      <c r="CI102" s="141">
        <v>0</v>
      </c>
      <c r="CJ102" s="142">
        <v>0</v>
      </c>
      <c r="CK102" s="142">
        <v>0</v>
      </c>
      <c r="CL102" s="142">
        <v>0</v>
      </c>
      <c r="CM102" s="142">
        <v>0</v>
      </c>
      <c r="CN102" s="179">
        <v>0</v>
      </c>
      <c r="CO102" s="142">
        <v>0</v>
      </c>
    </row>
    <row r="103" spans="1:93" ht="16.5" customHeight="1">
      <c r="A103" s="222"/>
      <c r="B103" s="220" t="s">
        <v>371</v>
      </c>
      <c r="C103" s="220"/>
      <c r="D103" s="220"/>
      <c r="E103" s="136" t="s">
        <v>370</v>
      </c>
      <c r="F103" s="136" t="s">
        <v>209</v>
      </c>
      <c r="G103" s="139">
        <v>2025</v>
      </c>
      <c r="H103" s="136" t="s">
        <v>210</v>
      </c>
      <c r="I103" s="221"/>
      <c r="J103" s="221"/>
      <c r="K103" s="140"/>
      <c r="L103" s="141"/>
      <c r="M103" s="141"/>
      <c r="N103" s="141"/>
      <c r="O103" s="141"/>
      <c r="P103" s="141"/>
      <c r="Q103" s="141"/>
      <c r="R103" s="142"/>
      <c r="S103" s="142"/>
      <c r="T103" s="142"/>
      <c r="U103" s="142"/>
      <c r="V103" s="179"/>
      <c r="W103" s="142"/>
      <c r="X103" s="141">
        <v>31098</v>
      </c>
      <c r="Y103" s="140">
        <v>513239.8</v>
      </c>
      <c r="Z103" s="141">
        <v>0</v>
      </c>
      <c r="AA103" s="141">
        <v>30794388</v>
      </c>
      <c r="AB103" s="141">
        <v>7077727</v>
      </c>
      <c r="AC103" s="141">
        <v>7079533</v>
      </c>
      <c r="AD103" s="141">
        <v>4982702</v>
      </c>
      <c r="AE103" s="141">
        <v>2095025</v>
      </c>
      <c r="AF103" s="142">
        <v>27.908000000000001</v>
      </c>
      <c r="AG103" s="142">
        <v>5.024</v>
      </c>
      <c r="AH103" s="142">
        <v>21768.254000000001</v>
      </c>
      <c r="AI103" s="142">
        <v>3918.4720000000002</v>
      </c>
      <c r="AJ103" s="179">
        <v>25686.725999999999</v>
      </c>
      <c r="AK103" s="142">
        <v>32.932000000000002</v>
      </c>
      <c r="AL103" s="141">
        <v>25</v>
      </c>
      <c r="AM103" s="140">
        <v>0</v>
      </c>
      <c r="AN103" s="141">
        <v>0</v>
      </c>
      <c r="AO103" s="141">
        <v>0</v>
      </c>
      <c r="AP103" s="141">
        <v>0</v>
      </c>
      <c r="AQ103" s="141">
        <v>0</v>
      </c>
      <c r="AR103" s="141">
        <v>0</v>
      </c>
      <c r="AS103" s="141">
        <v>0</v>
      </c>
      <c r="AT103" s="142">
        <v>0.2</v>
      </c>
      <c r="AU103" s="142">
        <v>3.5999999999999997E-2</v>
      </c>
      <c r="AV103" s="142">
        <v>155.78399999999999</v>
      </c>
      <c r="AW103" s="142">
        <v>28.041</v>
      </c>
      <c r="AX103" s="179">
        <v>183.82499999999999</v>
      </c>
      <c r="AY103" s="142">
        <v>0.23599999999999999</v>
      </c>
      <c r="AZ103" s="141">
        <v>57</v>
      </c>
      <c r="BA103" s="140">
        <v>151.94999999999999</v>
      </c>
      <c r="BB103" s="141">
        <v>182</v>
      </c>
      <c r="BC103" s="141">
        <v>9117</v>
      </c>
      <c r="BD103" s="141">
        <v>9117</v>
      </c>
      <c r="BE103" s="141">
        <v>9117</v>
      </c>
      <c r="BF103" s="141">
        <v>0</v>
      </c>
      <c r="BG103" s="141">
        <v>0</v>
      </c>
      <c r="BH103" s="142">
        <v>3.907</v>
      </c>
      <c r="BI103" s="142">
        <v>0.70299999999999996</v>
      </c>
      <c r="BJ103" s="142">
        <v>3047.74</v>
      </c>
      <c r="BK103" s="142">
        <v>548.59299999999996</v>
      </c>
      <c r="BL103" s="179">
        <v>3596.3330000000001</v>
      </c>
      <c r="BM103" s="142">
        <v>4.6109999999999998</v>
      </c>
      <c r="BN103" s="141">
        <v>1634</v>
      </c>
      <c r="BO103" s="140">
        <v>0</v>
      </c>
      <c r="BP103" s="141">
        <v>0</v>
      </c>
      <c r="BQ103" s="141">
        <v>0</v>
      </c>
      <c r="BR103" s="141">
        <v>0</v>
      </c>
      <c r="BS103" s="141">
        <v>0</v>
      </c>
      <c r="BT103" s="141">
        <v>0</v>
      </c>
      <c r="BU103" s="141">
        <v>0</v>
      </c>
      <c r="BV103" s="142">
        <v>0</v>
      </c>
      <c r="BW103" s="142">
        <v>0</v>
      </c>
      <c r="BX103" s="142">
        <v>0</v>
      </c>
      <c r="BY103" s="142">
        <v>0</v>
      </c>
      <c r="BZ103" s="142">
        <v>0</v>
      </c>
      <c r="CA103" s="142">
        <v>0</v>
      </c>
      <c r="CB103" s="141">
        <v>82</v>
      </c>
      <c r="CC103" s="140">
        <v>140.68299999999999</v>
      </c>
      <c r="CD103" s="141">
        <v>186</v>
      </c>
      <c r="CE103" s="141">
        <v>8441</v>
      </c>
      <c r="CF103" s="141">
        <v>8441</v>
      </c>
      <c r="CG103" s="141">
        <v>8441</v>
      </c>
      <c r="CH103" s="141">
        <v>0</v>
      </c>
      <c r="CI103" s="141">
        <v>0</v>
      </c>
      <c r="CJ103" s="142">
        <v>0</v>
      </c>
      <c r="CK103" s="142">
        <v>0</v>
      </c>
      <c r="CL103" s="142">
        <v>0</v>
      </c>
      <c r="CM103" s="142">
        <v>0</v>
      </c>
      <c r="CN103" s="179">
        <v>0</v>
      </c>
      <c r="CO103" s="142">
        <v>0</v>
      </c>
    </row>
    <row r="104" spans="1:93" ht="16.5" customHeight="1">
      <c r="A104" s="222"/>
      <c r="B104" s="220" t="s">
        <v>372</v>
      </c>
      <c r="C104" s="220"/>
      <c r="D104" s="220"/>
      <c r="E104" s="136" t="s">
        <v>373</v>
      </c>
      <c r="F104" s="136" t="s">
        <v>209</v>
      </c>
      <c r="G104" s="139">
        <v>2025</v>
      </c>
      <c r="H104" s="136" t="s">
        <v>210</v>
      </c>
      <c r="I104" s="221"/>
      <c r="J104" s="221"/>
      <c r="K104" s="140"/>
      <c r="L104" s="141"/>
      <c r="M104" s="141"/>
      <c r="N104" s="141"/>
      <c r="O104" s="141"/>
      <c r="P104" s="141"/>
      <c r="Q104" s="141"/>
      <c r="R104" s="142"/>
      <c r="S104" s="142"/>
      <c r="T104" s="142"/>
      <c r="U104" s="142"/>
      <c r="V104" s="179"/>
      <c r="W104" s="142"/>
      <c r="X104" s="141">
        <v>34623</v>
      </c>
      <c r="Y104" s="140">
        <v>622295.4</v>
      </c>
      <c r="Z104" s="141">
        <v>0</v>
      </c>
      <c r="AA104" s="141">
        <v>37337724</v>
      </c>
      <c r="AB104" s="141">
        <v>959108</v>
      </c>
      <c r="AC104" s="141">
        <v>959763</v>
      </c>
      <c r="AD104" s="141">
        <v>721305</v>
      </c>
      <c r="AE104" s="141">
        <v>237802</v>
      </c>
      <c r="AF104" s="142">
        <v>3.7839999999999998</v>
      </c>
      <c r="AG104" s="142">
        <v>0.68100000000000005</v>
      </c>
      <c r="AH104" s="142">
        <v>2951.1179999999999</v>
      </c>
      <c r="AI104" s="142">
        <v>531.34199999999998</v>
      </c>
      <c r="AJ104" s="179">
        <v>3482.4609999999998</v>
      </c>
      <c r="AK104" s="142">
        <v>4.4649999999999999</v>
      </c>
      <c r="AL104" s="141">
        <v>18</v>
      </c>
      <c r="AM104" s="140">
        <v>0</v>
      </c>
      <c r="AN104" s="141">
        <v>0</v>
      </c>
      <c r="AO104" s="141">
        <v>0</v>
      </c>
      <c r="AP104" s="141">
        <v>0</v>
      </c>
      <c r="AQ104" s="141">
        <v>0</v>
      </c>
      <c r="AR104" s="141">
        <v>0</v>
      </c>
      <c r="AS104" s="141">
        <v>0</v>
      </c>
      <c r="AT104" s="142">
        <v>0.14399999999999999</v>
      </c>
      <c r="AU104" s="142">
        <v>2.5999999999999999E-2</v>
      </c>
      <c r="AV104" s="142">
        <v>112.164</v>
      </c>
      <c r="AW104" s="142">
        <v>20.189</v>
      </c>
      <c r="AX104" s="179">
        <v>132.35400000000001</v>
      </c>
      <c r="AY104" s="142">
        <v>0.17</v>
      </c>
      <c r="AZ104" s="141">
        <v>17</v>
      </c>
      <c r="BA104" s="140">
        <v>18.433</v>
      </c>
      <c r="BB104" s="141">
        <v>28</v>
      </c>
      <c r="BC104" s="141">
        <v>1106</v>
      </c>
      <c r="BD104" s="141">
        <v>1106</v>
      </c>
      <c r="BE104" s="141">
        <v>1106</v>
      </c>
      <c r="BF104" s="141">
        <v>0</v>
      </c>
      <c r="BG104" s="141">
        <v>0</v>
      </c>
      <c r="BH104" s="142">
        <v>0.38200000000000001</v>
      </c>
      <c r="BI104" s="142">
        <v>6.9000000000000006E-2</v>
      </c>
      <c r="BJ104" s="142">
        <v>298.30900000000003</v>
      </c>
      <c r="BK104" s="142">
        <v>53.694000000000003</v>
      </c>
      <c r="BL104" s="179">
        <v>352.00299999999999</v>
      </c>
      <c r="BM104" s="142">
        <v>0.45100000000000001</v>
      </c>
      <c r="BN104" s="141">
        <v>2997</v>
      </c>
      <c r="BO104" s="140">
        <v>0</v>
      </c>
      <c r="BP104" s="141">
        <v>0</v>
      </c>
      <c r="BQ104" s="141">
        <v>0</v>
      </c>
      <c r="BR104" s="141">
        <v>0</v>
      </c>
      <c r="BS104" s="141">
        <v>0</v>
      </c>
      <c r="BT104" s="141">
        <v>0</v>
      </c>
      <c r="BU104" s="141">
        <v>0</v>
      </c>
      <c r="BV104" s="142">
        <v>0</v>
      </c>
      <c r="BW104" s="142">
        <v>0</v>
      </c>
      <c r="BX104" s="142">
        <v>0</v>
      </c>
      <c r="BY104" s="142">
        <v>0</v>
      </c>
      <c r="BZ104" s="142">
        <v>0</v>
      </c>
      <c r="CA104" s="142">
        <v>0</v>
      </c>
      <c r="CB104" s="141">
        <v>27</v>
      </c>
      <c r="CC104" s="140">
        <v>20.882999999999999</v>
      </c>
      <c r="CD104" s="141">
        <v>38</v>
      </c>
      <c r="CE104" s="141">
        <v>1253</v>
      </c>
      <c r="CF104" s="141">
        <v>1253</v>
      </c>
      <c r="CG104" s="141">
        <v>1253</v>
      </c>
      <c r="CH104" s="141">
        <v>0</v>
      </c>
      <c r="CI104" s="141">
        <v>0</v>
      </c>
      <c r="CJ104" s="142">
        <v>0</v>
      </c>
      <c r="CK104" s="142">
        <v>0</v>
      </c>
      <c r="CL104" s="142">
        <v>0</v>
      </c>
      <c r="CM104" s="142">
        <v>0</v>
      </c>
      <c r="CN104" s="179">
        <v>0</v>
      </c>
      <c r="CO104" s="142">
        <v>0</v>
      </c>
    </row>
    <row r="105" spans="1:93" ht="16.5" customHeight="1">
      <c r="A105" s="222"/>
      <c r="B105" s="220" t="s">
        <v>374</v>
      </c>
      <c r="C105" s="220"/>
      <c r="D105" s="220"/>
      <c r="E105" s="136" t="s">
        <v>375</v>
      </c>
      <c r="F105" s="136" t="s">
        <v>209</v>
      </c>
      <c r="G105" s="139">
        <v>2025</v>
      </c>
      <c r="H105" s="136" t="s">
        <v>210</v>
      </c>
      <c r="I105" s="221"/>
      <c r="J105" s="221"/>
      <c r="K105" s="140"/>
      <c r="L105" s="141"/>
      <c r="M105" s="141"/>
      <c r="N105" s="141"/>
      <c r="O105" s="141"/>
      <c r="P105" s="141"/>
      <c r="Q105" s="141"/>
      <c r="R105" s="142"/>
      <c r="S105" s="142"/>
      <c r="T105" s="142"/>
      <c r="U105" s="142"/>
      <c r="V105" s="179"/>
      <c r="W105" s="142"/>
      <c r="X105" s="141">
        <v>28789</v>
      </c>
      <c r="Y105" s="140">
        <v>490392.783</v>
      </c>
      <c r="Z105" s="141">
        <v>0</v>
      </c>
      <c r="AA105" s="141">
        <v>29423567</v>
      </c>
      <c r="AB105" s="141">
        <v>17913364</v>
      </c>
      <c r="AC105" s="141">
        <v>17914293</v>
      </c>
      <c r="AD105" s="141">
        <v>16581765</v>
      </c>
      <c r="AE105" s="141">
        <v>1331598</v>
      </c>
      <c r="AF105" s="142">
        <v>70.62</v>
      </c>
      <c r="AG105" s="142">
        <v>12.712</v>
      </c>
      <c r="AH105" s="142">
        <v>55082.883000000002</v>
      </c>
      <c r="AI105" s="142">
        <v>9914.9699999999993</v>
      </c>
      <c r="AJ105" s="179">
        <v>64997.853000000003</v>
      </c>
      <c r="AK105" s="142">
        <v>83.331000000000003</v>
      </c>
      <c r="AL105" s="141">
        <v>5</v>
      </c>
      <c r="AM105" s="140">
        <v>0</v>
      </c>
      <c r="AN105" s="141">
        <v>0</v>
      </c>
      <c r="AO105" s="141">
        <v>0</v>
      </c>
      <c r="AP105" s="141">
        <v>0</v>
      </c>
      <c r="AQ105" s="141">
        <v>0</v>
      </c>
      <c r="AR105" s="141">
        <v>0</v>
      </c>
      <c r="AS105" s="141">
        <v>0</v>
      </c>
      <c r="AT105" s="142">
        <v>0.04</v>
      </c>
      <c r="AU105" s="142">
        <v>7.0000000000000001E-3</v>
      </c>
      <c r="AV105" s="142">
        <v>31.157</v>
      </c>
      <c r="AW105" s="142">
        <v>5.6079999999999997</v>
      </c>
      <c r="AX105" s="179">
        <v>36.765000000000001</v>
      </c>
      <c r="AY105" s="142">
        <v>4.7E-2</v>
      </c>
      <c r="AZ105" s="141">
        <v>4</v>
      </c>
      <c r="BA105" s="140">
        <v>12.933</v>
      </c>
      <c r="BB105" s="141">
        <v>14</v>
      </c>
      <c r="BC105" s="141">
        <v>776</v>
      </c>
      <c r="BD105" s="141">
        <v>776</v>
      </c>
      <c r="BE105" s="141">
        <v>776</v>
      </c>
      <c r="BF105" s="141">
        <v>0</v>
      </c>
      <c r="BG105" s="141">
        <v>0</v>
      </c>
      <c r="BH105" s="142">
        <v>0.253</v>
      </c>
      <c r="BI105" s="142">
        <v>4.4999999999999998E-2</v>
      </c>
      <c r="BJ105" s="142">
        <v>197.006</v>
      </c>
      <c r="BK105" s="142">
        <v>35.460999999999999</v>
      </c>
      <c r="BL105" s="179">
        <v>232.46600000000001</v>
      </c>
      <c r="BM105" s="142">
        <v>0.29799999999999999</v>
      </c>
      <c r="BN105" s="141">
        <v>1688</v>
      </c>
      <c r="BO105" s="140">
        <v>0</v>
      </c>
      <c r="BP105" s="141">
        <v>0</v>
      </c>
      <c r="BQ105" s="141">
        <v>0</v>
      </c>
      <c r="BR105" s="141">
        <v>0</v>
      </c>
      <c r="BS105" s="141">
        <v>0</v>
      </c>
      <c r="BT105" s="141">
        <v>0</v>
      </c>
      <c r="BU105" s="141">
        <v>0</v>
      </c>
      <c r="BV105" s="142">
        <v>0</v>
      </c>
      <c r="BW105" s="142">
        <v>0</v>
      </c>
      <c r="BX105" s="142">
        <v>0</v>
      </c>
      <c r="BY105" s="142">
        <v>0</v>
      </c>
      <c r="BZ105" s="142">
        <v>0</v>
      </c>
      <c r="CA105" s="142">
        <v>0</v>
      </c>
      <c r="CB105" s="141">
        <v>1</v>
      </c>
      <c r="CC105" s="140">
        <v>1.7170000000000001</v>
      </c>
      <c r="CD105" s="141">
        <v>2</v>
      </c>
      <c r="CE105" s="141">
        <v>103</v>
      </c>
      <c r="CF105" s="141">
        <v>103</v>
      </c>
      <c r="CG105" s="141">
        <v>103</v>
      </c>
      <c r="CH105" s="141">
        <v>0</v>
      </c>
      <c r="CI105" s="141">
        <v>0</v>
      </c>
      <c r="CJ105" s="142">
        <v>0</v>
      </c>
      <c r="CK105" s="142">
        <v>0</v>
      </c>
      <c r="CL105" s="142">
        <v>0</v>
      </c>
      <c r="CM105" s="142">
        <v>0</v>
      </c>
      <c r="CN105" s="179">
        <v>0</v>
      </c>
      <c r="CO105" s="142">
        <v>0</v>
      </c>
    </row>
    <row r="106" spans="1:93" ht="16.5" customHeight="1">
      <c r="A106" s="222"/>
      <c r="B106" s="220" t="s">
        <v>376</v>
      </c>
      <c r="C106" s="220"/>
      <c r="D106" s="220"/>
      <c r="E106" s="136" t="s">
        <v>377</v>
      </c>
      <c r="F106" s="136" t="s">
        <v>209</v>
      </c>
      <c r="G106" s="139">
        <v>2025</v>
      </c>
      <c r="H106" s="136" t="s">
        <v>210</v>
      </c>
      <c r="I106" s="221"/>
      <c r="J106" s="221"/>
      <c r="K106" s="140"/>
      <c r="L106" s="141"/>
      <c r="M106" s="141"/>
      <c r="N106" s="141"/>
      <c r="O106" s="141"/>
      <c r="P106" s="141"/>
      <c r="Q106" s="141"/>
      <c r="R106" s="142"/>
      <c r="S106" s="142"/>
      <c r="T106" s="142"/>
      <c r="U106" s="142"/>
      <c r="V106" s="179"/>
      <c r="W106" s="142"/>
      <c r="X106" s="141">
        <v>7030</v>
      </c>
      <c r="Y106" s="140">
        <v>102116.35</v>
      </c>
      <c r="Z106" s="141">
        <v>0</v>
      </c>
      <c r="AA106" s="141">
        <v>6126981</v>
      </c>
      <c r="AB106" s="141">
        <v>334064</v>
      </c>
      <c r="AC106" s="141">
        <v>334339</v>
      </c>
      <c r="AD106" s="141">
        <v>259943</v>
      </c>
      <c r="AE106" s="141">
        <v>74122</v>
      </c>
      <c r="AF106" s="142">
        <v>1.3180000000000001</v>
      </c>
      <c r="AG106" s="142">
        <v>0.23699999999999999</v>
      </c>
      <c r="AH106" s="142">
        <v>1028.04</v>
      </c>
      <c r="AI106" s="142">
        <v>185.09100000000001</v>
      </c>
      <c r="AJ106" s="179">
        <v>1213.1310000000001</v>
      </c>
      <c r="AK106" s="142">
        <v>1.5549999999999999</v>
      </c>
      <c r="AL106" s="141">
        <v>5</v>
      </c>
      <c r="AM106" s="140">
        <v>0</v>
      </c>
      <c r="AN106" s="141">
        <v>0</v>
      </c>
      <c r="AO106" s="141">
        <v>0</v>
      </c>
      <c r="AP106" s="141">
        <v>0</v>
      </c>
      <c r="AQ106" s="141">
        <v>0</v>
      </c>
      <c r="AR106" s="141">
        <v>0</v>
      </c>
      <c r="AS106" s="141">
        <v>0</v>
      </c>
      <c r="AT106" s="142">
        <v>0.04</v>
      </c>
      <c r="AU106" s="142">
        <v>7.0000000000000001E-3</v>
      </c>
      <c r="AV106" s="142">
        <v>31.157</v>
      </c>
      <c r="AW106" s="142">
        <v>5.6079999999999997</v>
      </c>
      <c r="AX106" s="179">
        <v>36.765000000000001</v>
      </c>
      <c r="AY106" s="142">
        <v>4.7E-2</v>
      </c>
      <c r="AZ106" s="141">
        <v>5</v>
      </c>
      <c r="BA106" s="140">
        <v>46.55</v>
      </c>
      <c r="BB106" s="141">
        <v>50</v>
      </c>
      <c r="BC106" s="141">
        <v>2793</v>
      </c>
      <c r="BD106" s="141">
        <v>2793</v>
      </c>
      <c r="BE106" s="141">
        <v>2793</v>
      </c>
      <c r="BF106" s="141">
        <v>0</v>
      </c>
      <c r="BG106" s="141">
        <v>0</v>
      </c>
      <c r="BH106" s="142">
        <v>1.2609999999999999</v>
      </c>
      <c r="BI106" s="142">
        <v>0.22700000000000001</v>
      </c>
      <c r="BJ106" s="142">
        <v>983.31299999999999</v>
      </c>
      <c r="BK106" s="142">
        <v>176.99600000000001</v>
      </c>
      <c r="BL106" s="179">
        <v>1160.308</v>
      </c>
      <c r="BM106" s="142">
        <v>1.488</v>
      </c>
      <c r="BN106" s="141">
        <v>423</v>
      </c>
      <c r="BO106" s="140">
        <v>0</v>
      </c>
      <c r="BP106" s="141">
        <v>0</v>
      </c>
      <c r="BQ106" s="141">
        <v>0</v>
      </c>
      <c r="BR106" s="141">
        <v>0</v>
      </c>
      <c r="BS106" s="141">
        <v>0</v>
      </c>
      <c r="BT106" s="141">
        <v>0</v>
      </c>
      <c r="BU106" s="141">
        <v>0</v>
      </c>
      <c r="BV106" s="142">
        <v>0</v>
      </c>
      <c r="BW106" s="142">
        <v>0</v>
      </c>
      <c r="BX106" s="142">
        <v>0</v>
      </c>
      <c r="BY106" s="142">
        <v>0</v>
      </c>
      <c r="BZ106" s="142">
        <v>0</v>
      </c>
      <c r="CA106" s="142">
        <v>0</v>
      </c>
      <c r="CB106" s="141">
        <v>4</v>
      </c>
      <c r="CC106" s="140">
        <v>4.5</v>
      </c>
      <c r="CD106" s="141">
        <v>7</v>
      </c>
      <c r="CE106" s="141">
        <v>270</v>
      </c>
      <c r="CF106" s="141">
        <v>270</v>
      </c>
      <c r="CG106" s="141">
        <v>270</v>
      </c>
      <c r="CH106" s="141">
        <v>0</v>
      </c>
      <c r="CI106" s="141">
        <v>0</v>
      </c>
      <c r="CJ106" s="142">
        <v>0</v>
      </c>
      <c r="CK106" s="142">
        <v>0</v>
      </c>
      <c r="CL106" s="142">
        <v>0</v>
      </c>
      <c r="CM106" s="142">
        <v>0</v>
      </c>
      <c r="CN106" s="179">
        <v>0</v>
      </c>
      <c r="CO106" s="142">
        <v>0</v>
      </c>
    </row>
    <row r="107" spans="1:93" ht="16.5" customHeight="1">
      <c r="A107" s="222"/>
      <c r="B107" s="220" t="s">
        <v>378</v>
      </c>
      <c r="C107" s="220"/>
      <c r="D107" s="220"/>
      <c r="E107" s="136" t="s">
        <v>379</v>
      </c>
      <c r="F107" s="136" t="s">
        <v>209</v>
      </c>
      <c r="G107" s="139">
        <v>2025</v>
      </c>
      <c r="H107" s="136" t="s">
        <v>210</v>
      </c>
      <c r="I107" s="221"/>
      <c r="J107" s="221"/>
      <c r="K107" s="140"/>
      <c r="L107" s="141"/>
      <c r="M107" s="141"/>
      <c r="N107" s="141"/>
      <c r="O107" s="141"/>
      <c r="P107" s="141"/>
      <c r="Q107" s="141"/>
      <c r="R107" s="142"/>
      <c r="S107" s="142"/>
      <c r="T107" s="142"/>
      <c r="U107" s="142"/>
      <c r="V107" s="179"/>
      <c r="W107" s="142"/>
      <c r="X107" s="141">
        <v>11613</v>
      </c>
      <c r="Y107" s="140">
        <v>145449.383</v>
      </c>
      <c r="Z107" s="141">
        <v>0</v>
      </c>
      <c r="AA107" s="141">
        <v>8726963</v>
      </c>
      <c r="AB107" s="141">
        <v>7265206</v>
      </c>
      <c r="AC107" s="141">
        <v>7265468</v>
      </c>
      <c r="AD107" s="141">
        <v>6438344</v>
      </c>
      <c r="AE107" s="141">
        <v>826862</v>
      </c>
      <c r="AF107" s="142">
        <v>28.640999999999998</v>
      </c>
      <c r="AG107" s="142">
        <v>5.1550000000000002</v>
      </c>
      <c r="AH107" s="142">
        <v>22339.850999999999</v>
      </c>
      <c r="AI107" s="142">
        <v>4021.192</v>
      </c>
      <c r="AJ107" s="179">
        <v>26361.043000000001</v>
      </c>
      <c r="AK107" s="142">
        <v>33.796999999999997</v>
      </c>
      <c r="AL107" s="141">
        <v>3</v>
      </c>
      <c r="AM107" s="140">
        <v>0</v>
      </c>
      <c r="AN107" s="141">
        <v>0</v>
      </c>
      <c r="AO107" s="141">
        <v>0</v>
      </c>
      <c r="AP107" s="141">
        <v>0</v>
      </c>
      <c r="AQ107" s="141">
        <v>0</v>
      </c>
      <c r="AR107" s="141">
        <v>0</v>
      </c>
      <c r="AS107" s="141">
        <v>0</v>
      </c>
      <c r="AT107" s="142">
        <v>2.4E-2</v>
      </c>
      <c r="AU107" s="142">
        <v>4.0000000000000001E-3</v>
      </c>
      <c r="AV107" s="142">
        <v>18.693999999999999</v>
      </c>
      <c r="AW107" s="142">
        <v>3.3650000000000002</v>
      </c>
      <c r="AX107" s="179">
        <v>22.059000000000001</v>
      </c>
      <c r="AY107" s="142">
        <v>2.8000000000000001E-2</v>
      </c>
      <c r="AZ107" s="141">
        <v>42</v>
      </c>
      <c r="BA107" s="140">
        <v>83.382999999999996</v>
      </c>
      <c r="BB107" s="141">
        <v>106</v>
      </c>
      <c r="BC107" s="141">
        <v>5003</v>
      </c>
      <c r="BD107" s="141">
        <v>5003</v>
      </c>
      <c r="BE107" s="141">
        <v>5003</v>
      </c>
      <c r="BF107" s="141">
        <v>0</v>
      </c>
      <c r="BG107" s="141">
        <v>0</v>
      </c>
      <c r="BH107" s="142">
        <v>1.9590000000000001</v>
      </c>
      <c r="BI107" s="142">
        <v>0.35299999999999998</v>
      </c>
      <c r="BJ107" s="142">
        <v>1528.0409999999999</v>
      </c>
      <c r="BK107" s="142">
        <v>275.04599999999999</v>
      </c>
      <c r="BL107" s="179">
        <v>1803.087</v>
      </c>
      <c r="BM107" s="142">
        <v>2.3119999999999998</v>
      </c>
      <c r="BN107" s="141">
        <v>823</v>
      </c>
      <c r="BO107" s="140">
        <v>0</v>
      </c>
      <c r="BP107" s="141">
        <v>0</v>
      </c>
      <c r="BQ107" s="141">
        <v>0</v>
      </c>
      <c r="BR107" s="141">
        <v>0</v>
      </c>
      <c r="BS107" s="141">
        <v>0</v>
      </c>
      <c r="BT107" s="141">
        <v>0</v>
      </c>
      <c r="BU107" s="141">
        <v>0</v>
      </c>
      <c r="BV107" s="142">
        <v>0</v>
      </c>
      <c r="BW107" s="142">
        <v>0</v>
      </c>
      <c r="BX107" s="142">
        <v>0</v>
      </c>
      <c r="BY107" s="142">
        <v>0</v>
      </c>
      <c r="BZ107" s="142">
        <v>0</v>
      </c>
      <c r="CA107" s="142">
        <v>0</v>
      </c>
      <c r="CB107" s="141">
        <v>15</v>
      </c>
      <c r="CC107" s="140">
        <v>59.05</v>
      </c>
      <c r="CD107" s="141">
        <v>68</v>
      </c>
      <c r="CE107" s="141">
        <v>3543</v>
      </c>
      <c r="CF107" s="141">
        <v>3543</v>
      </c>
      <c r="CG107" s="141">
        <v>3543</v>
      </c>
      <c r="CH107" s="141">
        <v>0</v>
      </c>
      <c r="CI107" s="141">
        <v>0</v>
      </c>
      <c r="CJ107" s="142">
        <v>0</v>
      </c>
      <c r="CK107" s="142">
        <v>0</v>
      </c>
      <c r="CL107" s="142">
        <v>0</v>
      </c>
      <c r="CM107" s="142">
        <v>0</v>
      </c>
      <c r="CN107" s="179">
        <v>0</v>
      </c>
      <c r="CO107" s="142">
        <v>0</v>
      </c>
    </row>
    <row r="108" spans="1:93" ht="16.5" customHeight="1">
      <c r="A108" s="222"/>
      <c r="B108" s="220" t="s">
        <v>380</v>
      </c>
      <c r="C108" s="220"/>
      <c r="D108" s="220"/>
      <c r="E108" s="136" t="s">
        <v>381</v>
      </c>
      <c r="F108" s="136" t="s">
        <v>209</v>
      </c>
      <c r="G108" s="139">
        <v>2025</v>
      </c>
      <c r="H108" s="136" t="s">
        <v>210</v>
      </c>
      <c r="I108" s="221"/>
      <c r="J108" s="221"/>
      <c r="K108" s="140"/>
      <c r="L108" s="141"/>
      <c r="M108" s="141"/>
      <c r="N108" s="141"/>
      <c r="O108" s="141"/>
      <c r="P108" s="141"/>
      <c r="Q108" s="141"/>
      <c r="R108" s="142"/>
      <c r="S108" s="142"/>
      <c r="T108" s="142"/>
      <c r="U108" s="142"/>
      <c r="V108" s="179"/>
      <c r="W108" s="142"/>
      <c r="X108" s="141">
        <v>26758</v>
      </c>
      <c r="Y108" s="140">
        <v>447615.55</v>
      </c>
      <c r="Z108" s="141">
        <v>0</v>
      </c>
      <c r="AA108" s="141">
        <v>26856933</v>
      </c>
      <c r="AB108" s="141">
        <v>10130743</v>
      </c>
      <c r="AC108" s="141">
        <v>10132432</v>
      </c>
      <c r="AD108" s="141">
        <v>9062450</v>
      </c>
      <c r="AE108" s="141">
        <v>1068292</v>
      </c>
      <c r="AF108" s="142">
        <v>39.942999999999998</v>
      </c>
      <c r="AG108" s="142">
        <v>7.19</v>
      </c>
      <c r="AH108" s="142">
        <v>31155.312000000002</v>
      </c>
      <c r="AI108" s="142">
        <v>5608.3270000000002</v>
      </c>
      <c r="AJ108" s="179">
        <v>36763.639000000003</v>
      </c>
      <c r="AK108" s="142">
        <v>47.133000000000003</v>
      </c>
      <c r="AL108" s="141">
        <v>8</v>
      </c>
      <c r="AM108" s="140">
        <v>0</v>
      </c>
      <c r="AN108" s="141">
        <v>0</v>
      </c>
      <c r="AO108" s="141">
        <v>0</v>
      </c>
      <c r="AP108" s="141">
        <v>0</v>
      </c>
      <c r="AQ108" s="141">
        <v>0</v>
      </c>
      <c r="AR108" s="141">
        <v>0</v>
      </c>
      <c r="AS108" s="141">
        <v>0</v>
      </c>
      <c r="AT108" s="142">
        <v>6.4000000000000001E-2</v>
      </c>
      <c r="AU108" s="142">
        <v>1.2E-2</v>
      </c>
      <c r="AV108" s="142">
        <v>49.850999999999999</v>
      </c>
      <c r="AW108" s="142">
        <v>8.9730000000000008</v>
      </c>
      <c r="AX108" s="179">
        <v>58.823999999999998</v>
      </c>
      <c r="AY108" s="142">
        <v>7.4999999999999997E-2</v>
      </c>
      <c r="AZ108" s="141">
        <v>6</v>
      </c>
      <c r="BA108" s="140">
        <v>24.367000000000001</v>
      </c>
      <c r="BB108" s="141">
        <v>28</v>
      </c>
      <c r="BC108" s="141">
        <v>1462</v>
      </c>
      <c r="BD108" s="141">
        <v>1462</v>
      </c>
      <c r="BE108" s="141">
        <v>1462</v>
      </c>
      <c r="BF108" s="141">
        <v>0</v>
      </c>
      <c r="BG108" s="141">
        <v>0</v>
      </c>
      <c r="BH108" s="142">
        <v>0.85399999999999998</v>
      </c>
      <c r="BI108" s="142">
        <v>0.154</v>
      </c>
      <c r="BJ108" s="142">
        <v>665.81799999999998</v>
      </c>
      <c r="BK108" s="142">
        <v>119.848</v>
      </c>
      <c r="BL108" s="179">
        <v>785.66600000000005</v>
      </c>
      <c r="BM108" s="142">
        <v>1.0069999999999999</v>
      </c>
      <c r="BN108" s="141">
        <v>1246</v>
      </c>
      <c r="BO108" s="140">
        <v>0</v>
      </c>
      <c r="BP108" s="141">
        <v>0</v>
      </c>
      <c r="BQ108" s="141">
        <v>0</v>
      </c>
      <c r="BR108" s="141">
        <v>0</v>
      </c>
      <c r="BS108" s="141">
        <v>0</v>
      </c>
      <c r="BT108" s="141">
        <v>0</v>
      </c>
      <c r="BU108" s="141">
        <v>0</v>
      </c>
      <c r="BV108" s="142">
        <v>0</v>
      </c>
      <c r="BW108" s="142">
        <v>0</v>
      </c>
      <c r="BX108" s="142">
        <v>0</v>
      </c>
      <c r="BY108" s="142">
        <v>0</v>
      </c>
      <c r="BZ108" s="142">
        <v>0</v>
      </c>
      <c r="CA108" s="142">
        <v>0</v>
      </c>
      <c r="CB108" s="141">
        <v>1</v>
      </c>
      <c r="CC108" s="140">
        <v>8.3000000000000004E-2</v>
      </c>
      <c r="CD108" s="141">
        <v>1</v>
      </c>
      <c r="CE108" s="141">
        <v>5</v>
      </c>
      <c r="CF108" s="141">
        <v>5</v>
      </c>
      <c r="CG108" s="141">
        <v>5</v>
      </c>
      <c r="CH108" s="141">
        <v>0</v>
      </c>
      <c r="CI108" s="141">
        <v>0</v>
      </c>
      <c r="CJ108" s="142">
        <v>0</v>
      </c>
      <c r="CK108" s="142">
        <v>0</v>
      </c>
      <c r="CL108" s="142">
        <v>0</v>
      </c>
      <c r="CM108" s="142">
        <v>0</v>
      </c>
      <c r="CN108" s="179">
        <v>0</v>
      </c>
      <c r="CO108" s="142">
        <v>0</v>
      </c>
    </row>
    <row r="109" spans="1:93" ht="16.5" customHeight="1">
      <c r="A109" s="222"/>
      <c r="B109" s="220" t="s">
        <v>382</v>
      </c>
      <c r="C109" s="220"/>
      <c r="D109" s="220"/>
      <c r="E109" s="136" t="s">
        <v>383</v>
      </c>
      <c r="F109" s="136" t="s">
        <v>209</v>
      </c>
      <c r="G109" s="139">
        <v>2025</v>
      </c>
      <c r="H109" s="136" t="s">
        <v>210</v>
      </c>
      <c r="I109" s="221"/>
      <c r="J109" s="221"/>
      <c r="K109" s="140"/>
      <c r="L109" s="141"/>
      <c r="M109" s="141"/>
      <c r="N109" s="141"/>
      <c r="O109" s="141"/>
      <c r="P109" s="141"/>
      <c r="Q109" s="141"/>
      <c r="R109" s="142"/>
      <c r="S109" s="142"/>
      <c r="T109" s="142"/>
      <c r="U109" s="142"/>
      <c r="V109" s="179"/>
      <c r="W109" s="142"/>
      <c r="X109" s="141">
        <v>27101</v>
      </c>
      <c r="Y109" s="140">
        <v>455029.36700000003</v>
      </c>
      <c r="Z109" s="141">
        <v>0</v>
      </c>
      <c r="AA109" s="141">
        <v>27301762</v>
      </c>
      <c r="AB109" s="141">
        <v>1637486</v>
      </c>
      <c r="AC109" s="141">
        <v>1638260</v>
      </c>
      <c r="AD109" s="141">
        <v>1331759</v>
      </c>
      <c r="AE109" s="141">
        <v>305727</v>
      </c>
      <c r="AF109" s="142">
        <v>6.4580000000000002</v>
      </c>
      <c r="AG109" s="142">
        <v>1.163</v>
      </c>
      <c r="AH109" s="142">
        <v>5037.3530000000001</v>
      </c>
      <c r="AI109" s="142">
        <v>906.90899999999999</v>
      </c>
      <c r="AJ109" s="179">
        <v>5944.2619999999997</v>
      </c>
      <c r="AK109" s="142">
        <v>7.6210000000000004</v>
      </c>
      <c r="AL109" s="141">
        <v>1</v>
      </c>
      <c r="AM109" s="140">
        <v>0</v>
      </c>
      <c r="AN109" s="141">
        <v>0</v>
      </c>
      <c r="AO109" s="141">
        <v>0</v>
      </c>
      <c r="AP109" s="141">
        <v>0</v>
      </c>
      <c r="AQ109" s="141">
        <v>0</v>
      </c>
      <c r="AR109" s="141">
        <v>0</v>
      </c>
      <c r="AS109" s="141">
        <v>0</v>
      </c>
      <c r="AT109" s="142">
        <v>8.0000000000000002E-3</v>
      </c>
      <c r="AU109" s="142">
        <v>1E-3</v>
      </c>
      <c r="AV109" s="142">
        <v>6.2309999999999999</v>
      </c>
      <c r="AW109" s="142">
        <v>1.1220000000000001</v>
      </c>
      <c r="AX109" s="179">
        <v>7.3529999999999998</v>
      </c>
      <c r="AY109" s="142">
        <v>8.9999999999999993E-3</v>
      </c>
      <c r="AZ109" s="141">
        <v>4</v>
      </c>
      <c r="BA109" s="140">
        <v>6.35</v>
      </c>
      <c r="BB109" s="141">
        <v>8</v>
      </c>
      <c r="BC109" s="141">
        <v>381</v>
      </c>
      <c r="BD109" s="141">
        <v>381</v>
      </c>
      <c r="BE109" s="141">
        <v>381</v>
      </c>
      <c r="BF109" s="141">
        <v>0</v>
      </c>
      <c r="BG109" s="141">
        <v>0</v>
      </c>
      <c r="BH109" s="142">
        <v>0.10100000000000001</v>
      </c>
      <c r="BI109" s="142">
        <v>1.7999999999999999E-2</v>
      </c>
      <c r="BJ109" s="142">
        <v>79.141999999999996</v>
      </c>
      <c r="BK109" s="142">
        <v>14.246</v>
      </c>
      <c r="BL109" s="179">
        <v>93.388000000000005</v>
      </c>
      <c r="BM109" s="142">
        <v>0.12</v>
      </c>
      <c r="BN109" s="141">
        <v>2889</v>
      </c>
      <c r="BO109" s="140">
        <v>0</v>
      </c>
      <c r="BP109" s="141">
        <v>0</v>
      </c>
      <c r="BQ109" s="141">
        <v>0</v>
      </c>
      <c r="BR109" s="141">
        <v>0</v>
      </c>
      <c r="BS109" s="141">
        <v>0</v>
      </c>
      <c r="BT109" s="141">
        <v>0</v>
      </c>
      <c r="BU109" s="141">
        <v>0</v>
      </c>
      <c r="BV109" s="142">
        <v>0</v>
      </c>
      <c r="BW109" s="142">
        <v>0</v>
      </c>
      <c r="BX109" s="142">
        <v>0</v>
      </c>
      <c r="BY109" s="142">
        <v>0</v>
      </c>
      <c r="BZ109" s="142">
        <v>0</v>
      </c>
      <c r="CA109" s="142">
        <v>0</v>
      </c>
      <c r="CB109" s="141">
        <v>17</v>
      </c>
      <c r="CC109" s="140">
        <v>18.016999999999999</v>
      </c>
      <c r="CD109" s="141">
        <v>27</v>
      </c>
      <c r="CE109" s="141">
        <v>1081</v>
      </c>
      <c r="CF109" s="141">
        <v>1081</v>
      </c>
      <c r="CG109" s="141">
        <v>1081</v>
      </c>
      <c r="CH109" s="141">
        <v>0</v>
      </c>
      <c r="CI109" s="141">
        <v>0</v>
      </c>
      <c r="CJ109" s="142">
        <v>0</v>
      </c>
      <c r="CK109" s="142">
        <v>0</v>
      </c>
      <c r="CL109" s="142">
        <v>0</v>
      </c>
      <c r="CM109" s="142">
        <v>0</v>
      </c>
      <c r="CN109" s="179">
        <v>0</v>
      </c>
      <c r="CO109" s="142">
        <v>0</v>
      </c>
    </row>
    <row r="110" spans="1:93" ht="16.5" customHeight="1">
      <c r="A110" s="222"/>
      <c r="B110" s="220" t="s">
        <v>384</v>
      </c>
      <c r="C110" s="220"/>
      <c r="D110" s="220"/>
      <c r="E110" s="136" t="s">
        <v>385</v>
      </c>
      <c r="F110" s="136" t="s">
        <v>209</v>
      </c>
      <c r="G110" s="139">
        <v>2025</v>
      </c>
      <c r="H110" s="136" t="s">
        <v>210</v>
      </c>
      <c r="I110" s="221"/>
      <c r="J110" s="221"/>
      <c r="K110" s="140"/>
      <c r="L110" s="141"/>
      <c r="M110" s="141"/>
      <c r="N110" s="141"/>
      <c r="O110" s="141"/>
      <c r="P110" s="141"/>
      <c r="Q110" s="141"/>
      <c r="R110" s="142"/>
      <c r="S110" s="142"/>
      <c r="T110" s="142"/>
      <c r="U110" s="142"/>
      <c r="V110" s="179"/>
      <c r="W110" s="142"/>
      <c r="X110" s="141">
        <v>22866</v>
      </c>
      <c r="Y110" s="140">
        <v>405675.55</v>
      </c>
      <c r="Z110" s="141">
        <v>0</v>
      </c>
      <c r="AA110" s="141">
        <v>24340533</v>
      </c>
      <c r="AB110" s="141">
        <v>3971264</v>
      </c>
      <c r="AC110" s="141">
        <v>3972508</v>
      </c>
      <c r="AD110" s="141">
        <v>3465895</v>
      </c>
      <c r="AE110" s="141">
        <v>505368</v>
      </c>
      <c r="AF110" s="142">
        <v>15.66</v>
      </c>
      <c r="AG110" s="142">
        <v>2.819</v>
      </c>
      <c r="AH110" s="142">
        <v>12214.735000000001</v>
      </c>
      <c r="AI110" s="142">
        <v>2198.953</v>
      </c>
      <c r="AJ110" s="179">
        <v>14413.688</v>
      </c>
      <c r="AK110" s="142">
        <v>18.478999999999999</v>
      </c>
      <c r="AL110" s="141">
        <v>1</v>
      </c>
      <c r="AM110" s="140">
        <v>0</v>
      </c>
      <c r="AN110" s="141">
        <v>0</v>
      </c>
      <c r="AO110" s="141">
        <v>0</v>
      </c>
      <c r="AP110" s="141">
        <v>0</v>
      </c>
      <c r="AQ110" s="141">
        <v>0</v>
      </c>
      <c r="AR110" s="141">
        <v>0</v>
      </c>
      <c r="AS110" s="141">
        <v>0</v>
      </c>
      <c r="AT110" s="142">
        <v>8.0000000000000002E-3</v>
      </c>
      <c r="AU110" s="142">
        <v>1E-3</v>
      </c>
      <c r="AV110" s="142">
        <v>6.2309999999999999</v>
      </c>
      <c r="AW110" s="142">
        <v>1.1220000000000001</v>
      </c>
      <c r="AX110" s="179">
        <v>7.3529999999999998</v>
      </c>
      <c r="AY110" s="142">
        <v>8.9999999999999993E-3</v>
      </c>
      <c r="AZ110" s="141">
        <v>4</v>
      </c>
      <c r="BA110" s="140">
        <v>40.700000000000003</v>
      </c>
      <c r="BB110" s="141">
        <v>44</v>
      </c>
      <c r="BC110" s="141">
        <v>2442</v>
      </c>
      <c r="BD110" s="141">
        <v>2442</v>
      </c>
      <c r="BE110" s="141">
        <v>2442</v>
      </c>
      <c r="BF110" s="141">
        <v>0</v>
      </c>
      <c r="BG110" s="141">
        <v>0</v>
      </c>
      <c r="BH110" s="142">
        <v>0.79400000000000004</v>
      </c>
      <c r="BI110" s="142">
        <v>0.14299999999999999</v>
      </c>
      <c r="BJ110" s="142">
        <v>619.29</v>
      </c>
      <c r="BK110" s="142">
        <v>111.473</v>
      </c>
      <c r="BL110" s="179">
        <v>730.76400000000001</v>
      </c>
      <c r="BM110" s="142">
        <v>0.93700000000000006</v>
      </c>
      <c r="BN110" s="141">
        <v>1259</v>
      </c>
      <c r="BO110" s="140">
        <v>0</v>
      </c>
      <c r="BP110" s="141">
        <v>0</v>
      </c>
      <c r="BQ110" s="141">
        <v>0</v>
      </c>
      <c r="BR110" s="141">
        <v>0</v>
      </c>
      <c r="BS110" s="141">
        <v>0</v>
      </c>
      <c r="BT110" s="141">
        <v>0</v>
      </c>
      <c r="BU110" s="141">
        <v>0</v>
      </c>
      <c r="BV110" s="142">
        <v>0</v>
      </c>
      <c r="BW110" s="142">
        <v>0</v>
      </c>
      <c r="BX110" s="142">
        <v>0</v>
      </c>
      <c r="BY110" s="142">
        <v>0</v>
      </c>
      <c r="BZ110" s="142">
        <v>0</v>
      </c>
      <c r="CA110" s="142">
        <v>0</v>
      </c>
      <c r="CB110" s="141">
        <v>10</v>
      </c>
      <c r="CC110" s="140">
        <v>15.782999999999999</v>
      </c>
      <c r="CD110" s="141">
        <v>22</v>
      </c>
      <c r="CE110" s="141">
        <v>947</v>
      </c>
      <c r="CF110" s="141">
        <v>947</v>
      </c>
      <c r="CG110" s="141">
        <v>947</v>
      </c>
      <c r="CH110" s="141">
        <v>0</v>
      </c>
      <c r="CI110" s="141">
        <v>0</v>
      </c>
      <c r="CJ110" s="142">
        <v>0</v>
      </c>
      <c r="CK110" s="142">
        <v>0</v>
      </c>
      <c r="CL110" s="142">
        <v>0</v>
      </c>
      <c r="CM110" s="142">
        <v>0</v>
      </c>
      <c r="CN110" s="179">
        <v>0</v>
      </c>
      <c r="CO110" s="142">
        <v>0</v>
      </c>
    </row>
    <row r="111" spans="1:93" ht="16.5" customHeight="1">
      <c r="A111" s="222"/>
      <c r="B111" s="220" t="s">
        <v>386</v>
      </c>
      <c r="C111" s="220"/>
      <c r="D111" s="220"/>
      <c r="E111" s="136" t="s">
        <v>387</v>
      </c>
      <c r="F111" s="136" t="s">
        <v>209</v>
      </c>
      <c r="G111" s="139">
        <v>2025</v>
      </c>
      <c r="H111" s="136" t="s">
        <v>210</v>
      </c>
      <c r="I111" s="221"/>
      <c r="J111" s="221"/>
      <c r="K111" s="140"/>
      <c r="L111" s="141"/>
      <c r="M111" s="141"/>
      <c r="N111" s="141"/>
      <c r="O111" s="141"/>
      <c r="P111" s="141"/>
      <c r="Q111" s="141"/>
      <c r="R111" s="142"/>
      <c r="S111" s="142"/>
      <c r="T111" s="142"/>
      <c r="U111" s="142"/>
      <c r="V111" s="179"/>
      <c r="W111" s="142"/>
      <c r="X111" s="141"/>
      <c r="Y111" s="140"/>
      <c r="Z111" s="141"/>
      <c r="AA111" s="141"/>
      <c r="AB111" s="141"/>
      <c r="AC111" s="141"/>
      <c r="AD111" s="141"/>
      <c r="AE111" s="141"/>
      <c r="AF111" s="142"/>
      <c r="AG111" s="142"/>
      <c r="AH111" s="142"/>
      <c r="AI111" s="142"/>
      <c r="AJ111" s="179"/>
      <c r="AK111" s="142"/>
      <c r="AL111" s="141">
        <v>3</v>
      </c>
      <c r="AM111" s="140">
        <v>0</v>
      </c>
      <c r="AN111" s="141">
        <v>0</v>
      </c>
      <c r="AO111" s="141">
        <v>0</v>
      </c>
      <c r="AP111" s="141">
        <v>0</v>
      </c>
      <c r="AQ111" s="141">
        <v>0</v>
      </c>
      <c r="AR111" s="141">
        <v>0</v>
      </c>
      <c r="AS111" s="141">
        <v>0</v>
      </c>
      <c r="AT111" s="142">
        <v>2.4E-2</v>
      </c>
      <c r="AU111" s="142">
        <v>4.0000000000000001E-3</v>
      </c>
      <c r="AV111" s="142">
        <v>18.693999999999999</v>
      </c>
      <c r="AW111" s="142">
        <v>3.3650000000000002</v>
      </c>
      <c r="AX111" s="179">
        <v>22.059000000000001</v>
      </c>
      <c r="AY111" s="142">
        <v>2.8000000000000001E-2</v>
      </c>
      <c r="AZ111" s="141">
        <v>26</v>
      </c>
      <c r="BA111" s="140">
        <v>68.082999999999998</v>
      </c>
      <c r="BB111" s="141">
        <v>82</v>
      </c>
      <c r="BC111" s="141">
        <v>4085</v>
      </c>
      <c r="BD111" s="141">
        <v>4085</v>
      </c>
      <c r="BE111" s="141">
        <v>4085</v>
      </c>
      <c r="BF111" s="141">
        <v>0</v>
      </c>
      <c r="BG111" s="141">
        <v>0</v>
      </c>
      <c r="BH111" s="142">
        <v>2.9260000000000002</v>
      </c>
      <c r="BI111" s="142">
        <v>0.52700000000000002</v>
      </c>
      <c r="BJ111" s="142">
        <v>2282.3820000000001</v>
      </c>
      <c r="BK111" s="142">
        <v>410.82799999999997</v>
      </c>
      <c r="BL111" s="179">
        <v>2693.21</v>
      </c>
      <c r="BM111" s="142">
        <v>3.4529999999999998</v>
      </c>
      <c r="BN111" s="141">
        <v>515</v>
      </c>
      <c r="BO111" s="140">
        <v>0</v>
      </c>
      <c r="BP111" s="141">
        <v>0</v>
      </c>
      <c r="BQ111" s="141">
        <v>0</v>
      </c>
      <c r="BR111" s="141">
        <v>0</v>
      </c>
      <c r="BS111" s="141">
        <v>0</v>
      </c>
      <c r="BT111" s="141">
        <v>0</v>
      </c>
      <c r="BU111" s="141">
        <v>0</v>
      </c>
      <c r="BV111" s="142">
        <v>0</v>
      </c>
      <c r="BW111" s="142">
        <v>0</v>
      </c>
      <c r="BX111" s="142">
        <v>0</v>
      </c>
      <c r="BY111" s="142">
        <v>0</v>
      </c>
      <c r="BZ111" s="142">
        <v>0</v>
      </c>
      <c r="CA111" s="142">
        <v>0</v>
      </c>
      <c r="CB111" s="141">
        <v>19</v>
      </c>
      <c r="CC111" s="140">
        <v>10.016999999999999</v>
      </c>
      <c r="CD111" s="141">
        <v>23</v>
      </c>
      <c r="CE111" s="141">
        <v>601</v>
      </c>
      <c r="CF111" s="141">
        <v>601</v>
      </c>
      <c r="CG111" s="141">
        <v>601</v>
      </c>
      <c r="CH111" s="141">
        <v>0</v>
      </c>
      <c r="CI111" s="141">
        <v>0</v>
      </c>
      <c r="CJ111" s="142">
        <v>0</v>
      </c>
      <c r="CK111" s="142">
        <v>0</v>
      </c>
      <c r="CL111" s="142">
        <v>0</v>
      </c>
      <c r="CM111" s="142">
        <v>0</v>
      </c>
      <c r="CN111" s="179">
        <v>0</v>
      </c>
      <c r="CO111" s="142">
        <v>0</v>
      </c>
    </row>
    <row r="112" spans="1:93" ht="16.5" customHeight="1">
      <c r="A112" s="222"/>
      <c r="B112" s="220" t="s">
        <v>388</v>
      </c>
      <c r="C112" s="220"/>
      <c r="D112" s="220"/>
      <c r="E112" s="136" t="s">
        <v>389</v>
      </c>
      <c r="F112" s="136" t="s">
        <v>209</v>
      </c>
      <c r="G112" s="139">
        <v>2025</v>
      </c>
      <c r="H112" s="136" t="s">
        <v>210</v>
      </c>
      <c r="I112" s="221"/>
      <c r="J112" s="221"/>
      <c r="K112" s="140"/>
      <c r="L112" s="141"/>
      <c r="M112" s="141"/>
      <c r="N112" s="141"/>
      <c r="O112" s="141"/>
      <c r="P112" s="141"/>
      <c r="Q112" s="141"/>
      <c r="R112" s="142"/>
      <c r="S112" s="142"/>
      <c r="T112" s="142"/>
      <c r="U112" s="142"/>
      <c r="V112" s="179"/>
      <c r="W112" s="142"/>
      <c r="X112" s="141">
        <v>2759</v>
      </c>
      <c r="Y112" s="140">
        <v>46728.517</v>
      </c>
      <c r="Z112" s="141">
        <v>0</v>
      </c>
      <c r="AA112" s="141">
        <v>2803711</v>
      </c>
      <c r="AB112" s="141">
        <v>1713508</v>
      </c>
      <c r="AC112" s="141">
        <v>1713620</v>
      </c>
      <c r="AD112" s="141">
        <v>1540229</v>
      </c>
      <c r="AE112" s="141">
        <v>173279</v>
      </c>
      <c r="AF112" s="142">
        <v>6.7549999999999999</v>
      </c>
      <c r="AG112" s="142">
        <v>1.216</v>
      </c>
      <c r="AH112" s="142">
        <v>5269.0379999999996</v>
      </c>
      <c r="AI112" s="142">
        <v>948.43700000000001</v>
      </c>
      <c r="AJ112" s="179">
        <v>6217.4750000000004</v>
      </c>
      <c r="AK112" s="142">
        <v>7.9710000000000001</v>
      </c>
      <c r="AL112" s="141">
        <v>4</v>
      </c>
      <c r="AM112" s="140">
        <v>0</v>
      </c>
      <c r="AN112" s="141">
        <v>0</v>
      </c>
      <c r="AO112" s="141">
        <v>0</v>
      </c>
      <c r="AP112" s="141">
        <v>0</v>
      </c>
      <c r="AQ112" s="141">
        <v>0</v>
      </c>
      <c r="AR112" s="141">
        <v>0</v>
      </c>
      <c r="AS112" s="141">
        <v>0</v>
      </c>
      <c r="AT112" s="142">
        <v>3.2000000000000001E-2</v>
      </c>
      <c r="AU112" s="142">
        <v>6.0000000000000001E-3</v>
      </c>
      <c r="AV112" s="142">
        <v>24.925000000000001</v>
      </c>
      <c r="AW112" s="142">
        <v>4.4870000000000001</v>
      </c>
      <c r="AX112" s="179">
        <v>29.411999999999999</v>
      </c>
      <c r="AY112" s="142">
        <v>3.7999999999999999E-2</v>
      </c>
      <c r="AZ112" s="141">
        <v>5</v>
      </c>
      <c r="BA112" s="140">
        <v>28.783000000000001</v>
      </c>
      <c r="BB112" s="141">
        <v>32</v>
      </c>
      <c r="BC112" s="141">
        <v>1727</v>
      </c>
      <c r="BD112" s="141">
        <v>1727</v>
      </c>
      <c r="BE112" s="141">
        <v>1727</v>
      </c>
      <c r="BF112" s="141">
        <v>0</v>
      </c>
      <c r="BG112" s="141">
        <v>0</v>
      </c>
      <c r="BH112" s="142">
        <v>0.73499999999999999</v>
      </c>
      <c r="BI112" s="142">
        <v>0.13200000000000001</v>
      </c>
      <c r="BJ112" s="142">
        <v>573.31700000000001</v>
      </c>
      <c r="BK112" s="142">
        <v>103.19799999999999</v>
      </c>
      <c r="BL112" s="179">
        <v>676.51400000000001</v>
      </c>
      <c r="BM112" s="142">
        <v>0.86699999999999999</v>
      </c>
      <c r="BN112" s="141">
        <v>132</v>
      </c>
      <c r="BO112" s="140">
        <v>0</v>
      </c>
      <c r="BP112" s="141">
        <v>0</v>
      </c>
      <c r="BQ112" s="141">
        <v>0</v>
      </c>
      <c r="BR112" s="141">
        <v>0</v>
      </c>
      <c r="BS112" s="141">
        <v>0</v>
      </c>
      <c r="BT112" s="141">
        <v>0</v>
      </c>
      <c r="BU112" s="141">
        <v>0</v>
      </c>
      <c r="BV112" s="142">
        <v>0</v>
      </c>
      <c r="BW112" s="142">
        <v>0</v>
      </c>
      <c r="BX112" s="142">
        <v>0</v>
      </c>
      <c r="BY112" s="142">
        <v>0</v>
      </c>
      <c r="BZ112" s="142">
        <v>0</v>
      </c>
      <c r="CA112" s="142">
        <v>0</v>
      </c>
      <c r="CB112" s="141">
        <v>1</v>
      </c>
      <c r="CC112" s="140">
        <v>2.633</v>
      </c>
      <c r="CD112" s="141">
        <v>3</v>
      </c>
      <c r="CE112" s="141">
        <v>158</v>
      </c>
      <c r="CF112" s="141">
        <v>158</v>
      </c>
      <c r="CG112" s="141">
        <v>158</v>
      </c>
      <c r="CH112" s="141">
        <v>0</v>
      </c>
      <c r="CI112" s="141">
        <v>0</v>
      </c>
      <c r="CJ112" s="142">
        <v>0</v>
      </c>
      <c r="CK112" s="142">
        <v>0</v>
      </c>
      <c r="CL112" s="142">
        <v>0</v>
      </c>
      <c r="CM112" s="142">
        <v>0</v>
      </c>
      <c r="CN112" s="179">
        <v>0</v>
      </c>
      <c r="CO112" s="142">
        <v>0</v>
      </c>
    </row>
    <row r="113" spans="1:93" ht="16.5" customHeight="1">
      <c r="A113" s="222"/>
      <c r="B113" s="220" t="s">
        <v>390</v>
      </c>
      <c r="C113" s="220"/>
      <c r="D113" s="220"/>
      <c r="E113" s="136" t="s">
        <v>391</v>
      </c>
      <c r="F113" s="136" t="s">
        <v>209</v>
      </c>
      <c r="G113" s="139">
        <v>2025</v>
      </c>
      <c r="H113" s="136" t="s">
        <v>210</v>
      </c>
      <c r="I113" s="221"/>
      <c r="J113" s="221"/>
      <c r="K113" s="140"/>
      <c r="L113" s="141"/>
      <c r="M113" s="141"/>
      <c r="N113" s="141"/>
      <c r="O113" s="141"/>
      <c r="P113" s="141"/>
      <c r="Q113" s="141"/>
      <c r="R113" s="142"/>
      <c r="S113" s="142"/>
      <c r="T113" s="142"/>
      <c r="U113" s="142"/>
      <c r="V113" s="179"/>
      <c r="W113" s="142"/>
      <c r="X113" s="141">
        <v>74467</v>
      </c>
      <c r="Y113" s="140">
        <v>1276992.433</v>
      </c>
      <c r="Z113" s="141">
        <v>0</v>
      </c>
      <c r="AA113" s="141">
        <v>76619546</v>
      </c>
      <c r="AB113" s="141">
        <v>391465</v>
      </c>
      <c r="AC113" s="141">
        <v>393824</v>
      </c>
      <c r="AD113" s="141">
        <v>299050</v>
      </c>
      <c r="AE113" s="141">
        <v>92416</v>
      </c>
      <c r="AF113" s="142">
        <v>1.5529999999999999</v>
      </c>
      <c r="AG113" s="142">
        <v>0.28000000000000003</v>
      </c>
      <c r="AH113" s="142">
        <v>1211.1010000000001</v>
      </c>
      <c r="AI113" s="142">
        <v>218.697</v>
      </c>
      <c r="AJ113" s="179">
        <v>1429.798</v>
      </c>
      <c r="AK113" s="142">
        <v>1.833</v>
      </c>
      <c r="AL113" s="141">
        <v>6</v>
      </c>
      <c r="AM113" s="140">
        <v>0</v>
      </c>
      <c r="AN113" s="141">
        <v>0</v>
      </c>
      <c r="AO113" s="141">
        <v>0</v>
      </c>
      <c r="AP113" s="141">
        <v>0</v>
      </c>
      <c r="AQ113" s="141">
        <v>0</v>
      </c>
      <c r="AR113" s="141">
        <v>0</v>
      </c>
      <c r="AS113" s="141">
        <v>0</v>
      </c>
      <c r="AT113" s="142">
        <v>4.8000000000000001E-2</v>
      </c>
      <c r="AU113" s="142">
        <v>8.9999999999999993E-3</v>
      </c>
      <c r="AV113" s="142">
        <v>37.387999999999998</v>
      </c>
      <c r="AW113" s="142">
        <v>6.73</v>
      </c>
      <c r="AX113" s="179">
        <v>44.118000000000002</v>
      </c>
      <c r="AY113" s="142">
        <v>5.7000000000000002E-2</v>
      </c>
      <c r="AZ113" s="141">
        <v>1</v>
      </c>
      <c r="BA113" s="140">
        <v>9.25</v>
      </c>
      <c r="BB113" s="141">
        <v>10</v>
      </c>
      <c r="BC113" s="141">
        <v>555</v>
      </c>
      <c r="BD113" s="141">
        <v>555</v>
      </c>
      <c r="BE113" s="141">
        <v>555</v>
      </c>
      <c r="BF113" s="141">
        <v>0</v>
      </c>
      <c r="BG113" s="141">
        <v>0</v>
      </c>
      <c r="BH113" s="142">
        <v>0.14799999999999999</v>
      </c>
      <c r="BI113" s="142">
        <v>2.7E-2</v>
      </c>
      <c r="BJ113" s="142">
        <v>115.28400000000001</v>
      </c>
      <c r="BK113" s="142">
        <v>20.751000000000001</v>
      </c>
      <c r="BL113" s="179">
        <v>136.035</v>
      </c>
      <c r="BM113" s="142">
        <v>0.17399999999999999</v>
      </c>
      <c r="BN113" s="141">
        <v>3758</v>
      </c>
      <c r="BO113" s="140">
        <v>0</v>
      </c>
      <c r="BP113" s="141">
        <v>0</v>
      </c>
      <c r="BQ113" s="141">
        <v>0</v>
      </c>
      <c r="BR113" s="141">
        <v>0</v>
      </c>
      <c r="BS113" s="141">
        <v>0</v>
      </c>
      <c r="BT113" s="141">
        <v>0</v>
      </c>
      <c r="BU113" s="141">
        <v>0</v>
      </c>
      <c r="BV113" s="142">
        <v>0</v>
      </c>
      <c r="BW113" s="142">
        <v>0</v>
      </c>
      <c r="BX113" s="142">
        <v>0</v>
      </c>
      <c r="BY113" s="142">
        <v>0</v>
      </c>
      <c r="BZ113" s="142">
        <v>0</v>
      </c>
      <c r="CA113" s="142">
        <v>0</v>
      </c>
      <c r="CB113" s="141">
        <v>28</v>
      </c>
      <c r="CC113" s="140">
        <v>12.016999999999999</v>
      </c>
      <c r="CD113" s="141">
        <v>34</v>
      </c>
      <c r="CE113" s="141">
        <v>721</v>
      </c>
      <c r="CF113" s="141">
        <v>721</v>
      </c>
      <c r="CG113" s="141">
        <v>721</v>
      </c>
      <c r="CH113" s="141">
        <v>0</v>
      </c>
      <c r="CI113" s="141">
        <v>0</v>
      </c>
      <c r="CJ113" s="142">
        <v>0</v>
      </c>
      <c r="CK113" s="142">
        <v>0</v>
      </c>
      <c r="CL113" s="142">
        <v>0</v>
      </c>
      <c r="CM113" s="142">
        <v>0</v>
      </c>
      <c r="CN113" s="179">
        <v>0</v>
      </c>
      <c r="CO113" s="142">
        <v>0</v>
      </c>
    </row>
    <row r="114" spans="1:93" ht="16.5" customHeight="1">
      <c r="A114" s="222"/>
      <c r="B114" s="220" t="s">
        <v>392</v>
      </c>
      <c r="C114" s="220"/>
      <c r="D114" s="220"/>
      <c r="E114" s="136" t="s">
        <v>393</v>
      </c>
      <c r="F114" s="136" t="s">
        <v>209</v>
      </c>
      <c r="G114" s="139">
        <v>2025</v>
      </c>
      <c r="H114" s="136" t="s">
        <v>210</v>
      </c>
      <c r="I114" s="221"/>
      <c r="J114" s="221"/>
      <c r="K114" s="140"/>
      <c r="L114" s="141"/>
      <c r="M114" s="141"/>
      <c r="N114" s="141"/>
      <c r="O114" s="141"/>
      <c r="P114" s="141"/>
      <c r="Q114" s="141"/>
      <c r="R114" s="142"/>
      <c r="S114" s="142"/>
      <c r="T114" s="142"/>
      <c r="U114" s="142"/>
      <c r="V114" s="179"/>
      <c r="W114" s="142"/>
      <c r="X114" s="141">
        <v>32974</v>
      </c>
      <c r="Y114" s="140">
        <v>554161.63300000003</v>
      </c>
      <c r="Z114" s="141">
        <v>0</v>
      </c>
      <c r="AA114" s="141">
        <v>33249698</v>
      </c>
      <c r="AB114" s="141">
        <v>6191452</v>
      </c>
      <c r="AC114" s="141">
        <v>6193300</v>
      </c>
      <c r="AD114" s="141">
        <v>5941345</v>
      </c>
      <c r="AE114" s="141">
        <v>250106</v>
      </c>
      <c r="AF114" s="142">
        <v>24.414999999999999</v>
      </c>
      <c r="AG114" s="142">
        <v>4.3949999999999996</v>
      </c>
      <c r="AH114" s="142">
        <v>19043.272000000001</v>
      </c>
      <c r="AI114" s="142">
        <v>3428.1979999999999</v>
      </c>
      <c r="AJ114" s="179">
        <v>22471.47</v>
      </c>
      <c r="AK114" s="142">
        <v>28.81</v>
      </c>
      <c r="AL114" s="141">
        <v>4</v>
      </c>
      <c r="AM114" s="140">
        <v>0</v>
      </c>
      <c r="AN114" s="141">
        <v>0</v>
      </c>
      <c r="AO114" s="141">
        <v>0</v>
      </c>
      <c r="AP114" s="141">
        <v>0</v>
      </c>
      <c r="AQ114" s="141">
        <v>0</v>
      </c>
      <c r="AR114" s="141">
        <v>0</v>
      </c>
      <c r="AS114" s="141">
        <v>0</v>
      </c>
      <c r="AT114" s="142">
        <v>3.2000000000000001E-2</v>
      </c>
      <c r="AU114" s="142">
        <v>6.0000000000000001E-3</v>
      </c>
      <c r="AV114" s="142">
        <v>24.925000000000001</v>
      </c>
      <c r="AW114" s="142">
        <v>4.4870000000000001</v>
      </c>
      <c r="AX114" s="179">
        <v>29.411999999999999</v>
      </c>
      <c r="AY114" s="142">
        <v>3.7999999999999999E-2</v>
      </c>
      <c r="AZ114" s="141">
        <v>22</v>
      </c>
      <c r="BA114" s="140">
        <v>58.883000000000003</v>
      </c>
      <c r="BB114" s="141">
        <v>70</v>
      </c>
      <c r="BC114" s="141">
        <v>3533</v>
      </c>
      <c r="BD114" s="141">
        <v>3533</v>
      </c>
      <c r="BE114" s="141">
        <v>3533</v>
      </c>
      <c r="BF114" s="141">
        <v>0</v>
      </c>
      <c r="BG114" s="141">
        <v>0</v>
      </c>
      <c r="BH114" s="142">
        <v>1.925</v>
      </c>
      <c r="BI114" s="142">
        <v>0.34599999999999997</v>
      </c>
      <c r="BJ114" s="142">
        <v>1501.3330000000001</v>
      </c>
      <c r="BK114" s="142">
        <v>270.24</v>
      </c>
      <c r="BL114" s="179">
        <v>1771.5730000000001</v>
      </c>
      <c r="BM114" s="142">
        <v>2.2709999999999999</v>
      </c>
      <c r="BN114" s="141">
        <v>1607</v>
      </c>
      <c r="BO114" s="140">
        <v>0</v>
      </c>
      <c r="BP114" s="141">
        <v>0</v>
      </c>
      <c r="BQ114" s="141">
        <v>0</v>
      </c>
      <c r="BR114" s="141">
        <v>0</v>
      </c>
      <c r="BS114" s="141">
        <v>0</v>
      </c>
      <c r="BT114" s="141">
        <v>0</v>
      </c>
      <c r="BU114" s="141">
        <v>0</v>
      </c>
      <c r="BV114" s="142">
        <v>0</v>
      </c>
      <c r="BW114" s="142">
        <v>0</v>
      </c>
      <c r="BX114" s="142">
        <v>0</v>
      </c>
      <c r="BY114" s="142">
        <v>0</v>
      </c>
      <c r="BZ114" s="142">
        <v>0</v>
      </c>
      <c r="CA114" s="142">
        <v>0</v>
      </c>
      <c r="CB114" s="141">
        <v>11</v>
      </c>
      <c r="CC114" s="140">
        <v>80.733000000000004</v>
      </c>
      <c r="CD114" s="141">
        <v>87</v>
      </c>
      <c r="CE114" s="141">
        <v>4844</v>
      </c>
      <c r="CF114" s="141">
        <v>4844</v>
      </c>
      <c r="CG114" s="141">
        <v>4844</v>
      </c>
      <c r="CH114" s="141">
        <v>0</v>
      </c>
      <c r="CI114" s="141">
        <v>0</v>
      </c>
      <c r="CJ114" s="142">
        <v>0</v>
      </c>
      <c r="CK114" s="142">
        <v>0</v>
      </c>
      <c r="CL114" s="142">
        <v>0</v>
      </c>
      <c r="CM114" s="142">
        <v>0</v>
      </c>
      <c r="CN114" s="179">
        <v>0</v>
      </c>
      <c r="CO114" s="142">
        <v>0</v>
      </c>
    </row>
    <row r="115" spans="1:93" ht="16.5" customHeight="1">
      <c r="A115" s="222"/>
      <c r="B115" s="220" t="s">
        <v>394</v>
      </c>
      <c r="C115" s="220"/>
      <c r="D115" s="220"/>
      <c r="E115" s="136" t="s">
        <v>395</v>
      </c>
      <c r="F115" s="136" t="s">
        <v>209</v>
      </c>
      <c r="G115" s="139">
        <v>2025</v>
      </c>
      <c r="H115" s="136" t="s">
        <v>210</v>
      </c>
      <c r="I115" s="221"/>
      <c r="J115" s="221"/>
      <c r="K115" s="140"/>
      <c r="L115" s="141"/>
      <c r="M115" s="141"/>
      <c r="N115" s="141"/>
      <c r="O115" s="141"/>
      <c r="P115" s="141"/>
      <c r="Q115" s="141"/>
      <c r="R115" s="142"/>
      <c r="S115" s="142"/>
      <c r="T115" s="142"/>
      <c r="U115" s="142"/>
      <c r="V115" s="179"/>
      <c r="W115" s="142"/>
      <c r="X115" s="141">
        <v>42418</v>
      </c>
      <c r="Y115" s="140">
        <v>746982.98300000001</v>
      </c>
      <c r="Z115" s="141">
        <v>0</v>
      </c>
      <c r="AA115" s="141">
        <v>44818979</v>
      </c>
      <c r="AB115" s="141">
        <v>19215311</v>
      </c>
      <c r="AC115" s="141">
        <v>19216955</v>
      </c>
      <c r="AD115" s="141">
        <v>15704249</v>
      </c>
      <c r="AE115" s="141">
        <v>3511062</v>
      </c>
      <c r="AF115" s="142">
        <v>75.754999999999995</v>
      </c>
      <c r="AG115" s="142">
        <v>13.635999999999999</v>
      </c>
      <c r="AH115" s="142">
        <v>59088.321000000004</v>
      </c>
      <c r="AI115" s="142">
        <v>10635.99</v>
      </c>
      <c r="AJ115" s="179">
        <v>69724.311000000002</v>
      </c>
      <c r="AK115" s="142">
        <v>89.391000000000005</v>
      </c>
      <c r="AL115" s="141">
        <v>45</v>
      </c>
      <c r="AM115" s="140">
        <v>0</v>
      </c>
      <c r="AN115" s="141">
        <v>0</v>
      </c>
      <c r="AO115" s="141">
        <v>0</v>
      </c>
      <c r="AP115" s="141">
        <v>0</v>
      </c>
      <c r="AQ115" s="141">
        <v>0</v>
      </c>
      <c r="AR115" s="141">
        <v>0</v>
      </c>
      <c r="AS115" s="141">
        <v>0</v>
      </c>
      <c r="AT115" s="142">
        <v>0.36</v>
      </c>
      <c r="AU115" s="142">
        <v>6.5000000000000002E-2</v>
      </c>
      <c r="AV115" s="142">
        <v>280.411</v>
      </c>
      <c r="AW115" s="142">
        <v>50.472999999999999</v>
      </c>
      <c r="AX115" s="179">
        <v>330.88400000000001</v>
      </c>
      <c r="AY115" s="142">
        <v>0.42399999999999999</v>
      </c>
      <c r="AZ115" s="141">
        <v>33</v>
      </c>
      <c r="BA115" s="140">
        <v>215.6</v>
      </c>
      <c r="BB115" s="141">
        <v>237</v>
      </c>
      <c r="BC115" s="141">
        <v>12936</v>
      </c>
      <c r="BD115" s="141">
        <v>12936</v>
      </c>
      <c r="BE115" s="141">
        <v>12936</v>
      </c>
      <c r="BF115" s="141">
        <v>0</v>
      </c>
      <c r="BG115" s="141">
        <v>0</v>
      </c>
      <c r="BH115" s="142">
        <v>19.7</v>
      </c>
      <c r="BI115" s="142">
        <v>3.5459999999999998</v>
      </c>
      <c r="BJ115" s="142">
        <v>15365.739</v>
      </c>
      <c r="BK115" s="142">
        <v>2765.8339999999998</v>
      </c>
      <c r="BL115" s="179">
        <v>18131.573</v>
      </c>
      <c r="BM115" s="142">
        <v>23.245999999999999</v>
      </c>
      <c r="BN115" s="141">
        <v>2864</v>
      </c>
      <c r="BO115" s="140">
        <v>0</v>
      </c>
      <c r="BP115" s="141">
        <v>0</v>
      </c>
      <c r="BQ115" s="141">
        <v>0</v>
      </c>
      <c r="BR115" s="141">
        <v>0</v>
      </c>
      <c r="BS115" s="141">
        <v>0</v>
      </c>
      <c r="BT115" s="141">
        <v>0</v>
      </c>
      <c r="BU115" s="141">
        <v>0</v>
      </c>
      <c r="BV115" s="142">
        <v>0</v>
      </c>
      <c r="BW115" s="142">
        <v>0</v>
      </c>
      <c r="BX115" s="142">
        <v>0</v>
      </c>
      <c r="BY115" s="142">
        <v>0</v>
      </c>
      <c r="BZ115" s="142">
        <v>0</v>
      </c>
      <c r="CA115" s="142">
        <v>0</v>
      </c>
      <c r="CB115" s="141">
        <v>36</v>
      </c>
      <c r="CC115" s="140">
        <v>29.016999999999999</v>
      </c>
      <c r="CD115" s="141">
        <v>53</v>
      </c>
      <c r="CE115" s="141">
        <v>1741</v>
      </c>
      <c r="CF115" s="141">
        <v>1741</v>
      </c>
      <c r="CG115" s="141">
        <v>1741</v>
      </c>
      <c r="CH115" s="141">
        <v>0</v>
      </c>
      <c r="CI115" s="141">
        <v>0</v>
      </c>
      <c r="CJ115" s="142">
        <v>0</v>
      </c>
      <c r="CK115" s="142">
        <v>0</v>
      </c>
      <c r="CL115" s="142">
        <v>0</v>
      </c>
      <c r="CM115" s="142">
        <v>0</v>
      </c>
      <c r="CN115" s="179">
        <v>0</v>
      </c>
      <c r="CO115" s="142">
        <v>0</v>
      </c>
    </row>
    <row r="116" spans="1:93" ht="16.5" customHeight="1">
      <c r="A116" s="222"/>
      <c r="B116" s="220" t="s">
        <v>396</v>
      </c>
      <c r="C116" s="220"/>
      <c r="D116" s="220"/>
      <c r="E116" s="136" t="s">
        <v>397</v>
      </c>
      <c r="F116" s="136" t="s">
        <v>209</v>
      </c>
      <c r="G116" s="139">
        <v>2025</v>
      </c>
      <c r="H116" s="136" t="s">
        <v>210</v>
      </c>
      <c r="I116" s="221"/>
      <c r="J116" s="221"/>
      <c r="K116" s="140"/>
      <c r="L116" s="141"/>
      <c r="M116" s="141"/>
      <c r="N116" s="141"/>
      <c r="O116" s="141"/>
      <c r="P116" s="141"/>
      <c r="Q116" s="141"/>
      <c r="R116" s="142"/>
      <c r="S116" s="142"/>
      <c r="T116" s="142"/>
      <c r="U116" s="142"/>
      <c r="V116" s="179"/>
      <c r="W116" s="142"/>
      <c r="X116" s="141">
        <v>13374</v>
      </c>
      <c r="Y116" s="140">
        <v>212078.98300000001</v>
      </c>
      <c r="Z116" s="141">
        <v>0</v>
      </c>
      <c r="AA116" s="141">
        <v>12724739</v>
      </c>
      <c r="AB116" s="141">
        <v>999040</v>
      </c>
      <c r="AC116" s="141">
        <v>1000242</v>
      </c>
      <c r="AD116" s="141">
        <v>873702</v>
      </c>
      <c r="AE116" s="141">
        <v>125338</v>
      </c>
      <c r="AF116" s="142">
        <v>3.9430000000000001</v>
      </c>
      <c r="AG116" s="142">
        <v>0.71</v>
      </c>
      <c r="AH116" s="142">
        <v>3075.6109999999999</v>
      </c>
      <c r="AI116" s="142">
        <v>553.928</v>
      </c>
      <c r="AJ116" s="179">
        <v>3629.538</v>
      </c>
      <c r="AK116" s="142">
        <v>4.6529999999999996</v>
      </c>
      <c r="AL116" s="141">
        <v>22</v>
      </c>
      <c r="AM116" s="140">
        <v>0</v>
      </c>
      <c r="AN116" s="141">
        <v>0</v>
      </c>
      <c r="AO116" s="141">
        <v>0</v>
      </c>
      <c r="AP116" s="141">
        <v>0</v>
      </c>
      <c r="AQ116" s="141">
        <v>0</v>
      </c>
      <c r="AR116" s="141">
        <v>0</v>
      </c>
      <c r="AS116" s="141">
        <v>0</v>
      </c>
      <c r="AT116" s="142">
        <v>0.17599999999999999</v>
      </c>
      <c r="AU116" s="142">
        <v>3.2000000000000001E-2</v>
      </c>
      <c r="AV116" s="142">
        <v>137.09</v>
      </c>
      <c r="AW116" s="142">
        <v>24.675999999999998</v>
      </c>
      <c r="AX116" s="179">
        <v>161.76599999999999</v>
      </c>
      <c r="AY116" s="142">
        <v>0.20699999999999999</v>
      </c>
      <c r="AZ116" s="141">
        <v>17</v>
      </c>
      <c r="BA116" s="140">
        <v>53.7</v>
      </c>
      <c r="BB116" s="141">
        <v>63</v>
      </c>
      <c r="BC116" s="141">
        <v>3222</v>
      </c>
      <c r="BD116" s="141">
        <v>3222</v>
      </c>
      <c r="BE116" s="141">
        <v>3222</v>
      </c>
      <c r="BF116" s="141">
        <v>0</v>
      </c>
      <c r="BG116" s="141">
        <v>0</v>
      </c>
      <c r="BH116" s="142">
        <v>10.920999999999999</v>
      </c>
      <c r="BI116" s="142">
        <v>1.966</v>
      </c>
      <c r="BJ116" s="142">
        <v>8518.357</v>
      </c>
      <c r="BK116" s="142">
        <v>1533.3040000000001</v>
      </c>
      <c r="BL116" s="179">
        <v>10051.662</v>
      </c>
      <c r="BM116" s="142">
        <v>12.887</v>
      </c>
      <c r="BN116" s="141">
        <v>1490</v>
      </c>
      <c r="BO116" s="140">
        <v>0</v>
      </c>
      <c r="BP116" s="141">
        <v>0</v>
      </c>
      <c r="BQ116" s="141">
        <v>0</v>
      </c>
      <c r="BR116" s="141">
        <v>0</v>
      </c>
      <c r="BS116" s="141">
        <v>0</v>
      </c>
      <c r="BT116" s="141">
        <v>0</v>
      </c>
      <c r="BU116" s="141">
        <v>0</v>
      </c>
      <c r="BV116" s="142">
        <v>0</v>
      </c>
      <c r="BW116" s="142">
        <v>0</v>
      </c>
      <c r="BX116" s="142">
        <v>0</v>
      </c>
      <c r="BY116" s="142">
        <v>0</v>
      </c>
      <c r="BZ116" s="142">
        <v>0</v>
      </c>
      <c r="CA116" s="142">
        <v>0</v>
      </c>
      <c r="CB116" s="141">
        <v>31</v>
      </c>
      <c r="CC116" s="140">
        <v>177.65</v>
      </c>
      <c r="CD116" s="141">
        <v>197</v>
      </c>
      <c r="CE116" s="141">
        <v>10659</v>
      </c>
      <c r="CF116" s="141">
        <v>10659</v>
      </c>
      <c r="CG116" s="141">
        <v>10659</v>
      </c>
      <c r="CH116" s="141">
        <v>0</v>
      </c>
      <c r="CI116" s="141">
        <v>0</v>
      </c>
      <c r="CJ116" s="142">
        <v>0</v>
      </c>
      <c r="CK116" s="142">
        <v>0</v>
      </c>
      <c r="CL116" s="142">
        <v>0</v>
      </c>
      <c r="CM116" s="142">
        <v>0</v>
      </c>
      <c r="CN116" s="179">
        <v>0</v>
      </c>
      <c r="CO116" s="142">
        <v>0</v>
      </c>
    </row>
    <row r="117" spans="1:93" ht="16.5" customHeight="1">
      <c r="A117" s="222"/>
      <c r="B117" s="220" t="s">
        <v>398</v>
      </c>
      <c r="C117" s="220"/>
      <c r="D117" s="220"/>
      <c r="E117" s="136" t="s">
        <v>399</v>
      </c>
      <c r="F117" s="136" t="s">
        <v>209</v>
      </c>
      <c r="G117" s="139">
        <v>2025</v>
      </c>
      <c r="H117" s="136" t="s">
        <v>210</v>
      </c>
      <c r="I117" s="221"/>
      <c r="J117" s="221"/>
      <c r="K117" s="140"/>
      <c r="L117" s="141"/>
      <c r="M117" s="141"/>
      <c r="N117" s="141"/>
      <c r="O117" s="141"/>
      <c r="P117" s="141"/>
      <c r="Q117" s="141"/>
      <c r="R117" s="142"/>
      <c r="S117" s="142"/>
      <c r="T117" s="142"/>
      <c r="U117" s="142"/>
      <c r="V117" s="179"/>
      <c r="W117" s="142"/>
      <c r="X117" s="141">
        <v>20707</v>
      </c>
      <c r="Y117" s="140">
        <v>366608.55</v>
      </c>
      <c r="Z117" s="141">
        <v>0</v>
      </c>
      <c r="AA117" s="141">
        <v>21996513</v>
      </c>
      <c r="AB117" s="141">
        <v>1469261</v>
      </c>
      <c r="AC117" s="141">
        <v>1471360</v>
      </c>
      <c r="AD117" s="141">
        <v>1060806</v>
      </c>
      <c r="AE117" s="141">
        <v>408455</v>
      </c>
      <c r="AF117" s="142">
        <v>5.8</v>
      </c>
      <c r="AG117" s="142">
        <v>1.044</v>
      </c>
      <c r="AH117" s="142">
        <v>4524.2560000000003</v>
      </c>
      <c r="AI117" s="142">
        <v>814.49800000000005</v>
      </c>
      <c r="AJ117" s="179">
        <v>5338.7539999999999</v>
      </c>
      <c r="AK117" s="142">
        <v>6.8449999999999998</v>
      </c>
      <c r="AL117" s="141">
        <v>8</v>
      </c>
      <c r="AM117" s="140">
        <v>0</v>
      </c>
      <c r="AN117" s="141">
        <v>0</v>
      </c>
      <c r="AO117" s="141">
        <v>0</v>
      </c>
      <c r="AP117" s="141">
        <v>0</v>
      </c>
      <c r="AQ117" s="141">
        <v>0</v>
      </c>
      <c r="AR117" s="141">
        <v>0</v>
      </c>
      <c r="AS117" s="141">
        <v>0</v>
      </c>
      <c r="AT117" s="142">
        <v>6.4000000000000001E-2</v>
      </c>
      <c r="AU117" s="142">
        <v>1.2E-2</v>
      </c>
      <c r="AV117" s="142">
        <v>49.850999999999999</v>
      </c>
      <c r="AW117" s="142">
        <v>8.9730000000000008</v>
      </c>
      <c r="AX117" s="179">
        <v>58.823999999999998</v>
      </c>
      <c r="AY117" s="142">
        <v>7.4999999999999997E-2</v>
      </c>
      <c r="AZ117" s="141">
        <v>6</v>
      </c>
      <c r="BA117" s="140">
        <v>10.5</v>
      </c>
      <c r="BB117" s="141">
        <v>14</v>
      </c>
      <c r="BC117" s="141">
        <v>630</v>
      </c>
      <c r="BD117" s="141">
        <v>630</v>
      </c>
      <c r="BE117" s="141">
        <v>630</v>
      </c>
      <c r="BF117" s="141">
        <v>0</v>
      </c>
      <c r="BG117" s="141">
        <v>0</v>
      </c>
      <c r="BH117" s="142">
        <v>0.21299999999999999</v>
      </c>
      <c r="BI117" s="142">
        <v>3.7999999999999999E-2</v>
      </c>
      <c r="BJ117" s="142">
        <v>166.06700000000001</v>
      </c>
      <c r="BK117" s="142">
        <v>29.891999999999999</v>
      </c>
      <c r="BL117" s="179">
        <v>195.958</v>
      </c>
      <c r="BM117" s="142">
        <v>0.251</v>
      </c>
      <c r="BN117" s="141">
        <v>2088</v>
      </c>
      <c r="BO117" s="140">
        <v>0</v>
      </c>
      <c r="BP117" s="141">
        <v>0</v>
      </c>
      <c r="BQ117" s="141">
        <v>0</v>
      </c>
      <c r="BR117" s="141">
        <v>0</v>
      </c>
      <c r="BS117" s="141">
        <v>0</v>
      </c>
      <c r="BT117" s="141">
        <v>0</v>
      </c>
      <c r="BU117" s="141">
        <v>0</v>
      </c>
      <c r="BV117" s="142">
        <v>0</v>
      </c>
      <c r="BW117" s="142">
        <v>0</v>
      </c>
      <c r="BX117" s="142">
        <v>0</v>
      </c>
      <c r="BY117" s="142">
        <v>0</v>
      </c>
      <c r="BZ117" s="142">
        <v>0</v>
      </c>
      <c r="CA117" s="142">
        <v>0</v>
      </c>
      <c r="CB117" s="141">
        <v>14</v>
      </c>
      <c r="CC117" s="140">
        <v>8.0830000000000002</v>
      </c>
      <c r="CD117" s="141">
        <v>16</v>
      </c>
      <c r="CE117" s="141">
        <v>485</v>
      </c>
      <c r="CF117" s="141">
        <v>485</v>
      </c>
      <c r="CG117" s="141">
        <v>485</v>
      </c>
      <c r="CH117" s="141">
        <v>0</v>
      </c>
      <c r="CI117" s="141">
        <v>0</v>
      </c>
      <c r="CJ117" s="142">
        <v>0</v>
      </c>
      <c r="CK117" s="142">
        <v>0</v>
      </c>
      <c r="CL117" s="142">
        <v>0</v>
      </c>
      <c r="CM117" s="142">
        <v>0</v>
      </c>
      <c r="CN117" s="179">
        <v>0</v>
      </c>
      <c r="CO117" s="142">
        <v>0</v>
      </c>
    </row>
    <row r="118" spans="1:93" ht="16.5" customHeight="1">
      <c r="A118" s="222"/>
      <c r="B118" s="220" t="s">
        <v>400</v>
      </c>
      <c r="C118" s="220"/>
      <c r="D118" s="220"/>
      <c r="E118" s="136" t="s">
        <v>401</v>
      </c>
      <c r="F118" s="136" t="s">
        <v>209</v>
      </c>
      <c r="G118" s="139">
        <v>2025</v>
      </c>
      <c r="H118" s="136" t="s">
        <v>210</v>
      </c>
      <c r="I118" s="221"/>
      <c r="J118" s="221"/>
      <c r="K118" s="140"/>
      <c r="L118" s="141"/>
      <c r="M118" s="141"/>
      <c r="N118" s="141"/>
      <c r="O118" s="141"/>
      <c r="P118" s="141"/>
      <c r="Q118" s="141"/>
      <c r="R118" s="142"/>
      <c r="S118" s="142"/>
      <c r="T118" s="142"/>
      <c r="U118" s="142"/>
      <c r="V118" s="179"/>
      <c r="W118" s="142"/>
      <c r="X118" s="141">
        <v>17</v>
      </c>
      <c r="Y118" s="140">
        <v>262.88299999999998</v>
      </c>
      <c r="Z118" s="141">
        <v>0</v>
      </c>
      <c r="AA118" s="141">
        <v>15773</v>
      </c>
      <c r="AB118" s="141">
        <v>0</v>
      </c>
      <c r="AC118" s="141">
        <v>0</v>
      </c>
      <c r="AD118" s="141">
        <v>0</v>
      </c>
      <c r="AE118" s="141">
        <v>0</v>
      </c>
      <c r="AF118" s="142">
        <v>0</v>
      </c>
      <c r="AG118" s="142">
        <v>0</v>
      </c>
      <c r="AH118" s="142">
        <v>0</v>
      </c>
      <c r="AI118" s="142">
        <v>0</v>
      </c>
      <c r="AJ118" s="179">
        <v>0</v>
      </c>
      <c r="AK118" s="142">
        <v>0</v>
      </c>
      <c r="AL118" s="141"/>
      <c r="AM118" s="140"/>
      <c r="AN118" s="141"/>
      <c r="AO118" s="141"/>
      <c r="AP118" s="141"/>
      <c r="AQ118" s="141"/>
      <c r="AR118" s="141"/>
      <c r="AS118" s="141"/>
      <c r="AT118" s="142"/>
      <c r="AU118" s="142"/>
      <c r="AV118" s="142"/>
      <c r="AW118" s="142"/>
      <c r="AX118" s="179"/>
      <c r="AY118" s="142"/>
      <c r="AZ118" s="141"/>
      <c r="BA118" s="140"/>
      <c r="BB118" s="141"/>
      <c r="BC118" s="141"/>
      <c r="BD118" s="141"/>
      <c r="BE118" s="141"/>
      <c r="BF118" s="141"/>
      <c r="BG118" s="141"/>
      <c r="BH118" s="142"/>
      <c r="BI118" s="142"/>
      <c r="BJ118" s="142"/>
      <c r="BK118" s="142"/>
      <c r="BL118" s="179"/>
      <c r="BM118" s="142"/>
      <c r="BN118" s="141">
        <v>11</v>
      </c>
      <c r="BO118" s="140">
        <v>0</v>
      </c>
      <c r="BP118" s="141">
        <v>0</v>
      </c>
      <c r="BQ118" s="141">
        <v>0</v>
      </c>
      <c r="BR118" s="141">
        <v>0</v>
      </c>
      <c r="BS118" s="141">
        <v>0</v>
      </c>
      <c r="BT118" s="141">
        <v>0</v>
      </c>
      <c r="BU118" s="141">
        <v>0</v>
      </c>
      <c r="BV118" s="142">
        <v>0</v>
      </c>
      <c r="BW118" s="142">
        <v>0</v>
      </c>
      <c r="BX118" s="142">
        <v>0</v>
      </c>
      <c r="BY118" s="142">
        <v>0</v>
      </c>
      <c r="BZ118" s="142">
        <v>0</v>
      </c>
      <c r="CA118" s="142">
        <v>0</v>
      </c>
      <c r="CB118" s="141"/>
      <c r="CC118" s="140"/>
      <c r="CD118" s="141"/>
      <c r="CE118" s="141"/>
      <c r="CF118" s="141"/>
      <c r="CG118" s="141"/>
      <c r="CH118" s="141"/>
      <c r="CI118" s="141"/>
      <c r="CJ118" s="142"/>
      <c r="CK118" s="142"/>
      <c r="CL118" s="142"/>
      <c r="CM118" s="142"/>
      <c r="CN118" s="179"/>
      <c r="CO118" s="142"/>
    </row>
    <row r="119" spans="1:93" ht="16.5" customHeight="1">
      <c r="A119" s="222"/>
      <c r="B119" s="220" t="s">
        <v>402</v>
      </c>
      <c r="C119" s="220"/>
      <c r="D119" s="220"/>
      <c r="E119" s="136" t="s">
        <v>403</v>
      </c>
      <c r="F119" s="136" t="s">
        <v>209</v>
      </c>
      <c r="G119" s="139">
        <v>2025</v>
      </c>
      <c r="H119" s="136" t="s">
        <v>210</v>
      </c>
      <c r="I119" s="221"/>
      <c r="J119" s="221"/>
      <c r="K119" s="140"/>
      <c r="L119" s="141"/>
      <c r="M119" s="141"/>
      <c r="N119" s="141"/>
      <c r="O119" s="141"/>
      <c r="P119" s="141"/>
      <c r="Q119" s="141"/>
      <c r="R119" s="142"/>
      <c r="S119" s="142"/>
      <c r="T119" s="142"/>
      <c r="U119" s="142"/>
      <c r="V119" s="179"/>
      <c r="W119" s="142"/>
      <c r="X119" s="141"/>
      <c r="Y119" s="140"/>
      <c r="Z119" s="141"/>
      <c r="AA119" s="141"/>
      <c r="AB119" s="141"/>
      <c r="AC119" s="141"/>
      <c r="AD119" s="141"/>
      <c r="AE119" s="141"/>
      <c r="AF119" s="142"/>
      <c r="AG119" s="142"/>
      <c r="AH119" s="142"/>
      <c r="AI119" s="142"/>
      <c r="AJ119" s="179"/>
      <c r="AK119" s="142"/>
      <c r="AL119" s="141">
        <v>1</v>
      </c>
      <c r="AM119" s="140">
        <v>0</v>
      </c>
      <c r="AN119" s="141">
        <v>0</v>
      </c>
      <c r="AO119" s="141">
        <v>0</v>
      </c>
      <c r="AP119" s="141">
        <v>0</v>
      </c>
      <c r="AQ119" s="141">
        <v>0</v>
      </c>
      <c r="AR119" s="141">
        <v>0</v>
      </c>
      <c r="AS119" s="141">
        <v>0</v>
      </c>
      <c r="AT119" s="142">
        <v>8.0000000000000002E-3</v>
      </c>
      <c r="AU119" s="142">
        <v>2E-3</v>
      </c>
      <c r="AV119" s="142">
        <v>6.56</v>
      </c>
      <c r="AW119" s="142">
        <v>1.181</v>
      </c>
      <c r="AX119" s="179">
        <v>7.7409999999999997</v>
      </c>
      <c r="AY119" s="142">
        <v>0.01</v>
      </c>
      <c r="AZ119" s="141">
        <v>3</v>
      </c>
      <c r="BA119" s="140">
        <v>6.8170000000000002</v>
      </c>
      <c r="BB119" s="141">
        <v>8</v>
      </c>
      <c r="BC119" s="141">
        <v>409</v>
      </c>
      <c r="BD119" s="141">
        <v>409</v>
      </c>
      <c r="BE119" s="141">
        <v>409</v>
      </c>
      <c r="BF119" s="141">
        <v>0</v>
      </c>
      <c r="BG119" s="141">
        <v>0</v>
      </c>
      <c r="BH119" s="142">
        <v>1.4330000000000001</v>
      </c>
      <c r="BI119" s="142">
        <v>0.25800000000000001</v>
      </c>
      <c r="BJ119" s="142">
        <v>1117.8599999999999</v>
      </c>
      <c r="BK119" s="142">
        <v>201.215</v>
      </c>
      <c r="BL119" s="179">
        <v>1319.076</v>
      </c>
      <c r="BM119" s="142">
        <v>1.6910000000000001</v>
      </c>
      <c r="BN119" s="141">
        <v>1028</v>
      </c>
      <c r="BO119" s="140">
        <v>0</v>
      </c>
      <c r="BP119" s="141">
        <v>0</v>
      </c>
      <c r="BQ119" s="141">
        <v>0</v>
      </c>
      <c r="BR119" s="141">
        <v>0</v>
      </c>
      <c r="BS119" s="141">
        <v>0</v>
      </c>
      <c r="BT119" s="141">
        <v>0</v>
      </c>
      <c r="BU119" s="141">
        <v>0</v>
      </c>
      <c r="BV119" s="142">
        <v>0</v>
      </c>
      <c r="BW119" s="142">
        <v>0</v>
      </c>
      <c r="BX119" s="142">
        <v>0</v>
      </c>
      <c r="BY119" s="142">
        <v>0</v>
      </c>
      <c r="BZ119" s="142">
        <v>0</v>
      </c>
      <c r="CA119" s="142">
        <v>0</v>
      </c>
      <c r="CB119" s="141"/>
      <c r="CC119" s="140"/>
      <c r="CD119" s="141"/>
      <c r="CE119" s="141"/>
      <c r="CF119" s="141"/>
      <c r="CG119" s="141"/>
      <c r="CH119" s="141"/>
      <c r="CI119" s="141"/>
      <c r="CJ119" s="142"/>
      <c r="CK119" s="142"/>
      <c r="CL119" s="142"/>
      <c r="CM119" s="142"/>
      <c r="CN119" s="179"/>
      <c r="CO119" s="142"/>
    </row>
    <row r="120" spans="1:93" ht="16.5" customHeight="1">
      <c r="A120" s="222"/>
      <c r="B120" s="220" t="s">
        <v>404</v>
      </c>
      <c r="C120" s="220"/>
      <c r="D120" s="220"/>
      <c r="E120" s="136" t="s">
        <v>405</v>
      </c>
      <c r="F120" s="136" t="s">
        <v>209</v>
      </c>
      <c r="G120" s="139">
        <v>2025</v>
      </c>
      <c r="H120" s="136" t="s">
        <v>210</v>
      </c>
      <c r="I120" s="221"/>
      <c r="J120" s="221"/>
      <c r="K120" s="140"/>
      <c r="L120" s="141"/>
      <c r="M120" s="141"/>
      <c r="N120" s="141"/>
      <c r="O120" s="141"/>
      <c r="P120" s="141"/>
      <c r="Q120" s="141"/>
      <c r="R120" s="142"/>
      <c r="S120" s="142"/>
      <c r="T120" s="142"/>
      <c r="U120" s="142"/>
      <c r="V120" s="179"/>
      <c r="W120" s="142"/>
      <c r="X120" s="141">
        <v>1230</v>
      </c>
      <c r="Y120" s="140">
        <v>21025.133000000002</v>
      </c>
      <c r="Z120" s="141">
        <v>0</v>
      </c>
      <c r="AA120" s="141">
        <v>1261508</v>
      </c>
      <c r="AB120" s="141">
        <v>8763635</v>
      </c>
      <c r="AC120" s="141">
        <v>8764209</v>
      </c>
      <c r="AD120" s="141">
        <v>6608541</v>
      </c>
      <c r="AE120" s="141">
        <v>2155095</v>
      </c>
      <c r="AF120" s="142">
        <v>71.977999999999994</v>
      </c>
      <c r="AG120" s="142">
        <v>12.956</v>
      </c>
      <c r="AH120" s="142">
        <v>56142.067999999999</v>
      </c>
      <c r="AI120" s="142">
        <v>10105.539000000001</v>
      </c>
      <c r="AJ120" s="179">
        <v>66247.607000000004</v>
      </c>
      <c r="AK120" s="142">
        <v>84.933999999999997</v>
      </c>
      <c r="AL120" s="141">
        <v>1</v>
      </c>
      <c r="AM120" s="140">
        <v>0</v>
      </c>
      <c r="AN120" s="141">
        <v>0</v>
      </c>
      <c r="AO120" s="141">
        <v>0</v>
      </c>
      <c r="AP120" s="141">
        <v>0</v>
      </c>
      <c r="AQ120" s="141">
        <v>0</v>
      </c>
      <c r="AR120" s="141">
        <v>0</v>
      </c>
      <c r="AS120" s="141">
        <v>0</v>
      </c>
      <c r="AT120" s="142">
        <v>4.0000000000000001E-3</v>
      </c>
      <c r="AU120" s="142">
        <v>1E-3</v>
      </c>
      <c r="AV120" s="142">
        <v>3.28</v>
      </c>
      <c r="AW120" s="142">
        <v>0.59</v>
      </c>
      <c r="AX120" s="179">
        <v>3.87</v>
      </c>
      <c r="AY120" s="142">
        <v>5.0000000000000001E-3</v>
      </c>
      <c r="AZ120" s="141">
        <v>1</v>
      </c>
      <c r="BA120" s="140">
        <v>5.383</v>
      </c>
      <c r="BB120" s="141">
        <v>6</v>
      </c>
      <c r="BC120" s="141">
        <v>323</v>
      </c>
      <c r="BD120" s="141">
        <v>323</v>
      </c>
      <c r="BE120" s="141">
        <v>323</v>
      </c>
      <c r="BF120" s="141">
        <v>0</v>
      </c>
      <c r="BG120" s="141">
        <v>0</v>
      </c>
      <c r="BH120" s="142">
        <v>0.45300000000000001</v>
      </c>
      <c r="BI120" s="142">
        <v>8.1000000000000003E-2</v>
      </c>
      <c r="BJ120" s="142">
        <v>353.12299999999999</v>
      </c>
      <c r="BK120" s="142">
        <v>63.561999999999998</v>
      </c>
      <c r="BL120" s="179">
        <v>416.68599999999998</v>
      </c>
      <c r="BM120" s="142">
        <v>0.53400000000000003</v>
      </c>
      <c r="BN120" s="141">
        <v>420</v>
      </c>
      <c r="BO120" s="140">
        <v>0</v>
      </c>
      <c r="BP120" s="141">
        <v>0</v>
      </c>
      <c r="BQ120" s="141">
        <v>0</v>
      </c>
      <c r="BR120" s="141">
        <v>0</v>
      </c>
      <c r="BS120" s="141">
        <v>0</v>
      </c>
      <c r="BT120" s="141">
        <v>0</v>
      </c>
      <c r="BU120" s="141">
        <v>0</v>
      </c>
      <c r="BV120" s="142">
        <v>0</v>
      </c>
      <c r="BW120" s="142">
        <v>0</v>
      </c>
      <c r="BX120" s="142">
        <v>0</v>
      </c>
      <c r="BY120" s="142">
        <v>0</v>
      </c>
      <c r="BZ120" s="142">
        <v>0</v>
      </c>
      <c r="CA120" s="142">
        <v>0</v>
      </c>
      <c r="CB120" s="141">
        <v>1</v>
      </c>
      <c r="CC120" s="140">
        <v>4.7169999999999996</v>
      </c>
      <c r="CD120" s="141">
        <v>5</v>
      </c>
      <c r="CE120" s="141">
        <v>283</v>
      </c>
      <c r="CF120" s="141">
        <v>283</v>
      </c>
      <c r="CG120" s="141">
        <v>283</v>
      </c>
      <c r="CH120" s="141">
        <v>0</v>
      </c>
      <c r="CI120" s="141">
        <v>0</v>
      </c>
      <c r="CJ120" s="142">
        <v>0</v>
      </c>
      <c r="CK120" s="142">
        <v>0</v>
      </c>
      <c r="CL120" s="142">
        <v>0</v>
      </c>
      <c r="CM120" s="142">
        <v>0</v>
      </c>
      <c r="CN120" s="179">
        <v>0</v>
      </c>
      <c r="CO120" s="142">
        <v>0</v>
      </c>
    </row>
    <row r="121" spans="1:93" ht="16.5" customHeight="1">
      <c r="A121" s="222"/>
      <c r="B121" s="220" t="s">
        <v>406</v>
      </c>
      <c r="C121" s="220"/>
      <c r="D121" s="220"/>
      <c r="E121" s="136" t="s">
        <v>407</v>
      </c>
      <c r="F121" s="136" t="s">
        <v>209</v>
      </c>
      <c r="G121" s="139">
        <v>2025</v>
      </c>
      <c r="H121" s="136" t="s">
        <v>210</v>
      </c>
      <c r="I121" s="221"/>
      <c r="J121" s="221"/>
      <c r="K121" s="140"/>
      <c r="L121" s="141"/>
      <c r="M121" s="141"/>
      <c r="N121" s="141"/>
      <c r="O121" s="141"/>
      <c r="P121" s="141"/>
      <c r="Q121" s="141"/>
      <c r="R121" s="142"/>
      <c r="S121" s="142"/>
      <c r="T121" s="142"/>
      <c r="U121" s="142"/>
      <c r="V121" s="179"/>
      <c r="W121" s="142"/>
      <c r="X121" s="141">
        <v>1237</v>
      </c>
      <c r="Y121" s="140">
        <v>16896.433000000001</v>
      </c>
      <c r="Z121" s="141">
        <v>0</v>
      </c>
      <c r="AA121" s="141">
        <v>1013786</v>
      </c>
      <c r="AB121" s="141">
        <v>12642</v>
      </c>
      <c r="AC121" s="141">
        <v>12720</v>
      </c>
      <c r="AD121" s="141">
        <v>5548</v>
      </c>
      <c r="AE121" s="141">
        <v>7094</v>
      </c>
      <c r="AF121" s="142">
        <v>8.4000000000000005E-2</v>
      </c>
      <c r="AG121" s="142">
        <v>1.4999999999999999E-2</v>
      </c>
      <c r="AH121" s="142">
        <v>65.204999999999998</v>
      </c>
      <c r="AI121" s="142">
        <v>11.724</v>
      </c>
      <c r="AJ121" s="179">
        <v>76.929000000000002</v>
      </c>
      <c r="AK121" s="142">
        <v>9.9000000000000005E-2</v>
      </c>
      <c r="AL121" s="141">
        <v>6</v>
      </c>
      <c r="AM121" s="140">
        <v>0</v>
      </c>
      <c r="AN121" s="141">
        <v>0</v>
      </c>
      <c r="AO121" s="141">
        <v>0</v>
      </c>
      <c r="AP121" s="141">
        <v>0</v>
      </c>
      <c r="AQ121" s="141">
        <v>0</v>
      </c>
      <c r="AR121" s="141">
        <v>0</v>
      </c>
      <c r="AS121" s="141">
        <v>0</v>
      </c>
      <c r="AT121" s="142">
        <v>0.151</v>
      </c>
      <c r="AU121" s="142">
        <v>2.7E-2</v>
      </c>
      <c r="AV121" s="142">
        <v>118.071</v>
      </c>
      <c r="AW121" s="142">
        <v>21.251999999999999</v>
      </c>
      <c r="AX121" s="179">
        <v>139.322</v>
      </c>
      <c r="AY121" s="142">
        <v>0.17899999999999999</v>
      </c>
      <c r="AZ121" s="141"/>
      <c r="BA121" s="140"/>
      <c r="BB121" s="141"/>
      <c r="BC121" s="141"/>
      <c r="BD121" s="141"/>
      <c r="BE121" s="141"/>
      <c r="BF121" s="141"/>
      <c r="BG121" s="141"/>
      <c r="BH121" s="142"/>
      <c r="BI121" s="142"/>
      <c r="BJ121" s="142"/>
      <c r="BK121" s="142"/>
      <c r="BL121" s="179"/>
      <c r="BM121" s="142"/>
      <c r="BN121" s="141">
        <v>320</v>
      </c>
      <c r="BO121" s="140">
        <v>0</v>
      </c>
      <c r="BP121" s="141">
        <v>0</v>
      </c>
      <c r="BQ121" s="141">
        <v>0</v>
      </c>
      <c r="BR121" s="141">
        <v>0</v>
      </c>
      <c r="BS121" s="141">
        <v>0</v>
      </c>
      <c r="BT121" s="141">
        <v>0</v>
      </c>
      <c r="BU121" s="141">
        <v>0</v>
      </c>
      <c r="BV121" s="142">
        <v>0</v>
      </c>
      <c r="BW121" s="142">
        <v>0</v>
      </c>
      <c r="BX121" s="142">
        <v>0</v>
      </c>
      <c r="BY121" s="142">
        <v>0</v>
      </c>
      <c r="BZ121" s="142">
        <v>0</v>
      </c>
      <c r="CA121" s="142">
        <v>0</v>
      </c>
      <c r="CB121" s="141"/>
      <c r="CC121" s="140"/>
      <c r="CD121" s="141"/>
      <c r="CE121" s="141"/>
      <c r="CF121" s="141"/>
      <c r="CG121" s="141"/>
      <c r="CH121" s="141"/>
      <c r="CI121" s="141"/>
      <c r="CJ121" s="142"/>
      <c r="CK121" s="142"/>
      <c r="CL121" s="142"/>
      <c r="CM121" s="142"/>
      <c r="CN121" s="179"/>
      <c r="CO121" s="142"/>
    </row>
    <row r="122" spans="1:93" ht="16.5" customHeight="1">
      <c r="A122" s="222"/>
      <c r="B122" s="220" t="s">
        <v>408</v>
      </c>
      <c r="C122" s="220"/>
      <c r="D122" s="220"/>
      <c r="E122" s="136" t="s">
        <v>409</v>
      </c>
      <c r="F122" s="136" t="s">
        <v>209</v>
      </c>
      <c r="G122" s="139">
        <v>2025</v>
      </c>
      <c r="H122" s="136" t="s">
        <v>210</v>
      </c>
      <c r="I122" s="221"/>
      <c r="J122" s="221"/>
      <c r="K122" s="140"/>
      <c r="L122" s="141"/>
      <c r="M122" s="141"/>
      <c r="N122" s="141"/>
      <c r="O122" s="141"/>
      <c r="P122" s="141"/>
      <c r="Q122" s="141"/>
      <c r="R122" s="142"/>
      <c r="S122" s="142"/>
      <c r="T122" s="142"/>
      <c r="U122" s="142"/>
      <c r="V122" s="179"/>
      <c r="W122" s="142"/>
      <c r="X122" s="141">
        <v>68184</v>
      </c>
      <c r="Y122" s="140">
        <v>1277098.6499999999</v>
      </c>
      <c r="Z122" s="141">
        <v>0</v>
      </c>
      <c r="AA122" s="141">
        <v>76625919</v>
      </c>
      <c r="AB122" s="141">
        <v>21730153</v>
      </c>
      <c r="AC122" s="141">
        <v>21732214</v>
      </c>
      <c r="AD122" s="141">
        <v>19763644</v>
      </c>
      <c r="AE122" s="141">
        <v>1966509</v>
      </c>
      <c r="AF122" s="142">
        <v>142.78399999999999</v>
      </c>
      <c r="AG122" s="142">
        <v>25.701000000000001</v>
      </c>
      <c r="AH122" s="142">
        <v>111370.503</v>
      </c>
      <c r="AI122" s="142">
        <v>20046.54</v>
      </c>
      <c r="AJ122" s="179">
        <v>131417.04300000001</v>
      </c>
      <c r="AK122" s="142">
        <v>168.48500000000001</v>
      </c>
      <c r="AL122" s="141">
        <v>34</v>
      </c>
      <c r="AM122" s="140">
        <v>0</v>
      </c>
      <c r="AN122" s="141">
        <v>0</v>
      </c>
      <c r="AO122" s="141">
        <v>0</v>
      </c>
      <c r="AP122" s="141">
        <v>0</v>
      </c>
      <c r="AQ122" s="141">
        <v>0</v>
      </c>
      <c r="AR122" s="141">
        <v>0</v>
      </c>
      <c r="AS122" s="141">
        <v>0</v>
      </c>
      <c r="AT122" s="142">
        <v>1.1439999999999999</v>
      </c>
      <c r="AU122" s="142">
        <v>0.20599999999999999</v>
      </c>
      <c r="AV122" s="142">
        <v>892.09699999999998</v>
      </c>
      <c r="AW122" s="142">
        <v>160.577</v>
      </c>
      <c r="AX122" s="179">
        <v>1052.674</v>
      </c>
      <c r="AY122" s="142">
        <v>1.35</v>
      </c>
      <c r="AZ122" s="141">
        <v>82</v>
      </c>
      <c r="BA122" s="140">
        <v>127.167</v>
      </c>
      <c r="BB122" s="141">
        <v>175</v>
      </c>
      <c r="BC122" s="141">
        <v>7630</v>
      </c>
      <c r="BD122" s="141">
        <v>7630</v>
      </c>
      <c r="BE122" s="141">
        <v>7630</v>
      </c>
      <c r="BF122" s="141">
        <v>0</v>
      </c>
      <c r="BG122" s="141">
        <v>0</v>
      </c>
      <c r="BH122" s="142">
        <v>16.620999999999999</v>
      </c>
      <c r="BI122" s="142">
        <v>2.992</v>
      </c>
      <c r="BJ122" s="142">
        <v>12963.9</v>
      </c>
      <c r="BK122" s="142">
        <v>2333.5059999999999</v>
      </c>
      <c r="BL122" s="179">
        <v>15297.406000000001</v>
      </c>
      <c r="BM122" s="142">
        <v>19.611999999999998</v>
      </c>
      <c r="BN122" s="141">
        <v>3281</v>
      </c>
      <c r="BO122" s="140">
        <v>0</v>
      </c>
      <c r="BP122" s="141">
        <v>0</v>
      </c>
      <c r="BQ122" s="141">
        <v>0</v>
      </c>
      <c r="BR122" s="141">
        <v>0</v>
      </c>
      <c r="BS122" s="141">
        <v>0</v>
      </c>
      <c r="BT122" s="141">
        <v>0</v>
      </c>
      <c r="BU122" s="141">
        <v>0</v>
      </c>
      <c r="BV122" s="142">
        <v>0</v>
      </c>
      <c r="BW122" s="142">
        <v>0</v>
      </c>
      <c r="BX122" s="142">
        <v>0</v>
      </c>
      <c r="BY122" s="142">
        <v>0</v>
      </c>
      <c r="BZ122" s="142">
        <v>0</v>
      </c>
      <c r="CA122" s="142">
        <v>0</v>
      </c>
      <c r="CB122" s="141">
        <v>81</v>
      </c>
      <c r="CC122" s="140">
        <v>150.03299999999999</v>
      </c>
      <c r="CD122" s="141">
        <v>203</v>
      </c>
      <c r="CE122" s="141">
        <v>9002</v>
      </c>
      <c r="CF122" s="141">
        <v>9002</v>
      </c>
      <c r="CG122" s="141">
        <v>9002</v>
      </c>
      <c r="CH122" s="141">
        <v>0</v>
      </c>
      <c r="CI122" s="141">
        <v>0</v>
      </c>
      <c r="CJ122" s="142">
        <v>0</v>
      </c>
      <c r="CK122" s="142">
        <v>0</v>
      </c>
      <c r="CL122" s="142">
        <v>0</v>
      </c>
      <c r="CM122" s="142">
        <v>0</v>
      </c>
      <c r="CN122" s="179">
        <v>0</v>
      </c>
      <c r="CO122" s="142">
        <v>0</v>
      </c>
    </row>
    <row r="123" spans="1:93" ht="16.5" customHeight="1">
      <c r="A123" s="222"/>
      <c r="B123" s="220" t="s">
        <v>410</v>
      </c>
      <c r="C123" s="220"/>
      <c r="D123" s="220"/>
      <c r="E123" s="136" t="s">
        <v>411</v>
      </c>
      <c r="F123" s="136" t="s">
        <v>209</v>
      </c>
      <c r="G123" s="139">
        <v>2025</v>
      </c>
      <c r="H123" s="136" t="s">
        <v>210</v>
      </c>
      <c r="I123" s="221"/>
      <c r="J123" s="221"/>
      <c r="K123" s="140"/>
      <c r="L123" s="141"/>
      <c r="M123" s="141"/>
      <c r="N123" s="141"/>
      <c r="O123" s="141"/>
      <c r="P123" s="141"/>
      <c r="Q123" s="141"/>
      <c r="R123" s="142"/>
      <c r="S123" s="142"/>
      <c r="T123" s="142"/>
      <c r="U123" s="142"/>
      <c r="V123" s="179"/>
      <c r="W123" s="142"/>
      <c r="X123" s="141">
        <v>402252</v>
      </c>
      <c r="Y123" s="140">
        <v>3843185.0329999998</v>
      </c>
      <c r="Z123" s="141">
        <v>0</v>
      </c>
      <c r="AA123" s="141">
        <v>230591102</v>
      </c>
      <c r="AB123" s="141">
        <v>1015907</v>
      </c>
      <c r="AC123" s="141">
        <v>1080670</v>
      </c>
      <c r="AD123" s="141">
        <v>711380</v>
      </c>
      <c r="AE123" s="141">
        <v>304526</v>
      </c>
      <c r="AF123" s="142">
        <v>7.1260000000000003</v>
      </c>
      <c r="AG123" s="142">
        <v>1.2589999999999999</v>
      </c>
      <c r="AH123" s="142">
        <v>5558.0020000000004</v>
      </c>
      <c r="AI123" s="142">
        <v>982.23400000000004</v>
      </c>
      <c r="AJ123" s="179">
        <v>6540.2359999999999</v>
      </c>
      <c r="AK123" s="142">
        <v>8.3849999999999998</v>
      </c>
      <c r="AL123" s="141">
        <v>43</v>
      </c>
      <c r="AM123" s="140">
        <v>0</v>
      </c>
      <c r="AN123" s="141">
        <v>0</v>
      </c>
      <c r="AO123" s="141">
        <v>0</v>
      </c>
      <c r="AP123" s="141">
        <v>0</v>
      </c>
      <c r="AQ123" s="141">
        <v>0</v>
      </c>
      <c r="AR123" s="141">
        <v>0</v>
      </c>
      <c r="AS123" s="141">
        <v>0</v>
      </c>
      <c r="AT123" s="142">
        <v>0.72299999999999998</v>
      </c>
      <c r="AU123" s="142">
        <v>0.13</v>
      </c>
      <c r="AV123" s="142">
        <v>564.13699999999994</v>
      </c>
      <c r="AW123" s="142">
        <v>101.55800000000001</v>
      </c>
      <c r="AX123" s="179">
        <v>665.69500000000005</v>
      </c>
      <c r="AY123" s="142">
        <v>0.85299999999999998</v>
      </c>
      <c r="AZ123" s="141"/>
      <c r="BA123" s="140"/>
      <c r="BB123" s="141"/>
      <c r="BC123" s="141"/>
      <c r="BD123" s="141"/>
      <c r="BE123" s="141"/>
      <c r="BF123" s="141"/>
      <c r="BG123" s="141"/>
      <c r="BH123" s="142"/>
      <c r="BI123" s="142"/>
      <c r="BJ123" s="142"/>
      <c r="BK123" s="142"/>
      <c r="BL123" s="179"/>
      <c r="BM123" s="142"/>
      <c r="BN123" s="141">
        <v>8381</v>
      </c>
      <c r="BO123" s="140">
        <v>0</v>
      </c>
      <c r="BP123" s="141">
        <v>0</v>
      </c>
      <c r="BQ123" s="141">
        <v>0</v>
      </c>
      <c r="BR123" s="141">
        <v>0</v>
      </c>
      <c r="BS123" s="141">
        <v>0</v>
      </c>
      <c r="BT123" s="141">
        <v>0</v>
      </c>
      <c r="BU123" s="141">
        <v>0</v>
      </c>
      <c r="BV123" s="142">
        <v>0</v>
      </c>
      <c r="BW123" s="142">
        <v>0</v>
      </c>
      <c r="BX123" s="142">
        <v>0</v>
      </c>
      <c r="BY123" s="142">
        <v>0</v>
      </c>
      <c r="BZ123" s="142">
        <v>0</v>
      </c>
      <c r="CA123" s="142">
        <v>0</v>
      </c>
      <c r="CB123" s="141">
        <v>325</v>
      </c>
      <c r="CC123" s="140">
        <v>100.68300000000001</v>
      </c>
      <c r="CD123" s="141">
        <v>332</v>
      </c>
      <c r="CE123" s="141">
        <v>6041</v>
      </c>
      <c r="CF123" s="141">
        <v>6041</v>
      </c>
      <c r="CG123" s="141">
        <v>6041</v>
      </c>
      <c r="CH123" s="141">
        <v>0</v>
      </c>
      <c r="CI123" s="141">
        <v>0</v>
      </c>
      <c r="CJ123" s="142">
        <v>0</v>
      </c>
      <c r="CK123" s="142">
        <v>0</v>
      </c>
      <c r="CL123" s="142">
        <v>0</v>
      </c>
      <c r="CM123" s="142">
        <v>0</v>
      </c>
      <c r="CN123" s="179">
        <v>0</v>
      </c>
      <c r="CO123" s="142">
        <v>0</v>
      </c>
    </row>
    <row r="124" spans="1:93" ht="16.5" customHeight="1">
      <c r="A124" s="222"/>
      <c r="B124" s="220" t="s">
        <v>412</v>
      </c>
      <c r="C124" s="220"/>
      <c r="D124" s="220"/>
      <c r="E124" s="136" t="s">
        <v>413</v>
      </c>
      <c r="F124" s="136" t="s">
        <v>209</v>
      </c>
      <c r="G124" s="139">
        <v>2025</v>
      </c>
      <c r="H124" s="136" t="s">
        <v>210</v>
      </c>
      <c r="I124" s="221"/>
      <c r="J124" s="221"/>
      <c r="K124" s="140"/>
      <c r="L124" s="141"/>
      <c r="M124" s="141"/>
      <c r="N124" s="141"/>
      <c r="O124" s="141"/>
      <c r="P124" s="141"/>
      <c r="Q124" s="141"/>
      <c r="R124" s="142"/>
      <c r="S124" s="142"/>
      <c r="T124" s="142"/>
      <c r="U124" s="142"/>
      <c r="V124" s="179"/>
      <c r="W124" s="142"/>
      <c r="X124" s="141"/>
      <c r="Y124" s="140"/>
      <c r="Z124" s="141"/>
      <c r="AA124" s="141"/>
      <c r="AB124" s="141"/>
      <c r="AC124" s="141"/>
      <c r="AD124" s="141"/>
      <c r="AE124" s="141"/>
      <c r="AF124" s="142"/>
      <c r="AG124" s="142"/>
      <c r="AH124" s="142"/>
      <c r="AI124" s="142"/>
      <c r="AJ124" s="179"/>
      <c r="AK124" s="142"/>
      <c r="AL124" s="141"/>
      <c r="AM124" s="140"/>
      <c r="AN124" s="141"/>
      <c r="AO124" s="141"/>
      <c r="AP124" s="141"/>
      <c r="AQ124" s="141"/>
      <c r="AR124" s="141"/>
      <c r="AS124" s="141"/>
      <c r="AT124" s="142"/>
      <c r="AU124" s="142"/>
      <c r="AV124" s="142"/>
      <c r="AW124" s="142"/>
      <c r="AX124" s="179"/>
      <c r="AY124" s="142"/>
      <c r="AZ124" s="141"/>
      <c r="BA124" s="140"/>
      <c r="BB124" s="141"/>
      <c r="BC124" s="141"/>
      <c r="BD124" s="141"/>
      <c r="BE124" s="141"/>
      <c r="BF124" s="141"/>
      <c r="BG124" s="141"/>
      <c r="BH124" s="142"/>
      <c r="BI124" s="142"/>
      <c r="BJ124" s="142"/>
      <c r="BK124" s="142"/>
      <c r="BL124" s="179"/>
      <c r="BM124" s="142"/>
      <c r="BN124" s="141">
        <v>63</v>
      </c>
      <c r="BO124" s="140">
        <v>0</v>
      </c>
      <c r="BP124" s="141">
        <v>0</v>
      </c>
      <c r="BQ124" s="141">
        <v>0</v>
      </c>
      <c r="BR124" s="141">
        <v>0</v>
      </c>
      <c r="BS124" s="141">
        <v>0</v>
      </c>
      <c r="BT124" s="141">
        <v>0</v>
      </c>
      <c r="BU124" s="141">
        <v>0</v>
      </c>
      <c r="BV124" s="142">
        <v>0</v>
      </c>
      <c r="BW124" s="142">
        <v>0</v>
      </c>
      <c r="BX124" s="142">
        <v>0</v>
      </c>
      <c r="BY124" s="142">
        <v>0</v>
      </c>
      <c r="BZ124" s="142">
        <v>0</v>
      </c>
      <c r="CA124" s="142">
        <v>0</v>
      </c>
      <c r="CB124" s="141"/>
      <c r="CC124" s="140"/>
      <c r="CD124" s="141"/>
      <c r="CE124" s="141"/>
      <c r="CF124" s="141"/>
      <c r="CG124" s="141"/>
      <c r="CH124" s="141"/>
      <c r="CI124" s="141"/>
      <c r="CJ124" s="142"/>
      <c r="CK124" s="142"/>
      <c r="CL124" s="142"/>
      <c r="CM124" s="142"/>
      <c r="CN124" s="179"/>
      <c r="CO124" s="142"/>
    </row>
    <row r="125" spans="1:93" ht="16.5" customHeight="1">
      <c r="A125" s="222"/>
      <c r="B125" s="220" t="s">
        <v>414</v>
      </c>
      <c r="C125" s="220"/>
      <c r="D125" s="220"/>
      <c r="E125" s="136" t="s">
        <v>415</v>
      </c>
      <c r="F125" s="136" t="s">
        <v>209</v>
      </c>
      <c r="G125" s="139">
        <v>2025</v>
      </c>
      <c r="H125" s="136" t="s">
        <v>210</v>
      </c>
      <c r="I125" s="221"/>
      <c r="J125" s="221"/>
      <c r="K125" s="140"/>
      <c r="L125" s="141"/>
      <c r="M125" s="141"/>
      <c r="N125" s="141"/>
      <c r="O125" s="141"/>
      <c r="P125" s="141"/>
      <c r="Q125" s="141"/>
      <c r="R125" s="142"/>
      <c r="S125" s="142"/>
      <c r="T125" s="142"/>
      <c r="U125" s="142"/>
      <c r="V125" s="179"/>
      <c r="W125" s="142"/>
      <c r="X125" s="141">
        <v>376</v>
      </c>
      <c r="Y125" s="140">
        <v>2791.25</v>
      </c>
      <c r="Z125" s="141">
        <v>0</v>
      </c>
      <c r="AA125" s="141">
        <v>167475</v>
      </c>
      <c r="AB125" s="141">
        <v>23426</v>
      </c>
      <c r="AC125" s="141">
        <v>29670</v>
      </c>
      <c r="AD125" s="141">
        <v>16179</v>
      </c>
      <c r="AE125" s="141">
        <v>7246</v>
      </c>
      <c r="AF125" s="142">
        <v>267.94</v>
      </c>
      <c r="AG125" s="142">
        <v>48.228999999999999</v>
      </c>
      <c r="AH125" s="142">
        <v>208991.41399999999</v>
      </c>
      <c r="AI125" s="142">
        <v>37618.557999999997</v>
      </c>
      <c r="AJ125" s="179">
        <v>246609.97200000001</v>
      </c>
      <c r="AK125" s="142">
        <v>316.17</v>
      </c>
      <c r="AL125" s="141"/>
      <c r="AM125" s="140"/>
      <c r="AN125" s="141"/>
      <c r="AO125" s="141"/>
      <c r="AP125" s="141"/>
      <c r="AQ125" s="141"/>
      <c r="AR125" s="141"/>
      <c r="AS125" s="141"/>
      <c r="AT125" s="142"/>
      <c r="AU125" s="142"/>
      <c r="AV125" s="142"/>
      <c r="AW125" s="142"/>
      <c r="AX125" s="179"/>
      <c r="AY125" s="142"/>
      <c r="AZ125" s="141">
        <v>1</v>
      </c>
      <c r="BA125" s="140">
        <v>3.3000000000000002E-2</v>
      </c>
      <c r="BB125" s="141">
        <v>1</v>
      </c>
      <c r="BC125" s="141">
        <v>2</v>
      </c>
      <c r="BD125" s="141">
        <v>2</v>
      </c>
      <c r="BE125" s="141">
        <v>60</v>
      </c>
      <c r="BF125" s="141">
        <v>0</v>
      </c>
      <c r="BG125" s="141">
        <v>0</v>
      </c>
      <c r="BH125" s="142">
        <v>0.23899999999999999</v>
      </c>
      <c r="BI125" s="142">
        <v>4.2999999999999997E-2</v>
      </c>
      <c r="BJ125" s="142">
        <v>186.292</v>
      </c>
      <c r="BK125" s="142">
        <v>33.533000000000001</v>
      </c>
      <c r="BL125" s="179">
        <v>219.82400000000001</v>
      </c>
      <c r="BM125" s="142">
        <v>0.28199999999999997</v>
      </c>
      <c r="BN125" s="141">
        <v>387</v>
      </c>
      <c r="BO125" s="140">
        <v>0</v>
      </c>
      <c r="BP125" s="141">
        <v>0</v>
      </c>
      <c r="BQ125" s="141">
        <v>0</v>
      </c>
      <c r="BR125" s="141">
        <v>0</v>
      </c>
      <c r="BS125" s="141">
        <v>0</v>
      </c>
      <c r="BT125" s="141">
        <v>0</v>
      </c>
      <c r="BU125" s="141">
        <v>0</v>
      </c>
      <c r="BV125" s="142">
        <v>0</v>
      </c>
      <c r="BW125" s="142">
        <v>0</v>
      </c>
      <c r="BX125" s="142">
        <v>0</v>
      </c>
      <c r="BY125" s="142">
        <v>0</v>
      </c>
      <c r="BZ125" s="142">
        <v>0</v>
      </c>
      <c r="CA125" s="142">
        <v>0</v>
      </c>
      <c r="CB125" s="141">
        <v>1</v>
      </c>
      <c r="CC125" s="140">
        <v>1.8</v>
      </c>
      <c r="CD125" s="141">
        <v>2</v>
      </c>
      <c r="CE125" s="141">
        <v>108</v>
      </c>
      <c r="CF125" s="141">
        <v>108</v>
      </c>
      <c r="CG125" s="141">
        <v>120</v>
      </c>
      <c r="CH125" s="141">
        <v>0</v>
      </c>
      <c r="CI125" s="141">
        <v>0</v>
      </c>
      <c r="CJ125" s="142">
        <v>0</v>
      </c>
      <c r="CK125" s="142">
        <v>0</v>
      </c>
      <c r="CL125" s="142">
        <v>0</v>
      </c>
      <c r="CM125" s="142">
        <v>0</v>
      </c>
      <c r="CN125" s="179">
        <v>0</v>
      </c>
      <c r="CO125" s="142">
        <v>0</v>
      </c>
    </row>
    <row r="126" spans="1:93" ht="16.5" customHeight="1">
      <c r="A126" s="222"/>
      <c r="B126" s="220" t="s">
        <v>416</v>
      </c>
      <c r="C126" s="220"/>
      <c r="D126" s="220"/>
      <c r="E126" s="136" t="s">
        <v>417</v>
      </c>
      <c r="F126" s="136" t="s">
        <v>209</v>
      </c>
      <c r="G126" s="139">
        <v>2025</v>
      </c>
      <c r="H126" s="136" t="s">
        <v>210</v>
      </c>
      <c r="I126" s="221"/>
      <c r="J126" s="221"/>
      <c r="K126" s="140"/>
      <c r="L126" s="141"/>
      <c r="M126" s="141"/>
      <c r="N126" s="141"/>
      <c r="O126" s="141"/>
      <c r="P126" s="141"/>
      <c r="Q126" s="141"/>
      <c r="R126" s="142"/>
      <c r="S126" s="142"/>
      <c r="T126" s="142"/>
      <c r="U126" s="142"/>
      <c r="V126" s="179"/>
      <c r="W126" s="142"/>
      <c r="X126" s="141">
        <v>56</v>
      </c>
      <c r="Y126" s="140">
        <v>1545.0170000000001</v>
      </c>
      <c r="Z126" s="141">
        <v>0</v>
      </c>
      <c r="AA126" s="141">
        <v>92701</v>
      </c>
      <c r="AB126" s="141">
        <v>29250</v>
      </c>
      <c r="AC126" s="141">
        <v>29276</v>
      </c>
      <c r="AD126" s="141">
        <v>26807</v>
      </c>
      <c r="AE126" s="141">
        <v>2443</v>
      </c>
      <c r="AF126" s="142">
        <v>15.628</v>
      </c>
      <c r="AG126" s="142">
        <v>2.8130000000000002</v>
      </c>
      <c r="AH126" s="142">
        <v>12189.912</v>
      </c>
      <c r="AI126" s="142">
        <v>2194.1840000000002</v>
      </c>
      <c r="AJ126" s="179">
        <v>14384.094999999999</v>
      </c>
      <c r="AK126" s="142">
        <v>18.440999999999999</v>
      </c>
      <c r="AL126" s="141"/>
      <c r="AM126" s="140"/>
      <c r="AN126" s="141"/>
      <c r="AO126" s="141"/>
      <c r="AP126" s="141"/>
      <c r="AQ126" s="141"/>
      <c r="AR126" s="141"/>
      <c r="AS126" s="141"/>
      <c r="AT126" s="142"/>
      <c r="AU126" s="142"/>
      <c r="AV126" s="142"/>
      <c r="AW126" s="142"/>
      <c r="AX126" s="179"/>
      <c r="AY126" s="142"/>
      <c r="AZ126" s="141"/>
      <c r="BA126" s="140"/>
      <c r="BB126" s="141"/>
      <c r="BC126" s="141"/>
      <c r="BD126" s="141"/>
      <c r="BE126" s="141"/>
      <c r="BF126" s="141"/>
      <c r="BG126" s="141"/>
      <c r="BH126" s="142"/>
      <c r="BI126" s="142"/>
      <c r="BJ126" s="142"/>
      <c r="BK126" s="142"/>
      <c r="BL126" s="179"/>
      <c r="BM126" s="142"/>
      <c r="BN126" s="141">
        <v>18</v>
      </c>
      <c r="BO126" s="140">
        <v>0</v>
      </c>
      <c r="BP126" s="141">
        <v>0</v>
      </c>
      <c r="BQ126" s="141">
        <v>0</v>
      </c>
      <c r="BR126" s="141">
        <v>0</v>
      </c>
      <c r="BS126" s="141">
        <v>0</v>
      </c>
      <c r="BT126" s="141">
        <v>0</v>
      </c>
      <c r="BU126" s="141">
        <v>0</v>
      </c>
      <c r="BV126" s="142">
        <v>0</v>
      </c>
      <c r="BW126" s="142">
        <v>0</v>
      </c>
      <c r="BX126" s="142">
        <v>0</v>
      </c>
      <c r="BY126" s="142">
        <v>0</v>
      </c>
      <c r="BZ126" s="142">
        <v>0</v>
      </c>
      <c r="CA126" s="142">
        <v>0</v>
      </c>
      <c r="CB126" s="141"/>
      <c r="CC126" s="140"/>
      <c r="CD126" s="141"/>
      <c r="CE126" s="141"/>
      <c r="CF126" s="141"/>
      <c r="CG126" s="141"/>
      <c r="CH126" s="141"/>
      <c r="CI126" s="141"/>
      <c r="CJ126" s="142"/>
      <c r="CK126" s="142"/>
      <c r="CL126" s="142"/>
      <c r="CM126" s="142"/>
      <c r="CN126" s="179"/>
      <c r="CO126" s="142"/>
    </row>
    <row r="127" spans="1:93" ht="16.5" customHeight="1">
      <c r="A127" s="222"/>
      <c r="B127" s="220" t="s">
        <v>418</v>
      </c>
      <c r="C127" s="220"/>
      <c r="D127" s="220"/>
      <c r="E127" s="136" t="s">
        <v>419</v>
      </c>
      <c r="F127" s="136" t="s">
        <v>209</v>
      </c>
      <c r="G127" s="139">
        <v>2025</v>
      </c>
      <c r="H127" s="136" t="s">
        <v>210</v>
      </c>
      <c r="I127" s="221"/>
      <c r="J127" s="221"/>
      <c r="K127" s="140"/>
      <c r="L127" s="141"/>
      <c r="M127" s="141"/>
      <c r="N127" s="141"/>
      <c r="O127" s="141"/>
      <c r="P127" s="141"/>
      <c r="Q127" s="141"/>
      <c r="R127" s="142"/>
      <c r="S127" s="142"/>
      <c r="T127" s="142"/>
      <c r="U127" s="142"/>
      <c r="V127" s="179"/>
      <c r="W127" s="142"/>
      <c r="X127" s="141">
        <v>15</v>
      </c>
      <c r="Y127" s="140">
        <v>599.71699999999998</v>
      </c>
      <c r="Z127" s="141">
        <v>0</v>
      </c>
      <c r="AA127" s="141">
        <v>35983</v>
      </c>
      <c r="AB127" s="141">
        <v>256</v>
      </c>
      <c r="AC127" s="141">
        <v>480</v>
      </c>
      <c r="AD127" s="141">
        <v>113</v>
      </c>
      <c r="AE127" s="141">
        <v>143</v>
      </c>
      <c r="AF127" s="142">
        <v>4.8929999999999998</v>
      </c>
      <c r="AG127" s="142">
        <v>0.88100000000000001</v>
      </c>
      <c r="AH127" s="142">
        <v>3816.3820000000001</v>
      </c>
      <c r="AI127" s="142">
        <v>686.95100000000002</v>
      </c>
      <c r="AJ127" s="179">
        <v>4503.3339999999998</v>
      </c>
      <c r="AK127" s="142">
        <v>5.774</v>
      </c>
      <c r="AL127" s="141">
        <v>10</v>
      </c>
      <c r="AM127" s="140">
        <v>0</v>
      </c>
      <c r="AN127" s="141">
        <v>0</v>
      </c>
      <c r="AO127" s="141">
        <v>0</v>
      </c>
      <c r="AP127" s="141">
        <v>0</v>
      </c>
      <c r="AQ127" s="141">
        <v>0</v>
      </c>
      <c r="AR127" s="141">
        <v>0</v>
      </c>
      <c r="AS127" s="141">
        <v>0</v>
      </c>
      <c r="AT127" s="142">
        <v>1.083</v>
      </c>
      <c r="AU127" s="142">
        <v>0.19500000000000001</v>
      </c>
      <c r="AV127" s="142">
        <v>844.94200000000001</v>
      </c>
      <c r="AW127" s="142">
        <v>152.09100000000001</v>
      </c>
      <c r="AX127" s="179">
        <v>997.03300000000002</v>
      </c>
      <c r="AY127" s="142">
        <v>1.278</v>
      </c>
      <c r="AZ127" s="141"/>
      <c r="BA127" s="140"/>
      <c r="BB127" s="141"/>
      <c r="BC127" s="141"/>
      <c r="BD127" s="141"/>
      <c r="BE127" s="141"/>
      <c r="BF127" s="141"/>
      <c r="BG127" s="141"/>
      <c r="BH127" s="142"/>
      <c r="BI127" s="142"/>
      <c r="BJ127" s="142"/>
      <c r="BK127" s="142"/>
      <c r="BL127" s="179"/>
      <c r="BM127" s="142"/>
      <c r="BN127" s="141">
        <v>2125</v>
      </c>
      <c r="BO127" s="140">
        <v>0</v>
      </c>
      <c r="BP127" s="141">
        <v>0</v>
      </c>
      <c r="BQ127" s="141">
        <v>0</v>
      </c>
      <c r="BR127" s="141">
        <v>0</v>
      </c>
      <c r="BS127" s="141">
        <v>0</v>
      </c>
      <c r="BT127" s="141">
        <v>0</v>
      </c>
      <c r="BU127" s="141">
        <v>0</v>
      </c>
      <c r="BV127" s="142">
        <v>0</v>
      </c>
      <c r="BW127" s="142">
        <v>0</v>
      </c>
      <c r="BX127" s="142">
        <v>0</v>
      </c>
      <c r="BY127" s="142">
        <v>0</v>
      </c>
      <c r="BZ127" s="142">
        <v>0</v>
      </c>
      <c r="CA127" s="142">
        <v>0</v>
      </c>
      <c r="CB127" s="141"/>
      <c r="CC127" s="140"/>
      <c r="CD127" s="141"/>
      <c r="CE127" s="141"/>
      <c r="CF127" s="141"/>
      <c r="CG127" s="141"/>
      <c r="CH127" s="141"/>
      <c r="CI127" s="141"/>
      <c r="CJ127" s="142"/>
      <c r="CK127" s="142"/>
      <c r="CL127" s="142"/>
      <c r="CM127" s="142"/>
      <c r="CN127" s="179"/>
      <c r="CO127" s="142"/>
    </row>
    <row r="128" spans="1:93" ht="16.5" customHeight="1">
      <c r="A128" s="222"/>
      <c r="B128" s="220" t="s">
        <v>420</v>
      </c>
      <c r="C128" s="220"/>
      <c r="D128" s="220"/>
      <c r="E128" s="136" t="s">
        <v>421</v>
      </c>
      <c r="F128" s="136" t="s">
        <v>209</v>
      </c>
      <c r="G128" s="139">
        <v>2025</v>
      </c>
      <c r="H128" s="136" t="s">
        <v>210</v>
      </c>
      <c r="I128" s="221"/>
      <c r="J128" s="221"/>
      <c r="K128" s="140"/>
      <c r="L128" s="141"/>
      <c r="M128" s="141"/>
      <c r="N128" s="141"/>
      <c r="O128" s="141"/>
      <c r="P128" s="141"/>
      <c r="Q128" s="141"/>
      <c r="R128" s="142"/>
      <c r="S128" s="142"/>
      <c r="T128" s="142"/>
      <c r="U128" s="142"/>
      <c r="V128" s="179"/>
      <c r="W128" s="142"/>
      <c r="X128" s="141">
        <v>11272</v>
      </c>
      <c r="Y128" s="140">
        <v>173609.51699999999</v>
      </c>
      <c r="Z128" s="141">
        <v>0</v>
      </c>
      <c r="AA128" s="141">
        <v>10416571</v>
      </c>
      <c r="AB128" s="141">
        <v>1910794</v>
      </c>
      <c r="AC128" s="141">
        <v>1911207</v>
      </c>
      <c r="AD128" s="141">
        <v>1760438</v>
      </c>
      <c r="AE128" s="141">
        <v>150356</v>
      </c>
      <c r="AF128" s="142">
        <v>23.544</v>
      </c>
      <c r="AG128" s="142">
        <v>4.2380000000000004</v>
      </c>
      <c r="AH128" s="142">
        <v>18364.107</v>
      </c>
      <c r="AI128" s="142">
        <v>3305.4279999999999</v>
      </c>
      <c r="AJ128" s="179">
        <v>21669.536</v>
      </c>
      <c r="AK128" s="142">
        <v>27.782</v>
      </c>
      <c r="AL128" s="141">
        <v>2</v>
      </c>
      <c r="AM128" s="140">
        <v>0</v>
      </c>
      <c r="AN128" s="141">
        <v>0</v>
      </c>
      <c r="AO128" s="141">
        <v>0</v>
      </c>
      <c r="AP128" s="141">
        <v>0</v>
      </c>
      <c r="AQ128" s="141">
        <v>0</v>
      </c>
      <c r="AR128" s="141">
        <v>0</v>
      </c>
      <c r="AS128" s="141">
        <v>0</v>
      </c>
      <c r="AT128" s="142">
        <v>3.4000000000000002E-2</v>
      </c>
      <c r="AU128" s="142">
        <v>6.0000000000000001E-3</v>
      </c>
      <c r="AV128" s="142">
        <v>26.239000000000001</v>
      </c>
      <c r="AW128" s="142">
        <v>4.7240000000000002</v>
      </c>
      <c r="AX128" s="179">
        <v>30.963000000000001</v>
      </c>
      <c r="AY128" s="142">
        <v>0.04</v>
      </c>
      <c r="AZ128" s="141">
        <v>1</v>
      </c>
      <c r="BA128" s="140">
        <v>3.6</v>
      </c>
      <c r="BB128" s="141">
        <v>4</v>
      </c>
      <c r="BC128" s="141">
        <v>216</v>
      </c>
      <c r="BD128" s="141">
        <v>216</v>
      </c>
      <c r="BE128" s="141">
        <v>216</v>
      </c>
      <c r="BF128" s="141">
        <v>0</v>
      </c>
      <c r="BG128" s="141">
        <v>0</v>
      </c>
      <c r="BH128" s="142">
        <v>1.06</v>
      </c>
      <c r="BI128" s="142">
        <v>0.191</v>
      </c>
      <c r="BJ128" s="142">
        <v>826.50599999999997</v>
      </c>
      <c r="BK128" s="142">
        <v>148.77099999999999</v>
      </c>
      <c r="BL128" s="179">
        <v>975.27700000000004</v>
      </c>
      <c r="BM128" s="142">
        <v>1.25</v>
      </c>
      <c r="BN128" s="141">
        <v>280</v>
      </c>
      <c r="BO128" s="140">
        <v>0</v>
      </c>
      <c r="BP128" s="141">
        <v>0</v>
      </c>
      <c r="BQ128" s="141">
        <v>0</v>
      </c>
      <c r="BR128" s="141">
        <v>0</v>
      </c>
      <c r="BS128" s="141">
        <v>0</v>
      </c>
      <c r="BT128" s="141">
        <v>0</v>
      </c>
      <c r="BU128" s="141">
        <v>0</v>
      </c>
      <c r="BV128" s="142">
        <v>0</v>
      </c>
      <c r="BW128" s="142">
        <v>0</v>
      </c>
      <c r="BX128" s="142">
        <v>0</v>
      </c>
      <c r="BY128" s="142">
        <v>0</v>
      </c>
      <c r="BZ128" s="142">
        <v>0</v>
      </c>
      <c r="CA128" s="142">
        <v>0</v>
      </c>
      <c r="CB128" s="141"/>
      <c r="CC128" s="140"/>
      <c r="CD128" s="141"/>
      <c r="CE128" s="141"/>
      <c r="CF128" s="141"/>
      <c r="CG128" s="141"/>
      <c r="CH128" s="141"/>
      <c r="CI128" s="141"/>
      <c r="CJ128" s="142"/>
      <c r="CK128" s="142"/>
      <c r="CL128" s="142"/>
      <c r="CM128" s="142"/>
      <c r="CN128" s="179"/>
      <c r="CO128" s="142"/>
    </row>
    <row r="129" spans="1:93" ht="16.5" customHeight="1">
      <c r="A129" s="222"/>
      <c r="B129" s="220" t="s">
        <v>422</v>
      </c>
      <c r="C129" s="220"/>
      <c r="D129" s="220"/>
      <c r="E129" s="136" t="s">
        <v>423</v>
      </c>
      <c r="F129" s="136" t="s">
        <v>209</v>
      </c>
      <c r="G129" s="139">
        <v>2025</v>
      </c>
      <c r="H129" s="136" t="s">
        <v>210</v>
      </c>
      <c r="I129" s="221"/>
      <c r="J129" s="221"/>
      <c r="K129" s="140"/>
      <c r="L129" s="141"/>
      <c r="M129" s="141"/>
      <c r="N129" s="141"/>
      <c r="O129" s="141"/>
      <c r="P129" s="141"/>
      <c r="Q129" s="141"/>
      <c r="R129" s="142"/>
      <c r="S129" s="142"/>
      <c r="T129" s="142"/>
      <c r="U129" s="142"/>
      <c r="V129" s="179"/>
      <c r="W129" s="142"/>
      <c r="X129" s="141"/>
      <c r="Y129" s="140"/>
      <c r="Z129" s="141"/>
      <c r="AA129" s="141"/>
      <c r="AB129" s="141"/>
      <c r="AC129" s="141"/>
      <c r="AD129" s="141"/>
      <c r="AE129" s="141"/>
      <c r="AF129" s="142"/>
      <c r="AG129" s="142"/>
      <c r="AH129" s="142"/>
      <c r="AI129" s="142"/>
      <c r="AJ129" s="179"/>
      <c r="AK129" s="142"/>
      <c r="AL129" s="141"/>
      <c r="AM129" s="140"/>
      <c r="AN129" s="141"/>
      <c r="AO129" s="141"/>
      <c r="AP129" s="141"/>
      <c r="AQ129" s="141"/>
      <c r="AR129" s="141"/>
      <c r="AS129" s="141"/>
      <c r="AT129" s="142"/>
      <c r="AU129" s="142"/>
      <c r="AV129" s="142"/>
      <c r="AW129" s="142"/>
      <c r="AX129" s="179"/>
      <c r="AY129" s="142"/>
      <c r="AZ129" s="141"/>
      <c r="BA129" s="140"/>
      <c r="BB129" s="141"/>
      <c r="BC129" s="141"/>
      <c r="BD129" s="141"/>
      <c r="BE129" s="141"/>
      <c r="BF129" s="141"/>
      <c r="BG129" s="141"/>
      <c r="BH129" s="142"/>
      <c r="BI129" s="142"/>
      <c r="BJ129" s="142"/>
      <c r="BK129" s="142"/>
      <c r="BL129" s="179"/>
      <c r="BM129" s="142"/>
      <c r="BN129" s="141">
        <v>131</v>
      </c>
      <c r="BO129" s="140">
        <v>0</v>
      </c>
      <c r="BP129" s="141">
        <v>0</v>
      </c>
      <c r="BQ129" s="141">
        <v>0</v>
      </c>
      <c r="BR129" s="141">
        <v>0</v>
      </c>
      <c r="BS129" s="141">
        <v>0</v>
      </c>
      <c r="BT129" s="141">
        <v>0</v>
      </c>
      <c r="BU129" s="141">
        <v>0</v>
      </c>
      <c r="BV129" s="142">
        <v>0</v>
      </c>
      <c r="BW129" s="142">
        <v>0</v>
      </c>
      <c r="BX129" s="142">
        <v>0</v>
      </c>
      <c r="BY129" s="142">
        <v>0</v>
      </c>
      <c r="BZ129" s="142">
        <v>0</v>
      </c>
      <c r="CA129" s="142">
        <v>0</v>
      </c>
      <c r="CB129" s="141"/>
      <c r="CC129" s="140"/>
      <c r="CD129" s="141"/>
      <c r="CE129" s="141"/>
      <c r="CF129" s="141"/>
      <c r="CG129" s="141"/>
      <c r="CH129" s="141"/>
      <c r="CI129" s="141"/>
      <c r="CJ129" s="142"/>
      <c r="CK129" s="142"/>
      <c r="CL129" s="142"/>
      <c r="CM129" s="142"/>
      <c r="CN129" s="179"/>
      <c r="CO129" s="142"/>
    </row>
    <row r="130" spans="1:93" ht="16.5" customHeight="1">
      <c r="A130" s="222"/>
      <c r="B130" s="220" t="s">
        <v>424</v>
      </c>
      <c r="C130" s="220"/>
      <c r="D130" s="220"/>
      <c r="E130" s="136" t="s">
        <v>425</v>
      </c>
      <c r="F130" s="136" t="s">
        <v>209</v>
      </c>
      <c r="G130" s="139">
        <v>2025</v>
      </c>
      <c r="H130" s="136" t="s">
        <v>210</v>
      </c>
      <c r="I130" s="221"/>
      <c r="J130" s="221"/>
      <c r="K130" s="140"/>
      <c r="L130" s="141"/>
      <c r="M130" s="141"/>
      <c r="N130" s="141"/>
      <c r="O130" s="141"/>
      <c r="P130" s="141"/>
      <c r="Q130" s="141"/>
      <c r="R130" s="142"/>
      <c r="S130" s="142"/>
      <c r="T130" s="142"/>
      <c r="U130" s="142"/>
      <c r="V130" s="179"/>
      <c r="W130" s="142"/>
      <c r="X130" s="141"/>
      <c r="Y130" s="140"/>
      <c r="Z130" s="141"/>
      <c r="AA130" s="141"/>
      <c r="AB130" s="141"/>
      <c r="AC130" s="141"/>
      <c r="AD130" s="141"/>
      <c r="AE130" s="141"/>
      <c r="AF130" s="142"/>
      <c r="AG130" s="142"/>
      <c r="AH130" s="142"/>
      <c r="AI130" s="142"/>
      <c r="AJ130" s="179"/>
      <c r="AK130" s="142"/>
      <c r="AL130" s="141">
        <v>17</v>
      </c>
      <c r="AM130" s="140">
        <v>0</v>
      </c>
      <c r="AN130" s="141">
        <v>0</v>
      </c>
      <c r="AO130" s="141">
        <v>0</v>
      </c>
      <c r="AP130" s="141">
        <v>0</v>
      </c>
      <c r="AQ130" s="141">
        <v>0</v>
      </c>
      <c r="AR130" s="141">
        <v>0</v>
      </c>
      <c r="AS130" s="141">
        <v>0</v>
      </c>
      <c r="AT130" s="142">
        <v>1.8420000000000001</v>
      </c>
      <c r="AU130" s="142">
        <v>0.33100000000000002</v>
      </c>
      <c r="AV130" s="142">
        <v>1436.4010000000001</v>
      </c>
      <c r="AW130" s="142">
        <v>258.55399999999997</v>
      </c>
      <c r="AX130" s="179">
        <v>1694.9549999999999</v>
      </c>
      <c r="AY130" s="142">
        <v>2.173</v>
      </c>
      <c r="AZ130" s="141">
        <v>2</v>
      </c>
      <c r="BA130" s="140">
        <v>6.1829999999999998</v>
      </c>
      <c r="BB130" s="141">
        <v>7</v>
      </c>
      <c r="BC130" s="141">
        <v>371</v>
      </c>
      <c r="BD130" s="141">
        <v>371</v>
      </c>
      <c r="BE130" s="141">
        <v>420</v>
      </c>
      <c r="BF130" s="141">
        <v>0</v>
      </c>
      <c r="BG130" s="141">
        <v>0</v>
      </c>
      <c r="BH130" s="142">
        <v>9.9779999999999998</v>
      </c>
      <c r="BI130" s="142">
        <v>1.796</v>
      </c>
      <c r="BJ130" s="142">
        <v>7782.9309999999996</v>
      </c>
      <c r="BK130" s="142">
        <v>1400.9280000000001</v>
      </c>
      <c r="BL130" s="179">
        <v>9183.8590000000004</v>
      </c>
      <c r="BM130" s="142">
        <v>11.773999999999999</v>
      </c>
      <c r="BN130" s="141">
        <v>3838</v>
      </c>
      <c r="BO130" s="140">
        <v>0</v>
      </c>
      <c r="BP130" s="141">
        <v>0</v>
      </c>
      <c r="BQ130" s="141">
        <v>0</v>
      </c>
      <c r="BR130" s="141">
        <v>0</v>
      </c>
      <c r="BS130" s="141">
        <v>0</v>
      </c>
      <c r="BT130" s="141">
        <v>0</v>
      </c>
      <c r="BU130" s="141">
        <v>0</v>
      </c>
      <c r="BV130" s="142">
        <v>0</v>
      </c>
      <c r="BW130" s="142">
        <v>0</v>
      </c>
      <c r="BX130" s="142">
        <v>0</v>
      </c>
      <c r="BY130" s="142">
        <v>0</v>
      </c>
      <c r="BZ130" s="142">
        <v>0</v>
      </c>
      <c r="CA130" s="142">
        <v>0</v>
      </c>
      <c r="CB130" s="141">
        <v>31</v>
      </c>
      <c r="CC130" s="140">
        <v>24.2</v>
      </c>
      <c r="CD130" s="141">
        <v>43</v>
      </c>
      <c r="CE130" s="141">
        <v>1452</v>
      </c>
      <c r="CF130" s="141">
        <v>1452</v>
      </c>
      <c r="CG130" s="141">
        <v>1920</v>
      </c>
      <c r="CH130" s="141">
        <v>0</v>
      </c>
      <c r="CI130" s="141">
        <v>0</v>
      </c>
      <c r="CJ130" s="142">
        <v>0</v>
      </c>
      <c r="CK130" s="142">
        <v>0</v>
      </c>
      <c r="CL130" s="142">
        <v>0</v>
      </c>
      <c r="CM130" s="142">
        <v>0</v>
      </c>
      <c r="CN130" s="179">
        <v>0</v>
      </c>
      <c r="CO130" s="142">
        <v>0</v>
      </c>
    </row>
    <row r="131" spans="1:93" ht="16.5" customHeight="1">
      <c r="A131" s="222"/>
      <c r="B131" s="220" t="s">
        <v>426</v>
      </c>
      <c r="C131" s="220"/>
      <c r="D131" s="220"/>
      <c r="E131" s="136" t="s">
        <v>427</v>
      </c>
      <c r="F131" s="136" t="s">
        <v>209</v>
      </c>
      <c r="G131" s="139">
        <v>2025</v>
      </c>
      <c r="H131" s="136" t="s">
        <v>210</v>
      </c>
      <c r="I131" s="221"/>
      <c r="J131" s="221"/>
      <c r="K131" s="140"/>
      <c r="L131" s="141"/>
      <c r="M131" s="141"/>
      <c r="N131" s="141"/>
      <c r="O131" s="141"/>
      <c r="P131" s="141"/>
      <c r="Q131" s="141"/>
      <c r="R131" s="142"/>
      <c r="S131" s="142"/>
      <c r="T131" s="142"/>
      <c r="U131" s="142"/>
      <c r="V131" s="179"/>
      <c r="W131" s="142"/>
      <c r="X131" s="141"/>
      <c r="Y131" s="140"/>
      <c r="Z131" s="141"/>
      <c r="AA131" s="141"/>
      <c r="AB131" s="141"/>
      <c r="AC131" s="141"/>
      <c r="AD131" s="141"/>
      <c r="AE131" s="141"/>
      <c r="AF131" s="142"/>
      <c r="AG131" s="142"/>
      <c r="AH131" s="142"/>
      <c r="AI131" s="142"/>
      <c r="AJ131" s="179"/>
      <c r="AK131" s="142"/>
      <c r="AL131" s="141">
        <v>5</v>
      </c>
      <c r="AM131" s="140">
        <v>0</v>
      </c>
      <c r="AN131" s="141">
        <v>0</v>
      </c>
      <c r="AO131" s="141">
        <v>0</v>
      </c>
      <c r="AP131" s="141">
        <v>0</v>
      </c>
      <c r="AQ131" s="141">
        <v>0</v>
      </c>
      <c r="AR131" s="141">
        <v>0</v>
      </c>
      <c r="AS131" s="141">
        <v>0</v>
      </c>
      <c r="AT131" s="142">
        <v>4.2000000000000003E-2</v>
      </c>
      <c r="AU131" s="142">
        <v>8.0000000000000002E-3</v>
      </c>
      <c r="AV131" s="142">
        <v>32.798999999999999</v>
      </c>
      <c r="AW131" s="142">
        <v>5.9050000000000002</v>
      </c>
      <c r="AX131" s="179">
        <v>38.703000000000003</v>
      </c>
      <c r="AY131" s="142">
        <v>0.05</v>
      </c>
      <c r="AZ131" s="141"/>
      <c r="BA131" s="140"/>
      <c r="BB131" s="141"/>
      <c r="BC131" s="141"/>
      <c r="BD131" s="141"/>
      <c r="BE131" s="141"/>
      <c r="BF131" s="141"/>
      <c r="BG131" s="141"/>
      <c r="BH131" s="142"/>
      <c r="BI131" s="142"/>
      <c r="BJ131" s="142"/>
      <c r="BK131" s="142"/>
      <c r="BL131" s="179"/>
      <c r="BM131" s="142"/>
      <c r="BN131" s="141">
        <v>338</v>
      </c>
      <c r="BO131" s="140">
        <v>0</v>
      </c>
      <c r="BP131" s="141">
        <v>0</v>
      </c>
      <c r="BQ131" s="141">
        <v>0</v>
      </c>
      <c r="BR131" s="141">
        <v>0</v>
      </c>
      <c r="BS131" s="141">
        <v>0</v>
      </c>
      <c r="BT131" s="141">
        <v>0</v>
      </c>
      <c r="BU131" s="141">
        <v>0</v>
      </c>
      <c r="BV131" s="142">
        <v>0</v>
      </c>
      <c r="BW131" s="142">
        <v>0</v>
      </c>
      <c r="BX131" s="142">
        <v>0</v>
      </c>
      <c r="BY131" s="142">
        <v>0</v>
      </c>
      <c r="BZ131" s="142">
        <v>0</v>
      </c>
      <c r="CA131" s="142">
        <v>0</v>
      </c>
      <c r="CB131" s="141">
        <v>5</v>
      </c>
      <c r="CC131" s="140">
        <v>4.617</v>
      </c>
      <c r="CD131" s="141">
        <v>7</v>
      </c>
      <c r="CE131" s="141">
        <v>277</v>
      </c>
      <c r="CF131" s="141">
        <v>277</v>
      </c>
      <c r="CG131" s="141">
        <v>277</v>
      </c>
      <c r="CH131" s="141">
        <v>0</v>
      </c>
      <c r="CI131" s="141">
        <v>0</v>
      </c>
      <c r="CJ131" s="142">
        <v>0</v>
      </c>
      <c r="CK131" s="142">
        <v>0</v>
      </c>
      <c r="CL131" s="142">
        <v>0</v>
      </c>
      <c r="CM131" s="142">
        <v>0</v>
      </c>
      <c r="CN131" s="179">
        <v>0</v>
      </c>
      <c r="CO131" s="142">
        <v>0</v>
      </c>
    </row>
    <row r="132" spans="1:93" ht="16.5" customHeight="1">
      <c r="A132" s="222"/>
      <c r="B132" s="220" t="s">
        <v>428</v>
      </c>
      <c r="C132" s="220"/>
      <c r="D132" s="220"/>
      <c r="E132" s="136" t="s">
        <v>429</v>
      </c>
      <c r="F132" s="136" t="s">
        <v>209</v>
      </c>
      <c r="G132" s="139">
        <v>2025</v>
      </c>
      <c r="H132" s="136" t="s">
        <v>210</v>
      </c>
      <c r="I132" s="221"/>
      <c r="J132" s="221"/>
      <c r="K132" s="140"/>
      <c r="L132" s="141"/>
      <c r="M132" s="141"/>
      <c r="N132" s="141"/>
      <c r="O132" s="141"/>
      <c r="P132" s="141"/>
      <c r="Q132" s="141"/>
      <c r="R132" s="142"/>
      <c r="S132" s="142"/>
      <c r="T132" s="142"/>
      <c r="U132" s="142"/>
      <c r="V132" s="179"/>
      <c r="W132" s="142"/>
      <c r="X132" s="141"/>
      <c r="Y132" s="140"/>
      <c r="Z132" s="141"/>
      <c r="AA132" s="141"/>
      <c r="AB132" s="141"/>
      <c r="AC132" s="141"/>
      <c r="AD132" s="141"/>
      <c r="AE132" s="141"/>
      <c r="AF132" s="142"/>
      <c r="AG132" s="142"/>
      <c r="AH132" s="142"/>
      <c r="AI132" s="142"/>
      <c r="AJ132" s="179"/>
      <c r="AK132" s="142"/>
      <c r="AL132" s="141"/>
      <c r="AM132" s="140"/>
      <c r="AN132" s="141"/>
      <c r="AO132" s="141"/>
      <c r="AP132" s="141"/>
      <c r="AQ132" s="141"/>
      <c r="AR132" s="141"/>
      <c r="AS132" s="141"/>
      <c r="AT132" s="142"/>
      <c r="AU132" s="142"/>
      <c r="AV132" s="142"/>
      <c r="AW132" s="142"/>
      <c r="AX132" s="179"/>
      <c r="AY132" s="142"/>
      <c r="AZ132" s="141"/>
      <c r="BA132" s="140"/>
      <c r="BB132" s="141"/>
      <c r="BC132" s="141"/>
      <c r="BD132" s="141"/>
      <c r="BE132" s="141"/>
      <c r="BF132" s="141"/>
      <c r="BG132" s="141"/>
      <c r="BH132" s="142"/>
      <c r="BI132" s="142"/>
      <c r="BJ132" s="142"/>
      <c r="BK132" s="142"/>
      <c r="BL132" s="179"/>
      <c r="BM132" s="142"/>
      <c r="BN132" s="141"/>
      <c r="BO132" s="140"/>
      <c r="BP132" s="141"/>
      <c r="BQ132" s="141"/>
      <c r="BR132" s="141"/>
      <c r="BS132" s="141"/>
      <c r="BT132" s="141"/>
      <c r="BU132" s="141"/>
      <c r="BV132" s="142"/>
      <c r="BW132" s="142"/>
      <c r="BX132" s="142"/>
      <c r="BY132" s="142"/>
      <c r="BZ132" s="142"/>
      <c r="CA132" s="142"/>
      <c r="CB132" s="141">
        <v>2</v>
      </c>
      <c r="CC132" s="140">
        <v>0.23300000000000001</v>
      </c>
      <c r="CD132" s="141">
        <v>2</v>
      </c>
      <c r="CE132" s="141">
        <v>14</v>
      </c>
      <c r="CF132" s="141">
        <v>14</v>
      </c>
      <c r="CG132" s="141">
        <v>60</v>
      </c>
      <c r="CH132" s="141">
        <v>0</v>
      </c>
      <c r="CI132" s="141">
        <v>0</v>
      </c>
      <c r="CJ132" s="142">
        <v>0.38100000000000001</v>
      </c>
      <c r="CK132" s="142">
        <v>6.8000000000000005E-2</v>
      </c>
      <c r="CL132" s="142">
        <v>296.82100000000003</v>
      </c>
      <c r="CM132" s="142">
        <v>53.427999999999997</v>
      </c>
      <c r="CN132" s="179">
        <v>350.24900000000002</v>
      </c>
      <c r="CO132" s="142">
        <v>0.44900000000000001</v>
      </c>
    </row>
    <row r="133" spans="1:93" ht="16.5" customHeight="1">
      <c r="A133" s="222"/>
      <c r="B133" s="220" t="s">
        <v>430</v>
      </c>
      <c r="C133" s="220"/>
      <c r="D133" s="220"/>
      <c r="E133" s="136" t="s">
        <v>431</v>
      </c>
      <c r="F133" s="136" t="s">
        <v>209</v>
      </c>
      <c r="G133" s="139">
        <v>2025</v>
      </c>
      <c r="H133" s="136" t="s">
        <v>210</v>
      </c>
      <c r="I133" s="221"/>
      <c r="J133" s="221"/>
      <c r="K133" s="140"/>
      <c r="L133" s="141"/>
      <c r="M133" s="141"/>
      <c r="N133" s="141"/>
      <c r="O133" s="141"/>
      <c r="P133" s="141"/>
      <c r="Q133" s="141"/>
      <c r="R133" s="142"/>
      <c r="S133" s="142"/>
      <c r="T133" s="142"/>
      <c r="U133" s="142"/>
      <c r="V133" s="179"/>
      <c r="W133" s="142"/>
      <c r="X133" s="141">
        <v>4533</v>
      </c>
      <c r="Y133" s="140">
        <v>88858</v>
      </c>
      <c r="Z133" s="141">
        <v>0</v>
      </c>
      <c r="AA133" s="141">
        <v>5331480</v>
      </c>
      <c r="AB133" s="141">
        <v>14775</v>
      </c>
      <c r="AC133" s="141">
        <v>14946</v>
      </c>
      <c r="AD133" s="141">
        <v>289</v>
      </c>
      <c r="AE133" s="141">
        <v>14486</v>
      </c>
      <c r="AF133" s="142">
        <v>9.8000000000000004E-2</v>
      </c>
      <c r="AG133" s="142">
        <v>1.7999999999999999E-2</v>
      </c>
      <c r="AH133" s="142">
        <v>76.596999999999994</v>
      </c>
      <c r="AI133" s="142">
        <v>13.779</v>
      </c>
      <c r="AJ133" s="179">
        <v>90.376000000000005</v>
      </c>
      <c r="AK133" s="142">
        <v>0.11600000000000001</v>
      </c>
      <c r="AL133" s="141">
        <v>9</v>
      </c>
      <c r="AM133" s="140">
        <v>0</v>
      </c>
      <c r="AN133" s="141">
        <v>0</v>
      </c>
      <c r="AO133" s="141">
        <v>0</v>
      </c>
      <c r="AP133" s="141">
        <v>0</v>
      </c>
      <c r="AQ133" s="141">
        <v>0</v>
      </c>
      <c r="AR133" s="141">
        <v>0</v>
      </c>
      <c r="AS133" s="141">
        <v>0</v>
      </c>
      <c r="AT133" s="142">
        <v>0.151</v>
      </c>
      <c r="AU133" s="142">
        <v>2.7E-2</v>
      </c>
      <c r="AV133" s="142">
        <v>118.075</v>
      </c>
      <c r="AW133" s="142">
        <v>21.256</v>
      </c>
      <c r="AX133" s="179">
        <v>139.33199999999999</v>
      </c>
      <c r="AY133" s="142">
        <v>0.17899999999999999</v>
      </c>
      <c r="AZ133" s="141">
        <v>1</v>
      </c>
      <c r="BA133" s="140">
        <v>1.2669999999999999</v>
      </c>
      <c r="BB133" s="141">
        <v>2</v>
      </c>
      <c r="BC133" s="141">
        <v>76</v>
      </c>
      <c r="BD133" s="141">
        <v>76</v>
      </c>
      <c r="BE133" s="141">
        <v>76</v>
      </c>
      <c r="BF133" s="141">
        <v>0</v>
      </c>
      <c r="BG133" s="141">
        <v>0</v>
      </c>
      <c r="BH133" s="142">
        <v>0.107</v>
      </c>
      <c r="BI133" s="142">
        <v>1.9E-2</v>
      </c>
      <c r="BJ133" s="142">
        <v>83.087999999999994</v>
      </c>
      <c r="BK133" s="142">
        <v>14.956</v>
      </c>
      <c r="BL133" s="179">
        <v>98.043000000000006</v>
      </c>
      <c r="BM133" s="142">
        <v>0.126</v>
      </c>
      <c r="BN133" s="141">
        <v>134</v>
      </c>
      <c r="BO133" s="140">
        <v>0</v>
      </c>
      <c r="BP133" s="141">
        <v>0</v>
      </c>
      <c r="BQ133" s="141">
        <v>0</v>
      </c>
      <c r="BR133" s="141">
        <v>0</v>
      </c>
      <c r="BS133" s="141">
        <v>0</v>
      </c>
      <c r="BT133" s="141">
        <v>0</v>
      </c>
      <c r="BU133" s="141">
        <v>0</v>
      </c>
      <c r="BV133" s="142">
        <v>0</v>
      </c>
      <c r="BW133" s="142">
        <v>0</v>
      </c>
      <c r="BX133" s="142">
        <v>0</v>
      </c>
      <c r="BY133" s="142">
        <v>0</v>
      </c>
      <c r="BZ133" s="142">
        <v>0</v>
      </c>
      <c r="CA133" s="142">
        <v>0</v>
      </c>
      <c r="CB133" s="141"/>
      <c r="CC133" s="140"/>
      <c r="CD133" s="141"/>
      <c r="CE133" s="141"/>
      <c r="CF133" s="141"/>
      <c r="CG133" s="141"/>
      <c r="CH133" s="141"/>
      <c r="CI133" s="141"/>
      <c r="CJ133" s="142"/>
      <c r="CK133" s="142"/>
      <c r="CL133" s="142"/>
      <c r="CM133" s="142"/>
      <c r="CN133" s="179"/>
      <c r="CO133" s="142"/>
    </row>
    <row r="134" spans="1:93" ht="16.5" customHeight="1">
      <c r="A134" s="222"/>
      <c r="B134" s="220" t="s">
        <v>432</v>
      </c>
      <c r="C134" s="220"/>
      <c r="D134" s="220"/>
      <c r="E134" s="136" t="s">
        <v>433</v>
      </c>
      <c r="F134" s="136" t="s">
        <v>209</v>
      </c>
      <c r="G134" s="139">
        <v>2025</v>
      </c>
      <c r="H134" s="136" t="s">
        <v>210</v>
      </c>
      <c r="I134" s="221"/>
      <c r="J134" s="221"/>
      <c r="K134" s="140"/>
      <c r="L134" s="141"/>
      <c r="M134" s="141"/>
      <c r="N134" s="141"/>
      <c r="O134" s="141"/>
      <c r="P134" s="141"/>
      <c r="Q134" s="141"/>
      <c r="R134" s="142"/>
      <c r="S134" s="142"/>
      <c r="T134" s="142"/>
      <c r="U134" s="142"/>
      <c r="V134" s="179"/>
      <c r="W134" s="142"/>
      <c r="X134" s="141">
        <v>3409</v>
      </c>
      <c r="Y134" s="140">
        <v>66324.933000000005</v>
      </c>
      <c r="Z134" s="141">
        <v>0</v>
      </c>
      <c r="AA134" s="141">
        <v>3979496</v>
      </c>
      <c r="AB134" s="141">
        <v>459404</v>
      </c>
      <c r="AC134" s="141">
        <v>459588</v>
      </c>
      <c r="AD134" s="141">
        <v>359397</v>
      </c>
      <c r="AE134" s="141">
        <v>100008</v>
      </c>
      <c r="AF134" s="142">
        <v>3.1989999999999998</v>
      </c>
      <c r="AG134" s="142">
        <v>0.57599999999999996</v>
      </c>
      <c r="AH134" s="142">
        <v>2494.962</v>
      </c>
      <c r="AI134" s="142">
        <v>449.09199999999998</v>
      </c>
      <c r="AJ134" s="179">
        <v>2944.0540000000001</v>
      </c>
      <c r="AK134" s="142">
        <v>3.774</v>
      </c>
      <c r="AL134" s="141">
        <v>5</v>
      </c>
      <c r="AM134" s="140">
        <v>0</v>
      </c>
      <c r="AN134" s="141">
        <v>0</v>
      </c>
      <c r="AO134" s="141">
        <v>0</v>
      </c>
      <c r="AP134" s="141">
        <v>0</v>
      </c>
      <c r="AQ134" s="141">
        <v>0</v>
      </c>
      <c r="AR134" s="141">
        <v>0</v>
      </c>
      <c r="AS134" s="141">
        <v>0</v>
      </c>
      <c r="AT134" s="142">
        <v>7.0999999999999994E-2</v>
      </c>
      <c r="AU134" s="142">
        <v>1.2999999999999999E-2</v>
      </c>
      <c r="AV134" s="142">
        <v>55.594000000000001</v>
      </c>
      <c r="AW134" s="142">
        <v>10.007</v>
      </c>
      <c r="AX134" s="179">
        <v>65.600999999999999</v>
      </c>
      <c r="AY134" s="142">
        <v>8.4000000000000005E-2</v>
      </c>
      <c r="AZ134" s="141">
        <v>18</v>
      </c>
      <c r="BA134" s="140">
        <v>27.75</v>
      </c>
      <c r="BB134" s="141">
        <v>38</v>
      </c>
      <c r="BC134" s="141">
        <v>1665</v>
      </c>
      <c r="BD134" s="141">
        <v>1665</v>
      </c>
      <c r="BE134" s="141">
        <v>1665</v>
      </c>
      <c r="BF134" s="141">
        <v>0</v>
      </c>
      <c r="BG134" s="141">
        <v>0</v>
      </c>
      <c r="BH134" s="142">
        <v>5.9329999999999998</v>
      </c>
      <c r="BI134" s="142">
        <v>1.0680000000000001</v>
      </c>
      <c r="BJ134" s="142">
        <v>4627.8819999999996</v>
      </c>
      <c r="BK134" s="142">
        <v>833.01700000000005</v>
      </c>
      <c r="BL134" s="179">
        <v>5460.8990000000003</v>
      </c>
      <c r="BM134" s="142">
        <v>7.0010000000000003</v>
      </c>
      <c r="BN134" s="141">
        <v>56</v>
      </c>
      <c r="BO134" s="140">
        <v>0</v>
      </c>
      <c r="BP134" s="141">
        <v>0</v>
      </c>
      <c r="BQ134" s="141">
        <v>0</v>
      </c>
      <c r="BR134" s="141">
        <v>0</v>
      </c>
      <c r="BS134" s="141">
        <v>0</v>
      </c>
      <c r="BT134" s="141">
        <v>0</v>
      </c>
      <c r="BU134" s="141">
        <v>0</v>
      </c>
      <c r="BV134" s="142">
        <v>0</v>
      </c>
      <c r="BW134" s="142">
        <v>0</v>
      </c>
      <c r="BX134" s="142">
        <v>0</v>
      </c>
      <c r="BY134" s="142">
        <v>0</v>
      </c>
      <c r="BZ134" s="142">
        <v>0</v>
      </c>
      <c r="CA134" s="142">
        <v>0</v>
      </c>
      <c r="CB134" s="141">
        <v>4</v>
      </c>
      <c r="CC134" s="140">
        <v>8.4329999999999998</v>
      </c>
      <c r="CD134" s="141">
        <v>11</v>
      </c>
      <c r="CE134" s="141">
        <v>506</v>
      </c>
      <c r="CF134" s="141">
        <v>506</v>
      </c>
      <c r="CG134" s="141">
        <v>506</v>
      </c>
      <c r="CH134" s="141">
        <v>0</v>
      </c>
      <c r="CI134" s="141">
        <v>0</v>
      </c>
      <c r="CJ134" s="142">
        <v>0</v>
      </c>
      <c r="CK134" s="142">
        <v>0</v>
      </c>
      <c r="CL134" s="142">
        <v>0</v>
      </c>
      <c r="CM134" s="142">
        <v>0</v>
      </c>
      <c r="CN134" s="179">
        <v>0</v>
      </c>
      <c r="CO134" s="142">
        <v>0</v>
      </c>
    </row>
    <row r="135" spans="1:93" ht="16.5" customHeight="1">
      <c r="A135" s="222"/>
      <c r="B135" s="220" t="s">
        <v>434</v>
      </c>
      <c r="C135" s="220"/>
      <c r="D135" s="220"/>
      <c r="E135" s="136" t="s">
        <v>435</v>
      </c>
      <c r="F135" s="136" t="s">
        <v>209</v>
      </c>
      <c r="G135" s="139">
        <v>2025</v>
      </c>
      <c r="H135" s="136" t="s">
        <v>210</v>
      </c>
      <c r="I135" s="221"/>
      <c r="J135" s="221"/>
      <c r="K135" s="140"/>
      <c r="L135" s="141"/>
      <c r="M135" s="141"/>
      <c r="N135" s="141"/>
      <c r="O135" s="141"/>
      <c r="P135" s="141"/>
      <c r="Q135" s="141"/>
      <c r="R135" s="142"/>
      <c r="S135" s="142"/>
      <c r="T135" s="142"/>
      <c r="U135" s="142"/>
      <c r="V135" s="179"/>
      <c r="W135" s="142"/>
      <c r="X135" s="141">
        <v>7477</v>
      </c>
      <c r="Y135" s="140">
        <v>136088.85</v>
      </c>
      <c r="Z135" s="141">
        <v>0</v>
      </c>
      <c r="AA135" s="141">
        <v>8165331</v>
      </c>
      <c r="AB135" s="141">
        <v>615</v>
      </c>
      <c r="AC135" s="141">
        <v>636</v>
      </c>
      <c r="AD135" s="141">
        <v>47</v>
      </c>
      <c r="AE135" s="141">
        <v>567</v>
      </c>
      <c r="AF135" s="142">
        <v>4.0000000000000001E-3</v>
      </c>
      <c r="AG135" s="142">
        <v>1E-3</v>
      </c>
      <c r="AH135" s="142">
        <v>2.7690000000000001</v>
      </c>
      <c r="AI135" s="142">
        <v>0.497</v>
      </c>
      <c r="AJ135" s="179">
        <v>3.266</v>
      </c>
      <c r="AK135" s="142">
        <v>4.0000000000000001E-3</v>
      </c>
      <c r="AL135" s="141">
        <v>18</v>
      </c>
      <c r="AM135" s="140">
        <v>0</v>
      </c>
      <c r="AN135" s="141">
        <v>0</v>
      </c>
      <c r="AO135" s="141">
        <v>0</v>
      </c>
      <c r="AP135" s="141">
        <v>0</v>
      </c>
      <c r="AQ135" s="141">
        <v>0</v>
      </c>
      <c r="AR135" s="141">
        <v>0</v>
      </c>
      <c r="AS135" s="141">
        <v>0</v>
      </c>
      <c r="AT135" s="142">
        <v>0.10299999999999999</v>
      </c>
      <c r="AU135" s="142">
        <v>1.7999999999999999E-2</v>
      </c>
      <c r="AV135" s="142">
        <v>80.055000000000007</v>
      </c>
      <c r="AW135" s="142">
        <v>14.404999999999999</v>
      </c>
      <c r="AX135" s="179">
        <v>94.46</v>
      </c>
      <c r="AY135" s="142">
        <v>0.121</v>
      </c>
      <c r="AZ135" s="141"/>
      <c r="BA135" s="140"/>
      <c r="BB135" s="141"/>
      <c r="BC135" s="141"/>
      <c r="BD135" s="141"/>
      <c r="BE135" s="141"/>
      <c r="BF135" s="141"/>
      <c r="BG135" s="141"/>
      <c r="BH135" s="142"/>
      <c r="BI135" s="142"/>
      <c r="BJ135" s="142"/>
      <c r="BK135" s="142"/>
      <c r="BL135" s="179"/>
      <c r="BM135" s="142"/>
      <c r="BN135" s="141">
        <v>15</v>
      </c>
      <c r="BO135" s="140">
        <v>0</v>
      </c>
      <c r="BP135" s="141">
        <v>0</v>
      </c>
      <c r="BQ135" s="141">
        <v>0</v>
      </c>
      <c r="BR135" s="141">
        <v>0</v>
      </c>
      <c r="BS135" s="141">
        <v>0</v>
      </c>
      <c r="BT135" s="141">
        <v>0</v>
      </c>
      <c r="BU135" s="141">
        <v>0</v>
      </c>
      <c r="BV135" s="142">
        <v>0</v>
      </c>
      <c r="BW135" s="142">
        <v>0</v>
      </c>
      <c r="BX135" s="142">
        <v>0</v>
      </c>
      <c r="BY135" s="142">
        <v>0</v>
      </c>
      <c r="BZ135" s="142">
        <v>0</v>
      </c>
      <c r="CA135" s="142">
        <v>0</v>
      </c>
      <c r="CB135" s="141">
        <v>4</v>
      </c>
      <c r="CC135" s="140">
        <v>3.2669999999999999</v>
      </c>
      <c r="CD135" s="141">
        <v>5</v>
      </c>
      <c r="CE135" s="141">
        <v>196</v>
      </c>
      <c r="CF135" s="141">
        <v>196</v>
      </c>
      <c r="CG135" s="141">
        <v>196</v>
      </c>
      <c r="CH135" s="141">
        <v>0</v>
      </c>
      <c r="CI135" s="141">
        <v>0</v>
      </c>
      <c r="CJ135" s="142">
        <v>0</v>
      </c>
      <c r="CK135" s="142">
        <v>0</v>
      </c>
      <c r="CL135" s="142">
        <v>0</v>
      </c>
      <c r="CM135" s="142">
        <v>0</v>
      </c>
      <c r="CN135" s="179">
        <v>0</v>
      </c>
      <c r="CO135" s="142">
        <v>0</v>
      </c>
    </row>
    <row r="136" spans="1:93" ht="16.5" customHeight="1">
      <c r="A136" s="222"/>
      <c r="B136" s="220" t="s">
        <v>436</v>
      </c>
      <c r="C136" s="220"/>
      <c r="D136" s="220"/>
      <c r="E136" s="136" t="s">
        <v>437</v>
      </c>
      <c r="F136" s="136" t="s">
        <v>209</v>
      </c>
      <c r="G136" s="139">
        <v>2025</v>
      </c>
      <c r="H136" s="136" t="s">
        <v>210</v>
      </c>
      <c r="I136" s="221"/>
      <c r="J136" s="221"/>
      <c r="K136" s="140"/>
      <c r="L136" s="141"/>
      <c r="M136" s="141"/>
      <c r="N136" s="141"/>
      <c r="O136" s="141"/>
      <c r="P136" s="141"/>
      <c r="Q136" s="141"/>
      <c r="R136" s="142"/>
      <c r="S136" s="142"/>
      <c r="T136" s="142"/>
      <c r="U136" s="142"/>
      <c r="V136" s="179"/>
      <c r="W136" s="142"/>
      <c r="X136" s="141"/>
      <c r="Y136" s="140"/>
      <c r="Z136" s="141"/>
      <c r="AA136" s="141"/>
      <c r="AB136" s="141"/>
      <c r="AC136" s="141"/>
      <c r="AD136" s="141"/>
      <c r="AE136" s="141"/>
      <c r="AF136" s="142"/>
      <c r="AG136" s="142"/>
      <c r="AH136" s="142"/>
      <c r="AI136" s="142"/>
      <c r="AJ136" s="179"/>
      <c r="AK136" s="142"/>
      <c r="AL136" s="141"/>
      <c r="AM136" s="140"/>
      <c r="AN136" s="141"/>
      <c r="AO136" s="141"/>
      <c r="AP136" s="141"/>
      <c r="AQ136" s="141"/>
      <c r="AR136" s="141"/>
      <c r="AS136" s="141"/>
      <c r="AT136" s="142"/>
      <c r="AU136" s="142"/>
      <c r="AV136" s="142"/>
      <c r="AW136" s="142"/>
      <c r="AX136" s="179"/>
      <c r="AY136" s="142"/>
      <c r="AZ136" s="141">
        <v>3</v>
      </c>
      <c r="BA136" s="140">
        <v>1.8</v>
      </c>
      <c r="BB136" s="141">
        <v>3</v>
      </c>
      <c r="BC136" s="141">
        <v>108</v>
      </c>
      <c r="BD136" s="141">
        <v>108</v>
      </c>
      <c r="BE136" s="141">
        <v>180</v>
      </c>
      <c r="BF136" s="141">
        <v>0</v>
      </c>
      <c r="BG136" s="141">
        <v>0</v>
      </c>
      <c r="BH136" s="142">
        <v>3.09</v>
      </c>
      <c r="BI136" s="142">
        <v>0.55600000000000005</v>
      </c>
      <c r="BJ136" s="142">
        <v>2409.9870000000001</v>
      </c>
      <c r="BK136" s="142">
        <v>433.798</v>
      </c>
      <c r="BL136" s="179">
        <v>2843.7849999999999</v>
      </c>
      <c r="BM136" s="142">
        <v>3.6459999999999999</v>
      </c>
      <c r="BN136" s="141">
        <v>7</v>
      </c>
      <c r="BO136" s="140">
        <v>0</v>
      </c>
      <c r="BP136" s="141">
        <v>0</v>
      </c>
      <c r="BQ136" s="141">
        <v>0</v>
      </c>
      <c r="BR136" s="141">
        <v>0</v>
      </c>
      <c r="BS136" s="141">
        <v>0</v>
      </c>
      <c r="BT136" s="141">
        <v>0</v>
      </c>
      <c r="BU136" s="141">
        <v>0</v>
      </c>
      <c r="BV136" s="142">
        <v>0</v>
      </c>
      <c r="BW136" s="142">
        <v>0</v>
      </c>
      <c r="BX136" s="142">
        <v>0</v>
      </c>
      <c r="BY136" s="142">
        <v>0</v>
      </c>
      <c r="BZ136" s="142">
        <v>0</v>
      </c>
      <c r="CA136" s="142">
        <v>0</v>
      </c>
      <c r="CB136" s="141">
        <v>2</v>
      </c>
      <c r="CC136" s="140">
        <v>1.2669999999999999</v>
      </c>
      <c r="CD136" s="141">
        <v>2</v>
      </c>
      <c r="CE136" s="141">
        <v>76</v>
      </c>
      <c r="CF136" s="141">
        <v>76</v>
      </c>
      <c r="CG136" s="141">
        <v>120</v>
      </c>
      <c r="CH136" s="141">
        <v>0</v>
      </c>
      <c r="CI136" s="141">
        <v>0</v>
      </c>
      <c r="CJ136" s="142">
        <v>0</v>
      </c>
      <c r="CK136" s="142">
        <v>0</v>
      </c>
      <c r="CL136" s="142">
        <v>0</v>
      </c>
      <c r="CM136" s="142">
        <v>0</v>
      </c>
      <c r="CN136" s="179">
        <v>0</v>
      </c>
      <c r="CO136" s="142">
        <v>0</v>
      </c>
    </row>
    <row r="137" spans="1:93" ht="16.5" customHeight="1">
      <c r="A137" s="222"/>
      <c r="B137" s="220" t="s">
        <v>438</v>
      </c>
      <c r="C137" s="220"/>
      <c r="D137" s="220"/>
      <c r="E137" s="136" t="s">
        <v>439</v>
      </c>
      <c r="F137" s="136" t="s">
        <v>209</v>
      </c>
      <c r="G137" s="139">
        <v>2025</v>
      </c>
      <c r="H137" s="136" t="s">
        <v>210</v>
      </c>
      <c r="I137" s="221"/>
      <c r="J137" s="221"/>
      <c r="K137" s="140"/>
      <c r="L137" s="141"/>
      <c r="M137" s="141"/>
      <c r="N137" s="141"/>
      <c r="O137" s="141"/>
      <c r="P137" s="141"/>
      <c r="Q137" s="141"/>
      <c r="R137" s="142"/>
      <c r="S137" s="142"/>
      <c r="T137" s="142"/>
      <c r="U137" s="142"/>
      <c r="V137" s="179"/>
      <c r="W137" s="142"/>
      <c r="X137" s="141">
        <v>229402</v>
      </c>
      <c r="Y137" s="140">
        <v>3017452.4670000002</v>
      </c>
      <c r="Z137" s="141">
        <v>0</v>
      </c>
      <c r="AA137" s="141">
        <v>181047148</v>
      </c>
      <c r="AB137" s="141">
        <v>10672526</v>
      </c>
      <c r="AC137" s="141">
        <v>10749836</v>
      </c>
      <c r="AD137" s="141">
        <v>8943478</v>
      </c>
      <c r="AE137" s="141">
        <v>1729048</v>
      </c>
      <c r="AF137" s="142">
        <v>52.972999999999999</v>
      </c>
      <c r="AG137" s="142">
        <v>9.5429999999999993</v>
      </c>
      <c r="AH137" s="142">
        <v>41318.741999999998</v>
      </c>
      <c r="AI137" s="142">
        <v>7443.4009999999998</v>
      </c>
      <c r="AJ137" s="179">
        <v>48762.142999999996</v>
      </c>
      <c r="AK137" s="142">
        <v>62.515999999999998</v>
      </c>
      <c r="AL137" s="141">
        <v>236</v>
      </c>
      <c r="AM137" s="140">
        <v>0</v>
      </c>
      <c r="AN137" s="141">
        <v>0</v>
      </c>
      <c r="AO137" s="141">
        <v>0</v>
      </c>
      <c r="AP137" s="141">
        <v>0</v>
      </c>
      <c r="AQ137" s="141">
        <v>0</v>
      </c>
      <c r="AR137" s="141">
        <v>0</v>
      </c>
      <c r="AS137" s="141">
        <v>0</v>
      </c>
      <c r="AT137" s="142">
        <v>1.786</v>
      </c>
      <c r="AU137" s="142">
        <v>0.32100000000000001</v>
      </c>
      <c r="AV137" s="142">
        <v>1393.287</v>
      </c>
      <c r="AW137" s="142">
        <v>250.714</v>
      </c>
      <c r="AX137" s="179">
        <v>1644.002</v>
      </c>
      <c r="AY137" s="142">
        <v>2.1080000000000001</v>
      </c>
      <c r="AZ137" s="141">
        <v>638</v>
      </c>
      <c r="BA137" s="140">
        <v>723.05</v>
      </c>
      <c r="BB137" s="141">
        <v>1123</v>
      </c>
      <c r="BC137" s="141">
        <v>43383</v>
      </c>
      <c r="BD137" s="141">
        <v>43383</v>
      </c>
      <c r="BE137" s="141">
        <v>43383</v>
      </c>
      <c r="BF137" s="141">
        <v>0</v>
      </c>
      <c r="BG137" s="141">
        <v>0</v>
      </c>
      <c r="BH137" s="142">
        <v>142.91</v>
      </c>
      <c r="BI137" s="142">
        <v>25.724</v>
      </c>
      <c r="BJ137" s="142">
        <v>111468.965</v>
      </c>
      <c r="BK137" s="142">
        <v>20064.412</v>
      </c>
      <c r="BL137" s="179">
        <v>131533.37700000001</v>
      </c>
      <c r="BM137" s="142">
        <v>168.63399999999999</v>
      </c>
      <c r="BN137" s="141">
        <v>6310</v>
      </c>
      <c r="BO137" s="140">
        <v>0</v>
      </c>
      <c r="BP137" s="141">
        <v>0</v>
      </c>
      <c r="BQ137" s="141">
        <v>0</v>
      </c>
      <c r="BR137" s="141">
        <v>0</v>
      </c>
      <c r="BS137" s="141">
        <v>0</v>
      </c>
      <c r="BT137" s="141">
        <v>0</v>
      </c>
      <c r="BU137" s="141">
        <v>0</v>
      </c>
      <c r="BV137" s="142">
        <v>0</v>
      </c>
      <c r="BW137" s="142">
        <v>0</v>
      </c>
      <c r="BX137" s="142">
        <v>0</v>
      </c>
      <c r="BY137" s="142">
        <v>0</v>
      </c>
      <c r="BZ137" s="142">
        <v>0</v>
      </c>
      <c r="CA137" s="142">
        <v>0</v>
      </c>
      <c r="CB137" s="141">
        <v>496</v>
      </c>
      <c r="CC137" s="140">
        <v>619.70000000000005</v>
      </c>
      <c r="CD137" s="141">
        <v>918</v>
      </c>
      <c r="CE137" s="141">
        <v>37182</v>
      </c>
      <c r="CF137" s="141">
        <v>37182</v>
      </c>
      <c r="CG137" s="141">
        <v>37182</v>
      </c>
      <c r="CH137" s="141">
        <v>0</v>
      </c>
      <c r="CI137" s="141">
        <v>0</v>
      </c>
      <c r="CJ137" s="142">
        <v>0</v>
      </c>
      <c r="CK137" s="142">
        <v>0</v>
      </c>
      <c r="CL137" s="142">
        <v>0</v>
      </c>
      <c r="CM137" s="142">
        <v>0</v>
      </c>
      <c r="CN137" s="179">
        <v>0</v>
      </c>
      <c r="CO137" s="142">
        <v>0</v>
      </c>
    </row>
    <row r="138" spans="1:93" ht="16.5" customHeight="1">
      <c r="A138" s="222"/>
      <c r="B138" s="220" t="s">
        <v>440</v>
      </c>
      <c r="C138" s="220"/>
      <c r="D138" s="220"/>
      <c r="E138" s="136" t="s">
        <v>441</v>
      </c>
      <c r="F138" s="136" t="s">
        <v>209</v>
      </c>
      <c r="G138" s="139">
        <v>2025</v>
      </c>
      <c r="H138" s="136" t="s">
        <v>210</v>
      </c>
      <c r="I138" s="221"/>
      <c r="J138" s="221"/>
      <c r="K138" s="140"/>
      <c r="L138" s="141"/>
      <c r="M138" s="141"/>
      <c r="N138" s="141"/>
      <c r="O138" s="141"/>
      <c r="P138" s="141"/>
      <c r="Q138" s="141"/>
      <c r="R138" s="142"/>
      <c r="S138" s="142"/>
      <c r="T138" s="142"/>
      <c r="U138" s="142"/>
      <c r="V138" s="179"/>
      <c r="W138" s="142"/>
      <c r="X138" s="141">
        <v>7193</v>
      </c>
      <c r="Y138" s="140">
        <v>142652.33300000001</v>
      </c>
      <c r="Z138" s="141">
        <v>0</v>
      </c>
      <c r="AA138" s="141">
        <v>8559140</v>
      </c>
      <c r="AB138" s="141">
        <v>4073804</v>
      </c>
      <c r="AC138" s="141">
        <v>4074180</v>
      </c>
      <c r="AD138" s="141">
        <v>3160043</v>
      </c>
      <c r="AE138" s="141">
        <v>913760</v>
      </c>
      <c r="AF138" s="142">
        <v>33.460999999999999</v>
      </c>
      <c r="AG138" s="142">
        <v>6.0229999999999997</v>
      </c>
      <c r="AH138" s="142">
        <v>26099.504000000001</v>
      </c>
      <c r="AI138" s="142">
        <v>4697.8770000000004</v>
      </c>
      <c r="AJ138" s="179">
        <v>30797.381000000001</v>
      </c>
      <c r="AK138" s="142">
        <v>39.484000000000002</v>
      </c>
      <c r="AL138" s="141">
        <v>30</v>
      </c>
      <c r="AM138" s="140">
        <v>0</v>
      </c>
      <c r="AN138" s="141">
        <v>0</v>
      </c>
      <c r="AO138" s="141">
        <v>0</v>
      </c>
      <c r="AP138" s="141">
        <v>0</v>
      </c>
      <c r="AQ138" s="141">
        <v>0</v>
      </c>
      <c r="AR138" s="141">
        <v>0</v>
      </c>
      <c r="AS138" s="141">
        <v>0</v>
      </c>
      <c r="AT138" s="142">
        <v>0.252</v>
      </c>
      <c r="AU138" s="142">
        <v>4.4999999999999998E-2</v>
      </c>
      <c r="AV138" s="142">
        <v>196.792</v>
      </c>
      <c r="AW138" s="142">
        <v>35.427</v>
      </c>
      <c r="AX138" s="179">
        <v>232.21899999999999</v>
      </c>
      <c r="AY138" s="142">
        <v>0.29799999999999999</v>
      </c>
      <c r="AZ138" s="141">
        <v>16</v>
      </c>
      <c r="BA138" s="140">
        <v>13.583</v>
      </c>
      <c r="BB138" s="141">
        <v>23</v>
      </c>
      <c r="BC138" s="141">
        <v>815</v>
      </c>
      <c r="BD138" s="141">
        <v>815</v>
      </c>
      <c r="BE138" s="141">
        <v>815</v>
      </c>
      <c r="BF138" s="141">
        <v>0</v>
      </c>
      <c r="BG138" s="141">
        <v>0</v>
      </c>
      <c r="BH138" s="142">
        <v>3.222</v>
      </c>
      <c r="BI138" s="142">
        <v>0.57999999999999996</v>
      </c>
      <c r="BJ138" s="142">
        <v>2513.41</v>
      </c>
      <c r="BK138" s="142">
        <v>452.41399999999999</v>
      </c>
      <c r="BL138" s="179">
        <v>2965.8240000000001</v>
      </c>
      <c r="BM138" s="142">
        <v>3.802</v>
      </c>
      <c r="BN138" s="141">
        <v>1778</v>
      </c>
      <c r="BO138" s="140">
        <v>0</v>
      </c>
      <c r="BP138" s="141">
        <v>0</v>
      </c>
      <c r="BQ138" s="141">
        <v>0</v>
      </c>
      <c r="BR138" s="141">
        <v>0</v>
      </c>
      <c r="BS138" s="141">
        <v>0</v>
      </c>
      <c r="BT138" s="141">
        <v>0</v>
      </c>
      <c r="BU138" s="141">
        <v>0</v>
      </c>
      <c r="BV138" s="142">
        <v>0</v>
      </c>
      <c r="BW138" s="142">
        <v>0</v>
      </c>
      <c r="BX138" s="142">
        <v>0</v>
      </c>
      <c r="BY138" s="142">
        <v>0</v>
      </c>
      <c r="BZ138" s="142">
        <v>0</v>
      </c>
      <c r="CA138" s="142">
        <v>0</v>
      </c>
      <c r="CB138" s="141">
        <v>25</v>
      </c>
      <c r="CC138" s="140">
        <v>33.799999999999997</v>
      </c>
      <c r="CD138" s="141">
        <v>46</v>
      </c>
      <c r="CE138" s="141">
        <v>2028</v>
      </c>
      <c r="CF138" s="141">
        <v>2028</v>
      </c>
      <c r="CG138" s="141">
        <v>2028</v>
      </c>
      <c r="CH138" s="141">
        <v>0</v>
      </c>
      <c r="CI138" s="141">
        <v>0</v>
      </c>
      <c r="CJ138" s="142">
        <v>0</v>
      </c>
      <c r="CK138" s="142">
        <v>0</v>
      </c>
      <c r="CL138" s="142">
        <v>0</v>
      </c>
      <c r="CM138" s="142">
        <v>0</v>
      </c>
      <c r="CN138" s="179">
        <v>0</v>
      </c>
      <c r="CO138" s="142">
        <v>0</v>
      </c>
    </row>
    <row r="139" spans="1:93" ht="16.5" customHeight="1">
      <c r="A139" s="222"/>
      <c r="B139" s="220" t="s">
        <v>442</v>
      </c>
      <c r="C139" s="220"/>
      <c r="D139" s="220"/>
      <c r="E139" s="136" t="s">
        <v>341</v>
      </c>
      <c r="F139" s="136" t="s">
        <v>209</v>
      </c>
      <c r="G139" s="139">
        <v>2025</v>
      </c>
      <c r="H139" s="136" t="s">
        <v>210</v>
      </c>
      <c r="I139" s="221"/>
      <c r="J139" s="221"/>
      <c r="K139" s="140"/>
      <c r="L139" s="141"/>
      <c r="M139" s="141"/>
      <c r="N139" s="141"/>
      <c r="O139" s="141"/>
      <c r="P139" s="141"/>
      <c r="Q139" s="141"/>
      <c r="R139" s="142"/>
      <c r="S139" s="142"/>
      <c r="T139" s="142"/>
      <c r="U139" s="142"/>
      <c r="V139" s="179"/>
      <c r="W139" s="142"/>
      <c r="X139" s="141">
        <v>111</v>
      </c>
      <c r="Y139" s="140">
        <v>1989.05</v>
      </c>
      <c r="Z139" s="141">
        <v>0</v>
      </c>
      <c r="AA139" s="141">
        <v>119343</v>
      </c>
      <c r="AB139" s="141">
        <v>0</v>
      </c>
      <c r="AC139" s="141">
        <v>0</v>
      </c>
      <c r="AD139" s="141">
        <v>0</v>
      </c>
      <c r="AE139" s="141">
        <v>0</v>
      </c>
      <c r="AF139" s="142">
        <v>0</v>
      </c>
      <c r="AG139" s="142">
        <v>0</v>
      </c>
      <c r="AH139" s="142">
        <v>0</v>
      </c>
      <c r="AI139" s="142">
        <v>0</v>
      </c>
      <c r="AJ139" s="179">
        <v>0</v>
      </c>
      <c r="AK139" s="142">
        <v>0</v>
      </c>
      <c r="AL139" s="141"/>
      <c r="AM139" s="140"/>
      <c r="AN139" s="141"/>
      <c r="AO139" s="141"/>
      <c r="AP139" s="141"/>
      <c r="AQ139" s="141"/>
      <c r="AR139" s="141"/>
      <c r="AS139" s="141"/>
      <c r="AT139" s="142"/>
      <c r="AU139" s="142"/>
      <c r="AV139" s="142"/>
      <c r="AW139" s="142"/>
      <c r="AX139" s="179"/>
      <c r="AY139" s="142"/>
      <c r="AZ139" s="141"/>
      <c r="BA139" s="140"/>
      <c r="BB139" s="141"/>
      <c r="BC139" s="141"/>
      <c r="BD139" s="141"/>
      <c r="BE139" s="141"/>
      <c r="BF139" s="141"/>
      <c r="BG139" s="141"/>
      <c r="BH139" s="142"/>
      <c r="BI139" s="142"/>
      <c r="BJ139" s="142"/>
      <c r="BK139" s="142"/>
      <c r="BL139" s="179"/>
      <c r="BM139" s="142"/>
      <c r="BN139" s="141">
        <v>3</v>
      </c>
      <c r="BO139" s="140">
        <v>0</v>
      </c>
      <c r="BP139" s="141">
        <v>0</v>
      </c>
      <c r="BQ139" s="141">
        <v>0</v>
      </c>
      <c r="BR139" s="141">
        <v>0</v>
      </c>
      <c r="BS139" s="141">
        <v>0</v>
      </c>
      <c r="BT139" s="141">
        <v>0</v>
      </c>
      <c r="BU139" s="141">
        <v>0</v>
      </c>
      <c r="BV139" s="142">
        <v>0</v>
      </c>
      <c r="BW139" s="142">
        <v>0</v>
      </c>
      <c r="BX139" s="142">
        <v>0</v>
      </c>
      <c r="BY139" s="142">
        <v>0</v>
      </c>
      <c r="BZ139" s="142">
        <v>0</v>
      </c>
      <c r="CA139" s="142">
        <v>0</v>
      </c>
      <c r="CB139" s="141"/>
      <c r="CC139" s="140"/>
      <c r="CD139" s="141"/>
      <c r="CE139" s="141"/>
      <c r="CF139" s="141"/>
      <c r="CG139" s="141"/>
      <c r="CH139" s="141"/>
      <c r="CI139" s="141"/>
      <c r="CJ139" s="142"/>
      <c r="CK139" s="142"/>
      <c r="CL139" s="142"/>
      <c r="CM139" s="142"/>
      <c r="CN139" s="179"/>
      <c r="CO139" s="142"/>
    </row>
    <row r="140" spans="1:93" ht="16.5" customHeight="1">
      <c r="A140" s="222"/>
      <c r="B140" s="220" t="s">
        <v>443</v>
      </c>
      <c r="C140" s="220"/>
      <c r="D140" s="220"/>
      <c r="E140" s="136" t="s">
        <v>444</v>
      </c>
      <c r="F140" s="136" t="s">
        <v>209</v>
      </c>
      <c r="G140" s="139">
        <v>2025</v>
      </c>
      <c r="H140" s="136" t="s">
        <v>210</v>
      </c>
      <c r="I140" s="221"/>
      <c r="J140" s="221"/>
      <c r="K140" s="140"/>
      <c r="L140" s="141"/>
      <c r="M140" s="141"/>
      <c r="N140" s="141"/>
      <c r="O140" s="141"/>
      <c r="P140" s="141"/>
      <c r="Q140" s="141"/>
      <c r="R140" s="142"/>
      <c r="S140" s="142"/>
      <c r="T140" s="142"/>
      <c r="U140" s="142"/>
      <c r="V140" s="179"/>
      <c r="W140" s="142"/>
      <c r="X140" s="141">
        <v>463908</v>
      </c>
      <c r="Y140" s="140">
        <v>8071448.1670000004</v>
      </c>
      <c r="Z140" s="141">
        <v>0</v>
      </c>
      <c r="AA140" s="141">
        <v>484286890</v>
      </c>
      <c r="AB140" s="141">
        <v>933217</v>
      </c>
      <c r="AC140" s="141">
        <v>936717</v>
      </c>
      <c r="AD140" s="141">
        <v>340687</v>
      </c>
      <c r="AE140" s="141">
        <v>592530</v>
      </c>
      <c r="AF140" s="142">
        <v>1.75</v>
      </c>
      <c r="AG140" s="142">
        <v>0.315</v>
      </c>
      <c r="AH140" s="142">
        <v>1364.8109999999999</v>
      </c>
      <c r="AI140" s="142">
        <v>245.381</v>
      </c>
      <c r="AJ140" s="179">
        <v>1610.192</v>
      </c>
      <c r="AK140" s="142">
        <v>2.0640000000000001</v>
      </c>
      <c r="AL140" s="141">
        <v>251</v>
      </c>
      <c r="AM140" s="140">
        <v>0</v>
      </c>
      <c r="AN140" s="141">
        <v>0</v>
      </c>
      <c r="AO140" s="141">
        <v>0</v>
      </c>
      <c r="AP140" s="141">
        <v>0</v>
      </c>
      <c r="AQ140" s="141">
        <v>0</v>
      </c>
      <c r="AR140" s="141">
        <v>0</v>
      </c>
      <c r="AS140" s="141">
        <v>0</v>
      </c>
      <c r="AT140" s="142">
        <v>14.726000000000001</v>
      </c>
      <c r="AU140" s="142">
        <v>2.6509999999999998</v>
      </c>
      <c r="AV140" s="142">
        <v>11486.491</v>
      </c>
      <c r="AW140" s="142">
        <v>2067.6109999999999</v>
      </c>
      <c r="AX140" s="179">
        <v>13554.102000000001</v>
      </c>
      <c r="AY140" s="142">
        <v>17.376999999999999</v>
      </c>
      <c r="AZ140" s="141">
        <v>936</v>
      </c>
      <c r="BA140" s="140">
        <v>654.13300000000004</v>
      </c>
      <c r="BB140" s="141">
        <v>1333</v>
      </c>
      <c r="BC140" s="141">
        <v>39248</v>
      </c>
      <c r="BD140" s="141">
        <v>39248</v>
      </c>
      <c r="BE140" s="141">
        <v>39248</v>
      </c>
      <c r="BF140" s="141">
        <v>0</v>
      </c>
      <c r="BG140" s="141">
        <v>0</v>
      </c>
      <c r="BH140" s="142">
        <v>57.305999999999997</v>
      </c>
      <c r="BI140" s="142">
        <v>10.315</v>
      </c>
      <c r="BJ140" s="142">
        <v>44698.271000000001</v>
      </c>
      <c r="BK140" s="142">
        <v>8045.7</v>
      </c>
      <c r="BL140" s="179">
        <v>52743.970999999998</v>
      </c>
      <c r="BM140" s="142">
        <v>67.620999999999995</v>
      </c>
      <c r="BN140" s="141">
        <v>42437</v>
      </c>
      <c r="BO140" s="140">
        <v>0</v>
      </c>
      <c r="BP140" s="141">
        <v>0</v>
      </c>
      <c r="BQ140" s="141">
        <v>0</v>
      </c>
      <c r="BR140" s="141">
        <v>0</v>
      </c>
      <c r="BS140" s="141">
        <v>0</v>
      </c>
      <c r="BT140" s="141">
        <v>0</v>
      </c>
      <c r="BU140" s="141">
        <v>0</v>
      </c>
      <c r="BV140" s="142">
        <v>0</v>
      </c>
      <c r="BW140" s="142">
        <v>0</v>
      </c>
      <c r="BX140" s="142">
        <v>0</v>
      </c>
      <c r="BY140" s="142">
        <v>0</v>
      </c>
      <c r="BZ140" s="142">
        <v>0</v>
      </c>
      <c r="CA140" s="142">
        <v>0</v>
      </c>
      <c r="CB140" s="141">
        <v>660</v>
      </c>
      <c r="CC140" s="140">
        <v>631.54999999999995</v>
      </c>
      <c r="CD140" s="141">
        <v>1041</v>
      </c>
      <c r="CE140" s="141">
        <v>37893</v>
      </c>
      <c r="CF140" s="141">
        <v>37893</v>
      </c>
      <c r="CG140" s="141">
        <v>37893</v>
      </c>
      <c r="CH140" s="141">
        <v>0</v>
      </c>
      <c r="CI140" s="141">
        <v>0</v>
      </c>
      <c r="CJ140" s="142">
        <v>0</v>
      </c>
      <c r="CK140" s="142">
        <v>0</v>
      </c>
      <c r="CL140" s="142">
        <v>0</v>
      </c>
      <c r="CM140" s="142">
        <v>0</v>
      </c>
      <c r="CN140" s="179">
        <v>0</v>
      </c>
      <c r="CO140" s="142">
        <v>0</v>
      </c>
    </row>
    <row r="141" spans="1:93" ht="16.5" customHeight="1">
      <c r="A141" s="222"/>
      <c r="B141" s="220" t="s">
        <v>445</v>
      </c>
      <c r="C141" s="220"/>
      <c r="D141" s="220"/>
      <c r="E141" s="136" t="s">
        <v>446</v>
      </c>
      <c r="F141" s="136" t="s">
        <v>209</v>
      </c>
      <c r="G141" s="139">
        <v>2025</v>
      </c>
      <c r="H141" s="136" t="s">
        <v>210</v>
      </c>
      <c r="I141" s="221"/>
      <c r="J141" s="221"/>
      <c r="K141" s="140"/>
      <c r="L141" s="141"/>
      <c r="M141" s="141"/>
      <c r="N141" s="141"/>
      <c r="O141" s="141"/>
      <c r="P141" s="141"/>
      <c r="Q141" s="141"/>
      <c r="R141" s="142"/>
      <c r="S141" s="142"/>
      <c r="T141" s="142"/>
      <c r="U141" s="142"/>
      <c r="V141" s="179"/>
      <c r="W141" s="142"/>
      <c r="X141" s="141">
        <v>8626</v>
      </c>
      <c r="Y141" s="140">
        <v>149501.217</v>
      </c>
      <c r="Z141" s="141">
        <v>0</v>
      </c>
      <c r="AA141" s="141">
        <v>8970073</v>
      </c>
      <c r="AB141" s="141">
        <v>22561936</v>
      </c>
      <c r="AC141" s="141">
        <v>22563844</v>
      </c>
      <c r="AD141" s="141">
        <v>19149735</v>
      </c>
      <c r="AE141" s="141">
        <v>3412201</v>
      </c>
      <c r="AF141" s="142">
        <v>1570.422</v>
      </c>
      <c r="AG141" s="142">
        <v>282.67599999999999</v>
      </c>
      <c r="AH141" s="142">
        <v>1224916.71</v>
      </c>
      <c r="AI141" s="142">
        <v>220485.15</v>
      </c>
      <c r="AJ141" s="179">
        <v>1445401.86</v>
      </c>
      <c r="AK141" s="142">
        <v>1853.098</v>
      </c>
      <c r="AL141" s="141">
        <v>893</v>
      </c>
      <c r="AM141" s="140">
        <v>0</v>
      </c>
      <c r="AN141" s="141">
        <v>0</v>
      </c>
      <c r="AO141" s="141">
        <v>0</v>
      </c>
      <c r="AP141" s="141">
        <v>0</v>
      </c>
      <c r="AQ141" s="141">
        <v>0</v>
      </c>
      <c r="AR141" s="141">
        <v>0</v>
      </c>
      <c r="AS141" s="141">
        <v>0</v>
      </c>
      <c r="AT141" s="142">
        <v>19.091000000000001</v>
      </c>
      <c r="AU141" s="142">
        <v>3.4359999999999999</v>
      </c>
      <c r="AV141" s="142">
        <v>14890.478999999999</v>
      </c>
      <c r="AW141" s="142">
        <v>2680.2579999999998</v>
      </c>
      <c r="AX141" s="179">
        <v>17570.738000000001</v>
      </c>
      <c r="AY141" s="142">
        <v>22.527000000000001</v>
      </c>
      <c r="AZ141" s="141">
        <v>2563</v>
      </c>
      <c r="BA141" s="140">
        <v>1709.35</v>
      </c>
      <c r="BB141" s="141">
        <v>3403</v>
      </c>
      <c r="BC141" s="141">
        <v>102561</v>
      </c>
      <c r="BD141" s="141">
        <v>102561</v>
      </c>
      <c r="BE141" s="141">
        <v>102561</v>
      </c>
      <c r="BF141" s="141">
        <v>0</v>
      </c>
      <c r="BG141" s="141">
        <v>0</v>
      </c>
      <c r="BH141" s="142">
        <v>258.65100000000001</v>
      </c>
      <c r="BI141" s="142">
        <v>46.557000000000002</v>
      </c>
      <c r="BJ141" s="142">
        <v>201745.75899999999</v>
      </c>
      <c r="BK141" s="142">
        <v>36314.300000000003</v>
      </c>
      <c r="BL141" s="179">
        <v>238060.05900000001</v>
      </c>
      <c r="BM141" s="142">
        <v>305.20800000000003</v>
      </c>
      <c r="BN141" s="141">
        <v>142337</v>
      </c>
      <c r="BO141" s="140">
        <v>0</v>
      </c>
      <c r="BP141" s="141">
        <v>0</v>
      </c>
      <c r="BQ141" s="141">
        <v>0</v>
      </c>
      <c r="BR141" s="141">
        <v>0</v>
      </c>
      <c r="BS141" s="141">
        <v>0</v>
      </c>
      <c r="BT141" s="141">
        <v>0</v>
      </c>
      <c r="BU141" s="141">
        <v>0</v>
      </c>
      <c r="BV141" s="142">
        <v>0</v>
      </c>
      <c r="BW141" s="142">
        <v>0</v>
      </c>
      <c r="BX141" s="142">
        <v>0</v>
      </c>
      <c r="BY141" s="142">
        <v>0</v>
      </c>
      <c r="BZ141" s="142">
        <v>0</v>
      </c>
      <c r="CA141" s="142">
        <v>0</v>
      </c>
      <c r="CB141" s="141">
        <v>3287</v>
      </c>
      <c r="CC141" s="140">
        <v>4690.75</v>
      </c>
      <c r="CD141" s="141">
        <v>6492</v>
      </c>
      <c r="CE141" s="141">
        <v>281445</v>
      </c>
      <c r="CF141" s="141">
        <v>281445</v>
      </c>
      <c r="CG141" s="141">
        <v>281445</v>
      </c>
      <c r="CH141" s="141">
        <v>0</v>
      </c>
      <c r="CI141" s="141">
        <v>0</v>
      </c>
      <c r="CJ141" s="142">
        <v>0</v>
      </c>
      <c r="CK141" s="142">
        <v>0</v>
      </c>
      <c r="CL141" s="142">
        <v>0</v>
      </c>
      <c r="CM141" s="142">
        <v>0</v>
      </c>
      <c r="CN141" s="179">
        <v>0</v>
      </c>
      <c r="CO141" s="142">
        <v>0</v>
      </c>
    </row>
    <row r="142" spans="1:93" ht="16.5" customHeight="1">
      <c r="A142" s="222"/>
      <c r="B142" s="220" t="s">
        <v>447</v>
      </c>
      <c r="C142" s="220"/>
      <c r="D142" s="220"/>
      <c r="E142" s="136" t="s">
        <v>448</v>
      </c>
      <c r="F142" s="136" t="s">
        <v>209</v>
      </c>
      <c r="G142" s="139">
        <v>2025</v>
      </c>
      <c r="H142" s="136" t="s">
        <v>210</v>
      </c>
      <c r="I142" s="221"/>
      <c r="J142" s="221"/>
      <c r="K142" s="140"/>
      <c r="L142" s="141"/>
      <c r="M142" s="141"/>
      <c r="N142" s="141"/>
      <c r="O142" s="141"/>
      <c r="P142" s="141"/>
      <c r="Q142" s="141"/>
      <c r="R142" s="142"/>
      <c r="S142" s="142"/>
      <c r="T142" s="142"/>
      <c r="U142" s="142"/>
      <c r="V142" s="179"/>
      <c r="W142" s="142"/>
      <c r="X142" s="141">
        <v>3299</v>
      </c>
      <c r="Y142" s="140">
        <v>29183.65</v>
      </c>
      <c r="Z142" s="141">
        <v>0</v>
      </c>
      <c r="AA142" s="141">
        <v>1751019</v>
      </c>
      <c r="AB142" s="141">
        <v>37897</v>
      </c>
      <c r="AC142" s="141">
        <v>38257</v>
      </c>
      <c r="AD142" s="141">
        <v>1994</v>
      </c>
      <c r="AE142" s="141">
        <v>35904</v>
      </c>
      <c r="AF142" s="142">
        <v>0.252</v>
      </c>
      <c r="AG142" s="142">
        <v>4.4999999999999998E-2</v>
      </c>
      <c r="AH142" s="142">
        <v>196.18299999999999</v>
      </c>
      <c r="AI142" s="142">
        <v>35.223999999999997</v>
      </c>
      <c r="AJ142" s="179">
        <v>231.40600000000001</v>
      </c>
      <c r="AK142" s="142">
        <v>0.29699999999999999</v>
      </c>
      <c r="AL142" s="141"/>
      <c r="AM142" s="140"/>
      <c r="AN142" s="141"/>
      <c r="AO142" s="141"/>
      <c r="AP142" s="141"/>
      <c r="AQ142" s="141"/>
      <c r="AR142" s="141"/>
      <c r="AS142" s="141"/>
      <c r="AT142" s="142"/>
      <c r="AU142" s="142"/>
      <c r="AV142" s="142"/>
      <c r="AW142" s="142"/>
      <c r="AX142" s="179"/>
      <c r="AY142" s="142"/>
      <c r="AZ142" s="141"/>
      <c r="BA142" s="140"/>
      <c r="BB142" s="141"/>
      <c r="BC142" s="141"/>
      <c r="BD142" s="141"/>
      <c r="BE142" s="141"/>
      <c r="BF142" s="141"/>
      <c r="BG142" s="141"/>
      <c r="BH142" s="142"/>
      <c r="BI142" s="142"/>
      <c r="BJ142" s="142"/>
      <c r="BK142" s="142"/>
      <c r="BL142" s="179"/>
      <c r="BM142" s="142"/>
      <c r="BN142" s="141"/>
      <c r="BO142" s="140"/>
      <c r="BP142" s="141"/>
      <c r="BQ142" s="141"/>
      <c r="BR142" s="141"/>
      <c r="BS142" s="141"/>
      <c r="BT142" s="141"/>
      <c r="BU142" s="141"/>
      <c r="BV142" s="142"/>
      <c r="BW142" s="142"/>
      <c r="BX142" s="142"/>
      <c r="BY142" s="142"/>
      <c r="BZ142" s="142"/>
      <c r="CA142" s="142"/>
      <c r="CB142" s="141"/>
      <c r="CC142" s="140"/>
      <c r="CD142" s="141"/>
      <c r="CE142" s="141"/>
      <c r="CF142" s="141"/>
      <c r="CG142" s="141"/>
      <c r="CH142" s="141"/>
      <c r="CI142" s="141"/>
      <c r="CJ142" s="142"/>
      <c r="CK142" s="142"/>
      <c r="CL142" s="142"/>
      <c r="CM142" s="142"/>
      <c r="CN142" s="179"/>
      <c r="CO142" s="142"/>
    </row>
    <row r="143" spans="1:93" ht="16.5" customHeight="1">
      <c r="A143" s="222"/>
      <c r="B143" s="220" t="s">
        <v>449</v>
      </c>
      <c r="C143" s="220"/>
      <c r="D143" s="220"/>
      <c r="E143" s="136" t="s">
        <v>450</v>
      </c>
      <c r="F143" s="136" t="s">
        <v>209</v>
      </c>
      <c r="G143" s="139">
        <v>2025</v>
      </c>
      <c r="H143" s="136" t="s">
        <v>210</v>
      </c>
      <c r="I143" s="221"/>
      <c r="J143" s="221"/>
      <c r="K143" s="140"/>
      <c r="L143" s="141"/>
      <c r="M143" s="141"/>
      <c r="N143" s="141"/>
      <c r="O143" s="141"/>
      <c r="P143" s="141"/>
      <c r="Q143" s="141"/>
      <c r="R143" s="142"/>
      <c r="S143" s="142"/>
      <c r="T143" s="142"/>
      <c r="U143" s="142"/>
      <c r="V143" s="179"/>
      <c r="W143" s="142"/>
      <c r="X143" s="141"/>
      <c r="Y143" s="140"/>
      <c r="Z143" s="141"/>
      <c r="AA143" s="141"/>
      <c r="AB143" s="141"/>
      <c r="AC143" s="141"/>
      <c r="AD143" s="141"/>
      <c r="AE143" s="141"/>
      <c r="AF143" s="142"/>
      <c r="AG143" s="142"/>
      <c r="AH143" s="142"/>
      <c r="AI143" s="142"/>
      <c r="AJ143" s="179"/>
      <c r="AK143" s="142"/>
      <c r="AL143" s="141">
        <v>4</v>
      </c>
      <c r="AM143" s="140">
        <v>0</v>
      </c>
      <c r="AN143" s="141">
        <v>0</v>
      </c>
      <c r="AO143" s="141">
        <v>0</v>
      </c>
      <c r="AP143" s="141">
        <v>0</v>
      </c>
      <c r="AQ143" s="141">
        <v>0</v>
      </c>
      <c r="AR143" s="141">
        <v>0</v>
      </c>
      <c r="AS143" s="141">
        <v>0</v>
      </c>
      <c r="AT143" s="142">
        <v>0.03</v>
      </c>
      <c r="AU143" s="142">
        <v>5.0000000000000001E-3</v>
      </c>
      <c r="AV143" s="142">
        <v>23.614999999999998</v>
      </c>
      <c r="AW143" s="142">
        <v>4.2489999999999997</v>
      </c>
      <c r="AX143" s="179">
        <v>27.864000000000001</v>
      </c>
      <c r="AY143" s="142">
        <v>3.5999999999999997E-2</v>
      </c>
      <c r="AZ143" s="141"/>
      <c r="BA143" s="140"/>
      <c r="BB143" s="141"/>
      <c r="BC143" s="141"/>
      <c r="BD143" s="141"/>
      <c r="BE143" s="141"/>
      <c r="BF143" s="141"/>
      <c r="BG143" s="141"/>
      <c r="BH143" s="142"/>
      <c r="BI143" s="142"/>
      <c r="BJ143" s="142"/>
      <c r="BK143" s="142"/>
      <c r="BL143" s="179"/>
      <c r="BM143" s="142"/>
      <c r="BN143" s="141">
        <v>1047</v>
      </c>
      <c r="BO143" s="140">
        <v>0</v>
      </c>
      <c r="BP143" s="141">
        <v>0</v>
      </c>
      <c r="BQ143" s="141">
        <v>0</v>
      </c>
      <c r="BR143" s="141">
        <v>0</v>
      </c>
      <c r="BS143" s="141">
        <v>0</v>
      </c>
      <c r="BT143" s="141">
        <v>0</v>
      </c>
      <c r="BU143" s="141">
        <v>0</v>
      </c>
      <c r="BV143" s="142">
        <v>0</v>
      </c>
      <c r="BW143" s="142">
        <v>0</v>
      </c>
      <c r="BX143" s="142">
        <v>0</v>
      </c>
      <c r="BY143" s="142">
        <v>0</v>
      </c>
      <c r="BZ143" s="142">
        <v>0</v>
      </c>
      <c r="CA143" s="142">
        <v>0</v>
      </c>
      <c r="CB143" s="141">
        <v>19</v>
      </c>
      <c r="CC143" s="140">
        <v>16.132999999999999</v>
      </c>
      <c r="CD143" s="141">
        <v>27</v>
      </c>
      <c r="CE143" s="141">
        <v>968</v>
      </c>
      <c r="CF143" s="141">
        <v>968</v>
      </c>
      <c r="CG143" s="141">
        <v>968</v>
      </c>
      <c r="CH143" s="141">
        <v>0</v>
      </c>
      <c r="CI143" s="141">
        <v>0</v>
      </c>
      <c r="CJ143" s="142">
        <v>0</v>
      </c>
      <c r="CK143" s="142">
        <v>0</v>
      </c>
      <c r="CL143" s="142">
        <v>0</v>
      </c>
      <c r="CM143" s="142">
        <v>0</v>
      </c>
      <c r="CN143" s="179">
        <v>0</v>
      </c>
      <c r="CO143" s="142">
        <v>0</v>
      </c>
    </row>
    <row r="144" spans="1:93" ht="16.5" customHeight="1">
      <c r="A144" s="222"/>
      <c r="B144" s="220" t="s">
        <v>451</v>
      </c>
      <c r="C144" s="220"/>
      <c r="D144" s="220"/>
      <c r="E144" s="136" t="s">
        <v>452</v>
      </c>
      <c r="F144" s="136" t="s">
        <v>209</v>
      </c>
      <c r="G144" s="139">
        <v>2025</v>
      </c>
      <c r="H144" s="136" t="s">
        <v>210</v>
      </c>
      <c r="I144" s="221"/>
      <c r="J144" s="221"/>
      <c r="K144" s="140"/>
      <c r="L144" s="141"/>
      <c r="M144" s="141"/>
      <c r="N144" s="141"/>
      <c r="O144" s="141"/>
      <c r="P144" s="141"/>
      <c r="Q144" s="141"/>
      <c r="R144" s="142"/>
      <c r="S144" s="142"/>
      <c r="T144" s="142"/>
      <c r="U144" s="142"/>
      <c r="V144" s="179"/>
      <c r="W144" s="142"/>
      <c r="X144" s="141">
        <v>487</v>
      </c>
      <c r="Y144" s="140">
        <v>7852.9830000000002</v>
      </c>
      <c r="Z144" s="141">
        <v>0</v>
      </c>
      <c r="AA144" s="141">
        <v>471179</v>
      </c>
      <c r="AB144" s="141">
        <v>0</v>
      </c>
      <c r="AC144" s="141">
        <v>0</v>
      </c>
      <c r="AD144" s="141">
        <v>0</v>
      </c>
      <c r="AE144" s="141">
        <v>0</v>
      </c>
      <c r="AF144" s="142">
        <v>0</v>
      </c>
      <c r="AG144" s="142">
        <v>0</v>
      </c>
      <c r="AH144" s="142">
        <v>0</v>
      </c>
      <c r="AI144" s="142">
        <v>0</v>
      </c>
      <c r="AJ144" s="179">
        <v>0</v>
      </c>
      <c r="AK144" s="142">
        <v>0</v>
      </c>
      <c r="AL144" s="141"/>
      <c r="AM144" s="140"/>
      <c r="AN144" s="141"/>
      <c r="AO144" s="141"/>
      <c r="AP144" s="141"/>
      <c r="AQ144" s="141"/>
      <c r="AR144" s="141"/>
      <c r="AS144" s="141"/>
      <c r="AT144" s="142"/>
      <c r="AU144" s="142"/>
      <c r="AV144" s="142"/>
      <c r="AW144" s="142"/>
      <c r="AX144" s="179"/>
      <c r="AY144" s="142"/>
      <c r="AZ144" s="141"/>
      <c r="BA144" s="140"/>
      <c r="BB144" s="141"/>
      <c r="BC144" s="141"/>
      <c r="BD144" s="141"/>
      <c r="BE144" s="141"/>
      <c r="BF144" s="141"/>
      <c r="BG144" s="141"/>
      <c r="BH144" s="142"/>
      <c r="BI144" s="142"/>
      <c r="BJ144" s="142"/>
      <c r="BK144" s="142"/>
      <c r="BL144" s="179"/>
      <c r="BM144" s="142"/>
      <c r="BN144" s="141"/>
      <c r="BO144" s="140"/>
      <c r="BP144" s="141"/>
      <c r="BQ144" s="141"/>
      <c r="BR144" s="141"/>
      <c r="BS144" s="141"/>
      <c r="BT144" s="141"/>
      <c r="BU144" s="141"/>
      <c r="BV144" s="142"/>
      <c r="BW144" s="142"/>
      <c r="BX144" s="142"/>
      <c r="BY144" s="142"/>
      <c r="BZ144" s="142"/>
      <c r="CA144" s="142"/>
      <c r="CB144" s="141"/>
      <c r="CC144" s="140"/>
      <c r="CD144" s="141"/>
      <c r="CE144" s="141"/>
      <c r="CF144" s="141"/>
      <c r="CG144" s="141"/>
      <c r="CH144" s="141"/>
      <c r="CI144" s="141"/>
      <c r="CJ144" s="142"/>
      <c r="CK144" s="142"/>
      <c r="CL144" s="142"/>
      <c r="CM144" s="142"/>
      <c r="CN144" s="179"/>
      <c r="CO144" s="142"/>
    </row>
    <row r="145" spans="1:93" ht="16.5" customHeight="1">
      <c r="A145" s="222"/>
      <c r="B145" s="220" t="s">
        <v>453</v>
      </c>
      <c r="C145" s="220"/>
      <c r="D145" s="220"/>
      <c r="E145" s="136" t="s">
        <v>454</v>
      </c>
      <c r="F145" s="136" t="s">
        <v>209</v>
      </c>
      <c r="G145" s="139">
        <v>2025</v>
      </c>
      <c r="H145" s="136" t="s">
        <v>210</v>
      </c>
      <c r="I145" s="221"/>
      <c r="J145" s="221"/>
      <c r="K145" s="140"/>
      <c r="L145" s="141"/>
      <c r="M145" s="141"/>
      <c r="N145" s="141"/>
      <c r="O145" s="141"/>
      <c r="P145" s="141"/>
      <c r="Q145" s="141"/>
      <c r="R145" s="142"/>
      <c r="S145" s="142"/>
      <c r="T145" s="142"/>
      <c r="U145" s="142"/>
      <c r="V145" s="179"/>
      <c r="W145" s="142"/>
      <c r="X145" s="141"/>
      <c r="Y145" s="140"/>
      <c r="Z145" s="141"/>
      <c r="AA145" s="141"/>
      <c r="AB145" s="141"/>
      <c r="AC145" s="141"/>
      <c r="AD145" s="141"/>
      <c r="AE145" s="141"/>
      <c r="AF145" s="142"/>
      <c r="AG145" s="142"/>
      <c r="AH145" s="142"/>
      <c r="AI145" s="142"/>
      <c r="AJ145" s="179"/>
      <c r="AK145" s="142"/>
      <c r="AL145" s="141">
        <v>1</v>
      </c>
      <c r="AM145" s="140">
        <v>0</v>
      </c>
      <c r="AN145" s="141">
        <v>0</v>
      </c>
      <c r="AO145" s="141">
        <v>0</v>
      </c>
      <c r="AP145" s="141">
        <v>0</v>
      </c>
      <c r="AQ145" s="141">
        <v>0</v>
      </c>
      <c r="AR145" s="141">
        <v>0</v>
      </c>
      <c r="AS145" s="141">
        <v>0</v>
      </c>
      <c r="AT145" s="142">
        <v>0.108</v>
      </c>
      <c r="AU145" s="142">
        <v>1.9E-2</v>
      </c>
      <c r="AV145" s="142">
        <v>84.494</v>
      </c>
      <c r="AW145" s="142">
        <v>15.209</v>
      </c>
      <c r="AX145" s="179">
        <v>99.703000000000003</v>
      </c>
      <c r="AY145" s="142">
        <v>0.128</v>
      </c>
      <c r="AZ145" s="141"/>
      <c r="BA145" s="140"/>
      <c r="BB145" s="141"/>
      <c r="BC145" s="141"/>
      <c r="BD145" s="141"/>
      <c r="BE145" s="141"/>
      <c r="BF145" s="141"/>
      <c r="BG145" s="141"/>
      <c r="BH145" s="142"/>
      <c r="BI145" s="142"/>
      <c r="BJ145" s="142"/>
      <c r="BK145" s="142"/>
      <c r="BL145" s="179"/>
      <c r="BM145" s="142"/>
      <c r="BN145" s="141"/>
      <c r="BO145" s="140"/>
      <c r="BP145" s="141"/>
      <c r="BQ145" s="141"/>
      <c r="BR145" s="141"/>
      <c r="BS145" s="141"/>
      <c r="BT145" s="141"/>
      <c r="BU145" s="141"/>
      <c r="BV145" s="142"/>
      <c r="BW145" s="142"/>
      <c r="BX145" s="142"/>
      <c r="BY145" s="142"/>
      <c r="BZ145" s="142"/>
      <c r="CA145" s="142"/>
      <c r="CB145" s="141"/>
      <c r="CC145" s="140"/>
      <c r="CD145" s="141"/>
      <c r="CE145" s="141"/>
      <c r="CF145" s="141"/>
      <c r="CG145" s="141"/>
      <c r="CH145" s="141"/>
      <c r="CI145" s="141"/>
      <c r="CJ145" s="142"/>
      <c r="CK145" s="142"/>
      <c r="CL145" s="142"/>
      <c r="CM145" s="142"/>
      <c r="CN145" s="179"/>
      <c r="CO145" s="142"/>
    </row>
    <row r="146" spans="1:93" ht="16.5" customHeight="1">
      <c r="A146" s="222"/>
      <c r="B146" s="220" t="s">
        <v>455</v>
      </c>
      <c r="C146" s="220"/>
      <c r="D146" s="220"/>
      <c r="E146" s="136" t="s">
        <v>456</v>
      </c>
      <c r="F146" s="136" t="s">
        <v>209</v>
      </c>
      <c r="G146" s="139">
        <v>2025</v>
      </c>
      <c r="H146" s="136" t="s">
        <v>210</v>
      </c>
      <c r="I146" s="221"/>
      <c r="J146" s="221"/>
      <c r="K146" s="140"/>
      <c r="L146" s="141"/>
      <c r="M146" s="141"/>
      <c r="N146" s="141"/>
      <c r="O146" s="141"/>
      <c r="P146" s="141"/>
      <c r="Q146" s="141"/>
      <c r="R146" s="142"/>
      <c r="S146" s="142"/>
      <c r="T146" s="142"/>
      <c r="U146" s="142"/>
      <c r="V146" s="179"/>
      <c r="W146" s="142"/>
      <c r="X146" s="141">
        <v>47395</v>
      </c>
      <c r="Y146" s="140">
        <v>424297</v>
      </c>
      <c r="Z146" s="141">
        <v>0</v>
      </c>
      <c r="AA146" s="141">
        <v>25457820</v>
      </c>
      <c r="AB146" s="141">
        <v>157616</v>
      </c>
      <c r="AC146" s="141">
        <v>161689</v>
      </c>
      <c r="AD146" s="141">
        <v>102557</v>
      </c>
      <c r="AE146" s="141">
        <v>55059</v>
      </c>
      <c r="AF146" s="142">
        <v>1.768</v>
      </c>
      <c r="AG146" s="142">
        <v>0.31900000000000001</v>
      </c>
      <c r="AH146" s="142">
        <v>1379.1320000000001</v>
      </c>
      <c r="AI146" s="142">
        <v>248.48099999999999</v>
      </c>
      <c r="AJ146" s="179">
        <v>1627.6130000000001</v>
      </c>
      <c r="AK146" s="142">
        <v>2.0870000000000002</v>
      </c>
      <c r="AL146" s="141">
        <v>208</v>
      </c>
      <c r="AM146" s="140">
        <v>0</v>
      </c>
      <c r="AN146" s="141">
        <v>0</v>
      </c>
      <c r="AO146" s="141">
        <v>0</v>
      </c>
      <c r="AP146" s="141">
        <v>0</v>
      </c>
      <c r="AQ146" s="141">
        <v>0</v>
      </c>
      <c r="AR146" s="141">
        <v>0</v>
      </c>
      <c r="AS146" s="141">
        <v>0</v>
      </c>
      <c r="AT146" s="142">
        <v>4.67</v>
      </c>
      <c r="AU146" s="142">
        <v>0.84099999999999997</v>
      </c>
      <c r="AV146" s="142">
        <v>3642.9</v>
      </c>
      <c r="AW146" s="142">
        <v>655.76700000000005</v>
      </c>
      <c r="AX146" s="179">
        <v>4298.6670000000004</v>
      </c>
      <c r="AY146" s="142">
        <v>5.5110000000000001</v>
      </c>
      <c r="AZ146" s="141">
        <v>162</v>
      </c>
      <c r="BA146" s="140">
        <v>111.85</v>
      </c>
      <c r="BB146" s="141">
        <v>204</v>
      </c>
      <c r="BC146" s="141">
        <v>6711</v>
      </c>
      <c r="BD146" s="141">
        <v>6711</v>
      </c>
      <c r="BE146" s="141">
        <v>6711</v>
      </c>
      <c r="BF146" s="141">
        <v>0</v>
      </c>
      <c r="BG146" s="141">
        <v>0</v>
      </c>
      <c r="BH146" s="142">
        <v>22.405000000000001</v>
      </c>
      <c r="BI146" s="142">
        <v>4.0330000000000004</v>
      </c>
      <c r="BJ146" s="142">
        <v>17475.465</v>
      </c>
      <c r="BK146" s="142">
        <v>3145.5740000000001</v>
      </c>
      <c r="BL146" s="179">
        <v>20621.039000000001</v>
      </c>
      <c r="BM146" s="142">
        <v>26.437999999999999</v>
      </c>
      <c r="BN146" s="141">
        <v>234926</v>
      </c>
      <c r="BO146" s="140">
        <v>0</v>
      </c>
      <c r="BP146" s="141">
        <v>0</v>
      </c>
      <c r="BQ146" s="141">
        <v>0</v>
      </c>
      <c r="BR146" s="141">
        <v>0</v>
      </c>
      <c r="BS146" s="141">
        <v>0</v>
      </c>
      <c r="BT146" s="141">
        <v>0</v>
      </c>
      <c r="BU146" s="141">
        <v>0</v>
      </c>
      <c r="BV146" s="142">
        <v>0</v>
      </c>
      <c r="BW146" s="142">
        <v>0</v>
      </c>
      <c r="BX146" s="142">
        <v>0</v>
      </c>
      <c r="BY146" s="142">
        <v>0</v>
      </c>
      <c r="BZ146" s="142">
        <v>0</v>
      </c>
      <c r="CA146" s="142">
        <v>0</v>
      </c>
      <c r="CB146" s="141">
        <v>1095</v>
      </c>
      <c r="CC146" s="140">
        <v>1047.9670000000001</v>
      </c>
      <c r="CD146" s="141">
        <v>1753</v>
      </c>
      <c r="CE146" s="141">
        <v>62878</v>
      </c>
      <c r="CF146" s="141">
        <v>62878</v>
      </c>
      <c r="CG146" s="141">
        <v>62878</v>
      </c>
      <c r="CH146" s="141">
        <v>0</v>
      </c>
      <c r="CI146" s="141">
        <v>0</v>
      </c>
      <c r="CJ146" s="142">
        <v>0</v>
      </c>
      <c r="CK146" s="142">
        <v>0</v>
      </c>
      <c r="CL146" s="142">
        <v>0</v>
      </c>
      <c r="CM146" s="142">
        <v>0</v>
      </c>
      <c r="CN146" s="179">
        <v>0</v>
      </c>
      <c r="CO146" s="142">
        <v>0</v>
      </c>
    </row>
    <row r="147" spans="1:93" ht="16.5" customHeight="1">
      <c r="A147" s="222"/>
      <c r="B147" s="220" t="s">
        <v>457</v>
      </c>
      <c r="C147" s="220"/>
      <c r="D147" s="220"/>
      <c r="E147" s="136" t="s">
        <v>458</v>
      </c>
      <c r="F147" s="136" t="s">
        <v>209</v>
      </c>
      <c r="G147" s="139">
        <v>2025</v>
      </c>
      <c r="H147" s="136" t="s">
        <v>210</v>
      </c>
      <c r="I147" s="221"/>
      <c r="J147" s="221"/>
      <c r="K147" s="140"/>
      <c r="L147" s="141"/>
      <c r="M147" s="141"/>
      <c r="N147" s="141"/>
      <c r="O147" s="141"/>
      <c r="P147" s="141"/>
      <c r="Q147" s="141"/>
      <c r="R147" s="142"/>
      <c r="S147" s="142"/>
      <c r="T147" s="142"/>
      <c r="U147" s="142"/>
      <c r="V147" s="179"/>
      <c r="W147" s="142"/>
      <c r="X147" s="141">
        <v>14969</v>
      </c>
      <c r="Y147" s="140">
        <v>156826.31700000001</v>
      </c>
      <c r="Z147" s="141">
        <v>0</v>
      </c>
      <c r="AA147" s="141">
        <v>9409579</v>
      </c>
      <c r="AB147" s="141">
        <v>270872</v>
      </c>
      <c r="AC147" s="141">
        <v>276334</v>
      </c>
      <c r="AD147" s="141">
        <v>7374</v>
      </c>
      <c r="AE147" s="141">
        <v>263498</v>
      </c>
      <c r="AF147" s="142">
        <v>0.61399999999999999</v>
      </c>
      <c r="AG147" s="142">
        <v>0.11</v>
      </c>
      <c r="AH147" s="142">
        <v>478.733</v>
      </c>
      <c r="AI147" s="142">
        <v>85.588999999999999</v>
      </c>
      <c r="AJ147" s="179">
        <v>564.32100000000003</v>
      </c>
      <c r="AK147" s="142">
        <v>0.72299999999999998</v>
      </c>
      <c r="AL147" s="141">
        <v>258</v>
      </c>
      <c r="AM147" s="140">
        <v>0</v>
      </c>
      <c r="AN147" s="141">
        <v>0</v>
      </c>
      <c r="AO147" s="141">
        <v>0</v>
      </c>
      <c r="AP147" s="141">
        <v>0</v>
      </c>
      <c r="AQ147" s="141">
        <v>0</v>
      </c>
      <c r="AR147" s="141">
        <v>0</v>
      </c>
      <c r="AS147" s="141">
        <v>0</v>
      </c>
      <c r="AT147" s="142">
        <v>2.379</v>
      </c>
      <c r="AU147" s="142">
        <v>0.42799999999999999</v>
      </c>
      <c r="AV147" s="142">
        <v>1855.749</v>
      </c>
      <c r="AW147" s="142">
        <v>334.02100000000002</v>
      </c>
      <c r="AX147" s="179">
        <v>2189.7710000000002</v>
      </c>
      <c r="AY147" s="142">
        <v>2.8069999999999999</v>
      </c>
      <c r="AZ147" s="141">
        <v>207</v>
      </c>
      <c r="BA147" s="140">
        <v>871.96699999999998</v>
      </c>
      <c r="BB147" s="141">
        <v>981</v>
      </c>
      <c r="BC147" s="141">
        <v>52318</v>
      </c>
      <c r="BD147" s="141">
        <v>52318</v>
      </c>
      <c r="BE147" s="141">
        <v>52318</v>
      </c>
      <c r="BF147" s="141">
        <v>0</v>
      </c>
      <c r="BG147" s="141">
        <v>0</v>
      </c>
      <c r="BH147" s="142">
        <v>95.415999999999997</v>
      </c>
      <c r="BI147" s="142">
        <v>17.175000000000001</v>
      </c>
      <c r="BJ147" s="142">
        <v>74423.803</v>
      </c>
      <c r="BK147" s="142">
        <v>13396.289000000001</v>
      </c>
      <c r="BL147" s="179">
        <v>87820.092000000004</v>
      </c>
      <c r="BM147" s="142">
        <v>112.59099999999999</v>
      </c>
      <c r="BN147" s="141">
        <v>24113</v>
      </c>
      <c r="BO147" s="140">
        <v>0</v>
      </c>
      <c r="BP147" s="141">
        <v>0</v>
      </c>
      <c r="BQ147" s="141">
        <v>0</v>
      </c>
      <c r="BR147" s="141">
        <v>0</v>
      </c>
      <c r="BS147" s="141">
        <v>0</v>
      </c>
      <c r="BT147" s="141">
        <v>0</v>
      </c>
      <c r="BU147" s="141">
        <v>0</v>
      </c>
      <c r="BV147" s="142">
        <v>0</v>
      </c>
      <c r="BW147" s="142">
        <v>0</v>
      </c>
      <c r="BX147" s="142">
        <v>0</v>
      </c>
      <c r="BY147" s="142">
        <v>0</v>
      </c>
      <c r="BZ147" s="142">
        <v>0</v>
      </c>
      <c r="CA147" s="142">
        <v>0</v>
      </c>
      <c r="CB147" s="141">
        <v>240</v>
      </c>
      <c r="CC147" s="140">
        <v>308.93299999999999</v>
      </c>
      <c r="CD147" s="141">
        <v>439</v>
      </c>
      <c r="CE147" s="141">
        <v>18536</v>
      </c>
      <c r="CF147" s="141">
        <v>18536</v>
      </c>
      <c r="CG147" s="141">
        <v>18536</v>
      </c>
      <c r="CH147" s="141">
        <v>0</v>
      </c>
      <c r="CI147" s="141">
        <v>0</v>
      </c>
      <c r="CJ147" s="142">
        <v>0</v>
      </c>
      <c r="CK147" s="142">
        <v>0</v>
      </c>
      <c r="CL147" s="142">
        <v>0</v>
      </c>
      <c r="CM147" s="142">
        <v>0</v>
      </c>
      <c r="CN147" s="179">
        <v>0</v>
      </c>
      <c r="CO147" s="142">
        <v>0</v>
      </c>
    </row>
    <row r="148" spans="1:93" ht="16.5" customHeight="1">
      <c r="A148" s="222"/>
      <c r="B148" s="220" t="s">
        <v>459</v>
      </c>
      <c r="C148" s="220"/>
      <c r="D148" s="220"/>
      <c r="E148" s="136" t="s">
        <v>460</v>
      </c>
      <c r="F148" s="136" t="s">
        <v>209</v>
      </c>
      <c r="G148" s="139">
        <v>2025</v>
      </c>
      <c r="H148" s="136" t="s">
        <v>210</v>
      </c>
      <c r="I148" s="221"/>
      <c r="J148" s="221"/>
      <c r="K148" s="140"/>
      <c r="L148" s="141"/>
      <c r="M148" s="141"/>
      <c r="N148" s="141"/>
      <c r="O148" s="141"/>
      <c r="P148" s="141"/>
      <c r="Q148" s="141"/>
      <c r="R148" s="142"/>
      <c r="S148" s="142"/>
      <c r="T148" s="142"/>
      <c r="U148" s="142"/>
      <c r="V148" s="179"/>
      <c r="W148" s="142"/>
      <c r="X148" s="141">
        <v>15355</v>
      </c>
      <c r="Y148" s="140">
        <v>165411.48300000001</v>
      </c>
      <c r="Z148" s="141">
        <v>0</v>
      </c>
      <c r="AA148" s="141">
        <v>9924689</v>
      </c>
      <c r="AB148" s="141">
        <v>8123098</v>
      </c>
      <c r="AC148" s="141">
        <v>8130766</v>
      </c>
      <c r="AD148" s="141">
        <v>6482104</v>
      </c>
      <c r="AE148" s="141">
        <v>1640994</v>
      </c>
      <c r="AF148" s="142">
        <v>40.066000000000003</v>
      </c>
      <c r="AG148" s="142">
        <v>7.2119999999999997</v>
      </c>
      <c r="AH148" s="142">
        <v>31251.332999999999</v>
      </c>
      <c r="AI148" s="142">
        <v>5625.4889999999996</v>
      </c>
      <c r="AJ148" s="179">
        <v>36876.822</v>
      </c>
      <c r="AK148" s="142">
        <v>47.277999999999999</v>
      </c>
      <c r="AL148" s="141"/>
      <c r="AM148" s="140"/>
      <c r="AN148" s="141"/>
      <c r="AO148" s="141"/>
      <c r="AP148" s="141"/>
      <c r="AQ148" s="141"/>
      <c r="AR148" s="141"/>
      <c r="AS148" s="141"/>
      <c r="AT148" s="142"/>
      <c r="AU148" s="142"/>
      <c r="AV148" s="142"/>
      <c r="AW148" s="142"/>
      <c r="AX148" s="179"/>
      <c r="AY148" s="142"/>
      <c r="AZ148" s="141">
        <v>690</v>
      </c>
      <c r="BA148" s="140">
        <v>629.31700000000001</v>
      </c>
      <c r="BB148" s="141">
        <v>953</v>
      </c>
      <c r="BC148" s="141">
        <v>37759</v>
      </c>
      <c r="BD148" s="141">
        <v>37759</v>
      </c>
      <c r="BE148" s="141">
        <v>37759</v>
      </c>
      <c r="BF148" s="141">
        <v>0</v>
      </c>
      <c r="BG148" s="141">
        <v>0</v>
      </c>
      <c r="BH148" s="142">
        <v>71.361999999999995</v>
      </c>
      <c r="BI148" s="142">
        <v>12.845000000000001</v>
      </c>
      <c r="BJ148" s="142">
        <v>55662.165000000001</v>
      </c>
      <c r="BK148" s="142">
        <v>10019.191000000001</v>
      </c>
      <c r="BL148" s="179">
        <v>65681.356</v>
      </c>
      <c r="BM148" s="142">
        <v>84.207999999999998</v>
      </c>
      <c r="BN148" s="141">
        <v>597621</v>
      </c>
      <c r="BO148" s="140">
        <v>0</v>
      </c>
      <c r="BP148" s="141">
        <v>0</v>
      </c>
      <c r="BQ148" s="141">
        <v>0</v>
      </c>
      <c r="BR148" s="141">
        <v>0</v>
      </c>
      <c r="BS148" s="141">
        <v>0</v>
      </c>
      <c r="BT148" s="141">
        <v>0</v>
      </c>
      <c r="BU148" s="141">
        <v>0</v>
      </c>
      <c r="BV148" s="142">
        <v>0</v>
      </c>
      <c r="BW148" s="142">
        <v>0</v>
      </c>
      <c r="BX148" s="142">
        <v>0</v>
      </c>
      <c r="BY148" s="142">
        <v>0</v>
      </c>
      <c r="BZ148" s="142">
        <v>0</v>
      </c>
      <c r="CA148" s="142">
        <v>0</v>
      </c>
      <c r="CB148" s="141">
        <v>3363</v>
      </c>
      <c r="CC148" s="140">
        <v>1401.7</v>
      </c>
      <c r="CD148" s="141">
        <v>3968</v>
      </c>
      <c r="CE148" s="141">
        <v>84102</v>
      </c>
      <c r="CF148" s="141">
        <v>84102</v>
      </c>
      <c r="CG148" s="141">
        <v>84102</v>
      </c>
      <c r="CH148" s="141">
        <v>0</v>
      </c>
      <c r="CI148" s="141">
        <v>0</v>
      </c>
      <c r="CJ148" s="142">
        <v>0</v>
      </c>
      <c r="CK148" s="142">
        <v>0</v>
      </c>
      <c r="CL148" s="142">
        <v>0</v>
      </c>
      <c r="CM148" s="142">
        <v>0</v>
      </c>
      <c r="CN148" s="179">
        <v>0</v>
      </c>
      <c r="CO148" s="142">
        <v>0</v>
      </c>
    </row>
    <row r="149" spans="1:93" ht="16.5" customHeight="1">
      <c r="A149" s="222"/>
      <c r="B149" s="220" t="s">
        <v>461</v>
      </c>
      <c r="C149" s="220"/>
      <c r="D149" s="220"/>
      <c r="E149" s="136" t="s">
        <v>462</v>
      </c>
      <c r="F149" s="136" t="s">
        <v>209</v>
      </c>
      <c r="G149" s="139">
        <v>2025</v>
      </c>
      <c r="H149" s="136" t="s">
        <v>210</v>
      </c>
      <c r="I149" s="221"/>
      <c r="J149" s="221"/>
      <c r="K149" s="140"/>
      <c r="L149" s="141"/>
      <c r="M149" s="141"/>
      <c r="N149" s="141"/>
      <c r="O149" s="141"/>
      <c r="P149" s="141"/>
      <c r="Q149" s="141"/>
      <c r="R149" s="142"/>
      <c r="S149" s="142"/>
      <c r="T149" s="142"/>
      <c r="U149" s="142"/>
      <c r="V149" s="179"/>
      <c r="W149" s="142"/>
      <c r="X149" s="141">
        <v>93812</v>
      </c>
      <c r="Y149" s="140">
        <v>1277770.4669999999</v>
      </c>
      <c r="Z149" s="141">
        <v>0</v>
      </c>
      <c r="AA149" s="141">
        <v>76666228</v>
      </c>
      <c r="AB149" s="141">
        <v>228203</v>
      </c>
      <c r="AC149" s="141">
        <v>228489</v>
      </c>
      <c r="AD149" s="141">
        <v>171477</v>
      </c>
      <c r="AE149" s="141">
        <v>56726</v>
      </c>
      <c r="AF149" s="142">
        <v>28.148</v>
      </c>
      <c r="AG149" s="142">
        <v>5.0659999999999998</v>
      </c>
      <c r="AH149" s="142">
        <v>21954.858</v>
      </c>
      <c r="AI149" s="142">
        <v>3951.8270000000002</v>
      </c>
      <c r="AJ149" s="179">
        <v>25906.685000000001</v>
      </c>
      <c r="AK149" s="142">
        <v>33.213999999999999</v>
      </c>
      <c r="AL149" s="141">
        <v>705</v>
      </c>
      <c r="AM149" s="140">
        <v>0</v>
      </c>
      <c r="AN149" s="141">
        <v>0</v>
      </c>
      <c r="AO149" s="141">
        <v>0</v>
      </c>
      <c r="AP149" s="141">
        <v>0</v>
      </c>
      <c r="AQ149" s="141">
        <v>0</v>
      </c>
      <c r="AR149" s="141">
        <v>0</v>
      </c>
      <c r="AS149" s="141">
        <v>0</v>
      </c>
      <c r="AT149" s="142">
        <v>23.715</v>
      </c>
      <c r="AU149" s="142">
        <v>4.2690000000000001</v>
      </c>
      <c r="AV149" s="142">
        <v>18497.896000000001</v>
      </c>
      <c r="AW149" s="142">
        <v>3329.61</v>
      </c>
      <c r="AX149" s="179">
        <v>21827.507000000001</v>
      </c>
      <c r="AY149" s="142">
        <v>27.984000000000002</v>
      </c>
      <c r="AZ149" s="141"/>
      <c r="BA149" s="140"/>
      <c r="BB149" s="141"/>
      <c r="BC149" s="141"/>
      <c r="BD149" s="141"/>
      <c r="BE149" s="141"/>
      <c r="BF149" s="141"/>
      <c r="BG149" s="141"/>
      <c r="BH149" s="142"/>
      <c r="BI149" s="142"/>
      <c r="BJ149" s="142"/>
      <c r="BK149" s="142"/>
      <c r="BL149" s="179"/>
      <c r="BM149" s="142"/>
      <c r="BN149" s="141">
        <v>3351</v>
      </c>
      <c r="BO149" s="140">
        <v>0</v>
      </c>
      <c r="BP149" s="141">
        <v>0</v>
      </c>
      <c r="BQ149" s="141">
        <v>0</v>
      </c>
      <c r="BR149" s="141">
        <v>0</v>
      </c>
      <c r="BS149" s="141">
        <v>0</v>
      </c>
      <c r="BT149" s="141">
        <v>0</v>
      </c>
      <c r="BU149" s="141">
        <v>0</v>
      </c>
      <c r="BV149" s="142">
        <v>0</v>
      </c>
      <c r="BW149" s="142">
        <v>0</v>
      </c>
      <c r="BX149" s="142">
        <v>0</v>
      </c>
      <c r="BY149" s="142">
        <v>0</v>
      </c>
      <c r="BZ149" s="142">
        <v>0</v>
      </c>
      <c r="CA149" s="142">
        <v>0</v>
      </c>
      <c r="CB149" s="141">
        <v>2</v>
      </c>
      <c r="CC149" s="140">
        <v>0.7</v>
      </c>
      <c r="CD149" s="141">
        <v>2</v>
      </c>
      <c r="CE149" s="141">
        <v>42</v>
      </c>
      <c r="CF149" s="141">
        <v>42</v>
      </c>
      <c r="CG149" s="141">
        <v>42</v>
      </c>
      <c r="CH149" s="141">
        <v>0</v>
      </c>
      <c r="CI149" s="141">
        <v>0</v>
      </c>
      <c r="CJ149" s="142">
        <v>0</v>
      </c>
      <c r="CK149" s="142">
        <v>0</v>
      </c>
      <c r="CL149" s="142">
        <v>0</v>
      </c>
      <c r="CM149" s="142">
        <v>0</v>
      </c>
      <c r="CN149" s="179">
        <v>0</v>
      </c>
      <c r="CO149" s="142">
        <v>0</v>
      </c>
    </row>
    <row r="150" spans="1:93" ht="16.5" customHeight="1">
      <c r="A150" s="222"/>
      <c r="B150" s="220" t="s">
        <v>463</v>
      </c>
      <c r="C150" s="220"/>
      <c r="D150" s="220"/>
      <c r="E150" s="136" t="s">
        <v>464</v>
      </c>
      <c r="F150" s="136" t="s">
        <v>209</v>
      </c>
      <c r="G150" s="139">
        <v>2025</v>
      </c>
      <c r="H150" s="136" t="s">
        <v>210</v>
      </c>
      <c r="I150" s="221"/>
      <c r="J150" s="221"/>
      <c r="K150" s="140"/>
      <c r="L150" s="141"/>
      <c r="M150" s="141"/>
      <c r="N150" s="141"/>
      <c r="O150" s="141"/>
      <c r="P150" s="141"/>
      <c r="Q150" s="141"/>
      <c r="R150" s="142"/>
      <c r="S150" s="142"/>
      <c r="T150" s="142"/>
      <c r="U150" s="142"/>
      <c r="V150" s="179"/>
      <c r="W150" s="142"/>
      <c r="X150" s="141">
        <v>919911</v>
      </c>
      <c r="Y150" s="140">
        <v>16726816.482999999</v>
      </c>
      <c r="Z150" s="141">
        <v>0</v>
      </c>
      <c r="AA150" s="141">
        <v>1003608989</v>
      </c>
      <c r="AB150" s="141">
        <v>52129392</v>
      </c>
      <c r="AC150" s="141">
        <v>52192788</v>
      </c>
      <c r="AD150" s="141">
        <v>42414849</v>
      </c>
      <c r="AE150" s="141">
        <v>9714543</v>
      </c>
      <c r="AF150" s="142">
        <v>570.61900000000003</v>
      </c>
      <c r="AG150" s="142">
        <v>102.718</v>
      </c>
      <c r="AH150" s="142">
        <v>445078.06599999999</v>
      </c>
      <c r="AI150" s="142">
        <v>80119.160999999993</v>
      </c>
      <c r="AJ150" s="179">
        <v>525197.22699999996</v>
      </c>
      <c r="AK150" s="142">
        <v>673.33699999999999</v>
      </c>
      <c r="AL150" s="141">
        <v>1866</v>
      </c>
      <c r="AM150" s="140">
        <v>0</v>
      </c>
      <c r="AN150" s="141">
        <v>0</v>
      </c>
      <c r="AO150" s="141">
        <v>0</v>
      </c>
      <c r="AP150" s="141">
        <v>0</v>
      </c>
      <c r="AQ150" s="141">
        <v>0</v>
      </c>
      <c r="AR150" s="141">
        <v>0</v>
      </c>
      <c r="AS150" s="141">
        <v>0</v>
      </c>
      <c r="AT150" s="142">
        <v>41.899000000000001</v>
      </c>
      <c r="AU150" s="142">
        <v>7.5419999999999998</v>
      </c>
      <c r="AV150" s="142">
        <v>32681.012999999999</v>
      </c>
      <c r="AW150" s="142">
        <v>5882.99</v>
      </c>
      <c r="AX150" s="179">
        <v>38564.002999999997</v>
      </c>
      <c r="AY150" s="142">
        <v>49.442</v>
      </c>
      <c r="AZ150" s="141">
        <v>2440</v>
      </c>
      <c r="BA150" s="140">
        <v>2630.1669999999999</v>
      </c>
      <c r="BB150" s="141">
        <v>3689</v>
      </c>
      <c r="BC150" s="141">
        <v>157810</v>
      </c>
      <c r="BD150" s="141">
        <v>157810</v>
      </c>
      <c r="BE150" s="141">
        <v>157810</v>
      </c>
      <c r="BF150" s="141">
        <v>0</v>
      </c>
      <c r="BG150" s="141">
        <v>0</v>
      </c>
      <c r="BH150" s="142">
        <v>183.90199999999999</v>
      </c>
      <c r="BI150" s="142">
        <v>33.101999999999997</v>
      </c>
      <c r="BJ150" s="142">
        <v>143441.995</v>
      </c>
      <c r="BK150" s="142">
        <v>25819.484</v>
      </c>
      <c r="BL150" s="179">
        <v>169261.47899999999</v>
      </c>
      <c r="BM150" s="142">
        <v>217.00399999999999</v>
      </c>
      <c r="BN150" s="141">
        <v>205262</v>
      </c>
      <c r="BO150" s="140">
        <v>0</v>
      </c>
      <c r="BP150" s="141">
        <v>0</v>
      </c>
      <c r="BQ150" s="141">
        <v>0</v>
      </c>
      <c r="BR150" s="141">
        <v>0</v>
      </c>
      <c r="BS150" s="141">
        <v>0</v>
      </c>
      <c r="BT150" s="141">
        <v>0</v>
      </c>
      <c r="BU150" s="141">
        <v>0</v>
      </c>
      <c r="BV150" s="142">
        <v>0</v>
      </c>
      <c r="BW150" s="142">
        <v>0</v>
      </c>
      <c r="BX150" s="142">
        <v>0</v>
      </c>
      <c r="BY150" s="142">
        <v>0</v>
      </c>
      <c r="BZ150" s="142">
        <v>0</v>
      </c>
      <c r="CA150" s="142">
        <v>0</v>
      </c>
      <c r="CB150" s="141">
        <v>1624</v>
      </c>
      <c r="CC150" s="140">
        <v>1245.817</v>
      </c>
      <c r="CD150" s="141">
        <v>2192</v>
      </c>
      <c r="CE150" s="141">
        <v>74749</v>
      </c>
      <c r="CF150" s="141">
        <v>74749</v>
      </c>
      <c r="CG150" s="141">
        <v>74749</v>
      </c>
      <c r="CH150" s="141">
        <v>0</v>
      </c>
      <c r="CI150" s="141">
        <v>0</v>
      </c>
      <c r="CJ150" s="142">
        <v>0</v>
      </c>
      <c r="CK150" s="142">
        <v>0</v>
      </c>
      <c r="CL150" s="142">
        <v>0</v>
      </c>
      <c r="CM150" s="142">
        <v>0</v>
      </c>
      <c r="CN150" s="179">
        <v>0</v>
      </c>
      <c r="CO150" s="142">
        <v>0</v>
      </c>
    </row>
    <row r="151" spans="1:93" ht="16.5" customHeight="1">
      <c r="A151" s="222"/>
      <c r="B151" s="220" t="s">
        <v>465</v>
      </c>
      <c r="C151" s="220"/>
      <c r="D151" s="220"/>
      <c r="E151" s="136" t="s">
        <v>466</v>
      </c>
      <c r="F151" s="136" t="s">
        <v>209</v>
      </c>
      <c r="G151" s="139">
        <v>2025</v>
      </c>
      <c r="H151" s="136" t="s">
        <v>210</v>
      </c>
      <c r="I151" s="221"/>
      <c r="J151" s="221"/>
      <c r="K151" s="140"/>
      <c r="L151" s="141"/>
      <c r="M151" s="141"/>
      <c r="N151" s="141"/>
      <c r="O151" s="141"/>
      <c r="P151" s="141"/>
      <c r="Q151" s="141"/>
      <c r="R151" s="142"/>
      <c r="S151" s="142"/>
      <c r="T151" s="142"/>
      <c r="U151" s="142"/>
      <c r="V151" s="179"/>
      <c r="W151" s="142"/>
      <c r="X151" s="141">
        <v>10211161</v>
      </c>
      <c r="Y151" s="140">
        <v>150883624.40000001</v>
      </c>
      <c r="Z151" s="141">
        <v>0</v>
      </c>
      <c r="AA151" s="141">
        <v>9053017464</v>
      </c>
      <c r="AB151" s="141">
        <v>32317790</v>
      </c>
      <c r="AC151" s="141">
        <v>32518940</v>
      </c>
      <c r="AD151" s="141">
        <v>13075049</v>
      </c>
      <c r="AE151" s="141">
        <v>19242740</v>
      </c>
      <c r="AF151" s="142">
        <v>72.391999999999996</v>
      </c>
      <c r="AG151" s="142">
        <v>13.004</v>
      </c>
      <c r="AH151" s="142">
        <v>56465.036999999997</v>
      </c>
      <c r="AI151" s="142">
        <v>10142.726000000001</v>
      </c>
      <c r="AJ151" s="179">
        <v>66607.763000000006</v>
      </c>
      <c r="AK151" s="142">
        <v>85.394999999999996</v>
      </c>
      <c r="AL151" s="141">
        <v>1844</v>
      </c>
      <c r="AM151" s="140">
        <v>0</v>
      </c>
      <c r="AN151" s="141">
        <v>0</v>
      </c>
      <c r="AO151" s="141">
        <v>0</v>
      </c>
      <c r="AP151" s="141">
        <v>0</v>
      </c>
      <c r="AQ151" s="141">
        <v>0</v>
      </c>
      <c r="AR151" s="141">
        <v>0</v>
      </c>
      <c r="AS151" s="141">
        <v>0</v>
      </c>
      <c r="AT151" s="142">
        <v>76.355999999999995</v>
      </c>
      <c r="AU151" s="142">
        <v>13.743</v>
      </c>
      <c r="AV151" s="142">
        <v>59557.343999999997</v>
      </c>
      <c r="AW151" s="142">
        <v>10719.689</v>
      </c>
      <c r="AX151" s="179">
        <v>70277.032999999996</v>
      </c>
      <c r="AY151" s="142">
        <v>90.1</v>
      </c>
      <c r="AZ151" s="141">
        <v>9997</v>
      </c>
      <c r="BA151" s="140">
        <v>9256.4</v>
      </c>
      <c r="BB151" s="141">
        <v>15862</v>
      </c>
      <c r="BC151" s="141">
        <v>555384</v>
      </c>
      <c r="BD151" s="141">
        <v>555384</v>
      </c>
      <c r="BE151" s="141">
        <v>555323</v>
      </c>
      <c r="BF151" s="141">
        <v>0</v>
      </c>
      <c r="BG151" s="141">
        <v>0</v>
      </c>
      <c r="BH151" s="142">
        <v>461.94900000000001</v>
      </c>
      <c r="BI151" s="142">
        <v>83.15</v>
      </c>
      <c r="BJ151" s="142">
        <v>360316.73499999999</v>
      </c>
      <c r="BK151" s="142">
        <v>64856.658000000003</v>
      </c>
      <c r="BL151" s="179">
        <v>425173.39399999997</v>
      </c>
      <c r="BM151" s="142">
        <v>545.1</v>
      </c>
      <c r="BN151" s="141">
        <v>2233422</v>
      </c>
      <c r="BO151" s="140">
        <v>0</v>
      </c>
      <c r="BP151" s="141">
        <v>0</v>
      </c>
      <c r="BQ151" s="141">
        <v>0</v>
      </c>
      <c r="BR151" s="141">
        <v>0</v>
      </c>
      <c r="BS151" s="141">
        <v>0</v>
      </c>
      <c r="BT151" s="141">
        <v>0</v>
      </c>
      <c r="BU151" s="141">
        <v>0</v>
      </c>
      <c r="BV151" s="142">
        <v>0</v>
      </c>
      <c r="BW151" s="142">
        <v>0</v>
      </c>
      <c r="BX151" s="142">
        <v>0</v>
      </c>
      <c r="BY151" s="142">
        <v>0</v>
      </c>
      <c r="BZ151" s="142">
        <v>0</v>
      </c>
      <c r="CA151" s="142">
        <v>0</v>
      </c>
      <c r="CB151" s="141">
        <v>730</v>
      </c>
      <c r="CC151" s="140">
        <v>460.6</v>
      </c>
      <c r="CD151" s="141">
        <v>959</v>
      </c>
      <c r="CE151" s="141">
        <v>27636</v>
      </c>
      <c r="CF151" s="141">
        <v>27636</v>
      </c>
      <c r="CG151" s="141">
        <v>27636</v>
      </c>
      <c r="CH151" s="141">
        <v>0</v>
      </c>
      <c r="CI151" s="141">
        <v>0</v>
      </c>
      <c r="CJ151" s="142">
        <v>0</v>
      </c>
      <c r="CK151" s="142">
        <v>0</v>
      </c>
      <c r="CL151" s="142">
        <v>0</v>
      </c>
      <c r="CM151" s="142">
        <v>0</v>
      </c>
      <c r="CN151" s="179">
        <v>0</v>
      </c>
      <c r="CO151" s="142">
        <v>0</v>
      </c>
    </row>
    <row r="152" spans="1:93" ht="16.5" customHeight="1">
      <c r="A152" s="222"/>
      <c r="B152" s="220" t="s">
        <v>467</v>
      </c>
      <c r="C152" s="220"/>
      <c r="D152" s="220"/>
      <c r="E152" s="136" t="s">
        <v>468</v>
      </c>
      <c r="F152" s="136" t="s">
        <v>209</v>
      </c>
      <c r="G152" s="139">
        <v>2025</v>
      </c>
      <c r="H152" s="136" t="s">
        <v>210</v>
      </c>
      <c r="I152" s="221"/>
      <c r="J152" s="221"/>
      <c r="K152" s="140"/>
      <c r="L152" s="141"/>
      <c r="M152" s="141"/>
      <c r="N152" s="141"/>
      <c r="O152" s="141"/>
      <c r="P152" s="141"/>
      <c r="Q152" s="141"/>
      <c r="R152" s="142"/>
      <c r="S152" s="142"/>
      <c r="T152" s="142"/>
      <c r="U152" s="142"/>
      <c r="V152" s="179"/>
      <c r="W152" s="142"/>
      <c r="X152" s="141"/>
      <c r="Y152" s="140"/>
      <c r="Z152" s="141"/>
      <c r="AA152" s="141"/>
      <c r="AB152" s="141"/>
      <c r="AC152" s="141"/>
      <c r="AD152" s="141"/>
      <c r="AE152" s="141"/>
      <c r="AF152" s="142"/>
      <c r="AG152" s="142"/>
      <c r="AH152" s="142"/>
      <c r="AI152" s="142"/>
      <c r="AJ152" s="179"/>
      <c r="AK152" s="142"/>
      <c r="AL152" s="141"/>
      <c r="AM152" s="140"/>
      <c r="AN152" s="141"/>
      <c r="AO152" s="141"/>
      <c r="AP152" s="141"/>
      <c r="AQ152" s="141"/>
      <c r="AR152" s="141"/>
      <c r="AS152" s="141"/>
      <c r="AT152" s="142"/>
      <c r="AU152" s="142"/>
      <c r="AV152" s="142"/>
      <c r="AW152" s="142"/>
      <c r="AX152" s="179"/>
      <c r="AY152" s="142"/>
      <c r="AZ152" s="141">
        <v>13</v>
      </c>
      <c r="BA152" s="140">
        <v>0.75</v>
      </c>
      <c r="BB152" s="141">
        <v>13</v>
      </c>
      <c r="BC152" s="141">
        <v>45</v>
      </c>
      <c r="BD152" s="141">
        <v>45</v>
      </c>
      <c r="BE152" s="141">
        <v>45</v>
      </c>
      <c r="BF152" s="141">
        <v>0</v>
      </c>
      <c r="BG152" s="141">
        <v>0</v>
      </c>
      <c r="BH152" s="142">
        <v>6.7000000000000004E-2</v>
      </c>
      <c r="BI152" s="142">
        <v>1.2E-2</v>
      </c>
      <c r="BJ152" s="142">
        <v>52.143999999999998</v>
      </c>
      <c r="BK152" s="142">
        <v>9.3829999999999991</v>
      </c>
      <c r="BL152" s="179">
        <v>61.527000000000001</v>
      </c>
      <c r="BM152" s="142">
        <v>7.9000000000000001E-2</v>
      </c>
      <c r="BN152" s="141">
        <v>1978436</v>
      </c>
      <c r="BO152" s="140">
        <v>0</v>
      </c>
      <c r="BP152" s="141">
        <v>0</v>
      </c>
      <c r="BQ152" s="141">
        <v>0</v>
      </c>
      <c r="BR152" s="141">
        <v>0</v>
      </c>
      <c r="BS152" s="141">
        <v>0</v>
      </c>
      <c r="BT152" s="141">
        <v>0</v>
      </c>
      <c r="BU152" s="141">
        <v>0</v>
      </c>
      <c r="BV152" s="142">
        <v>0</v>
      </c>
      <c r="BW152" s="142">
        <v>0</v>
      </c>
      <c r="BX152" s="142">
        <v>0</v>
      </c>
      <c r="BY152" s="142">
        <v>0</v>
      </c>
      <c r="BZ152" s="142">
        <v>0</v>
      </c>
      <c r="CA152" s="142">
        <v>0</v>
      </c>
      <c r="CB152" s="141">
        <v>1618</v>
      </c>
      <c r="CC152" s="140">
        <v>1609.183</v>
      </c>
      <c r="CD152" s="141">
        <v>2614</v>
      </c>
      <c r="CE152" s="141">
        <v>96551</v>
      </c>
      <c r="CF152" s="141">
        <v>96551</v>
      </c>
      <c r="CG152" s="141">
        <v>96551</v>
      </c>
      <c r="CH152" s="141">
        <v>0</v>
      </c>
      <c r="CI152" s="141">
        <v>0</v>
      </c>
      <c r="CJ152" s="142">
        <v>0</v>
      </c>
      <c r="CK152" s="142">
        <v>0</v>
      </c>
      <c r="CL152" s="142">
        <v>0</v>
      </c>
      <c r="CM152" s="142">
        <v>0</v>
      </c>
      <c r="CN152" s="179">
        <v>0</v>
      </c>
      <c r="CO152" s="142">
        <v>0</v>
      </c>
    </row>
    <row r="153" spans="1:93" ht="16.5" customHeight="1">
      <c r="A153" s="222"/>
      <c r="B153" s="220" t="s">
        <v>469</v>
      </c>
      <c r="C153" s="220"/>
      <c r="D153" s="220"/>
      <c r="E153" s="136" t="s">
        <v>470</v>
      </c>
      <c r="F153" s="136" t="s">
        <v>209</v>
      </c>
      <c r="G153" s="139">
        <v>2025</v>
      </c>
      <c r="H153" s="136" t="s">
        <v>210</v>
      </c>
      <c r="I153" s="221"/>
      <c r="J153" s="221"/>
      <c r="K153" s="140"/>
      <c r="L153" s="141"/>
      <c r="M153" s="141"/>
      <c r="N153" s="141"/>
      <c r="O153" s="141"/>
      <c r="P153" s="141"/>
      <c r="Q153" s="141"/>
      <c r="R153" s="142"/>
      <c r="S153" s="142"/>
      <c r="T153" s="142"/>
      <c r="U153" s="142"/>
      <c r="V153" s="179"/>
      <c r="W153" s="142"/>
      <c r="X153" s="141">
        <v>19777394</v>
      </c>
      <c r="Y153" s="140">
        <v>419399014.333</v>
      </c>
      <c r="Z153" s="141">
        <v>0</v>
      </c>
      <c r="AA153" s="141">
        <v>25163940860</v>
      </c>
      <c r="AB153" s="141">
        <v>247451259</v>
      </c>
      <c r="AC153" s="141">
        <v>258661366</v>
      </c>
      <c r="AD153" s="141">
        <v>85221569</v>
      </c>
      <c r="AE153" s="141">
        <v>162229690</v>
      </c>
      <c r="AF153" s="142">
        <v>1703.557</v>
      </c>
      <c r="AG153" s="142">
        <v>305.49299999999999</v>
      </c>
      <c r="AH153" s="142">
        <v>1328761.1310000001</v>
      </c>
      <c r="AI153" s="142">
        <v>238281.981</v>
      </c>
      <c r="AJ153" s="179">
        <v>1567043.112</v>
      </c>
      <c r="AK153" s="142">
        <v>2009.05</v>
      </c>
      <c r="AL153" s="141">
        <v>1563</v>
      </c>
      <c r="AM153" s="140">
        <v>0</v>
      </c>
      <c r="AN153" s="141">
        <v>0</v>
      </c>
      <c r="AO153" s="141">
        <v>0</v>
      </c>
      <c r="AP153" s="141">
        <v>0</v>
      </c>
      <c r="AQ153" s="141">
        <v>0</v>
      </c>
      <c r="AR153" s="141">
        <v>0</v>
      </c>
      <c r="AS153" s="141">
        <v>0</v>
      </c>
      <c r="AT153" s="142">
        <v>52.578000000000003</v>
      </c>
      <c r="AU153" s="142">
        <v>9.4640000000000004</v>
      </c>
      <c r="AV153" s="142">
        <v>41010.230000000003</v>
      </c>
      <c r="AW153" s="142">
        <v>7381.817</v>
      </c>
      <c r="AX153" s="179">
        <v>48392.046999999999</v>
      </c>
      <c r="AY153" s="142">
        <v>62.042000000000002</v>
      </c>
      <c r="AZ153" s="141">
        <v>108</v>
      </c>
      <c r="BA153" s="140">
        <v>170.267</v>
      </c>
      <c r="BB153" s="141">
        <v>229</v>
      </c>
      <c r="BC153" s="141">
        <v>10216</v>
      </c>
      <c r="BD153" s="141">
        <v>10216</v>
      </c>
      <c r="BE153" s="141">
        <v>10216</v>
      </c>
      <c r="BF153" s="141">
        <v>0</v>
      </c>
      <c r="BG153" s="141">
        <v>0</v>
      </c>
      <c r="BH153" s="142">
        <v>23.347999999999999</v>
      </c>
      <c r="BI153" s="142">
        <v>4.2030000000000003</v>
      </c>
      <c r="BJ153" s="142">
        <v>18211.559000000001</v>
      </c>
      <c r="BK153" s="142">
        <v>3278.0830000000001</v>
      </c>
      <c r="BL153" s="179">
        <v>21489.642</v>
      </c>
      <c r="BM153" s="142">
        <v>27.550999999999998</v>
      </c>
      <c r="BN153" s="141">
        <v>40755</v>
      </c>
      <c r="BO153" s="140">
        <v>0</v>
      </c>
      <c r="BP153" s="141">
        <v>0</v>
      </c>
      <c r="BQ153" s="141">
        <v>0</v>
      </c>
      <c r="BR153" s="141">
        <v>0</v>
      </c>
      <c r="BS153" s="141">
        <v>0</v>
      </c>
      <c r="BT153" s="141">
        <v>0</v>
      </c>
      <c r="BU153" s="141">
        <v>0</v>
      </c>
      <c r="BV153" s="142">
        <v>0</v>
      </c>
      <c r="BW153" s="142">
        <v>0</v>
      </c>
      <c r="BX153" s="142">
        <v>0</v>
      </c>
      <c r="BY153" s="142">
        <v>0</v>
      </c>
      <c r="BZ153" s="142">
        <v>0</v>
      </c>
      <c r="CA153" s="142">
        <v>0</v>
      </c>
      <c r="CB153" s="141">
        <v>129</v>
      </c>
      <c r="CC153" s="140">
        <v>89.167000000000002</v>
      </c>
      <c r="CD153" s="141">
        <v>181</v>
      </c>
      <c r="CE153" s="141">
        <v>5350</v>
      </c>
      <c r="CF153" s="141">
        <v>5350</v>
      </c>
      <c r="CG153" s="141">
        <v>5350</v>
      </c>
      <c r="CH153" s="141">
        <v>0</v>
      </c>
      <c r="CI153" s="141">
        <v>0</v>
      </c>
      <c r="CJ153" s="142">
        <v>0</v>
      </c>
      <c r="CK153" s="142">
        <v>0</v>
      </c>
      <c r="CL153" s="142">
        <v>0</v>
      </c>
      <c r="CM153" s="142">
        <v>0</v>
      </c>
      <c r="CN153" s="179">
        <v>0</v>
      </c>
      <c r="CO153" s="142">
        <v>0</v>
      </c>
    </row>
    <row r="154" spans="1:93" ht="16.5" customHeight="1">
      <c r="A154" s="222"/>
      <c r="B154" s="220" t="s">
        <v>471</v>
      </c>
      <c r="C154" s="220"/>
      <c r="D154" s="220"/>
      <c r="E154" s="136" t="s">
        <v>472</v>
      </c>
      <c r="F154" s="136" t="s">
        <v>209</v>
      </c>
      <c r="G154" s="139">
        <v>2025</v>
      </c>
      <c r="H154" s="136" t="s">
        <v>210</v>
      </c>
      <c r="I154" s="221"/>
      <c r="J154" s="221"/>
      <c r="K154" s="140"/>
      <c r="L154" s="141"/>
      <c r="M154" s="141"/>
      <c r="N154" s="141"/>
      <c r="O154" s="141"/>
      <c r="P154" s="141"/>
      <c r="Q154" s="141"/>
      <c r="R154" s="142"/>
      <c r="S154" s="142"/>
      <c r="T154" s="142"/>
      <c r="U154" s="142"/>
      <c r="V154" s="179"/>
      <c r="W154" s="142"/>
      <c r="X154" s="141">
        <v>11332</v>
      </c>
      <c r="Y154" s="140">
        <v>157263.467</v>
      </c>
      <c r="Z154" s="141">
        <v>0</v>
      </c>
      <c r="AA154" s="141">
        <v>9435808</v>
      </c>
      <c r="AB154" s="141">
        <v>1324559</v>
      </c>
      <c r="AC154" s="141">
        <v>1327072</v>
      </c>
      <c r="AD154" s="141">
        <v>1085975</v>
      </c>
      <c r="AE154" s="141">
        <v>238585</v>
      </c>
      <c r="AF154" s="142">
        <v>8.7200000000000006</v>
      </c>
      <c r="AG154" s="142">
        <v>1.569</v>
      </c>
      <c r="AH154" s="142">
        <v>6801.65</v>
      </c>
      <c r="AI154" s="142">
        <v>1223.779</v>
      </c>
      <c r="AJ154" s="179">
        <v>8025.43</v>
      </c>
      <c r="AK154" s="142">
        <v>10.289</v>
      </c>
      <c r="AL154" s="141">
        <v>16</v>
      </c>
      <c r="AM154" s="140">
        <v>0</v>
      </c>
      <c r="AN154" s="141">
        <v>0</v>
      </c>
      <c r="AO154" s="141">
        <v>0</v>
      </c>
      <c r="AP154" s="141">
        <v>0</v>
      </c>
      <c r="AQ154" s="141">
        <v>0</v>
      </c>
      <c r="AR154" s="141">
        <v>0</v>
      </c>
      <c r="AS154" s="141">
        <v>0</v>
      </c>
      <c r="AT154" s="142">
        <v>0.26900000000000002</v>
      </c>
      <c r="AU154" s="142">
        <v>4.8000000000000001E-2</v>
      </c>
      <c r="AV154" s="142">
        <v>209.911</v>
      </c>
      <c r="AW154" s="142">
        <v>37.789000000000001</v>
      </c>
      <c r="AX154" s="179">
        <v>247.7</v>
      </c>
      <c r="AY154" s="142">
        <v>0.318</v>
      </c>
      <c r="AZ154" s="141">
        <v>3</v>
      </c>
      <c r="BA154" s="140">
        <v>19.716999999999999</v>
      </c>
      <c r="BB154" s="141">
        <v>22</v>
      </c>
      <c r="BC154" s="141">
        <v>1183</v>
      </c>
      <c r="BD154" s="141">
        <v>1183</v>
      </c>
      <c r="BE154" s="141">
        <v>1183</v>
      </c>
      <c r="BF154" s="141">
        <v>0</v>
      </c>
      <c r="BG154" s="141">
        <v>0</v>
      </c>
      <c r="BH154" s="142">
        <v>5.0439999999999996</v>
      </c>
      <c r="BI154" s="142">
        <v>0.90800000000000003</v>
      </c>
      <c r="BJ154" s="142">
        <v>3934.2109999999998</v>
      </c>
      <c r="BK154" s="142">
        <v>708.15899999999999</v>
      </c>
      <c r="BL154" s="179">
        <v>4642.37</v>
      </c>
      <c r="BM154" s="142">
        <v>5.952</v>
      </c>
      <c r="BN154" s="141">
        <v>144</v>
      </c>
      <c r="BO154" s="140">
        <v>0</v>
      </c>
      <c r="BP154" s="141">
        <v>0</v>
      </c>
      <c r="BQ154" s="141">
        <v>0</v>
      </c>
      <c r="BR154" s="141">
        <v>0</v>
      </c>
      <c r="BS154" s="141">
        <v>0</v>
      </c>
      <c r="BT154" s="141">
        <v>0</v>
      </c>
      <c r="BU154" s="141">
        <v>0</v>
      </c>
      <c r="BV154" s="142">
        <v>0</v>
      </c>
      <c r="BW154" s="142">
        <v>0</v>
      </c>
      <c r="BX154" s="142">
        <v>0</v>
      </c>
      <c r="BY154" s="142">
        <v>0</v>
      </c>
      <c r="BZ154" s="142">
        <v>0</v>
      </c>
      <c r="CA154" s="142">
        <v>0</v>
      </c>
      <c r="CB154" s="141">
        <v>12</v>
      </c>
      <c r="CC154" s="140">
        <v>28.5</v>
      </c>
      <c r="CD154" s="141">
        <v>36</v>
      </c>
      <c r="CE154" s="141">
        <v>1710</v>
      </c>
      <c r="CF154" s="141">
        <v>1710</v>
      </c>
      <c r="CG154" s="141">
        <v>1710</v>
      </c>
      <c r="CH154" s="141">
        <v>0</v>
      </c>
      <c r="CI154" s="141">
        <v>0</v>
      </c>
      <c r="CJ154" s="142">
        <v>0</v>
      </c>
      <c r="CK154" s="142">
        <v>0</v>
      </c>
      <c r="CL154" s="142">
        <v>0</v>
      </c>
      <c r="CM154" s="142">
        <v>0</v>
      </c>
      <c r="CN154" s="179">
        <v>0</v>
      </c>
      <c r="CO154" s="142">
        <v>0</v>
      </c>
    </row>
    <row r="155" spans="1:93" ht="16.5" customHeight="1">
      <c r="A155" s="222"/>
      <c r="B155" s="220" t="s">
        <v>473</v>
      </c>
      <c r="C155" s="220"/>
      <c r="D155" s="220"/>
      <c r="E155" s="136" t="s">
        <v>474</v>
      </c>
      <c r="F155" s="136" t="s">
        <v>209</v>
      </c>
      <c r="G155" s="139">
        <v>2025</v>
      </c>
      <c r="H155" s="136" t="s">
        <v>210</v>
      </c>
      <c r="I155" s="221"/>
      <c r="J155" s="221"/>
      <c r="K155" s="140"/>
      <c r="L155" s="141"/>
      <c r="M155" s="141"/>
      <c r="N155" s="141"/>
      <c r="O155" s="141"/>
      <c r="P155" s="141"/>
      <c r="Q155" s="141"/>
      <c r="R155" s="142"/>
      <c r="S155" s="142"/>
      <c r="T155" s="142"/>
      <c r="U155" s="142"/>
      <c r="V155" s="179"/>
      <c r="W155" s="142"/>
      <c r="X155" s="141">
        <v>94895</v>
      </c>
      <c r="Y155" s="140">
        <v>2803688.9330000002</v>
      </c>
      <c r="Z155" s="141">
        <v>0</v>
      </c>
      <c r="AA155" s="141">
        <v>168221336</v>
      </c>
      <c r="AB155" s="141">
        <v>287807</v>
      </c>
      <c r="AC155" s="141">
        <v>330335</v>
      </c>
      <c r="AD155" s="141">
        <v>97016</v>
      </c>
      <c r="AE155" s="141">
        <v>190792</v>
      </c>
      <c r="AF155" s="142">
        <v>10.865</v>
      </c>
      <c r="AG155" s="142">
        <v>1.962</v>
      </c>
      <c r="AH155" s="142">
        <v>8474.8860000000004</v>
      </c>
      <c r="AI155" s="142">
        <v>1530.577</v>
      </c>
      <c r="AJ155" s="179">
        <v>10005.463</v>
      </c>
      <c r="AK155" s="142">
        <v>12.827999999999999</v>
      </c>
      <c r="AL155" s="141">
        <v>147</v>
      </c>
      <c r="AM155" s="140">
        <v>0</v>
      </c>
      <c r="AN155" s="141">
        <v>0</v>
      </c>
      <c r="AO155" s="141">
        <v>0</v>
      </c>
      <c r="AP155" s="141">
        <v>0</v>
      </c>
      <c r="AQ155" s="141">
        <v>0</v>
      </c>
      <c r="AR155" s="141">
        <v>0</v>
      </c>
      <c r="AS155" s="141">
        <v>0</v>
      </c>
      <c r="AT155" s="142">
        <v>1.236</v>
      </c>
      <c r="AU155" s="142">
        <v>0.223</v>
      </c>
      <c r="AV155" s="142">
        <v>964.28099999999995</v>
      </c>
      <c r="AW155" s="142">
        <v>173.59299999999999</v>
      </c>
      <c r="AX155" s="179">
        <v>1137.874</v>
      </c>
      <c r="AY155" s="142">
        <v>1.4590000000000001</v>
      </c>
      <c r="AZ155" s="141">
        <v>8</v>
      </c>
      <c r="BA155" s="140">
        <v>8.3330000000000002</v>
      </c>
      <c r="BB155" s="141">
        <v>15</v>
      </c>
      <c r="BC155" s="141">
        <v>500</v>
      </c>
      <c r="BD155" s="141">
        <v>500</v>
      </c>
      <c r="BE155" s="141">
        <v>500</v>
      </c>
      <c r="BF155" s="141">
        <v>0</v>
      </c>
      <c r="BG155" s="141">
        <v>0</v>
      </c>
      <c r="BH155" s="142">
        <v>1.8460000000000001</v>
      </c>
      <c r="BI155" s="142">
        <v>0.33200000000000002</v>
      </c>
      <c r="BJ155" s="142">
        <v>1439.827</v>
      </c>
      <c r="BK155" s="142">
        <v>259.17</v>
      </c>
      <c r="BL155" s="179">
        <v>1698.9970000000001</v>
      </c>
      <c r="BM155" s="142">
        <v>2.1779999999999999</v>
      </c>
      <c r="BN155" s="141">
        <v>185</v>
      </c>
      <c r="BO155" s="140">
        <v>0</v>
      </c>
      <c r="BP155" s="141">
        <v>0</v>
      </c>
      <c r="BQ155" s="141">
        <v>0</v>
      </c>
      <c r="BR155" s="141">
        <v>0</v>
      </c>
      <c r="BS155" s="141">
        <v>0</v>
      </c>
      <c r="BT155" s="141">
        <v>0</v>
      </c>
      <c r="BU155" s="141">
        <v>0</v>
      </c>
      <c r="BV155" s="142">
        <v>0</v>
      </c>
      <c r="BW155" s="142">
        <v>0</v>
      </c>
      <c r="BX155" s="142">
        <v>0</v>
      </c>
      <c r="BY155" s="142">
        <v>0</v>
      </c>
      <c r="BZ155" s="142">
        <v>0</v>
      </c>
      <c r="CA155" s="142">
        <v>0</v>
      </c>
      <c r="CB155" s="141">
        <v>6</v>
      </c>
      <c r="CC155" s="140">
        <v>7.4</v>
      </c>
      <c r="CD155" s="141">
        <v>12</v>
      </c>
      <c r="CE155" s="141">
        <v>444</v>
      </c>
      <c r="CF155" s="141">
        <v>444</v>
      </c>
      <c r="CG155" s="141">
        <v>444</v>
      </c>
      <c r="CH155" s="141">
        <v>0</v>
      </c>
      <c r="CI155" s="141">
        <v>0</v>
      </c>
      <c r="CJ155" s="142">
        <v>0</v>
      </c>
      <c r="CK155" s="142">
        <v>0</v>
      </c>
      <c r="CL155" s="142">
        <v>0</v>
      </c>
      <c r="CM155" s="142">
        <v>0</v>
      </c>
      <c r="CN155" s="179">
        <v>0</v>
      </c>
      <c r="CO155" s="142">
        <v>0</v>
      </c>
    </row>
    <row r="156" spans="1:93" ht="16.5" customHeight="1">
      <c r="A156" s="222"/>
      <c r="B156" s="220" t="s">
        <v>475</v>
      </c>
      <c r="C156" s="220"/>
      <c r="D156" s="220"/>
      <c r="E156" s="136" t="s">
        <v>476</v>
      </c>
      <c r="F156" s="136" t="s">
        <v>209</v>
      </c>
      <c r="G156" s="139">
        <v>2025</v>
      </c>
      <c r="H156" s="136" t="s">
        <v>210</v>
      </c>
      <c r="I156" s="221"/>
      <c r="J156" s="221"/>
      <c r="K156" s="140"/>
      <c r="L156" s="141"/>
      <c r="M156" s="141"/>
      <c r="N156" s="141"/>
      <c r="O156" s="141"/>
      <c r="P156" s="141"/>
      <c r="Q156" s="141"/>
      <c r="R156" s="142"/>
      <c r="S156" s="142"/>
      <c r="T156" s="142"/>
      <c r="U156" s="142"/>
      <c r="V156" s="179"/>
      <c r="W156" s="142"/>
      <c r="X156" s="141"/>
      <c r="Y156" s="140"/>
      <c r="Z156" s="141"/>
      <c r="AA156" s="141"/>
      <c r="AB156" s="141"/>
      <c r="AC156" s="141"/>
      <c r="AD156" s="141"/>
      <c r="AE156" s="141"/>
      <c r="AF156" s="142"/>
      <c r="AG156" s="142"/>
      <c r="AH156" s="142"/>
      <c r="AI156" s="142"/>
      <c r="AJ156" s="179"/>
      <c r="AK156" s="142"/>
      <c r="AL156" s="141"/>
      <c r="AM156" s="140"/>
      <c r="AN156" s="141"/>
      <c r="AO156" s="141"/>
      <c r="AP156" s="141"/>
      <c r="AQ156" s="141"/>
      <c r="AR156" s="141"/>
      <c r="AS156" s="141"/>
      <c r="AT156" s="142"/>
      <c r="AU156" s="142"/>
      <c r="AV156" s="142"/>
      <c r="AW156" s="142"/>
      <c r="AX156" s="179"/>
      <c r="AY156" s="142"/>
      <c r="AZ156" s="141">
        <v>1</v>
      </c>
      <c r="BA156" s="140">
        <v>0.05</v>
      </c>
      <c r="BB156" s="141">
        <v>1</v>
      </c>
      <c r="BC156" s="141">
        <v>3</v>
      </c>
      <c r="BD156" s="141">
        <v>3</v>
      </c>
      <c r="BE156" s="141">
        <v>60</v>
      </c>
      <c r="BF156" s="141">
        <v>0</v>
      </c>
      <c r="BG156" s="141">
        <v>0</v>
      </c>
      <c r="BH156" s="142">
        <v>1.425</v>
      </c>
      <c r="BI156" s="142">
        <v>0.25700000000000001</v>
      </c>
      <c r="BJ156" s="142">
        <v>1111.847</v>
      </c>
      <c r="BK156" s="142">
        <v>200.13300000000001</v>
      </c>
      <c r="BL156" s="179">
        <v>1311.98</v>
      </c>
      <c r="BM156" s="142">
        <v>1.6819999999999999</v>
      </c>
      <c r="BN156" s="141">
        <v>1140</v>
      </c>
      <c r="BO156" s="140">
        <v>0</v>
      </c>
      <c r="BP156" s="141">
        <v>0</v>
      </c>
      <c r="BQ156" s="141">
        <v>0</v>
      </c>
      <c r="BR156" s="141">
        <v>0</v>
      </c>
      <c r="BS156" s="141">
        <v>0</v>
      </c>
      <c r="BT156" s="141">
        <v>0</v>
      </c>
      <c r="BU156" s="141">
        <v>0</v>
      </c>
      <c r="BV156" s="142">
        <v>0</v>
      </c>
      <c r="BW156" s="142">
        <v>0</v>
      </c>
      <c r="BX156" s="142">
        <v>0</v>
      </c>
      <c r="BY156" s="142">
        <v>0</v>
      </c>
      <c r="BZ156" s="142">
        <v>0</v>
      </c>
      <c r="CA156" s="142">
        <v>0</v>
      </c>
      <c r="CB156" s="141"/>
      <c r="CC156" s="140"/>
      <c r="CD156" s="141"/>
      <c r="CE156" s="141"/>
      <c r="CF156" s="141"/>
      <c r="CG156" s="141"/>
      <c r="CH156" s="141"/>
      <c r="CI156" s="141"/>
      <c r="CJ156" s="142"/>
      <c r="CK156" s="142"/>
      <c r="CL156" s="142"/>
      <c r="CM156" s="142"/>
      <c r="CN156" s="179"/>
      <c r="CO156" s="142"/>
    </row>
    <row r="157" spans="1:93" ht="16.5" customHeight="1">
      <c r="A157" s="222"/>
      <c r="B157" s="220" t="s">
        <v>477</v>
      </c>
      <c r="C157" s="220"/>
      <c r="D157" s="220"/>
      <c r="E157" s="136" t="s">
        <v>478</v>
      </c>
      <c r="F157" s="136" t="s">
        <v>209</v>
      </c>
      <c r="G157" s="139">
        <v>2025</v>
      </c>
      <c r="H157" s="136" t="s">
        <v>210</v>
      </c>
      <c r="I157" s="221"/>
      <c r="J157" s="221"/>
      <c r="K157" s="140"/>
      <c r="L157" s="141"/>
      <c r="M157" s="141"/>
      <c r="N157" s="141"/>
      <c r="O157" s="141"/>
      <c r="P157" s="141"/>
      <c r="Q157" s="141"/>
      <c r="R157" s="142"/>
      <c r="S157" s="142"/>
      <c r="T157" s="142"/>
      <c r="U157" s="142"/>
      <c r="V157" s="179"/>
      <c r="W157" s="142"/>
      <c r="X157" s="141">
        <v>2814</v>
      </c>
      <c r="Y157" s="140">
        <v>52890.167000000001</v>
      </c>
      <c r="Z157" s="141">
        <v>0</v>
      </c>
      <c r="AA157" s="141">
        <v>3173410</v>
      </c>
      <c r="AB157" s="141">
        <v>12365</v>
      </c>
      <c r="AC157" s="141">
        <v>12587</v>
      </c>
      <c r="AD157" s="141">
        <v>10874</v>
      </c>
      <c r="AE157" s="141">
        <v>1491</v>
      </c>
      <c r="AF157" s="142">
        <v>7.0000000000000007E-2</v>
      </c>
      <c r="AG157" s="142">
        <v>1.2999999999999999E-2</v>
      </c>
      <c r="AH157" s="142">
        <v>54.73</v>
      </c>
      <c r="AI157" s="142">
        <v>9.8360000000000003</v>
      </c>
      <c r="AJ157" s="179">
        <v>64.564999999999998</v>
      </c>
      <c r="AK157" s="142">
        <v>8.3000000000000004E-2</v>
      </c>
      <c r="AL157" s="141">
        <v>94</v>
      </c>
      <c r="AM157" s="140">
        <v>0</v>
      </c>
      <c r="AN157" s="141">
        <v>0</v>
      </c>
      <c r="AO157" s="141">
        <v>0</v>
      </c>
      <c r="AP157" s="141">
        <v>0</v>
      </c>
      <c r="AQ157" s="141">
        <v>0</v>
      </c>
      <c r="AR157" s="141">
        <v>0</v>
      </c>
      <c r="AS157" s="141">
        <v>0</v>
      </c>
      <c r="AT157" s="142">
        <v>0.53600000000000003</v>
      </c>
      <c r="AU157" s="142">
        <v>9.6000000000000002E-2</v>
      </c>
      <c r="AV157" s="142">
        <v>418.06599999999997</v>
      </c>
      <c r="AW157" s="142">
        <v>75.225999999999999</v>
      </c>
      <c r="AX157" s="179">
        <v>493.29199999999997</v>
      </c>
      <c r="AY157" s="142">
        <v>0.63200000000000001</v>
      </c>
      <c r="AZ157" s="141"/>
      <c r="BA157" s="140"/>
      <c r="BB157" s="141"/>
      <c r="BC157" s="141"/>
      <c r="BD157" s="141"/>
      <c r="BE157" s="141"/>
      <c r="BF157" s="141"/>
      <c r="BG157" s="141"/>
      <c r="BH157" s="142"/>
      <c r="BI157" s="142"/>
      <c r="BJ157" s="142"/>
      <c r="BK157" s="142"/>
      <c r="BL157" s="179"/>
      <c r="BM157" s="142"/>
      <c r="BN157" s="141">
        <v>213</v>
      </c>
      <c r="BO157" s="140">
        <v>0</v>
      </c>
      <c r="BP157" s="141">
        <v>0</v>
      </c>
      <c r="BQ157" s="141">
        <v>0</v>
      </c>
      <c r="BR157" s="141">
        <v>0</v>
      </c>
      <c r="BS157" s="141">
        <v>0</v>
      </c>
      <c r="BT157" s="141">
        <v>0</v>
      </c>
      <c r="BU157" s="141">
        <v>0</v>
      </c>
      <c r="BV157" s="142">
        <v>0</v>
      </c>
      <c r="BW157" s="142">
        <v>0</v>
      </c>
      <c r="BX157" s="142">
        <v>0</v>
      </c>
      <c r="BY157" s="142">
        <v>0</v>
      </c>
      <c r="BZ157" s="142">
        <v>0</v>
      </c>
      <c r="CA157" s="142">
        <v>0</v>
      </c>
      <c r="CB157" s="141"/>
      <c r="CC157" s="140"/>
      <c r="CD157" s="141"/>
      <c r="CE157" s="141"/>
      <c r="CF157" s="141"/>
      <c r="CG157" s="141"/>
      <c r="CH157" s="141"/>
      <c r="CI157" s="141"/>
      <c r="CJ157" s="142"/>
      <c r="CK157" s="142"/>
      <c r="CL157" s="142"/>
      <c r="CM157" s="142"/>
      <c r="CN157" s="179"/>
      <c r="CO157" s="142"/>
    </row>
    <row r="158" spans="1:93" ht="16.5" customHeight="1">
      <c r="A158" s="222"/>
      <c r="B158" s="220" t="s">
        <v>479</v>
      </c>
      <c r="C158" s="220"/>
      <c r="D158" s="220"/>
      <c r="E158" s="136" t="s">
        <v>480</v>
      </c>
      <c r="F158" s="136" t="s">
        <v>209</v>
      </c>
      <c r="G158" s="139">
        <v>2025</v>
      </c>
      <c r="H158" s="136" t="s">
        <v>210</v>
      </c>
      <c r="I158" s="221"/>
      <c r="J158" s="221"/>
      <c r="K158" s="140"/>
      <c r="L158" s="141"/>
      <c r="M158" s="141"/>
      <c r="N158" s="141"/>
      <c r="O158" s="141"/>
      <c r="P158" s="141"/>
      <c r="Q158" s="141"/>
      <c r="R158" s="142"/>
      <c r="S158" s="142"/>
      <c r="T158" s="142"/>
      <c r="U158" s="142"/>
      <c r="V158" s="179"/>
      <c r="W158" s="142"/>
      <c r="X158" s="141"/>
      <c r="Y158" s="140"/>
      <c r="Z158" s="141"/>
      <c r="AA158" s="141"/>
      <c r="AB158" s="141"/>
      <c r="AC158" s="141"/>
      <c r="AD158" s="141"/>
      <c r="AE158" s="141"/>
      <c r="AF158" s="142"/>
      <c r="AG158" s="142"/>
      <c r="AH158" s="142"/>
      <c r="AI158" s="142"/>
      <c r="AJ158" s="179"/>
      <c r="AK158" s="142"/>
      <c r="AL158" s="141"/>
      <c r="AM158" s="140"/>
      <c r="AN158" s="141"/>
      <c r="AO158" s="141"/>
      <c r="AP158" s="141"/>
      <c r="AQ158" s="141"/>
      <c r="AR158" s="141"/>
      <c r="AS158" s="141"/>
      <c r="AT158" s="142"/>
      <c r="AU158" s="142"/>
      <c r="AV158" s="142"/>
      <c r="AW158" s="142"/>
      <c r="AX158" s="179"/>
      <c r="AY158" s="142"/>
      <c r="AZ158" s="141"/>
      <c r="BA158" s="140"/>
      <c r="BB158" s="141"/>
      <c r="BC158" s="141"/>
      <c r="BD158" s="141"/>
      <c r="BE158" s="141"/>
      <c r="BF158" s="141"/>
      <c r="BG158" s="141"/>
      <c r="BH158" s="142"/>
      <c r="BI158" s="142"/>
      <c r="BJ158" s="142"/>
      <c r="BK158" s="142"/>
      <c r="BL158" s="179"/>
      <c r="BM158" s="142"/>
      <c r="BN158" s="141">
        <v>76</v>
      </c>
      <c r="BO158" s="140">
        <v>0</v>
      </c>
      <c r="BP158" s="141">
        <v>0</v>
      </c>
      <c r="BQ158" s="141">
        <v>0</v>
      </c>
      <c r="BR158" s="141">
        <v>0</v>
      </c>
      <c r="BS158" s="141">
        <v>0</v>
      </c>
      <c r="BT158" s="141">
        <v>0</v>
      </c>
      <c r="BU158" s="141">
        <v>0</v>
      </c>
      <c r="BV158" s="142">
        <v>0</v>
      </c>
      <c r="BW158" s="142">
        <v>0</v>
      </c>
      <c r="BX158" s="142">
        <v>0</v>
      </c>
      <c r="BY158" s="142">
        <v>0</v>
      </c>
      <c r="BZ158" s="142">
        <v>0</v>
      </c>
      <c r="CA158" s="142">
        <v>0</v>
      </c>
      <c r="CB158" s="141">
        <v>3</v>
      </c>
      <c r="CC158" s="140">
        <v>0.71699999999999997</v>
      </c>
      <c r="CD158" s="141">
        <v>3</v>
      </c>
      <c r="CE158" s="141">
        <v>43</v>
      </c>
      <c r="CF158" s="141">
        <v>43</v>
      </c>
      <c r="CG158" s="141">
        <v>90</v>
      </c>
      <c r="CH158" s="141">
        <v>0</v>
      </c>
      <c r="CI158" s="141">
        <v>0</v>
      </c>
      <c r="CJ158" s="142">
        <v>0</v>
      </c>
      <c r="CK158" s="142">
        <v>0</v>
      </c>
      <c r="CL158" s="142">
        <v>0</v>
      </c>
      <c r="CM158" s="142">
        <v>0</v>
      </c>
      <c r="CN158" s="179">
        <v>0</v>
      </c>
      <c r="CO158" s="142">
        <v>0</v>
      </c>
    </row>
    <row r="159" spans="1:93" ht="16.5" customHeight="1">
      <c r="A159" s="222"/>
      <c r="B159" s="220" t="s">
        <v>481</v>
      </c>
      <c r="C159" s="220"/>
      <c r="D159" s="220"/>
      <c r="E159" s="136" t="s">
        <v>482</v>
      </c>
      <c r="F159" s="136" t="s">
        <v>209</v>
      </c>
      <c r="G159" s="139">
        <v>2025</v>
      </c>
      <c r="H159" s="136" t="s">
        <v>210</v>
      </c>
      <c r="I159" s="221"/>
      <c r="J159" s="221"/>
      <c r="K159" s="140"/>
      <c r="L159" s="141"/>
      <c r="M159" s="141"/>
      <c r="N159" s="141"/>
      <c r="O159" s="141"/>
      <c r="P159" s="141"/>
      <c r="Q159" s="141"/>
      <c r="R159" s="142"/>
      <c r="S159" s="142"/>
      <c r="T159" s="142"/>
      <c r="U159" s="142"/>
      <c r="V159" s="179"/>
      <c r="W159" s="142"/>
      <c r="X159" s="141"/>
      <c r="Y159" s="140"/>
      <c r="Z159" s="141"/>
      <c r="AA159" s="141"/>
      <c r="AB159" s="141"/>
      <c r="AC159" s="141"/>
      <c r="AD159" s="141"/>
      <c r="AE159" s="141"/>
      <c r="AF159" s="142"/>
      <c r="AG159" s="142"/>
      <c r="AH159" s="142"/>
      <c r="AI159" s="142"/>
      <c r="AJ159" s="179"/>
      <c r="AK159" s="142"/>
      <c r="AL159" s="141">
        <v>14</v>
      </c>
      <c r="AM159" s="140">
        <v>0</v>
      </c>
      <c r="AN159" s="141">
        <v>0</v>
      </c>
      <c r="AO159" s="141">
        <v>0</v>
      </c>
      <c r="AP159" s="141">
        <v>0</v>
      </c>
      <c r="AQ159" s="141">
        <v>0</v>
      </c>
      <c r="AR159" s="141">
        <v>0</v>
      </c>
      <c r="AS159" s="141">
        <v>0</v>
      </c>
      <c r="AT159" s="142">
        <v>0.35299999999999998</v>
      </c>
      <c r="AU159" s="142">
        <v>6.4000000000000001E-2</v>
      </c>
      <c r="AV159" s="142">
        <v>275.49799999999999</v>
      </c>
      <c r="AW159" s="142">
        <v>49.587000000000003</v>
      </c>
      <c r="AX159" s="179">
        <v>325.08499999999998</v>
      </c>
      <c r="AY159" s="142">
        <v>0.41699999999999998</v>
      </c>
      <c r="AZ159" s="141">
        <v>61</v>
      </c>
      <c r="BA159" s="140">
        <v>63.783000000000001</v>
      </c>
      <c r="BB159" s="141">
        <v>110</v>
      </c>
      <c r="BC159" s="141">
        <v>3827</v>
      </c>
      <c r="BD159" s="141">
        <v>3827</v>
      </c>
      <c r="BE159" s="141">
        <v>3827</v>
      </c>
      <c r="BF159" s="141">
        <v>0</v>
      </c>
      <c r="BG159" s="141">
        <v>0</v>
      </c>
      <c r="BH159" s="142">
        <v>16.867999999999999</v>
      </c>
      <c r="BI159" s="142">
        <v>3.036</v>
      </c>
      <c r="BJ159" s="142">
        <v>13156.855</v>
      </c>
      <c r="BK159" s="142">
        <v>2368.232</v>
      </c>
      <c r="BL159" s="179">
        <v>15525.087</v>
      </c>
      <c r="BM159" s="142">
        <v>19.904</v>
      </c>
      <c r="BN159" s="141"/>
      <c r="BO159" s="140"/>
      <c r="BP159" s="141"/>
      <c r="BQ159" s="141"/>
      <c r="BR159" s="141"/>
      <c r="BS159" s="141"/>
      <c r="BT159" s="141"/>
      <c r="BU159" s="141"/>
      <c r="BV159" s="142"/>
      <c r="BW159" s="142"/>
      <c r="BX159" s="142"/>
      <c r="BY159" s="142"/>
      <c r="BZ159" s="142"/>
      <c r="CA159" s="142"/>
      <c r="CB159" s="141">
        <v>44</v>
      </c>
      <c r="CC159" s="140">
        <v>6.1</v>
      </c>
      <c r="CD159" s="141">
        <v>44</v>
      </c>
      <c r="CE159" s="141">
        <v>366</v>
      </c>
      <c r="CF159" s="141">
        <v>366</v>
      </c>
      <c r="CG159" s="141">
        <v>366</v>
      </c>
      <c r="CH159" s="141">
        <v>0</v>
      </c>
      <c r="CI159" s="141">
        <v>0</v>
      </c>
      <c r="CJ159" s="142">
        <v>0</v>
      </c>
      <c r="CK159" s="142">
        <v>0</v>
      </c>
      <c r="CL159" s="142">
        <v>0</v>
      </c>
      <c r="CM159" s="142">
        <v>0</v>
      </c>
      <c r="CN159" s="179">
        <v>0</v>
      </c>
      <c r="CO159" s="142">
        <v>0</v>
      </c>
    </row>
    <row r="160" spans="1:93" ht="16.5" customHeight="1">
      <c r="A160" s="222"/>
      <c r="B160" s="220" t="s">
        <v>483</v>
      </c>
      <c r="C160" s="220"/>
      <c r="D160" s="220"/>
      <c r="E160" s="136" t="s">
        <v>484</v>
      </c>
      <c r="F160" s="136" t="s">
        <v>209</v>
      </c>
      <c r="G160" s="139">
        <v>2025</v>
      </c>
      <c r="H160" s="136" t="s">
        <v>210</v>
      </c>
      <c r="I160" s="221"/>
      <c r="J160" s="221"/>
      <c r="K160" s="140"/>
      <c r="L160" s="141"/>
      <c r="M160" s="141"/>
      <c r="N160" s="141"/>
      <c r="O160" s="141"/>
      <c r="P160" s="141"/>
      <c r="Q160" s="141"/>
      <c r="R160" s="142"/>
      <c r="S160" s="142"/>
      <c r="T160" s="142"/>
      <c r="U160" s="142"/>
      <c r="V160" s="179"/>
      <c r="W160" s="142"/>
      <c r="X160" s="141"/>
      <c r="Y160" s="140"/>
      <c r="Z160" s="141"/>
      <c r="AA160" s="141"/>
      <c r="AB160" s="141"/>
      <c r="AC160" s="141"/>
      <c r="AD160" s="141"/>
      <c r="AE160" s="141"/>
      <c r="AF160" s="142"/>
      <c r="AG160" s="142"/>
      <c r="AH160" s="142"/>
      <c r="AI160" s="142"/>
      <c r="AJ160" s="179"/>
      <c r="AK160" s="142"/>
      <c r="AL160" s="141">
        <v>1</v>
      </c>
      <c r="AM160" s="140">
        <v>0</v>
      </c>
      <c r="AN160" s="141">
        <v>0</v>
      </c>
      <c r="AO160" s="141">
        <v>0</v>
      </c>
      <c r="AP160" s="141">
        <v>0</v>
      </c>
      <c r="AQ160" s="141">
        <v>0</v>
      </c>
      <c r="AR160" s="141">
        <v>0</v>
      </c>
      <c r="AS160" s="141">
        <v>0</v>
      </c>
      <c r="AT160" s="142">
        <v>1.7000000000000001E-2</v>
      </c>
      <c r="AU160" s="142">
        <v>3.0000000000000001E-3</v>
      </c>
      <c r="AV160" s="142">
        <v>13.119</v>
      </c>
      <c r="AW160" s="142">
        <v>2.3620000000000001</v>
      </c>
      <c r="AX160" s="179">
        <v>15.481</v>
      </c>
      <c r="AY160" s="142">
        <v>0.02</v>
      </c>
      <c r="AZ160" s="141">
        <v>5</v>
      </c>
      <c r="BA160" s="140">
        <v>0.41699999999999998</v>
      </c>
      <c r="BB160" s="141">
        <v>5</v>
      </c>
      <c r="BC160" s="141">
        <v>25</v>
      </c>
      <c r="BD160" s="141">
        <v>25</v>
      </c>
      <c r="BE160" s="141">
        <v>25</v>
      </c>
      <c r="BF160" s="141">
        <v>0</v>
      </c>
      <c r="BG160" s="141">
        <v>0</v>
      </c>
      <c r="BH160" s="142">
        <v>0.1</v>
      </c>
      <c r="BI160" s="142">
        <v>1.7999999999999999E-2</v>
      </c>
      <c r="BJ160" s="142">
        <v>77.840999999999994</v>
      </c>
      <c r="BK160" s="142">
        <v>14.01</v>
      </c>
      <c r="BL160" s="179">
        <v>91.850999999999999</v>
      </c>
      <c r="BM160" s="142">
        <v>0.11799999999999999</v>
      </c>
      <c r="BN160" s="141">
        <v>120</v>
      </c>
      <c r="BO160" s="140">
        <v>0</v>
      </c>
      <c r="BP160" s="141">
        <v>0</v>
      </c>
      <c r="BQ160" s="141">
        <v>0</v>
      </c>
      <c r="BR160" s="141">
        <v>0</v>
      </c>
      <c r="BS160" s="141">
        <v>0</v>
      </c>
      <c r="BT160" s="141">
        <v>0</v>
      </c>
      <c r="BU160" s="141">
        <v>0</v>
      </c>
      <c r="BV160" s="142">
        <v>0</v>
      </c>
      <c r="BW160" s="142">
        <v>0</v>
      </c>
      <c r="BX160" s="142">
        <v>0</v>
      </c>
      <c r="BY160" s="142">
        <v>0</v>
      </c>
      <c r="BZ160" s="142">
        <v>0</v>
      </c>
      <c r="CA160" s="142">
        <v>0</v>
      </c>
      <c r="CB160" s="141"/>
      <c r="CC160" s="140"/>
      <c r="CD160" s="141"/>
      <c r="CE160" s="141"/>
      <c r="CF160" s="141"/>
      <c r="CG160" s="141"/>
      <c r="CH160" s="141"/>
      <c r="CI160" s="141"/>
      <c r="CJ160" s="142"/>
      <c r="CK160" s="142"/>
      <c r="CL160" s="142"/>
      <c r="CM160" s="142"/>
      <c r="CN160" s="179"/>
      <c r="CO160" s="142"/>
    </row>
    <row r="161" spans="1:93" ht="16.5" customHeight="1">
      <c r="A161" s="222"/>
      <c r="B161" s="220" t="s">
        <v>485</v>
      </c>
      <c r="C161" s="220"/>
      <c r="D161" s="220"/>
      <c r="E161" s="136" t="s">
        <v>486</v>
      </c>
      <c r="F161" s="136" t="s">
        <v>209</v>
      </c>
      <c r="G161" s="139">
        <v>2025</v>
      </c>
      <c r="H161" s="136" t="s">
        <v>210</v>
      </c>
      <c r="I161" s="221"/>
      <c r="J161" s="221"/>
      <c r="K161" s="140"/>
      <c r="L161" s="141"/>
      <c r="M161" s="141"/>
      <c r="N161" s="141"/>
      <c r="O161" s="141"/>
      <c r="P161" s="141"/>
      <c r="Q161" s="141"/>
      <c r="R161" s="142"/>
      <c r="S161" s="142"/>
      <c r="T161" s="142"/>
      <c r="U161" s="142"/>
      <c r="V161" s="179"/>
      <c r="W161" s="142"/>
      <c r="X161" s="141">
        <v>170453</v>
      </c>
      <c r="Y161" s="140">
        <v>3312200.4670000002</v>
      </c>
      <c r="Z161" s="141">
        <v>0</v>
      </c>
      <c r="AA161" s="141">
        <v>198732028</v>
      </c>
      <c r="AB161" s="141">
        <v>349567</v>
      </c>
      <c r="AC161" s="141">
        <v>353442</v>
      </c>
      <c r="AD161" s="141">
        <v>78165</v>
      </c>
      <c r="AE161" s="141">
        <v>271402</v>
      </c>
      <c r="AF161" s="142">
        <v>2.3220000000000001</v>
      </c>
      <c r="AG161" s="142">
        <v>0.41799999999999998</v>
      </c>
      <c r="AH161" s="142">
        <v>1811.2760000000001</v>
      </c>
      <c r="AI161" s="142">
        <v>326.08300000000003</v>
      </c>
      <c r="AJ161" s="179">
        <v>2137.36</v>
      </c>
      <c r="AK161" s="142">
        <v>2.74</v>
      </c>
      <c r="AL161" s="141">
        <v>84</v>
      </c>
      <c r="AM161" s="140">
        <v>0</v>
      </c>
      <c r="AN161" s="141">
        <v>0</v>
      </c>
      <c r="AO161" s="141">
        <v>0</v>
      </c>
      <c r="AP161" s="141">
        <v>0</v>
      </c>
      <c r="AQ161" s="141">
        <v>0</v>
      </c>
      <c r="AR161" s="141">
        <v>0</v>
      </c>
      <c r="AS161" s="141">
        <v>0</v>
      </c>
      <c r="AT161" s="142">
        <v>2.8260000000000001</v>
      </c>
      <c r="AU161" s="142">
        <v>0.50900000000000001</v>
      </c>
      <c r="AV161" s="142">
        <v>2204.0050000000001</v>
      </c>
      <c r="AW161" s="142">
        <v>396.72</v>
      </c>
      <c r="AX161" s="179">
        <v>2600.7240000000002</v>
      </c>
      <c r="AY161" s="142">
        <v>3.3340000000000001</v>
      </c>
      <c r="AZ161" s="141">
        <v>23</v>
      </c>
      <c r="BA161" s="140">
        <v>28</v>
      </c>
      <c r="BB161" s="141">
        <v>44</v>
      </c>
      <c r="BC161" s="141">
        <v>1680</v>
      </c>
      <c r="BD161" s="141">
        <v>1680</v>
      </c>
      <c r="BE161" s="141">
        <v>1680</v>
      </c>
      <c r="BF161" s="141">
        <v>0</v>
      </c>
      <c r="BG161" s="141">
        <v>0</v>
      </c>
      <c r="BH161" s="142">
        <v>2.3660000000000001</v>
      </c>
      <c r="BI161" s="142">
        <v>0.42599999999999999</v>
      </c>
      <c r="BJ161" s="142">
        <v>1845.4280000000001</v>
      </c>
      <c r="BK161" s="142">
        <v>332.17500000000001</v>
      </c>
      <c r="BL161" s="179">
        <v>2177.6039999999998</v>
      </c>
      <c r="BM161" s="142">
        <v>2.7919999999999998</v>
      </c>
      <c r="BN161" s="141">
        <v>4725</v>
      </c>
      <c r="BO161" s="140">
        <v>0</v>
      </c>
      <c r="BP161" s="141">
        <v>0</v>
      </c>
      <c r="BQ161" s="141">
        <v>0</v>
      </c>
      <c r="BR161" s="141">
        <v>0</v>
      </c>
      <c r="BS161" s="141">
        <v>0</v>
      </c>
      <c r="BT161" s="141">
        <v>0</v>
      </c>
      <c r="BU161" s="141">
        <v>0</v>
      </c>
      <c r="BV161" s="142">
        <v>0</v>
      </c>
      <c r="BW161" s="142">
        <v>0</v>
      </c>
      <c r="BX161" s="142">
        <v>0</v>
      </c>
      <c r="BY161" s="142">
        <v>0</v>
      </c>
      <c r="BZ161" s="142">
        <v>0</v>
      </c>
      <c r="CA161" s="142">
        <v>0</v>
      </c>
      <c r="CB161" s="141">
        <v>43</v>
      </c>
      <c r="CC161" s="140">
        <v>19.3</v>
      </c>
      <c r="CD161" s="141">
        <v>50</v>
      </c>
      <c r="CE161" s="141">
        <v>1158</v>
      </c>
      <c r="CF161" s="141">
        <v>1158</v>
      </c>
      <c r="CG161" s="141">
        <v>1158</v>
      </c>
      <c r="CH161" s="141">
        <v>0</v>
      </c>
      <c r="CI161" s="141">
        <v>0</v>
      </c>
      <c r="CJ161" s="142">
        <v>0</v>
      </c>
      <c r="CK161" s="142">
        <v>0</v>
      </c>
      <c r="CL161" s="142">
        <v>0</v>
      </c>
      <c r="CM161" s="142">
        <v>0</v>
      </c>
      <c r="CN161" s="179">
        <v>0</v>
      </c>
      <c r="CO161" s="142">
        <v>0</v>
      </c>
    </row>
    <row r="162" spans="1:93" ht="16.5" customHeight="1">
      <c r="A162" s="222"/>
      <c r="B162" s="220" t="s">
        <v>487</v>
      </c>
      <c r="C162" s="220"/>
      <c r="D162" s="220"/>
      <c r="E162" s="136" t="s">
        <v>488</v>
      </c>
      <c r="F162" s="136" t="s">
        <v>209</v>
      </c>
      <c r="G162" s="139">
        <v>2025</v>
      </c>
      <c r="H162" s="136" t="s">
        <v>210</v>
      </c>
      <c r="I162" s="221"/>
      <c r="J162" s="221"/>
      <c r="K162" s="140"/>
      <c r="L162" s="141"/>
      <c r="M162" s="141"/>
      <c r="N162" s="141"/>
      <c r="O162" s="141"/>
      <c r="P162" s="141"/>
      <c r="Q162" s="141"/>
      <c r="R162" s="142"/>
      <c r="S162" s="142"/>
      <c r="T162" s="142"/>
      <c r="U162" s="142"/>
      <c r="V162" s="179"/>
      <c r="W162" s="142"/>
      <c r="X162" s="141">
        <v>1</v>
      </c>
      <c r="Y162" s="140">
        <v>49.067</v>
      </c>
      <c r="Z162" s="141">
        <v>0</v>
      </c>
      <c r="AA162" s="141">
        <v>2944</v>
      </c>
      <c r="AB162" s="141">
        <v>0</v>
      </c>
      <c r="AC162" s="141">
        <v>0</v>
      </c>
      <c r="AD162" s="141">
        <v>0</v>
      </c>
      <c r="AE162" s="141">
        <v>0</v>
      </c>
      <c r="AF162" s="142">
        <v>0</v>
      </c>
      <c r="AG162" s="142">
        <v>0</v>
      </c>
      <c r="AH162" s="142">
        <v>0</v>
      </c>
      <c r="AI162" s="142">
        <v>0</v>
      </c>
      <c r="AJ162" s="179">
        <v>0</v>
      </c>
      <c r="AK162" s="142">
        <v>0</v>
      </c>
      <c r="AL162" s="141"/>
      <c r="AM162" s="140"/>
      <c r="AN162" s="141"/>
      <c r="AO162" s="141"/>
      <c r="AP162" s="141"/>
      <c r="AQ162" s="141"/>
      <c r="AR162" s="141"/>
      <c r="AS162" s="141"/>
      <c r="AT162" s="142"/>
      <c r="AU162" s="142"/>
      <c r="AV162" s="142"/>
      <c r="AW162" s="142"/>
      <c r="AX162" s="179"/>
      <c r="AY162" s="142"/>
      <c r="AZ162" s="141"/>
      <c r="BA162" s="140"/>
      <c r="BB162" s="141"/>
      <c r="BC162" s="141"/>
      <c r="BD162" s="141"/>
      <c r="BE162" s="141"/>
      <c r="BF162" s="141"/>
      <c r="BG162" s="141"/>
      <c r="BH162" s="142"/>
      <c r="BI162" s="142"/>
      <c r="BJ162" s="142"/>
      <c r="BK162" s="142"/>
      <c r="BL162" s="179"/>
      <c r="BM162" s="142"/>
      <c r="BN162" s="141">
        <v>48</v>
      </c>
      <c r="BO162" s="140">
        <v>0</v>
      </c>
      <c r="BP162" s="141">
        <v>0</v>
      </c>
      <c r="BQ162" s="141">
        <v>0</v>
      </c>
      <c r="BR162" s="141">
        <v>0</v>
      </c>
      <c r="BS162" s="141">
        <v>0</v>
      </c>
      <c r="BT162" s="141">
        <v>0</v>
      </c>
      <c r="BU162" s="141">
        <v>0</v>
      </c>
      <c r="BV162" s="142">
        <v>0</v>
      </c>
      <c r="BW162" s="142">
        <v>0</v>
      </c>
      <c r="BX162" s="142">
        <v>0</v>
      </c>
      <c r="BY162" s="142">
        <v>0</v>
      </c>
      <c r="BZ162" s="142">
        <v>0</v>
      </c>
      <c r="CA162" s="142">
        <v>0</v>
      </c>
      <c r="CB162" s="141">
        <v>2</v>
      </c>
      <c r="CC162" s="140">
        <v>1.367</v>
      </c>
      <c r="CD162" s="141">
        <v>3</v>
      </c>
      <c r="CE162" s="141">
        <v>82</v>
      </c>
      <c r="CF162" s="141">
        <v>82</v>
      </c>
      <c r="CG162" s="141">
        <v>82</v>
      </c>
      <c r="CH162" s="141">
        <v>0</v>
      </c>
      <c r="CI162" s="141">
        <v>0</v>
      </c>
      <c r="CJ162" s="142">
        <v>0</v>
      </c>
      <c r="CK162" s="142">
        <v>0</v>
      </c>
      <c r="CL162" s="142">
        <v>0</v>
      </c>
      <c r="CM162" s="142">
        <v>0</v>
      </c>
      <c r="CN162" s="179">
        <v>0</v>
      </c>
      <c r="CO162" s="142">
        <v>0</v>
      </c>
    </row>
    <row r="163" spans="1:93" ht="16.5" customHeight="1">
      <c r="A163" s="222"/>
      <c r="B163" s="220" t="s">
        <v>489</v>
      </c>
      <c r="C163" s="220"/>
      <c r="D163" s="220"/>
      <c r="E163" s="136" t="s">
        <v>490</v>
      </c>
      <c r="F163" s="136" t="s">
        <v>209</v>
      </c>
      <c r="G163" s="139">
        <v>2025</v>
      </c>
      <c r="H163" s="136" t="s">
        <v>210</v>
      </c>
      <c r="I163" s="221"/>
      <c r="J163" s="221"/>
      <c r="K163" s="140"/>
      <c r="L163" s="141"/>
      <c r="M163" s="141"/>
      <c r="N163" s="141"/>
      <c r="O163" s="141"/>
      <c r="P163" s="141"/>
      <c r="Q163" s="141"/>
      <c r="R163" s="142"/>
      <c r="S163" s="142"/>
      <c r="T163" s="142"/>
      <c r="U163" s="142"/>
      <c r="V163" s="179"/>
      <c r="W163" s="142"/>
      <c r="X163" s="141"/>
      <c r="Y163" s="140"/>
      <c r="Z163" s="141"/>
      <c r="AA163" s="141"/>
      <c r="AB163" s="141"/>
      <c r="AC163" s="141"/>
      <c r="AD163" s="141"/>
      <c r="AE163" s="141"/>
      <c r="AF163" s="142"/>
      <c r="AG163" s="142"/>
      <c r="AH163" s="142"/>
      <c r="AI163" s="142"/>
      <c r="AJ163" s="179"/>
      <c r="AK163" s="142"/>
      <c r="AL163" s="141"/>
      <c r="AM163" s="140"/>
      <c r="AN163" s="141"/>
      <c r="AO163" s="141"/>
      <c r="AP163" s="141"/>
      <c r="AQ163" s="141"/>
      <c r="AR163" s="141"/>
      <c r="AS163" s="141"/>
      <c r="AT163" s="142"/>
      <c r="AU163" s="142"/>
      <c r="AV163" s="142"/>
      <c r="AW163" s="142"/>
      <c r="AX163" s="179"/>
      <c r="AY163" s="142"/>
      <c r="AZ163" s="141"/>
      <c r="BA163" s="140"/>
      <c r="BB163" s="141"/>
      <c r="BC163" s="141"/>
      <c r="BD163" s="141"/>
      <c r="BE163" s="141"/>
      <c r="BF163" s="141"/>
      <c r="BG163" s="141"/>
      <c r="BH163" s="142"/>
      <c r="BI163" s="142"/>
      <c r="BJ163" s="142"/>
      <c r="BK163" s="142"/>
      <c r="BL163" s="179"/>
      <c r="BM163" s="142"/>
      <c r="BN163" s="141">
        <v>5</v>
      </c>
      <c r="BO163" s="140">
        <v>0</v>
      </c>
      <c r="BP163" s="141">
        <v>0</v>
      </c>
      <c r="BQ163" s="141">
        <v>0</v>
      </c>
      <c r="BR163" s="141">
        <v>0</v>
      </c>
      <c r="BS163" s="141">
        <v>0</v>
      </c>
      <c r="BT163" s="141">
        <v>0</v>
      </c>
      <c r="BU163" s="141">
        <v>0</v>
      </c>
      <c r="BV163" s="142">
        <v>0</v>
      </c>
      <c r="BW163" s="142">
        <v>0</v>
      </c>
      <c r="BX163" s="142">
        <v>0</v>
      </c>
      <c r="BY163" s="142">
        <v>0</v>
      </c>
      <c r="BZ163" s="142">
        <v>0</v>
      </c>
      <c r="CA163" s="142">
        <v>0</v>
      </c>
      <c r="CB163" s="141"/>
      <c r="CC163" s="140"/>
      <c r="CD163" s="141"/>
      <c r="CE163" s="141"/>
      <c r="CF163" s="141"/>
      <c r="CG163" s="141"/>
      <c r="CH163" s="141"/>
      <c r="CI163" s="141"/>
      <c r="CJ163" s="142"/>
      <c r="CK163" s="142"/>
      <c r="CL163" s="142"/>
      <c r="CM163" s="142"/>
      <c r="CN163" s="179"/>
      <c r="CO163" s="142"/>
    </row>
    <row r="164" spans="1:93" ht="16.5" customHeight="1">
      <c r="A164" s="222"/>
      <c r="B164" s="220" t="s">
        <v>491</v>
      </c>
      <c r="C164" s="220"/>
      <c r="D164" s="220"/>
      <c r="E164" s="136" t="s">
        <v>492</v>
      </c>
      <c r="F164" s="136" t="s">
        <v>209</v>
      </c>
      <c r="G164" s="139">
        <v>2025</v>
      </c>
      <c r="H164" s="136" t="s">
        <v>210</v>
      </c>
      <c r="I164" s="221"/>
      <c r="J164" s="221"/>
      <c r="K164" s="140"/>
      <c r="L164" s="141"/>
      <c r="M164" s="141"/>
      <c r="N164" s="141"/>
      <c r="O164" s="141"/>
      <c r="P164" s="141"/>
      <c r="Q164" s="141"/>
      <c r="R164" s="142"/>
      <c r="S164" s="142"/>
      <c r="T164" s="142"/>
      <c r="U164" s="142"/>
      <c r="V164" s="179"/>
      <c r="W164" s="142"/>
      <c r="X164" s="141">
        <v>2</v>
      </c>
      <c r="Y164" s="140">
        <v>0.36699999999999999</v>
      </c>
      <c r="Z164" s="141">
        <v>0</v>
      </c>
      <c r="AA164" s="141">
        <v>22</v>
      </c>
      <c r="AB164" s="141">
        <v>1810</v>
      </c>
      <c r="AC164" s="141">
        <v>1811</v>
      </c>
      <c r="AD164" s="141">
        <v>1733</v>
      </c>
      <c r="AE164" s="141">
        <v>77</v>
      </c>
      <c r="AF164" s="142">
        <v>1E-3</v>
      </c>
      <c r="AG164" s="142">
        <v>0</v>
      </c>
      <c r="AH164" s="142">
        <v>1.1599999999999999</v>
      </c>
      <c r="AI164" s="142">
        <v>0.20899999999999999</v>
      </c>
      <c r="AJ164" s="179">
        <v>1.369</v>
      </c>
      <c r="AK164" s="142">
        <v>2E-3</v>
      </c>
      <c r="AL164" s="141">
        <v>1</v>
      </c>
      <c r="AM164" s="140">
        <v>0</v>
      </c>
      <c r="AN164" s="141">
        <v>0</v>
      </c>
      <c r="AO164" s="141">
        <v>0</v>
      </c>
      <c r="AP164" s="141">
        <v>0</v>
      </c>
      <c r="AQ164" s="141">
        <v>0</v>
      </c>
      <c r="AR164" s="141">
        <v>0</v>
      </c>
      <c r="AS164" s="141">
        <v>0</v>
      </c>
      <c r="AT164" s="142">
        <v>3.4000000000000002E-2</v>
      </c>
      <c r="AU164" s="142">
        <v>6.0000000000000001E-3</v>
      </c>
      <c r="AV164" s="142">
        <v>26.238</v>
      </c>
      <c r="AW164" s="142">
        <v>4.7229999999999999</v>
      </c>
      <c r="AX164" s="179">
        <v>30.960999999999999</v>
      </c>
      <c r="AY164" s="142">
        <v>0.04</v>
      </c>
      <c r="AZ164" s="141"/>
      <c r="BA164" s="140"/>
      <c r="BB164" s="141"/>
      <c r="BC164" s="141"/>
      <c r="BD164" s="141"/>
      <c r="BE164" s="141"/>
      <c r="BF164" s="141"/>
      <c r="BG164" s="141"/>
      <c r="BH164" s="142"/>
      <c r="BI164" s="142"/>
      <c r="BJ164" s="142"/>
      <c r="BK164" s="142"/>
      <c r="BL164" s="179"/>
      <c r="BM164" s="142"/>
      <c r="BN164" s="141">
        <v>624</v>
      </c>
      <c r="BO164" s="140">
        <v>0</v>
      </c>
      <c r="BP164" s="141">
        <v>0</v>
      </c>
      <c r="BQ164" s="141">
        <v>0</v>
      </c>
      <c r="BR164" s="141">
        <v>0</v>
      </c>
      <c r="BS164" s="141">
        <v>0</v>
      </c>
      <c r="BT164" s="141">
        <v>0</v>
      </c>
      <c r="BU164" s="141">
        <v>0</v>
      </c>
      <c r="BV164" s="142">
        <v>0</v>
      </c>
      <c r="BW164" s="142">
        <v>0</v>
      </c>
      <c r="BX164" s="142">
        <v>0</v>
      </c>
      <c r="BY164" s="142">
        <v>0</v>
      </c>
      <c r="BZ164" s="142">
        <v>0</v>
      </c>
      <c r="CA164" s="142">
        <v>0</v>
      </c>
      <c r="CB164" s="141"/>
      <c r="CC164" s="140"/>
      <c r="CD164" s="141"/>
      <c r="CE164" s="141"/>
      <c r="CF164" s="141"/>
      <c r="CG164" s="141"/>
      <c r="CH164" s="141"/>
      <c r="CI164" s="141"/>
      <c r="CJ164" s="142"/>
      <c r="CK164" s="142"/>
      <c r="CL164" s="142"/>
      <c r="CM164" s="142"/>
      <c r="CN164" s="179"/>
      <c r="CO164" s="142"/>
    </row>
    <row r="165" spans="1:93" ht="16.5" customHeight="1">
      <c r="A165" s="222"/>
      <c r="B165" s="220" t="s">
        <v>493</v>
      </c>
      <c r="C165" s="220"/>
      <c r="D165" s="220"/>
      <c r="E165" s="136" t="s">
        <v>494</v>
      </c>
      <c r="F165" s="136" t="s">
        <v>209</v>
      </c>
      <c r="G165" s="139">
        <v>2025</v>
      </c>
      <c r="H165" s="136" t="s">
        <v>210</v>
      </c>
      <c r="I165" s="221"/>
      <c r="J165" s="221"/>
      <c r="K165" s="140"/>
      <c r="L165" s="141"/>
      <c r="M165" s="141"/>
      <c r="N165" s="141"/>
      <c r="O165" s="141"/>
      <c r="P165" s="141"/>
      <c r="Q165" s="141"/>
      <c r="R165" s="142"/>
      <c r="S165" s="142"/>
      <c r="T165" s="142"/>
      <c r="U165" s="142"/>
      <c r="V165" s="179"/>
      <c r="W165" s="142"/>
      <c r="X165" s="141"/>
      <c r="Y165" s="140"/>
      <c r="Z165" s="141"/>
      <c r="AA165" s="141"/>
      <c r="AB165" s="141"/>
      <c r="AC165" s="141"/>
      <c r="AD165" s="141"/>
      <c r="AE165" s="141"/>
      <c r="AF165" s="142"/>
      <c r="AG165" s="142"/>
      <c r="AH165" s="142"/>
      <c r="AI165" s="142"/>
      <c r="AJ165" s="179"/>
      <c r="AK165" s="142"/>
      <c r="AL165" s="141"/>
      <c r="AM165" s="140"/>
      <c r="AN165" s="141"/>
      <c r="AO165" s="141"/>
      <c r="AP165" s="141"/>
      <c r="AQ165" s="141"/>
      <c r="AR165" s="141"/>
      <c r="AS165" s="141"/>
      <c r="AT165" s="142"/>
      <c r="AU165" s="142"/>
      <c r="AV165" s="142"/>
      <c r="AW165" s="142"/>
      <c r="AX165" s="179"/>
      <c r="AY165" s="142"/>
      <c r="AZ165" s="141"/>
      <c r="BA165" s="140"/>
      <c r="BB165" s="141"/>
      <c r="BC165" s="141"/>
      <c r="BD165" s="141"/>
      <c r="BE165" s="141"/>
      <c r="BF165" s="141"/>
      <c r="BG165" s="141"/>
      <c r="BH165" s="142"/>
      <c r="BI165" s="142"/>
      <c r="BJ165" s="142"/>
      <c r="BK165" s="142"/>
      <c r="BL165" s="179"/>
      <c r="BM165" s="142"/>
      <c r="BN165" s="141">
        <v>36</v>
      </c>
      <c r="BO165" s="140">
        <v>0</v>
      </c>
      <c r="BP165" s="141">
        <v>0</v>
      </c>
      <c r="BQ165" s="141">
        <v>0</v>
      </c>
      <c r="BR165" s="141">
        <v>0</v>
      </c>
      <c r="BS165" s="141">
        <v>0</v>
      </c>
      <c r="BT165" s="141">
        <v>0</v>
      </c>
      <c r="BU165" s="141">
        <v>0</v>
      </c>
      <c r="BV165" s="142">
        <v>0</v>
      </c>
      <c r="BW165" s="142">
        <v>0</v>
      </c>
      <c r="BX165" s="142">
        <v>0</v>
      </c>
      <c r="BY165" s="142">
        <v>0</v>
      </c>
      <c r="BZ165" s="142">
        <v>0</v>
      </c>
      <c r="CA165" s="142">
        <v>0</v>
      </c>
      <c r="CB165" s="141"/>
      <c r="CC165" s="140"/>
      <c r="CD165" s="141"/>
      <c r="CE165" s="141"/>
      <c r="CF165" s="141"/>
      <c r="CG165" s="141"/>
      <c r="CH165" s="141"/>
      <c r="CI165" s="141"/>
      <c r="CJ165" s="142"/>
      <c r="CK165" s="142"/>
      <c r="CL165" s="142"/>
      <c r="CM165" s="142"/>
      <c r="CN165" s="179"/>
      <c r="CO165" s="142"/>
    </row>
    <row r="166" spans="1:93" ht="16.5" customHeight="1">
      <c r="A166" s="222"/>
      <c r="B166" s="220" t="s">
        <v>495</v>
      </c>
      <c r="C166" s="220"/>
      <c r="D166" s="220"/>
      <c r="E166" s="136" t="s">
        <v>496</v>
      </c>
      <c r="F166" s="136" t="s">
        <v>209</v>
      </c>
      <c r="G166" s="139">
        <v>2025</v>
      </c>
      <c r="H166" s="136" t="s">
        <v>210</v>
      </c>
      <c r="I166" s="221"/>
      <c r="J166" s="221"/>
      <c r="K166" s="140"/>
      <c r="L166" s="141"/>
      <c r="M166" s="141"/>
      <c r="N166" s="141"/>
      <c r="O166" s="141"/>
      <c r="P166" s="141"/>
      <c r="Q166" s="141"/>
      <c r="R166" s="142"/>
      <c r="S166" s="142"/>
      <c r="T166" s="142"/>
      <c r="U166" s="142"/>
      <c r="V166" s="179"/>
      <c r="W166" s="142"/>
      <c r="X166" s="141">
        <v>1890</v>
      </c>
      <c r="Y166" s="140">
        <v>34219.682999999997</v>
      </c>
      <c r="Z166" s="141">
        <v>0</v>
      </c>
      <c r="AA166" s="141">
        <v>2053181</v>
      </c>
      <c r="AB166" s="141">
        <v>73450</v>
      </c>
      <c r="AC166" s="141">
        <v>73536</v>
      </c>
      <c r="AD166" s="141">
        <v>40006</v>
      </c>
      <c r="AE166" s="141">
        <v>33444</v>
      </c>
      <c r="AF166" s="142">
        <v>0.48299999999999998</v>
      </c>
      <c r="AG166" s="142">
        <v>8.6999999999999994E-2</v>
      </c>
      <c r="AH166" s="142">
        <v>376.85599999999999</v>
      </c>
      <c r="AI166" s="142">
        <v>67.825999999999993</v>
      </c>
      <c r="AJ166" s="179">
        <v>444.68200000000002</v>
      </c>
      <c r="AK166" s="142">
        <v>0.56999999999999995</v>
      </c>
      <c r="AL166" s="141"/>
      <c r="AM166" s="140"/>
      <c r="AN166" s="141"/>
      <c r="AO166" s="141"/>
      <c r="AP166" s="141"/>
      <c r="AQ166" s="141"/>
      <c r="AR166" s="141"/>
      <c r="AS166" s="141"/>
      <c r="AT166" s="142"/>
      <c r="AU166" s="142"/>
      <c r="AV166" s="142"/>
      <c r="AW166" s="142"/>
      <c r="AX166" s="179"/>
      <c r="AY166" s="142"/>
      <c r="AZ166" s="141">
        <v>3</v>
      </c>
      <c r="BA166" s="140">
        <v>22.4</v>
      </c>
      <c r="BB166" s="141">
        <v>24</v>
      </c>
      <c r="BC166" s="141">
        <v>1344</v>
      </c>
      <c r="BD166" s="141">
        <v>1344</v>
      </c>
      <c r="BE166" s="141">
        <v>1344</v>
      </c>
      <c r="BF166" s="141">
        <v>0</v>
      </c>
      <c r="BG166" s="141">
        <v>0</v>
      </c>
      <c r="BH166" s="142">
        <v>1.8839999999999999</v>
      </c>
      <c r="BI166" s="142">
        <v>0.33900000000000002</v>
      </c>
      <c r="BJ166" s="142">
        <v>1469.3440000000001</v>
      </c>
      <c r="BK166" s="142">
        <v>264.48099999999999</v>
      </c>
      <c r="BL166" s="179">
        <v>1733.825</v>
      </c>
      <c r="BM166" s="142">
        <v>2.2229999999999999</v>
      </c>
      <c r="BN166" s="141">
        <v>131</v>
      </c>
      <c r="BO166" s="140">
        <v>0</v>
      </c>
      <c r="BP166" s="141">
        <v>0</v>
      </c>
      <c r="BQ166" s="141">
        <v>0</v>
      </c>
      <c r="BR166" s="141">
        <v>0</v>
      </c>
      <c r="BS166" s="141">
        <v>0</v>
      </c>
      <c r="BT166" s="141">
        <v>0</v>
      </c>
      <c r="BU166" s="141">
        <v>0</v>
      </c>
      <c r="BV166" s="142">
        <v>0</v>
      </c>
      <c r="BW166" s="142">
        <v>0</v>
      </c>
      <c r="BX166" s="142">
        <v>0</v>
      </c>
      <c r="BY166" s="142">
        <v>0</v>
      </c>
      <c r="BZ166" s="142">
        <v>0</v>
      </c>
      <c r="CA166" s="142">
        <v>0</v>
      </c>
      <c r="CB166" s="141">
        <v>2</v>
      </c>
      <c r="CC166" s="140">
        <v>5.0830000000000002</v>
      </c>
      <c r="CD166" s="141">
        <v>6</v>
      </c>
      <c r="CE166" s="141">
        <v>305</v>
      </c>
      <c r="CF166" s="141">
        <v>305</v>
      </c>
      <c r="CG166" s="141">
        <v>305</v>
      </c>
      <c r="CH166" s="141">
        <v>0</v>
      </c>
      <c r="CI166" s="141">
        <v>0</v>
      </c>
      <c r="CJ166" s="142">
        <v>0</v>
      </c>
      <c r="CK166" s="142">
        <v>0</v>
      </c>
      <c r="CL166" s="142">
        <v>0</v>
      </c>
      <c r="CM166" s="142">
        <v>0</v>
      </c>
      <c r="CN166" s="179">
        <v>0</v>
      </c>
      <c r="CO166" s="142">
        <v>0</v>
      </c>
    </row>
    <row r="167" spans="1:93" ht="16.5" customHeight="1">
      <c r="A167" s="222"/>
      <c r="B167" s="220" t="s">
        <v>497</v>
      </c>
      <c r="C167" s="220"/>
      <c r="D167" s="220"/>
      <c r="E167" s="136" t="s">
        <v>498</v>
      </c>
      <c r="F167" s="136" t="s">
        <v>209</v>
      </c>
      <c r="G167" s="139">
        <v>2025</v>
      </c>
      <c r="H167" s="136" t="s">
        <v>210</v>
      </c>
      <c r="I167" s="221"/>
      <c r="J167" s="221"/>
      <c r="K167" s="140"/>
      <c r="L167" s="141"/>
      <c r="M167" s="141"/>
      <c r="N167" s="141"/>
      <c r="O167" s="141"/>
      <c r="P167" s="141"/>
      <c r="Q167" s="141"/>
      <c r="R167" s="142"/>
      <c r="S167" s="142"/>
      <c r="T167" s="142"/>
      <c r="U167" s="142"/>
      <c r="V167" s="179"/>
      <c r="W167" s="142"/>
      <c r="X167" s="141"/>
      <c r="Y167" s="140"/>
      <c r="Z167" s="141"/>
      <c r="AA167" s="141"/>
      <c r="AB167" s="141"/>
      <c r="AC167" s="141"/>
      <c r="AD167" s="141"/>
      <c r="AE167" s="141"/>
      <c r="AF167" s="142"/>
      <c r="AG167" s="142"/>
      <c r="AH167" s="142"/>
      <c r="AI167" s="142"/>
      <c r="AJ167" s="179"/>
      <c r="AK167" s="142"/>
      <c r="AL167" s="141"/>
      <c r="AM167" s="140"/>
      <c r="AN167" s="141"/>
      <c r="AO167" s="141"/>
      <c r="AP167" s="141"/>
      <c r="AQ167" s="141"/>
      <c r="AR167" s="141"/>
      <c r="AS167" s="141"/>
      <c r="AT167" s="142"/>
      <c r="AU167" s="142"/>
      <c r="AV167" s="142"/>
      <c r="AW167" s="142"/>
      <c r="AX167" s="179"/>
      <c r="AY167" s="142"/>
      <c r="AZ167" s="141"/>
      <c r="BA167" s="140"/>
      <c r="BB167" s="141"/>
      <c r="BC167" s="141"/>
      <c r="BD167" s="141"/>
      <c r="BE167" s="141"/>
      <c r="BF167" s="141"/>
      <c r="BG167" s="141"/>
      <c r="BH167" s="142"/>
      <c r="BI167" s="142"/>
      <c r="BJ167" s="142"/>
      <c r="BK167" s="142"/>
      <c r="BL167" s="179"/>
      <c r="BM167" s="142"/>
      <c r="BN167" s="141">
        <v>5</v>
      </c>
      <c r="BO167" s="140">
        <v>0</v>
      </c>
      <c r="BP167" s="141">
        <v>0</v>
      </c>
      <c r="BQ167" s="141">
        <v>0</v>
      </c>
      <c r="BR167" s="141">
        <v>0</v>
      </c>
      <c r="BS167" s="141">
        <v>0</v>
      </c>
      <c r="BT167" s="141">
        <v>0</v>
      </c>
      <c r="BU167" s="141">
        <v>0</v>
      </c>
      <c r="BV167" s="142">
        <v>0</v>
      </c>
      <c r="BW167" s="142">
        <v>0</v>
      </c>
      <c r="BX167" s="142">
        <v>0</v>
      </c>
      <c r="BY167" s="142">
        <v>0</v>
      </c>
      <c r="BZ167" s="142">
        <v>0</v>
      </c>
      <c r="CA167" s="142">
        <v>0</v>
      </c>
      <c r="CB167" s="141"/>
      <c r="CC167" s="140"/>
      <c r="CD167" s="141"/>
      <c r="CE167" s="141"/>
      <c r="CF167" s="141"/>
      <c r="CG167" s="141"/>
      <c r="CH167" s="141"/>
      <c r="CI167" s="141"/>
      <c r="CJ167" s="142"/>
      <c r="CK167" s="142"/>
      <c r="CL167" s="142"/>
      <c r="CM167" s="142"/>
      <c r="CN167" s="179"/>
      <c r="CO167" s="142"/>
    </row>
    <row r="168" spans="1:93" ht="16.5" customHeight="1">
      <c r="A168" s="222"/>
      <c r="B168" s="220" t="s">
        <v>499</v>
      </c>
      <c r="C168" s="220"/>
      <c r="D168" s="220"/>
      <c r="E168" s="136" t="s">
        <v>500</v>
      </c>
      <c r="F168" s="136" t="s">
        <v>209</v>
      </c>
      <c r="G168" s="139">
        <v>2025</v>
      </c>
      <c r="H168" s="136" t="s">
        <v>210</v>
      </c>
      <c r="I168" s="221"/>
      <c r="J168" s="221"/>
      <c r="K168" s="140"/>
      <c r="L168" s="141"/>
      <c r="M168" s="141"/>
      <c r="N168" s="141"/>
      <c r="O168" s="141"/>
      <c r="P168" s="141"/>
      <c r="Q168" s="141"/>
      <c r="R168" s="142"/>
      <c r="S168" s="142"/>
      <c r="T168" s="142"/>
      <c r="U168" s="142"/>
      <c r="V168" s="179"/>
      <c r="W168" s="142"/>
      <c r="X168" s="141">
        <v>5</v>
      </c>
      <c r="Y168" s="140">
        <v>197.81700000000001</v>
      </c>
      <c r="Z168" s="141">
        <v>0</v>
      </c>
      <c r="AA168" s="141">
        <v>11869</v>
      </c>
      <c r="AB168" s="141">
        <v>1</v>
      </c>
      <c r="AC168" s="141">
        <v>2</v>
      </c>
      <c r="AD168" s="141">
        <v>0</v>
      </c>
      <c r="AE168" s="141">
        <v>1</v>
      </c>
      <c r="AF168" s="142">
        <v>0</v>
      </c>
      <c r="AG168" s="142">
        <v>0</v>
      </c>
      <c r="AH168" s="142">
        <v>6.0000000000000001E-3</v>
      </c>
      <c r="AI168" s="142">
        <v>2E-3</v>
      </c>
      <c r="AJ168" s="179">
        <v>8.0000000000000002E-3</v>
      </c>
      <c r="AK168" s="142">
        <v>0</v>
      </c>
      <c r="AL168" s="141">
        <v>5</v>
      </c>
      <c r="AM168" s="140">
        <v>0</v>
      </c>
      <c r="AN168" s="141">
        <v>0</v>
      </c>
      <c r="AO168" s="141">
        <v>0</v>
      </c>
      <c r="AP168" s="141">
        <v>0</v>
      </c>
      <c r="AQ168" s="141">
        <v>0</v>
      </c>
      <c r="AR168" s="141">
        <v>0</v>
      </c>
      <c r="AS168" s="141">
        <v>0</v>
      </c>
      <c r="AT168" s="142">
        <v>3.9E-2</v>
      </c>
      <c r="AU168" s="142">
        <v>7.0000000000000001E-3</v>
      </c>
      <c r="AV168" s="142">
        <v>30.173999999999999</v>
      </c>
      <c r="AW168" s="142">
        <v>5.4329999999999998</v>
      </c>
      <c r="AX168" s="179">
        <v>35.606999999999999</v>
      </c>
      <c r="AY168" s="142">
        <v>4.5999999999999999E-2</v>
      </c>
      <c r="AZ168" s="141"/>
      <c r="BA168" s="140"/>
      <c r="BB168" s="141"/>
      <c r="BC168" s="141"/>
      <c r="BD168" s="141"/>
      <c r="BE168" s="141"/>
      <c r="BF168" s="141"/>
      <c r="BG168" s="141"/>
      <c r="BH168" s="142"/>
      <c r="BI168" s="142"/>
      <c r="BJ168" s="142"/>
      <c r="BK168" s="142"/>
      <c r="BL168" s="179"/>
      <c r="BM168" s="142"/>
      <c r="BN168" s="141">
        <v>1031</v>
      </c>
      <c r="BO168" s="140">
        <v>0</v>
      </c>
      <c r="BP168" s="141">
        <v>0</v>
      </c>
      <c r="BQ168" s="141">
        <v>0</v>
      </c>
      <c r="BR168" s="141">
        <v>0</v>
      </c>
      <c r="BS168" s="141">
        <v>0</v>
      </c>
      <c r="BT168" s="141">
        <v>0</v>
      </c>
      <c r="BU168" s="141">
        <v>0</v>
      </c>
      <c r="BV168" s="142">
        <v>0</v>
      </c>
      <c r="BW168" s="142">
        <v>0</v>
      </c>
      <c r="BX168" s="142">
        <v>0</v>
      </c>
      <c r="BY168" s="142">
        <v>0</v>
      </c>
      <c r="BZ168" s="142">
        <v>0</v>
      </c>
      <c r="CA168" s="142">
        <v>0</v>
      </c>
      <c r="CB168" s="141">
        <v>3</v>
      </c>
      <c r="CC168" s="140">
        <v>2.4670000000000001</v>
      </c>
      <c r="CD168" s="141">
        <v>4</v>
      </c>
      <c r="CE168" s="141">
        <v>148</v>
      </c>
      <c r="CF168" s="141">
        <v>148</v>
      </c>
      <c r="CG168" s="141">
        <v>148</v>
      </c>
      <c r="CH168" s="141">
        <v>0</v>
      </c>
      <c r="CI168" s="141">
        <v>0</v>
      </c>
      <c r="CJ168" s="142">
        <v>0</v>
      </c>
      <c r="CK168" s="142">
        <v>0</v>
      </c>
      <c r="CL168" s="142">
        <v>0</v>
      </c>
      <c r="CM168" s="142">
        <v>0</v>
      </c>
      <c r="CN168" s="179">
        <v>0</v>
      </c>
      <c r="CO168" s="142">
        <v>0</v>
      </c>
    </row>
    <row r="169" spans="1:93" ht="16.5" customHeight="1">
      <c r="A169" s="222"/>
      <c r="B169" s="220" t="s">
        <v>501</v>
      </c>
      <c r="C169" s="220"/>
      <c r="D169" s="220"/>
      <c r="E169" s="136" t="s">
        <v>502</v>
      </c>
      <c r="F169" s="136" t="s">
        <v>209</v>
      </c>
      <c r="G169" s="139">
        <v>2025</v>
      </c>
      <c r="H169" s="136" t="s">
        <v>210</v>
      </c>
      <c r="I169" s="221"/>
      <c r="J169" s="221"/>
      <c r="K169" s="140"/>
      <c r="L169" s="141"/>
      <c r="M169" s="141"/>
      <c r="N169" s="141"/>
      <c r="O169" s="141"/>
      <c r="P169" s="141"/>
      <c r="Q169" s="141"/>
      <c r="R169" s="142"/>
      <c r="S169" s="142"/>
      <c r="T169" s="142"/>
      <c r="U169" s="142"/>
      <c r="V169" s="179"/>
      <c r="W169" s="142"/>
      <c r="X169" s="141">
        <v>67834</v>
      </c>
      <c r="Y169" s="140">
        <v>1193676.317</v>
      </c>
      <c r="Z169" s="141">
        <v>0</v>
      </c>
      <c r="AA169" s="141">
        <v>71620579</v>
      </c>
      <c r="AB169" s="141">
        <v>10410591</v>
      </c>
      <c r="AC169" s="141">
        <v>10417004</v>
      </c>
      <c r="AD169" s="141">
        <v>7855834</v>
      </c>
      <c r="AE169" s="141">
        <v>2554758</v>
      </c>
      <c r="AF169" s="142">
        <v>427.75799999999998</v>
      </c>
      <c r="AG169" s="142">
        <v>76.995999999999995</v>
      </c>
      <c r="AH169" s="142">
        <v>333647.52100000001</v>
      </c>
      <c r="AI169" s="142">
        <v>60056.464</v>
      </c>
      <c r="AJ169" s="179">
        <v>393703.98499999999</v>
      </c>
      <c r="AK169" s="142">
        <v>504.75400000000002</v>
      </c>
      <c r="AL169" s="141">
        <v>9</v>
      </c>
      <c r="AM169" s="140">
        <v>0</v>
      </c>
      <c r="AN169" s="141">
        <v>0</v>
      </c>
      <c r="AO169" s="141">
        <v>0</v>
      </c>
      <c r="AP169" s="141">
        <v>0</v>
      </c>
      <c r="AQ169" s="141">
        <v>0</v>
      </c>
      <c r="AR169" s="141">
        <v>0</v>
      </c>
      <c r="AS169" s="141">
        <v>0</v>
      </c>
      <c r="AT169" s="142">
        <v>7.5999999999999998E-2</v>
      </c>
      <c r="AU169" s="142">
        <v>1.4E-2</v>
      </c>
      <c r="AV169" s="142">
        <v>59.037999999999997</v>
      </c>
      <c r="AW169" s="142">
        <v>10.628</v>
      </c>
      <c r="AX169" s="179">
        <v>69.665999999999997</v>
      </c>
      <c r="AY169" s="142">
        <v>8.8999999999999996E-2</v>
      </c>
      <c r="AZ169" s="141">
        <v>24</v>
      </c>
      <c r="BA169" s="140">
        <v>34.216999999999999</v>
      </c>
      <c r="BB169" s="141">
        <v>45</v>
      </c>
      <c r="BC169" s="141">
        <v>2053</v>
      </c>
      <c r="BD169" s="141">
        <v>2053</v>
      </c>
      <c r="BE169" s="141">
        <v>2053</v>
      </c>
      <c r="BF169" s="141">
        <v>0</v>
      </c>
      <c r="BG169" s="141">
        <v>0</v>
      </c>
      <c r="BH169" s="142">
        <v>8.6329999999999991</v>
      </c>
      <c r="BI169" s="142">
        <v>1.554</v>
      </c>
      <c r="BJ169" s="142">
        <v>6733.3990000000003</v>
      </c>
      <c r="BK169" s="142">
        <v>1212.0119999999999</v>
      </c>
      <c r="BL169" s="179">
        <v>7945.4120000000003</v>
      </c>
      <c r="BM169" s="142">
        <v>10.186999999999999</v>
      </c>
      <c r="BN169" s="141">
        <v>3591</v>
      </c>
      <c r="BO169" s="140">
        <v>0</v>
      </c>
      <c r="BP169" s="141">
        <v>0</v>
      </c>
      <c r="BQ169" s="141">
        <v>0</v>
      </c>
      <c r="BR169" s="141">
        <v>0</v>
      </c>
      <c r="BS169" s="141">
        <v>0</v>
      </c>
      <c r="BT169" s="141">
        <v>0</v>
      </c>
      <c r="BU169" s="141">
        <v>0</v>
      </c>
      <c r="BV169" s="142">
        <v>0</v>
      </c>
      <c r="BW169" s="142">
        <v>0</v>
      </c>
      <c r="BX169" s="142">
        <v>0</v>
      </c>
      <c r="BY169" s="142">
        <v>0</v>
      </c>
      <c r="BZ169" s="142">
        <v>0</v>
      </c>
      <c r="CA169" s="142">
        <v>0</v>
      </c>
      <c r="CB169" s="141">
        <v>13</v>
      </c>
      <c r="CC169" s="140">
        <v>10.683</v>
      </c>
      <c r="CD169" s="141">
        <v>19</v>
      </c>
      <c r="CE169" s="141">
        <v>641</v>
      </c>
      <c r="CF169" s="141">
        <v>641</v>
      </c>
      <c r="CG169" s="141">
        <v>641</v>
      </c>
      <c r="CH169" s="141">
        <v>0</v>
      </c>
      <c r="CI169" s="141">
        <v>0</v>
      </c>
      <c r="CJ169" s="142">
        <v>0</v>
      </c>
      <c r="CK169" s="142">
        <v>0</v>
      </c>
      <c r="CL169" s="142">
        <v>0</v>
      </c>
      <c r="CM169" s="142">
        <v>0</v>
      </c>
      <c r="CN169" s="179">
        <v>0</v>
      </c>
      <c r="CO169" s="142">
        <v>0</v>
      </c>
    </row>
    <row r="170" spans="1:93" ht="16.5" customHeight="1">
      <c r="A170" s="222"/>
      <c r="B170" s="220" t="s">
        <v>503</v>
      </c>
      <c r="C170" s="220"/>
      <c r="D170" s="220"/>
      <c r="E170" s="136" t="s">
        <v>504</v>
      </c>
      <c r="F170" s="136" t="s">
        <v>209</v>
      </c>
      <c r="G170" s="139">
        <v>2025</v>
      </c>
      <c r="H170" s="136" t="s">
        <v>210</v>
      </c>
      <c r="I170" s="221"/>
      <c r="J170" s="221"/>
      <c r="K170" s="140"/>
      <c r="L170" s="141"/>
      <c r="M170" s="141"/>
      <c r="N170" s="141"/>
      <c r="O170" s="141"/>
      <c r="P170" s="141"/>
      <c r="Q170" s="141"/>
      <c r="R170" s="142"/>
      <c r="S170" s="142"/>
      <c r="T170" s="142"/>
      <c r="U170" s="142"/>
      <c r="V170" s="179"/>
      <c r="W170" s="142"/>
      <c r="X170" s="141">
        <v>9878</v>
      </c>
      <c r="Y170" s="140">
        <v>192190.867</v>
      </c>
      <c r="Z170" s="141">
        <v>0</v>
      </c>
      <c r="AA170" s="141">
        <v>11531452</v>
      </c>
      <c r="AB170" s="141">
        <v>24686</v>
      </c>
      <c r="AC170" s="141">
        <v>24805</v>
      </c>
      <c r="AD170" s="141">
        <v>609</v>
      </c>
      <c r="AE170" s="141">
        <v>24077</v>
      </c>
      <c r="AF170" s="142">
        <v>0.27100000000000002</v>
      </c>
      <c r="AG170" s="142">
        <v>4.9000000000000002E-2</v>
      </c>
      <c r="AH170" s="142">
        <v>211.53100000000001</v>
      </c>
      <c r="AI170" s="142">
        <v>38.079000000000001</v>
      </c>
      <c r="AJ170" s="179">
        <v>249.61</v>
      </c>
      <c r="AK170" s="142">
        <v>0.32</v>
      </c>
      <c r="AL170" s="141"/>
      <c r="AM170" s="140"/>
      <c r="AN170" s="141"/>
      <c r="AO170" s="141"/>
      <c r="AP170" s="141"/>
      <c r="AQ170" s="141"/>
      <c r="AR170" s="141"/>
      <c r="AS170" s="141"/>
      <c r="AT170" s="142"/>
      <c r="AU170" s="142"/>
      <c r="AV170" s="142"/>
      <c r="AW170" s="142"/>
      <c r="AX170" s="179"/>
      <c r="AY170" s="142"/>
      <c r="AZ170" s="141"/>
      <c r="BA170" s="140"/>
      <c r="BB170" s="141"/>
      <c r="BC170" s="141"/>
      <c r="BD170" s="141"/>
      <c r="BE170" s="141"/>
      <c r="BF170" s="141"/>
      <c r="BG170" s="141"/>
      <c r="BH170" s="142"/>
      <c r="BI170" s="142"/>
      <c r="BJ170" s="142"/>
      <c r="BK170" s="142"/>
      <c r="BL170" s="179"/>
      <c r="BM170" s="142"/>
      <c r="BN170" s="141">
        <v>212</v>
      </c>
      <c r="BO170" s="140">
        <v>0</v>
      </c>
      <c r="BP170" s="141">
        <v>0</v>
      </c>
      <c r="BQ170" s="141">
        <v>0</v>
      </c>
      <c r="BR170" s="141">
        <v>0</v>
      </c>
      <c r="BS170" s="141">
        <v>0</v>
      </c>
      <c r="BT170" s="141">
        <v>0</v>
      </c>
      <c r="BU170" s="141">
        <v>0</v>
      </c>
      <c r="BV170" s="142">
        <v>0</v>
      </c>
      <c r="BW170" s="142">
        <v>0</v>
      </c>
      <c r="BX170" s="142">
        <v>0</v>
      </c>
      <c r="BY170" s="142">
        <v>0</v>
      </c>
      <c r="BZ170" s="142">
        <v>0</v>
      </c>
      <c r="CA170" s="142">
        <v>0</v>
      </c>
      <c r="CB170" s="141"/>
      <c r="CC170" s="140"/>
      <c r="CD170" s="141"/>
      <c r="CE170" s="141"/>
      <c r="CF170" s="141"/>
      <c r="CG170" s="141"/>
      <c r="CH170" s="141"/>
      <c r="CI170" s="141"/>
      <c r="CJ170" s="142"/>
      <c r="CK170" s="142"/>
      <c r="CL170" s="142"/>
      <c r="CM170" s="142"/>
      <c r="CN170" s="179"/>
      <c r="CO170" s="142"/>
    </row>
    <row r="171" spans="1:93" ht="16.5" customHeight="1">
      <c r="A171" s="222"/>
      <c r="B171" s="220" t="s">
        <v>505</v>
      </c>
      <c r="C171" s="220"/>
      <c r="D171" s="220"/>
      <c r="E171" s="136" t="s">
        <v>506</v>
      </c>
      <c r="F171" s="136" t="s">
        <v>209</v>
      </c>
      <c r="G171" s="139">
        <v>2025</v>
      </c>
      <c r="H171" s="136" t="s">
        <v>210</v>
      </c>
      <c r="I171" s="221"/>
      <c r="J171" s="221"/>
      <c r="K171" s="140"/>
      <c r="L171" s="141"/>
      <c r="M171" s="141"/>
      <c r="N171" s="141"/>
      <c r="O171" s="141"/>
      <c r="P171" s="141"/>
      <c r="Q171" s="141"/>
      <c r="R171" s="142"/>
      <c r="S171" s="142"/>
      <c r="T171" s="142"/>
      <c r="U171" s="142"/>
      <c r="V171" s="179"/>
      <c r="W171" s="142"/>
      <c r="X171" s="141">
        <v>15</v>
      </c>
      <c r="Y171" s="140">
        <v>663.06700000000001</v>
      </c>
      <c r="Z171" s="141">
        <v>0</v>
      </c>
      <c r="AA171" s="141">
        <v>39784</v>
      </c>
      <c r="AB171" s="141">
        <v>6</v>
      </c>
      <c r="AC171" s="141">
        <v>7</v>
      </c>
      <c r="AD171" s="141">
        <v>3</v>
      </c>
      <c r="AE171" s="141">
        <v>3</v>
      </c>
      <c r="AF171" s="142">
        <v>0</v>
      </c>
      <c r="AG171" s="142">
        <v>0</v>
      </c>
      <c r="AH171" s="142">
        <v>3.6999999999999998E-2</v>
      </c>
      <c r="AI171" s="142">
        <v>6.0000000000000001E-3</v>
      </c>
      <c r="AJ171" s="179">
        <v>4.2999999999999997E-2</v>
      </c>
      <c r="AK171" s="142">
        <v>0</v>
      </c>
      <c r="AL171" s="141">
        <v>1</v>
      </c>
      <c r="AM171" s="140">
        <v>0</v>
      </c>
      <c r="AN171" s="141">
        <v>0</v>
      </c>
      <c r="AO171" s="141">
        <v>0</v>
      </c>
      <c r="AP171" s="141">
        <v>0</v>
      </c>
      <c r="AQ171" s="141">
        <v>0</v>
      </c>
      <c r="AR171" s="141">
        <v>0</v>
      </c>
      <c r="AS171" s="141">
        <v>0</v>
      </c>
      <c r="AT171" s="142">
        <v>1.4999999999999999E-2</v>
      </c>
      <c r="AU171" s="142">
        <v>3.0000000000000001E-3</v>
      </c>
      <c r="AV171" s="142">
        <v>11.808</v>
      </c>
      <c r="AW171" s="142">
        <v>2.125</v>
      </c>
      <c r="AX171" s="179">
        <v>13.933</v>
      </c>
      <c r="AY171" s="142">
        <v>1.7999999999999999E-2</v>
      </c>
      <c r="AZ171" s="141">
        <v>4</v>
      </c>
      <c r="BA171" s="140">
        <v>3.633</v>
      </c>
      <c r="BB171" s="141">
        <v>5</v>
      </c>
      <c r="BC171" s="141">
        <v>218</v>
      </c>
      <c r="BD171" s="141">
        <v>218</v>
      </c>
      <c r="BE171" s="141">
        <v>218</v>
      </c>
      <c r="BF171" s="141">
        <v>0</v>
      </c>
      <c r="BG171" s="141">
        <v>0</v>
      </c>
      <c r="BH171" s="142">
        <v>1.0029999999999999</v>
      </c>
      <c r="BI171" s="142">
        <v>0.18099999999999999</v>
      </c>
      <c r="BJ171" s="142">
        <v>782.62300000000005</v>
      </c>
      <c r="BK171" s="142">
        <v>140.87299999999999</v>
      </c>
      <c r="BL171" s="179">
        <v>923.49599999999998</v>
      </c>
      <c r="BM171" s="142">
        <v>1.1839999999999999</v>
      </c>
      <c r="BN171" s="141">
        <v>995</v>
      </c>
      <c r="BO171" s="140">
        <v>0</v>
      </c>
      <c r="BP171" s="141">
        <v>0</v>
      </c>
      <c r="BQ171" s="141">
        <v>0</v>
      </c>
      <c r="BR171" s="141">
        <v>0</v>
      </c>
      <c r="BS171" s="141">
        <v>0</v>
      </c>
      <c r="BT171" s="141">
        <v>0</v>
      </c>
      <c r="BU171" s="141">
        <v>0</v>
      </c>
      <c r="BV171" s="142">
        <v>0</v>
      </c>
      <c r="BW171" s="142">
        <v>0</v>
      </c>
      <c r="BX171" s="142">
        <v>0</v>
      </c>
      <c r="BY171" s="142">
        <v>0</v>
      </c>
      <c r="BZ171" s="142">
        <v>0</v>
      </c>
      <c r="CA171" s="142">
        <v>0</v>
      </c>
      <c r="CB171" s="141">
        <v>4</v>
      </c>
      <c r="CC171" s="140">
        <v>2.383</v>
      </c>
      <c r="CD171" s="141">
        <v>5</v>
      </c>
      <c r="CE171" s="141">
        <v>143</v>
      </c>
      <c r="CF171" s="141">
        <v>143</v>
      </c>
      <c r="CG171" s="141">
        <v>143</v>
      </c>
      <c r="CH171" s="141">
        <v>0</v>
      </c>
      <c r="CI171" s="141">
        <v>0</v>
      </c>
      <c r="CJ171" s="142">
        <v>0</v>
      </c>
      <c r="CK171" s="142">
        <v>0</v>
      </c>
      <c r="CL171" s="142">
        <v>0</v>
      </c>
      <c r="CM171" s="142">
        <v>0</v>
      </c>
      <c r="CN171" s="179">
        <v>0</v>
      </c>
      <c r="CO171" s="142">
        <v>0</v>
      </c>
    </row>
    <row r="172" spans="1:93" ht="16.5" customHeight="1">
      <c r="A172" s="222"/>
      <c r="B172" s="220" t="s">
        <v>507</v>
      </c>
      <c r="C172" s="220"/>
      <c r="D172" s="220"/>
      <c r="E172" s="136" t="s">
        <v>508</v>
      </c>
      <c r="F172" s="136" t="s">
        <v>209</v>
      </c>
      <c r="G172" s="139">
        <v>2025</v>
      </c>
      <c r="H172" s="136" t="s">
        <v>210</v>
      </c>
      <c r="I172" s="221"/>
      <c r="J172" s="221"/>
      <c r="K172" s="140"/>
      <c r="L172" s="141"/>
      <c r="M172" s="141"/>
      <c r="N172" s="141"/>
      <c r="O172" s="141"/>
      <c r="P172" s="141"/>
      <c r="Q172" s="141"/>
      <c r="R172" s="142"/>
      <c r="S172" s="142"/>
      <c r="T172" s="142"/>
      <c r="U172" s="142"/>
      <c r="V172" s="179"/>
      <c r="W172" s="142"/>
      <c r="X172" s="141">
        <v>62667</v>
      </c>
      <c r="Y172" s="140">
        <v>1195808.45</v>
      </c>
      <c r="Z172" s="141">
        <v>0</v>
      </c>
      <c r="AA172" s="141">
        <v>71748507</v>
      </c>
      <c r="AB172" s="141">
        <v>41222</v>
      </c>
      <c r="AC172" s="141">
        <v>43310</v>
      </c>
      <c r="AD172" s="141">
        <v>1632</v>
      </c>
      <c r="AE172" s="141">
        <v>39590</v>
      </c>
      <c r="AF172" s="142">
        <v>2.64</v>
      </c>
      <c r="AG172" s="142">
        <v>0.47599999999999998</v>
      </c>
      <c r="AH172" s="142">
        <v>2059.0169999999998</v>
      </c>
      <c r="AI172" s="142">
        <v>371.11099999999999</v>
      </c>
      <c r="AJ172" s="179">
        <v>2430.1280000000002</v>
      </c>
      <c r="AK172" s="142">
        <v>3.1160000000000001</v>
      </c>
      <c r="AL172" s="141">
        <v>11</v>
      </c>
      <c r="AM172" s="140">
        <v>0</v>
      </c>
      <c r="AN172" s="141">
        <v>0</v>
      </c>
      <c r="AO172" s="141">
        <v>0</v>
      </c>
      <c r="AP172" s="141">
        <v>0</v>
      </c>
      <c r="AQ172" s="141">
        <v>0</v>
      </c>
      <c r="AR172" s="141">
        <v>0</v>
      </c>
      <c r="AS172" s="141">
        <v>0</v>
      </c>
      <c r="AT172" s="142">
        <v>0.314</v>
      </c>
      <c r="AU172" s="142">
        <v>5.6000000000000001E-2</v>
      </c>
      <c r="AV172" s="142">
        <v>244.60499999999999</v>
      </c>
      <c r="AW172" s="142">
        <v>44.031999999999996</v>
      </c>
      <c r="AX172" s="179">
        <v>288.637</v>
      </c>
      <c r="AY172" s="142">
        <v>0.37</v>
      </c>
      <c r="AZ172" s="141">
        <v>18</v>
      </c>
      <c r="BA172" s="140">
        <v>17.466999999999999</v>
      </c>
      <c r="BB172" s="141">
        <v>24</v>
      </c>
      <c r="BC172" s="141">
        <v>1048</v>
      </c>
      <c r="BD172" s="141">
        <v>1048</v>
      </c>
      <c r="BE172" s="141">
        <v>1048</v>
      </c>
      <c r="BF172" s="141">
        <v>0</v>
      </c>
      <c r="BG172" s="141">
        <v>0</v>
      </c>
      <c r="BH172" s="142">
        <v>3.9790000000000001</v>
      </c>
      <c r="BI172" s="142">
        <v>0.71599999999999997</v>
      </c>
      <c r="BJ172" s="142">
        <v>3103.654</v>
      </c>
      <c r="BK172" s="142">
        <v>558.65899999999999</v>
      </c>
      <c r="BL172" s="179">
        <v>3662.3139999999999</v>
      </c>
      <c r="BM172" s="142">
        <v>4.6950000000000003</v>
      </c>
      <c r="BN172" s="141">
        <v>4908</v>
      </c>
      <c r="BO172" s="140">
        <v>0</v>
      </c>
      <c r="BP172" s="141">
        <v>0</v>
      </c>
      <c r="BQ172" s="141">
        <v>0</v>
      </c>
      <c r="BR172" s="141">
        <v>0</v>
      </c>
      <c r="BS172" s="141">
        <v>0</v>
      </c>
      <c r="BT172" s="141">
        <v>0</v>
      </c>
      <c r="BU172" s="141">
        <v>0</v>
      </c>
      <c r="BV172" s="142">
        <v>0</v>
      </c>
      <c r="BW172" s="142">
        <v>0</v>
      </c>
      <c r="BX172" s="142">
        <v>0</v>
      </c>
      <c r="BY172" s="142">
        <v>0</v>
      </c>
      <c r="BZ172" s="142">
        <v>0</v>
      </c>
      <c r="CA172" s="142">
        <v>0</v>
      </c>
      <c r="CB172" s="141">
        <v>1</v>
      </c>
      <c r="CC172" s="140">
        <v>0.25</v>
      </c>
      <c r="CD172" s="141">
        <v>1</v>
      </c>
      <c r="CE172" s="141">
        <v>15</v>
      </c>
      <c r="CF172" s="141">
        <v>15</v>
      </c>
      <c r="CG172" s="141">
        <v>15</v>
      </c>
      <c r="CH172" s="141">
        <v>0</v>
      </c>
      <c r="CI172" s="141">
        <v>0</v>
      </c>
      <c r="CJ172" s="142">
        <v>0</v>
      </c>
      <c r="CK172" s="142">
        <v>0</v>
      </c>
      <c r="CL172" s="142">
        <v>0</v>
      </c>
      <c r="CM172" s="142">
        <v>0</v>
      </c>
      <c r="CN172" s="179">
        <v>0</v>
      </c>
      <c r="CO172" s="142">
        <v>0</v>
      </c>
    </row>
    <row r="173" spans="1:93" ht="16.5" customHeight="1">
      <c r="A173" s="222"/>
      <c r="B173" s="220" t="s">
        <v>509</v>
      </c>
      <c r="C173" s="220"/>
      <c r="D173" s="220"/>
      <c r="E173" s="136" t="s">
        <v>510</v>
      </c>
      <c r="F173" s="136" t="s">
        <v>209</v>
      </c>
      <c r="G173" s="139">
        <v>2025</v>
      </c>
      <c r="H173" s="136" t="s">
        <v>210</v>
      </c>
      <c r="I173" s="221"/>
      <c r="J173" s="221"/>
      <c r="K173" s="140"/>
      <c r="L173" s="141"/>
      <c r="M173" s="141"/>
      <c r="N173" s="141"/>
      <c r="O173" s="141"/>
      <c r="P173" s="141"/>
      <c r="Q173" s="141"/>
      <c r="R173" s="142"/>
      <c r="S173" s="142"/>
      <c r="T173" s="142"/>
      <c r="U173" s="142"/>
      <c r="V173" s="179"/>
      <c r="W173" s="142"/>
      <c r="X173" s="141"/>
      <c r="Y173" s="140"/>
      <c r="Z173" s="141"/>
      <c r="AA173" s="141"/>
      <c r="AB173" s="141"/>
      <c r="AC173" s="141"/>
      <c r="AD173" s="141"/>
      <c r="AE173" s="141"/>
      <c r="AF173" s="142"/>
      <c r="AG173" s="142"/>
      <c r="AH173" s="142"/>
      <c r="AI173" s="142"/>
      <c r="AJ173" s="179"/>
      <c r="AK173" s="142"/>
      <c r="AL173" s="141"/>
      <c r="AM173" s="140"/>
      <c r="AN173" s="141"/>
      <c r="AO173" s="141"/>
      <c r="AP173" s="141"/>
      <c r="AQ173" s="141"/>
      <c r="AR173" s="141"/>
      <c r="AS173" s="141"/>
      <c r="AT173" s="142"/>
      <c r="AU173" s="142"/>
      <c r="AV173" s="142"/>
      <c r="AW173" s="142"/>
      <c r="AX173" s="179"/>
      <c r="AY173" s="142"/>
      <c r="AZ173" s="141"/>
      <c r="BA173" s="140"/>
      <c r="BB173" s="141"/>
      <c r="BC173" s="141"/>
      <c r="BD173" s="141"/>
      <c r="BE173" s="141"/>
      <c r="BF173" s="141"/>
      <c r="BG173" s="141"/>
      <c r="BH173" s="142"/>
      <c r="BI173" s="142"/>
      <c r="BJ173" s="142"/>
      <c r="BK173" s="142"/>
      <c r="BL173" s="179"/>
      <c r="BM173" s="142"/>
      <c r="BN173" s="141">
        <v>1030</v>
      </c>
      <c r="BO173" s="140">
        <v>0</v>
      </c>
      <c r="BP173" s="141">
        <v>0</v>
      </c>
      <c r="BQ173" s="141">
        <v>0</v>
      </c>
      <c r="BR173" s="141">
        <v>0</v>
      </c>
      <c r="BS173" s="141">
        <v>0</v>
      </c>
      <c r="BT173" s="141">
        <v>0</v>
      </c>
      <c r="BU173" s="141">
        <v>0</v>
      </c>
      <c r="BV173" s="142">
        <v>0</v>
      </c>
      <c r="BW173" s="142">
        <v>0</v>
      </c>
      <c r="BX173" s="142">
        <v>0</v>
      </c>
      <c r="BY173" s="142">
        <v>0</v>
      </c>
      <c r="BZ173" s="142">
        <v>0</v>
      </c>
      <c r="CA173" s="142">
        <v>0</v>
      </c>
      <c r="CB173" s="141">
        <v>1</v>
      </c>
      <c r="CC173" s="140">
        <v>1.65</v>
      </c>
      <c r="CD173" s="141">
        <v>2</v>
      </c>
      <c r="CE173" s="141">
        <v>99</v>
      </c>
      <c r="CF173" s="141">
        <v>99</v>
      </c>
      <c r="CG173" s="141">
        <v>99</v>
      </c>
      <c r="CH173" s="141">
        <v>0</v>
      </c>
      <c r="CI173" s="141">
        <v>0</v>
      </c>
      <c r="CJ173" s="142">
        <v>0</v>
      </c>
      <c r="CK173" s="142">
        <v>0</v>
      </c>
      <c r="CL173" s="142">
        <v>0</v>
      </c>
      <c r="CM173" s="142">
        <v>0</v>
      </c>
      <c r="CN173" s="179">
        <v>0</v>
      </c>
      <c r="CO173" s="142">
        <v>0</v>
      </c>
    </row>
    <row r="174" spans="1:93" ht="16.5" customHeight="1">
      <c r="A174" s="222"/>
      <c r="B174" s="220" t="s">
        <v>511</v>
      </c>
      <c r="C174" s="220"/>
      <c r="D174" s="220"/>
      <c r="E174" s="136" t="s">
        <v>512</v>
      </c>
      <c r="F174" s="136" t="s">
        <v>209</v>
      </c>
      <c r="G174" s="139">
        <v>2025</v>
      </c>
      <c r="H174" s="136" t="s">
        <v>210</v>
      </c>
      <c r="I174" s="221"/>
      <c r="J174" s="221"/>
      <c r="K174" s="140"/>
      <c r="L174" s="141"/>
      <c r="M174" s="141"/>
      <c r="N174" s="141"/>
      <c r="O174" s="141"/>
      <c r="P174" s="141"/>
      <c r="Q174" s="141"/>
      <c r="R174" s="142"/>
      <c r="S174" s="142"/>
      <c r="T174" s="142"/>
      <c r="U174" s="142"/>
      <c r="V174" s="179"/>
      <c r="W174" s="142"/>
      <c r="X174" s="141">
        <v>42877</v>
      </c>
      <c r="Y174" s="140">
        <v>56154.783000000003</v>
      </c>
      <c r="Z174" s="141">
        <v>0</v>
      </c>
      <c r="AA174" s="141">
        <v>3369287</v>
      </c>
      <c r="AB174" s="141">
        <v>116514</v>
      </c>
      <c r="AC174" s="141">
        <v>140473</v>
      </c>
      <c r="AD174" s="141">
        <v>89323</v>
      </c>
      <c r="AE174" s="141">
        <v>27191</v>
      </c>
      <c r="AF174" s="142">
        <v>0.30499999999999999</v>
      </c>
      <c r="AG174" s="142">
        <v>4.2999999999999997E-2</v>
      </c>
      <c r="AH174" s="142">
        <v>237.678</v>
      </c>
      <c r="AI174" s="142">
        <v>33.35</v>
      </c>
      <c r="AJ174" s="179">
        <v>271.029</v>
      </c>
      <c r="AK174" s="142">
        <v>0.34699999999999998</v>
      </c>
      <c r="AL174" s="141">
        <v>2</v>
      </c>
      <c r="AM174" s="140">
        <v>0</v>
      </c>
      <c r="AN174" s="141">
        <v>0</v>
      </c>
      <c r="AO174" s="141">
        <v>0</v>
      </c>
      <c r="AP174" s="141">
        <v>0</v>
      </c>
      <c r="AQ174" s="141">
        <v>0</v>
      </c>
      <c r="AR174" s="141">
        <v>0</v>
      </c>
      <c r="AS174" s="141">
        <v>0</v>
      </c>
      <c r="AT174" s="142">
        <v>8.3000000000000004E-2</v>
      </c>
      <c r="AU174" s="142">
        <v>1.4999999999999999E-2</v>
      </c>
      <c r="AV174" s="142">
        <v>64.599000000000004</v>
      </c>
      <c r="AW174" s="142">
        <v>11.628</v>
      </c>
      <c r="AX174" s="179">
        <v>76.227000000000004</v>
      </c>
      <c r="AY174" s="142">
        <v>9.8000000000000004E-2</v>
      </c>
      <c r="AZ174" s="141">
        <v>3</v>
      </c>
      <c r="BA174" s="140">
        <v>2.1669999999999998</v>
      </c>
      <c r="BB174" s="141">
        <v>4</v>
      </c>
      <c r="BC174" s="141">
        <v>130</v>
      </c>
      <c r="BD174" s="141">
        <v>130</v>
      </c>
      <c r="BE174" s="141">
        <v>130</v>
      </c>
      <c r="BF174" s="141">
        <v>0</v>
      </c>
      <c r="BG174" s="141">
        <v>0</v>
      </c>
      <c r="BH174" s="142">
        <v>0.154</v>
      </c>
      <c r="BI174" s="142">
        <v>2.8000000000000001E-2</v>
      </c>
      <c r="BJ174" s="142">
        <v>120.003</v>
      </c>
      <c r="BK174" s="142">
        <v>21.6</v>
      </c>
      <c r="BL174" s="179">
        <v>141.60300000000001</v>
      </c>
      <c r="BM174" s="142">
        <v>0.182</v>
      </c>
      <c r="BN174" s="141">
        <v>93</v>
      </c>
      <c r="BO174" s="140">
        <v>0</v>
      </c>
      <c r="BP174" s="141">
        <v>0</v>
      </c>
      <c r="BQ174" s="141">
        <v>0</v>
      </c>
      <c r="BR174" s="141">
        <v>0</v>
      </c>
      <c r="BS174" s="141">
        <v>0</v>
      </c>
      <c r="BT174" s="141">
        <v>0</v>
      </c>
      <c r="BU174" s="141">
        <v>0</v>
      </c>
      <c r="BV174" s="142">
        <v>0</v>
      </c>
      <c r="BW174" s="142">
        <v>0</v>
      </c>
      <c r="BX174" s="142">
        <v>0</v>
      </c>
      <c r="BY174" s="142">
        <v>0</v>
      </c>
      <c r="BZ174" s="142">
        <v>0</v>
      </c>
      <c r="CA174" s="142">
        <v>0</v>
      </c>
      <c r="CB174" s="141"/>
      <c r="CC174" s="140"/>
      <c r="CD174" s="141"/>
      <c r="CE174" s="141"/>
      <c r="CF174" s="141"/>
      <c r="CG174" s="141"/>
      <c r="CH174" s="141"/>
      <c r="CI174" s="141"/>
      <c r="CJ174" s="142"/>
      <c r="CK174" s="142"/>
      <c r="CL174" s="142"/>
      <c r="CM174" s="142"/>
      <c r="CN174" s="179"/>
      <c r="CO174" s="142"/>
    </row>
    <row r="175" spans="1:93" ht="16.5" customHeight="1">
      <c r="A175" s="222"/>
      <c r="B175" s="220" t="s">
        <v>513</v>
      </c>
      <c r="C175" s="220"/>
      <c r="D175" s="220"/>
      <c r="E175" s="136" t="s">
        <v>514</v>
      </c>
      <c r="F175" s="136" t="s">
        <v>209</v>
      </c>
      <c r="G175" s="139">
        <v>2025</v>
      </c>
      <c r="H175" s="136" t="s">
        <v>210</v>
      </c>
      <c r="I175" s="221"/>
      <c r="J175" s="221"/>
      <c r="K175" s="140"/>
      <c r="L175" s="141"/>
      <c r="M175" s="141"/>
      <c r="N175" s="141"/>
      <c r="O175" s="141"/>
      <c r="P175" s="141"/>
      <c r="Q175" s="141"/>
      <c r="R175" s="142"/>
      <c r="S175" s="142"/>
      <c r="T175" s="142"/>
      <c r="U175" s="142"/>
      <c r="V175" s="179"/>
      <c r="W175" s="142"/>
      <c r="X175" s="141">
        <v>60961</v>
      </c>
      <c r="Y175" s="140">
        <v>364846.85</v>
      </c>
      <c r="Z175" s="141">
        <v>0</v>
      </c>
      <c r="AA175" s="141">
        <v>21890811</v>
      </c>
      <c r="AB175" s="141">
        <v>69970</v>
      </c>
      <c r="AC175" s="141">
        <v>73773</v>
      </c>
      <c r="AD175" s="141">
        <v>5303</v>
      </c>
      <c r="AE175" s="141">
        <v>64667</v>
      </c>
      <c r="AF175" s="142">
        <v>0.255</v>
      </c>
      <c r="AG175" s="142">
        <v>4.7E-2</v>
      </c>
      <c r="AH175" s="142">
        <v>199.155</v>
      </c>
      <c r="AI175" s="142">
        <v>36.593000000000004</v>
      </c>
      <c r="AJ175" s="179">
        <v>235.74700000000001</v>
      </c>
      <c r="AK175" s="142">
        <v>0.30199999999999999</v>
      </c>
      <c r="AL175" s="141">
        <v>16</v>
      </c>
      <c r="AM175" s="140">
        <v>0</v>
      </c>
      <c r="AN175" s="141">
        <v>0</v>
      </c>
      <c r="AO175" s="141">
        <v>0</v>
      </c>
      <c r="AP175" s="141">
        <v>0</v>
      </c>
      <c r="AQ175" s="141">
        <v>0</v>
      </c>
      <c r="AR175" s="141">
        <v>0</v>
      </c>
      <c r="AS175" s="141">
        <v>0</v>
      </c>
      <c r="AT175" s="142">
        <v>0.114</v>
      </c>
      <c r="AU175" s="142">
        <v>2.1000000000000001E-2</v>
      </c>
      <c r="AV175" s="142">
        <v>88.944000000000003</v>
      </c>
      <c r="AW175" s="142">
        <v>16.012</v>
      </c>
      <c r="AX175" s="179">
        <v>104.956</v>
      </c>
      <c r="AY175" s="142">
        <v>0.13500000000000001</v>
      </c>
      <c r="AZ175" s="141">
        <v>34</v>
      </c>
      <c r="BA175" s="140">
        <v>72.3</v>
      </c>
      <c r="BB175" s="141">
        <v>89</v>
      </c>
      <c r="BC175" s="141">
        <v>4338</v>
      </c>
      <c r="BD175" s="141">
        <v>4338</v>
      </c>
      <c r="BE175" s="141">
        <v>4338</v>
      </c>
      <c r="BF175" s="141">
        <v>0</v>
      </c>
      <c r="BG175" s="141">
        <v>0</v>
      </c>
      <c r="BH175" s="142">
        <v>9.3559999999999999</v>
      </c>
      <c r="BI175" s="142">
        <v>1.6839999999999999</v>
      </c>
      <c r="BJ175" s="142">
        <v>7297.9830000000002</v>
      </c>
      <c r="BK175" s="142">
        <v>1313.6389999999999</v>
      </c>
      <c r="BL175" s="179">
        <v>8611.6229999999996</v>
      </c>
      <c r="BM175" s="142">
        <v>11.041</v>
      </c>
      <c r="BN175" s="141">
        <v>1945</v>
      </c>
      <c r="BO175" s="140">
        <v>0</v>
      </c>
      <c r="BP175" s="141">
        <v>0</v>
      </c>
      <c r="BQ175" s="141">
        <v>0</v>
      </c>
      <c r="BR175" s="141">
        <v>0</v>
      </c>
      <c r="BS175" s="141">
        <v>0</v>
      </c>
      <c r="BT175" s="141">
        <v>0</v>
      </c>
      <c r="BU175" s="141">
        <v>0</v>
      </c>
      <c r="BV175" s="142">
        <v>0</v>
      </c>
      <c r="BW175" s="142">
        <v>0</v>
      </c>
      <c r="BX175" s="142">
        <v>0</v>
      </c>
      <c r="BY175" s="142">
        <v>0</v>
      </c>
      <c r="BZ175" s="142">
        <v>0</v>
      </c>
      <c r="CA175" s="142">
        <v>0</v>
      </c>
      <c r="CB175" s="141">
        <v>28</v>
      </c>
      <c r="CC175" s="140">
        <v>33.683</v>
      </c>
      <c r="CD175" s="141">
        <v>48</v>
      </c>
      <c r="CE175" s="141">
        <v>2021</v>
      </c>
      <c r="CF175" s="141">
        <v>2021</v>
      </c>
      <c r="CG175" s="141">
        <v>2021</v>
      </c>
      <c r="CH175" s="141">
        <v>0</v>
      </c>
      <c r="CI175" s="141">
        <v>0</v>
      </c>
      <c r="CJ175" s="142">
        <v>0</v>
      </c>
      <c r="CK175" s="142">
        <v>0</v>
      </c>
      <c r="CL175" s="142">
        <v>0</v>
      </c>
      <c r="CM175" s="142">
        <v>0</v>
      </c>
      <c r="CN175" s="179">
        <v>0</v>
      </c>
      <c r="CO175" s="142">
        <v>0</v>
      </c>
    </row>
    <row r="176" spans="1:93" ht="16.5" customHeight="1">
      <c r="A176" s="222"/>
      <c r="B176" s="220" t="s">
        <v>515</v>
      </c>
      <c r="C176" s="220"/>
      <c r="D176" s="220"/>
      <c r="E176" s="136" t="s">
        <v>516</v>
      </c>
      <c r="F176" s="136" t="s">
        <v>209</v>
      </c>
      <c r="G176" s="139">
        <v>2025</v>
      </c>
      <c r="H176" s="136" t="s">
        <v>210</v>
      </c>
      <c r="I176" s="221"/>
      <c r="J176" s="221"/>
      <c r="K176" s="140"/>
      <c r="L176" s="141"/>
      <c r="M176" s="141"/>
      <c r="N176" s="141"/>
      <c r="O176" s="141"/>
      <c r="P176" s="141"/>
      <c r="Q176" s="141"/>
      <c r="R176" s="142"/>
      <c r="S176" s="142"/>
      <c r="T176" s="142"/>
      <c r="U176" s="142"/>
      <c r="V176" s="179"/>
      <c r="W176" s="142"/>
      <c r="X176" s="141"/>
      <c r="Y176" s="140"/>
      <c r="Z176" s="141"/>
      <c r="AA176" s="141"/>
      <c r="AB176" s="141"/>
      <c r="AC176" s="141"/>
      <c r="AD176" s="141"/>
      <c r="AE176" s="141"/>
      <c r="AF176" s="142"/>
      <c r="AG176" s="142"/>
      <c r="AH176" s="142"/>
      <c r="AI176" s="142"/>
      <c r="AJ176" s="179"/>
      <c r="AK176" s="142"/>
      <c r="AL176" s="141"/>
      <c r="AM176" s="140"/>
      <c r="AN176" s="141"/>
      <c r="AO176" s="141"/>
      <c r="AP176" s="141"/>
      <c r="AQ176" s="141"/>
      <c r="AR176" s="141"/>
      <c r="AS176" s="141"/>
      <c r="AT176" s="142"/>
      <c r="AU176" s="142"/>
      <c r="AV176" s="142"/>
      <c r="AW176" s="142"/>
      <c r="AX176" s="179"/>
      <c r="AY176" s="142"/>
      <c r="AZ176" s="141"/>
      <c r="BA176" s="140"/>
      <c r="BB176" s="141"/>
      <c r="BC176" s="141"/>
      <c r="BD176" s="141"/>
      <c r="BE176" s="141"/>
      <c r="BF176" s="141"/>
      <c r="BG176" s="141"/>
      <c r="BH176" s="142"/>
      <c r="BI176" s="142"/>
      <c r="BJ176" s="142"/>
      <c r="BK176" s="142"/>
      <c r="BL176" s="179"/>
      <c r="BM176" s="142"/>
      <c r="BN176" s="141">
        <v>3</v>
      </c>
      <c r="BO176" s="140">
        <v>0</v>
      </c>
      <c r="BP176" s="141">
        <v>0</v>
      </c>
      <c r="BQ176" s="141">
        <v>0</v>
      </c>
      <c r="BR176" s="141">
        <v>0</v>
      </c>
      <c r="BS176" s="141">
        <v>0</v>
      </c>
      <c r="BT176" s="141">
        <v>0</v>
      </c>
      <c r="BU176" s="141">
        <v>0</v>
      </c>
      <c r="BV176" s="142">
        <v>0</v>
      </c>
      <c r="BW176" s="142">
        <v>0</v>
      </c>
      <c r="BX176" s="142">
        <v>0</v>
      </c>
      <c r="BY176" s="142">
        <v>0</v>
      </c>
      <c r="BZ176" s="142">
        <v>0</v>
      </c>
      <c r="CA176" s="142">
        <v>0</v>
      </c>
      <c r="CB176" s="141"/>
      <c r="CC176" s="140"/>
      <c r="CD176" s="141"/>
      <c r="CE176" s="141"/>
      <c r="CF176" s="141"/>
      <c r="CG176" s="141"/>
      <c r="CH176" s="141"/>
      <c r="CI176" s="141"/>
      <c r="CJ176" s="142"/>
      <c r="CK176" s="142"/>
      <c r="CL176" s="142"/>
      <c r="CM176" s="142"/>
      <c r="CN176" s="179"/>
      <c r="CO176" s="142"/>
    </row>
    <row r="177" spans="1:93" ht="16.5" customHeight="1">
      <c r="A177" s="222"/>
      <c r="B177" s="220" t="s">
        <v>517</v>
      </c>
      <c r="C177" s="220"/>
      <c r="D177" s="220"/>
      <c r="E177" s="136" t="s">
        <v>518</v>
      </c>
      <c r="F177" s="136" t="s">
        <v>209</v>
      </c>
      <c r="G177" s="139">
        <v>2025</v>
      </c>
      <c r="H177" s="136" t="s">
        <v>210</v>
      </c>
      <c r="I177" s="221"/>
      <c r="J177" s="221"/>
      <c r="K177" s="140"/>
      <c r="L177" s="141"/>
      <c r="M177" s="141"/>
      <c r="N177" s="141"/>
      <c r="O177" s="141"/>
      <c r="P177" s="141"/>
      <c r="Q177" s="141"/>
      <c r="R177" s="142"/>
      <c r="S177" s="142"/>
      <c r="T177" s="142"/>
      <c r="U177" s="142"/>
      <c r="V177" s="179"/>
      <c r="W177" s="142"/>
      <c r="X177" s="141">
        <v>3</v>
      </c>
      <c r="Y177" s="140">
        <v>1.133</v>
      </c>
      <c r="Z177" s="141">
        <v>0</v>
      </c>
      <c r="AA177" s="141">
        <v>68</v>
      </c>
      <c r="AB177" s="141">
        <v>1730</v>
      </c>
      <c r="AC177" s="141">
        <v>1770</v>
      </c>
      <c r="AD177" s="141">
        <v>1062</v>
      </c>
      <c r="AE177" s="141">
        <v>668</v>
      </c>
      <c r="AF177" s="142">
        <v>13.318</v>
      </c>
      <c r="AG177" s="142">
        <v>2.3969999999999998</v>
      </c>
      <c r="AH177" s="142">
        <v>10387.736000000001</v>
      </c>
      <c r="AI177" s="142">
        <v>1869.7929999999999</v>
      </c>
      <c r="AJ177" s="179">
        <v>12257.529</v>
      </c>
      <c r="AK177" s="142">
        <v>15.715</v>
      </c>
      <c r="AL177" s="141"/>
      <c r="AM177" s="140"/>
      <c r="AN177" s="141"/>
      <c r="AO177" s="141"/>
      <c r="AP177" s="141"/>
      <c r="AQ177" s="141"/>
      <c r="AR177" s="141"/>
      <c r="AS177" s="141"/>
      <c r="AT177" s="142"/>
      <c r="AU177" s="142"/>
      <c r="AV177" s="142"/>
      <c r="AW177" s="142"/>
      <c r="AX177" s="179"/>
      <c r="AY177" s="142"/>
      <c r="AZ177" s="141"/>
      <c r="BA177" s="140"/>
      <c r="BB177" s="141"/>
      <c r="BC177" s="141"/>
      <c r="BD177" s="141"/>
      <c r="BE177" s="141"/>
      <c r="BF177" s="141"/>
      <c r="BG177" s="141"/>
      <c r="BH177" s="142"/>
      <c r="BI177" s="142"/>
      <c r="BJ177" s="142"/>
      <c r="BK177" s="142"/>
      <c r="BL177" s="179"/>
      <c r="BM177" s="142"/>
      <c r="BN177" s="141">
        <v>3</v>
      </c>
      <c r="BO177" s="140">
        <v>0</v>
      </c>
      <c r="BP177" s="141">
        <v>0</v>
      </c>
      <c r="BQ177" s="141">
        <v>0</v>
      </c>
      <c r="BR177" s="141">
        <v>0</v>
      </c>
      <c r="BS177" s="141">
        <v>0</v>
      </c>
      <c r="BT177" s="141">
        <v>0</v>
      </c>
      <c r="BU177" s="141">
        <v>0</v>
      </c>
      <c r="BV177" s="142">
        <v>0</v>
      </c>
      <c r="BW177" s="142">
        <v>0</v>
      </c>
      <c r="BX177" s="142">
        <v>0</v>
      </c>
      <c r="BY177" s="142">
        <v>0</v>
      </c>
      <c r="BZ177" s="142">
        <v>0</v>
      </c>
      <c r="CA177" s="142">
        <v>0</v>
      </c>
      <c r="CB177" s="141"/>
      <c r="CC177" s="140"/>
      <c r="CD177" s="141"/>
      <c r="CE177" s="141"/>
      <c r="CF177" s="141"/>
      <c r="CG177" s="141"/>
      <c r="CH177" s="141"/>
      <c r="CI177" s="141"/>
      <c r="CJ177" s="142"/>
      <c r="CK177" s="142"/>
      <c r="CL177" s="142"/>
      <c r="CM177" s="142"/>
      <c r="CN177" s="179"/>
      <c r="CO177" s="142"/>
    </row>
    <row r="178" spans="1:93" ht="16.5" customHeight="1">
      <c r="A178" s="222"/>
      <c r="B178" s="220" t="s">
        <v>519</v>
      </c>
      <c r="C178" s="220"/>
      <c r="D178" s="220"/>
      <c r="E178" s="136" t="s">
        <v>520</v>
      </c>
      <c r="F178" s="136" t="s">
        <v>209</v>
      </c>
      <c r="G178" s="139">
        <v>2025</v>
      </c>
      <c r="H178" s="136" t="s">
        <v>210</v>
      </c>
      <c r="I178" s="221"/>
      <c r="J178" s="221"/>
      <c r="K178" s="140"/>
      <c r="L178" s="141"/>
      <c r="M178" s="141"/>
      <c r="N178" s="141"/>
      <c r="O178" s="141"/>
      <c r="P178" s="141"/>
      <c r="Q178" s="141"/>
      <c r="R178" s="142"/>
      <c r="S178" s="142"/>
      <c r="T178" s="142"/>
      <c r="U178" s="142"/>
      <c r="V178" s="179"/>
      <c r="W178" s="142"/>
      <c r="X178" s="141"/>
      <c r="Y178" s="140"/>
      <c r="Z178" s="141"/>
      <c r="AA178" s="141"/>
      <c r="AB178" s="141"/>
      <c r="AC178" s="141"/>
      <c r="AD178" s="141"/>
      <c r="AE178" s="141"/>
      <c r="AF178" s="142"/>
      <c r="AG178" s="142"/>
      <c r="AH178" s="142"/>
      <c r="AI178" s="142"/>
      <c r="AJ178" s="179"/>
      <c r="AK178" s="142"/>
      <c r="AL178" s="141">
        <v>1</v>
      </c>
      <c r="AM178" s="140">
        <v>0</v>
      </c>
      <c r="AN178" s="141">
        <v>0</v>
      </c>
      <c r="AO178" s="141">
        <v>0</v>
      </c>
      <c r="AP178" s="141">
        <v>0</v>
      </c>
      <c r="AQ178" s="141">
        <v>0</v>
      </c>
      <c r="AR178" s="141">
        <v>0</v>
      </c>
      <c r="AS178" s="141">
        <v>0</v>
      </c>
      <c r="AT178" s="142">
        <v>0.05</v>
      </c>
      <c r="AU178" s="142">
        <v>8.9999999999999993E-3</v>
      </c>
      <c r="AV178" s="142">
        <v>39.357999999999997</v>
      </c>
      <c r="AW178" s="142">
        <v>7.085</v>
      </c>
      <c r="AX178" s="179">
        <v>46.442</v>
      </c>
      <c r="AY178" s="142">
        <v>0.06</v>
      </c>
      <c r="AZ178" s="141"/>
      <c r="BA178" s="140"/>
      <c r="BB178" s="141"/>
      <c r="BC178" s="141"/>
      <c r="BD178" s="141"/>
      <c r="BE178" s="141"/>
      <c r="BF178" s="141"/>
      <c r="BG178" s="141"/>
      <c r="BH178" s="142"/>
      <c r="BI178" s="142"/>
      <c r="BJ178" s="142"/>
      <c r="BK178" s="142"/>
      <c r="BL178" s="179"/>
      <c r="BM178" s="142"/>
      <c r="BN178" s="141">
        <v>23</v>
      </c>
      <c r="BO178" s="140">
        <v>0</v>
      </c>
      <c r="BP178" s="141">
        <v>0</v>
      </c>
      <c r="BQ178" s="141">
        <v>0</v>
      </c>
      <c r="BR178" s="141">
        <v>0</v>
      </c>
      <c r="BS178" s="141">
        <v>0</v>
      </c>
      <c r="BT178" s="141">
        <v>0</v>
      </c>
      <c r="BU178" s="141">
        <v>0</v>
      </c>
      <c r="BV178" s="142">
        <v>0</v>
      </c>
      <c r="BW178" s="142">
        <v>0</v>
      </c>
      <c r="BX178" s="142">
        <v>0</v>
      </c>
      <c r="BY178" s="142">
        <v>0</v>
      </c>
      <c r="BZ178" s="142">
        <v>0</v>
      </c>
      <c r="CA178" s="142">
        <v>0</v>
      </c>
      <c r="CB178" s="141"/>
      <c r="CC178" s="140"/>
      <c r="CD178" s="141"/>
      <c r="CE178" s="141"/>
      <c r="CF178" s="141"/>
      <c r="CG178" s="141"/>
      <c r="CH178" s="141"/>
      <c r="CI178" s="141"/>
      <c r="CJ178" s="142"/>
      <c r="CK178" s="142"/>
      <c r="CL178" s="142"/>
      <c r="CM178" s="142"/>
      <c r="CN178" s="179"/>
      <c r="CO178" s="142"/>
    </row>
    <row r="179" spans="1:93" ht="16.5" customHeight="1">
      <c r="A179" s="222"/>
      <c r="B179" s="220" t="s">
        <v>521</v>
      </c>
      <c r="C179" s="220"/>
      <c r="D179" s="220"/>
      <c r="E179" s="136" t="s">
        <v>522</v>
      </c>
      <c r="F179" s="136" t="s">
        <v>209</v>
      </c>
      <c r="G179" s="139">
        <v>2025</v>
      </c>
      <c r="H179" s="136" t="s">
        <v>210</v>
      </c>
      <c r="I179" s="221"/>
      <c r="J179" s="221"/>
      <c r="K179" s="140"/>
      <c r="L179" s="141"/>
      <c r="M179" s="141"/>
      <c r="N179" s="141"/>
      <c r="O179" s="141"/>
      <c r="P179" s="141"/>
      <c r="Q179" s="141"/>
      <c r="R179" s="142"/>
      <c r="S179" s="142"/>
      <c r="T179" s="142"/>
      <c r="U179" s="142"/>
      <c r="V179" s="179"/>
      <c r="W179" s="142"/>
      <c r="X179" s="141"/>
      <c r="Y179" s="140"/>
      <c r="Z179" s="141"/>
      <c r="AA179" s="141"/>
      <c r="AB179" s="141"/>
      <c r="AC179" s="141"/>
      <c r="AD179" s="141"/>
      <c r="AE179" s="141"/>
      <c r="AF179" s="142"/>
      <c r="AG179" s="142"/>
      <c r="AH179" s="142"/>
      <c r="AI179" s="142"/>
      <c r="AJ179" s="179"/>
      <c r="AK179" s="142"/>
      <c r="AL179" s="141"/>
      <c r="AM179" s="140"/>
      <c r="AN179" s="141"/>
      <c r="AO179" s="141"/>
      <c r="AP179" s="141"/>
      <c r="AQ179" s="141"/>
      <c r="AR179" s="141"/>
      <c r="AS179" s="141"/>
      <c r="AT179" s="142"/>
      <c r="AU179" s="142"/>
      <c r="AV179" s="142"/>
      <c r="AW179" s="142"/>
      <c r="AX179" s="179"/>
      <c r="AY179" s="142"/>
      <c r="AZ179" s="141"/>
      <c r="BA179" s="140"/>
      <c r="BB179" s="141"/>
      <c r="BC179" s="141"/>
      <c r="BD179" s="141"/>
      <c r="BE179" s="141"/>
      <c r="BF179" s="141"/>
      <c r="BG179" s="141"/>
      <c r="BH179" s="142"/>
      <c r="BI179" s="142"/>
      <c r="BJ179" s="142"/>
      <c r="BK179" s="142"/>
      <c r="BL179" s="179"/>
      <c r="BM179" s="142"/>
      <c r="BN179" s="141">
        <v>361</v>
      </c>
      <c r="BO179" s="140">
        <v>0</v>
      </c>
      <c r="BP179" s="141">
        <v>0</v>
      </c>
      <c r="BQ179" s="141">
        <v>0</v>
      </c>
      <c r="BR179" s="141">
        <v>0</v>
      </c>
      <c r="BS179" s="141">
        <v>0</v>
      </c>
      <c r="BT179" s="141">
        <v>0</v>
      </c>
      <c r="BU179" s="141">
        <v>0</v>
      </c>
      <c r="BV179" s="142">
        <v>0</v>
      </c>
      <c r="BW179" s="142">
        <v>0</v>
      </c>
      <c r="BX179" s="142">
        <v>0</v>
      </c>
      <c r="BY179" s="142">
        <v>0</v>
      </c>
      <c r="BZ179" s="142">
        <v>0</v>
      </c>
      <c r="CA179" s="142">
        <v>0</v>
      </c>
      <c r="CB179" s="141"/>
      <c r="CC179" s="140"/>
      <c r="CD179" s="141"/>
      <c r="CE179" s="141"/>
      <c r="CF179" s="141"/>
      <c r="CG179" s="141"/>
      <c r="CH179" s="141"/>
      <c r="CI179" s="141"/>
      <c r="CJ179" s="142"/>
      <c r="CK179" s="142"/>
      <c r="CL179" s="142"/>
      <c r="CM179" s="142"/>
      <c r="CN179" s="179"/>
      <c r="CO179" s="142"/>
    </row>
    <row r="180" spans="1:93" ht="16.5" customHeight="1">
      <c r="A180" s="222"/>
      <c r="B180" s="220" t="s">
        <v>523</v>
      </c>
      <c r="C180" s="220"/>
      <c r="D180" s="220"/>
      <c r="E180" s="136" t="s">
        <v>524</v>
      </c>
      <c r="F180" s="136" t="s">
        <v>209</v>
      </c>
      <c r="G180" s="139">
        <v>2025</v>
      </c>
      <c r="H180" s="136" t="s">
        <v>210</v>
      </c>
      <c r="I180" s="221"/>
      <c r="J180" s="221"/>
      <c r="K180" s="140"/>
      <c r="L180" s="141"/>
      <c r="M180" s="141"/>
      <c r="N180" s="141"/>
      <c r="O180" s="141"/>
      <c r="P180" s="141"/>
      <c r="Q180" s="141"/>
      <c r="R180" s="142"/>
      <c r="S180" s="142"/>
      <c r="T180" s="142"/>
      <c r="U180" s="142"/>
      <c r="V180" s="179"/>
      <c r="W180" s="142"/>
      <c r="X180" s="141">
        <v>27988</v>
      </c>
      <c r="Y180" s="140">
        <v>62543.733</v>
      </c>
      <c r="Z180" s="141">
        <v>0</v>
      </c>
      <c r="AA180" s="141">
        <v>3752624</v>
      </c>
      <c r="AB180" s="141">
        <v>6</v>
      </c>
      <c r="AC180" s="141">
        <v>9</v>
      </c>
      <c r="AD180" s="141">
        <v>2</v>
      </c>
      <c r="AE180" s="141">
        <v>3</v>
      </c>
      <c r="AF180" s="142">
        <v>0</v>
      </c>
      <c r="AG180" s="142">
        <v>0</v>
      </c>
      <c r="AH180" s="142">
        <v>7.0999999999999994E-2</v>
      </c>
      <c r="AI180" s="142">
        <v>1.2999999999999999E-2</v>
      </c>
      <c r="AJ180" s="179">
        <v>8.4000000000000005E-2</v>
      </c>
      <c r="AK180" s="142">
        <v>0</v>
      </c>
      <c r="AL180" s="141"/>
      <c r="AM180" s="140"/>
      <c r="AN180" s="141"/>
      <c r="AO180" s="141"/>
      <c r="AP180" s="141"/>
      <c r="AQ180" s="141"/>
      <c r="AR180" s="141"/>
      <c r="AS180" s="141"/>
      <c r="AT180" s="142"/>
      <c r="AU180" s="142"/>
      <c r="AV180" s="142"/>
      <c r="AW180" s="142"/>
      <c r="AX180" s="179"/>
      <c r="AY180" s="142"/>
      <c r="AZ180" s="141"/>
      <c r="BA180" s="140"/>
      <c r="BB180" s="141"/>
      <c r="BC180" s="141"/>
      <c r="BD180" s="141"/>
      <c r="BE180" s="141"/>
      <c r="BF180" s="141"/>
      <c r="BG180" s="141"/>
      <c r="BH180" s="142"/>
      <c r="BI180" s="142"/>
      <c r="BJ180" s="142"/>
      <c r="BK180" s="142"/>
      <c r="BL180" s="179"/>
      <c r="BM180" s="142"/>
      <c r="BN180" s="141"/>
      <c r="BO180" s="140"/>
      <c r="BP180" s="141"/>
      <c r="BQ180" s="141"/>
      <c r="BR180" s="141"/>
      <c r="BS180" s="141"/>
      <c r="BT180" s="141"/>
      <c r="BU180" s="141"/>
      <c r="BV180" s="142"/>
      <c r="BW180" s="142"/>
      <c r="BX180" s="142"/>
      <c r="BY180" s="142"/>
      <c r="BZ180" s="142"/>
      <c r="CA180" s="142"/>
      <c r="CB180" s="141"/>
      <c r="CC180" s="140"/>
      <c r="CD180" s="141"/>
      <c r="CE180" s="141"/>
      <c r="CF180" s="141"/>
      <c r="CG180" s="141"/>
      <c r="CH180" s="141"/>
      <c r="CI180" s="141"/>
      <c r="CJ180" s="142"/>
      <c r="CK180" s="142"/>
      <c r="CL180" s="142"/>
      <c r="CM180" s="142"/>
      <c r="CN180" s="179"/>
      <c r="CO180" s="142"/>
    </row>
    <row r="181" spans="1:93" ht="16.5" customHeight="1">
      <c r="A181" s="222"/>
      <c r="B181" s="220" t="s">
        <v>525</v>
      </c>
      <c r="C181" s="220"/>
      <c r="D181" s="220"/>
      <c r="E181" s="136" t="s">
        <v>526</v>
      </c>
      <c r="F181" s="136" t="s">
        <v>209</v>
      </c>
      <c r="G181" s="139">
        <v>2025</v>
      </c>
      <c r="H181" s="136" t="s">
        <v>210</v>
      </c>
      <c r="I181" s="221"/>
      <c r="J181" s="221"/>
      <c r="K181" s="140"/>
      <c r="L181" s="141"/>
      <c r="M181" s="141"/>
      <c r="N181" s="141"/>
      <c r="O181" s="141"/>
      <c r="P181" s="141"/>
      <c r="Q181" s="141"/>
      <c r="R181" s="142"/>
      <c r="S181" s="142"/>
      <c r="T181" s="142"/>
      <c r="U181" s="142"/>
      <c r="V181" s="179"/>
      <c r="W181" s="142"/>
      <c r="X181" s="141"/>
      <c r="Y181" s="140"/>
      <c r="Z181" s="141"/>
      <c r="AA181" s="141"/>
      <c r="AB181" s="141"/>
      <c r="AC181" s="141"/>
      <c r="AD181" s="141"/>
      <c r="AE181" s="141"/>
      <c r="AF181" s="142"/>
      <c r="AG181" s="142"/>
      <c r="AH181" s="142"/>
      <c r="AI181" s="142"/>
      <c r="AJ181" s="179"/>
      <c r="AK181" s="142"/>
      <c r="AL181" s="141">
        <v>9</v>
      </c>
      <c r="AM181" s="140">
        <v>0</v>
      </c>
      <c r="AN181" s="141">
        <v>0</v>
      </c>
      <c r="AO181" s="141">
        <v>0</v>
      </c>
      <c r="AP181" s="141">
        <v>0</v>
      </c>
      <c r="AQ181" s="141">
        <v>0</v>
      </c>
      <c r="AR181" s="141">
        <v>0</v>
      </c>
      <c r="AS181" s="141">
        <v>0</v>
      </c>
      <c r="AT181" s="142">
        <v>6.8000000000000005E-2</v>
      </c>
      <c r="AU181" s="142">
        <v>1.2E-2</v>
      </c>
      <c r="AV181" s="142">
        <v>53.134</v>
      </c>
      <c r="AW181" s="142">
        <v>9.5609999999999999</v>
      </c>
      <c r="AX181" s="179">
        <v>62.695</v>
      </c>
      <c r="AY181" s="142">
        <v>0.08</v>
      </c>
      <c r="AZ181" s="141">
        <v>1</v>
      </c>
      <c r="BA181" s="140">
        <v>0.71699999999999997</v>
      </c>
      <c r="BB181" s="141">
        <v>1</v>
      </c>
      <c r="BC181" s="141">
        <v>43</v>
      </c>
      <c r="BD181" s="141">
        <v>43</v>
      </c>
      <c r="BE181" s="141">
        <v>43</v>
      </c>
      <c r="BF181" s="141">
        <v>0</v>
      </c>
      <c r="BG181" s="141">
        <v>0</v>
      </c>
      <c r="BH181" s="142">
        <v>0.09</v>
      </c>
      <c r="BI181" s="142">
        <v>1.6E-2</v>
      </c>
      <c r="BJ181" s="142">
        <v>70.515000000000001</v>
      </c>
      <c r="BK181" s="142">
        <v>12.693</v>
      </c>
      <c r="BL181" s="179">
        <v>83.207999999999998</v>
      </c>
      <c r="BM181" s="142">
        <v>0.107</v>
      </c>
      <c r="BN181" s="141">
        <v>69</v>
      </c>
      <c r="BO181" s="140">
        <v>0</v>
      </c>
      <c r="BP181" s="141">
        <v>0</v>
      </c>
      <c r="BQ181" s="141">
        <v>0</v>
      </c>
      <c r="BR181" s="141">
        <v>0</v>
      </c>
      <c r="BS181" s="141">
        <v>0</v>
      </c>
      <c r="BT181" s="141">
        <v>0</v>
      </c>
      <c r="BU181" s="141">
        <v>0</v>
      </c>
      <c r="BV181" s="142">
        <v>0</v>
      </c>
      <c r="BW181" s="142">
        <v>0</v>
      </c>
      <c r="BX181" s="142">
        <v>0</v>
      </c>
      <c r="BY181" s="142">
        <v>0</v>
      </c>
      <c r="BZ181" s="142">
        <v>0</v>
      </c>
      <c r="CA181" s="142">
        <v>0</v>
      </c>
      <c r="CB181" s="141"/>
      <c r="CC181" s="140"/>
      <c r="CD181" s="141"/>
      <c r="CE181" s="141"/>
      <c r="CF181" s="141"/>
      <c r="CG181" s="141"/>
      <c r="CH181" s="141"/>
      <c r="CI181" s="141"/>
      <c r="CJ181" s="142"/>
      <c r="CK181" s="142"/>
      <c r="CL181" s="142"/>
      <c r="CM181" s="142"/>
      <c r="CN181" s="179"/>
      <c r="CO181" s="142"/>
    </row>
    <row r="182" spans="1:93" ht="16.5" customHeight="1">
      <c r="A182" s="222"/>
      <c r="B182" s="220" t="s">
        <v>527</v>
      </c>
      <c r="C182" s="220"/>
      <c r="D182" s="220"/>
      <c r="E182" s="136" t="s">
        <v>528</v>
      </c>
      <c r="F182" s="136" t="s">
        <v>209</v>
      </c>
      <c r="G182" s="139">
        <v>2025</v>
      </c>
      <c r="H182" s="136" t="s">
        <v>210</v>
      </c>
      <c r="I182" s="221"/>
      <c r="J182" s="221"/>
      <c r="K182" s="140"/>
      <c r="L182" s="141"/>
      <c r="M182" s="141"/>
      <c r="N182" s="141"/>
      <c r="O182" s="141"/>
      <c r="P182" s="141"/>
      <c r="Q182" s="141"/>
      <c r="R182" s="142"/>
      <c r="S182" s="142"/>
      <c r="T182" s="142"/>
      <c r="U182" s="142"/>
      <c r="V182" s="179"/>
      <c r="W182" s="142"/>
      <c r="X182" s="141">
        <v>4186</v>
      </c>
      <c r="Y182" s="140">
        <v>76585.866999999998</v>
      </c>
      <c r="Z182" s="141">
        <v>0</v>
      </c>
      <c r="AA182" s="141">
        <v>4595152</v>
      </c>
      <c r="AB182" s="141">
        <v>5579486</v>
      </c>
      <c r="AC182" s="141">
        <v>5579887</v>
      </c>
      <c r="AD182" s="141">
        <v>4611450</v>
      </c>
      <c r="AE182" s="141">
        <v>968036</v>
      </c>
      <c r="AF182" s="142">
        <v>9.6229999999999993</v>
      </c>
      <c r="AG182" s="142">
        <v>1.732</v>
      </c>
      <c r="AH182" s="142">
        <v>7506.2160000000003</v>
      </c>
      <c r="AI182" s="142">
        <v>1351.085</v>
      </c>
      <c r="AJ182" s="179">
        <v>8857.3009999999995</v>
      </c>
      <c r="AK182" s="142">
        <v>11.356</v>
      </c>
      <c r="AL182" s="141">
        <v>245</v>
      </c>
      <c r="AM182" s="140">
        <v>0</v>
      </c>
      <c r="AN182" s="141">
        <v>0</v>
      </c>
      <c r="AO182" s="141">
        <v>0</v>
      </c>
      <c r="AP182" s="141">
        <v>0</v>
      </c>
      <c r="AQ182" s="141">
        <v>0</v>
      </c>
      <c r="AR182" s="141">
        <v>0</v>
      </c>
      <c r="AS182" s="141">
        <v>0</v>
      </c>
      <c r="AT182" s="142">
        <v>11.188000000000001</v>
      </c>
      <c r="AU182" s="142">
        <v>2.0139999999999998</v>
      </c>
      <c r="AV182" s="142">
        <v>8726.4920000000002</v>
      </c>
      <c r="AW182" s="142">
        <v>1570.826</v>
      </c>
      <c r="AX182" s="179">
        <v>10297.317999999999</v>
      </c>
      <c r="AY182" s="142">
        <v>13.202</v>
      </c>
      <c r="AZ182" s="141">
        <v>671</v>
      </c>
      <c r="BA182" s="140">
        <v>740.21699999999998</v>
      </c>
      <c r="BB182" s="141">
        <v>1054</v>
      </c>
      <c r="BC182" s="141">
        <v>44413</v>
      </c>
      <c r="BD182" s="141">
        <v>44413</v>
      </c>
      <c r="BE182" s="141">
        <v>44413</v>
      </c>
      <c r="BF182" s="141">
        <v>0</v>
      </c>
      <c r="BG182" s="141">
        <v>0</v>
      </c>
      <c r="BH182" s="142">
        <v>46.843000000000004</v>
      </c>
      <c r="BI182" s="142">
        <v>8.4320000000000004</v>
      </c>
      <c r="BJ182" s="142">
        <v>36537.497000000003</v>
      </c>
      <c r="BK182" s="142">
        <v>6576.7370000000001</v>
      </c>
      <c r="BL182" s="179">
        <v>43114.233</v>
      </c>
      <c r="BM182" s="142">
        <v>55.274999999999999</v>
      </c>
      <c r="BN182" s="141">
        <v>27243</v>
      </c>
      <c r="BO182" s="140">
        <v>0</v>
      </c>
      <c r="BP182" s="141">
        <v>0</v>
      </c>
      <c r="BQ182" s="141">
        <v>0</v>
      </c>
      <c r="BR182" s="141">
        <v>0</v>
      </c>
      <c r="BS182" s="141">
        <v>0</v>
      </c>
      <c r="BT182" s="141">
        <v>0</v>
      </c>
      <c r="BU182" s="141">
        <v>0</v>
      </c>
      <c r="BV182" s="142">
        <v>0</v>
      </c>
      <c r="BW182" s="142">
        <v>0</v>
      </c>
      <c r="BX182" s="142">
        <v>0</v>
      </c>
      <c r="BY182" s="142">
        <v>0</v>
      </c>
      <c r="BZ182" s="142">
        <v>0</v>
      </c>
      <c r="CA182" s="142">
        <v>0</v>
      </c>
      <c r="CB182" s="141">
        <v>14607</v>
      </c>
      <c r="CC182" s="140">
        <v>28076.082999999999</v>
      </c>
      <c r="CD182" s="141">
        <v>35346</v>
      </c>
      <c r="CE182" s="141">
        <v>1684565</v>
      </c>
      <c r="CF182" s="141">
        <v>1684565</v>
      </c>
      <c r="CG182" s="141">
        <v>1684565</v>
      </c>
      <c r="CH182" s="141">
        <v>0</v>
      </c>
      <c r="CI182" s="141">
        <v>0</v>
      </c>
      <c r="CJ182" s="142">
        <v>0</v>
      </c>
      <c r="CK182" s="142">
        <v>0</v>
      </c>
      <c r="CL182" s="142">
        <v>0</v>
      </c>
      <c r="CM182" s="142">
        <v>0</v>
      </c>
      <c r="CN182" s="179">
        <v>0</v>
      </c>
      <c r="CO182" s="142">
        <v>0</v>
      </c>
    </row>
    <row r="183" spans="1:93" ht="16.5" customHeight="1">
      <c r="A183" s="222"/>
      <c r="B183" s="220" t="s">
        <v>529</v>
      </c>
      <c r="C183" s="220"/>
      <c r="D183" s="220"/>
      <c r="E183" s="136" t="s">
        <v>530</v>
      </c>
      <c r="F183" s="136" t="s">
        <v>209</v>
      </c>
      <c r="G183" s="139">
        <v>2025</v>
      </c>
      <c r="H183" s="136" t="s">
        <v>210</v>
      </c>
      <c r="I183" s="221"/>
      <c r="J183" s="221"/>
      <c r="K183" s="140"/>
      <c r="L183" s="141"/>
      <c r="M183" s="141"/>
      <c r="N183" s="141"/>
      <c r="O183" s="141"/>
      <c r="P183" s="141"/>
      <c r="Q183" s="141"/>
      <c r="R183" s="142"/>
      <c r="S183" s="142"/>
      <c r="T183" s="142"/>
      <c r="U183" s="142"/>
      <c r="V183" s="179"/>
      <c r="W183" s="142"/>
      <c r="X183" s="141">
        <v>1889697</v>
      </c>
      <c r="Y183" s="140">
        <v>32334361.317000002</v>
      </c>
      <c r="Z183" s="141">
        <v>0</v>
      </c>
      <c r="AA183" s="141">
        <v>1940061679</v>
      </c>
      <c r="AB183" s="141">
        <v>92538903</v>
      </c>
      <c r="AC183" s="141">
        <v>92672887</v>
      </c>
      <c r="AD183" s="141">
        <v>72494716</v>
      </c>
      <c r="AE183" s="141">
        <v>20044187</v>
      </c>
      <c r="AF183" s="142">
        <v>175.072</v>
      </c>
      <c r="AG183" s="142">
        <v>31.481000000000002</v>
      </c>
      <c r="AH183" s="142">
        <v>136554.391</v>
      </c>
      <c r="AI183" s="142">
        <v>24554.683000000001</v>
      </c>
      <c r="AJ183" s="179">
        <v>161109.07500000001</v>
      </c>
      <c r="AK183" s="142">
        <v>206.55199999999999</v>
      </c>
      <c r="AL183" s="141">
        <v>1623</v>
      </c>
      <c r="AM183" s="140">
        <v>0</v>
      </c>
      <c r="AN183" s="141">
        <v>0</v>
      </c>
      <c r="AO183" s="141">
        <v>0</v>
      </c>
      <c r="AP183" s="141">
        <v>0</v>
      </c>
      <c r="AQ183" s="141">
        <v>0</v>
      </c>
      <c r="AR183" s="141">
        <v>0</v>
      </c>
      <c r="AS183" s="141">
        <v>0</v>
      </c>
      <c r="AT183" s="142">
        <v>74.114000000000004</v>
      </c>
      <c r="AU183" s="142">
        <v>13.340999999999999</v>
      </c>
      <c r="AV183" s="142">
        <v>57808.557000000001</v>
      </c>
      <c r="AW183" s="142">
        <v>10405.92</v>
      </c>
      <c r="AX183" s="179">
        <v>68214.476999999999</v>
      </c>
      <c r="AY183" s="142">
        <v>87.454999999999998</v>
      </c>
      <c r="AZ183" s="141">
        <v>15118</v>
      </c>
      <c r="BA183" s="140">
        <v>15519.282999999999</v>
      </c>
      <c r="BB183" s="141">
        <v>23031</v>
      </c>
      <c r="BC183" s="141">
        <v>931157</v>
      </c>
      <c r="BD183" s="141">
        <v>931157</v>
      </c>
      <c r="BE183" s="141">
        <v>931157</v>
      </c>
      <c r="BF183" s="141">
        <v>0</v>
      </c>
      <c r="BG183" s="141">
        <v>0</v>
      </c>
      <c r="BH183" s="142">
        <v>1010.1319999999999</v>
      </c>
      <c r="BI183" s="142">
        <v>181.82400000000001</v>
      </c>
      <c r="BJ183" s="142">
        <v>787895.228</v>
      </c>
      <c r="BK183" s="142">
        <v>141821.356</v>
      </c>
      <c r="BL183" s="179">
        <v>929716.58400000003</v>
      </c>
      <c r="BM183" s="142">
        <v>1191.9570000000001</v>
      </c>
      <c r="BN183" s="141">
        <v>1434510</v>
      </c>
      <c r="BO183" s="140">
        <v>0</v>
      </c>
      <c r="BP183" s="141">
        <v>0</v>
      </c>
      <c r="BQ183" s="141">
        <v>0</v>
      </c>
      <c r="BR183" s="141">
        <v>0</v>
      </c>
      <c r="BS183" s="141">
        <v>0</v>
      </c>
      <c r="BT183" s="141">
        <v>0</v>
      </c>
      <c r="BU183" s="141">
        <v>0</v>
      </c>
      <c r="BV183" s="142">
        <v>0</v>
      </c>
      <c r="BW183" s="142">
        <v>0</v>
      </c>
      <c r="BX183" s="142">
        <v>0</v>
      </c>
      <c r="BY183" s="142">
        <v>0</v>
      </c>
      <c r="BZ183" s="142">
        <v>0</v>
      </c>
      <c r="CA183" s="142">
        <v>0</v>
      </c>
      <c r="CB183" s="141">
        <v>201518</v>
      </c>
      <c r="CC183" s="140">
        <v>494636</v>
      </c>
      <c r="CD183" s="141">
        <v>591157</v>
      </c>
      <c r="CE183" s="141">
        <v>29678160</v>
      </c>
      <c r="CF183" s="141">
        <v>29678160</v>
      </c>
      <c r="CG183" s="141">
        <v>29678160</v>
      </c>
      <c r="CH183" s="141">
        <v>0</v>
      </c>
      <c r="CI183" s="141">
        <v>0</v>
      </c>
      <c r="CJ183" s="142">
        <v>0</v>
      </c>
      <c r="CK183" s="142">
        <v>0</v>
      </c>
      <c r="CL183" s="142">
        <v>0</v>
      </c>
      <c r="CM183" s="142">
        <v>0</v>
      </c>
      <c r="CN183" s="179">
        <v>0</v>
      </c>
      <c r="CO183" s="142">
        <v>0</v>
      </c>
    </row>
    <row r="184" spans="1:93" ht="16.5" customHeight="1">
      <c r="A184" s="222"/>
      <c r="B184" s="220" t="s">
        <v>531</v>
      </c>
      <c r="C184" s="220"/>
      <c r="D184" s="220"/>
      <c r="E184" s="136" t="s">
        <v>532</v>
      </c>
      <c r="F184" s="136" t="s">
        <v>209</v>
      </c>
      <c r="G184" s="139">
        <v>2025</v>
      </c>
      <c r="H184" s="136" t="s">
        <v>210</v>
      </c>
      <c r="I184" s="221"/>
      <c r="J184" s="221"/>
      <c r="K184" s="140"/>
      <c r="L184" s="141"/>
      <c r="M184" s="141"/>
      <c r="N184" s="141"/>
      <c r="O184" s="141"/>
      <c r="P184" s="141"/>
      <c r="Q184" s="141"/>
      <c r="R184" s="142"/>
      <c r="S184" s="142"/>
      <c r="T184" s="142"/>
      <c r="U184" s="142"/>
      <c r="V184" s="179"/>
      <c r="W184" s="142"/>
      <c r="X184" s="141"/>
      <c r="Y184" s="140"/>
      <c r="Z184" s="141"/>
      <c r="AA184" s="141"/>
      <c r="AB184" s="141"/>
      <c r="AC184" s="141"/>
      <c r="AD184" s="141"/>
      <c r="AE184" s="141"/>
      <c r="AF184" s="142"/>
      <c r="AG184" s="142"/>
      <c r="AH184" s="142"/>
      <c r="AI184" s="142"/>
      <c r="AJ184" s="179"/>
      <c r="AK184" s="142"/>
      <c r="AL184" s="141"/>
      <c r="AM184" s="140"/>
      <c r="AN184" s="141"/>
      <c r="AO184" s="141"/>
      <c r="AP184" s="141"/>
      <c r="AQ184" s="141"/>
      <c r="AR184" s="141"/>
      <c r="AS184" s="141"/>
      <c r="AT184" s="142"/>
      <c r="AU184" s="142"/>
      <c r="AV184" s="142"/>
      <c r="AW184" s="142"/>
      <c r="AX184" s="179"/>
      <c r="AY184" s="142"/>
      <c r="AZ184" s="141"/>
      <c r="BA184" s="140"/>
      <c r="BB184" s="141"/>
      <c r="BC184" s="141"/>
      <c r="BD184" s="141"/>
      <c r="BE184" s="141"/>
      <c r="BF184" s="141"/>
      <c r="BG184" s="141"/>
      <c r="BH184" s="142"/>
      <c r="BI184" s="142"/>
      <c r="BJ184" s="142"/>
      <c r="BK184" s="142"/>
      <c r="BL184" s="179"/>
      <c r="BM184" s="142"/>
      <c r="BN184" s="141">
        <v>157</v>
      </c>
      <c r="BO184" s="140">
        <v>0</v>
      </c>
      <c r="BP184" s="141">
        <v>0</v>
      </c>
      <c r="BQ184" s="141">
        <v>0</v>
      </c>
      <c r="BR184" s="141">
        <v>0</v>
      </c>
      <c r="BS184" s="141">
        <v>0</v>
      </c>
      <c r="BT184" s="141">
        <v>0</v>
      </c>
      <c r="BU184" s="141">
        <v>0</v>
      </c>
      <c r="BV184" s="142">
        <v>0</v>
      </c>
      <c r="BW184" s="142">
        <v>0</v>
      </c>
      <c r="BX184" s="142">
        <v>0</v>
      </c>
      <c r="BY184" s="142">
        <v>0</v>
      </c>
      <c r="BZ184" s="142">
        <v>0</v>
      </c>
      <c r="CA184" s="142">
        <v>0</v>
      </c>
      <c r="CB184" s="141"/>
      <c r="CC184" s="140"/>
      <c r="CD184" s="141"/>
      <c r="CE184" s="141"/>
      <c r="CF184" s="141"/>
      <c r="CG184" s="141"/>
      <c r="CH184" s="141"/>
      <c r="CI184" s="141"/>
      <c r="CJ184" s="142"/>
      <c r="CK184" s="142"/>
      <c r="CL184" s="142"/>
      <c r="CM184" s="142"/>
      <c r="CN184" s="179"/>
      <c r="CO184" s="142"/>
    </row>
    <row r="185" spans="1:93" ht="16.5" customHeight="1">
      <c r="A185" s="222"/>
      <c r="B185" s="220" t="s">
        <v>533</v>
      </c>
      <c r="C185" s="220"/>
      <c r="D185" s="220"/>
      <c r="E185" s="136" t="s">
        <v>534</v>
      </c>
      <c r="F185" s="136" t="s">
        <v>209</v>
      </c>
      <c r="G185" s="139">
        <v>2025</v>
      </c>
      <c r="H185" s="136" t="s">
        <v>210</v>
      </c>
      <c r="I185" s="221"/>
      <c r="J185" s="221"/>
      <c r="K185" s="140"/>
      <c r="L185" s="141"/>
      <c r="M185" s="141"/>
      <c r="N185" s="141"/>
      <c r="O185" s="141"/>
      <c r="P185" s="141"/>
      <c r="Q185" s="141"/>
      <c r="R185" s="142"/>
      <c r="S185" s="142"/>
      <c r="T185" s="142"/>
      <c r="U185" s="142"/>
      <c r="V185" s="179"/>
      <c r="W185" s="142"/>
      <c r="X185" s="141">
        <v>844</v>
      </c>
      <c r="Y185" s="140">
        <v>15305.333000000001</v>
      </c>
      <c r="Z185" s="141">
        <v>0</v>
      </c>
      <c r="AA185" s="141">
        <v>918320</v>
      </c>
      <c r="AB185" s="141">
        <v>2747712</v>
      </c>
      <c r="AC185" s="141">
        <v>2748080</v>
      </c>
      <c r="AD185" s="141">
        <v>2289865</v>
      </c>
      <c r="AE185" s="141">
        <v>457847</v>
      </c>
      <c r="AF185" s="142">
        <v>9.5630000000000006</v>
      </c>
      <c r="AG185" s="142">
        <v>1.7210000000000001</v>
      </c>
      <c r="AH185" s="142">
        <v>7459.1660000000002</v>
      </c>
      <c r="AI185" s="142">
        <v>1342.6869999999999</v>
      </c>
      <c r="AJ185" s="179">
        <v>8801.8520000000008</v>
      </c>
      <c r="AK185" s="142">
        <v>11.285</v>
      </c>
      <c r="AL185" s="141">
        <v>53</v>
      </c>
      <c r="AM185" s="140">
        <v>0</v>
      </c>
      <c r="AN185" s="141">
        <v>0</v>
      </c>
      <c r="AO185" s="141">
        <v>0</v>
      </c>
      <c r="AP185" s="141">
        <v>0</v>
      </c>
      <c r="AQ185" s="141">
        <v>0</v>
      </c>
      <c r="AR185" s="141">
        <v>0</v>
      </c>
      <c r="AS185" s="141">
        <v>0</v>
      </c>
      <c r="AT185" s="142">
        <v>3.7770000000000001</v>
      </c>
      <c r="AU185" s="142">
        <v>0.68</v>
      </c>
      <c r="AV185" s="142">
        <v>2946.3960000000002</v>
      </c>
      <c r="AW185" s="142">
        <v>530.34500000000003</v>
      </c>
      <c r="AX185" s="179">
        <v>3476.741</v>
      </c>
      <c r="AY185" s="142">
        <v>4.4569999999999999</v>
      </c>
      <c r="AZ185" s="141">
        <v>27</v>
      </c>
      <c r="BA185" s="140">
        <v>16.716999999999999</v>
      </c>
      <c r="BB185" s="141">
        <v>32</v>
      </c>
      <c r="BC185" s="141">
        <v>1003</v>
      </c>
      <c r="BD185" s="141">
        <v>1003</v>
      </c>
      <c r="BE185" s="141">
        <v>1003</v>
      </c>
      <c r="BF185" s="141">
        <v>0</v>
      </c>
      <c r="BG185" s="141">
        <v>0</v>
      </c>
      <c r="BH185" s="142">
        <v>7.1479999999999997</v>
      </c>
      <c r="BI185" s="142">
        <v>1.2869999999999999</v>
      </c>
      <c r="BJ185" s="142">
        <v>5575.59</v>
      </c>
      <c r="BK185" s="142">
        <v>1003.607</v>
      </c>
      <c r="BL185" s="179">
        <v>6579.1970000000001</v>
      </c>
      <c r="BM185" s="142">
        <v>8.4350000000000005</v>
      </c>
      <c r="BN185" s="141">
        <v>3094</v>
      </c>
      <c r="BO185" s="140">
        <v>0</v>
      </c>
      <c r="BP185" s="141">
        <v>0</v>
      </c>
      <c r="BQ185" s="141">
        <v>0</v>
      </c>
      <c r="BR185" s="141">
        <v>0</v>
      </c>
      <c r="BS185" s="141">
        <v>0</v>
      </c>
      <c r="BT185" s="141">
        <v>0</v>
      </c>
      <c r="BU185" s="141">
        <v>0</v>
      </c>
      <c r="BV185" s="142">
        <v>0</v>
      </c>
      <c r="BW185" s="142">
        <v>0</v>
      </c>
      <c r="BX185" s="142">
        <v>0</v>
      </c>
      <c r="BY185" s="142">
        <v>0</v>
      </c>
      <c r="BZ185" s="142">
        <v>0</v>
      </c>
      <c r="CA185" s="142">
        <v>0</v>
      </c>
      <c r="CB185" s="141">
        <v>71</v>
      </c>
      <c r="CC185" s="140">
        <v>61.616999999999997</v>
      </c>
      <c r="CD185" s="141">
        <v>105</v>
      </c>
      <c r="CE185" s="141">
        <v>3697</v>
      </c>
      <c r="CF185" s="141">
        <v>3697</v>
      </c>
      <c r="CG185" s="141">
        <v>3697</v>
      </c>
      <c r="CH185" s="141">
        <v>0</v>
      </c>
      <c r="CI185" s="141">
        <v>0</v>
      </c>
      <c r="CJ185" s="142">
        <v>0</v>
      </c>
      <c r="CK185" s="142">
        <v>0</v>
      </c>
      <c r="CL185" s="142">
        <v>0</v>
      </c>
      <c r="CM185" s="142">
        <v>0</v>
      </c>
      <c r="CN185" s="179">
        <v>0</v>
      </c>
      <c r="CO185" s="142">
        <v>0</v>
      </c>
    </row>
    <row r="186" spans="1:93" ht="16.5" customHeight="1">
      <c r="A186" s="222"/>
      <c r="B186" s="220" t="s">
        <v>535</v>
      </c>
      <c r="C186" s="220"/>
      <c r="D186" s="220"/>
      <c r="E186" s="136" t="s">
        <v>536</v>
      </c>
      <c r="F186" s="136" t="s">
        <v>209</v>
      </c>
      <c r="G186" s="139">
        <v>2025</v>
      </c>
      <c r="H186" s="136" t="s">
        <v>210</v>
      </c>
      <c r="I186" s="221"/>
      <c r="J186" s="221"/>
      <c r="K186" s="140"/>
      <c r="L186" s="141"/>
      <c r="M186" s="141"/>
      <c r="N186" s="141"/>
      <c r="O186" s="141"/>
      <c r="P186" s="141"/>
      <c r="Q186" s="141"/>
      <c r="R186" s="142"/>
      <c r="S186" s="142"/>
      <c r="T186" s="142"/>
      <c r="U186" s="142"/>
      <c r="V186" s="179"/>
      <c r="W186" s="142"/>
      <c r="X186" s="141">
        <v>40</v>
      </c>
      <c r="Y186" s="140">
        <v>746.9</v>
      </c>
      <c r="Z186" s="141">
        <v>0</v>
      </c>
      <c r="AA186" s="141">
        <v>44814</v>
      </c>
      <c r="AB186" s="141">
        <v>2630</v>
      </c>
      <c r="AC186" s="141">
        <v>2645</v>
      </c>
      <c r="AD186" s="141">
        <v>77</v>
      </c>
      <c r="AE186" s="141">
        <v>2553</v>
      </c>
      <c r="AF186" s="142">
        <v>8.9999999999999993E-3</v>
      </c>
      <c r="AG186" s="142">
        <v>2E-3</v>
      </c>
      <c r="AH186" s="142">
        <v>7.1150000000000002</v>
      </c>
      <c r="AI186" s="142">
        <v>1.284</v>
      </c>
      <c r="AJ186" s="179">
        <v>8.3989999999999991</v>
      </c>
      <c r="AK186" s="142">
        <v>1.0999999999999999E-2</v>
      </c>
      <c r="AL186" s="141"/>
      <c r="AM186" s="140"/>
      <c r="AN186" s="141"/>
      <c r="AO186" s="141"/>
      <c r="AP186" s="141"/>
      <c r="AQ186" s="141"/>
      <c r="AR186" s="141"/>
      <c r="AS186" s="141"/>
      <c r="AT186" s="142"/>
      <c r="AU186" s="142"/>
      <c r="AV186" s="142"/>
      <c r="AW186" s="142"/>
      <c r="AX186" s="179"/>
      <c r="AY186" s="142"/>
      <c r="AZ186" s="141"/>
      <c r="BA186" s="140"/>
      <c r="BB186" s="141"/>
      <c r="BC186" s="141"/>
      <c r="BD186" s="141"/>
      <c r="BE186" s="141"/>
      <c r="BF186" s="141"/>
      <c r="BG186" s="141"/>
      <c r="BH186" s="142"/>
      <c r="BI186" s="142"/>
      <c r="BJ186" s="142"/>
      <c r="BK186" s="142"/>
      <c r="BL186" s="179"/>
      <c r="BM186" s="142"/>
      <c r="BN186" s="141">
        <v>1534</v>
      </c>
      <c r="BO186" s="140">
        <v>0</v>
      </c>
      <c r="BP186" s="141">
        <v>0</v>
      </c>
      <c r="BQ186" s="141">
        <v>0</v>
      </c>
      <c r="BR186" s="141">
        <v>0</v>
      </c>
      <c r="BS186" s="141">
        <v>0</v>
      </c>
      <c r="BT186" s="141">
        <v>0</v>
      </c>
      <c r="BU186" s="141">
        <v>0</v>
      </c>
      <c r="BV186" s="142">
        <v>0</v>
      </c>
      <c r="BW186" s="142">
        <v>0</v>
      </c>
      <c r="BX186" s="142">
        <v>0</v>
      </c>
      <c r="BY186" s="142">
        <v>0</v>
      </c>
      <c r="BZ186" s="142">
        <v>0</v>
      </c>
      <c r="CA186" s="142">
        <v>0</v>
      </c>
      <c r="CB186" s="141">
        <v>3</v>
      </c>
      <c r="CC186" s="140">
        <v>0.41699999999999998</v>
      </c>
      <c r="CD186" s="141">
        <v>3</v>
      </c>
      <c r="CE186" s="141">
        <v>25</v>
      </c>
      <c r="CF186" s="141">
        <v>25</v>
      </c>
      <c r="CG186" s="141">
        <v>25</v>
      </c>
      <c r="CH186" s="141">
        <v>0</v>
      </c>
      <c r="CI186" s="141">
        <v>0</v>
      </c>
      <c r="CJ186" s="142">
        <v>0</v>
      </c>
      <c r="CK186" s="142">
        <v>0</v>
      </c>
      <c r="CL186" s="142">
        <v>0</v>
      </c>
      <c r="CM186" s="142">
        <v>0</v>
      </c>
      <c r="CN186" s="179">
        <v>0</v>
      </c>
      <c r="CO186" s="142">
        <v>0</v>
      </c>
    </row>
    <row r="187" spans="1:93" ht="16.5" customHeight="1">
      <c r="A187" s="222"/>
      <c r="B187" s="220" t="s">
        <v>537</v>
      </c>
      <c r="C187" s="220"/>
      <c r="D187" s="220"/>
      <c r="E187" s="136" t="s">
        <v>538</v>
      </c>
      <c r="F187" s="136" t="s">
        <v>209</v>
      </c>
      <c r="G187" s="139">
        <v>2025</v>
      </c>
      <c r="H187" s="136" t="s">
        <v>210</v>
      </c>
      <c r="I187" s="221"/>
      <c r="J187" s="221"/>
      <c r="K187" s="140"/>
      <c r="L187" s="141"/>
      <c r="M187" s="141"/>
      <c r="N187" s="141"/>
      <c r="O187" s="141"/>
      <c r="P187" s="141"/>
      <c r="Q187" s="141"/>
      <c r="R187" s="142"/>
      <c r="S187" s="142"/>
      <c r="T187" s="142"/>
      <c r="U187" s="142"/>
      <c r="V187" s="179"/>
      <c r="W187" s="142"/>
      <c r="X187" s="141">
        <v>709</v>
      </c>
      <c r="Y187" s="140">
        <v>11724.4</v>
      </c>
      <c r="Z187" s="141">
        <v>0</v>
      </c>
      <c r="AA187" s="141">
        <v>703464</v>
      </c>
      <c r="AB187" s="141">
        <v>3573524</v>
      </c>
      <c r="AC187" s="141">
        <v>3573740</v>
      </c>
      <c r="AD187" s="141">
        <v>2815904</v>
      </c>
      <c r="AE187" s="141">
        <v>757620</v>
      </c>
      <c r="AF187" s="142">
        <v>12.436</v>
      </c>
      <c r="AG187" s="142">
        <v>2.2389999999999999</v>
      </c>
      <c r="AH187" s="142">
        <v>9700.3169999999991</v>
      </c>
      <c r="AI187" s="142">
        <v>1746.066</v>
      </c>
      <c r="AJ187" s="179">
        <v>11446.383</v>
      </c>
      <c r="AK187" s="142">
        <v>14.675000000000001</v>
      </c>
      <c r="AL187" s="141">
        <v>33</v>
      </c>
      <c r="AM187" s="140">
        <v>0</v>
      </c>
      <c r="AN187" s="141">
        <v>0</v>
      </c>
      <c r="AO187" s="141">
        <v>0</v>
      </c>
      <c r="AP187" s="141">
        <v>0</v>
      </c>
      <c r="AQ187" s="141">
        <v>0</v>
      </c>
      <c r="AR187" s="141">
        <v>0</v>
      </c>
      <c r="AS187" s="141">
        <v>0</v>
      </c>
      <c r="AT187" s="142">
        <v>0.70499999999999996</v>
      </c>
      <c r="AU187" s="142">
        <v>0.127</v>
      </c>
      <c r="AV187" s="142">
        <v>550.26400000000001</v>
      </c>
      <c r="AW187" s="142">
        <v>99.046999999999997</v>
      </c>
      <c r="AX187" s="179">
        <v>649.31100000000004</v>
      </c>
      <c r="AY187" s="142">
        <v>0.83199999999999996</v>
      </c>
      <c r="AZ187" s="141">
        <v>63</v>
      </c>
      <c r="BA187" s="140">
        <v>96.533000000000001</v>
      </c>
      <c r="BB187" s="141">
        <v>130</v>
      </c>
      <c r="BC187" s="141">
        <v>5792</v>
      </c>
      <c r="BD187" s="141">
        <v>5792</v>
      </c>
      <c r="BE187" s="141">
        <v>5792</v>
      </c>
      <c r="BF187" s="141">
        <v>0</v>
      </c>
      <c r="BG187" s="141">
        <v>0</v>
      </c>
      <c r="BH187" s="142">
        <v>14.922000000000001</v>
      </c>
      <c r="BI187" s="142">
        <v>2.6859999999999999</v>
      </c>
      <c r="BJ187" s="142">
        <v>11638.66</v>
      </c>
      <c r="BK187" s="142">
        <v>2094.9589999999998</v>
      </c>
      <c r="BL187" s="179">
        <v>13733.619000000001</v>
      </c>
      <c r="BM187" s="142">
        <v>17.606999999999999</v>
      </c>
      <c r="BN187" s="141">
        <v>3688</v>
      </c>
      <c r="BO187" s="140">
        <v>0</v>
      </c>
      <c r="BP187" s="141">
        <v>0</v>
      </c>
      <c r="BQ187" s="141">
        <v>0</v>
      </c>
      <c r="BR187" s="141">
        <v>0</v>
      </c>
      <c r="BS187" s="141">
        <v>0</v>
      </c>
      <c r="BT187" s="141">
        <v>0</v>
      </c>
      <c r="BU187" s="141">
        <v>0</v>
      </c>
      <c r="BV187" s="142">
        <v>0</v>
      </c>
      <c r="BW187" s="142">
        <v>0</v>
      </c>
      <c r="BX187" s="142">
        <v>0</v>
      </c>
      <c r="BY187" s="142">
        <v>0</v>
      </c>
      <c r="BZ187" s="142">
        <v>0</v>
      </c>
      <c r="CA187" s="142">
        <v>0</v>
      </c>
      <c r="CB187" s="141">
        <v>50</v>
      </c>
      <c r="CC187" s="140">
        <v>72.2</v>
      </c>
      <c r="CD187" s="141">
        <v>97</v>
      </c>
      <c r="CE187" s="141">
        <v>4332</v>
      </c>
      <c r="CF187" s="141">
        <v>4332</v>
      </c>
      <c r="CG187" s="141">
        <v>4332</v>
      </c>
      <c r="CH187" s="141">
        <v>0</v>
      </c>
      <c r="CI187" s="141">
        <v>0</v>
      </c>
      <c r="CJ187" s="142">
        <v>0</v>
      </c>
      <c r="CK187" s="142">
        <v>0</v>
      </c>
      <c r="CL187" s="142">
        <v>0</v>
      </c>
      <c r="CM187" s="142">
        <v>0</v>
      </c>
      <c r="CN187" s="179">
        <v>0</v>
      </c>
      <c r="CO187" s="142">
        <v>0</v>
      </c>
    </row>
    <row r="188" spans="1:93" ht="16.5" customHeight="1">
      <c r="A188" s="222"/>
      <c r="B188" s="220" t="s">
        <v>539</v>
      </c>
      <c r="C188" s="220"/>
      <c r="D188" s="220"/>
      <c r="E188" s="136" t="s">
        <v>540</v>
      </c>
      <c r="F188" s="136" t="s">
        <v>209</v>
      </c>
      <c r="G188" s="139">
        <v>2025</v>
      </c>
      <c r="H188" s="136" t="s">
        <v>210</v>
      </c>
      <c r="I188" s="221">
        <v>1</v>
      </c>
      <c r="J188" s="221"/>
      <c r="K188" s="140">
        <v>8.4329999999999998</v>
      </c>
      <c r="L188" s="141">
        <v>0</v>
      </c>
      <c r="M188" s="141">
        <v>506</v>
      </c>
      <c r="N188" s="141">
        <v>553</v>
      </c>
      <c r="O188" s="141">
        <v>554</v>
      </c>
      <c r="P188" s="141">
        <v>547</v>
      </c>
      <c r="Q188" s="141">
        <v>6</v>
      </c>
      <c r="R188" s="142">
        <v>4.0000000000000001E-3</v>
      </c>
      <c r="S188" s="142">
        <v>1E-3</v>
      </c>
      <c r="T188" s="142">
        <v>2.839</v>
      </c>
      <c r="U188" s="142">
        <v>0.51100000000000001</v>
      </c>
      <c r="V188" s="179">
        <v>3.35</v>
      </c>
      <c r="W188" s="142">
        <v>4.0000000000000001E-3</v>
      </c>
      <c r="X188" s="141">
        <v>69833</v>
      </c>
      <c r="Y188" s="140">
        <v>280353.38299999997</v>
      </c>
      <c r="Z188" s="141">
        <v>0</v>
      </c>
      <c r="AA188" s="141">
        <v>16821203</v>
      </c>
      <c r="AB188" s="141">
        <v>45165742</v>
      </c>
      <c r="AC188" s="141">
        <v>45167584</v>
      </c>
      <c r="AD188" s="141">
        <v>36152773</v>
      </c>
      <c r="AE188" s="141">
        <v>9012969</v>
      </c>
      <c r="AF188" s="142">
        <v>296.75799999999998</v>
      </c>
      <c r="AG188" s="142">
        <v>53.415999999999997</v>
      </c>
      <c r="AH188" s="142">
        <v>231468.807</v>
      </c>
      <c r="AI188" s="142">
        <v>41664.33</v>
      </c>
      <c r="AJ188" s="179">
        <v>273133.13799999998</v>
      </c>
      <c r="AK188" s="142">
        <v>350.17399999999998</v>
      </c>
      <c r="AL188" s="141">
        <v>40</v>
      </c>
      <c r="AM188" s="140">
        <v>0</v>
      </c>
      <c r="AN188" s="141">
        <v>0</v>
      </c>
      <c r="AO188" s="141">
        <v>0</v>
      </c>
      <c r="AP188" s="141">
        <v>0</v>
      </c>
      <c r="AQ188" s="141">
        <v>0</v>
      </c>
      <c r="AR188" s="141">
        <v>0</v>
      </c>
      <c r="AS188" s="141">
        <v>0</v>
      </c>
      <c r="AT188" s="142">
        <v>1.3460000000000001</v>
      </c>
      <c r="AU188" s="142">
        <v>0.24199999999999999</v>
      </c>
      <c r="AV188" s="142">
        <v>1049.5260000000001</v>
      </c>
      <c r="AW188" s="142">
        <v>188.91399999999999</v>
      </c>
      <c r="AX188" s="179">
        <v>1238.44</v>
      </c>
      <c r="AY188" s="142">
        <v>1.5880000000000001</v>
      </c>
      <c r="AZ188" s="141">
        <v>59</v>
      </c>
      <c r="BA188" s="140">
        <v>154.28299999999999</v>
      </c>
      <c r="BB188" s="141">
        <v>183</v>
      </c>
      <c r="BC188" s="141">
        <v>9257</v>
      </c>
      <c r="BD188" s="141">
        <v>9257</v>
      </c>
      <c r="BE188" s="141">
        <v>9257</v>
      </c>
      <c r="BF188" s="141">
        <v>0</v>
      </c>
      <c r="BG188" s="141">
        <v>0</v>
      </c>
      <c r="BH188" s="142">
        <v>15.314</v>
      </c>
      <c r="BI188" s="142">
        <v>2.7570000000000001</v>
      </c>
      <c r="BJ188" s="142">
        <v>11944.977999999999</v>
      </c>
      <c r="BK188" s="142">
        <v>2150.0990000000002</v>
      </c>
      <c r="BL188" s="179">
        <v>14095.076999999999</v>
      </c>
      <c r="BM188" s="142">
        <v>18.071000000000002</v>
      </c>
      <c r="BN188" s="141">
        <v>3983</v>
      </c>
      <c r="BO188" s="140">
        <v>0</v>
      </c>
      <c r="BP188" s="141">
        <v>0</v>
      </c>
      <c r="BQ188" s="141">
        <v>0</v>
      </c>
      <c r="BR188" s="141">
        <v>0</v>
      </c>
      <c r="BS188" s="141">
        <v>0</v>
      </c>
      <c r="BT188" s="141">
        <v>0</v>
      </c>
      <c r="BU188" s="141">
        <v>0</v>
      </c>
      <c r="BV188" s="142">
        <v>0</v>
      </c>
      <c r="BW188" s="142">
        <v>0</v>
      </c>
      <c r="BX188" s="142">
        <v>0</v>
      </c>
      <c r="BY188" s="142">
        <v>0</v>
      </c>
      <c r="BZ188" s="142">
        <v>0</v>
      </c>
      <c r="CA188" s="142">
        <v>0</v>
      </c>
      <c r="CB188" s="141">
        <v>33</v>
      </c>
      <c r="CC188" s="140">
        <v>48.633000000000003</v>
      </c>
      <c r="CD188" s="141">
        <v>69</v>
      </c>
      <c r="CE188" s="141">
        <v>2918</v>
      </c>
      <c r="CF188" s="141">
        <v>2918</v>
      </c>
      <c r="CG188" s="141">
        <v>2918</v>
      </c>
      <c r="CH188" s="141">
        <v>0</v>
      </c>
      <c r="CI188" s="141">
        <v>0</v>
      </c>
      <c r="CJ188" s="142">
        <v>0</v>
      </c>
      <c r="CK188" s="142">
        <v>0</v>
      </c>
      <c r="CL188" s="142">
        <v>0</v>
      </c>
      <c r="CM188" s="142">
        <v>0</v>
      </c>
      <c r="CN188" s="179">
        <v>0</v>
      </c>
      <c r="CO188" s="142">
        <v>0</v>
      </c>
    </row>
    <row r="189" spans="1:93" ht="16.5" customHeight="1">
      <c r="A189" s="222"/>
      <c r="B189" s="220" t="s">
        <v>541</v>
      </c>
      <c r="C189" s="220"/>
      <c r="D189" s="220"/>
      <c r="E189" s="136" t="s">
        <v>542</v>
      </c>
      <c r="F189" s="136" t="s">
        <v>209</v>
      </c>
      <c r="G189" s="139">
        <v>2025</v>
      </c>
      <c r="H189" s="136" t="s">
        <v>210</v>
      </c>
      <c r="I189" s="221"/>
      <c r="J189" s="221"/>
      <c r="K189" s="140"/>
      <c r="L189" s="141"/>
      <c r="M189" s="141"/>
      <c r="N189" s="141"/>
      <c r="O189" s="141"/>
      <c r="P189" s="141"/>
      <c r="Q189" s="141"/>
      <c r="R189" s="142"/>
      <c r="S189" s="142"/>
      <c r="T189" s="142"/>
      <c r="U189" s="142"/>
      <c r="V189" s="179"/>
      <c r="W189" s="142"/>
      <c r="X189" s="141">
        <v>21</v>
      </c>
      <c r="Y189" s="140">
        <v>365.31700000000001</v>
      </c>
      <c r="Z189" s="141">
        <v>0</v>
      </c>
      <c r="AA189" s="141">
        <v>21919</v>
      </c>
      <c r="AB189" s="141">
        <v>0</v>
      </c>
      <c r="AC189" s="141">
        <v>1</v>
      </c>
      <c r="AD189" s="141">
        <v>0</v>
      </c>
      <c r="AE189" s="141">
        <v>0</v>
      </c>
      <c r="AF189" s="142">
        <v>0</v>
      </c>
      <c r="AG189" s="142">
        <v>0</v>
      </c>
      <c r="AH189" s="142">
        <v>5.0000000000000001E-3</v>
      </c>
      <c r="AI189" s="142">
        <v>1E-3</v>
      </c>
      <c r="AJ189" s="179">
        <v>6.0000000000000001E-3</v>
      </c>
      <c r="AK189" s="142">
        <v>0</v>
      </c>
      <c r="AL189" s="141"/>
      <c r="AM189" s="140"/>
      <c r="AN189" s="141"/>
      <c r="AO189" s="141"/>
      <c r="AP189" s="141"/>
      <c r="AQ189" s="141"/>
      <c r="AR189" s="141"/>
      <c r="AS189" s="141"/>
      <c r="AT189" s="142"/>
      <c r="AU189" s="142"/>
      <c r="AV189" s="142"/>
      <c r="AW189" s="142"/>
      <c r="AX189" s="179"/>
      <c r="AY189" s="142"/>
      <c r="AZ189" s="141"/>
      <c r="BA189" s="140"/>
      <c r="BB189" s="141"/>
      <c r="BC189" s="141"/>
      <c r="BD189" s="141"/>
      <c r="BE189" s="141"/>
      <c r="BF189" s="141"/>
      <c r="BG189" s="141"/>
      <c r="BH189" s="142"/>
      <c r="BI189" s="142"/>
      <c r="BJ189" s="142"/>
      <c r="BK189" s="142"/>
      <c r="BL189" s="179"/>
      <c r="BM189" s="142"/>
      <c r="BN189" s="141">
        <v>6</v>
      </c>
      <c r="BO189" s="140">
        <v>0</v>
      </c>
      <c r="BP189" s="141">
        <v>0</v>
      </c>
      <c r="BQ189" s="141">
        <v>0</v>
      </c>
      <c r="BR189" s="141">
        <v>0</v>
      </c>
      <c r="BS189" s="141">
        <v>0</v>
      </c>
      <c r="BT189" s="141">
        <v>0</v>
      </c>
      <c r="BU189" s="141">
        <v>0</v>
      </c>
      <c r="BV189" s="142">
        <v>0</v>
      </c>
      <c r="BW189" s="142">
        <v>0</v>
      </c>
      <c r="BX189" s="142">
        <v>0</v>
      </c>
      <c r="BY189" s="142">
        <v>0</v>
      </c>
      <c r="BZ189" s="142">
        <v>0</v>
      </c>
      <c r="CA189" s="142">
        <v>0</v>
      </c>
      <c r="CB189" s="141"/>
      <c r="CC189" s="140"/>
      <c r="CD189" s="141"/>
      <c r="CE189" s="141"/>
      <c r="CF189" s="141"/>
      <c r="CG189" s="141"/>
      <c r="CH189" s="141"/>
      <c r="CI189" s="141"/>
      <c r="CJ189" s="142"/>
      <c r="CK189" s="142"/>
      <c r="CL189" s="142"/>
      <c r="CM189" s="142"/>
      <c r="CN189" s="179"/>
      <c r="CO189" s="142"/>
    </row>
    <row r="190" spans="1:93" ht="16.5" customHeight="1">
      <c r="A190" s="222"/>
      <c r="B190" s="220" t="s">
        <v>543</v>
      </c>
      <c r="C190" s="220"/>
      <c r="D190" s="220"/>
      <c r="E190" s="136" t="s">
        <v>544</v>
      </c>
      <c r="F190" s="136" t="s">
        <v>209</v>
      </c>
      <c r="G190" s="139">
        <v>2025</v>
      </c>
      <c r="H190" s="136" t="s">
        <v>210</v>
      </c>
      <c r="I190" s="221"/>
      <c r="J190" s="221"/>
      <c r="K190" s="140"/>
      <c r="L190" s="141"/>
      <c r="M190" s="141"/>
      <c r="N190" s="141"/>
      <c r="O190" s="141"/>
      <c r="P190" s="141"/>
      <c r="Q190" s="141"/>
      <c r="R190" s="142"/>
      <c r="S190" s="142"/>
      <c r="T190" s="142"/>
      <c r="U190" s="142"/>
      <c r="V190" s="179"/>
      <c r="W190" s="142"/>
      <c r="X190" s="141"/>
      <c r="Y190" s="140"/>
      <c r="Z190" s="141"/>
      <c r="AA190" s="141"/>
      <c r="AB190" s="141"/>
      <c r="AC190" s="141"/>
      <c r="AD190" s="141"/>
      <c r="AE190" s="141"/>
      <c r="AF190" s="142"/>
      <c r="AG190" s="142"/>
      <c r="AH190" s="142"/>
      <c r="AI190" s="142"/>
      <c r="AJ190" s="179"/>
      <c r="AK190" s="142"/>
      <c r="AL190" s="141">
        <v>2</v>
      </c>
      <c r="AM190" s="140">
        <v>0</v>
      </c>
      <c r="AN190" s="141">
        <v>0</v>
      </c>
      <c r="AO190" s="141">
        <v>0</v>
      </c>
      <c r="AP190" s="141">
        <v>0</v>
      </c>
      <c r="AQ190" s="141">
        <v>0</v>
      </c>
      <c r="AR190" s="141">
        <v>0</v>
      </c>
      <c r="AS190" s="141">
        <v>0</v>
      </c>
      <c r="AT190" s="142">
        <v>0.217</v>
      </c>
      <c r="AU190" s="142">
        <v>3.9E-2</v>
      </c>
      <c r="AV190" s="142">
        <v>168.988</v>
      </c>
      <c r="AW190" s="142">
        <v>30.417999999999999</v>
      </c>
      <c r="AX190" s="179">
        <v>199.40700000000001</v>
      </c>
      <c r="AY190" s="142">
        <v>0.25600000000000001</v>
      </c>
      <c r="AZ190" s="141"/>
      <c r="BA190" s="140"/>
      <c r="BB190" s="141"/>
      <c r="BC190" s="141"/>
      <c r="BD190" s="141"/>
      <c r="BE190" s="141"/>
      <c r="BF190" s="141"/>
      <c r="BG190" s="141"/>
      <c r="BH190" s="142"/>
      <c r="BI190" s="142"/>
      <c r="BJ190" s="142"/>
      <c r="BK190" s="142"/>
      <c r="BL190" s="179"/>
      <c r="BM190" s="142"/>
      <c r="BN190" s="141"/>
      <c r="BO190" s="140"/>
      <c r="BP190" s="141"/>
      <c r="BQ190" s="141"/>
      <c r="BR190" s="141"/>
      <c r="BS190" s="141"/>
      <c r="BT190" s="141"/>
      <c r="BU190" s="141"/>
      <c r="BV190" s="142"/>
      <c r="BW190" s="142"/>
      <c r="BX190" s="142"/>
      <c r="BY190" s="142"/>
      <c r="BZ190" s="142"/>
      <c r="CA190" s="142"/>
      <c r="CB190" s="141">
        <v>1</v>
      </c>
      <c r="CC190" s="140">
        <v>0.85</v>
      </c>
      <c r="CD190" s="141">
        <v>1</v>
      </c>
      <c r="CE190" s="141">
        <v>51</v>
      </c>
      <c r="CF190" s="141">
        <v>51</v>
      </c>
      <c r="CG190" s="141">
        <v>60</v>
      </c>
      <c r="CH190" s="141">
        <v>0</v>
      </c>
      <c r="CI190" s="141">
        <v>0</v>
      </c>
      <c r="CJ190" s="142">
        <v>0.38100000000000001</v>
      </c>
      <c r="CK190" s="142">
        <v>6.8000000000000005E-2</v>
      </c>
      <c r="CL190" s="142">
        <v>296.82</v>
      </c>
      <c r="CM190" s="142">
        <v>53.427999999999997</v>
      </c>
      <c r="CN190" s="179">
        <v>350.24799999999999</v>
      </c>
      <c r="CO190" s="142">
        <v>0.44900000000000001</v>
      </c>
    </row>
    <row r="191" spans="1:93" ht="16.5" customHeight="1">
      <c r="A191" s="222"/>
      <c r="B191" s="220" t="s">
        <v>545</v>
      </c>
      <c r="C191" s="220"/>
      <c r="D191" s="220"/>
      <c r="E191" s="136" t="s">
        <v>546</v>
      </c>
      <c r="F191" s="136" t="s">
        <v>209</v>
      </c>
      <c r="G191" s="139">
        <v>2025</v>
      </c>
      <c r="H191" s="136" t="s">
        <v>210</v>
      </c>
      <c r="I191" s="221"/>
      <c r="J191" s="221"/>
      <c r="K191" s="140"/>
      <c r="L191" s="141"/>
      <c r="M191" s="141"/>
      <c r="N191" s="141"/>
      <c r="O191" s="141"/>
      <c r="P191" s="141"/>
      <c r="Q191" s="141"/>
      <c r="R191" s="142"/>
      <c r="S191" s="142"/>
      <c r="T191" s="142"/>
      <c r="U191" s="142"/>
      <c r="V191" s="179"/>
      <c r="W191" s="142"/>
      <c r="X191" s="141">
        <v>5</v>
      </c>
      <c r="Y191" s="140">
        <v>0.5</v>
      </c>
      <c r="Z191" s="141">
        <v>0</v>
      </c>
      <c r="AA191" s="141">
        <v>30</v>
      </c>
      <c r="AB191" s="141">
        <v>0</v>
      </c>
      <c r="AC191" s="141">
        <v>0</v>
      </c>
      <c r="AD191" s="141">
        <v>0</v>
      </c>
      <c r="AE191" s="141">
        <v>0</v>
      </c>
      <c r="AF191" s="142">
        <v>0</v>
      </c>
      <c r="AG191" s="142">
        <v>0</v>
      </c>
      <c r="AH191" s="142">
        <v>0</v>
      </c>
      <c r="AI191" s="142">
        <v>0</v>
      </c>
      <c r="AJ191" s="179">
        <v>0</v>
      </c>
      <c r="AK191" s="142">
        <v>0</v>
      </c>
      <c r="AL191" s="141"/>
      <c r="AM191" s="140"/>
      <c r="AN191" s="141"/>
      <c r="AO191" s="141"/>
      <c r="AP191" s="141"/>
      <c r="AQ191" s="141"/>
      <c r="AR191" s="141"/>
      <c r="AS191" s="141"/>
      <c r="AT191" s="142"/>
      <c r="AU191" s="142"/>
      <c r="AV191" s="142"/>
      <c r="AW191" s="142"/>
      <c r="AX191" s="179"/>
      <c r="AY191" s="142"/>
      <c r="AZ191" s="141"/>
      <c r="BA191" s="140"/>
      <c r="BB191" s="141"/>
      <c r="BC191" s="141"/>
      <c r="BD191" s="141"/>
      <c r="BE191" s="141"/>
      <c r="BF191" s="141"/>
      <c r="BG191" s="141"/>
      <c r="BH191" s="142"/>
      <c r="BI191" s="142"/>
      <c r="BJ191" s="142"/>
      <c r="BK191" s="142"/>
      <c r="BL191" s="179"/>
      <c r="BM191" s="142"/>
      <c r="BN191" s="141"/>
      <c r="BO191" s="140"/>
      <c r="BP191" s="141"/>
      <c r="BQ191" s="141"/>
      <c r="BR191" s="141"/>
      <c r="BS191" s="141"/>
      <c r="BT191" s="141"/>
      <c r="BU191" s="141"/>
      <c r="BV191" s="142"/>
      <c r="BW191" s="142"/>
      <c r="BX191" s="142"/>
      <c r="BY191" s="142"/>
      <c r="BZ191" s="142"/>
      <c r="CA191" s="142"/>
      <c r="CB191" s="141"/>
      <c r="CC191" s="140"/>
      <c r="CD191" s="141"/>
      <c r="CE191" s="141"/>
      <c r="CF191" s="141"/>
      <c r="CG191" s="141"/>
      <c r="CH191" s="141"/>
      <c r="CI191" s="141"/>
      <c r="CJ191" s="142"/>
      <c r="CK191" s="142"/>
      <c r="CL191" s="142"/>
      <c r="CM191" s="142"/>
      <c r="CN191" s="179"/>
      <c r="CO191" s="142"/>
    </row>
    <row r="192" spans="1:93" ht="16.5" customHeight="1">
      <c r="A192" s="222"/>
      <c r="B192" s="220" t="s">
        <v>547</v>
      </c>
      <c r="C192" s="220"/>
      <c r="D192" s="220"/>
      <c r="E192" s="136" t="s">
        <v>548</v>
      </c>
      <c r="F192" s="136" t="s">
        <v>209</v>
      </c>
      <c r="G192" s="139">
        <v>2025</v>
      </c>
      <c r="H192" s="136" t="s">
        <v>210</v>
      </c>
      <c r="I192" s="221"/>
      <c r="J192" s="221"/>
      <c r="K192" s="140"/>
      <c r="L192" s="141"/>
      <c r="M192" s="141"/>
      <c r="N192" s="141"/>
      <c r="O192" s="141"/>
      <c r="P192" s="141"/>
      <c r="Q192" s="141"/>
      <c r="R192" s="142"/>
      <c r="S192" s="142"/>
      <c r="T192" s="142"/>
      <c r="U192" s="142"/>
      <c r="V192" s="179"/>
      <c r="W192" s="142"/>
      <c r="X192" s="141">
        <v>13044</v>
      </c>
      <c r="Y192" s="140">
        <v>181180.18299999999</v>
      </c>
      <c r="Z192" s="141">
        <v>0</v>
      </c>
      <c r="AA192" s="141">
        <v>10870811</v>
      </c>
      <c r="AB192" s="141">
        <v>20870</v>
      </c>
      <c r="AC192" s="141">
        <v>21038</v>
      </c>
      <c r="AD192" s="141">
        <v>12910</v>
      </c>
      <c r="AE192" s="141">
        <v>7959</v>
      </c>
      <c r="AF192" s="142">
        <v>0.29399999999999998</v>
      </c>
      <c r="AG192" s="142">
        <v>5.2999999999999999E-2</v>
      </c>
      <c r="AH192" s="142">
        <v>229.12200000000001</v>
      </c>
      <c r="AI192" s="142">
        <v>41.226999999999997</v>
      </c>
      <c r="AJ192" s="179">
        <v>270.34899999999999</v>
      </c>
      <c r="AK192" s="142">
        <v>0.34699999999999998</v>
      </c>
      <c r="AL192" s="141"/>
      <c r="AM192" s="140"/>
      <c r="AN192" s="141"/>
      <c r="AO192" s="141"/>
      <c r="AP192" s="141"/>
      <c r="AQ192" s="141"/>
      <c r="AR192" s="141"/>
      <c r="AS192" s="141"/>
      <c r="AT192" s="142"/>
      <c r="AU192" s="142"/>
      <c r="AV192" s="142"/>
      <c r="AW192" s="142"/>
      <c r="AX192" s="179"/>
      <c r="AY192" s="142"/>
      <c r="AZ192" s="141"/>
      <c r="BA192" s="140"/>
      <c r="BB192" s="141"/>
      <c r="BC192" s="141"/>
      <c r="BD192" s="141"/>
      <c r="BE192" s="141"/>
      <c r="BF192" s="141"/>
      <c r="BG192" s="141"/>
      <c r="BH192" s="142"/>
      <c r="BI192" s="142"/>
      <c r="BJ192" s="142"/>
      <c r="BK192" s="142"/>
      <c r="BL192" s="179"/>
      <c r="BM192" s="142"/>
      <c r="BN192" s="141"/>
      <c r="BO192" s="140"/>
      <c r="BP192" s="141"/>
      <c r="BQ192" s="141"/>
      <c r="BR192" s="141"/>
      <c r="BS192" s="141"/>
      <c r="BT192" s="141"/>
      <c r="BU192" s="141"/>
      <c r="BV192" s="142"/>
      <c r="BW192" s="142"/>
      <c r="BX192" s="142"/>
      <c r="BY192" s="142"/>
      <c r="BZ192" s="142"/>
      <c r="CA192" s="142"/>
      <c r="CB192" s="141"/>
      <c r="CC192" s="140"/>
      <c r="CD192" s="141"/>
      <c r="CE192" s="141"/>
      <c r="CF192" s="141"/>
      <c r="CG192" s="141"/>
      <c r="CH192" s="141"/>
      <c r="CI192" s="141"/>
      <c r="CJ192" s="142"/>
      <c r="CK192" s="142"/>
      <c r="CL192" s="142"/>
      <c r="CM192" s="142"/>
      <c r="CN192" s="179"/>
      <c r="CO192" s="142"/>
    </row>
    <row r="193" spans="1:93" ht="16.5" customHeight="1">
      <c r="A193" s="222"/>
      <c r="B193" s="220" t="s">
        <v>549</v>
      </c>
      <c r="C193" s="220"/>
      <c r="D193" s="220"/>
      <c r="E193" s="136" t="s">
        <v>550</v>
      </c>
      <c r="F193" s="136" t="s">
        <v>209</v>
      </c>
      <c r="G193" s="139">
        <v>2025</v>
      </c>
      <c r="H193" s="136" t="s">
        <v>210</v>
      </c>
      <c r="I193" s="221"/>
      <c r="J193" s="221"/>
      <c r="K193" s="140"/>
      <c r="L193" s="141"/>
      <c r="M193" s="141"/>
      <c r="N193" s="141"/>
      <c r="O193" s="141"/>
      <c r="P193" s="141"/>
      <c r="Q193" s="141"/>
      <c r="R193" s="142"/>
      <c r="S193" s="142"/>
      <c r="T193" s="142"/>
      <c r="U193" s="142"/>
      <c r="V193" s="179"/>
      <c r="W193" s="142"/>
      <c r="X193" s="141">
        <v>6306</v>
      </c>
      <c r="Y193" s="140">
        <v>92970.6</v>
      </c>
      <c r="Z193" s="141">
        <v>0</v>
      </c>
      <c r="AA193" s="141">
        <v>5578236</v>
      </c>
      <c r="AB193" s="141">
        <v>6409874</v>
      </c>
      <c r="AC193" s="141">
        <v>6411114</v>
      </c>
      <c r="AD193" s="141">
        <v>4526465</v>
      </c>
      <c r="AE193" s="141">
        <v>1883409</v>
      </c>
      <c r="AF193" s="142">
        <v>89.509</v>
      </c>
      <c r="AG193" s="142">
        <v>16.111999999999998</v>
      </c>
      <c r="AH193" s="142">
        <v>69816.561000000002</v>
      </c>
      <c r="AI193" s="142">
        <v>12567.34</v>
      </c>
      <c r="AJ193" s="179">
        <v>82383.902000000002</v>
      </c>
      <c r="AK193" s="142">
        <v>105.621</v>
      </c>
      <c r="AL193" s="141">
        <v>18</v>
      </c>
      <c r="AM193" s="140">
        <v>0</v>
      </c>
      <c r="AN193" s="141">
        <v>0</v>
      </c>
      <c r="AO193" s="141">
        <v>0</v>
      </c>
      <c r="AP193" s="141">
        <v>0</v>
      </c>
      <c r="AQ193" s="141">
        <v>0</v>
      </c>
      <c r="AR193" s="141">
        <v>0</v>
      </c>
      <c r="AS193" s="141">
        <v>0</v>
      </c>
      <c r="AT193" s="142">
        <v>0.121</v>
      </c>
      <c r="AU193" s="142">
        <v>2.1999999999999999E-2</v>
      </c>
      <c r="AV193" s="142">
        <v>94.46</v>
      </c>
      <c r="AW193" s="142">
        <v>17.001999999999999</v>
      </c>
      <c r="AX193" s="179">
        <v>111.462</v>
      </c>
      <c r="AY193" s="142">
        <v>0.14299999999999999</v>
      </c>
      <c r="AZ193" s="141">
        <v>39</v>
      </c>
      <c r="BA193" s="140">
        <v>119.267</v>
      </c>
      <c r="BB193" s="141">
        <v>144</v>
      </c>
      <c r="BC193" s="141">
        <v>7156</v>
      </c>
      <c r="BD193" s="141">
        <v>7156</v>
      </c>
      <c r="BE193" s="141">
        <v>8640</v>
      </c>
      <c r="BF193" s="141">
        <v>0</v>
      </c>
      <c r="BG193" s="141">
        <v>0</v>
      </c>
      <c r="BH193" s="142">
        <v>12.161</v>
      </c>
      <c r="BI193" s="142">
        <v>2.1890000000000001</v>
      </c>
      <c r="BJ193" s="142">
        <v>9485.1350000000002</v>
      </c>
      <c r="BK193" s="142">
        <v>1707.3230000000001</v>
      </c>
      <c r="BL193" s="179">
        <v>11192.458000000001</v>
      </c>
      <c r="BM193" s="142">
        <v>14.349</v>
      </c>
      <c r="BN193" s="141">
        <v>1216</v>
      </c>
      <c r="BO193" s="140">
        <v>0</v>
      </c>
      <c r="BP193" s="141">
        <v>0</v>
      </c>
      <c r="BQ193" s="141">
        <v>0</v>
      </c>
      <c r="BR193" s="141">
        <v>0</v>
      </c>
      <c r="BS193" s="141">
        <v>0</v>
      </c>
      <c r="BT193" s="141">
        <v>0</v>
      </c>
      <c r="BU193" s="141">
        <v>0</v>
      </c>
      <c r="BV193" s="142">
        <v>0</v>
      </c>
      <c r="BW193" s="142">
        <v>0</v>
      </c>
      <c r="BX193" s="142">
        <v>0</v>
      </c>
      <c r="BY193" s="142">
        <v>0</v>
      </c>
      <c r="BZ193" s="142">
        <v>0</v>
      </c>
      <c r="CA193" s="142">
        <v>0</v>
      </c>
      <c r="CB193" s="141">
        <v>6</v>
      </c>
      <c r="CC193" s="140">
        <v>16.216999999999999</v>
      </c>
      <c r="CD193" s="141">
        <v>20</v>
      </c>
      <c r="CE193" s="141">
        <v>973</v>
      </c>
      <c r="CF193" s="141">
        <v>973</v>
      </c>
      <c r="CG193" s="141">
        <v>1200</v>
      </c>
      <c r="CH193" s="141">
        <v>0</v>
      </c>
      <c r="CI193" s="141">
        <v>0</v>
      </c>
      <c r="CJ193" s="142">
        <v>0</v>
      </c>
      <c r="CK193" s="142">
        <v>0</v>
      </c>
      <c r="CL193" s="142">
        <v>0</v>
      </c>
      <c r="CM193" s="142">
        <v>0</v>
      </c>
      <c r="CN193" s="179">
        <v>0</v>
      </c>
      <c r="CO193" s="142">
        <v>0</v>
      </c>
    </row>
    <row r="194" spans="1:93" ht="16.5" customHeight="1">
      <c r="A194" s="222"/>
      <c r="B194" s="220" t="s">
        <v>551</v>
      </c>
      <c r="C194" s="220"/>
      <c r="D194" s="220"/>
      <c r="E194" s="136" t="s">
        <v>552</v>
      </c>
      <c r="F194" s="136" t="s">
        <v>209</v>
      </c>
      <c r="G194" s="139">
        <v>2025</v>
      </c>
      <c r="H194" s="136" t="s">
        <v>210</v>
      </c>
      <c r="I194" s="221"/>
      <c r="J194" s="221"/>
      <c r="K194" s="140"/>
      <c r="L194" s="141"/>
      <c r="M194" s="141"/>
      <c r="N194" s="141"/>
      <c r="O194" s="141"/>
      <c r="P194" s="141"/>
      <c r="Q194" s="141"/>
      <c r="R194" s="142"/>
      <c r="S194" s="142"/>
      <c r="T194" s="142"/>
      <c r="U194" s="142"/>
      <c r="V194" s="179"/>
      <c r="W194" s="142"/>
      <c r="X194" s="141">
        <v>3826</v>
      </c>
      <c r="Y194" s="140">
        <v>10520.916999999999</v>
      </c>
      <c r="Z194" s="141">
        <v>0</v>
      </c>
      <c r="AA194" s="141">
        <v>631255</v>
      </c>
      <c r="AB194" s="141">
        <v>491592</v>
      </c>
      <c r="AC194" s="141">
        <v>493389</v>
      </c>
      <c r="AD194" s="141">
        <v>397645</v>
      </c>
      <c r="AE194" s="141">
        <v>93947</v>
      </c>
      <c r="AF194" s="142">
        <v>6.8890000000000002</v>
      </c>
      <c r="AG194" s="142">
        <v>1.24</v>
      </c>
      <c r="AH194" s="142">
        <v>5373.0640000000003</v>
      </c>
      <c r="AI194" s="142">
        <v>967.21</v>
      </c>
      <c r="AJ194" s="179">
        <v>6340.2730000000001</v>
      </c>
      <c r="AK194" s="142">
        <v>8.1289999999999996</v>
      </c>
      <c r="AL194" s="141"/>
      <c r="AM194" s="140"/>
      <c r="AN194" s="141"/>
      <c r="AO194" s="141"/>
      <c r="AP194" s="141"/>
      <c r="AQ194" s="141"/>
      <c r="AR194" s="141"/>
      <c r="AS194" s="141"/>
      <c r="AT194" s="142"/>
      <c r="AU194" s="142"/>
      <c r="AV194" s="142"/>
      <c r="AW194" s="142"/>
      <c r="AX194" s="179"/>
      <c r="AY194" s="142"/>
      <c r="AZ194" s="141"/>
      <c r="BA194" s="140"/>
      <c r="BB194" s="141"/>
      <c r="BC194" s="141"/>
      <c r="BD194" s="141"/>
      <c r="BE194" s="141"/>
      <c r="BF194" s="141"/>
      <c r="BG194" s="141"/>
      <c r="BH194" s="142"/>
      <c r="BI194" s="142"/>
      <c r="BJ194" s="142"/>
      <c r="BK194" s="142"/>
      <c r="BL194" s="179"/>
      <c r="BM194" s="142"/>
      <c r="BN194" s="141"/>
      <c r="BO194" s="140"/>
      <c r="BP194" s="141"/>
      <c r="BQ194" s="141"/>
      <c r="BR194" s="141"/>
      <c r="BS194" s="141"/>
      <c r="BT194" s="141"/>
      <c r="BU194" s="141"/>
      <c r="BV194" s="142"/>
      <c r="BW194" s="142"/>
      <c r="BX194" s="142"/>
      <c r="BY194" s="142"/>
      <c r="BZ194" s="142"/>
      <c r="CA194" s="142"/>
      <c r="CB194" s="141"/>
      <c r="CC194" s="140"/>
      <c r="CD194" s="141"/>
      <c r="CE194" s="141"/>
      <c r="CF194" s="141"/>
      <c r="CG194" s="141"/>
      <c r="CH194" s="141"/>
      <c r="CI194" s="141"/>
      <c r="CJ194" s="142"/>
      <c r="CK194" s="142"/>
      <c r="CL194" s="142"/>
      <c r="CM194" s="142"/>
      <c r="CN194" s="179"/>
      <c r="CO194" s="142"/>
    </row>
    <row r="195" spans="1:93" ht="16.5" customHeight="1">
      <c r="A195" s="222"/>
      <c r="B195" s="220" t="s">
        <v>553</v>
      </c>
      <c r="C195" s="220"/>
      <c r="D195" s="220"/>
      <c r="E195" s="136" t="s">
        <v>554</v>
      </c>
      <c r="F195" s="136" t="s">
        <v>209</v>
      </c>
      <c r="G195" s="139">
        <v>2025</v>
      </c>
      <c r="H195" s="136" t="s">
        <v>210</v>
      </c>
      <c r="I195" s="221"/>
      <c r="J195" s="221"/>
      <c r="K195" s="140"/>
      <c r="L195" s="141"/>
      <c r="M195" s="141"/>
      <c r="N195" s="141"/>
      <c r="O195" s="141"/>
      <c r="P195" s="141"/>
      <c r="Q195" s="141"/>
      <c r="R195" s="142"/>
      <c r="S195" s="142"/>
      <c r="T195" s="142"/>
      <c r="U195" s="142"/>
      <c r="V195" s="179"/>
      <c r="W195" s="142"/>
      <c r="X195" s="141">
        <v>47761</v>
      </c>
      <c r="Y195" s="140">
        <v>678501.25</v>
      </c>
      <c r="Z195" s="141">
        <v>0</v>
      </c>
      <c r="AA195" s="141">
        <v>40710075</v>
      </c>
      <c r="AB195" s="141">
        <v>116888665</v>
      </c>
      <c r="AC195" s="141">
        <v>116900280</v>
      </c>
      <c r="AD195" s="141">
        <v>89430117</v>
      </c>
      <c r="AE195" s="141">
        <v>27458548</v>
      </c>
      <c r="AF195" s="142">
        <v>1632.1120000000001</v>
      </c>
      <c r="AG195" s="142">
        <v>293.78199999999998</v>
      </c>
      <c r="AH195" s="142">
        <v>1273034.1129999999</v>
      </c>
      <c r="AI195" s="142">
        <v>229147.52900000001</v>
      </c>
      <c r="AJ195" s="179">
        <v>1502181.642</v>
      </c>
      <c r="AK195" s="142">
        <v>1925.894</v>
      </c>
      <c r="AL195" s="141">
        <v>308</v>
      </c>
      <c r="AM195" s="140">
        <v>0</v>
      </c>
      <c r="AN195" s="141">
        <v>0</v>
      </c>
      <c r="AO195" s="141">
        <v>0</v>
      </c>
      <c r="AP195" s="141">
        <v>0</v>
      </c>
      <c r="AQ195" s="141">
        <v>0</v>
      </c>
      <c r="AR195" s="141">
        <v>0</v>
      </c>
      <c r="AS195" s="141">
        <v>0</v>
      </c>
      <c r="AT195" s="142">
        <v>2.0720000000000001</v>
      </c>
      <c r="AU195" s="142">
        <v>0.373</v>
      </c>
      <c r="AV195" s="142">
        <v>1616.318</v>
      </c>
      <c r="AW195" s="142">
        <v>290.928</v>
      </c>
      <c r="AX195" s="179">
        <v>1907.2460000000001</v>
      </c>
      <c r="AY195" s="142">
        <v>2.4449999999999998</v>
      </c>
      <c r="AZ195" s="141">
        <v>153</v>
      </c>
      <c r="BA195" s="140">
        <v>532.43299999999999</v>
      </c>
      <c r="BB195" s="141">
        <v>618</v>
      </c>
      <c r="BC195" s="141">
        <v>31946</v>
      </c>
      <c r="BD195" s="141">
        <v>31946</v>
      </c>
      <c r="BE195" s="141">
        <v>37080</v>
      </c>
      <c r="BF195" s="141">
        <v>0</v>
      </c>
      <c r="BG195" s="141">
        <v>0</v>
      </c>
      <c r="BH195" s="142">
        <v>53.234000000000002</v>
      </c>
      <c r="BI195" s="142">
        <v>9.5820000000000007</v>
      </c>
      <c r="BJ195" s="142">
        <v>41522.07</v>
      </c>
      <c r="BK195" s="142">
        <v>7473.9629999999997</v>
      </c>
      <c r="BL195" s="179">
        <v>48996.033000000003</v>
      </c>
      <c r="BM195" s="142">
        <v>62.816000000000003</v>
      </c>
      <c r="BN195" s="141">
        <v>2810</v>
      </c>
      <c r="BO195" s="140">
        <v>0</v>
      </c>
      <c r="BP195" s="141">
        <v>0</v>
      </c>
      <c r="BQ195" s="141">
        <v>0</v>
      </c>
      <c r="BR195" s="141">
        <v>0</v>
      </c>
      <c r="BS195" s="141">
        <v>0</v>
      </c>
      <c r="BT195" s="141">
        <v>0</v>
      </c>
      <c r="BU195" s="141">
        <v>0</v>
      </c>
      <c r="BV195" s="142">
        <v>0</v>
      </c>
      <c r="BW195" s="142">
        <v>0</v>
      </c>
      <c r="BX195" s="142">
        <v>0</v>
      </c>
      <c r="BY195" s="142">
        <v>0</v>
      </c>
      <c r="BZ195" s="142">
        <v>0</v>
      </c>
      <c r="CA195" s="142">
        <v>0</v>
      </c>
      <c r="CB195" s="141">
        <v>89</v>
      </c>
      <c r="CC195" s="140">
        <v>468.233</v>
      </c>
      <c r="CD195" s="141">
        <v>514</v>
      </c>
      <c r="CE195" s="141">
        <v>28094</v>
      </c>
      <c r="CF195" s="141">
        <v>28094</v>
      </c>
      <c r="CG195" s="141">
        <v>30840</v>
      </c>
      <c r="CH195" s="141">
        <v>0</v>
      </c>
      <c r="CI195" s="141">
        <v>0</v>
      </c>
      <c r="CJ195" s="142">
        <v>0</v>
      </c>
      <c r="CK195" s="142">
        <v>0</v>
      </c>
      <c r="CL195" s="142">
        <v>0</v>
      </c>
      <c r="CM195" s="142">
        <v>0</v>
      </c>
      <c r="CN195" s="179">
        <v>0</v>
      </c>
      <c r="CO195" s="142">
        <v>0</v>
      </c>
    </row>
    <row r="196" spans="1:93" ht="16.5" customHeight="1">
      <c r="A196" s="222"/>
      <c r="B196" s="220" t="s">
        <v>555</v>
      </c>
      <c r="C196" s="220"/>
      <c r="D196" s="220"/>
      <c r="E196" s="136" t="s">
        <v>556</v>
      </c>
      <c r="F196" s="136" t="s">
        <v>209</v>
      </c>
      <c r="G196" s="139">
        <v>2025</v>
      </c>
      <c r="H196" s="136" t="s">
        <v>210</v>
      </c>
      <c r="I196" s="221"/>
      <c r="J196" s="221"/>
      <c r="K196" s="140"/>
      <c r="L196" s="141"/>
      <c r="M196" s="141"/>
      <c r="N196" s="141"/>
      <c r="O196" s="141"/>
      <c r="P196" s="141"/>
      <c r="Q196" s="141"/>
      <c r="R196" s="142"/>
      <c r="S196" s="142"/>
      <c r="T196" s="142"/>
      <c r="U196" s="142"/>
      <c r="V196" s="179"/>
      <c r="W196" s="142"/>
      <c r="X196" s="141">
        <v>338830</v>
      </c>
      <c r="Y196" s="140">
        <v>3720125</v>
      </c>
      <c r="Z196" s="141">
        <v>0</v>
      </c>
      <c r="AA196" s="141">
        <v>223207500</v>
      </c>
      <c r="AB196" s="141">
        <v>1727554</v>
      </c>
      <c r="AC196" s="141">
        <v>1775698</v>
      </c>
      <c r="AD196" s="141">
        <v>836200</v>
      </c>
      <c r="AE196" s="141">
        <v>891354</v>
      </c>
      <c r="AF196" s="142">
        <v>24.798999999999999</v>
      </c>
      <c r="AG196" s="142">
        <v>4.4980000000000002</v>
      </c>
      <c r="AH196" s="142">
        <v>19342.655999999999</v>
      </c>
      <c r="AI196" s="142">
        <v>3508.1379999999999</v>
      </c>
      <c r="AJ196" s="179">
        <v>22850.794000000002</v>
      </c>
      <c r="AK196" s="142">
        <v>29.295999999999999</v>
      </c>
      <c r="AL196" s="141">
        <v>447</v>
      </c>
      <c r="AM196" s="140">
        <v>0</v>
      </c>
      <c r="AN196" s="141">
        <v>0</v>
      </c>
      <c r="AO196" s="141">
        <v>0</v>
      </c>
      <c r="AP196" s="141">
        <v>0</v>
      </c>
      <c r="AQ196" s="141">
        <v>0</v>
      </c>
      <c r="AR196" s="141">
        <v>0</v>
      </c>
      <c r="AS196" s="141">
        <v>0</v>
      </c>
      <c r="AT196" s="142">
        <v>3.0070000000000001</v>
      </c>
      <c r="AU196" s="142">
        <v>0.54100000000000004</v>
      </c>
      <c r="AV196" s="142">
        <v>2345.7600000000002</v>
      </c>
      <c r="AW196" s="142">
        <v>422.22300000000001</v>
      </c>
      <c r="AX196" s="179">
        <v>2767.9830000000002</v>
      </c>
      <c r="AY196" s="142">
        <v>3.5489999999999999</v>
      </c>
      <c r="AZ196" s="141"/>
      <c r="BA196" s="140"/>
      <c r="BB196" s="141"/>
      <c r="BC196" s="141"/>
      <c r="BD196" s="141"/>
      <c r="BE196" s="141"/>
      <c r="BF196" s="141"/>
      <c r="BG196" s="141"/>
      <c r="BH196" s="142"/>
      <c r="BI196" s="142"/>
      <c r="BJ196" s="142"/>
      <c r="BK196" s="142"/>
      <c r="BL196" s="179"/>
      <c r="BM196" s="142"/>
      <c r="BN196" s="141">
        <v>2333</v>
      </c>
      <c r="BO196" s="140">
        <v>0</v>
      </c>
      <c r="BP196" s="141">
        <v>0</v>
      </c>
      <c r="BQ196" s="141">
        <v>0</v>
      </c>
      <c r="BR196" s="141">
        <v>0</v>
      </c>
      <c r="BS196" s="141">
        <v>0</v>
      </c>
      <c r="BT196" s="141">
        <v>0</v>
      </c>
      <c r="BU196" s="141">
        <v>0</v>
      </c>
      <c r="BV196" s="142">
        <v>0</v>
      </c>
      <c r="BW196" s="142">
        <v>0</v>
      </c>
      <c r="BX196" s="142">
        <v>0</v>
      </c>
      <c r="BY196" s="142">
        <v>0</v>
      </c>
      <c r="BZ196" s="142">
        <v>0</v>
      </c>
      <c r="CA196" s="142">
        <v>0</v>
      </c>
      <c r="CB196" s="141"/>
      <c r="CC196" s="140"/>
      <c r="CD196" s="141"/>
      <c r="CE196" s="141"/>
      <c r="CF196" s="141"/>
      <c r="CG196" s="141"/>
      <c r="CH196" s="141"/>
      <c r="CI196" s="141"/>
      <c r="CJ196" s="142"/>
      <c r="CK196" s="142"/>
      <c r="CL196" s="142"/>
      <c r="CM196" s="142"/>
      <c r="CN196" s="179"/>
      <c r="CO196" s="142"/>
    </row>
    <row r="197" spans="1:93" ht="16.5" customHeight="1">
      <c r="A197" s="222"/>
      <c r="B197" s="220" t="s">
        <v>557</v>
      </c>
      <c r="C197" s="220"/>
      <c r="D197" s="220"/>
      <c r="E197" s="136" t="s">
        <v>558</v>
      </c>
      <c r="F197" s="136" t="s">
        <v>209</v>
      </c>
      <c r="G197" s="139">
        <v>2025</v>
      </c>
      <c r="H197" s="136" t="s">
        <v>210</v>
      </c>
      <c r="I197" s="221"/>
      <c r="J197" s="221"/>
      <c r="K197" s="140"/>
      <c r="L197" s="141"/>
      <c r="M197" s="141"/>
      <c r="N197" s="141"/>
      <c r="O197" s="141"/>
      <c r="P197" s="141"/>
      <c r="Q197" s="141"/>
      <c r="R197" s="142"/>
      <c r="S197" s="142"/>
      <c r="T197" s="142"/>
      <c r="U197" s="142"/>
      <c r="V197" s="179"/>
      <c r="W197" s="142"/>
      <c r="X197" s="141">
        <v>197379</v>
      </c>
      <c r="Y197" s="140">
        <v>2700402.517</v>
      </c>
      <c r="Z197" s="141">
        <v>0</v>
      </c>
      <c r="AA197" s="141">
        <v>162024151</v>
      </c>
      <c r="AB197" s="141">
        <v>599892929</v>
      </c>
      <c r="AC197" s="141">
        <v>599946518</v>
      </c>
      <c r="AD197" s="141">
        <v>498047555</v>
      </c>
      <c r="AE197" s="141">
        <v>101845373</v>
      </c>
      <c r="AF197" s="142">
        <v>22664.999</v>
      </c>
      <c r="AG197" s="142">
        <v>4079.6970000000001</v>
      </c>
      <c r="AH197" s="142">
        <v>17678518.287999999</v>
      </c>
      <c r="AI197" s="142">
        <v>3182131.0129999998</v>
      </c>
      <c r="AJ197" s="179">
        <v>20860649.300999999</v>
      </c>
      <c r="AK197" s="142">
        <v>26744.696</v>
      </c>
      <c r="AL197" s="141">
        <v>43</v>
      </c>
      <c r="AM197" s="140">
        <v>0</v>
      </c>
      <c r="AN197" s="141">
        <v>0</v>
      </c>
      <c r="AO197" s="141">
        <v>0</v>
      </c>
      <c r="AP197" s="141">
        <v>0</v>
      </c>
      <c r="AQ197" s="141">
        <v>0</v>
      </c>
      <c r="AR197" s="141">
        <v>0</v>
      </c>
      <c r="AS197" s="141">
        <v>0</v>
      </c>
      <c r="AT197" s="142">
        <v>1.663</v>
      </c>
      <c r="AU197" s="142">
        <v>0.29899999999999999</v>
      </c>
      <c r="AV197" s="142">
        <v>1297.482</v>
      </c>
      <c r="AW197" s="142">
        <v>233.53700000000001</v>
      </c>
      <c r="AX197" s="179">
        <v>1531.018</v>
      </c>
      <c r="AY197" s="142">
        <v>1.9630000000000001</v>
      </c>
      <c r="AZ197" s="141">
        <v>693</v>
      </c>
      <c r="BA197" s="140">
        <v>2729.1170000000002</v>
      </c>
      <c r="BB197" s="141">
        <v>3110</v>
      </c>
      <c r="BC197" s="141">
        <v>163747</v>
      </c>
      <c r="BD197" s="141">
        <v>163747</v>
      </c>
      <c r="BE197" s="141">
        <v>163747</v>
      </c>
      <c r="BF197" s="141">
        <v>0</v>
      </c>
      <c r="BG197" s="141">
        <v>0</v>
      </c>
      <c r="BH197" s="142">
        <v>114.265</v>
      </c>
      <c r="BI197" s="142">
        <v>20.568000000000001</v>
      </c>
      <c r="BJ197" s="142">
        <v>89125.667000000001</v>
      </c>
      <c r="BK197" s="142">
        <v>16042.611000000001</v>
      </c>
      <c r="BL197" s="179">
        <v>105168.27800000001</v>
      </c>
      <c r="BM197" s="142">
        <v>134.833</v>
      </c>
      <c r="BN197" s="141"/>
      <c r="BO197" s="140"/>
      <c r="BP197" s="141"/>
      <c r="BQ197" s="141"/>
      <c r="BR197" s="141"/>
      <c r="BS197" s="141"/>
      <c r="BT197" s="141"/>
      <c r="BU197" s="141"/>
      <c r="BV197" s="142"/>
      <c r="BW197" s="142"/>
      <c r="BX197" s="142"/>
      <c r="BY197" s="142"/>
      <c r="BZ197" s="142"/>
      <c r="CA197" s="142"/>
      <c r="CB197" s="141">
        <v>60</v>
      </c>
      <c r="CC197" s="140">
        <v>122.18300000000001</v>
      </c>
      <c r="CD197" s="141">
        <v>163</v>
      </c>
      <c r="CE197" s="141">
        <v>7331</v>
      </c>
      <c r="CF197" s="141">
        <v>7331</v>
      </c>
      <c r="CG197" s="141">
        <v>7331</v>
      </c>
      <c r="CH197" s="141">
        <v>0</v>
      </c>
      <c r="CI197" s="141">
        <v>0</v>
      </c>
      <c r="CJ197" s="142">
        <v>0</v>
      </c>
      <c r="CK197" s="142">
        <v>0</v>
      </c>
      <c r="CL197" s="142">
        <v>0</v>
      </c>
      <c r="CM197" s="142">
        <v>0</v>
      </c>
      <c r="CN197" s="179">
        <v>0</v>
      </c>
      <c r="CO197" s="142">
        <v>0</v>
      </c>
    </row>
    <row r="198" spans="1:93" ht="16.5" customHeight="1">
      <c r="A198" s="222"/>
      <c r="B198" s="220" t="s">
        <v>559</v>
      </c>
      <c r="C198" s="220"/>
      <c r="D198" s="220"/>
      <c r="E198" s="136" t="s">
        <v>560</v>
      </c>
      <c r="F198" s="136" t="s">
        <v>209</v>
      </c>
      <c r="G198" s="139">
        <v>2025</v>
      </c>
      <c r="H198" s="136" t="s">
        <v>210</v>
      </c>
      <c r="I198" s="221"/>
      <c r="J198" s="221"/>
      <c r="K198" s="140"/>
      <c r="L198" s="141"/>
      <c r="M198" s="141"/>
      <c r="N198" s="141"/>
      <c r="O198" s="141"/>
      <c r="P198" s="141"/>
      <c r="Q198" s="141"/>
      <c r="R198" s="142"/>
      <c r="S198" s="142"/>
      <c r="T198" s="142"/>
      <c r="U198" s="142"/>
      <c r="V198" s="179"/>
      <c r="W198" s="142"/>
      <c r="X198" s="141">
        <v>180</v>
      </c>
      <c r="Y198" s="140">
        <v>1620.7829999999999</v>
      </c>
      <c r="Z198" s="141">
        <v>0</v>
      </c>
      <c r="AA198" s="141">
        <v>97247</v>
      </c>
      <c r="AB198" s="141">
        <v>157</v>
      </c>
      <c r="AC198" s="141">
        <v>176</v>
      </c>
      <c r="AD198" s="141">
        <v>76</v>
      </c>
      <c r="AE198" s="141">
        <v>81</v>
      </c>
      <c r="AF198" s="142">
        <v>1E-3</v>
      </c>
      <c r="AG198" s="142">
        <v>0</v>
      </c>
      <c r="AH198" s="142">
        <v>0.53</v>
      </c>
      <c r="AI198" s="142">
        <v>9.4E-2</v>
      </c>
      <c r="AJ198" s="179">
        <v>0.624</v>
      </c>
      <c r="AK198" s="142">
        <v>1E-3</v>
      </c>
      <c r="AL198" s="141">
        <v>35</v>
      </c>
      <c r="AM198" s="140">
        <v>0</v>
      </c>
      <c r="AN198" s="141">
        <v>0</v>
      </c>
      <c r="AO198" s="141">
        <v>0</v>
      </c>
      <c r="AP198" s="141">
        <v>0</v>
      </c>
      <c r="AQ198" s="141">
        <v>0</v>
      </c>
      <c r="AR198" s="141">
        <v>0</v>
      </c>
      <c r="AS198" s="141">
        <v>0</v>
      </c>
      <c r="AT198" s="142">
        <v>0.22900000000000001</v>
      </c>
      <c r="AU198" s="142">
        <v>4.1000000000000002E-2</v>
      </c>
      <c r="AV198" s="142">
        <v>179.00399999999999</v>
      </c>
      <c r="AW198" s="142">
        <v>32.213999999999999</v>
      </c>
      <c r="AX198" s="179">
        <v>211.21799999999999</v>
      </c>
      <c r="AY198" s="142">
        <v>0.27100000000000002</v>
      </c>
      <c r="AZ198" s="141">
        <v>935</v>
      </c>
      <c r="BA198" s="140">
        <v>36359.917000000001</v>
      </c>
      <c r="BB198" s="141">
        <v>36852</v>
      </c>
      <c r="BC198" s="141">
        <v>2181595</v>
      </c>
      <c r="BD198" s="141">
        <v>2181595</v>
      </c>
      <c r="BE198" s="141">
        <v>2181595</v>
      </c>
      <c r="BF198" s="141">
        <v>0</v>
      </c>
      <c r="BG198" s="141">
        <v>0</v>
      </c>
      <c r="BH198" s="142">
        <v>10117.916999999999</v>
      </c>
      <c r="BI198" s="142">
        <v>1821.2249999999999</v>
      </c>
      <c r="BJ198" s="142">
        <v>7891894.5159999998</v>
      </c>
      <c r="BK198" s="142">
        <v>1420541.024</v>
      </c>
      <c r="BL198" s="179">
        <v>9312435.5390000008</v>
      </c>
      <c r="BM198" s="142">
        <v>11939.142</v>
      </c>
      <c r="BN198" s="141">
        <v>92</v>
      </c>
      <c r="BO198" s="140">
        <v>0</v>
      </c>
      <c r="BP198" s="141">
        <v>0</v>
      </c>
      <c r="BQ198" s="141">
        <v>0</v>
      </c>
      <c r="BR198" s="141">
        <v>0</v>
      </c>
      <c r="BS198" s="141">
        <v>0</v>
      </c>
      <c r="BT198" s="141">
        <v>0</v>
      </c>
      <c r="BU198" s="141">
        <v>0</v>
      </c>
      <c r="BV198" s="142">
        <v>0</v>
      </c>
      <c r="BW198" s="142">
        <v>0</v>
      </c>
      <c r="BX198" s="142">
        <v>0</v>
      </c>
      <c r="BY198" s="142">
        <v>0</v>
      </c>
      <c r="BZ198" s="142">
        <v>0</v>
      </c>
      <c r="CA198" s="142">
        <v>0</v>
      </c>
      <c r="CB198" s="141"/>
      <c r="CC198" s="140"/>
      <c r="CD198" s="141"/>
      <c r="CE198" s="141"/>
      <c r="CF198" s="141"/>
      <c r="CG198" s="141"/>
      <c r="CH198" s="141"/>
      <c r="CI198" s="141"/>
      <c r="CJ198" s="142"/>
      <c r="CK198" s="142"/>
      <c r="CL198" s="142"/>
      <c r="CM198" s="142"/>
      <c r="CN198" s="179"/>
      <c r="CO198" s="142"/>
    </row>
    <row r="199" spans="1:93" ht="16.5" customHeight="1">
      <c r="A199" s="222"/>
      <c r="B199" s="220" t="s">
        <v>561</v>
      </c>
      <c r="C199" s="220"/>
      <c r="D199" s="220"/>
      <c r="E199" s="136" t="s">
        <v>560</v>
      </c>
      <c r="F199" s="136" t="s">
        <v>209</v>
      </c>
      <c r="G199" s="139">
        <v>2025</v>
      </c>
      <c r="H199" s="136" t="s">
        <v>210</v>
      </c>
      <c r="I199" s="221"/>
      <c r="J199" s="221"/>
      <c r="K199" s="140"/>
      <c r="L199" s="141"/>
      <c r="M199" s="141"/>
      <c r="N199" s="141"/>
      <c r="O199" s="141"/>
      <c r="P199" s="141"/>
      <c r="Q199" s="141"/>
      <c r="R199" s="142"/>
      <c r="S199" s="142"/>
      <c r="T199" s="142"/>
      <c r="U199" s="142"/>
      <c r="V199" s="179"/>
      <c r="W199" s="142"/>
      <c r="X199" s="141">
        <v>7697</v>
      </c>
      <c r="Y199" s="140">
        <v>101128.05</v>
      </c>
      <c r="Z199" s="141">
        <v>0</v>
      </c>
      <c r="AA199" s="141">
        <v>6067683</v>
      </c>
      <c r="AB199" s="141">
        <v>13909296</v>
      </c>
      <c r="AC199" s="141">
        <v>13910812</v>
      </c>
      <c r="AD199" s="141">
        <v>9949019</v>
      </c>
      <c r="AE199" s="141">
        <v>3960277</v>
      </c>
      <c r="AF199" s="142">
        <v>53.536000000000001</v>
      </c>
      <c r="AG199" s="142">
        <v>9.6370000000000005</v>
      </c>
      <c r="AH199" s="142">
        <v>41758.006999999998</v>
      </c>
      <c r="AI199" s="142">
        <v>7516.4579999999996</v>
      </c>
      <c r="AJ199" s="179">
        <v>49274.464999999997</v>
      </c>
      <c r="AK199" s="142">
        <v>63.173000000000002</v>
      </c>
      <c r="AL199" s="141">
        <v>197</v>
      </c>
      <c r="AM199" s="140">
        <v>0</v>
      </c>
      <c r="AN199" s="141">
        <v>0</v>
      </c>
      <c r="AO199" s="141">
        <v>0</v>
      </c>
      <c r="AP199" s="141">
        <v>0</v>
      </c>
      <c r="AQ199" s="141">
        <v>0</v>
      </c>
      <c r="AR199" s="141">
        <v>0</v>
      </c>
      <c r="AS199" s="141">
        <v>0</v>
      </c>
      <c r="AT199" s="142">
        <v>1.292</v>
      </c>
      <c r="AU199" s="142">
        <v>0.23200000000000001</v>
      </c>
      <c r="AV199" s="142">
        <v>1007.538</v>
      </c>
      <c r="AW199" s="142">
        <v>181.31700000000001</v>
      </c>
      <c r="AX199" s="179">
        <v>1188.855</v>
      </c>
      <c r="AY199" s="142">
        <v>1.524</v>
      </c>
      <c r="AZ199" s="141">
        <v>27</v>
      </c>
      <c r="BA199" s="140">
        <v>155.15</v>
      </c>
      <c r="BB199" s="141">
        <v>170</v>
      </c>
      <c r="BC199" s="141">
        <v>9309</v>
      </c>
      <c r="BD199" s="141">
        <v>9309</v>
      </c>
      <c r="BE199" s="141">
        <v>9309</v>
      </c>
      <c r="BF199" s="141">
        <v>0</v>
      </c>
      <c r="BG199" s="141">
        <v>0</v>
      </c>
      <c r="BH199" s="142">
        <v>33.67</v>
      </c>
      <c r="BI199" s="142">
        <v>6.0609999999999999</v>
      </c>
      <c r="BJ199" s="142">
        <v>26262.192999999999</v>
      </c>
      <c r="BK199" s="142">
        <v>4727.1949999999997</v>
      </c>
      <c r="BL199" s="179">
        <v>30989.387999999999</v>
      </c>
      <c r="BM199" s="142">
        <v>39.729999999999997</v>
      </c>
      <c r="BN199" s="141">
        <v>575</v>
      </c>
      <c r="BO199" s="140">
        <v>0</v>
      </c>
      <c r="BP199" s="141">
        <v>0</v>
      </c>
      <c r="BQ199" s="141">
        <v>0</v>
      </c>
      <c r="BR199" s="141">
        <v>0</v>
      </c>
      <c r="BS199" s="141">
        <v>0</v>
      </c>
      <c r="BT199" s="141">
        <v>0</v>
      </c>
      <c r="BU199" s="141">
        <v>0</v>
      </c>
      <c r="BV199" s="142">
        <v>0</v>
      </c>
      <c r="BW199" s="142">
        <v>0</v>
      </c>
      <c r="BX199" s="142">
        <v>0</v>
      </c>
      <c r="BY199" s="142">
        <v>0</v>
      </c>
      <c r="BZ199" s="142">
        <v>0</v>
      </c>
      <c r="CA199" s="142">
        <v>0</v>
      </c>
      <c r="CB199" s="141">
        <v>31</v>
      </c>
      <c r="CC199" s="140">
        <v>38.482999999999997</v>
      </c>
      <c r="CD199" s="141">
        <v>60</v>
      </c>
      <c r="CE199" s="141">
        <v>2309</v>
      </c>
      <c r="CF199" s="141">
        <v>2309</v>
      </c>
      <c r="CG199" s="141">
        <v>2309</v>
      </c>
      <c r="CH199" s="141">
        <v>0</v>
      </c>
      <c r="CI199" s="141">
        <v>0</v>
      </c>
      <c r="CJ199" s="142">
        <v>0</v>
      </c>
      <c r="CK199" s="142">
        <v>0</v>
      </c>
      <c r="CL199" s="142">
        <v>0</v>
      </c>
      <c r="CM199" s="142">
        <v>0</v>
      </c>
      <c r="CN199" s="179">
        <v>0</v>
      </c>
      <c r="CO199" s="142">
        <v>0</v>
      </c>
    </row>
    <row r="200" spans="1:93" ht="16.5" customHeight="1">
      <c r="A200" s="222"/>
      <c r="B200" s="220" t="s">
        <v>562</v>
      </c>
      <c r="C200" s="220"/>
      <c r="D200" s="220"/>
      <c r="E200" s="136" t="s">
        <v>563</v>
      </c>
      <c r="F200" s="136" t="s">
        <v>209</v>
      </c>
      <c r="G200" s="139">
        <v>2025</v>
      </c>
      <c r="H200" s="136" t="s">
        <v>210</v>
      </c>
      <c r="I200" s="221"/>
      <c r="J200" s="221"/>
      <c r="K200" s="140"/>
      <c r="L200" s="141"/>
      <c r="M200" s="141"/>
      <c r="N200" s="141"/>
      <c r="O200" s="141"/>
      <c r="P200" s="141"/>
      <c r="Q200" s="141"/>
      <c r="R200" s="142"/>
      <c r="S200" s="142"/>
      <c r="T200" s="142"/>
      <c r="U200" s="142"/>
      <c r="V200" s="179"/>
      <c r="W200" s="142"/>
      <c r="X200" s="141"/>
      <c r="Y200" s="140"/>
      <c r="Z200" s="141"/>
      <c r="AA200" s="141"/>
      <c r="AB200" s="141"/>
      <c r="AC200" s="141"/>
      <c r="AD200" s="141"/>
      <c r="AE200" s="141"/>
      <c r="AF200" s="142"/>
      <c r="AG200" s="142"/>
      <c r="AH200" s="142"/>
      <c r="AI200" s="142"/>
      <c r="AJ200" s="179"/>
      <c r="AK200" s="142"/>
      <c r="AL200" s="141">
        <v>3</v>
      </c>
      <c r="AM200" s="140">
        <v>0</v>
      </c>
      <c r="AN200" s="141">
        <v>0</v>
      </c>
      <c r="AO200" s="141">
        <v>0</v>
      </c>
      <c r="AP200" s="141">
        <v>0</v>
      </c>
      <c r="AQ200" s="141">
        <v>0</v>
      </c>
      <c r="AR200" s="141">
        <v>0</v>
      </c>
      <c r="AS200" s="141">
        <v>0</v>
      </c>
      <c r="AT200" s="142">
        <v>0.11899999999999999</v>
      </c>
      <c r="AU200" s="142">
        <v>2.1000000000000001E-2</v>
      </c>
      <c r="AV200" s="142">
        <v>92.49</v>
      </c>
      <c r="AW200" s="142">
        <v>16.649000000000001</v>
      </c>
      <c r="AX200" s="179">
        <v>109.139</v>
      </c>
      <c r="AY200" s="142">
        <v>0.14000000000000001</v>
      </c>
      <c r="AZ200" s="141">
        <v>1</v>
      </c>
      <c r="BA200" s="140">
        <v>0.05</v>
      </c>
      <c r="BB200" s="141">
        <v>1</v>
      </c>
      <c r="BC200" s="141">
        <v>3</v>
      </c>
      <c r="BD200" s="141">
        <v>3</v>
      </c>
      <c r="BE200" s="141">
        <v>3</v>
      </c>
      <c r="BF200" s="141">
        <v>0</v>
      </c>
      <c r="BG200" s="141">
        <v>0</v>
      </c>
      <c r="BH200" s="142">
        <v>4.0000000000000001E-3</v>
      </c>
      <c r="BI200" s="142">
        <v>1E-3</v>
      </c>
      <c r="BJ200" s="142">
        <v>2.9510000000000001</v>
      </c>
      <c r="BK200" s="142">
        <v>0.53100000000000003</v>
      </c>
      <c r="BL200" s="179">
        <v>3.4830000000000001</v>
      </c>
      <c r="BM200" s="142">
        <v>4.0000000000000001E-3</v>
      </c>
      <c r="BN200" s="141">
        <v>70</v>
      </c>
      <c r="BO200" s="140">
        <v>0</v>
      </c>
      <c r="BP200" s="141">
        <v>0</v>
      </c>
      <c r="BQ200" s="141">
        <v>0</v>
      </c>
      <c r="BR200" s="141">
        <v>0</v>
      </c>
      <c r="BS200" s="141">
        <v>0</v>
      </c>
      <c r="BT200" s="141">
        <v>0</v>
      </c>
      <c r="BU200" s="141">
        <v>0</v>
      </c>
      <c r="BV200" s="142">
        <v>0</v>
      </c>
      <c r="BW200" s="142">
        <v>0</v>
      </c>
      <c r="BX200" s="142">
        <v>0</v>
      </c>
      <c r="BY200" s="142">
        <v>0</v>
      </c>
      <c r="BZ200" s="142">
        <v>0</v>
      </c>
      <c r="CA200" s="142">
        <v>0</v>
      </c>
      <c r="CB200" s="141">
        <v>2</v>
      </c>
      <c r="CC200" s="140">
        <v>4.0170000000000003</v>
      </c>
      <c r="CD200" s="141">
        <v>5</v>
      </c>
      <c r="CE200" s="141">
        <v>241</v>
      </c>
      <c r="CF200" s="141">
        <v>241</v>
      </c>
      <c r="CG200" s="141">
        <v>241</v>
      </c>
      <c r="CH200" s="141">
        <v>0</v>
      </c>
      <c r="CI200" s="141">
        <v>0</v>
      </c>
      <c r="CJ200" s="142">
        <v>0</v>
      </c>
      <c r="CK200" s="142">
        <v>0</v>
      </c>
      <c r="CL200" s="142">
        <v>0</v>
      </c>
      <c r="CM200" s="142">
        <v>0</v>
      </c>
      <c r="CN200" s="179">
        <v>0</v>
      </c>
      <c r="CO200" s="142">
        <v>0</v>
      </c>
    </row>
    <row r="201" spans="1:93" ht="16.5" customHeight="1">
      <c r="A201" s="222"/>
      <c r="B201" s="220" t="s">
        <v>564</v>
      </c>
      <c r="C201" s="220"/>
      <c r="D201" s="220"/>
      <c r="E201" s="136" t="s">
        <v>565</v>
      </c>
      <c r="F201" s="136" t="s">
        <v>209</v>
      </c>
      <c r="G201" s="139">
        <v>2025</v>
      </c>
      <c r="H201" s="136" t="s">
        <v>210</v>
      </c>
      <c r="I201" s="221"/>
      <c r="J201" s="221"/>
      <c r="K201" s="140"/>
      <c r="L201" s="141"/>
      <c r="M201" s="141"/>
      <c r="N201" s="141"/>
      <c r="O201" s="141"/>
      <c r="P201" s="141"/>
      <c r="Q201" s="141"/>
      <c r="R201" s="142"/>
      <c r="S201" s="142"/>
      <c r="T201" s="142"/>
      <c r="U201" s="142"/>
      <c r="V201" s="179"/>
      <c r="W201" s="142"/>
      <c r="X201" s="141">
        <v>69956</v>
      </c>
      <c r="Y201" s="140">
        <v>1265174.8670000001</v>
      </c>
      <c r="Z201" s="141">
        <v>0</v>
      </c>
      <c r="AA201" s="141">
        <v>75910492</v>
      </c>
      <c r="AB201" s="141">
        <v>112362945</v>
      </c>
      <c r="AC201" s="141">
        <v>112370211</v>
      </c>
      <c r="AD201" s="141">
        <v>94233294</v>
      </c>
      <c r="AE201" s="141">
        <v>18129652</v>
      </c>
      <c r="AF201" s="142">
        <v>738.29</v>
      </c>
      <c r="AG201" s="142">
        <v>132.892</v>
      </c>
      <c r="AH201" s="142">
        <v>575860.40300000005</v>
      </c>
      <c r="AI201" s="142">
        <v>103654.353</v>
      </c>
      <c r="AJ201" s="179">
        <v>679514.75600000005</v>
      </c>
      <c r="AK201" s="142">
        <v>871.18200000000002</v>
      </c>
      <c r="AL201" s="141">
        <v>111</v>
      </c>
      <c r="AM201" s="140">
        <v>0</v>
      </c>
      <c r="AN201" s="141">
        <v>0</v>
      </c>
      <c r="AO201" s="141">
        <v>0</v>
      </c>
      <c r="AP201" s="141">
        <v>0</v>
      </c>
      <c r="AQ201" s="141">
        <v>0</v>
      </c>
      <c r="AR201" s="141">
        <v>0</v>
      </c>
      <c r="AS201" s="141">
        <v>0</v>
      </c>
      <c r="AT201" s="142">
        <v>3.734</v>
      </c>
      <c r="AU201" s="142">
        <v>0.67200000000000004</v>
      </c>
      <c r="AV201" s="142">
        <v>2912.4349999999999</v>
      </c>
      <c r="AW201" s="142">
        <v>524.23699999999997</v>
      </c>
      <c r="AX201" s="179">
        <v>3436.6709999999998</v>
      </c>
      <c r="AY201" s="142">
        <v>4.4059999999999997</v>
      </c>
      <c r="AZ201" s="141">
        <v>47</v>
      </c>
      <c r="BA201" s="140">
        <v>84.2</v>
      </c>
      <c r="BB201" s="141">
        <v>113</v>
      </c>
      <c r="BC201" s="141">
        <v>5052</v>
      </c>
      <c r="BD201" s="141">
        <v>5052</v>
      </c>
      <c r="BE201" s="141">
        <v>5052</v>
      </c>
      <c r="BF201" s="141">
        <v>0</v>
      </c>
      <c r="BG201" s="141">
        <v>0</v>
      </c>
      <c r="BH201" s="142">
        <v>11.622</v>
      </c>
      <c r="BI201" s="142">
        <v>2.0920000000000001</v>
      </c>
      <c r="BJ201" s="142">
        <v>9065.3310000000001</v>
      </c>
      <c r="BK201" s="142">
        <v>1631.759</v>
      </c>
      <c r="BL201" s="179">
        <v>10697.09</v>
      </c>
      <c r="BM201" s="142">
        <v>13.714</v>
      </c>
      <c r="BN201" s="141">
        <v>3802</v>
      </c>
      <c r="BO201" s="140">
        <v>0</v>
      </c>
      <c r="BP201" s="141">
        <v>0</v>
      </c>
      <c r="BQ201" s="141">
        <v>0</v>
      </c>
      <c r="BR201" s="141">
        <v>0</v>
      </c>
      <c r="BS201" s="141">
        <v>0</v>
      </c>
      <c r="BT201" s="141">
        <v>0</v>
      </c>
      <c r="BU201" s="141">
        <v>0</v>
      </c>
      <c r="BV201" s="142">
        <v>0</v>
      </c>
      <c r="BW201" s="142">
        <v>0</v>
      </c>
      <c r="BX201" s="142">
        <v>0</v>
      </c>
      <c r="BY201" s="142">
        <v>0</v>
      </c>
      <c r="BZ201" s="142">
        <v>0</v>
      </c>
      <c r="CA201" s="142">
        <v>0</v>
      </c>
      <c r="CB201" s="141">
        <v>43</v>
      </c>
      <c r="CC201" s="140">
        <v>59.232999999999997</v>
      </c>
      <c r="CD201" s="141">
        <v>87</v>
      </c>
      <c r="CE201" s="141">
        <v>3554</v>
      </c>
      <c r="CF201" s="141">
        <v>3554</v>
      </c>
      <c r="CG201" s="141">
        <v>3554</v>
      </c>
      <c r="CH201" s="141">
        <v>0</v>
      </c>
      <c r="CI201" s="141">
        <v>0</v>
      </c>
      <c r="CJ201" s="142">
        <v>0</v>
      </c>
      <c r="CK201" s="142">
        <v>0</v>
      </c>
      <c r="CL201" s="142">
        <v>0</v>
      </c>
      <c r="CM201" s="142">
        <v>0</v>
      </c>
      <c r="CN201" s="179">
        <v>0</v>
      </c>
      <c r="CO201" s="142">
        <v>0</v>
      </c>
    </row>
    <row r="202" spans="1:93" ht="16.5" customHeight="1">
      <c r="A202" s="220" t="s">
        <v>566</v>
      </c>
      <c r="B202" s="220"/>
      <c r="C202" s="220"/>
      <c r="D202" s="220"/>
      <c r="E202" s="220"/>
      <c r="F202" s="220"/>
      <c r="G202" s="220"/>
      <c r="H202" s="220"/>
      <c r="I202" s="221">
        <v>401</v>
      </c>
      <c r="J202" s="221"/>
      <c r="K202" s="140">
        <v>13616.583000000001</v>
      </c>
      <c r="L202" s="141">
        <v>0</v>
      </c>
      <c r="M202" s="141">
        <v>816995</v>
      </c>
      <c r="N202" s="141">
        <v>280584</v>
      </c>
      <c r="O202" s="141">
        <v>280772</v>
      </c>
      <c r="P202" s="141">
        <v>233695</v>
      </c>
      <c r="Q202" s="141">
        <v>46891</v>
      </c>
      <c r="R202" s="142">
        <v>1.843</v>
      </c>
      <c r="S202" s="142">
        <v>0.33200000000000002</v>
      </c>
      <c r="T202" s="142">
        <v>1437.201</v>
      </c>
      <c r="U202" s="142">
        <v>258.68299999999999</v>
      </c>
      <c r="V202" s="179">
        <v>1695.883</v>
      </c>
      <c r="W202" s="142">
        <v>2.173</v>
      </c>
      <c r="X202" s="141">
        <v>47271453</v>
      </c>
      <c r="Y202" s="140">
        <v>827239707.50199997</v>
      </c>
      <c r="Z202" s="141">
        <v>0</v>
      </c>
      <c r="AA202" s="141">
        <v>49634382450</v>
      </c>
      <c r="AB202" s="141">
        <v>4261507452</v>
      </c>
      <c r="AC202" s="141">
        <v>4277011621</v>
      </c>
      <c r="AD202" s="141">
        <v>3370082128</v>
      </c>
      <c r="AE202" s="141">
        <v>891425327</v>
      </c>
      <c r="AF202" s="142">
        <v>53768.415000000001</v>
      </c>
      <c r="AG202" s="142">
        <v>9676.9410000000007</v>
      </c>
      <c r="AH202" s="142">
        <v>41938932.530000001</v>
      </c>
      <c r="AI202" s="142">
        <v>7547935.1320000002</v>
      </c>
      <c r="AJ202" s="179">
        <v>49486867.659999996</v>
      </c>
      <c r="AK202" s="142">
        <v>63445.357000000004</v>
      </c>
      <c r="AL202" s="141">
        <v>28013</v>
      </c>
      <c r="AM202" s="140">
        <v>0</v>
      </c>
      <c r="AN202" s="141">
        <v>0</v>
      </c>
      <c r="AO202" s="141">
        <v>0</v>
      </c>
      <c r="AP202" s="141">
        <v>0</v>
      </c>
      <c r="AQ202" s="141">
        <v>0</v>
      </c>
      <c r="AR202" s="141">
        <v>0</v>
      </c>
      <c r="AS202" s="141">
        <v>0</v>
      </c>
      <c r="AT202" s="142">
        <v>608.33600000000001</v>
      </c>
      <c r="AU202" s="142">
        <v>109.496</v>
      </c>
      <c r="AV202" s="142">
        <v>474498.61300000001</v>
      </c>
      <c r="AW202" s="142">
        <v>85409.900999999998</v>
      </c>
      <c r="AX202" s="179">
        <v>559908.52</v>
      </c>
      <c r="AY202" s="142">
        <v>717.84100000000001</v>
      </c>
      <c r="AZ202" s="141">
        <v>45562</v>
      </c>
      <c r="BA202" s="140">
        <v>88479.432000000001</v>
      </c>
      <c r="BB202" s="141">
        <v>114151</v>
      </c>
      <c r="BC202" s="141">
        <v>5308766</v>
      </c>
      <c r="BD202" s="141">
        <v>5308766</v>
      </c>
      <c r="BE202" s="141">
        <v>5319895</v>
      </c>
      <c r="BF202" s="141">
        <v>0</v>
      </c>
      <c r="BG202" s="141">
        <v>0</v>
      </c>
      <c r="BH202" s="142">
        <v>15685.225</v>
      </c>
      <c r="BI202" s="142">
        <v>2823.3449999999998</v>
      </c>
      <c r="BJ202" s="142">
        <v>12234347.958000001</v>
      </c>
      <c r="BK202" s="142">
        <v>2202182.554</v>
      </c>
      <c r="BL202" s="179">
        <v>14436530.509</v>
      </c>
      <c r="BM202" s="142">
        <v>18508.561000000002</v>
      </c>
      <c r="BN202" s="141">
        <v>8775252</v>
      </c>
      <c r="BO202" s="140">
        <v>0</v>
      </c>
      <c r="BP202" s="141">
        <v>0</v>
      </c>
      <c r="BQ202" s="141">
        <v>0</v>
      </c>
      <c r="BR202" s="141">
        <v>0</v>
      </c>
      <c r="BS202" s="141">
        <v>0</v>
      </c>
      <c r="BT202" s="141">
        <v>0</v>
      </c>
      <c r="BU202" s="141">
        <v>0</v>
      </c>
      <c r="BV202" s="142">
        <v>0</v>
      </c>
      <c r="BW202" s="142">
        <v>0</v>
      </c>
      <c r="BX202" s="142">
        <v>0</v>
      </c>
      <c r="BY202" s="142">
        <v>0</v>
      </c>
      <c r="BZ202" s="142">
        <v>0</v>
      </c>
      <c r="CA202" s="142">
        <v>0</v>
      </c>
      <c r="CB202" s="141">
        <v>258659</v>
      </c>
      <c r="CC202" s="140">
        <v>612151.61499999999</v>
      </c>
      <c r="CD202" s="141">
        <v>740288</v>
      </c>
      <c r="CE202" s="141">
        <v>36729097</v>
      </c>
      <c r="CF202" s="141">
        <v>36729097</v>
      </c>
      <c r="CG202" s="141">
        <v>36745213</v>
      </c>
      <c r="CH202" s="141">
        <v>0</v>
      </c>
      <c r="CI202" s="141">
        <v>0</v>
      </c>
      <c r="CJ202" s="142">
        <v>0.81200000000000006</v>
      </c>
      <c r="CK202" s="142">
        <v>0.14499999999999999</v>
      </c>
      <c r="CL202" s="142">
        <v>632.34299999999996</v>
      </c>
      <c r="CM202" s="142">
        <v>113.81399999999999</v>
      </c>
      <c r="CN202" s="179">
        <v>746.15700000000004</v>
      </c>
      <c r="CO202" s="142">
        <v>0.95699999999999996</v>
      </c>
    </row>
  </sheetData>
  <mergeCells count="388">
    <mergeCell ref="D10:I10"/>
    <mergeCell ref="D11:I11"/>
    <mergeCell ref="D12:I12"/>
    <mergeCell ref="D13:I13"/>
    <mergeCell ref="D15:I15"/>
    <mergeCell ref="D16:I16"/>
    <mergeCell ref="D2:I3"/>
    <mergeCell ref="A3:B8"/>
    <mergeCell ref="D4:I4"/>
    <mergeCell ref="D6:I6"/>
    <mergeCell ref="D7:I7"/>
    <mergeCell ref="D8:I8"/>
    <mergeCell ref="I18:AK18"/>
    <mergeCell ref="AL18:BM18"/>
    <mergeCell ref="BN18:CO18"/>
    <mergeCell ref="I19:W19"/>
    <mergeCell ref="X19:AK19"/>
    <mergeCell ref="AL19:AY19"/>
    <mergeCell ref="AZ19:BM19"/>
    <mergeCell ref="BN19:CA19"/>
    <mergeCell ref="CB19:CO19"/>
    <mergeCell ref="B20:D20"/>
    <mergeCell ref="I20:J20"/>
    <mergeCell ref="B21:D21"/>
    <mergeCell ref="I21:J21"/>
    <mergeCell ref="B22:D22"/>
    <mergeCell ref="I22:J22"/>
    <mergeCell ref="B23:D23"/>
    <mergeCell ref="I23:J23"/>
    <mergeCell ref="B24:D24"/>
    <mergeCell ref="B28:D28"/>
    <mergeCell ref="I28:J28"/>
    <mergeCell ref="B29:D29"/>
    <mergeCell ref="I29:J29"/>
    <mergeCell ref="B30:D30"/>
    <mergeCell ref="I30:J30"/>
    <mergeCell ref="I24:J24"/>
    <mergeCell ref="B25:D25"/>
    <mergeCell ref="I25:J25"/>
    <mergeCell ref="B26:D26"/>
    <mergeCell ref="I26:J26"/>
    <mergeCell ref="B27:D27"/>
    <mergeCell ref="I27:J27"/>
    <mergeCell ref="B34:D34"/>
    <mergeCell ref="I34:J34"/>
    <mergeCell ref="B35:D35"/>
    <mergeCell ref="I35:J35"/>
    <mergeCell ref="B36:D36"/>
    <mergeCell ref="I36:J36"/>
    <mergeCell ref="B31:D31"/>
    <mergeCell ref="I31:J31"/>
    <mergeCell ref="B32:D32"/>
    <mergeCell ref="I32:J32"/>
    <mergeCell ref="B33:D33"/>
    <mergeCell ref="I33:J33"/>
    <mergeCell ref="B40:D40"/>
    <mergeCell ref="I40:J40"/>
    <mergeCell ref="B41:D41"/>
    <mergeCell ref="I41:J41"/>
    <mergeCell ref="B42:D42"/>
    <mergeCell ref="I42:J42"/>
    <mergeCell ref="B37:D37"/>
    <mergeCell ref="I37:J37"/>
    <mergeCell ref="B38:D38"/>
    <mergeCell ref="I38:J38"/>
    <mergeCell ref="B39:D39"/>
    <mergeCell ref="I39:J39"/>
    <mergeCell ref="B46:D46"/>
    <mergeCell ref="I46:J46"/>
    <mergeCell ref="B47:D47"/>
    <mergeCell ref="I47:J47"/>
    <mergeCell ref="B48:D48"/>
    <mergeCell ref="I48:J48"/>
    <mergeCell ref="B43:D43"/>
    <mergeCell ref="I43:J43"/>
    <mergeCell ref="B44:D44"/>
    <mergeCell ref="I44:J44"/>
    <mergeCell ref="B45:D45"/>
    <mergeCell ref="I45:J45"/>
    <mergeCell ref="B52:D52"/>
    <mergeCell ref="I52:J52"/>
    <mergeCell ref="B53:D53"/>
    <mergeCell ref="I53:J53"/>
    <mergeCell ref="B54:D54"/>
    <mergeCell ref="I54:J54"/>
    <mergeCell ref="B49:D49"/>
    <mergeCell ref="I49:J49"/>
    <mergeCell ref="B50:D50"/>
    <mergeCell ref="I50:J50"/>
    <mergeCell ref="B51:D51"/>
    <mergeCell ref="I51:J51"/>
    <mergeCell ref="B58:D58"/>
    <mergeCell ref="I58:J58"/>
    <mergeCell ref="B59:D59"/>
    <mergeCell ref="I59:J59"/>
    <mergeCell ref="B60:D60"/>
    <mergeCell ref="I60:J60"/>
    <mergeCell ref="B55:D55"/>
    <mergeCell ref="I55:J55"/>
    <mergeCell ref="B56:D56"/>
    <mergeCell ref="I56:J56"/>
    <mergeCell ref="B57:D57"/>
    <mergeCell ref="I57:J57"/>
    <mergeCell ref="B64:D64"/>
    <mergeCell ref="I64:J64"/>
    <mergeCell ref="B65:D65"/>
    <mergeCell ref="I65:J65"/>
    <mergeCell ref="B66:D66"/>
    <mergeCell ref="I66:J66"/>
    <mergeCell ref="B61:D61"/>
    <mergeCell ref="I61:J61"/>
    <mergeCell ref="B62:D62"/>
    <mergeCell ref="I62:J62"/>
    <mergeCell ref="B63:D63"/>
    <mergeCell ref="I63:J63"/>
    <mergeCell ref="B70:D70"/>
    <mergeCell ref="I70:J70"/>
    <mergeCell ref="B71:D71"/>
    <mergeCell ref="I71:J71"/>
    <mergeCell ref="B72:D72"/>
    <mergeCell ref="I72:J72"/>
    <mergeCell ref="B67:D67"/>
    <mergeCell ref="I67:J67"/>
    <mergeCell ref="B68:D68"/>
    <mergeCell ref="I68:J68"/>
    <mergeCell ref="B69:D69"/>
    <mergeCell ref="I69:J69"/>
    <mergeCell ref="B76:D76"/>
    <mergeCell ref="I76:J76"/>
    <mergeCell ref="B77:D77"/>
    <mergeCell ref="I77:J77"/>
    <mergeCell ref="B78:D78"/>
    <mergeCell ref="I78:J78"/>
    <mergeCell ref="B73:D73"/>
    <mergeCell ref="I73:J73"/>
    <mergeCell ref="B74:D74"/>
    <mergeCell ref="I74:J74"/>
    <mergeCell ref="B75:D75"/>
    <mergeCell ref="I75:J75"/>
    <mergeCell ref="B82:D82"/>
    <mergeCell ref="I82:J82"/>
    <mergeCell ref="B83:D83"/>
    <mergeCell ref="I83:J83"/>
    <mergeCell ref="B84:D84"/>
    <mergeCell ref="I84:J84"/>
    <mergeCell ref="B79:D79"/>
    <mergeCell ref="I79:J79"/>
    <mergeCell ref="B80:D80"/>
    <mergeCell ref="I80:J80"/>
    <mergeCell ref="B81:D81"/>
    <mergeCell ref="I81:J81"/>
    <mergeCell ref="B88:D88"/>
    <mergeCell ref="I88:J88"/>
    <mergeCell ref="B89:D89"/>
    <mergeCell ref="I89:J89"/>
    <mergeCell ref="B90:D90"/>
    <mergeCell ref="I90:J90"/>
    <mergeCell ref="B85:D85"/>
    <mergeCell ref="I85:J85"/>
    <mergeCell ref="B86:D86"/>
    <mergeCell ref="I86:J86"/>
    <mergeCell ref="B87:D87"/>
    <mergeCell ref="I87:J87"/>
    <mergeCell ref="B94:D94"/>
    <mergeCell ref="I94:J94"/>
    <mergeCell ref="B95:D95"/>
    <mergeCell ref="I95:J95"/>
    <mergeCell ref="B96:D96"/>
    <mergeCell ref="I96:J96"/>
    <mergeCell ref="B91:D91"/>
    <mergeCell ref="I91:J91"/>
    <mergeCell ref="B92:D92"/>
    <mergeCell ref="I92:J92"/>
    <mergeCell ref="B93:D93"/>
    <mergeCell ref="I93:J93"/>
    <mergeCell ref="B100:D100"/>
    <mergeCell ref="I100:J100"/>
    <mergeCell ref="B101:D101"/>
    <mergeCell ref="I101:J101"/>
    <mergeCell ref="B102:D102"/>
    <mergeCell ref="I102:J102"/>
    <mergeCell ref="B97:D97"/>
    <mergeCell ref="I97:J97"/>
    <mergeCell ref="B98:D98"/>
    <mergeCell ref="I98:J98"/>
    <mergeCell ref="B99:D99"/>
    <mergeCell ref="I99:J99"/>
    <mergeCell ref="B106:D106"/>
    <mergeCell ref="I106:J106"/>
    <mergeCell ref="B107:D107"/>
    <mergeCell ref="I107:J107"/>
    <mergeCell ref="B108:D108"/>
    <mergeCell ref="I108:J108"/>
    <mergeCell ref="B103:D103"/>
    <mergeCell ref="I103:J103"/>
    <mergeCell ref="B104:D104"/>
    <mergeCell ref="I104:J104"/>
    <mergeCell ref="B105:D105"/>
    <mergeCell ref="I105:J105"/>
    <mergeCell ref="B112:D112"/>
    <mergeCell ref="I112:J112"/>
    <mergeCell ref="B113:D113"/>
    <mergeCell ref="I113:J113"/>
    <mergeCell ref="B114:D114"/>
    <mergeCell ref="I114:J114"/>
    <mergeCell ref="B109:D109"/>
    <mergeCell ref="I109:J109"/>
    <mergeCell ref="B110:D110"/>
    <mergeCell ref="I110:J110"/>
    <mergeCell ref="B111:D111"/>
    <mergeCell ref="I111:J111"/>
    <mergeCell ref="B118:D118"/>
    <mergeCell ref="I118:J118"/>
    <mergeCell ref="B119:D119"/>
    <mergeCell ref="I119:J119"/>
    <mergeCell ref="B120:D120"/>
    <mergeCell ref="I120:J120"/>
    <mergeCell ref="B115:D115"/>
    <mergeCell ref="I115:J115"/>
    <mergeCell ref="B116:D116"/>
    <mergeCell ref="I116:J116"/>
    <mergeCell ref="B117:D117"/>
    <mergeCell ref="I117:J117"/>
    <mergeCell ref="B124:D124"/>
    <mergeCell ref="I124:J124"/>
    <mergeCell ref="B125:D125"/>
    <mergeCell ref="I125:J125"/>
    <mergeCell ref="B126:D126"/>
    <mergeCell ref="I126:J126"/>
    <mergeCell ref="B121:D121"/>
    <mergeCell ref="I121:J121"/>
    <mergeCell ref="B122:D122"/>
    <mergeCell ref="I122:J122"/>
    <mergeCell ref="B123:D123"/>
    <mergeCell ref="I123:J123"/>
    <mergeCell ref="B130:D130"/>
    <mergeCell ref="I130:J130"/>
    <mergeCell ref="B131:D131"/>
    <mergeCell ref="I131:J131"/>
    <mergeCell ref="B132:D132"/>
    <mergeCell ref="I132:J132"/>
    <mergeCell ref="B127:D127"/>
    <mergeCell ref="I127:J127"/>
    <mergeCell ref="B128:D128"/>
    <mergeCell ref="I128:J128"/>
    <mergeCell ref="B129:D129"/>
    <mergeCell ref="I129:J129"/>
    <mergeCell ref="B136:D136"/>
    <mergeCell ref="I136:J136"/>
    <mergeCell ref="B137:D137"/>
    <mergeCell ref="I137:J137"/>
    <mergeCell ref="B138:D138"/>
    <mergeCell ref="I138:J138"/>
    <mergeCell ref="B133:D133"/>
    <mergeCell ref="I133:J133"/>
    <mergeCell ref="B134:D134"/>
    <mergeCell ref="I134:J134"/>
    <mergeCell ref="B135:D135"/>
    <mergeCell ref="I135:J135"/>
    <mergeCell ref="B142:D142"/>
    <mergeCell ref="I142:J142"/>
    <mergeCell ref="B143:D143"/>
    <mergeCell ref="I143:J143"/>
    <mergeCell ref="B144:D144"/>
    <mergeCell ref="I144:J144"/>
    <mergeCell ref="B139:D139"/>
    <mergeCell ref="I139:J139"/>
    <mergeCell ref="B140:D140"/>
    <mergeCell ref="I140:J140"/>
    <mergeCell ref="B141:D141"/>
    <mergeCell ref="I141:J141"/>
    <mergeCell ref="B148:D148"/>
    <mergeCell ref="I148:J148"/>
    <mergeCell ref="B149:D149"/>
    <mergeCell ref="I149:J149"/>
    <mergeCell ref="B150:D150"/>
    <mergeCell ref="I150:J150"/>
    <mergeCell ref="B145:D145"/>
    <mergeCell ref="I145:J145"/>
    <mergeCell ref="B146:D146"/>
    <mergeCell ref="I146:J146"/>
    <mergeCell ref="B147:D147"/>
    <mergeCell ref="I147:J147"/>
    <mergeCell ref="B154:D154"/>
    <mergeCell ref="I154:J154"/>
    <mergeCell ref="B155:D155"/>
    <mergeCell ref="I155:J155"/>
    <mergeCell ref="B156:D156"/>
    <mergeCell ref="I156:J156"/>
    <mergeCell ref="B151:D151"/>
    <mergeCell ref="I151:J151"/>
    <mergeCell ref="B152:D152"/>
    <mergeCell ref="I152:J152"/>
    <mergeCell ref="B153:D153"/>
    <mergeCell ref="I153:J153"/>
    <mergeCell ref="B160:D160"/>
    <mergeCell ref="I160:J160"/>
    <mergeCell ref="B161:D161"/>
    <mergeCell ref="I161:J161"/>
    <mergeCell ref="B162:D162"/>
    <mergeCell ref="I162:J162"/>
    <mergeCell ref="B157:D157"/>
    <mergeCell ref="I157:J157"/>
    <mergeCell ref="B158:D158"/>
    <mergeCell ref="I158:J158"/>
    <mergeCell ref="B159:D159"/>
    <mergeCell ref="I159:J159"/>
    <mergeCell ref="B166:D166"/>
    <mergeCell ref="I166:J166"/>
    <mergeCell ref="B167:D167"/>
    <mergeCell ref="I167:J167"/>
    <mergeCell ref="B168:D168"/>
    <mergeCell ref="I168:J168"/>
    <mergeCell ref="B163:D163"/>
    <mergeCell ref="I163:J163"/>
    <mergeCell ref="B164:D164"/>
    <mergeCell ref="I164:J164"/>
    <mergeCell ref="B165:D165"/>
    <mergeCell ref="I165:J165"/>
    <mergeCell ref="B172:D172"/>
    <mergeCell ref="I172:J172"/>
    <mergeCell ref="B173:D173"/>
    <mergeCell ref="I173:J173"/>
    <mergeCell ref="B174:D174"/>
    <mergeCell ref="I174:J174"/>
    <mergeCell ref="B169:D169"/>
    <mergeCell ref="I169:J169"/>
    <mergeCell ref="B170:D170"/>
    <mergeCell ref="I170:J170"/>
    <mergeCell ref="B171:D171"/>
    <mergeCell ref="I171:J171"/>
    <mergeCell ref="B178:D178"/>
    <mergeCell ref="I178:J178"/>
    <mergeCell ref="B179:D179"/>
    <mergeCell ref="I179:J179"/>
    <mergeCell ref="B180:D180"/>
    <mergeCell ref="I180:J180"/>
    <mergeCell ref="B175:D175"/>
    <mergeCell ref="I175:J175"/>
    <mergeCell ref="B176:D176"/>
    <mergeCell ref="I176:J176"/>
    <mergeCell ref="B177:D177"/>
    <mergeCell ref="I177:J177"/>
    <mergeCell ref="B184:D184"/>
    <mergeCell ref="I184:J184"/>
    <mergeCell ref="B185:D185"/>
    <mergeCell ref="I185:J185"/>
    <mergeCell ref="B186:D186"/>
    <mergeCell ref="I186:J186"/>
    <mergeCell ref="B181:D181"/>
    <mergeCell ref="I181:J181"/>
    <mergeCell ref="B182:D182"/>
    <mergeCell ref="I182:J182"/>
    <mergeCell ref="B183:D183"/>
    <mergeCell ref="I183:J183"/>
    <mergeCell ref="I191:J191"/>
    <mergeCell ref="B192:D192"/>
    <mergeCell ref="I192:J192"/>
    <mergeCell ref="B187:D187"/>
    <mergeCell ref="I187:J187"/>
    <mergeCell ref="B188:D188"/>
    <mergeCell ref="I188:J188"/>
    <mergeCell ref="B189:D189"/>
    <mergeCell ref="I189:J189"/>
    <mergeCell ref="A202:H202"/>
    <mergeCell ref="I202:J202"/>
    <mergeCell ref="B199:D199"/>
    <mergeCell ref="I199:J199"/>
    <mergeCell ref="B200:D200"/>
    <mergeCell ref="I200:J200"/>
    <mergeCell ref="B201:D201"/>
    <mergeCell ref="I201:J201"/>
    <mergeCell ref="B196:D196"/>
    <mergeCell ref="I196:J196"/>
    <mergeCell ref="B197:D197"/>
    <mergeCell ref="I197:J197"/>
    <mergeCell ref="B198:D198"/>
    <mergeCell ref="I198:J198"/>
    <mergeCell ref="A22:A201"/>
    <mergeCell ref="B193:D193"/>
    <mergeCell ref="I193:J193"/>
    <mergeCell ref="B194:D194"/>
    <mergeCell ref="I194:J194"/>
    <mergeCell ref="B195:D195"/>
    <mergeCell ref="I195:J195"/>
    <mergeCell ref="B190:D190"/>
    <mergeCell ref="I190:J190"/>
    <mergeCell ref="B191:D19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3FD4-F96C-4B0D-AD3E-1E80ADFA3CD1}">
  <dimension ref="A1:CA146"/>
  <sheetViews>
    <sheetView showGridLines="0" topLeftCell="F143" workbookViewId="0">
      <selection activeCell="CC12" sqref="CC12"/>
    </sheetView>
  </sheetViews>
  <sheetFormatPr defaultColWidth="11.140625" defaultRowHeight="14.45"/>
  <cols>
    <col min="1" max="1" width="15.7109375" style="135" customWidth="1"/>
    <col min="2" max="2" width="0.85546875" style="135" customWidth="1"/>
    <col min="3" max="3" width="1.7109375" style="135" customWidth="1"/>
    <col min="4" max="4" width="13" style="135" customWidth="1"/>
    <col min="5" max="8" width="15.7109375" style="135" customWidth="1"/>
    <col min="9" max="9" width="3.85546875" style="135" hidden="1" customWidth="1"/>
    <col min="10" max="10" width="11.85546875" style="135" hidden="1" customWidth="1"/>
    <col min="11" max="14" width="15.7109375" style="135" hidden="1" customWidth="1"/>
    <col min="15" max="15" width="15.7109375" style="135" customWidth="1"/>
    <col min="16" max="21" width="15.7109375" style="135" hidden="1" customWidth="1"/>
    <col min="22" max="22" width="15.7109375" style="135" customWidth="1"/>
    <col min="23" max="23" width="15.7109375" style="135" hidden="1" customWidth="1"/>
    <col min="24" max="24" width="15.7109375" style="135" customWidth="1"/>
    <col min="25" max="35" width="15.7109375" style="135" hidden="1" customWidth="1"/>
    <col min="36" max="36" width="15.7109375" style="135" customWidth="1"/>
    <col min="37" max="38" width="15.7109375" style="135" hidden="1" customWidth="1"/>
    <col min="39" max="39" width="15.7109375" style="135" customWidth="1"/>
    <col min="40" max="49" width="15.7109375" style="135" hidden="1" customWidth="1"/>
    <col min="50" max="50" width="15.7109375" style="135" customWidth="1"/>
    <col min="51" max="66" width="15.7109375" style="135" hidden="1" customWidth="1"/>
    <col min="67" max="67" width="15.7109375" style="135" customWidth="1"/>
    <col min="68" max="77" width="15.7109375" style="135" hidden="1" customWidth="1"/>
    <col min="78" max="78" width="15.7109375" style="135" customWidth="1"/>
    <col min="79" max="79" width="15.7109375" style="135" hidden="1" customWidth="1"/>
    <col min="80" max="16384" width="11.140625" style="135"/>
  </cols>
  <sheetData>
    <row r="1" spans="1:9" ht="7.5" customHeight="1"/>
    <row r="2" spans="1:9" ht="10.5" customHeight="1">
      <c r="D2" s="224" t="s">
        <v>170</v>
      </c>
      <c r="E2" s="224"/>
      <c r="F2" s="224"/>
      <c r="G2" s="224"/>
      <c r="H2" s="224"/>
      <c r="I2" s="224"/>
    </row>
    <row r="3" spans="1:9" ht="10.5" customHeight="1">
      <c r="A3" s="225"/>
      <c r="B3" s="225"/>
      <c r="D3" s="224"/>
      <c r="E3" s="224"/>
      <c r="F3" s="224"/>
      <c r="G3" s="224"/>
      <c r="H3" s="224"/>
      <c r="I3" s="224"/>
    </row>
    <row r="4" spans="1:9" ht="15" customHeight="1">
      <c r="A4" s="225"/>
      <c r="B4" s="225"/>
      <c r="D4" s="223" t="s">
        <v>171</v>
      </c>
      <c r="E4" s="223"/>
      <c r="F4" s="223"/>
      <c r="G4" s="223"/>
      <c r="H4" s="223"/>
      <c r="I4" s="223"/>
    </row>
    <row r="5" spans="1:9" ht="4.5" customHeight="1">
      <c r="A5" s="225"/>
      <c r="B5" s="225"/>
    </row>
    <row r="6" spans="1:9" ht="15" customHeight="1">
      <c r="A6" s="225"/>
      <c r="B6" s="225"/>
      <c r="D6" s="223" t="s">
        <v>172</v>
      </c>
      <c r="E6" s="223"/>
      <c r="F6" s="223"/>
      <c r="G6" s="223"/>
      <c r="H6" s="223"/>
      <c r="I6" s="223"/>
    </row>
    <row r="7" spans="1:9" ht="14.25" customHeight="1">
      <c r="A7" s="225"/>
      <c r="B7" s="225"/>
      <c r="D7" s="223" t="s">
        <v>567</v>
      </c>
      <c r="E7" s="223"/>
      <c r="F7" s="223"/>
      <c r="G7" s="223"/>
      <c r="H7" s="223"/>
      <c r="I7" s="223"/>
    </row>
    <row r="8" spans="1:9" ht="14.25" customHeight="1">
      <c r="A8" s="225"/>
      <c r="B8" s="225"/>
      <c r="D8" s="223" t="s">
        <v>174</v>
      </c>
      <c r="E8" s="223"/>
      <c r="F8" s="223"/>
      <c r="G8" s="223"/>
      <c r="H8" s="223"/>
      <c r="I8" s="223"/>
    </row>
    <row r="9" spans="1:9" ht="0.75" customHeight="1"/>
    <row r="10" spans="1:9" ht="15" customHeight="1">
      <c r="D10" s="223" t="s">
        <v>175</v>
      </c>
      <c r="E10" s="223"/>
      <c r="F10" s="223"/>
      <c r="G10" s="223"/>
      <c r="H10" s="223"/>
      <c r="I10" s="223"/>
    </row>
    <row r="11" spans="1:9" ht="14.25" customHeight="1">
      <c r="D11" s="223" t="s">
        <v>176</v>
      </c>
      <c r="E11" s="223"/>
      <c r="F11" s="223"/>
      <c r="G11" s="223"/>
      <c r="H11" s="223"/>
      <c r="I11" s="223"/>
    </row>
    <row r="12" spans="1:9" ht="14.25" customHeight="1">
      <c r="D12" s="223" t="s">
        <v>177</v>
      </c>
      <c r="E12" s="223"/>
      <c r="F12" s="223"/>
      <c r="G12" s="223"/>
      <c r="H12" s="223"/>
      <c r="I12" s="223"/>
    </row>
    <row r="13" spans="1:9" ht="14.25" customHeight="1">
      <c r="D13" s="223" t="s">
        <v>178</v>
      </c>
      <c r="E13" s="223"/>
      <c r="F13" s="223"/>
      <c r="G13" s="223"/>
      <c r="H13" s="223"/>
      <c r="I13" s="223"/>
    </row>
    <row r="14" spans="1:9" ht="1.5" customHeight="1"/>
    <row r="15" spans="1:9" ht="11.25" customHeight="1">
      <c r="D15" s="223"/>
      <c r="E15" s="223"/>
      <c r="F15" s="223"/>
      <c r="G15" s="223"/>
      <c r="H15" s="223"/>
      <c r="I15" s="223"/>
    </row>
    <row r="16" spans="1:9" ht="11.25" customHeight="1">
      <c r="D16" s="223"/>
      <c r="E16" s="223"/>
      <c r="F16" s="223"/>
      <c r="G16" s="223"/>
      <c r="H16" s="223"/>
      <c r="I16" s="223"/>
    </row>
    <row r="17" spans="1:79" ht="10.5" customHeight="1"/>
    <row r="18" spans="1:79" ht="16.5" customHeight="1">
      <c r="I18" s="220" t="s">
        <v>179</v>
      </c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 t="s">
        <v>180</v>
      </c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 t="s">
        <v>181</v>
      </c>
      <c r="BA18" s="220"/>
      <c r="BB18" s="220"/>
      <c r="BC18" s="220"/>
      <c r="BD18" s="220"/>
      <c r="BE18" s="220"/>
      <c r="BF18" s="220"/>
      <c r="BG18" s="220"/>
      <c r="BH18" s="220"/>
      <c r="BI18" s="220"/>
      <c r="BJ18" s="220"/>
      <c r="BK18" s="220"/>
      <c r="BL18" s="220"/>
      <c r="BM18" s="220"/>
      <c r="BN18" s="220"/>
      <c r="BO18" s="220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</row>
    <row r="19" spans="1:79" ht="16.5" customHeight="1">
      <c r="I19" s="220" t="s">
        <v>183</v>
      </c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 t="s">
        <v>184</v>
      </c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 t="s">
        <v>185</v>
      </c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 t="s">
        <v>184</v>
      </c>
      <c r="BA19" s="220"/>
      <c r="BB19" s="220"/>
      <c r="BC19" s="220"/>
      <c r="BD19" s="220"/>
      <c r="BE19" s="220"/>
      <c r="BF19" s="220"/>
      <c r="BG19" s="220"/>
      <c r="BH19" s="220"/>
      <c r="BI19" s="220"/>
      <c r="BJ19" s="220"/>
      <c r="BK19" s="220"/>
      <c r="BL19" s="220"/>
      <c r="BM19" s="220"/>
      <c r="BN19" s="220" t="s">
        <v>185</v>
      </c>
      <c r="BO19" s="220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</row>
    <row r="20" spans="1:79" ht="27.95" customHeight="1">
      <c r="A20" s="136" t="s">
        <v>186</v>
      </c>
      <c r="B20" s="220" t="s">
        <v>187</v>
      </c>
      <c r="C20" s="220"/>
      <c r="D20" s="220"/>
      <c r="E20" s="136" t="s">
        <v>188</v>
      </c>
      <c r="F20" s="136" t="s">
        <v>189</v>
      </c>
      <c r="G20" s="136" t="s">
        <v>190</v>
      </c>
      <c r="H20" s="136" t="s">
        <v>191</v>
      </c>
      <c r="I20" s="220" t="s">
        <v>192</v>
      </c>
      <c r="J20" s="220"/>
      <c r="K20" s="136" t="s">
        <v>193</v>
      </c>
      <c r="L20" s="136" t="s">
        <v>194</v>
      </c>
      <c r="M20" s="136" t="s">
        <v>195</v>
      </c>
      <c r="N20" s="136" t="s">
        <v>196</v>
      </c>
      <c r="O20" s="136" t="s">
        <v>197</v>
      </c>
      <c r="P20" s="136" t="s">
        <v>198</v>
      </c>
      <c r="Q20" s="136" t="s">
        <v>199</v>
      </c>
      <c r="R20" s="137" t="s">
        <v>200</v>
      </c>
      <c r="S20" s="137" t="s">
        <v>201</v>
      </c>
      <c r="T20" s="137" t="s">
        <v>202</v>
      </c>
      <c r="U20" s="137" t="s">
        <v>203</v>
      </c>
      <c r="V20" s="178" t="s">
        <v>204</v>
      </c>
      <c r="W20" s="137" t="s">
        <v>205</v>
      </c>
      <c r="X20" s="136" t="s">
        <v>192</v>
      </c>
      <c r="Y20" s="136" t="s">
        <v>193</v>
      </c>
      <c r="Z20" s="136" t="s">
        <v>194</v>
      </c>
      <c r="AA20" s="136" t="s">
        <v>195</v>
      </c>
      <c r="AB20" s="136" t="s">
        <v>196</v>
      </c>
      <c r="AC20" s="136" t="s">
        <v>197</v>
      </c>
      <c r="AD20" s="136" t="s">
        <v>198</v>
      </c>
      <c r="AE20" s="136" t="s">
        <v>199</v>
      </c>
      <c r="AF20" s="137" t="s">
        <v>200</v>
      </c>
      <c r="AG20" s="137" t="s">
        <v>201</v>
      </c>
      <c r="AH20" s="137" t="s">
        <v>202</v>
      </c>
      <c r="AI20" s="137" t="s">
        <v>203</v>
      </c>
      <c r="AJ20" s="178" t="s">
        <v>204</v>
      </c>
      <c r="AK20" s="137" t="s">
        <v>205</v>
      </c>
      <c r="AL20" s="136" t="s">
        <v>192</v>
      </c>
      <c r="AM20" s="136" t="s">
        <v>193</v>
      </c>
      <c r="AN20" s="136" t="s">
        <v>194</v>
      </c>
      <c r="AO20" s="136" t="s">
        <v>195</v>
      </c>
      <c r="AP20" s="136" t="s">
        <v>196</v>
      </c>
      <c r="AQ20" s="136" t="s">
        <v>197</v>
      </c>
      <c r="AR20" s="136" t="s">
        <v>198</v>
      </c>
      <c r="AS20" s="136" t="s">
        <v>199</v>
      </c>
      <c r="AT20" s="137" t="s">
        <v>200</v>
      </c>
      <c r="AU20" s="137" t="s">
        <v>201</v>
      </c>
      <c r="AV20" s="137" t="s">
        <v>202</v>
      </c>
      <c r="AW20" s="137" t="s">
        <v>203</v>
      </c>
      <c r="AX20" s="178" t="s">
        <v>204</v>
      </c>
      <c r="AY20" s="137" t="s">
        <v>205</v>
      </c>
      <c r="AZ20" s="136" t="s">
        <v>192</v>
      </c>
      <c r="BA20" s="136" t="s">
        <v>193</v>
      </c>
      <c r="BB20" s="136" t="s">
        <v>194</v>
      </c>
      <c r="BC20" s="136" t="s">
        <v>195</v>
      </c>
      <c r="BD20" s="136" t="s">
        <v>196</v>
      </c>
      <c r="BE20" s="136" t="s">
        <v>197</v>
      </c>
      <c r="BF20" s="136" t="s">
        <v>198</v>
      </c>
      <c r="BG20" s="136" t="s">
        <v>199</v>
      </c>
      <c r="BH20" s="137" t="s">
        <v>200</v>
      </c>
      <c r="BI20" s="137" t="s">
        <v>201</v>
      </c>
      <c r="BJ20" s="137" t="s">
        <v>202</v>
      </c>
      <c r="BK20" s="137" t="s">
        <v>203</v>
      </c>
      <c r="BL20" s="137" t="s">
        <v>204</v>
      </c>
      <c r="BM20" s="137" t="s">
        <v>205</v>
      </c>
      <c r="BN20" s="136" t="s">
        <v>192</v>
      </c>
      <c r="BO20" s="136" t="s">
        <v>193</v>
      </c>
      <c r="BP20" s="136" t="s">
        <v>194</v>
      </c>
      <c r="BQ20" s="136" t="s">
        <v>195</v>
      </c>
      <c r="BR20" s="136" t="s">
        <v>196</v>
      </c>
      <c r="BS20" s="136" t="s">
        <v>197</v>
      </c>
      <c r="BT20" s="136" t="s">
        <v>198</v>
      </c>
      <c r="BU20" s="136" t="s">
        <v>199</v>
      </c>
      <c r="BV20" s="137" t="s">
        <v>200</v>
      </c>
      <c r="BW20" s="137" t="s">
        <v>201</v>
      </c>
      <c r="BX20" s="137" t="s">
        <v>202</v>
      </c>
      <c r="BY20" s="137" t="s">
        <v>203</v>
      </c>
      <c r="BZ20" s="178" t="s">
        <v>204</v>
      </c>
      <c r="CA20" s="137" t="s">
        <v>205</v>
      </c>
    </row>
    <row r="21" spans="1:79" ht="16.5" customHeight="1">
      <c r="A21" s="138" t="s">
        <v>206</v>
      </c>
      <c r="B21" s="220" t="s">
        <v>215</v>
      </c>
      <c r="C21" s="220"/>
      <c r="D21" s="220"/>
      <c r="E21" s="136" t="s">
        <v>216</v>
      </c>
      <c r="F21" s="136" t="s">
        <v>568</v>
      </c>
      <c r="G21" s="139">
        <v>2025</v>
      </c>
      <c r="H21" s="136" t="s">
        <v>210</v>
      </c>
      <c r="I21" s="221">
        <v>442</v>
      </c>
      <c r="J21" s="221"/>
      <c r="K21" s="140">
        <v>1067.9000000000001</v>
      </c>
      <c r="L21" s="141">
        <v>0</v>
      </c>
      <c r="M21" s="141">
        <v>64074</v>
      </c>
      <c r="N21" s="141">
        <v>0</v>
      </c>
      <c r="O21" s="141">
        <v>1</v>
      </c>
      <c r="P21" s="141">
        <v>0</v>
      </c>
      <c r="Q21" s="141">
        <v>0</v>
      </c>
      <c r="R21" s="142">
        <v>0</v>
      </c>
      <c r="S21" s="142">
        <v>0</v>
      </c>
      <c r="T21" s="142">
        <v>0</v>
      </c>
      <c r="U21" s="142">
        <v>0</v>
      </c>
      <c r="V21" s="179">
        <v>0</v>
      </c>
      <c r="W21" s="142">
        <v>0</v>
      </c>
      <c r="X21" s="141"/>
      <c r="Y21" s="140"/>
      <c r="Z21" s="141"/>
      <c r="AA21" s="141"/>
      <c r="AB21" s="141"/>
      <c r="AC21" s="141"/>
      <c r="AD21" s="141"/>
      <c r="AE21" s="141"/>
      <c r="AF21" s="142"/>
      <c r="AG21" s="142"/>
      <c r="AH21" s="142"/>
      <c r="AI21" s="142"/>
      <c r="AJ21" s="179"/>
      <c r="AK21" s="142"/>
      <c r="AL21" s="141"/>
      <c r="AM21" s="140"/>
      <c r="AN21" s="141"/>
      <c r="AO21" s="141"/>
      <c r="AP21" s="141"/>
      <c r="AQ21" s="141"/>
      <c r="AR21" s="141"/>
      <c r="AS21" s="141"/>
      <c r="AT21" s="142"/>
      <c r="AU21" s="142"/>
      <c r="AV21" s="142"/>
      <c r="AW21" s="142"/>
      <c r="AX21" s="179"/>
      <c r="AY21" s="142"/>
      <c r="AZ21" s="141"/>
      <c r="BA21" s="140"/>
      <c r="BB21" s="141"/>
      <c r="BC21" s="141"/>
      <c r="BD21" s="141"/>
      <c r="BE21" s="141"/>
      <c r="BF21" s="141"/>
      <c r="BG21" s="141"/>
      <c r="BH21" s="142"/>
      <c r="BI21" s="142"/>
      <c r="BJ21" s="142"/>
      <c r="BK21" s="142"/>
      <c r="BL21" s="142"/>
      <c r="BM21" s="142"/>
      <c r="BN21" s="141"/>
      <c r="BO21" s="140"/>
      <c r="BP21" s="141"/>
      <c r="BQ21" s="141"/>
      <c r="BR21" s="141"/>
      <c r="BS21" s="141"/>
      <c r="BT21" s="141"/>
      <c r="BU21" s="141"/>
      <c r="BV21" s="142"/>
      <c r="BW21" s="142"/>
      <c r="BX21" s="142"/>
      <c r="BY21" s="142"/>
      <c r="BZ21" s="179"/>
      <c r="CA21" s="142"/>
    </row>
    <row r="22" spans="1:79" ht="16.5" customHeight="1">
      <c r="A22" s="222"/>
      <c r="B22" s="220" t="s">
        <v>217</v>
      </c>
      <c r="C22" s="220"/>
      <c r="D22" s="220"/>
      <c r="E22" s="136" t="s">
        <v>218</v>
      </c>
      <c r="F22" s="136" t="s">
        <v>568</v>
      </c>
      <c r="G22" s="139">
        <v>2025</v>
      </c>
      <c r="H22" s="136" t="s">
        <v>210</v>
      </c>
      <c r="I22" s="221">
        <v>52548</v>
      </c>
      <c r="J22" s="221"/>
      <c r="K22" s="140">
        <v>1434520.3829999999</v>
      </c>
      <c r="L22" s="141">
        <v>0</v>
      </c>
      <c r="M22" s="141">
        <v>86071223</v>
      </c>
      <c r="N22" s="141">
        <v>626173</v>
      </c>
      <c r="O22" s="141">
        <v>1893376</v>
      </c>
      <c r="P22" s="141">
        <v>368378</v>
      </c>
      <c r="Q22" s="141">
        <v>257795</v>
      </c>
      <c r="R22" s="142">
        <v>741.82600000000002</v>
      </c>
      <c r="S22" s="142">
        <v>0</v>
      </c>
      <c r="T22" s="142">
        <v>578618.57900000003</v>
      </c>
      <c r="U22" s="142">
        <v>0</v>
      </c>
      <c r="V22" s="179">
        <v>578618.57900000003</v>
      </c>
      <c r="W22" s="142">
        <v>741.82600000000002</v>
      </c>
      <c r="X22" s="141">
        <v>400</v>
      </c>
      <c r="Y22" s="140">
        <v>0</v>
      </c>
      <c r="Z22" s="141">
        <v>0</v>
      </c>
      <c r="AA22" s="141">
        <v>0</v>
      </c>
      <c r="AB22" s="141">
        <v>0</v>
      </c>
      <c r="AC22" s="141">
        <v>0</v>
      </c>
      <c r="AD22" s="141">
        <v>0</v>
      </c>
      <c r="AE22" s="141">
        <v>0</v>
      </c>
      <c r="AF22" s="142">
        <v>50.56</v>
      </c>
      <c r="AG22" s="142">
        <v>0</v>
      </c>
      <c r="AH22" s="142">
        <v>39436.396000000001</v>
      </c>
      <c r="AI22" s="142">
        <v>0</v>
      </c>
      <c r="AJ22" s="179">
        <v>39436.396000000001</v>
      </c>
      <c r="AK22" s="142">
        <v>50.56</v>
      </c>
      <c r="AL22" s="141">
        <v>17</v>
      </c>
      <c r="AM22" s="140">
        <v>40.75</v>
      </c>
      <c r="AN22" s="141">
        <v>49</v>
      </c>
      <c r="AO22" s="141">
        <v>2445</v>
      </c>
      <c r="AP22" s="141">
        <v>2445</v>
      </c>
      <c r="AQ22" s="141">
        <v>3043</v>
      </c>
      <c r="AR22" s="141">
        <v>0</v>
      </c>
      <c r="AS22" s="141">
        <v>0</v>
      </c>
      <c r="AT22" s="142">
        <v>78.878</v>
      </c>
      <c r="AU22" s="142">
        <v>0</v>
      </c>
      <c r="AV22" s="142">
        <v>61523.819000000003</v>
      </c>
      <c r="AW22" s="142">
        <v>0</v>
      </c>
      <c r="AX22" s="179">
        <v>61523.819000000003</v>
      </c>
      <c r="AY22" s="142">
        <v>78.878</v>
      </c>
      <c r="AZ22" s="141">
        <v>5213</v>
      </c>
      <c r="BA22" s="140">
        <v>0</v>
      </c>
      <c r="BB22" s="141">
        <v>0</v>
      </c>
      <c r="BC22" s="141">
        <v>0</v>
      </c>
      <c r="BD22" s="141">
        <v>0</v>
      </c>
      <c r="BE22" s="141">
        <v>0</v>
      </c>
      <c r="BF22" s="141">
        <v>0</v>
      </c>
      <c r="BG22" s="141">
        <v>0</v>
      </c>
      <c r="BH22" s="142">
        <v>0</v>
      </c>
      <c r="BI22" s="142">
        <v>0</v>
      </c>
      <c r="BJ22" s="142">
        <v>0</v>
      </c>
      <c r="BK22" s="142">
        <v>0</v>
      </c>
      <c r="BL22" s="142">
        <v>0</v>
      </c>
      <c r="BM22" s="142">
        <v>0</v>
      </c>
      <c r="BN22" s="141">
        <v>59</v>
      </c>
      <c r="BO22" s="140">
        <v>65.266999999999996</v>
      </c>
      <c r="BP22" s="141">
        <v>101</v>
      </c>
      <c r="BQ22" s="141">
        <v>3916</v>
      </c>
      <c r="BR22" s="141">
        <v>3916</v>
      </c>
      <c r="BS22" s="141">
        <v>6001</v>
      </c>
      <c r="BT22" s="141">
        <v>0</v>
      </c>
      <c r="BU22" s="141">
        <v>0</v>
      </c>
      <c r="BV22" s="142">
        <v>0</v>
      </c>
      <c r="BW22" s="142">
        <v>0</v>
      </c>
      <c r="BX22" s="142">
        <v>0</v>
      </c>
      <c r="BY22" s="142">
        <v>0</v>
      </c>
      <c r="BZ22" s="179">
        <v>0</v>
      </c>
      <c r="CA22" s="142">
        <v>0</v>
      </c>
    </row>
    <row r="23" spans="1:79" ht="16.5" customHeight="1">
      <c r="A23" s="222"/>
      <c r="B23" s="220" t="s">
        <v>219</v>
      </c>
      <c r="C23" s="220"/>
      <c r="D23" s="220"/>
      <c r="E23" s="136" t="s">
        <v>220</v>
      </c>
      <c r="F23" s="136" t="s">
        <v>568</v>
      </c>
      <c r="G23" s="139">
        <v>2025</v>
      </c>
      <c r="H23" s="136" t="s">
        <v>210</v>
      </c>
      <c r="I23" s="221">
        <v>565</v>
      </c>
      <c r="J23" s="221"/>
      <c r="K23" s="140">
        <v>11338.933000000001</v>
      </c>
      <c r="L23" s="141">
        <v>0</v>
      </c>
      <c r="M23" s="141">
        <v>680336</v>
      </c>
      <c r="N23" s="141">
        <v>40214</v>
      </c>
      <c r="O23" s="141">
        <v>40543</v>
      </c>
      <c r="P23" s="141">
        <v>19348</v>
      </c>
      <c r="Q23" s="141">
        <v>20867</v>
      </c>
      <c r="R23" s="142">
        <v>0.16600000000000001</v>
      </c>
      <c r="S23" s="142">
        <v>0</v>
      </c>
      <c r="T23" s="142">
        <v>129.245</v>
      </c>
      <c r="U23" s="142">
        <v>0</v>
      </c>
      <c r="V23" s="179">
        <v>129.245</v>
      </c>
      <c r="W23" s="142">
        <v>0.16600000000000001</v>
      </c>
      <c r="X23" s="141"/>
      <c r="Y23" s="140"/>
      <c r="Z23" s="141"/>
      <c r="AA23" s="141"/>
      <c r="AB23" s="141"/>
      <c r="AC23" s="141"/>
      <c r="AD23" s="141"/>
      <c r="AE23" s="141"/>
      <c r="AF23" s="142"/>
      <c r="AG23" s="142"/>
      <c r="AH23" s="142"/>
      <c r="AI23" s="142"/>
      <c r="AJ23" s="179"/>
      <c r="AK23" s="142"/>
      <c r="AL23" s="141"/>
      <c r="AM23" s="140"/>
      <c r="AN23" s="141"/>
      <c r="AO23" s="141"/>
      <c r="AP23" s="141"/>
      <c r="AQ23" s="141"/>
      <c r="AR23" s="141"/>
      <c r="AS23" s="141"/>
      <c r="AT23" s="142"/>
      <c r="AU23" s="142"/>
      <c r="AV23" s="142"/>
      <c r="AW23" s="142"/>
      <c r="AX23" s="179"/>
      <c r="AY23" s="142"/>
      <c r="AZ23" s="141"/>
      <c r="BA23" s="140"/>
      <c r="BB23" s="141"/>
      <c r="BC23" s="141"/>
      <c r="BD23" s="141"/>
      <c r="BE23" s="141"/>
      <c r="BF23" s="141"/>
      <c r="BG23" s="141"/>
      <c r="BH23" s="142"/>
      <c r="BI23" s="142"/>
      <c r="BJ23" s="142"/>
      <c r="BK23" s="142"/>
      <c r="BL23" s="142"/>
      <c r="BM23" s="142"/>
      <c r="BN23" s="141">
        <v>2</v>
      </c>
      <c r="BO23" s="140">
        <v>1.55</v>
      </c>
      <c r="BP23" s="141">
        <v>2</v>
      </c>
      <c r="BQ23" s="141">
        <v>93</v>
      </c>
      <c r="BR23" s="141">
        <v>93</v>
      </c>
      <c r="BS23" s="141">
        <v>120</v>
      </c>
      <c r="BT23" s="141">
        <v>0</v>
      </c>
      <c r="BU23" s="141">
        <v>0</v>
      </c>
      <c r="BV23" s="142">
        <v>0</v>
      </c>
      <c r="BW23" s="142">
        <v>0</v>
      </c>
      <c r="BX23" s="142">
        <v>0</v>
      </c>
      <c r="BY23" s="142">
        <v>0</v>
      </c>
      <c r="BZ23" s="179">
        <v>0</v>
      </c>
      <c r="CA23" s="142">
        <v>0</v>
      </c>
    </row>
    <row r="24" spans="1:79" ht="16.5" customHeight="1">
      <c r="A24" s="222"/>
      <c r="B24" s="220" t="s">
        <v>221</v>
      </c>
      <c r="C24" s="220"/>
      <c r="D24" s="220"/>
      <c r="E24" s="136" t="s">
        <v>222</v>
      </c>
      <c r="F24" s="136" t="s">
        <v>568</v>
      </c>
      <c r="G24" s="139">
        <v>2025</v>
      </c>
      <c r="H24" s="136" t="s">
        <v>210</v>
      </c>
      <c r="I24" s="221">
        <v>313</v>
      </c>
      <c r="J24" s="221"/>
      <c r="K24" s="140">
        <v>3236.2170000000001</v>
      </c>
      <c r="L24" s="141">
        <v>0</v>
      </c>
      <c r="M24" s="141">
        <v>194173</v>
      </c>
      <c r="N24" s="141">
        <v>11815</v>
      </c>
      <c r="O24" s="141">
        <v>11991</v>
      </c>
      <c r="P24" s="141">
        <v>5885</v>
      </c>
      <c r="Q24" s="141">
        <v>5930</v>
      </c>
      <c r="R24" s="142">
        <v>7.9000000000000001E-2</v>
      </c>
      <c r="S24" s="142">
        <v>0</v>
      </c>
      <c r="T24" s="142">
        <v>61.627000000000002</v>
      </c>
      <c r="U24" s="142">
        <v>0</v>
      </c>
      <c r="V24" s="179">
        <v>61.627000000000002</v>
      </c>
      <c r="W24" s="142">
        <v>7.9000000000000001E-2</v>
      </c>
      <c r="X24" s="141"/>
      <c r="Y24" s="140"/>
      <c r="Z24" s="141"/>
      <c r="AA24" s="141"/>
      <c r="AB24" s="141"/>
      <c r="AC24" s="141"/>
      <c r="AD24" s="141"/>
      <c r="AE24" s="141"/>
      <c r="AF24" s="142"/>
      <c r="AG24" s="142"/>
      <c r="AH24" s="142"/>
      <c r="AI24" s="142"/>
      <c r="AJ24" s="179"/>
      <c r="AK24" s="142"/>
      <c r="AL24" s="141"/>
      <c r="AM24" s="140"/>
      <c r="AN24" s="141"/>
      <c r="AO24" s="141"/>
      <c r="AP24" s="141"/>
      <c r="AQ24" s="141"/>
      <c r="AR24" s="141"/>
      <c r="AS24" s="141"/>
      <c r="AT24" s="142"/>
      <c r="AU24" s="142"/>
      <c r="AV24" s="142"/>
      <c r="AW24" s="142"/>
      <c r="AX24" s="179"/>
      <c r="AY24" s="142"/>
      <c r="AZ24" s="141">
        <v>3</v>
      </c>
      <c r="BA24" s="140">
        <v>0</v>
      </c>
      <c r="BB24" s="141">
        <v>0</v>
      </c>
      <c r="BC24" s="141">
        <v>0</v>
      </c>
      <c r="BD24" s="141">
        <v>0</v>
      </c>
      <c r="BE24" s="141">
        <v>0</v>
      </c>
      <c r="BF24" s="141">
        <v>0</v>
      </c>
      <c r="BG24" s="141">
        <v>0</v>
      </c>
      <c r="BH24" s="142">
        <v>0</v>
      </c>
      <c r="BI24" s="142">
        <v>0</v>
      </c>
      <c r="BJ24" s="142">
        <v>0</v>
      </c>
      <c r="BK24" s="142">
        <v>0</v>
      </c>
      <c r="BL24" s="142">
        <v>0</v>
      </c>
      <c r="BM24" s="142">
        <v>0</v>
      </c>
      <c r="BN24" s="141">
        <v>1</v>
      </c>
      <c r="BO24" s="140">
        <v>0.46700000000000003</v>
      </c>
      <c r="BP24" s="141">
        <v>1</v>
      </c>
      <c r="BQ24" s="141">
        <v>28</v>
      </c>
      <c r="BR24" s="141">
        <v>28</v>
      </c>
      <c r="BS24" s="141">
        <v>28</v>
      </c>
      <c r="BT24" s="141">
        <v>0</v>
      </c>
      <c r="BU24" s="141">
        <v>0</v>
      </c>
      <c r="BV24" s="142">
        <v>0</v>
      </c>
      <c r="BW24" s="142">
        <v>0</v>
      </c>
      <c r="BX24" s="142">
        <v>0</v>
      </c>
      <c r="BY24" s="142">
        <v>0</v>
      </c>
      <c r="BZ24" s="179">
        <v>0</v>
      </c>
      <c r="CA24" s="142">
        <v>0</v>
      </c>
    </row>
    <row r="25" spans="1:79" ht="16.5" customHeight="1">
      <c r="A25" s="222"/>
      <c r="B25" s="220" t="s">
        <v>226</v>
      </c>
      <c r="C25" s="220"/>
      <c r="D25" s="220"/>
      <c r="E25" s="136" t="s">
        <v>227</v>
      </c>
      <c r="F25" s="136" t="s">
        <v>568</v>
      </c>
      <c r="G25" s="139">
        <v>2025</v>
      </c>
      <c r="H25" s="136" t="s">
        <v>210</v>
      </c>
      <c r="I25" s="221">
        <v>191576</v>
      </c>
      <c r="J25" s="221"/>
      <c r="K25" s="140">
        <v>6090891.8329999996</v>
      </c>
      <c r="L25" s="141">
        <v>0</v>
      </c>
      <c r="M25" s="141">
        <v>365453510</v>
      </c>
      <c r="N25" s="141">
        <v>172833</v>
      </c>
      <c r="O25" s="141">
        <v>174058</v>
      </c>
      <c r="P25" s="141">
        <v>107747</v>
      </c>
      <c r="Q25" s="141">
        <v>65086</v>
      </c>
      <c r="R25" s="142">
        <v>1.4450000000000001</v>
      </c>
      <c r="S25" s="142">
        <v>0.25800000000000001</v>
      </c>
      <c r="T25" s="142">
        <v>1126.9169999999999</v>
      </c>
      <c r="U25" s="142">
        <v>200.98099999999999</v>
      </c>
      <c r="V25" s="179">
        <v>1327.8969999999999</v>
      </c>
      <c r="W25" s="142">
        <v>1.702</v>
      </c>
      <c r="X25" s="141"/>
      <c r="Y25" s="140"/>
      <c r="Z25" s="141"/>
      <c r="AA25" s="141"/>
      <c r="AB25" s="141"/>
      <c r="AC25" s="141"/>
      <c r="AD25" s="141"/>
      <c r="AE25" s="141"/>
      <c r="AF25" s="142"/>
      <c r="AG25" s="142"/>
      <c r="AH25" s="142"/>
      <c r="AI25" s="142"/>
      <c r="AJ25" s="179"/>
      <c r="AK25" s="142"/>
      <c r="AL25" s="141">
        <v>35</v>
      </c>
      <c r="AM25" s="140">
        <v>25.332999999999998</v>
      </c>
      <c r="AN25" s="141">
        <v>52</v>
      </c>
      <c r="AO25" s="141">
        <v>1520</v>
      </c>
      <c r="AP25" s="141">
        <v>1520</v>
      </c>
      <c r="AQ25" s="141">
        <v>3120</v>
      </c>
      <c r="AR25" s="141">
        <v>0</v>
      </c>
      <c r="AS25" s="141">
        <v>0</v>
      </c>
      <c r="AT25" s="142">
        <v>0</v>
      </c>
      <c r="AU25" s="142">
        <v>0</v>
      </c>
      <c r="AV25" s="142">
        <v>0</v>
      </c>
      <c r="AW25" s="142">
        <v>0</v>
      </c>
      <c r="AX25" s="179">
        <v>0</v>
      </c>
      <c r="AY25" s="142">
        <v>0</v>
      </c>
      <c r="AZ25" s="141">
        <v>9</v>
      </c>
      <c r="BA25" s="140">
        <v>0</v>
      </c>
      <c r="BB25" s="141">
        <v>0</v>
      </c>
      <c r="BC25" s="141">
        <v>0</v>
      </c>
      <c r="BD25" s="141">
        <v>0</v>
      </c>
      <c r="BE25" s="141">
        <v>0</v>
      </c>
      <c r="BF25" s="141">
        <v>0</v>
      </c>
      <c r="BG25" s="141">
        <v>0</v>
      </c>
      <c r="BH25" s="142">
        <v>0</v>
      </c>
      <c r="BI25" s="142">
        <v>0</v>
      </c>
      <c r="BJ25" s="142">
        <v>0</v>
      </c>
      <c r="BK25" s="142">
        <v>0</v>
      </c>
      <c r="BL25" s="142">
        <v>0</v>
      </c>
      <c r="BM25" s="142">
        <v>0</v>
      </c>
      <c r="BN25" s="141"/>
      <c r="BO25" s="140"/>
      <c r="BP25" s="141"/>
      <c r="BQ25" s="141"/>
      <c r="BR25" s="141"/>
      <c r="BS25" s="141"/>
      <c r="BT25" s="141"/>
      <c r="BU25" s="141"/>
      <c r="BV25" s="142"/>
      <c r="BW25" s="142"/>
      <c r="BX25" s="142"/>
      <c r="BY25" s="142"/>
      <c r="BZ25" s="179"/>
      <c r="CA25" s="142"/>
    </row>
    <row r="26" spans="1:79" ht="16.5" customHeight="1">
      <c r="A26" s="222"/>
      <c r="B26" s="220" t="s">
        <v>228</v>
      </c>
      <c r="C26" s="220"/>
      <c r="D26" s="220"/>
      <c r="E26" s="136" t="s">
        <v>229</v>
      </c>
      <c r="F26" s="136" t="s">
        <v>568</v>
      </c>
      <c r="G26" s="139">
        <v>2025</v>
      </c>
      <c r="H26" s="136" t="s">
        <v>210</v>
      </c>
      <c r="I26" s="221"/>
      <c r="J26" s="221"/>
      <c r="K26" s="140"/>
      <c r="L26" s="141"/>
      <c r="M26" s="141"/>
      <c r="N26" s="141"/>
      <c r="O26" s="141"/>
      <c r="P26" s="141"/>
      <c r="Q26" s="141"/>
      <c r="R26" s="142"/>
      <c r="S26" s="142"/>
      <c r="T26" s="142"/>
      <c r="U26" s="142"/>
      <c r="V26" s="179"/>
      <c r="W26" s="142"/>
      <c r="X26" s="141"/>
      <c r="Y26" s="140"/>
      <c r="Z26" s="141"/>
      <c r="AA26" s="141"/>
      <c r="AB26" s="141"/>
      <c r="AC26" s="141"/>
      <c r="AD26" s="141"/>
      <c r="AE26" s="141"/>
      <c r="AF26" s="142"/>
      <c r="AG26" s="142"/>
      <c r="AH26" s="142"/>
      <c r="AI26" s="142"/>
      <c r="AJ26" s="179"/>
      <c r="AK26" s="142"/>
      <c r="AL26" s="141">
        <v>397</v>
      </c>
      <c r="AM26" s="140">
        <v>300.08300000000003</v>
      </c>
      <c r="AN26" s="141">
        <v>557</v>
      </c>
      <c r="AO26" s="141">
        <v>18005</v>
      </c>
      <c r="AP26" s="141">
        <v>18005</v>
      </c>
      <c r="AQ26" s="141">
        <v>14946</v>
      </c>
      <c r="AR26" s="141">
        <v>0</v>
      </c>
      <c r="AS26" s="141">
        <v>0</v>
      </c>
      <c r="AT26" s="142">
        <v>39.436999999999998</v>
      </c>
      <c r="AU26" s="142">
        <v>7.0979999999999999</v>
      </c>
      <c r="AV26" s="142">
        <v>30760.544999999998</v>
      </c>
      <c r="AW26" s="142">
        <v>5536.3829999999998</v>
      </c>
      <c r="AX26" s="179">
        <v>36296.928</v>
      </c>
      <c r="AY26" s="142">
        <v>46.534999999999997</v>
      </c>
      <c r="AZ26" s="141">
        <v>324</v>
      </c>
      <c r="BA26" s="140">
        <v>0</v>
      </c>
      <c r="BB26" s="141">
        <v>0</v>
      </c>
      <c r="BC26" s="141">
        <v>0</v>
      </c>
      <c r="BD26" s="141">
        <v>0</v>
      </c>
      <c r="BE26" s="141">
        <v>0</v>
      </c>
      <c r="BF26" s="141">
        <v>0</v>
      </c>
      <c r="BG26" s="141">
        <v>0</v>
      </c>
      <c r="BH26" s="142">
        <v>0</v>
      </c>
      <c r="BI26" s="142">
        <v>0</v>
      </c>
      <c r="BJ26" s="142">
        <v>0</v>
      </c>
      <c r="BK26" s="142">
        <v>0</v>
      </c>
      <c r="BL26" s="142">
        <v>0</v>
      </c>
      <c r="BM26" s="142">
        <v>0</v>
      </c>
      <c r="BN26" s="141">
        <v>5134</v>
      </c>
      <c r="BO26" s="140">
        <v>8279.5669999999991</v>
      </c>
      <c r="BP26" s="141">
        <v>11083</v>
      </c>
      <c r="BQ26" s="141">
        <v>496774</v>
      </c>
      <c r="BR26" s="141">
        <v>496774</v>
      </c>
      <c r="BS26" s="141">
        <v>0</v>
      </c>
      <c r="BT26" s="141">
        <v>0</v>
      </c>
      <c r="BU26" s="141">
        <v>0</v>
      </c>
      <c r="BV26" s="142">
        <v>0</v>
      </c>
      <c r="BW26" s="142">
        <v>0</v>
      </c>
      <c r="BX26" s="142">
        <v>0</v>
      </c>
      <c r="BY26" s="142">
        <v>0</v>
      </c>
      <c r="BZ26" s="179">
        <v>0</v>
      </c>
      <c r="CA26" s="142">
        <v>0</v>
      </c>
    </row>
    <row r="27" spans="1:79" ht="16.5" customHeight="1">
      <c r="A27" s="222"/>
      <c r="B27" s="220" t="s">
        <v>230</v>
      </c>
      <c r="C27" s="220"/>
      <c r="D27" s="220"/>
      <c r="E27" s="136" t="s">
        <v>231</v>
      </c>
      <c r="F27" s="136" t="s">
        <v>568</v>
      </c>
      <c r="G27" s="139">
        <v>2025</v>
      </c>
      <c r="H27" s="136" t="s">
        <v>210</v>
      </c>
      <c r="I27" s="221"/>
      <c r="J27" s="221"/>
      <c r="K27" s="140"/>
      <c r="L27" s="141"/>
      <c r="M27" s="141"/>
      <c r="N27" s="141"/>
      <c r="O27" s="141"/>
      <c r="P27" s="141"/>
      <c r="Q27" s="141"/>
      <c r="R27" s="142"/>
      <c r="S27" s="142"/>
      <c r="T27" s="142"/>
      <c r="U27" s="142"/>
      <c r="V27" s="179"/>
      <c r="W27" s="142"/>
      <c r="X27" s="141"/>
      <c r="Y27" s="140"/>
      <c r="Z27" s="141"/>
      <c r="AA27" s="141"/>
      <c r="AB27" s="141"/>
      <c r="AC27" s="141"/>
      <c r="AD27" s="141"/>
      <c r="AE27" s="141"/>
      <c r="AF27" s="142"/>
      <c r="AG27" s="142"/>
      <c r="AH27" s="142"/>
      <c r="AI27" s="142"/>
      <c r="AJ27" s="179"/>
      <c r="AK27" s="142"/>
      <c r="AL27" s="141">
        <v>24</v>
      </c>
      <c r="AM27" s="140">
        <v>6.4</v>
      </c>
      <c r="AN27" s="141">
        <v>26</v>
      </c>
      <c r="AO27" s="141">
        <v>384</v>
      </c>
      <c r="AP27" s="141">
        <v>384</v>
      </c>
      <c r="AQ27" s="141">
        <v>186</v>
      </c>
      <c r="AR27" s="141">
        <v>0</v>
      </c>
      <c r="AS27" s="141">
        <v>0</v>
      </c>
      <c r="AT27" s="142">
        <v>1.04</v>
      </c>
      <c r="AU27" s="142">
        <v>0.188</v>
      </c>
      <c r="AV27" s="142">
        <v>811.19200000000001</v>
      </c>
      <c r="AW27" s="142">
        <v>146.63800000000001</v>
      </c>
      <c r="AX27" s="179">
        <v>957.83</v>
      </c>
      <c r="AY27" s="142">
        <v>1.228</v>
      </c>
      <c r="AZ27" s="141">
        <v>435</v>
      </c>
      <c r="BA27" s="140">
        <v>0</v>
      </c>
      <c r="BB27" s="141">
        <v>0</v>
      </c>
      <c r="BC27" s="141">
        <v>0</v>
      </c>
      <c r="BD27" s="141">
        <v>0</v>
      </c>
      <c r="BE27" s="141">
        <v>0</v>
      </c>
      <c r="BF27" s="141">
        <v>0</v>
      </c>
      <c r="BG27" s="141">
        <v>0</v>
      </c>
      <c r="BH27" s="142">
        <v>0</v>
      </c>
      <c r="BI27" s="142">
        <v>0</v>
      </c>
      <c r="BJ27" s="142">
        <v>0</v>
      </c>
      <c r="BK27" s="142">
        <v>0</v>
      </c>
      <c r="BL27" s="142">
        <v>0</v>
      </c>
      <c r="BM27" s="142">
        <v>0</v>
      </c>
      <c r="BN27" s="141">
        <v>1</v>
      </c>
      <c r="BO27" s="140">
        <v>0.33300000000000002</v>
      </c>
      <c r="BP27" s="141">
        <v>1</v>
      </c>
      <c r="BQ27" s="141">
        <v>20</v>
      </c>
      <c r="BR27" s="141">
        <v>20</v>
      </c>
      <c r="BS27" s="141">
        <v>0</v>
      </c>
      <c r="BT27" s="141">
        <v>0</v>
      </c>
      <c r="BU27" s="141">
        <v>0</v>
      </c>
      <c r="BV27" s="142">
        <v>0</v>
      </c>
      <c r="BW27" s="142">
        <v>0</v>
      </c>
      <c r="BX27" s="142">
        <v>0</v>
      </c>
      <c r="BY27" s="142">
        <v>0</v>
      </c>
      <c r="BZ27" s="179">
        <v>0</v>
      </c>
      <c r="CA27" s="142">
        <v>0</v>
      </c>
    </row>
    <row r="28" spans="1:79" ht="16.5" customHeight="1">
      <c r="A28" s="222"/>
      <c r="B28" s="220" t="s">
        <v>236</v>
      </c>
      <c r="C28" s="220"/>
      <c r="D28" s="220"/>
      <c r="E28" s="136" t="s">
        <v>237</v>
      </c>
      <c r="F28" s="136" t="s">
        <v>568</v>
      </c>
      <c r="G28" s="139">
        <v>2025</v>
      </c>
      <c r="H28" s="136" t="s">
        <v>210</v>
      </c>
      <c r="I28" s="221"/>
      <c r="J28" s="221"/>
      <c r="K28" s="140"/>
      <c r="L28" s="141"/>
      <c r="M28" s="141"/>
      <c r="N28" s="141"/>
      <c r="O28" s="141"/>
      <c r="P28" s="141"/>
      <c r="Q28" s="141"/>
      <c r="R28" s="142"/>
      <c r="S28" s="142"/>
      <c r="T28" s="142"/>
      <c r="U28" s="142"/>
      <c r="V28" s="179"/>
      <c r="W28" s="142"/>
      <c r="X28" s="141"/>
      <c r="Y28" s="140"/>
      <c r="Z28" s="141"/>
      <c r="AA28" s="141"/>
      <c r="AB28" s="141"/>
      <c r="AC28" s="141"/>
      <c r="AD28" s="141"/>
      <c r="AE28" s="141"/>
      <c r="AF28" s="142"/>
      <c r="AG28" s="142"/>
      <c r="AH28" s="142"/>
      <c r="AI28" s="142"/>
      <c r="AJ28" s="179"/>
      <c r="AK28" s="142"/>
      <c r="AL28" s="141">
        <v>2</v>
      </c>
      <c r="AM28" s="140">
        <v>2.6829999999999998</v>
      </c>
      <c r="AN28" s="141">
        <v>4</v>
      </c>
      <c r="AO28" s="141">
        <v>161</v>
      </c>
      <c r="AP28" s="141">
        <v>161</v>
      </c>
      <c r="AQ28" s="141">
        <v>161</v>
      </c>
      <c r="AR28" s="141">
        <v>0</v>
      </c>
      <c r="AS28" s="141">
        <v>0</v>
      </c>
      <c r="AT28" s="142">
        <v>0.79</v>
      </c>
      <c r="AU28" s="142">
        <v>0.15</v>
      </c>
      <c r="AV28" s="142">
        <v>616.06700000000001</v>
      </c>
      <c r="AW28" s="142">
        <v>117.053</v>
      </c>
      <c r="AX28" s="179">
        <v>733.11900000000003</v>
      </c>
      <c r="AY28" s="142">
        <v>0.94</v>
      </c>
      <c r="AZ28" s="141">
        <v>688</v>
      </c>
      <c r="BA28" s="140">
        <v>0</v>
      </c>
      <c r="BB28" s="141">
        <v>0</v>
      </c>
      <c r="BC28" s="141">
        <v>0</v>
      </c>
      <c r="BD28" s="141">
        <v>0</v>
      </c>
      <c r="BE28" s="141">
        <v>0</v>
      </c>
      <c r="BF28" s="141">
        <v>0</v>
      </c>
      <c r="BG28" s="141">
        <v>0</v>
      </c>
      <c r="BH28" s="142">
        <v>0</v>
      </c>
      <c r="BI28" s="142">
        <v>0</v>
      </c>
      <c r="BJ28" s="142">
        <v>0</v>
      </c>
      <c r="BK28" s="142">
        <v>0</v>
      </c>
      <c r="BL28" s="142">
        <v>0</v>
      </c>
      <c r="BM28" s="142">
        <v>0</v>
      </c>
      <c r="BN28" s="141">
        <v>1</v>
      </c>
      <c r="BO28" s="140">
        <v>0.2</v>
      </c>
      <c r="BP28" s="141">
        <v>1</v>
      </c>
      <c r="BQ28" s="141">
        <v>12</v>
      </c>
      <c r="BR28" s="141">
        <v>12</v>
      </c>
      <c r="BS28" s="141">
        <v>12</v>
      </c>
      <c r="BT28" s="141">
        <v>0</v>
      </c>
      <c r="BU28" s="141">
        <v>0</v>
      </c>
      <c r="BV28" s="142">
        <v>0</v>
      </c>
      <c r="BW28" s="142">
        <v>0</v>
      </c>
      <c r="BX28" s="142">
        <v>0</v>
      </c>
      <c r="BY28" s="142">
        <v>0</v>
      </c>
      <c r="BZ28" s="179">
        <v>0</v>
      </c>
      <c r="CA28" s="142">
        <v>0</v>
      </c>
    </row>
    <row r="29" spans="1:79" ht="16.5" customHeight="1">
      <c r="A29" s="222"/>
      <c r="B29" s="220" t="s">
        <v>569</v>
      </c>
      <c r="C29" s="220"/>
      <c r="D29" s="220"/>
      <c r="E29" s="136" t="s">
        <v>570</v>
      </c>
      <c r="F29" s="136" t="s">
        <v>568</v>
      </c>
      <c r="G29" s="139">
        <v>2025</v>
      </c>
      <c r="H29" s="136" t="s">
        <v>210</v>
      </c>
      <c r="I29" s="221"/>
      <c r="J29" s="221"/>
      <c r="K29" s="140"/>
      <c r="L29" s="141"/>
      <c r="M29" s="141"/>
      <c r="N29" s="141"/>
      <c r="O29" s="141"/>
      <c r="P29" s="141"/>
      <c r="Q29" s="141"/>
      <c r="R29" s="142"/>
      <c r="S29" s="142"/>
      <c r="T29" s="142"/>
      <c r="U29" s="142"/>
      <c r="V29" s="179"/>
      <c r="W29" s="142"/>
      <c r="X29" s="141"/>
      <c r="Y29" s="140"/>
      <c r="Z29" s="141"/>
      <c r="AA29" s="141"/>
      <c r="AB29" s="141"/>
      <c r="AC29" s="141"/>
      <c r="AD29" s="141"/>
      <c r="AE29" s="141"/>
      <c r="AF29" s="142"/>
      <c r="AG29" s="142"/>
      <c r="AH29" s="142"/>
      <c r="AI29" s="142"/>
      <c r="AJ29" s="179"/>
      <c r="AK29" s="142"/>
      <c r="AL29" s="141">
        <v>19</v>
      </c>
      <c r="AM29" s="140">
        <v>21.2</v>
      </c>
      <c r="AN29" s="141">
        <v>32</v>
      </c>
      <c r="AO29" s="141">
        <v>1272</v>
      </c>
      <c r="AP29" s="141">
        <v>1272</v>
      </c>
      <c r="AQ29" s="141">
        <v>1272</v>
      </c>
      <c r="AR29" s="141">
        <v>0</v>
      </c>
      <c r="AS29" s="141">
        <v>0</v>
      </c>
      <c r="AT29" s="142">
        <v>5.3490000000000002</v>
      </c>
      <c r="AU29" s="142">
        <v>1.016</v>
      </c>
      <c r="AV29" s="142">
        <v>4171.8890000000001</v>
      </c>
      <c r="AW29" s="142">
        <v>792.66700000000003</v>
      </c>
      <c r="AX29" s="179">
        <v>4964.5550000000003</v>
      </c>
      <c r="AY29" s="142">
        <v>6.3650000000000002</v>
      </c>
      <c r="AZ29" s="141">
        <v>798</v>
      </c>
      <c r="BA29" s="140">
        <v>0</v>
      </c>
      <c r="BB29" s="141">
        <v>0</v>
      </c>
      <c r="BC29" s="141">
        <v>0</v>
      </c>
      <c r="BD29" s="141">
        <v>0</v>
      </c>
      <c r="BE29" s="141">
        <v>0</v>
      </c>
      <c r="BF29" s="141">
        <v>0</v>
      </c>
      <c r="BG29" s="141">
        <v>0</v>
      </c>
      <c r="BH29" s="142">
        <v>0</v>
      </c>
      <c r="BI29" s="142">
        <v>0</v>
      </c>
      <c r="BJ29" s="142">
        <v>0</v>
      </c>
      <c r="BK29" s="142">
        <v>0</v>
      </c>
      <c r="BL29" s="142">
        <v>0</v>
      </c>
      <c r="BM29" s="142">
        <v>0</v>
      </c>
      <c r="BN29" s="141">
        <v>13</v>
      </c>
      <c r="BO29" s="140">
        <v>7.8170000000000002</v>
      </c>
      <c r="BP29" s="141">
        <v>16</v>
      </c>
      <c r="BQ29" s="141">
        <v>469</v>
      </c>
      <c r="BR29" s="141">
        <v>469</v>
      </c>
      <c r="BS29" s="141">
        <v>469</v>
      </c>
      <c r="BT29" s="141">
        <v>0</v>
      </c>
      <c r="BU29" s="141">
        <v>0</v>
      </c>
      <c r="BV29" s="142">
        <v>0</v>
      </c>
      <c r="BW29" s="142">
        <v>0</v>
      </c>
      <c r="BX29" s="142">
        <v>0</v>
      </c>
      <c r="BY29" s="142">
        <v>0</v>
      </c>
      <c r="BZ29" s="179">
        <v>0</v>
      </c>
      <c r="CA29" s="142">
        <v>0</v>
      </c>
    </row>
    <row r="30" spans="1:79" ht="16.5" customHeight="1">
      <c r="A30" s="222"/>
      <c r="B30" s="220" t="s">
        <v>238</v>
      </c>
      <c r="C30" s="220"/>
      <c r="D30" s="220"/>
      <c r="E30" s="136" t="s">
        <v>239</v>
      </c>
      <c r="F30" s="136" t="s">
        <v>568</v>
      </c>
      <c r="G30" s="139">
        <v>2025</v>
      </c>
      <c r="H30" s="136" t="s">
        <v>210</v>
      </c>
      <c r="I30" s="221">
        <v>2858</v>
      </c>
      <c r="J30" s="221"/>
      <c r="K30" s="140">
        <v>95445.066999999995</v>
      </c>
      <c r="L30" s="141">
        <v>0</v>
      </c>
      <c r="M30" s="141">
        <v>5726704</v>
      </c>
      <c r="N30" s="141">
        <v>117589</v>
      </c>
      <c r="O30" s="141">
        <v>118985</v>
      </c>
      <c r="P30" s="141">
        <v>24187</v>
      </c>
      <c r="Q30" s="141">
        <v>93403</v>
      </c>
      <c r="R30" s="142">
        <v>1.456</v>
      </c>
      <c r="S30" s="142">
        <v>0</v>
      </c>
      <c r="T30" s="142">
        <v>1135.519</v>
      </c>
      <c r="U30" s="142">
        <v>0</v>
      </c>
      <c r="V30" s="179">
        <v>1135.519</v>
      </c>
      <c r="W30" s="142">
        <v>1.456</v>
      </c>
      <c r="X30" s="141"/>
      <c r="Y30" s="140"/>
      <c r="Z30" s="141"/>
      <c r="AA30" s="141"/>
      <c r="AB30" s="141"/>
      <c r="AC30" s="141"/>
      <c r="AD30" s="141"/>
      <c r="AE30" s="141"/>
      <c r="AF30" s="142"/>
      <c r="AG30" s="142"/>
      <c r="AH30" s="142"/>
      <c r="AI30" s="142"/>
      <c r="AJ30" s="179"/>
      <c r="AK30" s="142"/>
      <c r="AL30" s="141">
        <v>71</v>
      </c>
      <c r="AM30" s="140">
        <v>115.95</v>
      </c>
      <c r="AN30" s="141">
        <v>149</v>
      </c>
      <c r="AO30" s="141">
        <v>6957</v>
      </c>
      <c r="AP30" s="141">
        <v>6957</v>
      </c>
      <c r="AQ30" s="141">
        <v>6957</v>
      </c>
      <c r="AR30" s="141">
        <v>0</v>
      </c>
      <c r="AS30" s="141">
        <v>0</v>
      </c>
      <c r="AT30" s="142">
        <v>9.7469999999999999</v>
      </c>
      <c r="AU30" s="142">
        <v>1.4590000000000001</v>
      </c>
      <c r="AV30" s="142">
        <v>7602.5479999999998</v>
      </c>
      <c r="AW30" s="142">
        <v>1138.2470000000001</v>
      </c>
      <c r="AX30" s="179">
        <v>8740.7950000000001</v>
      </c>
      <c r="AY30" s="142">
        <v>11.206</v>
      </c>
      <c r="AZ30" s="141"/>
      <c r="BA30" s="140"/>
      <c r="BB30" s="141"/>
      <c r="BC30" s="141"/>
      <c r="BD30" s="141"/>
      <c r="BE30" s="141"/>
      <c r="BF30" s="141"/>
      <c r="BG30" s="141"/>
      <c r="BH30" s="142"/>
      <c r="BI30" s="142"/>
      <c r="BJ30" s="142"/>
      <c r="BK30" s="142"/>
      <c r="BL30" s="142"/>
      <c r="BM30" s="142"/>
      <c r="BN30" s="141">
        <v>23</v>
      </c>
      <c r="BO30" s="140">
        <v>29.117000000000001</v>
      </c>
      <c r="BP30" s="141">
        <v>40</v>
      </c>
      <c r="BQ30" s="141">
        <v>1747</v>
      </c>
      <c r="BR30" s="141">
        <v>1747</v>
      </c>
      <c r="BS30" s="141">
        <v>1747</v>
      </c>
      <c r="BT30" s="141">
        <v>0</v>
      </c>
      <c r="BU30" s="141">
        <v>0</v>
      </c>
      <c r="BV30" s="142">
        <v>0</v>
      </c>
      <c r="BW30" s="142">
        <v>0</v>
      </c>
      <c r="BX30" s="142">
        <v>0</v>
      </c>
      <c r="BY30" s="142">
        <v>0</v>
      </c>
      <c r="BZ30" s="179">
        <v>0</v>
      </c>
      <c r="CA30" s="142">
        <v>0</v>
      </c>
    </row>
    <row r="31" spans="1:79" ht="16.5" customHeight="1">
      <c r="A31" s="222"/>
      <c r="B31" s="220" t="s">
        <v>244</v>
      </c>
      <c r="C31" s="220"/>
      <c r="D31" s="220"/>
      <c r="E31" s="136" t="s">
        <v>245</v>
      </c>
      <c r="F31" s="136" t="s">
        <v>568</v>
      </c>
      <c r="G31" s="139">
        <v>2025</v>
      </c>
      <c r="H31" s="136" t="s">
        <v>210</v>
      </c>
      <c r="I31" s="221">
        <v>1943</v>
      </c>
      <c r="J31" s="221"/>
      <c r="K31" s="140">
        <v>185859.1</v>
      </c>
      <c r="L31" s="141">
        <v>0</v>
      </c>
      <c r="M31" s="141">
        <v>11151546</v>
      </c>
      <c r="N31" s="141">
        <v>181551</v>
      </c>
      <c r="O31" s="141">
        <v>182592</v>
      </c>
      <c r="P31" s="141">
        <v>19675</v>
      </c>
      <c r="Q31" s="141">
        <v>161876</v>
      </c>
      <c r="R31" s="142">
        <v>1.3160000000000001</v>
      </c>
      <c r="S31" s="142">
        <v>0</v>
      </c>
      <c r="T31" s="142">
        <v>1026.415</v>
      </c>
      <c r="U31" s="142">
        <v>0</v>
      </c>
      <c r="V31" s="179">
        <v>1026.415</v>
      </c>
      <c r="W31" s="142">
        <v>1.3160000000000001</v>
      </c>
      <c r="X31" s="141"/>
      <c r="Y31" s="140"/>
      <c r="Z31" s="141"/>
      <c r="AA31" s="141"/>
      <c r="AB31" s="141"/>
      <c r="AC31" s="141"/>
      <c r="AD31" s="141"/>
      <c r="AE31" s="141"/>
      <c r="AF31" s="142"/>
      <c r="AG31" s="142"/>
      <c r="AH31" s="142"/>
      <c r="AI31" s="142"/>
      <c r="AJ31" s="179"/>
      <c r="AK31" s="142"/>
      <c r="AL31" s="141">
        <v>93</v>
      </c>
      <c r="AM31" s="140">
        <v>219.71700000000001</v>
      </c>
      <c r="AN31" s="141">
        <v>267</v>
      </c>
      <c r="AO31" s="141">
        <v>13183</v>
      </c>
      <c r="AP31" s="141">
        <v>13183</v>
      </c>
      <c r="AQ31" s="141">
        <v>16020</v>
      </c>
      <c r="AR31" s="141">
        <v>0</v>
      </c>
      <c r="AS31" s="141">
        <v>0</v>
      </c>
      <c r="AT31" s="142">
        <v>62.695999999999998</v>
      </c>
      <c r="AU31" s="142">
        <v>0.114</v>
      </c>
      <c r="AV31" s="142">
        <v>48902.534</v>
      </c>
      <c r="AW31" s="142">
        <v>88.731999999999999</v>
      </c>
      <c r="AX31" s="179">
        <v>48991.266000000003</v>
      </c>
      <c r="AY31" s="142">
        <v>62.81</v>
      </c>
      <c r="AZ31" s="141">
        <v>7539</v>
      </c>
      <c r="BA31" s="140">
        <v>0</v>
      </c>
      <c r="BB31" s="141">
        <v>0</v>
      </c>
      <c r="BC31" s="141">
        <v>0</v>
      </c>
      <c r="BD31" s="141">
        <v>0</v>
      </c>
      <c r="BE31" s="141">
        <v>0</v>
      </c>
      <c r="BF31" s="141">
        <v>0</v>
      </c>
      <c r="BG31" s="141">
        <v>0</v>
      </c>
      <c r="BH31" s="142">
        <v>0</v>
      </c>
      <c r="BI31" s="142">
        <v>0</v>
      </c>
      <c r="BJ31" s="142">
        <v>0</v>
      </c>
      <c r="BK31" s="142">
        <v>0</v>
      </c>
      <c r="BL31" s="142">
        <v>0</v>
      </c>
      <c r="BM31" s="142">
        <v>0</v>
      </c>
      <c r="BN31" s="141">
        <v>31</v>
      </c>
      <c r="BO31" s="140">
        <v>49.466999999999999</v>
      </c>
      <c r="BP31" s="141">
        <v>65</v>
      </c>
      <c r="BQ31" s="141">
        <v>2968</v>
      </c>
      <c r="BR31" s="141">
        <v>2968</v>
      </c>
      <c r="BS31" s="141">
        <v>3900</v>
      </c>
      <c r="BT31" s="141">
        <v>0</v>
      </c>
      <c r="BU31" s="141">
        <v>0</v>
      </c>
      <c r="BV31" s="142">
        <v>0.14399999999999999</v>
      </c>
      <c r="BW31" s="142">
        <v>0</v>
      </c>
      <c r="BX31" s="142">
        <v>112.04600000000001</v>
      </c>
      <c r="BY31" s="142">
        <v>0</v>
      </c>
      <c r="BZ31" s="179">
        <v>112.04600000000001</v>
      </c>
      <c r="CA31" s="142">
        <v>0.14399999999999999</v>
      </c>
    </row>
    <row r="32" spans="1:79" ht="16.5" customHeight="1">
      <c r="A32" s="222"/>
      <c r="B32" s="220" t="s">
        <v>246</v>
      </c>
      <c r="C32" s="220"/>
      <c r="D32" s="220"/>
      <c r="E32" s="136" t="s">
        <v>247</v>
      </c>
      <c r="F32" s="136" t="s">
        <v>568</v>
      </c>
      <c r="G32" s="139">
        <v>2025</v>
      </c>
      <c r="H32" s="136" t="s">
        <v>210</v>
      </c>
      <c r="I32" s="221">
        <v>2084</v>
      </c>
      <c r="J32" s="221"/>
      <c r="K32" s="140">
        <v>6088.25</v>
      </c>
      <c r="L32" s="141">
        <v>0</v>
      </c>
      <c r="M32" s="141">
        <v>365295</v>
      </c>
      <c r="N32" s="141">
        <v>19094</v>
      </c>
      <c r="O32" s="141">
        <v>20176</v>
      </c>
      <c r="P32" s="141">
        <v>5838</v>
      </c>
      <c r="Q32" s="141">
        <v>13256</v>
      </c>
      <c r="R32" s="142">
        <v>0.22600000000000001</v>
      </c>
      <c r="S32" s="142">
        <v>0</v>
      </c>
      <c r="T32" s="142">
        <v>176.185</v>
      </c>
      <c r="U32" s="142">
        <v>0</v>
      </c>
      <c r="V32" s="179">
        <v>176.185</v>
      </c>
      <c r="W32" s="142">
        <v>0.22600000000000001</v>
      </c>
      <c r="X32" s="141"/>
      <c r="Y32" s="140"/>
      <c r="Z32" s="141"/>
      <c r="AA32" s="141"/>
      <c r="AB32" s="141"/>
      <c r="AC32" s="141"/>
      <c r="AD32" s="141"/>
      <c r="AE32" s="141"/>
      <c r="AF32" s="142"/>
      <c r="AG32" s="142"/>
      <c r="AH32" s="142"/>
      <c r="AI32" s="142"/>
      <c r="AJ32" s="179"/>
      <c r="AK32" s="142"/>
      <c r="AL32" s="141"/>
      <c r="AM32" s="140"/>
      <c r="AN32" s="141"/>
      <c r="AO32" s="141"/>
      <c r="AP32" s="141"/>
      <c r="AQ32" s="141"/>
      <c r="AR32" s="141"/>
      <c r="AS32" s="141"/>
      <c r="AT32" s="142"/>
      <c r="AU32" s="142"/>
      <c r="AV32" s="142"/>
      <c r="AW32" s="142"/>
      <c r="AX32" s="179"/>
      <c r="AY32" s="142"/>
      <c r="AZ32" s="141"/>
      <c r="BA32" s="140"/>
      <c r="BB32" s="141"/>
      <c r="BC32" s="141"/>
      <c r="BD32" s="141"/>
      <c r="BE32" s="141"/>
      <c r="BF32" s="141"/>
      <c r="BG32" s="141"/>
      <c r="BH32" s="142"/>
      <c r="BI32" s="142"/>
      <c r="BJ32" s="142"/>
      <c r="BK32" s="142"/>
      <c r="BL32" s="142"/>
      <c r="BM32" s="142"/>
      <c r="BN32" s="141"/>
      <c r="BO32" s="140"/>
      <c r="BP32" s="141"/>
      <c r="BQ32" s="141"/>
      <c r="BR32" s="141"/>
      <c r="BS32" s="141"/>
      <c r="BT32" s="141"/>
      <c r="BU32" s="141"/>
      <c r="BV32" s="142"/>
      <c r="BW32" s="142"/>
      <c r="BX32" s="142"/>
      <c r="BY32" s="142"/>
      <c r="BZ32" s="179"/>
      <c r="CA32" s="142"/>
    </row>
    <row r="33" spans="1:79" ht="16.5" customHeight="1">
      <c r="A33" s="222"/>
      <c r="B33" s="220" t="s">
        <v>252</v>
      </c>
      <c r="C33" s="220"/>
      <c r="D33" s="220"/>
      <c r="E33" s="136" t="s">
        <v>253</v>
      </c>
      <c r="F33" s="136" t="s">
        <v>568</v>
      </c>
      <c r="G33" s="139">
        <v>2025</v>
      </c>
      <c r="H33" s="136" t="s">
        <v>210</v>
      </c>
      <c r="I33" s="221">
        <v>12575</v>
      </c>
      <c r="J33" s="221"/>
      <c r="K33" s="140">
        <v>742123.41700000002</v>
      </c>
      <c r="L33" s="141">
        <v>0</v>
      </c>
      <c r="M33" s="141">
        <v>44527405</v>
      </c>
      <c r="N33" s="141">
        <v>41431</v>
      </c>
      <c r="O33" s="141">
        <v>41708</v>
      </c>
      <c r="P33" s="141">
        <v>8480</v>
      </c>
      <c r="Q33" s="141">
        <v>32950</v>
      </c>
      <c r="R33" s="142">
        <v>0.17899999999999999</v>
      </c>
      <c r="S33" s="142">
        <v>0</v>
      </c>
      <c r="T33" s="142">
        <v>139.30699999999999</v>
      </c>
      <c r="U33" s="142">
        <v>0</v>
      </c>
      <c r="V33" s="179">
        <v>139.30699999999999</v>
      </c>
      <c r="W33" s="142">
        <v>0.17899999999999999</v>
      </c>
      <c r="X33" s="141"/>
      <c r="Y33" s="140"/>
      <c r="Z33" s="141"/>
      <c r="AA33" s="141"/>
      <c r="AB33" s="141"/>
      <c r="AC33" s="141"/>
      <c r="AD33" s="141"/>
      <c r="AE33" s="141"/>
      <c r="AF33" s="142"/>
      <c r="AG33" s="142"/>
      <c r="AH33" s="142"/>
      <c r="AI33" s="142"/>
      <c r="AJ33" s="179"/>
      <c r="AK33" s="142"/>
      <c r="AL33" s="141">
        <v>53</v>
      </c>
      <c r="AM33" s="140">
        <v>84.533000000000001</v>
      </c>
      <c r="AN33" s="141">
        <v>113</v>
      </c>
      <c r="AO33" s="141">
        <v>5072</v>
      </c>
      <c r="AP33" s="141">
        <v>5072</v>
      </c>
      <c r="AQ33" s="141">
        <v>5072</v>
      </c>
      <c r="AR33" s="141">
        <v>0</v>
      </c>
      <c r="AS33" s="141">
        <v>0</v>
      </c>
      <c r="AT33" s="142">
        <v>22.637</v>
      </c>
      <c r="AU33" s="142">
        <v>0</v>
      </c>
      <c r="AV33" s="142">
        <v>17656.913</v>
      </c>
      <c r="AW33" s="142">
        <v>0</v>
      </c>
      <c r="AX33" s="179">
        <v>17656.913</v>
      </c>
      <c r="AY33" s="142">
        <v>22.637</v>
      </c>
      <c r="AZ33" s="141"/>
      <c r="BA33" s="140"/>
      <c r="BB33" s="141"/>
      <c r="BC33" s="141"/>
      <c r="BD33" s="141"/>
      <c r="BE33" s="141"/>
      <c r="BF33" s="141"/>
      <c r="BG33" s="141"/>
      <c r="BH33" s="142"/>
      <c r="BI33" s="142"/>
      <c r="BJ33" s="142"/>
      <c r="BK33" s="142"/>
      <c r="BL33" s="142"/>
      <c r="BM33" s="142"/>
      <c r="BN33" s="141">
        <v>22</v>
      </c>
      <c r="BO33" s="140">
        <v>23.466999999999999</v>
      </c>
      <c r="BP33" s="141">
        <v>35</v>
      </c>
      <c r="BQ33" s="141">
        <v>1408</v>
      </c>
      <c r="BR33" s="141">
        <v>1408</v>
      </c>
      <c r="BS33" s="141">
        <v>1408</v>
      </c>
      <c r="BT33" s="141">
        <v>0</v>
      </c>
      <c r="BU33" s="141">
        <v>0</v>
      </c>
      <c r="BV33" s="142">
        <v>0</v>
      </c>
      <c r="BW33" s="142">
        <v>0</v>
      </c>
      <c r="BX33" s="142">
        <v>0</v>
      </c>
      <c r="BY33" s="142">
        <v>0</v>
      </c>
      <c r="BZ33" s="179">
        <v>0</v>
      </c>
      <c r="CA33" s="142">
        <v>0</v>
      </c>
    </row>
    <row r="34" spans="1:79" ht="16.5" customHeight="1">
      <c r="A34" s="222"/>
      <c r="B34" s="220" t="s">
        <v>254</v>
      </c>
      <c r="C34" s="220"/>
      <c r="D34" s="220"/>
      <c r="E34" s="136" t="s">
        <v>255</v>
      </c>
      <c r="F34" s="136" t="s">
        <v>568</v>
      </c>
      <c r="G34" s="139">
        <v>2025</v>
      </c>
      <c r="H34" s="136" t="s">
        <v>210</v>
      </c>
      <c r="I34" s="221"/>
      <c r="J34" s="221"/>
      <c r="K34" s="140"/>
      <c r="L34" s="141"/>
      <c r="M34" s="141"/>
      <c r="N34" s="141"/>
      <c r="O34" s="141"/>
      <c r="P34" s="141"/>
      <c r="Q34" s="141"/>
      <c r="R34" s="142"/>
      <c r="S34" s="142"/>
      <c r="T34" s="142"/>
      <c r="U34" s="142"/>
      <c r="V34" s="179"/>
      <c r="W34" s="142"/>
      <c r="X34" s="141"/>
      <c r="Y34" s="140"/>
      <c r="Z34" s="141"/>
      <c r="AA34" s="141"/>
      <c r="AB34" s="141"/>
      <c r="AC34" s="141"/>
      <c r="AD34" s="141"/>
      <c r="AE34" s="141"/>
      <c r="AF34" s="142"/>
      <c r="AG34" s="142"/>
      <c r="AH34" s="142"/>
      <c r="AI34" s="142"/>
      <c r="AJ34" s="179"/>
      <c r="AK34" s="142"/>
      <c r="AL34" s="141">
        <v>34</v>
      </c>
      <c r="AM34" s="140">
        <v>57.366999999999997</v>
      </c>
      <c r="AN34" s="141">
        <v>77</v>
      </c>
      <c r="AO34" s="141">
        <v>3442</v>
      </c>
      <c r="AP34" s="141">
        <v>3442</v>
      </c>
      <c r="AQ34" s="141">
        <v>0</v>
      </c>
      <c r="AR34" s="141">
        <v>0</v>
      </c>
      <c r="AS34" s="141">
        <v>0</v>
      </c>
      <c r="AT34" s="142">
        <v>11.254</v>
      </c>
      <c r="AU34" s="142">
        <v>0</v>
      </c>
      <c r="AV34" s="142">
        <v>8777.875</v>
      </c>
      <c r="AW34" s="142">
        <v>0</v>
      </c>
      <c r="AX34" s="179">
        <v>8777.875</v>
      </c>
      <c r="AY34" s="142">
        <v>11.254</v>
      </c>
      <c r="AZ34" s="141"/>
      <c r="BA34" s="140"/>
      <c r="BB34" s="141"/>
      <c r="BC34" s="141"/>
      <c r="BD34" s="141"/>
      <c r="BE34" s="141"/>
      <c r="BF34" s="141"/>
      <c r="BG34" s="141"/>
      <c r="BH34" s="142"/>
      <c r="BI34" s="142"/>
      <c r="BJ34" s="142"/>
      <c r="BK34" s="142"/>
      <c r="BL34" s="142"/>
      <c r="BM34" s="142"/>
      <c r="BN34" s="141">
        <v>59</v>
      </c>
      <c r="BO34" s="140">
        <v>80.483000000000004</v>
      </c>
      <c r="BP34" s="141">
        <v>115</v>
      </c>
      <c r="BQ34" s="141">
        <v>4829</v>
      </c>
      <c r="BR34" s="141">
        <v>4829</v>
      </c>
      <c r="BS34" s="141">
        <v>0</v>
      </c>
      <c r="BT34" s="141">
        <v>0</v>
      </c>
      <c r="BU34" s="141">
        <v>0</v>
      </c>
      <c r="BV34" s="142">
        <v>8.7999999999999995E-2</v>
      </c>
      <c r="BW34" s="142">
        <v>0</v>
      </c>
      <c r="BX34" s="142">
        <v>68.682000000000002</v>
      </c>
      <c r="BY34" s="142">
        <v>0</v>
      </c>
      <c r="BZ34" s="179">
        <v>68.682000000000002</v>
      </c>
      <c r="CA34" s="142">
        <v>8.7999999999999995E-2</v>
      </c>
    </row>
    <row r="35" spans="1:79" ht="16.5" customHeight="1">
      <c r="A35" s="222"/>
      <c r="B35" s="220" t="s">
        <v>258</v>
      </c>
      <c r="C35" s="220"/>
      <c r="D35" s="220"/>
      <c r="E35" s="136" t="s">
        <v>259</v>
      </c>
      <c r="F35" s="136" t="s">
        <v>568</v>
      </c>
      <c r="G35" s="139">
        <v>2025</v>
      </c>
      <c r="H35" s="136" t="s">
        <v>210</v>
      </c>
      <c r="I35" s="221">
        <v>856482</v>
      </c>
      <c r="J35" s="221"/>
      <c r="K35" s="140">
        <v>24354751.649999999</v>
      </c>
      <c r="L35" s="141">
        <v>0</v>
      </c>
      <c r="M35" s="141">
        <v>1461285099</v>
      </c>
      <c r="N35" s="141">
        <v>13721464</v>
      </c>
      <c r="O35" s="141">
        <v>13747162</v>
      </c>
      <c r="P35" s="141">
        <v>11108396</v>
      </c>
      <c r="Q35" s="141">
        <v>2613068</v>
      </c>
      <c r="R35" s="142">
        <v>67.816000000000003</v>
      </c>
      <c r="S35" s="142">
        <v>0</v>
      </c>
      <c r="T35" s="142">
        <v>52896.286</v>
      </c>
      <c r="U35" s="142">
        <v>0</v>
      </c>
      <c r="V35" s="179">
        <v>52896.286</v>
      </c>
      <c r="W35" s="142">
        <v>67.816000000000003</v>
      </c>
      <c r="X35" s="141"/>
      <c r="Y35" s="140"/>
      <c r="Z35" s="141"/>
      <c r="AA35" s="141"/>
      <c r="AB35" s="141"/>
      <c r="AC35" s="141"/>
      <c r="AD35" s="141"/>
      <c r="AE35" s="141"/>
      <c r="AF35" s="142"/>
      <c r="AG35" s="142"/>
      <c r="AH35" s="142"/>
      <c r="AI35" s="142"/>
      <c r="AJ35" s="179"/>
      <c r="AK35" s="142"/>
      <c r="AL35" s="141">
        <v>1304</v>
      </c>
      <c r="AM35" s="140">
        <v>1490.567</v>
      </c>
      <c r="AN35" s="141">
        <v>2195</v>
      </c>
      <c r="AO35" s="141">
        <v>89434</v>
      </c>
      <c r="AP35" s="141">
        <v>89434</v>
      </c>
      <c r="AQ35" s="141">
        <v>89489</v>
      </c>
      <c r="AR35" s="141">
        <v>0</v>
      </c>
      <c r="AS35" s="141">
        <v>0</v>
      </c>
      <c r="AT35" s="142">
        <v>206.17</v>
      </c>
      <c r="AU35" s="142">
        <v>0</v>
      </c>
      <c r="AV35" s="142">
        <v>160810.625</v>
      </c>
      <c r="AW35" s="142">
        <v>0</v>
      </c>
      <c r="AX35" s="179">
        <v>160810.625</v>
      </c>
      <c r="AY35" s="142">
        <v>206.17</v>
      </c>
      <c r="AZ35" s="141">
        <v>102178</v>
      </c>
      <c r="BA35" s="140">
        <v>0</v>
      </c>
      <c r="BB35" s="141">
        <v>0</v>
      </c>
      <c r="BC35" s="141">
        <v>0</v>
      </c>
      <c r="BD35" s="141">
        <v>0</v>
      </c>
      <c r="BE35" s="141">
        <v>0</v>
      </c>
      <c r="BF35" s="141">
        <v>0</v>
      </c>
      <c r="BG35" s="141">
        <v>0</v>
      </c>
      <c r="BH35" s="142">
        <v>0</v>
      </c>
      <c r="BI35" s="142">
        <v>0</v>
      </c>
      <c r="BJ35" s="142">
        <v>0</v>
      </c>
      <c r="BK35" s="142">
        <v>0</v>
      </c>
      <c r="BL35" s="142">
        <v>0</v>
      </c>
      <c r="BM35" s="142">
        <v>0</v>
      </c>
      <c r="BN35" s="141">
        <v>14811</v>
      </c>
      <c r="BO35" s="140">
        <v>27184.866999999998</v>
      </c>
      <c r="BP35" s="141">
        <v>35169</v>
      </c>
      <c r="BQ35" s="141">
        <v>1631092</v>
      </c>
      <c r="BR35" s="141">
        <v>1631092</v>
      </c>
      <c r="BS35" s="141">
        <v>1631092</v>
      </c>
      <c r="BT35" s="141">
        <v>0</v>
      </c>
      <c r="BU35" s="141">
        <v>0</v>
      </c>
      <c r="BV35" s="142">
        <v>0</v>
      </c>
      <c r="BW35" s="142">
        <v>0</v>
      </c>
      <c r="BX35" s="142">
        <v>0</v>
      </c>
      <c r="BY35" s="142">
        <v>0</v>
      </c>
      <c r="BZ35" s="179">
        <v>0</v>
      </c>
      <c r="CA35" s="142">
        <v>0</v>
      </c>
    </row>
    <row r="36" spans="1:79" ht="16.5" customHeight="1">
      <c r="A36" s="222"/>
      <c r="B36" s="220" t="s">
        <v>260</v>
      </c>
      <c r="C36" s="220"/>
      <c r="D36" s="220"/>
      <c r="E36" s="136" t="s">
        <v>261</v>
      </c>
      <c r="F36" s="136" t="s">
        <v>568</v>
      </c>
      <c r="G36" s="139">
        <v>2025</v>
      </c>
      <c r="H36" s="136" t="s">
        <v>210</v>
      </c>
      <c r="I36" s="221">
        <v>21618</v>
      </c>
      <c r="J36" s="221"/>
      <c r="K36" s="140">
        <v>526098.16700000002</v>
      </c>
      <c r="L36" s="141">
        <v>0</v>
      </c>
      <c r="M36" s="141">
        <v>31565890</v>
      </c>
      <c r="N36" s="141">
        <v>180400</v>
      </c>
      <c r="O36" s="141">
        <v>180988</v>
      </c>
      <c r="P36" s="141">
        <v>112801</v>
      </c>
      <c r="Q36" s="141">
        <v>67599</v>
      </c>
      <c r="R36" s="142">
        <v>1.5</v>
      </c>
      <c r="S36" s="142">
        <v>0.27100000000000002</v>
      </c>
      <c r="T36" s="142">
        <v>1170.136</v>
      </c>
      <c r="U36" s="142">
        <v>211.035</v>
      </c>
      <c r="V36" s="179">
        <v>1381.171</v>
      </c>
      <c r="W36" s="142">
        <v>1.7709999999999999</v>
      </c>
      <c r="X36" s="141"/>
      <c r="Y36" s="140"/>
      <c r="Z36" s="141"/>
      <c r="AA36" s="141"/>
      <c r="AB36" s="141"/>
      <c r="AC36" s="141"/>
      <c r="AD36" s="141"/>
      <c r="AE36" s="141"/>
      <c r="AF36" s="142"/>
      <c r="AG36" s="142"/>
      <c r="AH36" s="142"/>
      <c r="AI36" s="142"/>
      <c r="AJ36" s="179"/>
      <c r="AK36" s="142"/>
      <c r="AL36" s="141">
        <v>18</v>
      </c>
      <c r="AM36" s="140">
        <v>1.8</v>
      </c>
      <c r="AN36" s="141">
        <v>19</v>
      </c>
      <c r="AO36" s="141">
        <v>108</v>
      </c>
      <c r="AP36" s="141">
        <v>108</v>
      </c>
      <c r="AQ36" s="141">
        <v>1111</v>
      </c>
      <c r="AR36" s="141">
        <v>0</v>
      </c>
      <c r="AS36" s="141">
        <v>0</v>
      </c>
      <c r="AT36" s="142">
        <v>0.38600000000000001</v>
      </c>
      <c r="AU36" s="142">
        <v>7.0000000000000007E-2</v>
      </c>
      <c r="AV36" s="142">
        <v>301.25599999999997</v>
      </c>
      <c r="AW36" s="142">
        <v>54.225000000000001</v>
      </c>
      <c r="AX36" s="179">
        <v>355.48099999999999</v>
      </c>
      <c r="AY36" s="142">
        <v>0.45600000000000002</v>
      </c>
      <c r="AZ36" s="141">
        <v>339</v>
      </c>
      <c r="BA36" s="140">
        <v>0</v>
      </c>
      <c r="BB36" s="141">
        <v>0</v>
      </c>
      <c r="BC36" s="141">
        <v>0</v>
      </c>
      <c r="BD36" s="141">
        <v>0</v>
      </c>
      <c r="BE36" s="141">
        <v>0</v>
      </c>
      <c r="BF36" s="141">
        <v>0</v>
      </c>
      <c r="BG36" s="141">
        <v>0</v>
      </c>
      <c r="BH36" s="142">
        <v>0</v>
      </c>
      <c r="BI36" s="142">
        <v>0</v>
      </c>
      <c r="BJ36" s="142">
        <v>0</v>
      </c>
      <c r="BK36" s="142">
        <v>0</v>
      </c>
      <c r="BL36" s="142">
        <v>0</v>
      </c>
      <c r="BM36" s="142">
        <v>0</v>
      </c>
      <c r="BN36" s="141">
        <v>49</v>
      </c>
      <c r="BO36" s="140">
        <v>113.217</v>
      </c>
      <c r="BP36" s="141">
        <v>140</v>
      </c>
      <c r="BQ36" s="141">
        <v>6793</v>
      </c>
      <c r="BR36" s="141">
        <v>6793</v>
      </c>
      <c r="BS36" s="141">
        <v>6793</v>
      </c>
      <c r="BT36" s="141">
        <v>0</v>
      </c>
      <c r="BU36" s="141">
        <v>0</v>
      </c>
      <c r="BV36" s="142">
        <v>0</v>
      </c>
      <c r="BW36" s="142">
        <v>0</v>
      </c>
      <c r="BX36" s="142">
        <v>0</v>
      </c>
      <c r="BY36" s="142">
        <v>0</v>
      </c>
      <c r="BZ36" s="179">
        <v>0</v>
      </c>
      <c r="CA36" s="142">
        <v>0</v>
      </c>
    </row>
    <row r="37" spans="1:79" ht="16.5" customHeight="1">
      <c r="A37" s="222"/>
      <c r="B37" s="220" t="s">
        <v>571</v>
      </c>
      <c r="C37" s="220"/>
      <c r="D37" s="220"/>
      <c r="E37" s="136" t="s">
        <v>572</v>
      </c>
      <c r="F37" s="136" t="s">
        <v>568</v>
      </c>
      <c r="G37" s="139">
        <v>2025</v>
      </c>
      <c r="H37" s="136" t="s">
        <v>210</v>
      </c>
      <c r="I37" s="221">
        <v>33823</v>
      </c>
      <c r="J37" s="221"/>
      <c r="K37" s="140">
        <v>493113.18300000002</v>
      </c>
      <c r="L37" s="141">
        <v>0</v>
      </c>
      <c r="M37" s="141">
        <v>29586791</v>
      </c>
      <c r="N37" s="141">
        <v>9080720</v>
      </c>
      <c r="O37" s="141">
        <v>9097276</v>
      </c>
      <c r="P37" s="141">
        <v>4284509</v>
      </c>
      <c r="Q37" s="141">
        <v>4796211</v>
      </c>
      <c r="R37" s="142">
        <v>37.353999999999999</v>
      </c>
      <c r="S37" s="142">
        <v>0</v>
      </c>
      <c r="T37" s="142">
        <v>29135.585999999999</v>
      </c>
      <c r="U37" s="142">
        <v>0</v>
      </c>
      <c r="V37" s="179">
        <v>29135.585999999999</v>
      </c>
      <c r="W37" s="142">
        <v>37.353999999999999</v>
      </c>
      <c r="X37" s="141"/>
      <c r="Y37" s="140"/>
      <c r="Z37" s="141"/>
      <c r="AA37" s="141"/>
      <c r="AB37" s="141"/>
      <c r="AC37" s="141"/>
      <c r="AD37" s="141"/>
      <c r="AE37" s="141"/>
      <c r="AF37" s="142"/>
      <c r="AG37" s="142"/>
      <c r="AH37" s="142"/>
      <c r="AI37" s="142"/>
      <c r="AJ37" s="179"/>
      <c r="AK37" s="142"/>
      <c r="AL37" s="141">
        <v>1627</v>
      </c>
      <c r="AM37" s="140">
        <v>1762.75</v>
      </c>
      <c r="AN37" s="141">
        <v>2675</v>
      </c>
      <c r="AO37" s="141">
        <v>105765</v>
      </c>
      <c r="AP37" s="141">
        <v>105765</v>
      </c>
      <c r="AQ37" s="141">
        <v>105940</v>
      </c>
      <c r="AR37" s="141">
        <v>0</v>
      </c>
      <c r="AS37" s="141">
        <v>0</v>
      </c>
      <c r="AT37" s="142">
        <v>480.95699999999999</v>
      </c>
      <c r="AU37" s="142">
        <v>0</v>
      </c>
      <c r="AV37" s="142">
        <v>375142.25400000002</v>
      </c>
      <c r="AW37" s="142">
        <v>0</v>
      </c>
      <c r="AX37" s="179">
        <v>375142.25400000002</v>
      </c>
      <c r="AY37" s="142">
        <v>480.95699999999999</v>
      </c>
      <c r="AZ37" s="141"/>
      <c r="BA37" s="140"/>
      <c r="BB37" s="141"/>
      <c r="BC37" s="141"/>
      <c r="BD37" s="141"/>
      <c r="BE37" s="141"/>
      <c r="BF37" s="141"/>
      <c r="BG37" s="141"/>
      <c r="BH37" s="142"/>
      <c r="BI37" s="142"/>
      <c r="BJ37" s="142"/>
      <c r="BK37" s="142"/>
      <c r="BL37" s="142"/>
      <c r="BM37" s="142"/>
      <c r="BN37" s="141">
        <v>16824</v>
      </c>
      <c r="BO37" s="140">
        <v>29017</v>
      </c>
      <c r="BP37" s="141">
        <v>38235</v>
      </c>
      <c r="BQ37" s="141">
        <v>1741020</v>
      </c>
      <c r="BR37" s="141">
        <v>1741020</v>
      </c>
      <c r="BS37" s="141">
        <v>2294100</v>
      </c>
      <c r="BT37" s="141">
        <v>0</v>
      </c>
      <c r="BU37" s="141">
        <v>0</v>
      </c>
      <c r="BV37" s="142">
        <v>0</v>
      </c>
      <c r="BW37" s="142">
        <v>0</v>
      </c>
      <c r="BX37" s="142">
        <v>0</v>
      </c>
      <c r="BY37" s="142">
        <v>0</v>
      </c>
      <c r="BZ37" s="179">
        <v>0</v>
      </c>
      <c r="CA37" s="142">
        <v>0</v>
      </c>
    </row>
    <row r="38" spans="1:79" ht="16.5" customHeight="1">
      <c r="A38" s="222"/>
      <c r="B38" s="220" t="s">
        <v>262</v>
      </c>
      <c r="C38" s="220"/>
      <c r="D38" s="220"/>
      <c r="E38" s="136" t="s">
        <v>263</v>
      </c>
      <c r="F38" s="136" t="s">
        <v>568</v>
      </c>
      <c r="G38" s="139">
        <v>2025</v>
      </c>
      <c r="H38" s="136" t="s">
        <v>210</v>
      </c>
      <c r="I38" s="221">
        <v>70000</v>
      </c>
      <c r="J38" s="221"/>
      <c r="K38" s="140">
        <v>2287541.8330000001</v>
      </c>
      <c r="L38" s="141">
        <v>0</v>
      </c>
      <c r="M38" s="141">
        <v>137252510</v>
      </c>
      <c r="N38" s="141">
        <v>142638</v>
      </c>
      <c r="O38" s="141">
        <v>145792</v>
      </c>
      <c r="P38" s="141">
        <v>25379</v>
      </c>
      <c r="Q38" s="141">
        <v>117259</v>
      </c>
      <c r="R38" s="142">
        <v>1.2010000000000001</v>
      </c>
      <c r="S38" s="142">
        <v>0</v>
      </c>
      <c r="T38" s="142">
        <v>937.06700000000001</v>
      </c>
      <c r="U38" s="142">
        <v>0</v>
      </c>
      <c r="V38" s="179">
        <v>937.06700000000001</v>
      </c>
      <c r="W38" s="142">
        <v>1.2010000000000001</v>
      </c>
      <c r="X38" s="141">
        <v>11</v>
      </c>
      <c r="Y38" s="140">
        <v>0</v>
      </c>
      <c r="Z38" s="141">
        <v>0</v>
      </c>
      <c r="AA38" s="141">
        <v>0</v>
      </c>
      <c r="AB38" s="141">
        <v>0</v>
      </c>
      <c r="AC38" s="141">
        <v>0</v>
      </c>
      <c r="AD38" s="141">
        <v>0</v>
      </c>
      <c r="AE38" s="141">
        <v>0</v>
      </c>
      <c r="AF38" s="142">
        <v>9.2999999999999999E-2</v>
      </c>
      <c r="AG38" s="142">
        <v>0</v>
      </c>
      <c r="AH38" s="142">
        <v>72.156999999999996</v>
      </c>
      <c r="AI38" s="142">
        <v>0</v>
      </c>
      <c r="AJ38" s="179">
        <v>72.156999999999996</v>
      </c>
      <c r="AK38" s="142">
        <v>9.2999999999999999E-2</v>
      </c>
      <c r="AL38" s="141">
        <v>52</v>
      </c>
      <c r="AM38" s="140">
        <v>48.383000000000003</v>
      </c>
      <c r="AN38" s="141">
        <v>80</v>
      </c>
      <c r="AO38" s="141">
        <v>2903</v>
      </c>
      <c r="AP38" s="141">
        <v>2903</v>
      </c>
      <c r="AQ38" s="141">
        <v>2903</v>
      </c>
      <c r="AR38" s="141">
        <v>0</v>
      </c>
      <c r="AS38" s="141">
        <v>0</v>
      </c>
      <c r="AT38" s="142">
        <v>15.613</v>
      </c>
      <c r="AU38" s="142">
        <v>0</v>
      </c>
      <c r="AV38" s="142">
        <v>12177.835999999999</v>
      </c>
      <c r="AW38" s="142">
        <v>0</v>
      </c>
      <c r="AX38" s="179">
        <v>12177.835999999999</v>
      </c>
      <c r="AY38" s="142">
        <v>15.613</v>
      </c>
      <c r="AZ38" s="141">
        <v>5680</v>
      </c>
      <c r="BA38" s="140">
        <v>0</v>
      </c>
      <c r="BB38" s="141">
        <v>0</v>
      </c>
      <c r="BC38" s="141">
        <v>0</v>
      </c>
      <c r="BD38" s="141">
        <v>0</v>
      </c>
      <c r="BE38" s="141">
        <v>0</v>
      </c>
      <c r="BF38" s="141">
        <v>0</v>
      </c>
      <c r="BG38" s="141">
        <v>0</v>
      </c>
      <c r="BH38" s="142">
        <v>0</v>
      </c>
      <c r="BI38" s="142">
        <v>0</v>
      </c>
      <c r="BJ38" s="142">
        <v>0</v>
      </c>
      <c r="BK38" s="142">
        <v>0</v>
      </c>
      <c r="BL38" s="142">
        <v>0</v>
      </c>
      <c r="BM38" s="142">
        <v>0</v>
      </c>
      <c r="BN38" s="141">
        <v>65</v>
      </c>
      <c r="BO38" s="140">
        <v>43.917000000000002</v>
      </c>
      <c r="BP38" s="141">
        <v>84</v>
      </c>
      <c r="BQ38" s="141">
        <v>2635</v>
      </c>
      <c r="BR38" s="141">
        <v>2635</v>
      </c>
      <c r="BS38" s="141">
        <v>2635</v>
      </c>
      <c r="BT38" s="141">
        <v>0</v>
      </c>
      <c r="BU38" s="141">
        <v>0</v>
      </c>
      <c r="BV38" s="142">
        <v>0</v>
      </c>
      <c r="BW38" s="142">
        <v>0</v>
      </c>
      <c r="BX38" s="142">
        <v>0</v>
      </c>
      <c r="BY38" s="142">
        <v>0</v>
      </c>
      <c r="BZ38" s="179">
        <v>0</v>
      </c>
      <c r="CA38" s="142">
        <v>0</v>
      </c>
    </row>
    <row r="39" spans="1:79" ht="16.5" customHeight="1">
      <c r="A39" s="222"/>
      <c r="B39" s="220" t="s">
        <v>264</v>
      </c>
      <c r="C39" s="220"/>
      <c r="D39" s="220"/>
      <c r="E39" s="136" t="s">
        <v>265</v>
      </c>
      <c r="F39" s="136" t="s">
        <v>568</v>
      </c>
      <c r="G39" s="139">
        <v>2025</v>
      </c>
      <c r="H39" s="136" t="s">
        <v>210</v>
      </c>
      <c r="I39" s="221">
        <v>1575</v>
      </c>
      <c r="J39" s="221"/>
      <c r="K39" s="140">
        <v>40781.567000000003</v>
      </c>
      <c r="L39" s="141">
        <v>0</v>
      </c>
      <c r="M39" s="141">
        <v>2446894</v>
      </c>
      <c r="N39" s="141">
        <v>256408</v>
      </c>
      <c r="O39" s="141">
        <v>256830</v>
      </c>
      <c r="P39" s="141">
        <v>11041</v>
      </c>
      <c r="Q39" s="141">
        <v>245368</v>
      </c>
      <c r="R39" s="142">
        <v>1.0549999999999999</v>
      </c>
      <c r="S39" s="142">
        <v>0</v>
      </c>
      <c r="T39" s="142">
        <v>822.596</v>
      </c>
      <c r="U39" s="142">
        <v>0</v>
      </c>
      <c r="V39" s="179">
        <v>822.596</v>
      </c>
      <c r="W39" s="142">
        <v>1.0549999999999999</v>
      </c>
      <c r="X39" s="141"/>
      <c r="Y39" s="140"/>
      <c r="Z39" s="141"/>
      <c r="AA39" s="141"/>
      <c r="AB39" s="141"/>
      <c r="AC39" s="141"/>
      <c r="AD39" s="141"/>
      <c r="AE39" s="141"/>
      <c r="AF39" s="142"/>
      <c r="AG39" s="142"/>
      <c r="AH39" s="142"/>
      <c r="AI39" s="142"/>
      <c r="AJ39" s="179"/>
      <c r="AK39" s="142"/>
      <c r="AL39" s="141">
        <v>32</v>
      </c>
      <c r="AM39" s="140">
        <v>32.200000000000003</v>
      </c>
      <c r="AN39" s="141">
        <v>49</v>
      </c>
      <c r="AO39" s="141">
        <v>1932</v>
      </c>
      <c r="AP39" s="141">
        <v>1932</v>
      </c>
      <c r="AQ39" s="141">
        <v>1995</v>
      </c>
      <c r="AR39" s="141">
        <v>0</v>
      </c>
      <c r="AS39" s="141">
        <v>0</v>
      </c>
      <c r="AT39" s="142">
        <v>8.3119999999999994</v>
      </c>
      <c r="AU39" s="142">
        <v>0</v>
      </c>
      <c r="AV39" s="142">
        <v>6483.6019999999999</v>
      </c>
      <c r="AW39" s="142">
        <v>0</v>
      </c>
      <c r="AX39" s="179">
        <v>6483.6019999999999</v>
      </c>
      <c r="AY39" s="142">
        <v>8.3119999999999994</v>
      </c>
      <c r="AZ39" s="141"/>
      <c r="BA39" s="140"/>
      <c r="BB39" s="141"/>
      <c r="BC39" s="141"/>
      <c r="BD39" s="141"/>
      <c r="BE39" s="141"/>
      <c r="BF39" s="141"/>
      <c r="BG39" s="141"/>
      <c r="BH39" s="142"/>
      <c r="BI39" s="142"/>
      <c r="BJ39" s="142"/>
      <c r="BK39" s="142"/>
      <c r="BL39" s="142"/>
      <c r="BM39" s="142"/>
      <c r="BN39" s="141">
        <v>47</v>
      </c>
      <c r="BO39" s="140">
        <v>38.049999999999997</v>
      </c>
      <c r="BP39" s="141">
        <v>70</v>
      </c>
      <c r="BQ39" s="141">
        <v>2283</v>
      </c>
      <c r="BR39" s="141">
        <v>2283</v>
      </c>
      <c r="BS39" s="141">
        <v>4200</v>
      </c>
      <c r="BT39" s="141">
        <v>0</v>
      </c>
      <c r="BU39" s="141">
        <v>0</v>
      </c>
      <c r="BV39" s="142">
        <v>0</v>
      </c>
      <c r="BW39" s="142">
        <v>0</v>
      </c>
      <c r="BX39" s="142">
        <v>0</v>
      </c>
      <c r="BY39" s="142">
        <v>0</v>
      </c>
      <c r="BZ39" s="179">
        <v>0</v>
      </c>
      <c r="CA39" s="142">
        <v>0</v>
      </c>
    </row>
    <row r="40" spans="1:79" ht="16.5" customHeight="1">
      <c r="A40" s="222"/>
      <c r="B40" s="220" t="s">
        <v>573</v>
      </c>
      <c r="C40" s="220"/>
      <c r="D40" s="220"/>
      <c r="E40" s="136" t="s">
        <v>574</v>
      </c>
      <c r="F40" s="136" t="s">
        <v>568</v>
      </c>
      <c r="G40" s="139">
        <v>2025</v>
      </c>
      <c r="H40" s="136" t="s">
        <v>210</v>
      </c>
      <c r="I40" s="221"/>
      <c r="J40" s="221"/>
      <c r="K40" s="140"/>
      <c r="L40" s="141"/>
      <c r="M40" s="141"/>
      <c r="N40" s="141"/>
      <c r="O40" s="141"/>
      <c r="P40" s="141"/>
      <c r="Q40" s="141"/>
      <c r="R40" s="142"/>
      <c r="S40" s="142"/>
      <c r="T40" s="142"/>
      <c r="U40" s="142"/>
      <c r="V40" s="179"/>
      <c r="W40" s="142"/>
      <c r="X40" s="141"/>
      <c r="Y40" s="140"/>
      <c r="Z40" s="141"/>
      <c r="AA40" s="141"/>
      <c r="AB40" s="141"/>
      <c r="AC40" s="141"/>
      <c r="AD40" s="141"/>
      <c r="AE40" s="141"/>
      <c r="AF40" s="142"/>
      <c r="AG40" s="142"/>
      <c r="AH40" s="142"/>
      <c r="AI40" s="142"/>
      <c r="AJ40" s="179"/>
      <c r="AK40" s="142"/>
      <c r="AL40" s="141"/>
      <c r="AM40" s="140"/>
      <c r="AN40" s="141"/>
      <c r="AO40" s="141"/>
      <c r="AP40" s="141"/>
      <c r="AQ40" s="141"/>
      <c r="AR40" s="141"/>
      <c r="AS40" s="141"/>
      <c r="AT40" s="142"/>
      <c r="AU40" s="142"/>
      <c r="AV40" s="142"/>
      <c r="AW40" s="142"/>
      <c r="AX40" s="179"/>
      <c r="AY40" s="142"/>
      <c r="AZ40" s="141">
        <v>6</v>
      </c>
      <c r="BA40" s="140">
        <v>0</v>
      </c>
      <c r="BB40" s="141">
        <v>0</v>
      </c>
      <c r="BC40" s="141">
        <v>0</v>
      </c>
      <c r="BD40" s="141">
        <v>0</v>
      </c>
      <c r="BE40" s="141">
        <v>0</v>
      </c>
      <c r="BF40" s="141">
        <v>0</v>
      </c>
      <c r="BG40" s="141">
        <v>0</v>
      </c>
      <c r="BH40" s="142">
        <v>0</v>
      </c>
      <c r="BI40" s="142">
        <v>0</v>
      </c>
      <c r="BJ40" s="142">
        <v>0</v>
      </c>
      <c r="BK40" s="142">
        <v>0</v>
      </c>
      <c r="BL40" s="142">
        <v>0</v>
      </c>
      <c r="BM40" s="142">
        <v>0</v>
      </c>
      <c r="BN40" s="141"/>
      <c r="BO40" s="140"/>
      <c r="BP40" s="141"/>
      <c r="BQ40" s="141"/>
      <c r="BR40" s="141"/>
      <c r="BS40" s="141"/>
      <c r="BT40" s="141"/>
      <c r="BU40" s="141"/>
      <c r="BV40" s="142"/>
      <c r="BW40" s="142"/>
      <c r="BX40" s="142"/>
      <c r="BY40" s="142"/>
      <c r="BZ40" s="179"/>
      <c r="CA40" s="142"/>
    </row>
    <row r="41" spans="1:79" ht="16.5" customHeight="1">
      <c r="A41" s="222"/>
      <c r="B41" s="220" t="s">
        <v>266</v>
      </c>
      <c r="C41" s="220"/>
      <c r="D41" s="220"/>
      <c r="E41" s="136" t="s">
        <v>267</v>
      </c>
      <c r="F41" s="136" t="s">
        <v>568</v>
      </c>
      <c r="G41" s="139">
        <v>2025</v>
      </c>
      <c r="H41" s="136" t="s">
        <v>210</v>
      </c>
      <c r="I41" s="221">
        <v>14071</v>
      </c>
      <c r="J41" s="221"/>
      <c r="K41" s="140">
        <v>132921.54999999999</v>
      </c>
      <c r="L41" s="141">
        <v>0</v>
      </c>
      <c r="M41" s="141">
        <v>7975293</v>
      </c>
      <c r="N41" s="141">
        <v>4317</v>
      </c>
      <c r="O41" s="141">
        <v>4393</v>
      </c>
      <c r="P41" s="141">
        <v>2563</v>
      </c>
      <c r="Q41" s="141">
        <v>1754</v>
      </c>
      <c r="R41" s="142">
        <v>3.2000000000000001E-2</v>
      </c>
      <c r="S41" s="142">
        <v>8.0000000000000002E-3</v>
      </c>
      <c r="T41" s="142">
        <v>24.773</v>
      </c>
      <c r="U41" s="142">
        <v>6.2480000000000002</v>
      </c>
      <c r="V41" s="179">
        <v>31.02</v>
      </c>
      <c r="W41" s="142">
        <v>0.04</v>
      </c>
      <c r="X41" s="141"/>
      <c r="Y41" s="140"/>
      <c r="Z41" s="141"/>
      <c r="AA41" s="141"/>
      <c r="AB41" s="141"/>
      <c r="AC41" s="141"/>
      <c r="AD41" s="141"/>
      <c r="AE41" s="141"/>
      <c r="AF41" s="142"/>
      <c r="AG41" s="142"/>
      <c r="AH41" s="142"/>
      <c r="AI41" s="142"/>
      <c r="AJ41" s="179"/>
      <c r="AK41" s="142"/>
      <c r="AL41" s="141">
        <v>6</v>
      </c>
      <c r="AM41" s="140">
        <v>9.8670000000000009</v>
      </c>
      <c r="AN41" s="141">
        <v>12</v>
      </c>
      <c r="AO41" s="141">
        <v>592</v>
      </c>
      <c r="AP41" s="141">
        <v>592</v>
      </c>
      <c r="AQ41" s="141">
        <v>592</v>
      </c>
      <c r="AR41" s="141">
        <v>0</v>
      </c>
      <c r="AS41" s="141">
        <v>0</v>
      </c>
      <c r="AT41" s="142">
        <v>2.5939999999999999</v>
      </c>
      <c r="AU41" s="142">
        <v>0.67400000000000004</v>
      </c>
      <c r="AV41" s="142">
        <v>2023.2370000000001</v>
      </c>
      <c r="AW41" s="142">
        <v>526.04200000000003</v>
      </c>
      <c r="AX41" s="179">
        <v>2549.279</v>
      </c>
      <c r="AY41" s="142">
        <v>3.2679999999999998</v>
      </c>
      <c r="AZ41" s="141">
        <v>4</v>
      </c>
      <c r="BA41" s="140">
        <v>0</v>
      </c>
      <c r="BB41" s="141">
        <v>0</v>
      </c>
      <c r="BC41" s="141">
        <v>0</v>
      </c>
      <c r="BD41" s="141">
        <v>0</v>
      </c>
      <c r="BE41" s="141">
        <v>0</v>
      </c>
      <c r="BF41" s="141">
        <v>0</v>
      </c>
      <c r="BG41" s="141">
        <v>0</v>
      </c>
      <c r="BH41" s="142">
        <v>0</v>
      </c>
      <c r="BI41" s="142">
        <v>0</v>
      </c>
      <c r="BJ41" s="142">
        <v>0</v>
      </c>
      <c r="BK41" s="142">
        <v>0</v>
      </c>
      <c r="BL41" s="142">
        <v>0</v>
      </c>
      <c r="BM41" s="142">
        <v>0</v>
      </c>
      <c r="BN41" s="141">
        <v>5</v>
      </c>
      <c r="BO41" s="140">
        <v>3.5830000000000002</v>
      </c>
      <c r="BP41" s="141">
        <v>7</v>
      </c>
      <c r="BQ41" s="141">
        <v>215</v>
      </c>
      <c r="BR41" s="141">
        <v>215</v>
      </c>
      <c r="BS41" s="141">
        <v>215</v>
      </c>
      <c r="BT41" s="141">
        <v>0</v>
      </c>
      <c r="BU41" s="141">
        <v>0</v>
      </c>
      <c r="BV41" s="142">
        <v>0</v>
      </c>
      <c r="BW41" s="142">
        <v>0</v>
      </c>
      <c r="BX41" s="142">
        <v>0</v>
      </c>
      <c r="BY41" s="142">
        <v>0</v>
      </c>
      <c r="BZ41" s="179">
        <v>0</v>
      </c>
      <c r="CA41" s="142">
        <v>0</v>
      </c>
    </row>
    <row r="42" spans="1:79" ht="16.5" customHeight="1">
      <c r="A42" s="222"/>
      <c r="B42" s="220" t="s">
        <v>270</v>
      </c>
      <c r="C42" s="220"/>
      <c r="D42" s="220"/>
      <c r="E42" s="136" t="s">
        <v>271</v>
      </c>
      <c r="F42" s="136" t="s">
        <v>568</v>
      </c>
      <c r="G42" s="139">
        <v>2025</v>
      </c>
      <c r="H42" s="136" t="s">
        <v>210</v>
      </c>
      <c r="I42" s="221">
        <v>61693</v>
      </c>
      <c r="J42" s="221"/>
      <c r="K42" s="140">
        <v>890943.51699999999</v>
      </c>
      <c r="L42" s="141">
        <v>0</v>
      </c>
      <c r="M42" s="141">
        <v>53456611</v>
      </c>
      <c r="N42" s="141">
        <v>65711</v>
      </c>
      <c r="O42" s="141">
        <v>67162</v>
      </c>
      <c r="P42" s="141">
        <v>28874</v>
      </c>
      <c r="Q42" s="141">
        <v>36838</v>
      </c>
      <c r="R42" s="142">
        <v>0.41099999999999998</v>
      </c>
      <c r="S42" s="142">
        <v>0.107</v>
      </c>
      <c r="T42" s="142">
        <v>320.23899999999998</v>
      </c>
      <c r="U42" s="142">
        <v>83.489000000000004</v>
      </c>
      <c r="V42" s="179">
        <v>403.72800000000001</v>
      </c>
      <c r="W42" s="142">
        <v>0.51800000000000002</v>
      </c>
      <c r="X42" s="141"/>
      <c r="Y42" s="140"/>
      <c r="Z42" s="141"/>
      <c r="AA42" s="141"/>
      <c r="AB42" s="141"/>
      <c r="AC42" s="141"/>
      <c r="AD42" s="141"/>
      <c r="AE42" s="141"/>
      <c r="AF42" s="142"/>
      <c r="AG42" s="142"/>
      <c r="AH42" s="142"/>
      <c r="AI42" s="142"/>
      <c r="AJ42" s="179"/>
      <c r="AK42" s="142"/>
      <c r="AL42" s="141"/>
      <c r="AM42" s="140"/>
      <c r="AN42" s="141"/>
      <c r="AO42" s="141"/>
      <c r="AP42" s="141"/>
      <c r="AQ42" s="141"/>
      <c r="AR42" s="141"/>
      <c r="AS42" s="141"/>
      <c r="AT42" s="142"/>
      <c r="AU42" s="142"/>
      <c r="AV42" s="142"/>
      <c r="AW42" s="142"/>
      <c r="AX42" s="179"/>
      <c r="AY42" s="142"/>
      <c r="AZ42" s="141"/>
      <c r="BA42" s="140"/>
      <c r="BB42" s="141"/>
      <c r="BC42" s="141"/>
      <c r="BD42" s="141"/>
      <c r="BE42" s="141"/>
      <c r="BF42" s="141"/>
      <c r="BG42" s="141"/>
      <c r="BH42" s="142"/>
      <c r="BI42" s="142"/>
      <c r="BJ42" s="142"/>
      <c r="BK42" s="142"/>
      <c r="BL42" s="142"/>
      <c r="BM42" s="142"/>
      <c r="BN42" s="141"/>
      <c r="BO42" s="140"/>
      <c r="BP42" s="141"/>
      <c r="BQ42" s="141"/>
      <c r="BR42" s="141"/>
      <c r="BS42" s="141"/>
      <c r="BT42" s="141"/>
      <c r="BU42" s="141"/>
      <c r="BV42" s="142"/>
      <c r="BW42" s="142"/>
      <c r="BX42" s="142"/>
      <c r="BY42" s="142"/>
      <c r="BZ42" s="179"/>
      <c r="CA42" s="142"/>
    </row>
    <row r="43" spans="1:79" ht="16.5" customHeight="1">
      <c r="A43" s="222"/>
      <c r="B43" s="220" t="s">
        <v>272</v>
      </c>
      <c r="C43" s="220"/>
      <c r="D43" s="220"/>
      <c r="E43" s="136" t="s">
        <v>273</v>
      </c>
      <c r="F43" s="136" t="s">
        <v>568</v>
      </c>
      <c r="G43" s="139">
        <v>2025</v>
      </c>
      <c r="H43" s="136" t="s">
        <v>210</v>
      </c>
      <c r="I43" s="221">
        <v>2893</v>
      </c>
      <c r="J43" s="221"/>
      <c r="K43" s="140">
        <v>120465.45</v>
      </c>
      <c r="L43" s="141">
        <v>0</v>
      </c>
      <c r="M43" s="141">
        <v>7227927</v>
      </c>
      <c r="N43" s="141">
        <v>565248</v>
      </c>
      <c r="O43" s="141">
        <v>567397</v>
      </c>
      <c r="P43" s="141">
        <v>277770</v>
      </c>
      <c r="Q43" s="141">
        <v>287479</v>
      </c>
      <c r="R43" s="142">
        <v>6.27</v>
      </c>
      <c r="S43" s="142">
        <v>0</v>
      </c>
      <c r="T43" s="142">
        <v>4890.7190000000001</v>
      </c>
      <c r="U43" s="142">
        <v>0</v>
      </c>
      <c r="V43" s="179">
        <v>4890.7190000000001</v>
      </c>
      <c r="W43" s="142">
        <v>6.27</v>
      </c>
      <c r="X43" s="141"/>
      <c r="Y43" s="140"/>
      <c r="Z43" s="141"/>
      <c r="AA43" s="141"/>
      <c r="AB43" s="141"/>
      <c r="AC43" s="141"/>
      <c r="AD43" s="141"/>
      <c r="AE43" s="141"/>
      <c r="AF43" s="142"/>
      <c r="AG43" s="142"/>
      <c r="AH43" s="142"/>
      <c r="AI43" s="142"/>
      <c r="AJ43" s="179"/>
      <c r="AK43" s="142"/>
      <c r="AL43" s="141">
        <v>43</v>
      </c>
      <c r="AM43" s="140">
        <v>42.55</v>
      </c>
      <c r="AN43" s="141">
        <v>66</v>
      </c>
      <c r="AO43" s="141">
        <v>2553</v>
      </c>
      <c r="AP43" s="141">
        <v>2553</v>
      </c>
      <c r="AQ43" s="141">
        <v>2553</v>
      </c>
      <c r="AR43" s="141">
        <v>0</v>
      </c>
      <c r="AS43" s="141">
        <v>0</v>
      </c>
      <c r="AT43" s="142">
        <v>7.133</v>
      </c>
      <c r="AU43" s="142">
        <v>0</v>
      </c>
      <c r="AV43" s="142">
        <v>5563.5479999999998</v>
      </c>
      <c r="AW43" s="142">
        <v>0</v>
      </c>
      <c r="AX43" s="179">
        <v>5563.5479999999998</v>
      </c>
      <c r="AY43" s="142">
        <v>7.133</v>
      </c>
      <c r="AZ43" s="141"/>
      <c r="BA43" s="140"/>
      <c r="BB43" s="141"/>
      <c r="BC43" s="141"/>
      <c r="BD43" s="141"/>
      <c r="BE43" s="141"/>
      <c r="BF43" s="141"/>
      <c r="BG43" s="141"/>
      <c r="BH43" s="142"/>
      <c r="BI43" s="142"/>
      <c r="BJ43" s="142"/>
      <c r="BK43" s="142"/>
      <c r="BL43" s="142"/>
      <c r="BM43" s="142"/>
      <c r="BN43" s="141">
        <v>51</v>
      </c>
      <c r="BO43" s="140">
        <v>38.133000000000003</v>
      </c>
      <c r="BP43" s="141">
        <v>72</v>
      </c>
      <c r="BQ43" s="141">
        <v>2288</v>
      </c>
      <c r="BR43" s="141">
        <v>2288</v>
      </c>
      <c r="BS43" s="141">
        <v>2288</v>
      </c>
      <c r="BT43" s="141">
        <v>0</v>
      </c>
      <c r="BU43" s="141">
        <v>0</v>
      </c>
      <c r="BV43" s="142">
        <v>0</v>
      </c>
      <c r="BW43" s="142">
        <v>0</v>
      </c>
      <c r="BX43" s="142">
        <v>0</v>
      </c>
      <c r="BY43" s="142">
        <v>0</v>
      </c>
      <c r="BZ43" s="179">
        <v>0</v>
      </c>
      <c r="CA43" s="142">
        <v>0</v>
      </c>
    </row>
    <row r="44" spans="1:79" ht="16.5" customHeight="1">
      <c r="A44" s="222"/>
      <c r="B44" s="220" t="s">
        <v>575</v>
      </c>
      <c r="C44" s="220"/>
      <c r="D44" s="220"/>
      <c r="E44" s="136" t="s">
        <v>576</v>
      </c>
      <c r="F44" s="136" t="s">
        <v>568</v>
      </c>
      <c r="G44" s="139">
        <v>2025</v>
      </c>
      <c r="H44" s="136" t="s">
        <v>210</v>
      </c>
      <c r="I44" s="221"/>
      <c r="J44" s="221"/>
      <c r="K44" s="140"/>
      <c r="L44" s="141"/>
      <c r="M44" s="141"/>
      <c r="N44" s="141"/>
      <c r="O44" s="141"/>
      <c r="P44" s="141"/>
      <c r="Q44" s="141"/>
      <c r="R44" s="142"/>
      <c r="S44" s="142"/>
      <c r="T44" s="142"/>
      <c r="U44" s="142"/>
      <c r="V44" s="179"/>
      <c r="W44" s="142"/>
      <c r="X44" s="141"/>
      <c r="Y44" s="140"/>
      <c r="Z44" s="141"/>
      <c r="AA44" s="141"/>
      <c r="AB44" s="141"/>
      <c r="AC44" s="141"/>
      <c r="AD44" s="141"/>
      <c r="AE44" s="141"/>
      <c r="AF44" s="142"/>
      <c r="AG44" s="142"/>
      <c r="AH44" s="142"/>
      <c r="AI44" s="142"/>
      <c r="AJ44" s="179"/>
      <c r="AK44" s="142"/>
      <c r="AL44" s="141"/>
      <c r="AM44" s="140"/>
      <c r="AN44" s="141"/>
      <c r="AO44" s="141"/>
      <c r="AP44" s="141"/>
      <c r="AQ44" s="141"/>
      <c r="AR44" s="141"/>
      <c r="AS44" s="141"/>
      <c r="AT44" s="142"/>
      <c r="AU44" s="142"/>
      <c r="AV44" s="142"/>
      <c r="AW44" s="142"/>
      <c r="AX44" s="179"/>
      <c r="AY44" s="142"/>
      <c r="AZ44" s="141">
        <v>31</v>
      </c>
      <c r="BA44" s="140">
        <v>0</v>
      </c>
      <c r="BB44" s="141">
        <v>0</v>
      </c>
      <c r="BC44" s="141">
        <v>0</v>
      </c>
      <c r="BD44" s="141">
        <v>0</v>
      </c>
      <c r="BE44" s="141">
        <v>0</v>
      </c>
      <c r="BF44" s="141">
        <v>0</v>
      </c>
      <c r="BG44" s="141">
        <v>0</v>
      </c>
      <c r="BH44" s="142">
        <v>0</v>
      </c>
      <c r="BI44" s="142">
        <v>0</v>
      </c>
      <c r="BJ44" s="142">
        <v>0</v>
      </c>
      <c r="BK44" s="142">
        <v>0</v>
      </c>
      <c r="BL44" s="142">
        <v>0</v>
      </c>
      <c r="BM44" s="142">
        <v>0</v>
      </c>
      <c r="BN44" s="141"/>
      <c r="BO44" s="140"/>
      <c r="BP44" s="141"/>
      <c r="BQ44" s="141"/>
      <c r="BR44" s="141"/>
      <c r="BS44" s="141"/>
      <c r="BT44" s="141"/>
      <c r="BU44" s="141"/>
      <c r="BV44" s="142"/>
      <c r="BW44" s="142"/>
      <c r="BX44" s="142"/>
      <c r="BY44" s="142"/>
      <c r="BZ44" s="179"/>
      <c r="CA44" s="142"/>
    </row>
    <row r="45" spans="1:79" ht="16.5" customHeight="1">
      <c r="A45" s="222"/>
      <c r="B45" s="220" t="s">
        <v>274</v>
      </c>
      <c r="C45" s="220"/>
      <c r="D45" s="220"/>
      <c r="E45" s="136" t="s">
        <v>275</v>
      </c>
      <c r="F45" s="136" t="s">
        <v>568</v>
      </c>
      <c r="G45" s="139">
        <v>2025</v>
      </c>
      <c r="H45" s="136" t="s">
        <v>210</v>
      </c>
      <c r="I45" s="221"/>
      <c r="J45" s="221"/>
      <c r="K45" s="140"/>
      <c r="L45" s="141"/>
      <c r="M45" s="141"/>
      <c r="N45" s="141"/>
      <c r="O45" s="141"/>
      <c r="P45" s="141"/>
      <c r="Q45" s="141"/>
      <c r="R45" s="142"/>
      <c r="S45" s="142"/>
      <c r="T45" s="142"/>
      <c r="U45" s="142"/>
      <c r="V45" s="179"/>
      <c r="W45" s="142"/>
      <c r="X45" s="141"/>
      <c r="Y45" s="140"/>
      <c r="Z45" s="141"/>
      <c r="AA45" s="141"/>
      <c r="AB45" s="141"/>
      <c r="AC45" s="141"/>
      <c r="AD45" s="141"/>
      <c r="AE45" s="141"/>
      <c r="AF45" s="142"/>
      <c r="AG45" s="142"/>
      <c r="AH45" s="142"/>
      <c r="AI45" s="142"/>
      <c r="AJ45" s="179"/>
      <c r="AK45" s="142"/>
      <c r="AL45" s="141"/>
      <c r="AM45" s="140"/>
      <c r="AN45" s="141"/>
      <c r="AO45" s="141"/>
      <c r="AP45" s="141"/>
      <c r="AQ45" s="141"/>
      <c r="AR45" s="141"/>
      <c r="AS45" s="141"/>
      <c r="AT45" s="142"/>
      <c r="AU45" s="142"/>
      <c r="AV45" s="142"/>
      <c r="AW45" s="142"/>
      <c r="AX45" s="179"/>
      <c r="AY45" s="142"/>
      <c r="AZ45" s="141">
        <v>2</v>
      </c>
      <c r="BA45" s="140">
        <v>0</v>
      </c>
      <c r="BB45" s="141">
        <v>0</v>
      </c>
      <c r="BC45" s="141">
        <v>0</v>
      </c>
      <c r="BD45" s="141">
        <v>0</v>
      </c>
      <c r="BE45" s="141">
        <v>0</v>
      </c>
      <c r="BF45" s="141">
        <v>0</v>
      </c>
      <c r="BG45" s="141">
        <v>0</v>
      </c>
      <c r="BH45" s="142">
        <v>0</v>
      </c>
      <c r="BI45" s="142">
        <v>0</v>
      </c>
      <c r="BJ45" s="142">
        <v>0</v>
      </c>
      <c r="BK45" s="142">
        <v>0</v>
      </c>
      <c r="BL45" s="142">
        <v>0</v>
      </c>
      <c r="BM45" s="142">
        <v>0</v>
      </c>
      <c r="BN45" s="141"/>
      <c r="BO45" s="140"/>
      <c r="BP45" s="141"/>
      <c r="BQ45" s="141"/>
      <c r="BR45" s="141"/>
      <c r="BS45" s="141"/>
      <c r="BT45" s="141"/>
      <c r="BU45" s="141"/>
      <c r="BV45" s="142"/>
      <c r="BW45" s="142"/>
      <c r="BX45" s="142"/>
      <c r="BY45" s="142"/>
      <c r="BZ45" s="179"/>
      <c r="CA45" s="142"/>
    </row>
    <row r="46" spans="1:79" ht="16.5" customHeight="1">
      <c r="A46" s="222"/>
      <c r="B46" s="220" t="s">
        <v>276</v>
      </c>
      <c r="C46" s="220"/>
      <c r="D46" s="220"/>
      <c r="E46" s="136" t="s">
        <v>277</v>
      </c>
      <c r="F46" s="136" t="s">
        <v>568</v>
      </c>
      <c r="G46" s="139">
        <v>2025</v>
      </c>
      <c r="H46" s="136" t="s">
        <v>210</v>
      </c>
      <c r="I46" s="221">
        <v>13</v>
      </c>
      <c r="J46" s="221"/>
      <c r="K46" s="140">
        <v>978.81700000000001</v>
      </c>
      <c r="L46" s="141">
        <v>0</v>
      </c>
      <c r="M46" s="141">
        <v>58729</v>
      </c>
      <c r="N46" s="141">
        <v>365</v>
      </c>
      <c r="O46" s="141">
        <v>371</v>
      </c>
      <c r="P46" s="141">
        <v>271</v>
      </c>
      <c r="Q46" s="141">
        <v>94</v>
      </c>
      <c r="R46" s="142">
        <v>2E-3</v>
      </c>
      <c r="S46" s="142">
        <v>0</v>
      </c>
      <c r="T46" s="142">
        <v>1.895</v>
      </c>
      <c r="U46" s="142">
        <v>0</v>
      </c>
      <c r="V46" s="179">
        <v>1.895</v>
      </c>
      <c r="W46" s="142">
        <v>2E-3</v>
      </c>
      <c r="X46" s="141"/>
      <c r="Y46" s="140"/>
      <c r="Z46" s="141"/>
      <c r="AA46" s="141"/>
      <c r="AB46" s="141"/>
      <c r="AC46" s="141"/>
      <c r="AD46" s="141"/>
      <c r="AE46" s="141"/>
      <c r="AF46" s="142"/>
      <c r="AG46" s="142"/>
      <c r="AH46" s="142"/>
      <c r="AI46" s="142"/>
      <c r="AJ46" s="179"/>
      <c r="AK46" s="142"/>
      <c r="AL46" s="141">
        <v>1</v>
      </c>
      <c r="AM46" s="140">
        <v>8.3000000000000004E-2</v>
      </c>
      <c r="AN46" s="141">
        <v>1</v>
      </c>
      <c r="AO46" s="141">
        <v>5</v>
      </c>
      <c r="AP46" s="141">
        <v>5</v>
      </c>
      <c r="AQ46" s="141">
        <v>5</v>
      </c>
      <c r="AR46" s="141">
        <v>0</v>
      </c>
      <c r="AS46" s="141">
        <v>0</v>
      </c>
      <c r="AT46" s="142">
        <v>3.5000000000000003E-2</v>
      </c>
      <c r="AU46" s="142">
        <v>0</v>
      </c>
      <c r="AV46" s="142">
        <v>27.331</v>
      </c>
      <c r="AW46" s="142">
        <v>0</v>
      </c>
      <c r="AX46" s="179">
        <v>27.331</v>
      </c>
      <c r="AY46" s="142">
        <v>3.5000000000000003E-2</v>
      </c>
      <c r="AZ46" s="141"/>
      <c r="BA46" s="140"/>
      <c r="BB46" s="141"/>
      <c r="BC46" s="141"/>
      <c r="BD46" s="141"/>
      <c r="BE46" s="141"/>
      <c r="BF46" s="141"/>
      <c r="BG46" s="141"/>
      <c r="BH46" s="142"/>
      <c r="BI46" s="142"/>
      <c r="BJ46" s="142"/>
      <c r="BK46" s="142"/>
      <c r="BL46" s="142"/>
      <c r="BM46" s="142"/>
      <c r="BN46" s="141">
        <v>1</v>
      </c>
      <c r="BO46" s="140">
        <v>1.1499999999999999</v>
      </c>
      <c r="BP46" s="141">
        <v>2</v>
      </c>
      <c r="BQ46" s="141">
        <v>69</v>
      </c>
      <c r="BR46" s="141">
        <v>69</v>
      </c>
      <c r="BS46" s="141">
        <v>69</v>
      </c>
      <c r="BT46" s="141">
        <v>0</v>
      </c>
      <c r="BU46" s="141">
        <v>0</v>
      </c>
      <c r="BV46" s="142">
        <v>0</v>
      </c>
      <c r="BW46" s="142">
        <v>0</v>
      </c>
      <c r="BX46" s="142">
        <v>0</v>
      </c>
      <c r="BY46" s="142">
        <v>0</v>
      </c>
      <c r="BZ46" s="179">
        <v>0</v>
      </c>
      <c r="CA46" s="142">
        <v>0</v>
      </c>
    </row>
    <row r="47" spans="1:79" ht="16.5" customHeight="1">
      <c r="A47" s="222"/>
      <c r="B47" s="220" t="s">
        <v>278</v>
      </c>
      <c r="C47" s="220"/>
      <c r="D47" s="220"/>
      <c r="E47" s="136" t="s">
        <v>279</v>
      </c>
      <c r="F47" s="136" t="s">
        <v>568</v>
      </c>
      <c r="G47" s="139">
        <v>2025</v>
      </c>
      <c r="H47" s="136" t="s">
        <v>210</v>
      </c>
      <c r="I47" s="221">
        <v>287</v>
      </c>
      <c r="J47" s="221"/>
      <c r="K47" s="140">
        <v>39390.9</v>
      </c>
      <c r="L47" s="141">
        <v>0</v>
      </c>
      <c r="M47" s="141">
        <v>2363454</v>
      </c>
      <c r="N47" s="141">
        <v>21932</v>
      </c>
      <c r="O47" s="141">
        <v>22101</v>
      </c>
      <c r="P47" s="141">
        <v>4958</v>
      </c>
      <c r="Q47" s="141">
        <v>16975</v>
      </c>
      <c r="R47" s="142">
        <v>0.14499999999999999</v>
      </c>
      <c r="S47" s="142">
        <v>0</v>
      </c>
      <c r="T47" s="142">
        <v>113.304</v>
      </c>
      <c r="U47" s="142">
        <v>0</v>
      </c>
      <c r="V47" s="179">
        <v>113.304</v>
      </c>
      <c r="W47" s="142">
        <v>0.14499999999999999</v>
      </c>
      <c r="X47" s="141"/>
      <c r="Y47" s="140"/>
      <c r="Z47" s="141"/>
      <c r="AA47" s="141"/>
      <c r="AB47" s="141"/>
      <c r="AC47" s="141"/>
      <c r="AD47" s="141"/>
      <c r="AE47" s="141"/>
      <c r="AF47" s="142"/>
      <c r="AG47" s="142"/>
      <c r="AH47" s="142"/>
      <c r="AI47" s="142"/>
      <c r="AJ47" s="179"/>
      <c r="AK47" s="142"/>
      <c r="AL47" s="141">
        <v>13</v>
      </c>
      <c r="AM47" s="140">
        <v>10.1</v>
      </c>
      <c r="AN47" s="141">
        <v>17</v>
      </c>
      <c r="AO47" s="141">
        <v>606</v>
      </c>
      <c r="AP47" s="141">
        <v>606</v>
      </c>
      <c r="AQ47" s="141">
        <v>606</v>
      </c>
      <c r="AR47" s="141">
        <v>0</v>
      </c>
      <c r="AS47" s="141">
        <v>0</v>
      </c>
      <c r="AT47" s="142">
        <v>2.4889999999999999</v>
      </c>
      <c r="AU47" s="142">
        <v>0</v>
      </c>
      <c r="AV47" s="142">
        <v>1941.635</v>
      </c>
      <c r="AW47" s="142">
        <v>0</v>
      </c>
      <c r="AX47" s="179">
        <v>1941.635</v>
      </c>
      <c r="AY47" s="142">
        <v>2.4889999999999999</v>
      </c>
      <c r="AZ47" s="141"/>
      <c r="BA47" s="140"/>
      <c r="BB47" s="141"/>
      <c r="BC47" s="141"/>
      <c r="BD47" s="141"/>
      <c r="BE47" s="141"/>
      <c r="BF47" s="141"/>
      <c r="BG47" s="141"/>
      <c r="BH47" s="142"/>
      <c r="BI47" s="142"/>
      <c r="BJ47" s="142"/>
      <c r="BK47" s="142"/>
      <c r="BL47" s="142"/>
      <c r="BM47" s="142"/>
      <c r="BN47" s="141">
        <v>30</v>
      </c>
      <c r="BO47" s="140">
        <v>29.917000000000002</v>
      </c>
      <c r="BP47" s="141">
        <v>47</v>
      </c>
      <c r="BQ47" s="141">
        <v>1795</v>
      </c>
      <c r="BR47" s="141">
        <v>1795</v>
      </c>
      <c r="BS47" s="141">
        <v>1795</v>
      </c>
      <c r="BT47" s="141">
        <v>0</v>
      </c>
      <c r="BU47" s="141">
        <v>0</v>
      </c>
      <c r="BV47" s="142">
        <v>0</v>
      </c>
      <c r="BW47" s="142">
        <v>0</v>
      </c>
      <c r="BX47" s="142">
        <v>0</v>
      </c>
      <c r="BY47" s="142">
        <v>0</v>
      </c>
      <c r="BZ47" s="179">
        <v>0</v>
      </c>
      <c r="CA47" s="142">
        <v>0</v>
      </c>
    </row>
    <row r="48" spans="1:79" ht="16.5" customHeight="1">
      <c r="A48" s="222"/>
      <c r="B48" s="220" t="s">
        <v>282</v>
      </c>
      <c r="C48" s="220"/>
      <c r="D48" s="220"/>
      <c r="E48" s="136" t="s">
        <v>283</v>
      </c>
      <c r="F48" s="136" t="s">
        <v>568</v>
      </c>
      <c r="G48" s="139">
        <v>2025</v>
      </c>
      <c r="H48" s="136" t="s">
        <v>210</v>
      </c>
      <c r="I48" s="221"/>
      <c r="J48" s="221"/>
      <c r="K48" s="140"/>
      <c r="L48" s="141"/>
      <c r="M48" s="141"/>
      <c r="N48" s="141"/>
      <c r="O48" s="141"/>
      <c r="P48" s="141"/>
      <c r="Q48" s="141"/>
      <c r="R48" s="142"/>
      <c r="S48" s="142"/>
      <c r="T48" s="142"/>
      <c r="U48" s="142"/>
      <c r="V48" s="179"/>
      <c r="W48" s="142"/>
      <c r="X48" s="141"/>
      <c r="Y48" s="140"/>
      <c r="Z48" s="141"/>
      <c r="AA48" s="141"/>
      <c r="AB48" s="141"/>
      <c r="AC48" s="141"/>
      <c r="AD48" s="141"/>
      <c r="AE48" s="141"/>
      <c r="AF48" s="142"/>
      <c r="AG48" s="142"/>
      <c r="AH48" s="142"/>
      <c r="AI48" s="142"/>
      <c r="AJ48" s="179"/>
      <c r="AK48" s="142"/>
      <c r="AL48" s="141">
        <v>5</v>
      </c>
      <c r="AM48" s="140">
        <v>9.4</v>
      </c>
      <c r="AN48" s="141">
        <v>12</v>
      </c>
      <c r="AO48" s="141">
        <v>564</v>
      </c>
      <c r="AP48" s="141">
        <v>564</v>
      </c>
      <c r="AQ48" s="141">
        <v>720</v>
      </c>
      <c r="AR48" s="141">
        <v>0</v>
      </c>
      <c r="AS48" s="141">
        <v>0</v>
      </c>
      <c r="AT48" s="142">
        <v>19.242000000000001</v>
      </c>
      <c r="AU48" s="142">
        <v>0</v>
      </c>
      <c r="AV48" s="142">
        <v>15008.298000000001</v>
      </c>
      <c r="AW48" s="142">
        <v>0</v>
      </c>
      <c r="AX48" s="179">
        <v>15008.298000000001</v>
      </c>
      <c r="AY48" s="142">
        <v>19.242000000000001</v>
      </c>
      <c r="AZ48" s="141"/>
      <c r="BA48" s="140"/>
      <c r="BB48" s="141"/>
      <c r="BC48" s="141"/>
      <c r="BD48" s="141"/>
      <c r="BE48" s="141"/>
      <c r="BF48" s="141"/>
      <c r="BG48" s="141"/>
      <c r="BH48" s="142"/>
      <c r="BI48" s="142"/>
      <c r="BJ48" s="142"/>
      <c r="BK48" s="142"/>
      <c r="BL48" s="142"/>
      <c r="BM48" s="142"/>
      <c r="BN48" s="141">
        <v>4</v>
      </c>
      <c r="BO48" s="140">
        <v>0.4</v>
      </c>
      <c r="BP48" s="141">
        <v>4</v>
      </c>
      <c r="BQ48" s="141">
        <v>24</v>
      </c>
      <c r="BR48" s="141">
        <v>24</v>
      </c>
      <c r="BS48" s="141">
        <v>240</v>
      </c>
      <c r="BT48" s="141">
        <v>0</v>
      </c>
      <c r="BU48" s="141">
        <v>0</v>
      </c>
      <c r="BV48" s="142">
        <v>0</v>
      </c>
      <c r="BW48" s="142">
        <v>0</v>
      </c>
      <c r="BX48" s="142">
        <v>0</v>
      </c>
      <c r="BY48" s="142">
        <v>0</v>
      </c>
      <c r="BZ48" s="179">
        <v>0</v>
      </c>
      <c r="CA48" s="142">
        <v>0</v>
      </c>
    </row>
    <row r="49" spans="1:79" ht="16.5" customHeight="1">
      <c r="A49" s="222"/>
      <c r="B49" s="220" t="s">
        <v>286</v>
      </c>
      <c r="C49" s="220"/>
      <c r="D49" s="220"/>
      <c r="E49" s="136" t="s">
        <v>287</v>
      </c>
      <c r="F49" s="136" t="s">
        <v>568</v>
      </c>
      <c r="G49" s="139">
        <v>2025</v>
      </c>
      <c r="H49" s="136" t="s">
        <v>210</v>
      </c>
      <c r="I49" s="221">
        <v>20</v>
      </c>
      <c r="J49" s="221"/>
      <c r="K49" s="140">
        <v>681.28300000000002</v>
      </c>
      <c r="L49" s="141">
        <v>0</v>
      </c>
      <c r="M49" s="141">
        <v>40877</v>
      </c>
      <c r="N49" s="141">
        <v>524</v>
      </c>
      <c r="O49" s="141">
        <v>537</v>
      </c>
      <c r="P49" s="141">
        <v>44</v>
      </c>
      <c r="Q49" s="141">
        <v>481</v>
      </c>
      <c r="R49" s="142">
        <v>4.0000000000000001E-3</v>
      </c>
      <c r="S49" s="142">
        <v>0</v>
      </c>
      <c r="T49" s="142">
        <v>3.4550000000000001</v>
      </c>
      <c r="U49" s="142">
        <v>0</v>
      </c>
      <c r="V49" s="179">
        <v>3.4550000000000001</v>
      </c>
      <c r="W49" s="142">
        <v>4.0000000000000001E-3</v>
      </c>
      <c r="X49" s="141"/>
      <c r="Y49" s="140"/>
      <c r="Z49" s="141"/>
      <c r="AA49" s="141"/>
      <c r="AB49" s="141"/>
      <c r="AC49" s="141"/>
      <c r="AD49" s="141"/>
      <c r="AE49" s="141"/>
      <c r="AF49" s="142"/>
      <c r="AG49" s="142"/>
      <c r="AH49" s="142"/>
      <c r="AI49" s="142"/>
      <c r="AJ49" s="179"/>
      <c r="AK49" s="142"/>
      <c r="AL49" s="141"/>
      <c r="AM49" s="140"/>
      <c r="AN49" s="141"/>
      <c r="AO49" s="141"/>
      <c r="AP49" s="141"/>
      <c r="AQ49" s="141"/>
      <c r="AR49" s="141"/>
      <c r="AS49" s="141"/>
      <c r="AT49" s="142"/>
      <c r="AU49" s="142"/>
      <c r="AV49" s="142"/>
      <c r="AW49" s="142"/>
      <c r="AX49" s="179"/>
      <c r="AY49" s="142"/>
      <c r="AZ49" s="141">
        <v>19</v>
      </c>
      <c r="BA49" s="140">
        <v>0</v>
      </c>
      <c r="BB49" s="141">
        <v>0</v>
      </c>
      <c r="BC49" s="141">
        <v>0</v>
      </c>
      <c r="BD49" s="141">
        <v>0</v>
      </c>
      <c r="BE49" s="141">
        <v>0</v>
      </c>
      <c r="BF49" s="141">
        <v>0</v>
      </c>
      <c r="BG49" s="141">
        <v>0</v>
      </c>
      <c r="BH49" s="142">
        <v>0</v>
      </c>
      <c r="BI49" s="142">
        <v>0</v>
      </c>
      <c r="BJ49" s="142">
        <v>0</v>
      </c>
      <c r="BK49" s="142">
        <v>0</v>
      </c>
      <c r="BL49" s="142">
        <v>0</v>
      </c>
      <c r="BM49" s="142">
        <v>0</v>
      </c>
      <c r="BN49" s="141"/>
      <c r="BO49" s="140"/>
      <c r="BP49" s="141"/>
      <c r="BQ49" s="141"/>
      <c r="BR49" s="141"/>
      <c r="BS49" s="141"/>
      <c r="BT49" s="141"/>
      <c r="BU49" s="141"/>
      <c r="BV49" s="142"/>
      <c r="BW49" s="142"/>
      <c r="BX49" s="142"/>
      <c r="BY49" s="142"/>
      <c r="BZ49" s="179"/>
      <c r="CA49" s="142"/>
    </row>
    <row r="50" spans="1:79" ht="16.5" customHeight="1">
      <c r="A50" s="222"/>
      <c r="B50" s="220" t="s">
        <v>290</v>
      </c>
      <c r="C50" s="220"/>
      <c r="D50" s="220"/>
      <c r="E50" s="136" t="s">
        <v>291</v>
      </c>
      <c r="F50" s="136" t="s">
        <v>568</v>
      </c>
      <c r="G50" s="139">
        <v>2025</v>
      </c>
      <c r="H50" s="136" t="s">
        <v>210</v>
      </c>
      <c r="I50" s="221">
        <v>338</v>
      </c>
      <c r="J50" s="221"/>
      <c r="K50" s="140">
        <v>7037.4</v>
      </c>
      <c r="L50" s="141">
        <v>0</v>
      </c>
      <c r="M50" s="141">
        <v>422244</v>
      </c>
      <c r="N50" s="141">
        <v>38695</v>
      </c>
      <c r="O50" s="141">
        <v>38784</v>
      </c>
      <c r="P50" s="141">
        <v>2290</v>
      </c>
      <c r="Q50" s="141">
        <v>36405</v>
      </c>
      <c r="R50" s="142">
        <v>0.318</v>
      </c>
      <c r="S50" s="142">
        <v>0</v>
      </c>
      <c r="T50" s="142">
        <v>248.12299999999999</v>
      </c>
      <c r="U50" s="142">
        <v>0</v>
      </c>
      <c r="V50" s="179">
        <v>248.12299999999999</v>
      </c>
      <c r="W50" s="142">
        <v>0.318</v>
      </c>
      <c r="X50" s="141"/>
      <c r="Y50" s="140"/>
      <c r="Z50" s="141"/>
      <c r="AA50" s="141"/>
      <c r="AB50" s="141"/>
      <c r="AC50" s="141"/>
      <c r="AD50" s="141"/>
      <c r="AE50" s="141"/>
      <c r="AF50" s="142"/>
      <c r="AG50" s="142"/>
      <c r="AH50" s="142"/>
      <c r="AI50" s="142"/>
      <c r="AJ50" s="179"/>
      <c r="AK50" s="142"/>
      <c r="AL50" s="141">
        <v>5</v>
      </c>
      <c r="AM50" s="140">
        <v>2.1</v>
      </c>
      <c r="AN50" s="141">
        <v>5</v>
      </c>
      <c r="AO50" s="141">
        <v>126</v>
      </c>
      <c r="AP50" s="141">
        <v>126</v>
      </c>
      <c r="AQ50" s="141">
        <v>126</v>
      </c>
      <c r="AR50" s="141">
        <v>0</v>
      </c>
      <c r="AS50" s="141">
        <v>0</v>
      </c>
      <c r="AT50" s="142">
        <v>0.17699999999999999</v>
      </c>
      <c r="AU50" s="142">
        <v>0</v>
      </c>
      <c r="AV50" s="142">
        <v>137.739</v>
      </c>
      <c r="AW50" s="142">
        <v>0</v>
      </c>
      <c r="AX50" s="179">
        <v>137.739</v>
      </c>
      <c r="AY50" s="142">
        <v>0.17699999999999999</v>
      </c>
      <c r="AZ50" s="141"/>
      <c r="BA50" s="140"/>
      <c r="BB50" s="141"/>
      <c r="BC50" s="141"/>
      <c r="BD50" s="141"/>
      <c r="BE50" s="141"/>
      <c r="BF50" s="141"/>
      <c r="BG50" s="141"/>
      <c r="BH50" s="142"/>
      <c r="BI50" s="142"/>
      <c r="BJ50" s="142"/>
      <c r="BK50" s="142"/>
      <c r="BL50" s="142"/>
      <c r="BM50" s="142"/>
      <c r="BN50" s="141">
        <v>2</v>
      </c>
      <c r="BO50" s="140">
        <v>3.7829999999999999</v>
      </c>
      <c r="BP50" s="141">
        <v>4</v>
      </c>
      <c r="BQ50" s="141">
        <v>227</v>
      </c>
      <c r="BR50" s="141">
        <v>227</v>
      </c>
      <c r="BS50" s="141">
        <v>227</v>
      </c>
      <c r="BT50" s="141">
        <v>0</v>
      </c>
      <c r="BU50" s="141">
        <v>0</v>
      </c>
      <c r="BV50" s="142">
        <v>0</v>
      </c>
      <c r="BW50" s="142">
        <v>0</v>
      </c>
      <c r="BX50" s="142">
        <v>0</v>
      </c>
      <c r="BY50" s="142">
        <v>0</v>
      </c>
      <c r="BZ50" s="179">
        <v>0</v>
      </c>
      <c r="CA50" s="142">
        <v>0</v>
      </c>
    </row>
    <row r="51" spans="1:79" ht="16.5" customHeight="1">
      <c r="A51" s="222"/>
      <c r="B51" s="220" t="s">
        <v>294</v>
      </c>
      <c r="C51" s="220"/>
      <c r="D51" s="220"/>
      <c r="E51" s="136" t="s">
        <v>295</v>
      </c>
      <c r="F51" s="136" t="s">
        <v>568</v>
      </c>
      <c r="G51" s="139">
        <v>2025</v>
      </c>
      <c r="H51" s="136" t="s">
        <v>210</v>
      </c>
      <c r="I51" s="221">
        <v>315</v>
      </c>
      <c r="J51" s="221"/>
      <c r="K51" s="140">
        <v>15881.867</v>
      </c>
      <c r="L51" s="141">
        <v>0</v>
      </c>
      <c r="M51" s="141">
        <v>952912</v>
      </c>
      <c r="N51" s="141">
        <v>17747</v>
      </c>
      <c r="O51" s="141">
        <v>17919</v>
      </c>
      <c r="P51" s="141">
        <v>2409</v>
      </c>
      <c r="Q51" s="141">
        <v>15338</v>
      </c>
      <c r="R51" s="142">
        <v>0.115</v>
      </c>
      <c r="S51" s="142">
        <v>0</v>
      </c>
      <c r="T51" s="142">
        <v>89.777000000000001</v>
      </c>
      <c r="U51" s="142">
        <v>0</v>
      </c>
      <c r="V51" s="179">
        <v>89.777000000000001</v>
      </c>
      <c r="W51" s="142">
        <v>0.115</v>
      </c>
      <c r="X51" s="141"/>
      <c r="Y51" s="140"/>
      <c r="Z51" s="141"/>
      <c r="AA51" s="141"/>
      <c r="AB51" s="141"/>
      <c r="AC51" s="141"/>
      <c r="AD51" s="141"/>
      <c r="AE51" s="141"/>
      <c r="AF51" s="142"/>
      <c r="AG51" s="142"/>
      <c r="AH51" s="142"/>
      <c r="AI51" s="142"/>
      <c r="AJ51" s="179"/>
      <c r="AK51" s="142"/>
      <c r="AL51" s="141">
        <v>13</v>
      </c>
      <c r="AM51" s="140">
        <v>18.899999999999999</v>
      </c>
      <c r="AN51" s="141">
        <v>26</v>
      </c>
      <c r="AO51" s="141">
        <v>1134</v>
      </c>
      <c r="AP51" s="141">
        <v>1134</v>
      </c>
      <c r="AQ51" s="141">
        <v>1134</v>
      </c>
      <c r="AR51" s="141">
        <v>0</v>
      </c>
      <c r="AS51" s="141">
        <v>0</v>
      </c>
      <c r="AT51" s="142">
        <v>4.8410000000000002</v>
      </c>
      <c r="AU51" s="142">
        <v>0</v>
      </c>
      <c r="AV51" s="142">
        <v>3776.0970000000002</v>
      </c>
      <c r="AW51" s="142">
        <v>0</v>
      </c>
      <c r="AX51" s="179">
        <v>3776.0970000000002</v>
      </c>
      <c r="AY51" s="142">
        <v>4.8410000000000002</v>
      </c>
      <c r="AZ51" s="141">
        <v>1440</v>
      </c>
      <c r="BA51" s="140">
        <v>0</v>
      </c>
      <c r="BB51" s="141">
        <v>0</v>
      </c>
      <c r="BC51" s="141">
        <v>0</v>
      </c>
      <c r="BD51" s="141">
        <v>0</v>
      </c>
      <c r="BE51" s="141">
        <v>0</v>
      </c>
      <c r="BF51" s="141">
        <v>0</v>
      </c>
      <c r="BG51" s="141">
        <v>0</v>
      </c>
      <c r="BH51" s="142">
        <v>0</v>
      </c>
      <c r="BI51" s="142">
        <v>0</v>
      </c>
      <c r="BJ51" s="142">
        <v>0</v>
      </c>
      <c r="BK51" s="142">
        <v>0</v>
      </c>
      <c r="BL51" s="142">
        <v>0</v>
      </c>
      <c r="BM51" s="142">
        <v>0</v>
      </c>
      <c r="BN51" s="141">
        <v>20</v>
      </c>
      <c r="BO51" s="140">
        <v>14.733000000000001</v>
      </c>
      <c r="BP51" s="141">
        <v>26</v>
      </c>
      <c r="BQ51" s="141">
        <v>884</v>
      </c>
      <c r="BR51" s="141">
        <v>884</v>
      </c>
      <c r="BS51" s="141">
        <v>884</v>
      </c>
      <c r="BT51" s="141">
        <v>0</v>
      </c>
      <c r="BU51" s="141">
        <v>0</v>
      </c>
      <c r="BV51" s="142">
        <v>0</v>
      </c>
      <c r="BW51" s="142">
        <v>0</v>
      </c>
      <c r="BX51" s="142">
        <v>0</v>
      </c>
      <c r="BY51" s="142">
        <v>0</v>
      </c>
      <c r="BZ51" s="179">
        <v>0</v>
      </c>
      <c r="CA51" s="142">
        <v>0</v>
      </c>
    </row>
    <row r="52" spans="1:79" ht="16.5" customHeight="1">
      <c r="A52" s="222"/>
      <c r="B52" s="220" t="s">
        <v>577</v>
      </c>
      <c r="C52" s="220"/>
      <c r="D52" s="220"/>
      <c r="E52" s="136" t="s">
        <v>578</v>
      </c>
      <c r="F52" s="136" t="s">
        <v>568</v>
      </c>
      <c r="G52" s="139">
        <v>2025</v>
      </c>
      <c r="H52" s="136" t="s">
        <v>210</v>
      </c>
      <c r="I52" s="221">
        <v>2</v>
      </c>
      <c r="J52" s="221"/>
      <c r="K52" s="140">
        <v>30.567</v>
      </c>
      <c r="L52" s="141">
        <v>0</v>
      </c>
      <c r="M52" s="141">
        <v>1834</v>
      </c>
      <c r="N52" s="141">
        <v>17</v>
      </c>
      <c r="O52" s="141">
        <v>20</v>
      </c>
      <c r="P52" s="141">
        <v>6</v>
      </c>
      <c r="Q52" s="141">
        <v>11</v>
      </c>
      <c r="R52" s="142">
        <v>0.13100000000000001</v>
      </c>
      <c r="S52" s="142">
        <v>0</v>
      </c>
      <c r="T52" s="142">
        <v>102.491</v>
      </c>
      <c r="U52" s="142">
        <v>0</v>
      </c>
      <c r="V52" s="179">
        <v>102.491</v>
      </c>
      <c r="W52" s="142">
        <v>0.13100000000000001</v>
      </c>
      <c r="X52" s="141"/>
      <c r="Y52" s="140"/>
      <c r="Z52" s="141"/>
      <c r="AA52" s="141"/>
      <c r="AB52" s="141"/>
      <c r="AC52" s="141"/>
      <c r="AD52" s="141"/>
      <c r="AE52" s="141"/>
      <c r="AF52" s="142"/>
      <c r="AG52" s="142"/>
      <c r="AH52" s="142"/>
      <c r="AI52" s="142"/>
      <c r="AJ52" s="179"/>
      <c r="AK52" s="142"/>
      <c r="AL52" s="141"/>
      <c r="AM52" s="140"/>
      <c r="AN52" s="141"/>
      <c r="AO52" s="141"/>
      <c r="AP52" s="141"/>
      <c r="AQ52" s="141"/>
      <c r="AR52" s="141"/>
      <c r="AS52" s="141"/>
      <c r="AT52" s="142"/>
      <c r="AU52" s="142"/>
      <c r="AV52" s="142"/>
      <c r="AW52" s="142"/>
      <c r="AX52" s="179"/>
      <c r="AY52" s="142"/>
      <c r="AZ52" s="141"/>
      <c r="BA52" s="140"/>
      <c r="BB52" s="141"/>
      <c r="BC52" s="141"/>
      <c r="BD52" s="141"/>
      <c r="BE52" s="141"/>
      <c r="BF52" s="141"/>
      <c r="BG52" s="141"/>
      <c r="BH52" s="142"/>
      <c r="BI52" s="142"/>
      <c r="BJ52" s="142"/>
      <c r="BK52" s="142"/>
      <c r="BL52" s="142"/>
      <c r="BM52" s="142"/>
      <c r="BN52" s="141"/>
      <c r="BO52" s="140"/>
      <c r="BP52" s="141"/>
      <c r="BQ52" s="141"/>
      <c r="BR52" s="141"/>
      <c r="BS52" s="141"/>
      <c r="BT52" s="141"/>
      <c r="BU52" s="141"/>
      <c r="BV52" s="142"/>
      <c r="BW52" s="142"/>
      <c r="BX52" s="142"/>
      <c r="BY52" s="142"/>
      <c r="BZ52" s="179"/>
      <c r="CA52" s="142"/>
    </row>
    <row r="53" spans="1:79" ht="16.5" customHeight="1">
      <c r="A53" s="222"/>
      <c r="B53" s="220" t="s">
        <v>296</v>
      </c>
      <c r="C53" s="220"/>
      <c r="D53" s="220"/>
      <c r="E53" s="136" t="s">
        <v>297</v>
      </c>
      <c r="F53" s="136" t="s">
        <v>568</v>
      </c>
      <c r="G53" s="139">
        <v>2025</v>
      </c>
      <c r="H53" s="136" t="s">
        <v>210</v>
      </c>
      <c r="I53" s="221"/>
      <c r="J53" s="221"/>
      <c r="K53" s="140"/>
      <c r="L53" s="141"/>
      <c r="M53" s="141"/>
      <c r="N53" s="141"/>
      <c r="O53" s="141"/>
      <c r="P53" s="141"/>
      <c r="Q53" s="141"/>
      <c r="R53" s="142"/>
      <c r="S53" s="142"/>
      <c r="T53" s="142"/>
      <c r="U53" s="142"/>
      <c r="V53" s="179"/>
      <c r="W53" s="142"/>
      <c r="X53" s="141"/>
      <c r="Y53" s="140"/>
      <c r="Z53" s="141"/>
      <c r="AA53" s="141"/>
      <c r="AB53" s="141"/>
      <c r="AC53" s="141"/>
      <c r="AD53" s="141"/>
      <c r="AE53" s="141"/>
      <c r="AF53" s="142"/>
      <c r="AG53" s="142"/>
      <c r="AH53" s="142"/>
      <c r="AI53" s="142"/>
      <c r="AJ53" s="179"/>
      <c r="AK53" s="142"/>
      <c r="AL53" s="141"/>
      <c r="AM53" s="140"/>
      <c r="AN53" s="141"/>
      <c r="AO53" s="141"/>
      <c r="AP53" s="141"/>
      <c r="AQ53" s="141"/>
      <c r="AR53" s="141"/>
      <c r="AS53" s="141"/>
      <c r="AT53" s="142"/>
      <c r="AU53" s="142"/>
      <c r="AV53" s="142"/>
      <c r="AW53" s="142"/>
      <c r="AX53" s="179"/>
      <c r="AY53" s="142"/>
      <c r="AZ53" s="141">
        <v>40</v>
      </c>
      <c r="BA53" s="140">
        <v>0</v>
      </c>
      <c r="BB53" s="141">
        <v>0</v>
      </c>
      <c r="BC53" s="141">
        <v>0</v>
      </c>
      <c r="BD53" s="141">
        <v>0</v>
      </c>
      <c r="BE53" s="141">
        <v>0</v>
      </c>
      <c r="BF53" s="141">
        <v>0</v>
      </c>
      <c r="BG53" s="141">
        <v>0</v>
      </c>
      <c r="BH53" s="142">
        <v>0</v>
      </c>
      <c r="BI53" s="142">
        <v>0</v>
      </c>
      <c r="BJ53" s="142">
        <v>0</v>
      </c>
      <c r="BK53" s="142">
        <v>0</v>
      </c>
      <c r="BL53" s="142">
        <v>0</v>
      </c>
      <c r="BM53" s="142">
        <v>0</v>
      </c>
      <c r="BN53" s="141">
        <v>3</v>
      </c>
      <c r="BO53" s="140">
        <v>2.65</v>
      </c>
      <c r="BP53" s="141">
        <v>5</v>
      </c>
      <c r="BQ53" s="141">
        <v>159</v>
      </c>
      <c r="BR53" s="141">
        <v>159</v>
      </c>
      <c r="BS53" s="141">
        <v>202</v>
      </c>
      <c r="BT53" s="141">
        <v>0</v>
      </c>
      <c r="BU53" s="141">
        <v>0</v>
      </c>
      <c r="BV53" s="142">
        <v>0</v>
      </c>
      <c r="BW53" s="142">
        <v>0</v>
      </c>
      <c r="BX53" s="142">
        <v>0</v>
      </c>
      <c r="BY53" s="142">
        <v>0</v>
      </c>
      <c r="BZ53" s="179">
        <v>0</v>
      </c>
      <c r="CA53" s="142">
        <v>0</v>
      </c>
    </row>
    <row r="54" spans="1:79" ht="16.5" customHeight="1">
      <c r="A54" s="222"/>
      <c r="B54" s="220" t="s">
        <v>304</v>
      </c>
      <c r="C54" s="220"/>
      <c r="D54" s="220"/>
      <c r="E54" s="136" t="s">
        <v>305</v>
      </c>
      <c r="F54" s="136" t="s">
        <v>568</v>
      </c>
      <c r="G54" s="139">
        <v>2025</v>
      </c>
      <c r="H54" s="136" t="s">
        <v>210</v>
      </c>
      <c r="I54" s="221">
        <v>311</v>
      </c>
      <c r="J54" s="221"/>
      <c r="K54" s="140">
        <v>5842.7669999999998</v>
      </c>
      <c r="L54" s="141">
        <v>0</v>
      </c>
      <c r="M54" s="141">
        <v>350566</v>
      </c>
      <c r="N54" s="141">
        <v>51333</v>
      </c>
      <c r="O54" s="141">
        <v>51473</v>
      </c>
      <c r="P54" s="141">
        <v>5080</v>
      </c>
      <c r="Q54" s="141">
        <v>46252</v>
      </c>
      <c r="R54" s="142">
        <v>303.37599999999998</v>
      </c>
      <c r="S54" s="142">
        <v>15.169</v>
      </c>
      <c r="T54" s="142">
        <v>236630.56400000001</v>
      </c>
      <c r="U54" s="142">
        <v>11831.418</v>
      </c>
      <c r="V54" s="179">
        <v>248461.98199999999</v>
      </c>
      <c r="W54" s="142">
        <v>318.54399999999998</v>
      </c>
      <c r="X54" s="141"/>
      <c r="Y54" s="140"/>
      <c r="Z54" s="141"/>
      <c r="AA54" s="141"/>
      <c r="AB54" s="141"/>
      <c r="AC54" s="141"/>
      <c r="AD54" s="141"/>
      <c r="AE54" s="141"/>
      <c r="AF54" s="142"/>
      <c r="AG54" s="142"/>
      <c r="AH54" s="142"/>
      <c r="AI54" s="142"/>
      <c r="AJ54" s="179"/>
      <c r="AK54" s="142"/>
      <c r="AL54" s="141">
        <v>9</v>
      </c>
      <c r="AM54" s="140">
        <v>6.1669999999999998</v>
      </c>
      <c r="AN54" s="141">
        <v>10</v>
      </c>
      <c r="AO54" s="141">
        <v>370</v>
      </c>
      <c r="AP54" s="141">
        <v>370</v>
      </c>
      <c r="AQ54" s="141">
        <v>600</v>
      </c>
      <c r="AR54" s="141">
        <v>0</v>
      </c>
      <c r="AS54" s="141">
        <v>0</v>
      </c>
      <c r="AT54" s="142">
        <v>17.387</v>
      </c>
      <c r="AU54" s="142">
        <v>0.86899999999999999</v>
      </c>
      <c r="AV54" s="142">
        <v>13561.651</v>
      </c>
      <c r="AW54" s="142">
        <v>678.05499999999995</v>
      </c>
      <c r="AX54" s="179">
        <v>14239.706</v>
      </c>
      <c r="AY54" s="142">
        <v>18.256</v>
      </c>
      <c r="AZ54" s="141">
        <v>378</v>
      </c>
      <c r="BA54" s="140">
        <v>0</v>
      </c>
      <c r="BB54" s="141">
        <v>0</v>
      </c>
      <c r="BC54" s="141">
        <v>0</v>
      </c>
      <c r="BD54" s="141">
        <v>0</v>
      </c>
      <c r="BE54" s="141">
        <v>0</v>
      </c>
      <c r="BF54" s="141">
        <v>0</v>
      </c>
      <c r="BG54" s="141">
        <v>0</v>
      </c>
      <c r="BH54" s="142">
        <v>0</v>
      </c>
      <c r="BI54" s="142">
        <v>0</v>
      </c>
      <c r="BJ54" s="142">
        <v>0</v>
      </c>
      <c r="BK54" s="142">
        <v>0</v>
      </c>
      <c r="BL54" s="142">
        <v>0</v>
      </c>
      <c r="BM54" s="142">
        <v>0</v>
      </c>
      <c r="BN54" s="141">
        <v>17</v>
      </c>
      <c r="BO54" s="140">
        <v>13.217000000000001</v>
      </c>
      <c r="BP54" s="141">
        <v>24</v>
      </c>
      <c r="BQ54" s="141">
        <v>793</v>
      </c>
      <c r="BR54" s="141">
        <v>793</v>
      </c>
      <c r="BS54" s="141">
        <v>1440</v>
      </c>
      <c r="BT54" s="141">
        <v>0</v>
      </c>
      <c r="BU54" s="141">
        <v>0</v>
      </c>
      <c r="BV54" s="142">
        <v>7.7949999999999999</v>
      </c>
      <c r="BW54" s="142">
        <v>0.39</v>
      </c>
      <c r="BX54" s="142">
        <v>6079.7960000000003</v>
      </c>
      <c r="BY54" s="142">
        <v>303.971</v>
      </c>
      <c r="BZ54" s="179">
        <v>6383.7669999999998</v>
      </c>
      <c r="CA54" s="142">
        <v>8.1839999999999993</v>
      </c>
    </row>
    <row r="55" spans="1:79" ht="16.5" customHeight="1">
      <c r="A55" s="222"/>
      <c r="B55" s="220" t="s">
        <v>308</v>
      </c>
      <c r="C55" s="220"/>
      <c r="D55" s="220"/>
      <c r="E55" s="136" t="s">
        <v>309</v>
      </c>
      <c r="F55" s="136" t="s">
        <v>568</v>
      </c>
      <c r="G55" s="139">
        <v>2025</v>
      </c>
      <c r="H55" s="136" t="s">
        <v>210</v>
      </c>
      <c r="I55" s="221">
        <v>11364</v>
      </c>
      <c r="J55" s="221"/>
      <c r="K55" s="140">
        <v>754968.58299999998</v>
      </c>
      <c r="L55" s="141">
        <v>0</v>
      </c>
      <c r="M55" s="141">
        <v>45298115</v>
      </c>
      <c r="N55" s="141">
        <v>2211515</v>
      </c>
      <c r="O55" s="141">
        <v>2217664</v>
      </c>
      <c r="P55" s="141">
        <v>976026</v>
      </c>
      <c r="Q55" s="141">
        <v>1235488</v>
      </c>
      <c r="R55" s="142">
        <v>14.58</v>
      </c>
      <c r="S55" s="142">
        <v>0</v>
      </c>
      <c r="T55" s="142">
        <v>11372.268</v>
      </c>
      <c r="U55" s="142">
        <v>0</v>
      </c>
      <c r="V55" s="179">
        <v>11372.268</v>
      </c>
      <c r="W55" s="142">
        <v>14.58</v>
      </c>
      <c r="X55" s="141">
        <v>111</v>
      </c>
      <c r="Y55" s="140">
        <v>0</v>
      </c>
      <c r="Z55" s="141">
        <v>0</v>
      </c>
      <c r="AA55" s="141">
        <v>0</v>
      </c>
      <c r="AB55" s="141">
        <v>0</v>
      </c>
      <c r="AC55" s="141">
        <v>0</v>
      </c>
      <c r="AD55" s="141">
        <v>0</v>
      </c>
      <c r="AE55" s="141">
        <v>0</v>
      </c>
      <c r="AF55" s="142">
        <v>0.747</v>
      </c>
      <c r="AG55" s="142">
        <v>0</v>
      </c>
      <c r="AH55" s="142">
        <v>582.67700000000002</v>
      </c>
      <c r="AI55" s="142">
        <v>0</v>
      </c>
      <c r="AJ55" s="179">
        <v>582.67700000000002</v>
      </c>
      <c r="AK55" s="142">
        <v>0.747</v>
      </c>
      <c r="AL55" s="141">
        <v>724</v>
      </c>
      <c r="AM55" s="140">
        <v>1152.55</v>
      </c>
      <c r="AN55" s="141">
        <v>1572</v>
      </c>
      <c r="AO55" s="141">
        <v>69153</v>
      </c>
      <c r="AP55" s="141">
        <v>69153</v>
      </c>
      <c r="AQ55" s="141">
        <v>69603</v>
      </c>
      <c r="AR55" s="141">
        <v>0</v>
      </c>
      <c r="AS55" s="141">
        <v>0</v>
      </c>
      <c r="AT55" s="142">
        <v>295.202</v>
      </c>
      <c r="AU55" s="142">
        <v>0</v>
      </c>
      <c r="AV55" s="142">
        <v>230255.136</v>
      </c>
      <c r="AW55" s="142">
        <v>0</v>
      </c>
      <c r="AX55" s="179">
        <v>230255.136</v>
      </c>
      <c r="AY55" s="142">
        <v>295.202</v>
      </c>
      <c r="AZ55" s="141">
        <v>40965</v>
      </c>
      <c r="BA55" s="140">
        <v>0</v>
      </c>
      <c r="BB55" s="141">
        <v>0</v>
      </c>
      <c r="BC55" s="141">
        <v>0</v>
      </c>
      <c r="BD55" s="141">
        <v>0</v>
      </c>
      <c r="BE55" s="141">
        <v>0</v>
      </c>
      <c r="BF55" s="141">
        <v>0</v>
      </c>
      <c r="BG55" s="141">
        <v>0</v>
      </c>
      <c r="BH55" s="142">
        <v>0</v>
      </c>
      <c r="BI55" s="142">
        <v>0</v>
      </c>
      <c r="BJ55" s="142">
        <v>0</v>
      </c>
      <c r="BK55" s="142">
        <v>0</v>
      </c>
      <c r="BL55" s="142">
        <v>0</v>
      </c>
      <c r="BM55" s="142">
        <v>0</v>
      </c>
      <c r="BN55" s="141">
        <v>814</v>
      </c>
      <c r="BO55" s="140">
        <v>1150.8330000000001</v>
      </c>
      <c r="BP55" s="141">
        <v>1595</v>
      </c>
      <c r="BQ55" s="141">
        <v>69050</v>
      </c>
      <c r="BR55" s="141">
        <v>69050</v>
      </c>
      <c r="BS55" s="141">
        <v>69050</v>
      </c>
      <c r="BT55" s="141">
        <v>0</v>
      </c>
      <c r="BU55" s="141">
        <v>0</v>
      </c>
      <c r="BV55" s="142">
        <v>0</v>
      </c>
      <c r="BW55" s="142">
        <v>0</v>
      </c>
      <c r="BX55" s="142">
        <v>0</v>
      </c>
      <c r="BY55" s="142">
        <v>0</v>
      </c>
      <c r="BZ55" s="179">
        <v>0</v>
      </c>
      <c r="CA55" s="142">
        <v>0</v>
      </c>
    </row>
    <row r="56" spans="1:79" ht="16.5" customHeight="1">
      <c r="A56" s="222"/>
      <c r="B56" s="220" t="s">
        <v>310</v>
      </c>
      <c r="C56" s="220"/>
      <c r="D56" s="220"/>
      <c r="E56" s="136" t="s">
        <v>311</v>
      </c>
      <c r="F56" s="136" t="s">
        <v>568</v>
      </c>
      <c r="G56" s="139">
        <v>2025</v>
      </c>
      <c r="H56" s="136" t="s">
        <v>210</v>
      </c>
      <c r="I56" s="221">
        <v>635</v>
      </c>
      <c r="J56" s="221"/>
      <c r="K56" s="140">
        <v>33390.767</v>
      </c>
      <c r="L56" s="141">
        <v>0</v>
      </c>
      <c r="M56" s="141">
        <v>2003446</v>
      </c>
      <c r="N56" s="141">
        <v>59458</v>
      </c>
      <c r="O56" s="141">
        <v>59795</v>
      </c>
      <c r="P56" s="141">
        <v>36606</v>
      </c>
      <c r="Q56" s="141">
        <v>22852</v>
      </c>
      <c r="R56" s="142">
        <v>0.13600000000000001</v>
      </c>
      <c r="S56" s="142">
        <v>0</v>
      </c>
      <c r="T56" s="142">
        <v>106.07899999999999</v>
      </c>
      <c r="U56" s="142">
        <v>0</v>
      </c>
      <c r="V56" s="179">
        <v>106.07899999999999</v>
      </c>
      <c r="W56" s="142">
        <v>0.13600000000000001</v>
      </c>
      <c r="X56" s="141"/>
      <c r="Y56" s="140"/>
      <c r="Z56" s="141"/>
      <c r="AA56" s="141"/>
      <c r="AB56" s="141"/>
      <c r="AC56" s="141"/>
      <c r="AD56" s="141"/>
      <c r="AE56" s="141"/>
      <c r="AF56" s="142"/>
      <c r="AG56" s="142"/>
      <c r="AH56" s="142"/>
      <c r="AI56" s="142"/>
      <c r="AJ56" s="179"/>
      <c r="AK56" s="142"/>
      <c r="AL56" s="141">
        <v>30</v>
      </c>
      <c r="AM56" s="140">
        <v>66.832999999999998</v>
      </c>
      <c r="AN56" s="141">
        <v>83</v>
      </c>
      <c r="AO56" s="141">
        <v>4010</v>
      </c>
      <c r="AP56" s="141">
        <v>4010</v>
      </c>
      <c r="AQ56" s="141">
        <v>4069</v>
      </c>
      <c r="AR56" s="141">
        <v>0</v>
      </c>
      <c r="AS56" s="141">
        <v>0</v>
      </c>
      <c r="AT56" s="142">
        <v>18.923999999999999</v>
      </c>
      <c r="AU56" s="142">
        <v>0</v>
      </c>
      <c r="AV56" s="142">
        <v>14760.569</v>
      </c>
      <c r="AW56" s="142">
        <v>0</v>
      </c>
      <c r="AX56" s="179">
        <v>14760.569</v>
      </c>
      <c r="AY56" s="142">
        <v>18.923999999999999</v>
      </c>
      <c r="AZ56" s="141">
        <v>2224</v>
      </c>
      <c r="BA56" s="140">
        <v>0</v>
      </c>
      <c r="BB56" s="141">
        <v>0</v>
      </c>
      <c r="BC56" s="141">
        <v>0</v>
      </c>
      <c r="BD56" s="141">
        <v>0</v>
      </c>
      <c r="BE56" s="141">
        <v>0</v>
      </c>
      <c r="BF56" s="141">
        <v>0</v>
      </c>
      <c r="BG56" s="141">
        <v>0</v>
      </c>
      <c r="BH56" s="142">
        <v>0</v>
      </c>
      <c r="BI56" s="142">
        <v>0</v>
      </c>
      <c r="BJ56" s="142">
        <v>0</v>
      </c>
      <c r="BK56" s="142">
        <v>0</v>
      </c>
      <c r="BL56" s="142">
        <v>0</v>
      </c>
      <c r="BM56" s="142">
        <v>0</v>
      </c>
      <c r="BN56" s="141">
        <v>14</v>
      </c>
      <c r="BO56" s="140">
        <v>20.817</v>
      </c>
      <c r="BP56" s="141">
        <v>28</v>
      </c>
      <c r="BQ56" s="141">
        <v>1249</v>
      </c>
      <c r="BR56" s="141">
        <v>1249</v>
      </c>
      <c r="BS56" s="141">
        <v>1680</v>
      </c>
      <c r="BT56" s="141">
        <v>0</v>
      </c>
      <c r="BU56" s="141">
        <v>0</v>
      </c>
      <c r="BV56" s="142">
        <v>0</v>
      </c>
      <c r="BW56" s="142">
        <v>0</v>
      </c>
      <c r="BX56" s="142">
        <v>0</v>
      </c>
      <c r="BY56" s="142">
        <v>0</v>
      </c>
      <c r="BZ56" s="179">
        <v>0</v>
      </c>
      <c r="CA56" s="142">
        <v>0</v>
      </c>
    </row>
    <row r="57" spans="1:79" ht="16.5" customHeight="1">
      <c r="A57" s="222"/>
      <c r="B57" s="220" t="s">
        <v>312</v>
      </c>
      <c r="C57" s="220"/>
      <c r="D57" s="220"/>
      <c r="E57" s="136" t="s">
        <v>313</v>
      </c>
      <c r="F57" s="136" t="s">
        <v>568</v>
      </c>
      <c r="G57" s="139">
        <v>2025</v>
      </c>
      <c r="H57" s="136" t="s">
        <v>210</v>
      </c>
      <c r="I57" s="221">
        <v>7801</v>
      </c>
      <c r="J57" s="221"/>
      <c r="K57" s="140">
        <v>648557.36699999997</v>
      </c>
      <c r="L57" s="141">
        <v>0</v>
      </c>
      <c r="M57" s="141">
        <v>38913442</v>
      </c>
      <c r="N57" s="141">
        <v>993323</v>
      </c>
      <c r="O57" s="141">
        <v>996295</v>
      </c>
      <c r="P57" s="141">
        <v>234212</v>
      </c>
      <c r="Q57" s="141">
        <v>759111</v>
      </c>
      <c r="R57" s="142">
        <v>6.5430000000000001</v>
      </c>
      <c r="S57" s="142">
        <v>0</v>
      </c>
      <c r="T57" s="142">
        <v>5103.5730000000003</v>
      </c>
      <c r="U57" s="142">
        <v>0</v>
      </c>
      <c r="V57" s="179">
        <v>5103.5730000000003</v>
      </c>
      <c r="W57" s="142">
        <v>6.5430000000000001</v>
      </c>
      <c r="X57" s="141">
        <v>16</v>
      </c>
      <c r="Y57" s="140">
        <v>0</v>
      </c>
      <c r="Z57" s="141">
        <v>0</v>
      </c>
      <c r="AA57" s="141">
        <v>0</v>
      </c>
      <c r="AB57" s="141">
        <v>0</v>
      </c>
      <c r="AC57" s="141">
        <v>0</v>
      </c>
      <c r="AD57" s="141">
        <v>0</v>
      </c>
      <c r="AE57" s="141">
        <v>0</v>
      </c>
      <c r="AF57" s="142">
        <v>0.26900000000000002</v>
      </c>
      <c r="AG57" s="142">
        <v>0</v>
      </c>
      <c r="AH57" s="142">
        <v>209.911</v>
      </c>
      <c r="AI57" s="142">
        <v>0</v>
      </c>
      <c r="AJ57" s="179">
        <v>209.911</v>
      </c>
      <c r="AK57" s="142">
        <v>0.26900000000000002</v>
      </c>
      <c r="AL57" s="141">
        <v>589</v>
      </c>
      <c r="AM57" s="140">
        <v>796.15</v>
      </c>
      <c r="AN57" s="141">
        <v>1141</v>
      </c>
      <c r="AO57" s="141">
        <v>47769</v>
      </c>
      <c r="AP57" s="141">
        <v>47769</v>
      </c>
      <c r="AQ57" s="141">
        <v>47769</v>
      </c>
      <c r="AR57" s="141">
        <v>0</v>
      </c>
      <c r="AS57" s="141">
        <v>0</v>
      </c>
      <c r="AT57" s="142">
        <v>247.00800000000001</v>
      </c>
      <c r="AU57" s="142">
        <v>0</v>
      </c>
      <c r="AV57" s="142">
        <v>192664.63099999999</v>
      </c>
      <c r="AW57" s="142">
        <v>0</v>
      </c>
      <c r="AX57" s="179">
        <v>192664.63099999999</v>
      </c>
      <c r="AY57" s="142">
        <v>247.00800000000001</v>
      </c>
      <c r="AZ57" s="141">
        <v>35628</v>
      </c>
      <c r="BA57" s="140">
        <v>0</v>
      </c>
      <c r="BB57" s="141">
        <v>0</v>
      </c>
      <c r="BC57" s="141">
        <v>0</v>
      </c>
      <c r="BD57" s="141">
        <v>0</v>
      </c>
      <c r="BE57" s="141">
        <v>0</v>
      </c>
      <c r="BF57" s="141">
        <v>0</v>
      </c>
      <c r="BG57" s="141">
        <v>0</v>
      </c>
      <c r="BH57" s="142">
        <v>0</v>
      </c>
      <c r="BI57" s="142">
        <v>0</v>
      </c>
      <c r="BJ57" s="142">
        <v>0</v>
      </c>
      <c r="BK57" s="142">
        <v>0</v>
      </c>
      <c r="BL57" s="142">
        <v>0</v>
      </c>
      <c r="BM57" s="142">
        <v>0</v>
      </c>
      <c r="BN57" s="141">
        <v>595</v>
      </c>
      <c r="BO57" s="140">
        <v>617.29999999999995</v>
      </c>
      <c r="BP57" s="141">
        <v>958</v>
      </c>
      <c r="BQ57" s="141">
        <v>37038</v>
      </c>
      <c r="BR57" s="141">
        <v>37038</v>
      </c>
      <c r="BS57" s="141">
        <v>57480</v>
      </c>
      <c r="BT57" s="141">
        <v>0</v>
      </c>
      <c r="BU57" s="141">
        <v>0</v>
      </c>
      <c r="BV57" s="142">
        <v>0</v>
      </c>
      <c r="BW57" s="142">
        <v>0</v>
      </c>
      <c r="BX57" s="142">
        <v>0</v>
      </c>
      <c r="BY57" s="142">
        <v>0</v>
      </c>
      <c r="BZ57" s="179">
        <v>0</v>
      </c>
      <c r="CA57" s="142">
        <v>0</v>
      </c>
    </row>
    <row r="58" spans="1:79" ht="16.5" customHeight="1">
      <c r="A58" s="222"/>
      <c r="B58" s="220" t="s">
        <v>314</v>
      </c>
      <c r="C58" s="220"/>
      <c r="D58" s="220"/>
      <c r="E58" s="136" t="s">
        <v>315</v>
      </c>
      <c r="F58" s="136" t="s">
        <v>568</v>
      </c>
      <c r="G58" s="139">
        <v>2025</v>
      </c>
      <c r="H58" s="136" t="s">
        <v>210</v>
      </c>
      <c r="I58" s="221">
        <v>4041</v>
      </c>
      <c r="J58" s="221"/>
      <c r="K58" s="140">
        <v>149230.15</v>
      </c>
      <c r="L58" s="141">
        <v>0</v>
      </c>
      <c r="M58" s="141">
        <v>8953809</v>
      </c>
      <c r="N58" s="141">
        <v>723409</v>
      </c>
      <c r="O58" s="141">
        <v>725572</v>
      </c>
      <c r="P58" s="141">
        <v>319398</v>
      </c>
      <c r="Q58" s="141">
        <v>404011</v>
      </c>
      <c r="R58" s="142">
        <v>4.7679999999999998</v>
      </c>
      <c r="S58" s="142">
        <v>0</v>
      </c>
      <c r="T58" s="142">
        <v>3718.6750000000002</v>
      </c>
      <c r="U58" s="142">
        <v>0</v>
      </c>
      <c r="V58" s="179">
        <v>3718.6750000000002</v>
      </c>
      <c r="W58" s="142">
        <v>4.7679999999999998</v>
      </c>
      <c r="X58" s="141"/>
      <c r="Y58" s="140"/>
      <c r="Z58" s="141"/>
      <c r="AA58" s="141"/>
      <c r="AB58" s="141"/>
      <c r="AC58" s="141"/>
      <c r="AD58" s="141"/>
      <c r="AE58" s="141"/>
      <c r="AF58" s="142"/>
      <c r="AG58" s="142"/>
      <c r="AH58" s="142"/>
      <c r="AI58" s="142"/>
      <c r="AJ58" s="179"/>
      <c r="AK58" s="142"/>
      <c r="AL58" s="141">
        <v>218</v>
      </c>
      <c r="AM58" s="140">
        <v>322.05</v>
      </c>
      <c r="AN58" s="141">
        <v>456</v>
      </c>
      <c r="AO58" s="141">
        <v>19323</v>
      </c>
      <c r="AP58" s="141">
        <v>19323</v>
      </c>
      <c r="AQ58" s="141">
        <v>19362</v>
      </c>
      <c r="AR58" s="141">
        <v>0</v>
      </c>
      <c r="AS58" s="141">
        <v>0</v>
      </c>
      <c r="AT58" s="142">
        <v>106.23099999999999</v>
      </c>
      <c r="AU58" s="142">
        <v>0</v>
      </c>
      <c r="AV58" s="142">
        <v>82858.94</v>
      </c>
      <c r="AW58" s="142">
        <v>0</v>
      </c>
      <c r="AX58" s="179">
        <v>82858.94</v>
      </c>
      <c r="AY58" s="142">
        <v>106.23099999999999</v>
      </c>
      <c r="AZ58" s="141">
        <v>11154</v>
      </c>
      <c r="BA58" s="140">
        <v>0</v>
      </c>
      <c r="BB58" s="141">
        <v>0</v>
      </c>
      <c r="BC58" s="141">
        <v>0</v>
      </c>
      <c r="BD58" s="141">
        <v>0</v>
      </c>
      <c r="BE58" s="141">
        <v>0</v>
      </c>
      <c r="BF58" s="141">
        <v>0</v>
      </c>
      <c r="BG58" s="141">
        <v>0</v>
      </c>
      <c r="BH58" s="142">
        <v>0</v>
      </c>
      <c r="BI58" s="142">
        <v>0</v>
      </c>
      <c r="BJ58" s="142">
        <v>0</v>
      </c>
      <c r="BK58" s="142">
        <v>0</v>
      </c>
      <c r="BL58" s="142">
        <v>0</v>
      </c>
      <c r="BM58" s="142">
        <v>0</v>
      </c>
      <c r="BN58" s="141">
        <v>255</v>
      </c>
      <c r="BO58" s="140">
        <v>297.14999999999998</v>
      </c>
      <c r="BP58" s="141">
        <v>441</v>
      </c>
      <c r="BQ58" s="141">
        <v>17829</v>
      </c>
      <c r="BR58" s="141">
        <v>17829</v>
      </c>
      <c r="BS58" s="141">
        <v>17829</v>
      </c>
      <c r="BT58" s="141">
        <v>0</v>
      </c>
      <c r="BU58" s="141">
        <v>0</v>
      </c>
      <c r="BV58" s="142">
        <v>0</v>
      </c>
      <c r="BW58" s="142">
        <v>0</v>
      </c>
      <c r="BX58" s="142">
        <v>0</v>
      </c>
      <c r="BY58" s="142">
        <v>0</v>
      </c>
      <c r="BZ58" s="179">
        <v>0</v>
      </c>
      <c r="CA58" s="142">
        <v>0</v>
      </c>
    </row>
    <row r="59" spans="1:79" ht="16.5" customHeight="1">
      <c r="A59" s="222"/>
      <c r="B59" s="220" t="s">
        <v>318</v>
      </c>
      <c r="C59" s="220"/>
      <c r="D59" s="220"/>
      <c r="E59" s="136" t="s">
        <v>319</v>
      </c>
      <c r="F59" s="136" t="s">
        <v>568</v>
      </c>
      <c r="G59" s="139">
        <v>2025</v>
      </c>
      <c r="H59" s="136" t="s">
        <v>210</v>
      </c>
      <c r="I59" s="221">
        <v>244653</v>
      </c>
      <c r="J59" s="221"/>
      <c r="K59" s="140">
        <v>13364285.050000001</v>
      </c>
      <c r="L59" s="141">
        <v>0</v>
      </c>
      <c r="M59" s="141">
        <v>801857103</v>
      </c>
      <c r="N59" s="141">
        <v>359357</v>
      </c>
      <c r="O59" s="141">
        <v>364035</v>
      </c>
      <c r="P59" s="141">
        <v>90531</v>
      </c>
      <c r="Q59" s="141">
        <v>268826</v>
      </c>
      <c r="R59" s="142">
        <v>1.806</v>
      </c>
      <c r="S59" s="142">
        <v>0.318</v>
      </c>
      <c r="T59" s="142">
        <v>1408.463</v>
      </c>
      <c r="U59" s="142">
        <v>247.959</v>
      </c>
      <c r="V59" s="179">
        <v>1656.422</v>
      </c>
      <c r="W59" s="142">
        <v>2.1240000000000001</v>
      </c>
      <c r="X59" s="141"/>
      <c r="Y59" s="140"/>
      <c r="Z59" s="141"/>
      <c r="AA59" s="141"/>
      <c r="AB59" s="141"/>
      <c r="AC59" s="141"/>
      <c r="AD59" s="141"/>
      <c r="AE59" s="141"/>
      <c r="AF59" s="142"/>
      <c r="AG59" s="142"/>
      <c r="AH59" s="142"/>
      <c r="AI59" s="142"/>
      <c r="AJ59" s="179"/>
      <c r="AK59" s="142"/>
      <c r="AL59" s="141">
        <v>242</v>
      </c>
      <c r="AM59" s="140">
        <v>237.15</v>
      </c>
      <c r="AN59" s="141">
        <v>373</v>
      </c>
      <c r="AO59" s="141">
        <v>14229</v>
      </c>
      <c r="AP59" s="141">
        <v>14229</v>
      </c>
      <c r="AQ59" s="141">
        <v>14153</v>
      </c>
      <c r="AR59" s="141">
        <v>0</v>
      </c>
      <c r="AS59" s="141">
        <v>0</v>
      </c>
      <c r="AT59" s="142">
        <v>58.459000000000003</v>
      </c>
      <c r="AU59" s="142">
        <v>10.523</v>
      </c>
      <c r="AV59" s="142">
        <v>45597.81</v>
      </c>
      <c r="AW59" s="142">
        <v>8207.6139999999996</v>
      </c>
      <c r="AX59" s="179">
        <v>53805.423999999999</v>
      </c>
      <c r="AY59" s="142">
        <v>68.981999999999999</v>
      </c>
      <c r="AZ59" s="141">
        <v>29613</v>
      </c>
      <c r="BA59" s="140">
        <v>0</v>
      </c>
      <c r="BB59" s="141">
        <v>0</v>
      </c>
      <c r="BC59" s="141">
        <v>0</v>
      </c>
      <c r="BD59" s="141">
        <v>0</v>
      </c>
      <c r="BE59" s="141">
        <v>0</v>
      </c>
      <c r="BF59" s="141">
        <v>0</v>
      </c>
      <c r="BG59" s="141">
        <v>0</v>
      </c>
      <c r="BH59" s="142">
        <v>0</v>
      </c>
      <c r="BI59" s="142">
        <v>0</v>
      </c>
      <c r="BJ59" s="142">
        <v>0</v>
      </c>
      <c r="BK59" s="142">
        <v>0</v>
      </c>
      <c r="BL59" s="142">
        <v>0</v>
      </c>
      <c r="BM59" s="142">
        <v>0</v>
      </c>
      <c r="BN59" s="141">
        <v>213</v>
      </c>
      <c r="BO59" s="140">
        <v>214.46700000000001</v>
      </c>
      <c r="BP59" s="141">
        <v>346</v>
      </c>
      <c r="BQ59" s="141">
        <v>12868</v>
      </c>
      <c r="BR59" s="141">
        <v>12868</v>
      </c>
      <c r="BS59" s="141">
        <v>0</v>
      </c>
      <c r="BT59" s="141">
        <v>0</v>
      </c>
      <c r="BU59" s="141">
        <v>0</v>
      </c>
      <c r="BV59" s="142">
        <v>0</v>
      </c>
      <c r="BW59" s="142">
        <v>0</v>
      </c>
      <c r="BX59" s="142">
        <v>0</v>
      </c>
      <c r="BY59" s="142">
        <v>0</v>
      </c>
      <c r="BZ59" s="179">
        <v>0</v>
      </c>
      <c r="CA59" s="142">
        <v>0</v>
      </c>
    </row>
    <row r="60" spans="1:79" ht="16.5" customHeight="1">
      <c r="A60" s="222"/>
      <c r="B60" s="220" t="s">
        <v>328</v>
      </c>
      <c r="C60" s="220"/>
      <c r="D60" s="220"/>
      <c r="E60" s="136" t="s">
        <v>329</v>
      </c>
      <c r="F60" s="136" t="s">
        <v>568</v>
      </c>
      <c r="G60" s="139">
        <v>2025</v>
      </c>
      <c r="H60" s="136" t="s">
        <v>210</v>
      </c>
      <c r="I60" s="221">
        <v>73</v>
      </c>
      <c r="J60" s="221"/>
      <c r="K60" s="140">
        <v>5253.6170000000002</v>
      </c>
      <c r="L60" s="141">
        <v>0</v>
      </c>
      <c r="M60" s="141">
        <v>315217</v>
      </c>
      <c r="N60" s="141">
        <v>5781</v>
      </c>
      <c r="O60" s="141">
        <v>5822</v>
      </c>
      <c r="P60" s="141">
        <v>3019</v>
      </c>
      <c r="Q60" s="141">
        <v>2761</v>
      </c>
      <c r="R60" s="142">
        <v>3.7999999999999999E-2</v>
      </c>
      <c r="S60" s="142">
        <v>0</v>
      </c>
      <c r="T60" s="142">
        <v>29.99</v>
      </c>
      <c r="U60" s="142">
        <v>0</v>
      </c>
      <c r="V60" s="179">
        <v>29.99</v>
      </c>
      <c r="W60" s="142">
        <v>3.7999999999999999E-2</v>
      </c>
      <c r="X60" s="141"/>
      <c r="Y60" s="140"/>
      <c r="Z60" s="141"/>
      <c r="AA60" s="141"/>
      <c r="AB60" s="141"/>
      <c r="AC60" s="141"/>
      <c r="AD60" s="141"/>
      <c r="AE60" s="141"/>
      <c r="AF60" s="142"/>
      <c r="AG60" s="142"/>
      <c r="AH60" s="142"/>
      <c r="AI60" s="142"/>
      <c r="AJ60" s="179"/>
      <c r="AK60" s="142"/>
      <c r="AL60" s="141"/>
      <c r="AM60" s="140"/>
      <c r="AN60" s="141"/>
      <c r="AO60" s="141"/>
      <c r="AP60" s="141"/>
      <c r="AQ60" s="141"/>
      <c r="AR60" s="141"/>
      <c r="AS60" s="141"/>
      <c r="AT60" s="142"/>
      <c r="AU60" s="142"/>
      <c r="AV60" s="142"/>
      <c r="AW60" s="142"/>
      <c r="AX60" s="179"/>
      <c r="AY60" s="142"/>
      <c r="AZ60" s="141"/>
      <c r="BA60" s="140"/>
      <c r="BB60" s="141"/>
      <c r="BC60" s="141"/>
      <c r="BD60" s="141"/>
      <c r="BE60" s="141"/>
      <c r="BF60" s="141"/>
      <c r="BG60" s="141"/>
      <c r="BH60" s="142"/>
      <c r="BI60" s="142"/>
      <c r="BJ60" s="142"/>
      <c r="BK60" s="142"/>
      <c r="BL60" s="142"/>
      <c r="BM60" s="142"/>
      <c r="BN60" s="141"/>
      <c r="BO60" s="140"/>
      <c r="BP60" s="141"/>
      <c r="BQ60" s="141"/>
      <c r="BR60" s="141"/>
      <c r="BS60" s="141"/>
      <c r="BT60" s="141"/>
      <c r="BU60" s="141"/>
      <c r="BV60" s="142"/>
      <c r="BW60" s="142"/>
      <c r="BX60" s="142"/>
      <c r="BY60" s="142"/>
      <c r="BZ60" s="179"/>
      <c r="CA60" s="142"/>
    </row>
    <row r="61" spans="1:79" ht="16.5" customHeight="1">
      <c r="A61" s="222"/>
      <c r="B61" s="220" t="s">
        <v>332</v>
      </c>
      <c r="C61" s="220"/>
      <c r="D61" s="220"/>
      <c r="E61" s="136" t="s">
        <v>333</v>
      </c>
      <c r="F61" s="136" t="s">
        <v>568</v>
      </c>
      <c r="G61" s="139">
        <v>2025</v>
      </c>
      <c r="H61" s="136" t="s">
        <v>210</v>
      </c>
      <c r="I61" s="221">
        <v>96270</v>
      </c>
      <c r="J61" s="221"/>
      <c r="K61" s="140">
        <v>3681530.1329999999</v>
      </c>
      <c r="L61" s="141">
        <v>0</v>
      </c>
      <c r="M61" s="141">
        <v>220891808</v>
      </c>
      <c r="N61" s="141">
        <v>10305303</v>
      </c>
      <c r="O61" s="141">
        <v>10312683</v>
      </c>
      <c r="P61" s="141">
        <v>8495005</v>
      </c>
      <c r="Q61" s="141">
        <v>1810298</v>
      </c>
      <c r="R61" s="142">
        <v>9.06</v>
      </c>
      <c r="S61" s="142">
        <v>2.0219999999999998</v>
      </c>
      <c r="T61" s="142">
        <v>7066.7280000000001</v>
      </c>
      <c r="U61" s="142">
        <v>1577.144</v>
      </c>
      <c r="V61" s="179">
        <v>8643.8709999999992</v>
      </c>
      <c r="W61" s="142">
        <v>11.082000000000001</v>
      </c>
      <c r="X61" s="141"/>
      <c r="Y61" s="140"/>
      <c r="Z61" s="141"/>
      <c r="AA61" s="141"/>
      <c r="AB61" s="141"/>
      <c r="AC61" s="141"/>
      <c r="AD61" s="141"/>
      <c r="AE61" s="141"/>
      <c r="AF61" s="142"/>
      <c r="AG61" s="142"/>
      <c r="AH61" s="142"/>
      <c r="AI61" s="142"/>
      <c r="AJ61" s="179"/>
      <c r="AK61" s="142"/>
      <c r="AL61" s="141">
        <v>954</v>
      </c>
      <c r="AM61" s="140">
        <v>727.71699999999998</v>
      </c>
      <c r="AN61" s="141">
        <v>1346</v>
      </c>
      <c r="AO61" s="141">
        <v>43663</v>
      </c>
      <c r="AP61" s="141">
        <v>43663</v>
      </c>
      <c r="AQ61" s="141">
        <v>43601</v>
      </c>
      <c r="AR61" s="141">
        <v>0</v>
      </c>
      <c r="AS61" s="141">
        <v>0</v>
      </c>
      <c r="AT61" s="142">
        <v>50.783000000000001</v>
      </c>
      <c r="AU61" s="142">
        <v>12.05</v>
      </c>
      <c r="AV61" s="142">
        <v>39610.334000000003</v>
      </c>
      <c r="AW61" s="142">
        <v>9398.9040000000005</v>
      </c>
      <c r="AX61" s="179">
        <v>49009.237000000001</v>
      </c>
      <c r="AY61" s="142">
        <v>62.832999999999998</v>
      </c>
      <c r="AZ61" s="141">
        <v>15297</v>
      </c>
      <c r="BA61" s="140">
        <v>0</v>
      </c>
      <c r="BB61" s="141">
        <v>0</v>
      </c>
      <c r="BC61" s="141">
        <v>0</v>
      </c>
      <c r="BD61" s="141">
        <v>0</v>
      </c>
      <c r="BE61" s="141">
        <v>0</v>
      </c>
      <c r="BF61" s="141">
        <v>0</v>
      </c>
      <c r="BG61" s="141">
        <v>0</v>
      </c>
      <c r="BH61" s="142">
        <v>0</v>
      </c>
      <c r="BI61" s="142">
        <v>0</v>
      </c>
      <c r="BJ61" s="142">
        <v>0</v>
      </c>
      <c r="BK61" s="142">
        <v>0</v>
      </c>
      <c r="BL61" s="142">
        <v>0</v>
      </c>
      <c r="BM61" s="142">
        <v>0</v>
      </c>
      <c r="BN61" s="141">
        <v>6795</v>
      </c>
      <c r="BO61" s="140">
        <v>12185.35</v>
      </c>
      <c r="BP61" s="141">
        <v>15845</v>
      </c>
      <c r="BQ61" s="141">
        <v>731121</v>
      </c>
      <c r="BR61" s="141">
        <v>731121</v>
      </c>
      <c r="BS61" s="141">
        <v>731121</v>
      </c>
      <c r="BT61" s="141">
        <v>0</v>
      </c>
      <c r="BU61" s="141">
        <v>0</v>
      </c>
      <c r="BV61" s="142">
        <v>0</v>
      </c>
      <c r="BW61" s="142">
        <v>0</v>
      </c>
      <c r="BX61" s="142">
        <v>0</v>
      </c>
      <c r="BY61" s="142">
        <v>0</v>
      </c>
      <c r="BZ61" s="179">
        <v>0</v>
      </c>
      <c r="CA61" s="142">
        <v>0</v>
      </c>
    </row>
    <row r="62" spans="1:79" ht="16.5" customHeight="1">
      <c r="A62" s="222"/>
      <c r="B62" s="220" t="s">
        <v>334</v>
      </c>
      <c r="C62" s="220"/>
      <c r="D62" s="220"/>
      <c r="E62" s="136" t="s">
        <v>335</v>
      </c>
      <c r="F62" s="136" t="s">
        <v>568</v>
      </c>
      <c r="G62" s="139">
        <v>2025</v>
      </c>
      <c r="H62" s="136" t="s">
        <v>210</v>
      </c>
      <c r="I62" s="221">
        <v>25140</v>
      </c>
      <c r="J62" s="221"/>
      <c r="K62" s="140">
        <v>375407.76699999999</v>
      </c>
      <c r="L62" s="141">
        <v>0</v>
      </c>
      <c r="M62" s="141">
        <v>22524466</v>
      </c>
      <c r="N62" s="141">
        <v>20624238</v>
      </c>
      <c r="O62" s="141">
        <v>20637873</v>
      </c>
      <c r="P62" s="141">
        <v>14498064</v>
      </c>
      <c r="Q62" s="141">
        <v>6126174</v>
      </c>
      <c r="R62" s="142">
        <v>17.581</v>
      </c>
      <c r="S62" s="142">
        <v>4.8570000000000002</v>
      </c>
      <c r="T62" s="142">
        <v>13713.039000000001</v>
      </c>
      <c r="U62" s="142">
        <v>3788.4209999999998</v>
      </c>
      <c r="V62" s="179">
        <v>17501.46</v>
      </c>
      <c r="W62" s="142">
        <v>22.437999999999999</v>
      </c>
      <c r="X62" s="141"/>
      <c r="Y62" s="140"/>
      <c r="Z62" s="141"/>
      <c r="AA62" s="141"/>
      <c r="AB62" s="141"/>
      <c r="AC62" s="141"/>
      <c r="AD62" s="141"/>
      <c r="AE62" s="141"/>
      <c r="AF62" s="142"/>
      <c r="AG62" s="142"/>
      <c r="AH62" s="142"/>
      <c r="AI62" s="142"/>
      <c r="AJ62" s="179"/>
      <c r="AK62" s="142"/>
      <c r="AL62" s="141">
        <v>1546</v>
      </c>
      <c r="AM62" s="140">
        <v>965.6</v>
      </c>
      <c r="AN62" s="141">
        <v>2052</v>
      </c>
      <c r="AO62" s="141">
        <v>57936</v>
      </c>
      <c r="AP62" s="141">
        <v>57936</v>
      </c>
      <c r="AQ62" s="141">
        <v>59363</v>
      </c>
      <c r="AR62" s="141">
        <v>0</v>
      </c>
      <c r="AS62" s="141">
        <v>0</v>
      </c>
      <c r="AT62" s="142">
        <v>65.971999999999994</v>
      </c>
      <c r="AU62" s="142">
        <v>18.614999999999998</v>
      </c>
      <c r="AV62" s="142">
        <v>51457.631999999998</v>
      </c>
      <c r="AW62" s="142">
        <v>14519.550999999999</v>
      </c>
      <c r="AX62" s="179">
        <v>65977.183000000005</v>
      </c>
      <c r="AY62" s="142">
        <v>84.587000000000003</v>
      </c>
      <c r="AZ62" s="141">
        <v>50235</v>
      </c>
      <c r="BA62" s="140">
        <v>0</v>
      </c>
      <c r="BB62" s="141">
        <v>0</v>
      </c>
      <c r="BC62" s="141">
        <v>0</v>
      </c>
      <c r="BD62" s="141">
        <v>0</v>
      </c>
      <c r="BE62" s="141">
        <v>0</v>
      </c>
      <c r="BF62" s="141">
        <v>0</v>
      </c>
      <c r="BG62" s="141">
        <v>0</v>
      </c>
      <c r="BH62" s="142">
        <v>0</v>
      </c>
      <c r="BI62" s="142">
        <v>0</v>
      </c>
      <c r="BJ62" s="142">
        <v>0</v>
      </c>
      <c r="BK62" s="142">
        <v>0</v>
      </c>
      <c r="BL62" s="142">
        <v>0</v>
      </c>
      <c r="BM62" s="142">
        <v>0</v>
      </c>
      <c r="BN62" s="141">
        <v>13889</v>
      </c>
      <c r="BO62" s="140">
        <v>24456.95</v>
      </c>
      <c r="BP62" s="141">
        <v>31910</v>
      </c>
      <c r="BQ62" s="141">
        <v>1467417</v>
      </c>
      <c r="BR62" s="141">
        <v>1467417</v>
      </c>
      <c r="BS62" s="141">
        <v>1914600</v>
      </c>
      <c r="BT62" s="141">
        <v>0</v>
      </c>
      <c r="BU62" s="141">
        <v>0</v>
      </c>
      <c r="BV62" s="142">
        <v>0</v>
      </c>
      <c r="BW62" s="142">
        <v>0</v>
      </c>
      <c r="BX62" s="142">
        <v>0</v>
      </c>
      <c r="BY62" s="142">
        <v>0</v>
      </c>
      <c r="BZ62" s="179">
        <v>0</v>
      </c>
      <c r="CA62" s="142">
        <v>0</v>
      </c>
    </row>
    <row r="63" spans="1:79" ht="16.5" customHeight="1">
      <c r="A63" s="222"/>
      <c r="B63" s="220" t="s">
        <v>336</v>
      </c>
      <c r="C63" s="220"/>
      <c r="D63" s="220"/>
      <c r="E63" s="136" t="s">
        <v>337</v>
      </c>
      <c r="F63" s="136" t="s">
        <v>568</v>
      </c>
      <c r="G63" s="139">
        <v>2025</v>
      </c>
      <c r="H63" s="136" t="s">
        <v>210</v>
      </c>
      <c r="I63" s="221">
        <v>118665</v>
      </c>
      <c r="J63" s="221"/>
      <c r="K63" s="140">
        <v>1399824.067</v>
      </c>
      <c r="L63" s="141">
        <v>0</v>
      </c>
      <c r="M63" s="141">
        <v>83989444</v>
      </c>
      <c r="N63" s="141">
        <v>79548184</v>
      </c>
      <c r="O63" s="141">
        <v>79576537</v>
      </c>
      <c r="P63" s="141">
        <v>61517711</v>
      </c>
      <c r="Q63" s="141">
        <v>18030473</v>
      </c>
      <c r="R63" s="142">
        <v>308.02499999999998</v>
      </c>
      <c r="S63" s="142">
        <v>85.162999999999997</v>
      </c>
      <c r="T63" s="142">
        <v>240257.375</v>
      </c>
      <c r="U63" s="142">
        <v>66426.785999999993</v>
      </c>
      <c r="V63" s="179">
        <v>306684.16100000002</v>
      </c>
      <c r="W63" s="142">
        <v>393.18900000000002</v>
      </c>
      <c r="X63" s="141">
        <v>1</v>
      </c>
      <c r="Y63" s="140">
        <v>0</v>
      </c>
      <c r="Z63" s="141">
        <v>0</v>
      </c>
      <c r="AA63" s="141">
        <v>0</v>
      </c>
      <c r="AB63" s="141">
        <v>0</v>
      </c>
      <c r="AC63" s="141">
        <v>0</v>
      </c>
      <c r="AD63" s="141">
        <v>0</v>
      </c>
      <c r="AE63" s="141">
        <v>0</v>
      </c>
      <c r="AF63" s="142">
        <v>3.6999999999999998E-2</v>
      </c>
      <c r="AG63" s="142">
        <v>0.01</v>
      </c>
      <c r="AH63" s="142">
        <v>29.077000000000002</v>
      </c>
      <c r="AI63" s="142">
        <v>8.0399999999999991</v>
      </c>
      <c r="AJ63" s="179">
        <v>37.116999999999997</v>
      </c>
      <c r="AK63" s="142">
        <v>4.8000000000000001E-2</v>
      </c>
      <c r="AL63" s="141">
        <v>3175</v>
      </c>
      <c r="AM63" s="140">
        <v>2218.7829999999999</v>
      </c>
      <c r="AN63" s="141">
        <v>4331</v>
      </c>
      <c r="AO63" s="141">
        <v>133127</v>
      </c>
      <c r="AP63" s="141">
        <v>133127</v>
      </c>
      <c r="AQ63" s="141">
        <v>133215</v>
      </c>
      <c r="AR63" s="141">
        <v>0</v>
      </c>
      <c r="AS63" s="141">
        <v>0</v>
      </c>
      <c r="AT63" s="142">
        <v>489.08600000000001</v>
      </c>
      <c r="AU63" s="142">
        <v>135.232</v>
      </c>
      <c r="AV63" s="142">
        <v>381483.24599999998</v>
      </c>
      <c r="AW63" s="142">
        <v>105480.148</v>
      </c>
      <c r="AX63" s="179">
        <v>486963.39399999997</v>
      </c>
      <c r="AY63" s="142">
        <v>624.31799999999998</v>
      </c>
      <c r="AZ63" s="141"/>
      <c r="BA63" s="140"/>
      <c r="BB63" s="141"/>
      <c r="BC63" s="141"/>
      <c r="BD63" s="141"/>
      <c r="BE63" s="141"/>
      <c r="BF63" s="141"/>
      <c r="BG63" s="141"/>
      <c r="BH63" s="142"/>
      <c r="BI63" s="142"/>
      <c r="BJ63" s="142"/>
      <c r="BK63" s="142"/>
      <c r="BL63" s="142"/>
      <c r="BM63" s="142"/>
      <c r="BN63" s="141">
        <v>28194</v>
      </c>
      <c r="BO63" s="140">
        <v>50658.133000000002</v>
      </c>
      <c r="BP63" s="141">
        <v>65859</v>
      </c>
      <c r="BQ63" s="141">
        <v>3039488</v>
      </c>
      <c r="BR63" s="141">
        <v>3039488</v>
      </c>
      <c r="BS63" s="141">
        <v>3039488</v>
      </c>
      <c r="BT63" s="141">
        <v>0</v>
      </c>
      <c r="BU63" s="141">
        <v>0</v>
      </c>
      <c r="BV63" s="142">
        <v>0</v>
      </c>
      <c r="BW63" s="142">
        <v>0</v>
      </c>
      <c r="BX63" s="142">
        <v>0</v>
      </c>
      <c r="BY63" s="142">
        <v>0</v>
      </c>
      <c r="BZ63" s="179">
        <v>0</v>
      </c>
      <c r="CA63" s="142">
        <v>0</v>
      </c>
    </row>
    <row r="64" spans="1:79" ht="16.5" customHeight="1">
      <c r="A64" s="222"/>
      <c r="B64" s="220" t="s">
        <v>579</v>
      </c>
      <c r="C64" s="220"/>
      <c r="D64" s="220"/>
      <c r="E64" s="136" t="s">
        <v>580</v>
      </c>
      <c r="F64" s="136" t="s">
        <v>568</v>
      </c>
      <c r="G64" s="139">
        <v>2025</v>
      </c>
      <c r="H64" s="136" t="s">
        <v>210</v>
      </c>
      <c r="I64" s="221">
        <v>470</v>
      </c>
      <c r="J64" s="221"/>
      <c r="K64" s="140">
        <v>20606.433000000001</v>
      </c>
      <c r="L64" s="141">
        <v>0</v>
      </c>
      <c r="M64" s="141">
        <v>1236386</v>
      </c>
      <c r="N64" s="141">
        <v>2086</v>
      </c>
      <c r="O64" s="141">
        <v>2220</v>
      </c>
      <c r="P64" s="141">
        <v>162</v>
      </c>
      <c r="Q64" s="141">
        <v>1924</v>
      </c>
      <c r="R64" s="142">
        <v>0.92300000000000004</v>
      </c>
      <c r="S64" s="142">
        <v>0.16600000000000001</v>
      </c>
      <c r="T64" s="142">
        <v>720.11800000000005</v>
      </c>
      <c r="U64" s="142">
        <v>129.65</v>
      </c>
      <c r="V64" s="179">
        <v>849.76900000000001</v>
      </c>
      <c r="W64" s="142">
        <v>1.089</v>
      </c>
      <c r="X64" s="141">
        <v>924</v>
      </c>
      <c r="Y64" s="140">
        <v>0</v>
      </c>
      <c r="Z64" s="141">
        <v>0</v>
      </c>
      <c r="AA64" s="141">
        <v>0</v>
      </c>
      <c r="AB64" s="141">
        <v>0</v>
      </c>
      <c r="AC64" s="141">
        <v>0</v>
      </c>
      <c r="AD64" s="141">
        <v>0</v>
      </c>
      <c r="AE64" s="141">
        <v>0</v>
      </c>
      <c r="AF64" s="142">
        <v>122.533</v>
      </c>
      <c r="AG64" s="142">
        <v>22.056000000000001</v>
      </c>
      <c r="AH64" s="142">
        <v>95575.14</v>
      </c>
      <c r="AI64" s="142">
        <v>17203.41</v>
      </c>
      <c r="AJ64" s="179">
        <v>112778.55</v>
      </c>
      <c r="AK64" s="142">
        <v>144.589</v>
      </c>
      <c r="AL64" s="141">
        <v>24</v>
      </c>
      <c r="AM64" s="140">
        <v>18.033000000000001</v>
      </c>
      <c r="AN64" s="141">
        <v>33</v>
      </c>
      <c r="AO64" s="141">
        <v>1082</v>
      </c>
      <c r="AP64" s="141">
        <v>1082</v>
      </c>
      <c r="AQ64" s="141">
        <v>1082</v>
      </c>
      <c r="AR64" s="141">
        <v>0</v>
      </c>
      <c r="AS64" s="141">
        <v>0</v>
      </c>
      <c r="AT64" s="142">
        <v>10.523</v>
      </c>
      <c r="AU64" s="142">
        <v>1.8939999999999999</v>
      </c>
      <c r="AV64" s="142">
        <v>8207.9419999999991</v>
      </c>
      <c r="AW64" s="142">
        <v>1477.43</v>
      </c>
      <c r="AX64" s="179">
        <v>9685.3719999999994</v>
      </c>
      <c r="AY64" s="142">
        <v>12.417</v>
      </c>
      <c r="AZ64" s="141"/>
      <c r="BA64" s="140"/>
      <c r="BB64" s="141"/>
      <c r="BC64" s="141"/>
      <c r="BD64" s="141"/>
      <c r="BE64" s="141"/>
      <c r="BF64" s="141"/>
      <c r="BG64" s="141"/>
      <c r="BH64" s="142"/>
      <c r="BI64" s="142"/>
      <c r="BJ64" s="142"/>
      <c r="BK64" s="142"/>
      <c r="BL64" s="142"/>
      <c r="BM64" s="142"/>
      <c r="BN64" s="141">
        <v>63</v>
      </c>
      <c r="BO64" s="140">
        <v>66.332999999999998</v>
      </c>
      <c r="BP64" s="141">
        <v>103</v>
      </c>
      <c r="BQ64" s="141">
        <v>3980</v>
      </c>
      <c r="BR64" s="141">
        <v>3980</v>
      </c>
      <c r="BS64" s="141">
        <v>6180</v>
      </c>
      <c r="BT64" s="141">
        <v>0</v>
      </c>
      <c r="BU64" s="141">
        <v>0</v>
      </c>
      <c r="BV64" s="142">
        <v>0</v>
      </c>
      <c r="BW64" s="142">
        <v>0</v>
      </c>
      <c r="BX64" s="142">
        <v>0</v>
      </c>
      <c r="BY64" s="142">
        <v>0</v>
      </c>
      <c r="BZ64" s="179">
        <v>0</v>
      </c>
      <c r="CA64" s="142">
        <v>0</v>
      </c>
    </row>
    <row r="65" spans="1:79" ht="16.5" customHeight="1">
      <c r="A65" s="222"/>
      <c r="B65" s="220" t="s">
        <v>340</v>
      </c>
      <c r="C65" s="220"/>
      <c r="D65" s="220"/>
      <c r="E65" s="136" t="s">
        <v>341</v>
      </c>
      <c r="F65" s="136" t="s">
        <v>568</v>
      </c>
      <c r="G65" s="139">
        <v>2025</v>
      </c>
      <c r="H65" s="136" t="s">
        <v>210</v>
      </c>
      <c r="I65" s="221">
        <v>3157</v>
      </c>
      <c r="J65" s="221"/>
      <c r="K65" s="140">
        <v>60132.15</v>
      </c>
      <c r="L65" s="141">
        <v>0</v>
      </c>
      <c r="M65" s="141">
        <v>3607929</v>
      </c>
      <c r="N65" s="141">
        <v>121313</v>
      </c>
      <c r="O65" s="141">
        <v>121996</v>
      </c>
      <c r="P65" s="141">
        <v>97720</v>
      </c>
      <c r="Q65" s="141">
        <v>23593</v>
      </c>
      <c r="R65" s="142">
        <v>1.002</v>
      </c>
      <c r="S65" s="142">
        <v>0.17899999999999999</v>
      </c>
      <c r="T65" s="142">
        <v>781.85599999999999</v>
      </c>
      <c r="U65" s="142">
        <v>139.95400000000001</v>
      </c>
      <c r="V65" s="179">
        <v>921.81</v>
      </c>
      <c r="W65" s="142">
        <v>1.1819999999999999</v>
      </c>
      <c r="X65" s="141"/>
      <c r="Y65" s="140"/>
      <c r="Z65" s="141"/>
      <c r="AA65" s="141"/>
      <c r="AB65" s="141"/>
      <c r="AC65" s="141"/>
      <c r="AD65" s="141"/>
      <c r="AE65" s="141"/>
      <c r="AF65" s="142"/>
      <c r="AG65" s="142"/>
      <c r="AH65" s="142"/>
      <c r="AI65" s="142"/>
      <c r="AJ65" s="179"/>
      <c r="AK65" s="142"/>
      <c r="AL65" s="141">
        <v>5</v>
      </c>
      <c r="AM65" s="140">
        <v>1.9830000000000001</v>
      </c>
      <c r="AN65" s="141">
        <v>5</v>
      </c>
      <c r="AO65" s="141">
        <v>119</v>
      </c>
      <c r="AP65" s="141">
        <v>119</v>
      </c>
      <c r="AQ65" s="141">
        <v>119</v>
      </c>
      <c r="AR65" s="141">
        <v>0</v>
      </c>
      <c r="AS65" s="141">
        <v>0</v>
      </c>
      <c r="AT65" s="142">
        <v>0.05</v>
      </c>
      <c r="AU65" s="142">
        <v>8.9999999999999993E-3</v>
      </c>
      <c r="AV65" s="142">
        <v>39.023000000000003</v>
      </c>
      <c r="AW65" s="142">
        <v>7.0279999999999996</v>
      </c>
      <c r="AX65" s="179">
        <v>46.051000000000002</v>
      </c>
      <c r="AY65" s="142">
        <v>5.8999999999999997E-2</v>
      </c>
      <c r="AZ65" s="141">
        <v>5</v>
      </c>
      <c r="BA65" s="140">
        <v>0</v>
      </c>
      <c r="BB65" s="141">
        <v>0</v>
      </c>
      <c r="BC65" s="141">
        <v>0</v>
      </c>
      <c r="BD65" s="141">
        <v>0</v>
      </c>
      <c r="BE65" s="141">
        <v>0</v>
      </c>
      <c r="BF65" s="141">
        <v>0</v>
      </c>
      <c r="BG65" s="141">
        <v>0</v>
      </c>
      <c r="BH65" s="142">
        <v>0</v>
      </c>
      <c r="BI65" s="142">
        <v>0</v>
      </c>
      <c r="BJ65" s="142">
        <v>0</v>
      </c>
      <c r="BK65" s="142">
        <v>0</v>
      </c>
      <c r="BL65" s="142">
        <v>0</v>
      </c>
      <c r="BM65" s="142">
        <v>0</v>
      </c>
      <c r="BN65" s="141">
        <v>5</v>
      </c>
      <c r="BO65" s="140">
        <v>15.15</v>
      </c>
      <c r="BP65" s="141">
        <v>18</v>
      </c>
      <c r="BQ65" s="141">
        <v>909</v>
      </c>
      <c r="BR65" s="141">
        <v>909</v>
      </c>
      <c r="BS65" s="141">
        <v>909</v>
      </c>
      <c r="BT65" s="141">
        <v>0</v>
      </c>
      <c r="BU65" s="141">
        <v>0</v>
      </c>
      <c r="BV65" s="142">
        <v>0</v>
      </c>
      <c r="BW65" s="142">
        <v>0</v>
      </c>
      <c r="BX65" s="142">
        <v>0</v>
      </c>
      <c r="BY65" s="142">
        <v>0</v>
      </c>
      <c r="BZ65" s="179">
        <v>0</v>
      </c>
      <c r="CA65" s="142">
        <v>0</v>
      </c>
    </row>
    <row r="66" spans="1:79" ht="16.5" customHeight="1">
      <c r="A66" s="222"/>
      <c r="B66" s="220" t="s">
        <v>342</v>
      </c>
      <c r="C66" s="220"/>
      <c r="D66" s="220"/>
      <c r="E66" s="136" t="s">
        <v>343</v>
      </c>
      <c r="F66" s="136" t="s">
        <v>568</v>
      </c>
      <c r="G66" s="139">
        <v>2025</v>
      </c>
      <c r="H66" s="136" t="s">
        <v>210</v>
      </c>
      <c r="I66" s="221">
        <v>1</v>
      </c>
      <c r="J66" s="221"/>
      <c r="K66" s="140">
        <v>1.117</v>
      </c>
      <c r="L66" s="141">
        <v>0</v>
      </c>
      <c r="M66" s="141">
        <v>67</v>
      </c>
      <c r="N66" s="141">
        <v>47</v>
      </c>
      <c r="O66" s="141">
        <v>50</v>
      </c>
      <c r="P66" s="141">
        <v>1</v>
      </c>
      <c r="Q66" s="141">
        <v>46</v>
      </c>
      <c r="R66" s="142">
        <v>0.41099999999999998</v>
      </c>
      <c r="S66" s="142">
        <v>0</v>
      </c>
      <c r="T66" s="142">
        <v>320.28800000000001</v>
      </c>
      <c r="U66" s="142">
        <v>0</v>
      </c>
      <c r="V66" s="179">
        <v>320.28800000000001</v>
      </c>
      <c r="W66" s="142">
        <v>0.41099999999999998</v>
      </c>
      <c r="X66" s="141"/>
      <c r="Y66" s="140"/>
      <c r="Z66" s="141"/>
      <c r="AA66" s="141"/>
      <c r="AB66" s="141"/>
      <c r="AC66" s="141"/>
      <c r="AD66" s="141"/>
      <c r="AE66" s="141"/>
      <c r="AF66" s="142"/>
      <c r="AG66" s="142"/>
      <c r="AH66" s="142"/>
      <c r="AI66" s="142"/>
      <c r="AJ66" s="179"/>
      <c r="AK66" s="142"/>
      <c r="AL66" s="141"/>
      <c r="AM66" s="140"/>
      <c r="AN66" s="141"/>
      <c r="AO66" s="141"/>
      <c r="AP66" s="141"/>
      <c r="AQ66" s="141"/>
      <c r="AR66" s="141"/>
      <c r="AS66" s="141"/>
      <c r="AT66" s="142"/>
      <c r="AU66" s="142"/>
      <c r="AV66" s="142"/>
      <c r="AW66" s="142"/>
      <c r="AX66" s="179"/>
      <c r="AY66" s="142"/>
      <c r="AZ66" s="141"/>
      <c r="BA66" s="140"/>
      <c r="BB66" s="141"/>
      <c r="BC66" s="141"/>
      <c r="BD66" s="141"/>
      <c r="BE66" s="141"/>
      <c r="BF66" s="141"/>
      <c r="BG66" s="141"/>
      <c r="BH66" s="142"/>
      <c r="BI66" s="142"/>
      <c r="BJ66" s="142"/>
      <c r="BK66" s="142"/>
      <c r="BL66" s="142"/>
      <c r="BM66" s="142"/>
      <c r="BN66" s="141"/>
      <c r="BO66" s="140"/>
      <c r="BP66" s="141"/>
      <c r="BQ66" s="141"/>
      <c r="BR66" s="141"/>
      <c r="BS66" s="141"/>
      <c r="BT66" s="141"/>
      <c r="BU66" s="141"/>
      <c r="BV66" s="142"/>
      <c r="BW66" s="142"/>
      <c r="BX66" s="142"/>
      <c r="BY66" s="142"/>
      <c r="BZ66" s="179"/>
      <c r="CA66" s="142"/>
    </row>
    <row r="67" spans="1:79" ht="16.5" customHeight="1">
      <c r="A67" s="222"/>
      <c r="B67" s="220" t="s">
        <v>581</v>
      </c>
      <c r="C67" s="220"/>
      <c r="D67" s="220"/>
      <c r="E67" s="136" t="s">
        <v>582</v>
      </c>
      <c r="F67" s="136" t="s">
        <v>568</v>
      </c>
      <c r="G67" s="139">
        <v>2025</v>
      </c>
      <c r="H67" s="136" t="s">
        <v>210</v>
      </c>
      <c r="I67" s="221">
        <v>426</v>
      </c>
      <c r="J67" s="221"/>
      <c r="K67" s="140">
        <v>10741.95</v>
      </c>
      <c r="L67" s="141">
        <v>0</v>
      </c>
      <c r="M67" s="141">
        <v>644517</v>
      </c>
      <c r="N67" s="141">
        <v>57290</v>
      </c>
      <c r="O67" s="141">
        <v>57511</v>
      </c>
      <c r="P67" s="141">
        <v>35074</v>
      </c>
      <c r="Q67" s="141">
        <v>22216</v>
      </c>
      <c r="R67" s="142">
        <v>0.23400000000000001</v>
      </c>
      <c r="S67" s="142">
        <v>0</v>
      </c>
      <c r="T67" s="142">
        <v>182.61199999999999</v>
      </c>
      <c r="U67" s="142">
        <v>0</v>
      </c>
      <c r="V67" s="179">
        <v>182.61199999999999</v>
      </c>
      <c r="W67" s="142">
        <v>0.23400000000000001</v>
      </c>
      <c r="X67" s="141"/>
      <c r="Y67" s="140"/>
      <c r="Z67" s="141"/>
      <c r="AA67" s="141"/>
      <c r="AB67" s="141"/>
      <c r="AC67" s="141"/>
      <c r="AD67" s="141"/>
      <c r="AE67" s="141"/>
      <c r="AF67" s="142"/>
      <c r="AG67" s="142"/>
      <c r="AH67" s="142"/>
      <c r="AI67" s="142"/>
      <c r="AJ67" s="179"/>
      <c r="AK67" s="142"/>
      <c r="AL67" s="141">
        <v>9</v>
      </c>
      <c r="AM67" s="140">
        <v>6.75</v>
      </c>
      <c r="AN67" s="141">
        <v>12</v>
      </c>
      <c r="AO67" s="141">
        <v>405</v>
      </c>
      <c r="AP67" s="141">
        <v>405</v>
      </c>
      <c r="AQ67" s="141">
        <v>405</v>
      </c>
      <c r="AR67" s="141">
        <v>0</v>
      </c>
      <c r="AS67" s="141">
        <v>0</v>
      </c>
      <c r="AT67" s="142">
        <v>2.4510000000000001</v>
      </c>
      <c r="AU67" s="142">
        <v>0</v>
      </c>
      <c r="AV67" s="142">
        <v>1912.088</v>
      </c>
      <c r="AW67" s="142">
        <v>0</v>
      </c>
      <c r="AX67" s="179">
        <v>1912.088</v>
      </c>
      <c r="AY67" s="142">
        <v>2.4510000000000001</v>
      </c>
      <c r="AZ67" s="141"/>
      <c r="BA67" s="140"/>
      <c r="BB67" s="141"/>
      <c r="BC67" s="141"/>
      <c r="BD67" s="141"/>
      <c r="BE67" s="141"/>
      <c r="BF67" s="141"/>
      <c r="BG67" s="141"/>
      <c r="BH67" s="142"/>
      <c r="BI67" s="142"/>
      <c r="BJ67" s="142"/>
      <c r="BK67" s="142"/>
      <c r="BL67" s="142"/>
      <c r="BM67" s="142"/>
      <c r="BN67" s="141">
        <v>5</v>
      </c>
      <c r="BO67" s="140">
        <v>3.5</v>
      </c>
      <c r="BP67" s="141">
        <v>6</v>
      </c>
      <c r="BQ67" s="141">
        <v>210</v>
      </c>
      <c r="BR67" s="141">
        <v>210</v>
      </c>
      <c r="BS67" s="141">
        <v>360</v>
      </c>
      <c r="BT67" s="141">
        <v>0</v>
      </c>
      <c r="BU67" s="141">
        <v>0</v>
      </c>
      <c r="BV67" s="142">
        <v>0</v>
      </c>
      <c r="BW67" s="142">
        <v>0</v>
      </c>
      <c r="BX67" s="142">
        <v>0</v>
      </c>
      <c r="BY67" s="142">
        <v>0</v>
      </c>
      <c r="BZ67" s="179">
        <v>0</v>
      </c>
      <c r="CA67" s="142">
        <v>0</v>
      </c>
    </row>
    <row r="68" spans="1:79" ht="16.5" customHeight="1">
      <c r="A68" s="222"/>
      <c r="B68" s="220" t="s">
        <v>347</v>
      </c>
      <c r="C68" s="220"/>
      <c r="D68" s="220"/>
      <c r="E68" s="136" t="s">
        <v>348</v>
      </c>
      <c r="F68" s="136" t="s">
        <v>568</v>
      </c>
      <c r="G68" s="139">
        <v>2025</v>
      </c>
      <c r="H68" s="136" t="s">
        <v>210</v>
      </c>
      <c r="I68" s="221">
        <v>29</v>
      </c>
      <c r="J68" s="221"/>
      <c r="K68" s="140">
        <v>156</v>
      </c>
      <c r="L68" s="141">
        <v>0</v>
      </c>
      <c r="M68" s="141">
        <v>9360</v>
      </c>
      <c r="N68" s="141">
        <v>33954</v>
      </c>
      <c r="O68" s="141">
        <v>34001</v>
      </c>
      <c r="P68" s="141">
        <v>27121</v>
      </c>
      <c r="Q68" s="141">
        <v>6833</v>
      </c>
      <c r="R68" s="142">
        <v>186.38399999999999</v>
      </c>
      <c r="S68" s="142">
        <v>35.412999999999997</v>
      </c>
      <c r="T68" s="142">
        <v>145378.02900000001</v>
      </c>
      <c r="U68" s="142">
        <v>27622.169000000002</v>
      </c>
      <c r="V68" s="179">
        <v>173000.198</v>
      </c>
      <c r="W68" s="142">
        <v>221.797</v>
      </c>
      <c r="X68" s="141">
        <v>1</v>
      </c>
      <c r="Y68" s="140">
        <v>0</v>
      </c>
      <c r="Z68" s="141">
        <v>0</v>
      </c>
      <c r="AA68" s="141">
        <v>0</v>
      </c>
      <c r="AB68" s="141">
        <v>0</v>
      </c>
      <c r="AC68" s="141">
        <v>0</v>
      </c>
      <c r="AD68" s="141">
        <v>0</v>
      </c>
      <c r="AE68" s="141">
        <v>0</v>
      </c>
      <c r="AF68" s="142">
        <v>0.161</v>
      </c>
      <c r="AG68" s="142">
        <v>3.1E-2</v>
      </c>
      <c r="AH68" s="142">
        <v>125.501</v>
      </c>
      <c r="AI68" s="142">
        <v>23.867999999999999</v>
      </c>
      <c r="AJ68" s="179">
        <v>149.36799999999999</v>
      </c>
      <c r="AK68" s="142">
        <v>0.192</v>
      </c>
      <c r="AL68" s="141"/>
      <c r="AM68" s="140"/>
      <c r="AN68" s="141"/>
      <c r="AO68" s="141"/>
      <c r="AP68" s="141"/>
      <c r="AQ68" s="141"/>
      <c r="AR68" s="141"/>
      <c r="AS68" s="141"/>
      <c r="AT68" s="142"/>
      <c r="AU68" s="142"/>
      <c r="AV68" s="142"/>
      <c r="AW68" s="142"/>
      <c r="AX68" s="179"/>
      <c r="AY68" s="142"/>
      <c r="AZ68" s="141">
        <v>6</v>
      </c>
      <c r="BA68" s="140">
        <v>0</v>
      </c>
      <c r="BB68" s="141">
        <v>0</v>
      </c>
      <c r="BC68" s="141">
        <v>0</v>
      </c>
      <c r="BD68" s="141">
        <v>0</v>
      </c>
      <c r="BE68" s="141">
        <v>0</v>
      </c>
      <c r="BF68" s="141">
        <v>0</v>
      </c>
      <c r="BG68" s="141">
        <v>0</v>
      </c>
      <c r="BH68" s="142">
        <v>0</v>
      </c>
      <c r="BI68" s="142">
        <v>0</v>
      </c>
      <c r="BJ68" s="142">
        <v>0</v>
      </c>
      <c r="BK68" s="142">
        <v>0</v>
      </c>
      <c r="BL68" s="142">
        <v>0</v>
      </c>
      <c r="BM68" s="142">
        <v>0</v>
      </c>
      <c r="BN68" s="141">
        <v>8</v>
      </c>
      <c r="BO68" s="140">
        <v>7.133</v>
      </c>
      <c r="BP68" s="141">
        <v>11</v>
      </c>
      <c r="BQ68" s="141">
        <v>428</v>
      </c>
      <c r="BR68" s="141">
        <v>428</v>
      </c>
      <c r="BS68" s="141">
        <v>660</v>
      </c>
      <c r="BT68" s="141">
        <v>0</v>
      </c>
      <c r="BU68" s="141">
        <v>0</v>
      </c>
      <c r="BV68" s="142">
        <v>0</v>
      </c>
      <c r="BW68" s="142">
        <v>0</v>
      </c>
      <c r="BX68" s="142">
        <v>0</v>
      </c>
      <c r="BY68" s="142">
        <v>0</v>
      </c>
      <c r="BZ68" s="179">
        <v>0</v>
      </c>
      <c r="CA68" s="142">
        <v>0</v>
      </c>
    </row>
    <row r="69" spans="1:79" ht="16.5" customHeight="1">
      <c r="A69" s="222"/>
      <c r="B69" s="220" t="s">
        <v>349</v>
      </c>
      <c r="C69" s="220"/>
      <c r="D69" s="220"/>
      <c r="E69" s="136" t="s">
        <v>350</v>
      </c>
      <c r="F69" s="136" t="s">
        <v>568</v>
      </c>
      <c r="G69" s="139">
        <v>2025</v>
      </c>
      <c r="H69" s="136" t="s">
        <v>210</v>
      </c>
      <c r="I69" s="221">
        <v>734</v>
      </c>
      <c r="J69" s="221"/>
      <c r="K69" s="140">
        <v>7411.2669999999998</v>
      </c>
      <c r="L69" s="141">
        <v>0</v>
      </c>
      <c r="M69" s="141">
        <v>444676</v>
      </c>
      <c r="N69" s="141">
        <v>18669</v>
      </c>
      <c r="O69" s="141">
        <v>21850</v>
      </c>
      <c r="P69" s="141">
        <v>232</v>
      </c>
      <c r="Q69" s="141">
        <v>18437</v>
      </c>
      <c r="R69" s="142">
        <v>18.041</v>
      </c>
      <c r="S69" s="142">
        <v>2.7029999999999998</v>
      </c>
      <c r="T69" s="142">
        <v>14071.563</v>
      </c>
      <c r="U69" s="142">
        <v>2108.279</v>
      </c>
      <c r="V69" s="179">
        <v>16179.842000000001</v>
      </c>
      <c r="W69" s="142">
        <v>20.744</v>
      </c>
      <c r="X69" s="141"/>
      <c r="Y69" s="140"/>
      <c r="Z69" s="141"/>
      <c r="AA69" s="141"/>
      <c r="AB69" s="141"/>
      <c r="AC69" s="141"/>
      <c r="AD69" s="141"/>
      <c r="AE69" s="141"/>
      <c r="AF69" s="142"/>
      <c r="AG69" s="142"/>
      <c r="AH69" s="142"/>
      <c r="AI69" s="142"/>
      <c r="AJ69" s="179"/>
      <c r="AK69" s="142"/>
      <c r="AL69" s="141">
        <v>6</v>
      </c>
      <c r="AM69" s="140">
        <v>3.95</v>
      </c>
      <c r="AN69" s="141">
        <v>6</v>
      </c>
      <c r="AO69" s="141">
        <v>237</v>
      </c>
      <c r="AP69" s="141">
        <v>237</v>
      </c>
      <c r="AQ69" s="141">
        <v>360</v>
      </c>
      <c r="AR69" s="141">
        <v>0</v>
      </c>
      <c r="AS69" s="141">
        <v>0</v>
      </c>
      <c r="AT69" s="142">
        <v>4.6189999999999998</v>
      </c>
      <c r="AU69" s="142">
        <v>0.69299999999999995</v>
      </c>
      <c r="AV69" s="142">
        <v>3603.0010000000002</v>
      </c>
      <c r="AW69" s="142">
        <v>540.44100000000003</v>
      </c>
      <c r="AX69" s="179">
        <v>4143.442</v>
      </c>
      <c r="AY69" s="142">
        <v>5.3120000000000003</v>
      </c>
      <c r="AZ69" s="141">
        <v>4288</v>
      </c>
      <c r="BA69" s="140">
        <v>0</v>
      </c>
      <c r="BB69" s="141">
        <v>0</v>
      </c>
      <c r="BC69" s="141">
        <v>0</v>
      </c>
      <c r="BD69" s="141">
        <v>0</v>
      </c>
      <c r="BE69" s="141">
        <v>0</v>
      </c>
      <c r="BF69" s="141">
        <v>0</v>
      </c>
      <c r="BG69" s="141">
        <v>0</v>
      </c>
      <c r="BH69" s="142">
        <v>0</v>
      </c>
      <c r="BI69" s="142">
        <v>0</v>
      </c>
      <c r="BJ69" s="142">
        <v>0</v>
      </c>
      <c r="BK69" s="142">
        <v>0</v>
      </c>
      <c r="BL69" s="142">
        <v>0</v>
      </c>
      <c r="BM69" s="142">
        <v>0</v>
      </c>
      <c r="BN69" s="141">
        <v>5</v>
      </c>
      <c r="BO69" s="140">
        <v>2.8170000000000002</v>
      </c>
      <c r="BP69" s="141">
        <v>5</v>
      </c>
      <c r="BQ69" s="141">
        <v>169</v>
      </c>
      <c r="BR69" s="141">
        <v>169</v>
      </c>
      <c r="BS69" s="141">
        <v>300</v>
      </c>
      <c r="BT69" s="141">
        <v>0</v>
      </c>
      <c r="BU69" s="141">
        <v>0</v>
      </c>
      <c r="BV69" s="142">
        <v>0</v>
      </c>
      <c r="BW69" s="142">
        <v>0</v>
      </c>
      <c r="BX69" s="142">
        <v>0</v>
      </c>
      <c r="BY69" s="142">
        <v>0</v>
      </c>
      <c r="BZ69" s="179">
        <v>0</v>
      </c>
      <c r="CA69" s="142">
        <v>0</v>
      </c>
    </row>
    <row r="70" spans="1:79" ht="16.5" customHeight="1">
      <c r="A70" s="222"/>
      <c r="B70" s="220" t="s">
        <v>351</v>
      </c>
      <c r="C70" s="220"/>
      <c r="D70" s="220"/>
      <c r="E70" s="136" t="s">
        <v>352</v>
      </c>
      <c r="F70" s="136" t="s">
        <v>568</v>
      </c>
      <c r="G70" s="139">
        <v>2025</v>
      </c>
      <c r="H70" s="136" t="s">
        <v>210</v>
      </c>
      <c r="I70" s="221">
        <v>2</v>
      </c>
      <c r="J70" s="221"/>
      <c r="K70" s="140">
        <v>82.382999999999996</v>
      </c>
      <c r="L70" s="141">
        <v>0</v>
      </c>
      <c r="M70" s="141">
        <v>4943</v>
      </c>
      <c r="N70" s="141">
        <v>10</v>
      </c>
      <c r="O70" s="141">
        <v>0</v>
      </c>
      <c r="P70" s="141">
        <v>0</v>
      </c>
      <c r="Q70" s="141">
        <v>10</v>
      </c>
      <c r="R70" s="142">
        <v>0</v>
      </c>
      <c r="S70" s="142">
        <v>0</v>
      </c>
      <c r="T70" s="142">
        <v>5.5E-2</v>
      </c>
      <c r="U70" s="142">
        <v>0</v>
      </c>
      <c r="V70" s="179">
        <v>5.5E-2</v>
      </c>
      <c r="W70" s="142">
        <v>0</v>
      </c>
      <c r="X70" s="141"/>
      <c r="Y70" s="140"/>
      <c r="Z70" s="141"/>
      <c r="AA70" s="141"/>
      <c r="AB70" s="141"/>
      <c r="AC70" s="141"/>
      <c r="AD70" s="141"/>
      <c r="AE70" s="141"/>
      <c r="AF70" s="142"/>
      <c r="AG70" s="142"/>
      <c r="AH70" s="142"/>
      <c r="AI70" s="142"/>
      <c r="AJ70" s="179"/>
      <c r="AK70" s="142"/>
      <c r="AL70" s="141">
        <v>1</v>
      </c>
      <c r="AM70" s="140">
        <v>0.66700000000000004</v>
      </c>
      <c r="AN70" s="141">
        <v>1</v>
      </c>
      <c r="AO70" s="141">
        <v>40</v>
      </c>
      <c r="AP70" s="141">
        <v>40</v>
      </c>
      <c r="AQ70" s="141">
        <v>0</v>
      </c>
      <c r="AR70" s="141">
        <v>0</v>
      </c>
      <c r="AS70" s="141">
        <v>0</v>
      </c>
      <c r="AT70" s="142">
        <v>0.24099999999999999</v>
      </c>
      <c r="AU70" s="142">
        <v>0</v>
      </c>
      <c r="AV70" s="142">
        <v>188.04</v>
      </c>
      <c r="AW70" s="142">
        <v>0</v>
      </c>
      <c r="AX70" s="179">
        <v>188.04</v>
      </c>
      <c r="AY70" s="142">
        <v>0.24099999999999999</v>
      </c>
      <c r="AZ70" s="141">
        <v>171</v>
      </c>
      <c r="BA70" s="140">
        <v>0</v>
      </c>
      <c r="BB70" s="141">
        <v>0</v>
      </c>
      <c r="BC70" s="141">
        <v>0</v>
      </c>
      <c r="BD70" s="141">
        <v>0</v>
      </c>
      <c r="BE70" s="141">
        <v>0</v>
      </c>
      <c r="BF70" s="141">
        <v>0</v>
      </c>
      <c r="BG70" s="141">
        <v>0</v>
      </c>
      <c r="BH70" s="142">
        <v>0</v>
      </c>
      <c r="BI70" s="142">
        <v>0</v>
      </c>
      <c r="BJ70" s="142">
        <v>0</v>
      </c>
      <c r="BK70" s="142">
        <v>0</v>
      </c>
      <c r="BL70" s="142">
        <v>0</v>
      </c>
      <c r="BM70" s="142">
        <v>0</v>
      </c>
      <c r="BN70" s="141">
        <v>5</v>
      </c>
      <c r="BO70" s="140">
        <v>11.067</v>
      </c>
      <c r="BP70" s="141">
        <v>14</v>
      </c>
      <c r="BQ70" s="141">
        <v>664</v>
      </c>
      <c r="BR70" s="141">
        <v>664</v>
      </c>
      <c r="BS70" s="141">
        <v>0</v>
      </c>
      <c r="BT70" s="141">
        <v>0</v>
      </c>
      <c r="BU70" s="141">
        <v>0</v>
      </c>
      <c r="BV70" s="142">
        <v>0</v>
      </c>
      <c r="BW70" s="142">
        <v>0</v>
      </c>
      <c r="BX70" s="142">
        <v>0</v>
      </c>
      <c r="BY70" s="142">
        <v>0</v>
      </c>
      <c r="BZ70" s="179">
        <v>0</v>
      </c>
      <c r="CA70" s="142">
        <v>0</v>
      </c>
    </row>
    <row r="71" spans="1:79" ht="16.5" customHeight="1">
      <c r="A71" s="222"/>
      <c r="B71" s="220" t="s">
        <v>353</v>
      </c>
      <c r="C71" s="220"/>
      <c r="D71" s="220"/>
      <c r="E71" s="136" t="s">
        <v>354</v>
      </c>
      <c r="F71" s="136" t="s">
        <v>568</v>
      </c>
      <c r="G71" s="139">
        <v>2025</v>
      </c>
      <c r="H71" s="136" t="s">
        <v>210</v>
      </c>
      <c r="I71" s="221">
        <v>26</v>
      </c>
      <c r="J71" s="221"/>
      <c r="K71" s="140">
        <v>340.05</v>
      </c>
      <c r="L71" s="141">
        <v>0</v>
      </c>
      <c r="M71" s="141">
        <v>20403</v>
      </c>
      <c r="N71" s="141">
        <v>0</v>
      </c>
      <c r="O71" s="141">
        <v>0</v>
      </c>
      <c r="P71" s="141">
        <v>0</v>
      </c>
      <c r="Q71" s="141">
        <v>0</v>
      </c>
      <c r="R71" s="142">
        <v>0</v>
      </c>
      <c r="S71" s="142">
        <v>0</v>
      </c>
      <c r="T71" s="142">
        <v>0</v>
      </c>
      <c r="U71" s="142">
        <v>0</v>
      </c>
      <c r="V71" s="179">
        <v>0</v>
      </c>
      <c r="W71" s="142">
        <v>0</v>
      </c>
      <c r="X71" s="141"/>
      <c r="Y71" s="140"/>
      <c r="Z71" s="141"/>
      <c r="AA71" s="141"/>
      <c r="AB71" s="141"/>
      <c r="AC71" s="141"/>
      <c r="AD71" s="141"/>
      <c r="AE71" s="141"/>
      <c r="AF71" s="142"/>
      <c r="AG71" s="142"/>
      <c r="AH71" s="142"/>
      <c r="AI71" s="142"/>
      <c r="AJ71" s="179"/>
      <c r="AK71" s="142"/>
      <c r="AL71" s="141"/>
      <c r="AM71" s="140"/>
      <c r="AN71" s="141"/>
      <c r="AO71" s="141"/>
      <c r="AP71" s="141"/>
      <c r="AQ71" s="141"/>
      <c r="AR71" s="141"/>
      <c r="AS71" s="141"/>
      <c r="AT71" s="142"/>
      <c r="AU71" s="142"/>
      <c r="AV71" s="142"/>
      <c r="AW71" s="142"/>
      <c r="AX71" s="179"/>
      <c r="AY71" s="142"/>
      <c r="AZ71" s="141"/>
      <c r="BA71" s="140"/>
      <c r="BB71" s="141"/>
      <c r="BC71" s="141"/>
      <c r="BD71" s="141"/>
      <c r="BE71" s="141"/>
      <c r="BF71" s="141"/>
      <c r="BG71" s="141"/>
      <c r="BH71" s="142"/>
      <c r="BI71" s="142"/>
      <c r="BJ71" s="142"/>
      <c r="BK71" s="142"/>
      <c r="BL71" s="142"/>
      <c r="BM71" s="142"/>
      <c r="BN71" s="141"/>
      <c r="BO71" s="140"/>
      <c r="BP71" s="141"/>
      <c r="BQ71" s="141"/>
      <c r="BR71" s="141"/>
      <c r="BS71" s="141"/>
      <c r="BT71" s="141"/>
      <c r="BU71" s="141"/>
      <c r="BV71" s="142"/>
      <c r="BW71" s="142"/>
      <c r="BX71" s="142"/>
      <c r="BY71" s="142"/>
      <c r="BZ71" s="179"/>
      <c r="CA71" s="142"/>
    </row>
    <row r="72" spans="1:79" ht="16.5" customHeight="1">
      <c r="A72" s="222"/>
      <c r="B72" s="220" t="s">
        <v>359</v>
      </c>
      <c r="C72" s="220"/>
      <c r="D72" s="220"/>
      <c r="E72" s="136" t="s">
        <v>360</v>
      </c>
      <c r="F72" s="136" t="s">
        <v>568</v>
      </c>
      <c r="G72" s="139">
        <v>2025</v>
      </c>
      <c r="H72" s="136" t="s">
        <v>210</v>
      </c>
      <c r="I72" s="221">
        <v>89</v>
      </c>
      <c r="J72" s="221"/>
      <c r="K72" s="140">
        <v>5254.4</v>
      </c>
      <c r="L72" s="141">
        <v>0</v>
      </c>
      <c r="M72" s="141">
        <v>315264</v>
      </c>
      <c r="N72" s="141">
        <v>1203</v>
      </c>
      <c r="O72" s="141">
        <v>1259</v>
      </c>
      <c r="P72" s="141">
        <v>243</v>
      </c>
      <c r="Q72" s="141">
        <v>961</v>
      </c>
      <c r="R72" s="142">
        <v>8.0000000000000002E-3</v>
      </c>
      <c r="S72" s="142">
        <v>0</v>
      </c>
      <c r="T72" s="142">
        <v>5.8810000000000002</v>
      </c>
      <c r="U72" s="142">
        <v>0</v>
      </c>
      <c r="V72" s="179">
        <v>5.8810000000000002</v>
      </c>
      <c r="W72" s="142">
        <v>8.0000000000000002E-3</v>
      </c>
      <c r="X72" s="141"/>
      <c r="Y72" s="140"/>
      <c r="Z72" s="141"/>
      <c r="AA72" s="141"/>
      <c r="AB72" s="141"/>
      <c r="AC72" s="141"/>
      <c r="AD72" s="141"/>
      <c r="AE72" s="141"/>
      <c r="AF72" s="142"/>
      <c r="AG72" s="142"/>
      <c r="AH72" s="142"/>
      <c r="AI72" s="142"/>
      <c r="AJ72" s="179"/>
      <c r="AK72" s="142"/>
      <c r="AL72" s="141"/>
      <c r="AM72" s="140"/>
      <c r="AN72" s="141"/>
      <c r="AO72" s="141"/>
      <c r="AP72" s="141"/>
      <c r="AQ72" s="141"/>
      <c r="AR72" s="141"/>
      <c r="AS72" s="141"/>
      <c r="AT72" s="142"/>
      <c r="AU72" s="142"/>
      <c r="AV72" s="142"/>
      <c r="AW72" s="142"/>
      <c r="AX72" s="179"/>
      <c r="AY72" s="142"/>
      <c r="AZ72" s="141">
        <v>6</v>
      </c>
      <c r="BA72" s="140">
        <v>0</v>
      </c>
      <c r="BB72" s="141">
        <v>0</v>
      </c>
      <c r="BC72" s="141">
        <v>0</v>
      </c>
      <c r="BD72" s="141">
        <v>0</v>
      </c>
      <c r="BE72" s="141">
        <v>0</v>
      </c>
      <c r="BF72" s="141">
        <v>0</v>
      </c>
      <c r="BG72" s="141">
        <v>0</v>
      </c>
      <c r="BH72" s="142">
        <v>0</v>
      </c>
      <c r="BI72" s="142">
        <v>0</v>
      </c>
      <c r="BJ72" s="142">
        <v>0</v>
      </c>
      <c r="BK72" s="142">
        <v>0</v>
      </c>
      <c r="BL72" s="142">
        <v>0</v>
      </c>
      <c r="BM72" s="142">
        <v>0</v>
      </c>
      <c r="BN72" s="141"/>
      <c r="BO72" s="140"/>
      <c r="BP72" s="141"/>
      <c r="BQ72" s="141"/>
      <c r="BR72" s="141"/>
      <c r="BS72" s="141"/>
      <c r="BT72" s="141"/>
      <c r="BU72" s="141"/>
      <c r="BV72" s="142"/>
      <c r="BW72" s="142"/>
      <c r="BX72" s="142"/>
      <c r="BY72" s="142"/>
      <c r="BZ72" s="179"/>
      <c r="CA72" s="142"/>
    </row>
    <row r="73" spans="1:79" ht="16.5" customHeight="1">
      <c r="A73" s="222"/>
      <c r="B73" s="220" t="s">
        <v>369</v>
      </c>
      <c r="C73" s="220"/>
      <c r="D73" s="220"/>
      <c r="E73" s="136" t="s">
        <v>370</v>
      </c>
      <c r="F73" s="136" t="s">
        <v>568</v>
      </c>
      <c r="G73" s="139">
        <v>2025</v>
      </c>
      <c r="H73" s="136" t="s">
        <v>210</v>
      </c>
      <c r="I73" s="221">
        <v>2</v>
      </c>
      <c r="J73" s="221"/>
      <c r="K73" s="140">
        <v>77.316999999999993</v>
      </c>
      <c r="L73" s="141">
        <v>0</v>
      </c>
      <c r="M73" s="141">
        <v>4639</v>
      </c>
      <c r="N73" s="141">
        <v>589</v>
      </c>
      <c r="O73" s="141">
        <v>590</v>
      </c>
      <c r="P73" s="141">
        <v>1</v>
      </c>
      <c r="Q73" s="141">
        <v>588</v>
      </c>
      <c r="R73" s="142">
        <v>2E-3</v>
      </c>
      <c r="S73" s="142">
        <v>0</v>
      </c>
      <c r="T73" s="142">
        <v>1.6850000000000001</v>
      </c>
      <c r="U73" s="142">
        <v>0</v>
      </c>
      <c r="V73" s="179">
        <v>1.6850000000000001</v>
      </c>
      <c r="W73" s="142">
        <v>2E-3</v>
      </c>
      <c r="X73" s="141"/>
      <c r="Y73" s="140"/>
      <c r="Z73" s="141"/>
      <c r="AA73" s="141"/>
      <c r="AB73" s="141"/>
      <c r="AC73" s="141"/>
      <c r="AD73" s="141"/>
      <c r="AE73" s="141"/>
      <c r="AF73" s="142"/>
      <c r="AG73" s="142"/>
      <c r="AH73" s="142"/>
      <c r="AI73" s="142"/>
      <c r="AJ73" s="179"/>
      <c r="AK73" s="142"/>
      <c r="AL73" s="141">
        <v>1</v>
      </c>
      <c r="AM73" s="140">
        <v>0.45</v>
      </c>
      <c r="AN73" s="141">
        <v>1</v>
      </c>
      <c r="AO73" s="141">
        <v>27</v>
      </c>
      <c r="AP73" s="141">
        <v>27</v>
      </c>
      <c r="AQ73" s="141">
        <v>27</v>
      </c>
      <c r="AR73" s="141">
        <v>0</v>
      </c>
      <c r="AS73" s="141">
        <v>0</v>
      </c>
      <c r="AT73" s="142">
        <v>0.09</v>
      </c>
      <c r="AU73" s="142">
        <v>0</v>
      </c>
      <c r="AV73" s="142">
        <v>70.215000000000003</v>
      </c>
      <c r="AW73" s="142">
        <v>0</v>
      </c>
      <c r="AX73" s="179">
        <v>70.215000000000003</v>
      </c>
      <c r="AY73" s="142">
        <v>0.09</v>
      </c>
      <c r="AZ73" s="141"/>
      <c r="BA73" s="140"/>
      <c r="BB73" s="141"/>
      <c r="BC73" s="141"/>
      <c r="BD73" s="141"/>
      <c r="BE73" s="141"/>
      <c r="BF73" s="141"/>
      <c r="BG73" s="141"/>
      <c r="BH73" s="142"/>
      <c r="BI73" s="142"/>
      <c r="BJ73" s="142"/>
      <c r="BK73" s="142"/>
      <c r="BL73" s="142"/>
      <c r="BM73" s="142"/>
      <c r="BN73" s="141">
        <v>11</v>
      </c>
      <c r="BO73" s="140">
        <v>15</v>
      </c>
      <c r="BP73" s="141">
        <v>23</v>
      </c>
      <c r="BQ73" s="141">
        <v>900</v>
      </c>
      <c r="BR73" s="141">
        <v>900</v>
      </c>
      <c r="BS73" s="141">
        <v>900</v>
      </c>
      <c r="BT73" s="141">
        <v>0</v>
      </c>
      <c r="BU73" s="141">
        <v>0</v>
      </c>
      <c r="BV73" s="142">
        <v>0</v>
      </c>
      <c r="BW73" s="142">
        <v>0</v>
      </c>
      <c r="BX73" s="142">
        <v>0</v>
      </c>
      <c r="BY73" s="142">
        <v>0</v>
      </c>
      <c r="BZ73" s="179">
        <v>0</v>
      </c>
      <c r="CA73" s="142">
        <v>0</v>
      </c>
    </row>
    <row r="74" spans="1:79" ht="16.5" customHeight="1">
      <c r="A74" s="222"/>
      <c r="B74" s="220" t="s">
        <v>372</v>
      </c>
      <c r="C74" s="220"/>
      <c r="D74" s="220"/>
      <c r="E74" s="136" t="s">
        <v>373</v>
      </c>
      <c r="F74" s="136" t="s">
        <v>568</v>
      </c>
      <c r="G74" s="139">
        <v>2025</v>
      </c>
      <c r="H74" s="136" t="s">
        <v>210</v>
      </c>
      <c r="I74" s="221"/>
      <c r="J74" s="221"/>
      <c r="K74" s="140"/>
      <c r="L74" s="141"/>
      <c r="M74" s="141"/>
      <c r="N74" s="141"/>
      <c r="O74" s="141"/>
      <c r="P74" s="141"/>
      <c r="Q74" s="141"/>
      <c r="R74" s="142"/>
      <c r="S74" s="142"/>
      <c r="T74" s="142"/>
      <c r="U74" s="142"/>
      <c r="V74" s="179"/>
      <c r="W74" s="142"/>
      <c r="X74" s="141">
        <v>1</v>
      </c>
      <c r="Y74" s="140">
        <v>0</v>
      </c>
      <c r="Z74" s="141">
        <v>0</v>
      </c>
      <c r="AA74" s="141">
        <v>0</v>
      </c>
      <c r="AB74" s="141">
        <v>0</v>
      </c>
      <c r="AC74" s="141">
        <v>0</v>
      </c>
      <c r="AD74" s="141">
        <v>0</v>
      </c>
      <c r="AE74" s="141">
        <v>0</v>
      </c>
      <c r="AF74" s="142">
        <v>7.0000000000000001E-3</v>
      </c>
      <c r="AG74" s="142">
        <v>0</v>
      </c>
      <c r="AH74" s="142">
        <v>5.585</v>
      </c>
      <c r="AI74" s="142">
        <v>0</v>
      </c>
      <c r="AJ74" s="179">
        <v>5.585</v>
      </c>
      <c r="AK74" s="142">
        <v>7.0000000000000001E-3</v>
      </c>
      <c r="AL74" s="141"/>
      <c r="AM74" s="140"/>
      <c r="AN74" s="141"/>
      <c r="AO74" s="141"/>
      <c r="AP74" s="141"/>
      <c r="AQ74" s="141"/>
      <c r="AR74" s="141"/>
      <c r="AS74" s="141"/>
      <c r="AT74" s="142"/>
      <c r="AU74" s="142"/>
      <c r="AV74" s="142"/>
      <c r="AW74" s="142"/>
      <c r="AX74" s="179"/>
      <c r="AY74" s="142"/>
      <c r="AZ74" s="141"/>
      <c r="BA74" s="140"/>
      <c r="BB74" s="141"/>
      <c r="BC74" s="141"/>
      <c r="BD74" s="141"/>
      <c r="BE74" s="141"/>
      <c r="BF74" s="141"/>
      <c r="BG74" s="141"/>
      <c r="BH74" s="142"/>
      <c r="BI74" s="142"/>
      <c r="BJ74" s="142"/>
      <c r="BK74" s="142"/>
      <c r="BL74" s="142"/>
      <c r="BM74" s="142"/>
      <c r="BN74" s="141">
        <v>2</v>
      </c>
      <c r="BO74" s="140">
        <v>0.28299999999999997</v>
      </c>
      <c r="BP74" s="141">
        <v>2</v>
      </c>
      <c r="BQ74" s="141">
        <v>17</v>
      </c>
      <c r="BR74" s="141">
        <v>17</v>
      </c>
      <c r="BS74" s="141">
        <v>17</v>
      </c>
      <c r="BT74" s="141">
        <v>0</v>
      </c>
      <c r="BU74" s="141">
        <v>0</v>
      </c>
      <c r="BV74" s="142">
        <v>0</v>
      </c>
      <c r="BW74" s="142">
        <v>0</v>
      </c>
      <c r="BX74" s="142">
        <v>0</v>
      </c>
      <c r="BY74" s="142">
        <v>0</v>
      </c>
      <c r="BZ74" s="179">
        <v>0</v>
      </c>
      <c r="CA74" s="142">
        <v>0</v>
      </c>
    </row>
    <row r="75" spans="1:79" ht="16.5" customHeight="1">
      <c r="A75" s="222"/>
      <c r="B75" s="220" t="s">
        <v>380</v>
      </c>
      <c r="C75" s="220"/>
      <c r="D75" s="220"/>
      <c r="E75" s="136" t="s">
        <v>381</v>
      </c>
      <c r="F75" s="136" t="s">
        <v>568</v>
      </c>
      <c r="G75" s="139">
        <v>2025</v>
      </c>
      <c r="H75" s="136" t="s">
        <v>210</v>
      </c>
      <c r="I75" s="221"/>
      <c r="J75" s="221"/>
      <c r="K75" s="140"/>
      <c r="L75" s="141"/>
      <c r="M75" s="141"/>
      <c r="N75" s="141"/>
      <c r="O75" s="141"/>
      <c r="P75" s="141"/>
      <c r="Q75" s="141"/>
      <c r="R75" s="142"/>
      <c r="S75" s="142"/>
      <c r="T75" s="142"/>
      <c r="U75" s="142"/>
      <c r="V75" s="179"/>
      <c r="W75" s="142"/>
      <c r="X75" s="141"/>
      <c r="Y75" s="140"/>
      <c r="Z75" s="141"/>
      <c r="AA75" s="141"/>
      <c r="AB75" s="141"/>
      <c r="AC75" s="141"/>
      <c r="AD75" s="141"/>
      <c r="AE75" s="141"/>
      <c r="AF75" s="142"/>
      <c r="AG75" s="142"/>
      <c r="AH75" s="142"/>
      <c r="AI75" s="142"/>
      <c r="AJ75" s="179"/>
      <c r="AK75" s="142"/>
      <c r="AL75" s="141">
        <v>2</v>
      </c>
      <c r="AM75" s="140">
        <v>2.1669999999999998</v>
      </c>
      <c r="AN75" s="141">
        <v>3</v>
      </c>
      <c r="AO75" s="141">
        <v>130</v>
      </c>
      <c r="AP75" s="141">
        <v>130</v>
      </c>
      <c r="AQ75" s="141">
        <v>130</v>
      </c>
      <c r="AR75" s="141">
        <v>0</v>
      </c>
      <c r="AS75" s="141">
        <v>0</v>
      </c>
      <c r="AT75" s="142">
        <v>3.1E-2</v>
      </c>
      <c r="AU75" s="142">
        <v>0</v>
      </c>
      <c r="AV75" s="142">
        <v>24.149000000000001</v>
      </c>
      <c r="AW75" s="142">
        <v>0</v>
      </c>
      <c r="AX75" s="179">
        <v>24.149000000000001</v>
      </c>
      <c r="AY75" s="142">
        <v>3.1E-2</v>
      </c>
      <c r="AZ75" s="141"/>
      <c r="BA75" s="140"/>
      <c r="BB75" s="141"/>
      <c r="BC75" s="141"/>
      <c r="BD75" s="141"/>
      <c r="BE75" s="141"/>
      <c r="BF75" s="141"/>
      <c r="BG75" s="141"/>
      <c r="BH75" s="142"/>
      <c r="BI75" s="142"/>
      <c r="BJ75" s="142"/>
      <c r="BK75" s="142"/>
      <c r="BL75" s="142"/>
      <c r="BM75" s="142"/>
      <c r="BN75" s="141">
        <v>1</v>
      </c>
      <c r="BO75" s="140">
        <v>0.05</v>
      </c>
      <c r="BP75" s="141">
        <v>1</v>
      </c>
      <c r="BQ75" s="141">
        <v>3</v>
      </c>
      <c r="BR75" s="141">
        <v>3</v>
      </c>
      <c r="BS75" s="141">
        <v>3</v>
      </c>
      <c r="BT75" s="141">
        <v>0</v>
      </c>
      <c r="BU75" s="141">
        <v>0</v>
      </c>
      <c r="BV75" s="142">
        <v>0</v>
      </c>
      <c r="BW75" s="142">
        <v>0</v>
      </c>
      <c r="BX75" s="142">
        <v>0</v>
      </c>
      <c r="BY75" s="142">
        <v>0</v>
      </c>
      <c r="BZ75" s="179">
        <v>0</v>
      </c>
      <c r="CA75" s="142">
        <v>0</v>
      </c>
    </row>
    <row r="76" spans="1:79" ht="16.5" customHeight="1">
      <c r="A76" s="222"/>
      <c r="B76" s="220" t="s">
        <v>384</v>
      </c>
      <c r="C76" s="220"/>
      <c r="D76" s="220"/>
      <c r="E76" s="136" t="s">
        <v>385</v>
      </c>
      <c r="F76" s="136" t="s">
        <v>568</v>
      </c>
      <c r="G76" s="139">
        <v>2025</v>
      </c>
      <c r="H76" s="136" t="s">
        <v>210</v>
      </c>
      <c r="I76" s="221"/>
      <c r="J76" s="221"/>
      <c r="K76" s="140"/>
      <c r="L76" s="141"/>
      <c r="M76" s="141"/>
      <c r="N76" s="141"/>
      <c r="O76" s="141"/>
      <c r="P76" s="141"/>
      <c r="Q76" s="141"/>
      <c r="R76" s="142"/>
      <c r="S76" s="142"/>
      <c r="T76" s="142"/>
      <c r="U76" s="142"/>
      <c r="V76" s="179"/>
      <c r="W76" s="142"/>
      <c r="X76" s="141"/>
      <c r="Y76" s="140"/>
      <c r="Z76" s="141"/>
      <c r="AA76" s="141"/>
      <c r="AB76" s="141"/>
      <c r="AC76" s="141"/>
      <c r="AD76" s="141"/>
      <c r="AE76" s="141"/>
      <c r="AF76" s="142"/>
      <c r="AG76" s="142"/>
      <c r="AH76" s="142"/>
      <c r="AI76" s="142"/>
      <c r="AJ76" s="179"/>
      <c r="AK76" s="142"/>
      <c r="AL76" s="141">
        <v>3</v>
      </c>
      <c r="AM76" s="140">
        <v>0.15</v>
      </c>
      <c r="AN76" s="141">
        <v>3</v>
      </c>
      <c r="AO76" s="141">
        <v>9</v>
      </c>
      <c r="AP76" s="141">
        <v>9</v>
      </c>
      <c r="AQ76" s="141">
        <v>9</v>
      </c>
      <c r="AR76" s="141">
        <v>0</v>
      </c>
      <c r="AS76" s="141">
        <v>0</v>
      </c>
      <c r="AT76" s="142">
        <v>4.8000000000000001E-2</v>
      </c>
      <c r="AU76" s="142">
        <v>0</v>
      </c>
      <c r="AV76" s="142">
        <v>37.595999999999997</v>
      </c>
      <c r="AW76" s="142">
        <v>0</v>
      </c>
      <c r="AX76" s="179">
        <v>37.595999999999997</v>
      </c>
      <c r="AY76" s="142">
        <v>4.8000000000000001E-2</v>
      </c>
      <c r="AZ76" s="141"/>
      <c r="BA76" s="140"/>
      <c r="BB76" s="141"/>
      <c r="BC76" s="141"/>
      <c r="BD76" s="141"/>
      <c r="BE76" s="141"/>
      <c r="BF76" s="141"/>
      <c r="BG76" s="141"/>
      <c r="BH76" s="142"/>
      <c r="BI76" s="142"/>
      <c r="BJ76" s="142"/>
      <c r="BK76" s="142"/>
      <c r="BL76" s="142"/>
      <c r="BM76" s="142"/>
      <c r="BN76" s="141">
        <v>6</v>
      </c>
      <c r="BO76" s="140">
        <v>3.0670000000000002</v>
      </c>
      <c r="BP76" s="141">
        <v>7</v>
      </c>
      <c r="BQ76" s="141">
        <v>184</v>
      </c>
      <c r="BR76" s="141">
        <v>184</v>
      </c>
      <c r="BS76" s="141">
        <v>184</v>
      </c>
      <c r="BT76" s="141">
        <v>0</v>
      </c>
      <c r="BU76" s="141">
        <v>0</v>
      </c>
      <c r="BV76" s="142">
        <v>0</v>
      </c>
      <c r="BW76" s="142">
        <v>0</v>
      </c>
      <c r="BX76" s="142">
        <v>0</v>
      </c>
      <c r="BY76" s="142">
        <v>0</v>
      </c>
      <c r="BZ76" s="179">
        <v>0</v>
      </c>
      <c r="CA76" s="142">
        <v>0</v>
      </c>
    </row>
    <row r="77" spans="1:79" ht="16.5" customHeight="1">
      <c r="A77" s="222"/>
      <c r="B77" s="220" t="s">
        <v>386</v>
      </c>
      <c r="C77" s="220"/>
      <c r="D77" s="220"/>
      <c r="E77" s="136" t="s">
        <v>387</v>
      </c>
      <c r="F77" s="136" t="s">
        <v>568</v>
      </c>
      <c r="G77" s="139">
        <v>2025</v>
      </c>
      <c r="H77" s="136" t="s">
        <v>210</v>
      </c>
      <c r="I77" s="221">
        <v>26</v>
      </c>
      <c r="J77" s="221"/>
      <c r="K77" s="140">
        <v>1424.75</v>
      </c>
      <c r="L77" s="141">
        <v>0</v>
      </c>
      <c r="M77" s="141">
        <v>85485</v>
      </c>
      <c r="N77" s="141">
        <v>58254</v>
      </c>
      <c r="O77" s="141">
        <v>58273</v>
      </c>
      <c r="P77" s="141">
        <v>34574</v>
      </c>
      <c r="Q77" s="141">
        <v>23681</v>
      </c>
      <c r="R77" s="142">
        <v>0.20599999999999999</v>
      </c>
      <c r="S77" s="142">
        <v>0</v>
      </c>
      <c r="T77" s="142">
        <v>160.6</v>
      </c>
      <c r="U77" s="142">
        <v>0</v>
      </c>
      <c r="V77" s="179">
        <v>160.6</v>
      </c>
      <c r="W77" s="142">
        <v>0.20599999999999999</v>
      </c>
      <c r="X77" s="141"/>
      <c r="Y77" s="140"/>
      <c r="Z77" s="141"/>
      <c r="AA77" s="141"/>
      <c r="AB77" s="141"/>
      <c r="AC77" s="141"/>
      <c r="AD77" s="141"/>
      <c r="AE77" s="141"/>
      <c r="AF77" s="142"/>
      <c r="AG77" s="142"/>
      <c r="AH77" s="142"/>
      <c r="AI77" s="142"/>
      <c r="AJ77" s="179"/>
      <c r="AK77" s="142"/>
      <c r="AL77" s="141">
        <v>23</v>
      </c>
      <c r="AM77" s="140">
        <v>22.067</v>
      </c>
      <c r="AN77" s="141">
        <v>34</v>
      </c>
      <c r="AO77" s="141">
        <v>1324</v>
      </c>
      <c r="AP77" s="141">
        <v>1324</v>
      </c>
      <c r="AQ77" s="141">
        <v>1324</v>
      </c>
      <c r="AR77" s="141">
        <v>0</v>
      </c>
      <c r="AS77" s="141">
        <v>0</v>
      </c>
      <c r="AT77" s="142">
        <v>3.5859999999999999</v>
      </c>
      <c r="AU77" s="142">
        <v>0</v>
      </c>
      <c r="AV77" s="142">
        <v>2796.7159999999999</v>
      </c>
      <c r="AW77" s="142">
        <v>0</v>
      </c>
      <c r="AX77" s="179">
        <v>2796.7159999999999</v>
      </c>
      <c r="AY77" s="142">
        <v>3.5859999999999999</v>
      </c>
      <c r="AZ77" s="141"/>
      <c r="BA77" s="140"/>
      <c r="BB77" s="141"/>
      <c r="BC77" s="141"/>
      <c r="BD77" s="141"/>
      <c r="BE77" s="141"/>
      <c r="BF77" s="141"/>
      <c r="BG77" s="141"/>
      <c r="BH77" s="142"/>
      <c r="BI77" s="142"/>
      <c r="BJ77" s="142"/>
      <c r="BK77" s="142"/>
      <c r="BL77" s="142"/>
      <c r="BM77" s="142"/>
      <c r="BN77" s="141">
        <v>15</v>
      </c>
      <c r="BO77" s="140">
        <v>8.4499999999999993</v>
      </c>
      <c r="BP77" s="141">
        <v>17</v>
      </c>
      <c r="BQ77" s="141">
        <v>507</v>
      </c>
      <c r="BR77" s="141">
        <v>507</v>
      </c>
      <c r="BS77" s="141">
        <v>507</v>
      </c>
      <c r="BT77" s="141">
        <v>0</v>
      </c>
      <c r="BU77" s="141">
        <v>0</v>
      </c>
      <c r="BV77" s="142">
        <v>0</v>
      </c>
      <c r="BW77" s="142">
        <v>0</v>
      </c>
      <c r="BX77" s="142">
        <v>0</v>
      </c>
      <c r="BY77" s="142">
        <v>0</v>
      </c>
      <c r="BZ77" s="179">
        <v>0</v>
      </c>
      <c r="CA77" s="142">
        <v>0</v>
      </c>
    </row>
    <row r="78" spans="1:79" ht="16.5" customHeight="1">
      <c r="A78" s="222"/>
      <c r="B78" s="220" t="s">
        <v>392</v>
      </c>
      <c r="C78" s="220"/>
      <c r="D78" s="220"/>
      <c r="E78" s="136" t="s">
        <v>393</v>
      </c>
      <c r="F78" s="136" t="s">
        <v>568</v>
      </c>
      <c r="G78" s="139">
        <v>2025</v>
      </c>
      <c r="H78" s="136" t="s">
        <v>210</v>
      </c>
      <c r="I78" s="221">
        <v>1</v>
      </c>
      <c r="J78" s="221"/>
      <c r="K78" s="140">
        <v>62.5</v>
      </c>
      <c r="L78" s="141">
        <v>0</v>
      </c>
      <c r="M78" s="141">
        <v>3750</v>
      </c>
      <c r="N78" s="141">
        <v>179</v>
      </c>
      <c r="O78" s="141">
        <v>179</v>
      </c>
      <c r="P78" s="141">
        <v>1</v>
      </c>
      <c r="Q78" s="141">
        <v>177</v>
      </c>
      <c r="R78" s="142">
        <v>1E-3</v>
      </c>
      <c r="S78" s="142">
        <v>0</v>
      </c>
      <c r="T78" s="142">
        <v>0.46800000000000003</v>
      </c>
      <c r="U78" s="142">
        <v>0</v>
      </c>
      <c r="V78" s="179">
        <v>0.46800000000000003</v>
      </c>
      <c r="W78" s="142">
        <v>1E-3</v>
      </c>
      <c r="X78" s="141"/>
      <c r="Y78" s="140"/>
      <c r="Z78" s="141"/>
      <c r="AA78" s="141"/>
      <c r="AB78" s="141"/>
      <c r="AC78" s="141"/>
      <c r="AD78" s="141"/>
      <c r="AE78" s="141"/>
      <c r="AF78" s="142"/>
      <c r="AG78" s="142"/>
      <c r="AH78" s="142"/>
      <c r="AI78" s="142"/>
      <c r="AJ78" s="179"/>
      <c r="AK78" s="142"/>
      <c r="AL78" s="141"/>
      <c r="AM78" s="140"/>
      <c r="AN78" s="141"/>
      <c r="AO78" s="141"/>
      <c r="AP78" s="141"/>
      <c r="AQ78" s="141"/>
      <c r="AR78" s="141"/>
      <c r="AS78" s="141"/>
      <c r="AT78" s="142"/>
      <c r="AU78" s="142"/>
      <c r="AV78" s="142"/>
      <c r="AW78" s="142"/>
      <c r="AX78" s="179"/>
      <c r="AY78" s="142"/>
      <c r="AZ78" s="141"/>
      <c r="BA78" s="140"/>
      <c r="BB78" s="141"/>
      <c r="BC78" s="141"/>
      <c r="BD78" s="141"/>
      <c r="BE78" s="141"/>
      <c r="BF78" s="141"/>
      <c r="BG78" s="141"/>
      <c r="BH78" s="142"/>
      <c r="BI78" s="142"/>
      <c r="BJ78" s="142"/>
      <c r="BK78" s="142"/>
      <c r="BL78" s="142"/>
      <c r="BM78" s="142"/>
      <c r="BN78" s="141">
        <v>2</v>
      </c>
      <c r="BO78" s="140">
        <v>0.28299999999999997</v>
      </c>
      <c r="BP78" s="141">
        <v>2</v>
      </c>
      <c r="BQ78" s="141">
        <v>17</v>
      </c>
      <c r="BR78" s="141">
        <v>17</v>
      </c>
      <c r="BS78" s="141">
        <v>17</v>
      </c>
      <c r="BT78" s="141">
        <v>0</v>
      </c>
      <c r="BU78" s="141">
        <v>0</v>
      </c>
      <c r="BV78" s="142">
        <v>0</v>
      </c>
      <c r="BW78" s="142">
        <v>0</v>
      </c>
      <c r="BX78" s="142">
        <v>0</v>
      </c>
      <c r="BY78" s="142">
        <v>0</v>
      </c>
      <c r="BZ78" s="179">
        <v>0</v>
      </c>
      <c r="CA78" s="142">
        <v>0</v>
      </c>
    </row>
    <row r="79" spans="1:79" ht="16.5" customHeight="1">
      <c r="A79" s="222"/>
      <c r="B79" s="220" t="s">
        <v>394</v>
      </c>
      <c r="C79" s="220"/>
      <c r="D79" s="220"/>
      <c r="E79" s="136" t="s">
        <v>395</v>
      </c>
      <c r="F79" s="136" t="s">
        <v>568</v>
      </c>
      <c r="G79" s="139">
        <v>2025</v>
      </c>
      <c r="H79" s="136" t="s">
        <v>210</v>
      </c>
      <c r="I79" s="221"/>
      <c r="J79" s="221"/>
      <c r="K79" s="140"/>
      <c r="L79" s="141"/>
      <c r="M79" s="141"/>
      <c r="N79" s="141"/>
      <c r="O79" s="141"/>
      <c r="P79" s="141"/>
      <c r="Q79" s="141"/>
      <c r="R79" s="142"/>
      <c r="S79" s="142"/>
      <c r="T79" s="142"/>
      <c r="U79" s="142"/>
      <c r="V79" s="179"/>
      <c r="W79" s="142"/>
      <c r="X79" s="141">
        <v>1</v>
      </c>
      <c r="Y79" s="140">
        <v>0</v>
      </c>
      <c r="Z79" s="141">
        <v>0</v>
      </c>
      <c r="AA79" s="141">
        <v>0</v>
      </c>
      <c r="AB79" s="141">
        <v>0</v>
      </c>
      <c r="AC79" s="141">
        <v>0</v>
      </c>
      <c r="AD79" s="141">
        <v>0</v>
      </c>
      <c r="AE79" s="141">
        <v>0</v>
      </c>
      <c r="AF79" s="142">
        <v>7.0000000000000001E-3</v>
      </c>
      <c r="AG79" s="142">
        <v>0</v>
      </c>
      <c r="AH79" s="142">
        <v>5.585</v>
      </c>
      <c r="AI79" s="142">
        <v>0</v>
      </c>
      <c r="AJ79" s="179">
        <v>5.585</v>
      </c>
      <c r="AK79" s="142">
        <v>7.0000000000000001E-3</v>
      </c>
      <c r="AL79" s="141"/>
      <c r="AM79" s="140"/>
      <c r="AN79" s="141"/>
      <c r="AO79" s="141"/>
      <c r="AP79" s="141"/>
      <c r="AQ79" s="141"/>
      <c r="AR79" s="141"/>
      <c r="AS79" s="141"/>
      <c r="AT79" s="142"/>
      <c r="AU79" s="142"/>
      <c r="AV79" s="142"/>
      <c r="AW79" s="142"/>
      <c r="AX79" s="179"/>
      <c r="AY79" s="142"/>
      <c r="AZ79" s="141"/>
      <c r="BA79" s="140"/>
      <c r="BB79" s="141"/>
      <c r="BC79" s="141"/>
      <c r="BD79" s="141"/>
      <c r="BE79" s="141"/>
      <c r="BF79" s="141"/>
      <c r="BG79" s="141"/>
      <c r="BH79" s="142"/>
      <c r="BI79" s="142"/>
      <c r="BJ79" s="142"/>
      <c r="BK79" s="142"/>
      <c r="BL79" s="142"/>
      <c r="BM79" s="142"/>
      <c r="BN79" s="141"/>
      <c r="BO79" s="140"/>
      <c r="BP79" s="141"/>
      <c r="BQ79" s="141"/>
      <c r="BR79" s="141"/>
      <c r="BS79" s="141"/>
      <c r="BT79" s="141"/>
      <c r="BU79" s="141"/>
      <c r="BV79" s="142"/>
      <c r="BW79" s="142"/>
      <c r="BX79" s="142"/>
      <c r="BY79" s="142"/>
      <c r="BZ79" s="179"/>
      <c r="CA79" s="142"/>
    </row>
    <row r="80" spans="1:79" ht="16.5" customHeight="1">
      <c r="A80" s="222"/>
      <c r="B80" s="220" t="s">
        <v>396</v>
      </c>
      <c r="C80" s="220"/>
      <c r="D80" s="220"/>
      <c r="E80" s="136" t="s">
        <v>397</v>
      </c>
      <c r="F80" s="136" t="s">
        <v>568</v>
      </c>
      <c r="G80" s="139">
        <v>2025</v>
      </c>
      <c r="H80" s="136" t="s">
        <v>210</v>
      </c>
      <c r="I80" s="221">
        <v>1</v>
      </c>
      <c r="J80" s="221"/>
      <c r="K80" s="140">
        <v>0.1</v>
      </c>
      <c r="L80" s="141">
        <v>0</v>
      </c>
      <c r="M80" s="141">
        <v>6</v>
      </c>
      <c r="N80" s="141">
        <v>1</v>
      </c>
      <c r="O80" s="141">
        <v>1</v>
      </c>
      <c r="P80" s="141">
        <v>0</v>
      </c>
      <c r="Q80" s="141">
        <v>1</v>
      </c>
      <c r="R80" s="142">
        <v>0</v>
      </c>
      <c r="S80" s="142">
        <v>0</v>
      </c>
      <c r="T80" s="142">
        <v>0</v>
      </c>
      <c r="U80" s="142">
        <v>0</v>
      </c>
      <c r="V80" s="179">
        <v>0</v>
      </c>
      <c r="W80" s="142">
        <v>0</v>
      </c>
      <c r="X80" s="141"/>
      <c r="Y80" s="140"/>
      <c r="Z80" s="141"/>
      <c r="AA80" s="141"/>
      <c r="AB80" s="141"/>
      <c r="AC80" s="141"/>
      <c r="AD80" s="141"/>
      <c r="AE80" s="141"/>
      <c r="AF80" s="142"/>
      <c r="AG80" s="142"/>
      <c r="AH80" s="142"/>
      <c r="AI80" s="142"/>
      <c r="AJ80" s="179"/>
      <c r="AK80" s="142"/>
      <c r="AL80" s="141">
        <v>1</v>
      </c>
      <c r="AM80" s="140">
        <v>3</v>
      </c>
      <c r="AN80" s="141">
        <v>3</v>
      </c>
      <c r="AO80" s="141">
        <v>180</v>
      </c>
      <c r="AP80" s="141">
        <v>180</v>
      </c>
      <c r="AQ80" s="141">
        <v>180</v>
      </c>
      <c r="AR80" s="141">
        <v>0</v>
      </c>
      <c r="AS80" s="141">
        <v>0</v>
      </c>
      <c r="AT80" s="142">
        <v>4.2999999999999997E-2</v>
      </c>
      <c r="AU80" s="142">
        <v>0</v>
      </c>
      <c r="AV80" s="142">
        <v>33.493000000000002</v>
      </c>
      <c r="AW80" s="142">
        <v>0</v>
      </c>
      <c r="AX80" s="179">
        <v>33.493000000000002</v>
      </c>
      <c r="AY80" s="142">
        <v>4.2999999999999997E-2</v>
      </c>
      <c r="AZ80" s="141"/>
      <c r="BA80" s="140"/>
      <c r="BB80" s="141"/>
      <c r="BC80" s="141"/>
      <c r="BD80" s="141"/>
      <c r="BE80" s="141"/>
      <c r="BF80" s="141"/>
      <c r="BG80" s="141"/>
      <c r="BH80" s="142"/>
      <c r="BI80" s="142"/>
      <c r="BJ80" s="142"/>
      <c r="BK80" s="142"/>
      <c r="BL80" s="142"/>
      <c r="BM80" s="142"/>
      <c r="BN80" s="141">
        <v>1</v>
      </c>
      <c r="BO80" s="140">
        <v>0.35</v>
      </c>
      <c r="BP80" s="141">
        <v>1</v>
      </c>
      <c r="BQ80" s="141">
        <v>21</v>
      </c>
      <c r="BR80" s="141">
        <v>21</v>
      </c>
      <c r="BS80" s="141">
        <v>21</v>
      </c>
      <c r="BT80" s="141">
        <v>0</v>
      </c>
      <c r="BU80" s="141">
        <v>0</v>
      </c>
      <c r="BV80" s="142">
        <v>0</v>
      </c>
      <c r="BW80" s="142">
        <v>0</v>
      </c>
      <c r="BX80" s="142">
        <v>0</v>
      </c>
      <c r="BY80" s="142">
        <v>0</v>
      </c>
      <c r="BZ80" s="179">
        <v>0</v>
      </c>
      <c r="CA80" s="142">
        <v>0</v>
      </c>
    </row>
    <row r="81" spans="1:79" ht="16.5" customHeight="1">
      <c r="A81" s="222"/>
      <c r="B81" s="220" t="s">
        <v>398</v>
      </c>
      <c r="C81" s="220"/>
      <c r="D81" s="220"/>
      <c r="E81" s="136" t="s">
        <v>399</v>
      </c>
      <c r="F81" s="136" t="s">
        <v>568</v>
      </c>
      <c r="G81" s="139">
        <v>2025</v>
      </c>
      <c r="H81" s="136" t="s">
        <v>210</v>
      </c>
      <c r="I81" s="221"/>
      <c r="J81" s="221"/>
      <c r="K81" s="140"/>
      <c r="L81" s="141"/>
      <c r="M81" s="141"/>
      <c r="N81" s="141"/>
      <c r="O81" s="141"/>
      <c r="P81" s="141"/>
      <c r="Q81" s="141"/>
      <c r="R81" s="142"/>
      <c r="S81" s="142"/>
      <c r="T81" s="142"/>
      <c r="U81" s="142"/>
      <c r="V81" s="179"/>
      <c r="W81" s="142"/>
      <c r="X81" s="141"/>
      <c r="Y81" s="140"/>
      <c r="Z81" s="141"/>
      <c r="AA81" s="141"/>
      <c r="AB81" s="141"/>
      <c r="AC81" s="141"/>
      <c r="AD81" s="141"/>
      <c r="AE81" s="141"/>
      <c r="AF81" s="142"/>
      <c r="AG81" s="142"/>
      <c r="AH81" s="142"/>
      <c r="AI81" s="142"/>
      <c r="AJ81" s="179"/>
      <c r="AK81" s="142"/>
      <c r="AL81" s="141"/>
      <c r="AM81" s="140"/>
      <c r="AN81" s="141"/>
      <c r="AO81" s="141"/>
      <c r="AP81" s="141"/>
      <c r="AQ81" s="141"/>
      <c r="AR81" s="141"/>
      <c r="AS81" s="141"/>
      <c r="AT81" s="142"/>
      <c r="AU81" s="142"/>
      <c r="AV81" s="142"/>
      <c r="AW81" s="142"/>
      <c r="AX81" s="179"/>
      <c r="AY81" s="142"/>
      <c r="AZ81" s="141"/>
      <c r="BA81" s="140"/>
      <c r="BB81" s="141"/>
      <c r="BC81" s="141"/>
      <c r="BD81" s="141"/>
      <c r="BE81" s="141"/>
      <c r="BF81" s="141"/>
      <c r="BG81" s="141"/>
      <c r="BH81" s="142"/>
      <c r="BI81" s="142"/>
      <c r="BJ81" s="142"/>
      <c r="BK81" s="142"/>
      <c r="BL81" s="142"/>
      <c r="BM81" s="142"/>
      <c r="BN81" s="141">
        <v>6</v>
      </c>
      <c r="BO81" s="140">
        <v>1.8</v>
      </c>
      <c r="BP81" s="141">
        <v>6</v>
      </c>
      <c r="BQ81" s="141">
        <v>108</v>
      </c>
      <c r="BR81" s="141">
        <v>108</v>
      </c>
      <c r="BS81" s="141">
        <v>108</v>
      </c>
      <c r="BT81" s="141">
        <v>0</v>
      </c>
      <c r="BU81" s="141">
        <v>0</v>
      </c>
      <c r="BV81" s="142">
        <v>0</v>
      </c>
      <c r="BW81" s="142">
        <v>0</v>
      </c>
      <c r="BX81" s="142">
        <v>0</v>
      </c>
      <c r="BY81" s="142">
        <v>0</v>
      </c>
      <c r="BZ81" s="179">
        <v>0</v>
      </c>
      <c r="CA81" s="142">
        <v>0</v>
      </c>
    </row>
    <row r="82" spans="1:79" ht="16.5" customHeight="1">
      <c r="A82" s="222"/>
      <c r="B82" s="220" t="s">
        <v>400</v>
      </c>
      <c r="C82" s="220"/>
      <c r="D82" s="220"/>
      <c r="E82" s="136" t="s">
        <v>401</v>
      </c>
      <c r="F82" s="136" t="s">
        <v>568</v>
      </c>
      <c r="G82" s="139">
        <v>2025</v>
      </c>
      <c r="H82" s="136" t="s">
        <v>210</v>
      </c>
      <c r="I82" s="221">
        <v>545</v>
      </c>
      <c r="J82" s="221"/>
      <c r="K82" s="140">
        <v>29820.5</v>
      </c>
      <c r="L82" s="141">
        <v>0</v>
      </c>
      <c r="M82" s="141">
        <v>1789230</v>
      </c>
      <c r="N82" s="141">
        <v>283</v>
      </c>
      <c r="O82" s="141">
        <v>302</v>
      </c>
      <c r="P82" s="141">
        <v>135</v>
      </c>
      <c r="Q82" s="141">
        <v>148</v>
      </c>
      <c r="R82" s="142">
        <v>2E-3</v>
      </c>
      <c r="S82" s="142">
        <v>0</v>
      </c>
      <c r="T82" s="142">
        <v>1.5680000000000001</v>
      </c>
      <c r="U82" s="142">
        <v>0</v>
      </c>
      <c r="V82" s="179">
        <v>1.5680000000000001</v>
      </c>
      <c r="W82" s="142">
        <v>2E-3</v>
      </c>
      <c r="X82" s="141"/>
      <c r="Y82" s="140"/>
      <c r="Z82" s="141"/>
      <c r="AA82" s="141"/>
      <c r="AB82" s="141"/>
      <c r="AC82" s="141"/>
      <c r="AD82" s="141"/>
      <c r="AE82" s="141"/>
      <c r="AF82" s="142"/>
      <c r="AG82" s="142"/>
      <c r="AH82" s="142"/>
      <c r="AI82" s="142"/>
      <c r="AJ82" s="179"/>
      <c r="AK82" s="142"/>
      <c r="AL82" s="141"/>
      <c r="AM82" s="140"/>
      <c r="AN82" s="141"/>
      <c r="AO82" s="141"/>
      <c r="AP82" s="141"/>
      <c r="AQ82" s="141"/>
      <c r="AR82" s="141"/>
      <c r="AS82" s="141"/>
      <c r="AT82" s="142"/>
      <c r="AU82" s="142"/>
      <c r="AV82" s="142"/>
      <c r="AW82" s="142"/>
      <c r="AX82" s="179"/>
      <c r="AY82" s="142"/>
      <c r="AZ82" s="141">
        <v>1</v>
      </c>
      <c r="BA82" s="140">
        <v>0</v>
      </c>
      <c r="BB82" s="141">
        <v>0</v>
      </c>
      <c r="BC82" s="141">
        <v>0</v>
      </c>
      <c r="BD82" s="141">
        <v>0</v>
      </c>
      <c r="BE82" s="141">
        <v>0</v>
      </c>
      <c r="BF82" s="141">
        <v>0</v>
      </c>
      <c r="BG82" s="141">
        <v>0</v>
      </c>
      <c r="BH82" s="142">
        <v>0</v>
      </c>
      <c r="BI82" s="142">
        <v>0</v>
      </c>
      <c r="BJ82" s="142">
        <v>0</v>
      </c>
      <c r="BK82" s="142">
        <v>0</v>
      </c>
      <c r="BL82" s="142">
        <v>0</v>
      </c>
      <c r="BM82" s="142">
        <v>0</v>
      </c>
      <c r="BN82" s="141"/>
      <c r="BO82" s="140"/>
      <c r="BP82" s="141"/>
      <c r="BQ82" s="141"/>
      <c r="BR82" s="141"/>
      <c r="BS82" s="141"/>
      <c r="BT82" s="141"/>
      <c r="BU82" s="141"/>
      <c r="BV82" s="142"/>
      <c r="BW82" s="142"/>
      <c r="BX82" s="142"/>
      <c r="BY82" s="142"/>
      <c r="BZ82" s="179"/>
      <c r="CA82" s="142"/>
    </row>
    <row r="83" spans="1:79" ht="16.5" customHeight="1">
      <c r="A83" s="222"/>
      <c r="B83" s="220" t="s">
        <v>583</v>
      </c>
      <c r="C83" s="220"/>
      <c r="D83" s="220"/>
      <c r="E83" s="136" t="s">
        <v>584</v>
      </c>
      <c r="F83" s="136" t="s">
        <v>568</v>
      </c>
      <c r="G83" s="139">
        <v>2025</v>
      </c>
      <c r="H83" s="136" t="s">
        <v>210</v>
      </c>
      <c r="I83" s="221">
        <v>1</v>
      </c>
      <c r="J83" s="221"/>
      <c r="K83" s="140">
        <v>0</v>
      </c>
      <c r="L83" s="141">
        <v>0</v>
      </c>
      <c r="M83" s="141">
        <v>0</v>
      </c>
      <c r="N83" s="141">
        <v>0</v>
      </c>
      <c r="O83" s="141">
        <v>0</v>
      </c>
      <c r="P83" s="141">
        <v>0</v>
      </c>
      <c r="Q83" s="141">
        <v>0</v>
      </c>
      <c r="R83" s="142">
        <v>0</v>
      </c>
      <c r="S83" s="142">
        <v>0</v>
      </c>
      <c r="T83" s="142">
        <v>0</v>
      </c>
      <c r="U83" s="142">
        <v>0</v>
      </c>
      <c r="V83" s="179">
        <v>0</v>
      </c>
      <c r="W83" s="142">
        <v>0</v>
      </c>
      <c r="X83" s="141"/>
      <c r="Y83" s="140"/>
      <c r="Z83" s="141"/>
      <c r="AA83" s="141"/>
      <c r="AB83" s="141"/>
      <c r="AC83" s="141"/>
      <c r="AD83" s="141"/>
      <c r="AE83" s="141"/>
      <c r="AF83" s="142"/>
      <c r="AG83" s="142"/>
      <c r="AH83" s="142"/>
      <c r="AI83" s="142"/>
      <c r="AJ83" s="179"/>
      <c r="AK83" s="142"/>
      <c r="AL83" s="141"/>
      <c r="AM83" s="140"/>
      <c r="AN83" s="141"/>
      <c r="AO83" s="141"/>
      <c r="AP83" s="141"/>
      <c r="AQ83" s="141"/>
      <c r="AR83" s="141"/>
      <c r="AS83" s="141"/>
      <c r="AT83" s="142"/>
      <c r="AU83" s="142"/>
      <c r="AV83" s="142"/>
      <c r="AW83" s="142"/>
      <c r="AX83" s="179"/>
      <c r="AY83" s="142"/>
      <c r="AZ83" s="141"/>
      <c r="BA83" s="140"/>
      <c r="BB83" s="141"/>
      <c r="BC83" s="141"/>
      <c r="BD83" s="141"/>
      <c r="BE83" s="141"/>
      <c r="BF83" s="141"/>
      <c r="BG83" s="141"/>
      <c r="BH83" s="142"/>
      <c r="BI83" s="142"/>
      <c r="BJ83" s="142"/>
      <c r="BK83" s="142"/>
      <c r="BL83" s="142"/>
      <c r="BM83" s="142"/>
      <c r="BN83" s="141"/>
      <c r="BO83" s="140"/>
      <c r="BP83" s="141"/>
      <c r="BQ83" s="141"/>
      <c r="BR83" s="141"/>
      <c r="BS83" s="141"/>
      <c r="BT83" s="141"/>
      <c r="BU83" s="141"/>
      <c r="BV83" s="142"/>
      <c r="BW83" s="142"/>
      <c r="BX83" s="142"/>
      <c r="BY83" s="142"/>
      <c r="BZ83" s="179"/>
      <c r="CA83" s="142"/>
    </row>
    <row r="84" spans="1:79" ht="16.5" customHeight="1">
      <c r="A84" s="222"/>
      <c r="B84" s="220" t="s">
        <v>404</v>
      </c>
      <c r="C84" s="220"/>
      <c r="D84" s="220"/>
      <c r="E84" s="136" t="s">
        <v>405</v>
      </c>
      <c r="F84" s="136" t="s">
        <v>568</v>
      </c>
      <c r="G84" s="139">
        <v>2025</v>
      </c>
      <c r="H84" s="136" t="s">
        <v>210</v>
      </c>
      <c r="I84" s="221">
        <v>1001</v>
      </c>
      <c r="J84" s="221"/>
      <c r="K84" s="140">
        <v>7156.567</v>
      </c>
      <c r="L84" s="141">
        <v>0</v>
      </c>
      <c r="M84" s="141">
        <v>429394</v>
      </c>
      <c r="N84" s="141">
        <v>26096</v>
      </c>
      <c r="O84" s="141">
        <v>26622</v>
      </c>
      <c r="P84" s="141">
        <v>15652</v>
      </c>
      <c r="Q84" s="141">
        <v>10444</v>
      </c>
      <c r="R84" s="142">
        <v>0.106</v>
      </c>
      <c r="S84" s="142">
        <v>1.9E-2</v>
      </c>
      <c r="T84" s="142">
        <v>82.787999999999997</v>
      </c>
      <c r="U84" s="142">
        <v>15.069000000000001</v>
      </c>
      <c r="V84" s="179">
        <v>97.858000000000004</v>
      </c>
      <c r="W84" s="142">
        <v>0.125</v>
      </c>
      <c r="X84" s="141"/>
      <c r="Y84" s="140"/>
      <c r="Z84" s="141"/>
      <c r="AA84" s="141"/>
      <c r="AB84" s="141"/>
      <c r="AC84" s="141"/>
      <c r="AD84" s="141"/>
      <c r="AE84" s="141"/>
      <c r="AF84" s="142"/>
      <c r="AG84" s="142"/>
      <c r="AH84" s="142"/>
      <c r="AI84" s="142"/>
      <c r="AJ84" s="179"/>
      <c r="AK84" s="142"/>
      <c r="AL84" s="141"/>
      <c r="AM84" s="140"/>
      <c r="AN84" s="141"/>
      <c r="AO84" s="141"/>
      <c r="AP84" s="141"/>
      <c r="AQ84" s="141"/>
      <c r="AR84" s="141"/>
      <c r="AS84" s="141"/>
      <c r="AT84" s="142"/>
      <c r="AU84" s="142"/>
      <c r="AV84" s="142"/>
      <c r="AW84" s="142"/>
      <c r="AX84" s="179"/>
      <c r="AY84" s="142"/>
      <c r="AZ84" s="141"/>
      <c r="BA84" s="140"/>
      <c r="BB84" s="141"/>
      <c r="BC84" s="141"/>
      <c r="BD84" s="141"/>
      <c r="BE84" s="141"/>
      <c r="BF84" s="141"/>
      <c r="BG84" s="141"/>
      <c r="BH84" s="142"/>
      <c r="BI84" s="142"/>
      <c r="BJ84" s="142"/>
      <c r="BK84" s="142"/>
      <c r="BL84" s="142"/>
      <c r="BM84" s="142"/>
      <c r="BN84" s="141"/>
      <c r="BO84" s="140"/>
      <c r="BP84" s="141"/>
      <c r="BQ84" s="141"/>
      <c r="BR84" s="141"/>
      <c r="BS84" s="141"/>
      <c r="BT84" s="141"/>
      <c r="BU84" s="141"/>
      <c r="BV84" s="142"/>
      <c r="BW84" s="142"/>
      <c r="BX84" s="142"/>
      <c r="BY84" s="142"/>
      <c r="BZ84" s="179"/>
      <c r="CA84" s="142"/>
    </row>
    <row r="85" spans="1:79" ht="16.5" customHeight="1">
      <c r="A85" s="222"/>
      <c r="B85" s="220" t="s">
        <v>406</v>
      </c>
      <c r="C85" s="220"/>
      <c r="D85" s="220"/>
      <c r="E85" s="136" t="s">
        <v>407</v>
      </c>
      <c r="F85" s="136" t="s">
        <v>568</v>
      </c>
      <c r="G85" s="139">
        <v>2025</v>
      </c>
      <c r="H85" s="136" t="s">
        <v>210</v>
      </c>
      <c r="I85" s="221">
        <v>341</v>
      </c>
      <c r="J85" s="221"/>
      <c r="K85" s="140">
        <v>6969.65</v>
      </c>
      <c r="L85" s="141">
        <v>0</v>
      </c>
      <c r="M85" s="141">
        <v>418179</v>
      </c>
      <c r="N85" s="141">
        <v>23822</v>
      </c>
      <c r="O85" s="141">
        <v>23999</v>
      </c>
      <c r="P85" s="141">
        <v>1890</v>
      </c>
      <c r="Q85" s="141">
        <v>21932</v>
      </c>
      <c r="R85" s="142">
        <v>0.158</v>
      </c>
      <c r="S85" s="142">
        <v>0</v>
      </c>
      <c r="T85" s="142">
        <v>123.169</v>
      </c>
      <c r="U85" s="142">
        <v>0</v>
      </c>
      <c r="V85" s="179">
        <v>123.169</v>
      </c>
      <c r="W85" s="142">
        <v>0.158</v>
      </c>
      <c r="X85" s="141"/>
      <c r="Y85" s="140"/>
      <c r="Z85" s="141"/>
      <c r="AA85" s="141"/>
      <c r="AB85" s="141"/>
      <c r="AC85" s="141"/>
      <c r="AD85" s="141"/>
      <c r="AE85" s="141"/>
      <c r="AF85" s="142"/>
      <c r="AG85" s="142"/>
      <c r="AH85" s="142"/>
      <c r="AI85" s="142"/>
      <c r="AJ85" s="179"/>
      <c r="AK85" s="142"/>
      <c r="AL85" s="141">
        <v>5</v>
      </c>
      <c r="AM85" s="140">
        <v>6.5</v>
      </c>
      <c r="AN85" s="141">
        <v>10</v>
      </c>
      <c r="AO85" s="141">
        <v>390</v>
      </c>
      <c r="AP85" s="141">
        <v>390</v>
      </c>
      <c r="AQ85" s="141">
        <v>390</v>
      </c>
      <c r="AR85" s="141">
        <v>0</v>
      </c>
      <c r="AS85" s="141">
        <v>0</v>
      </c>
      <c r="AT85" s="142">
        <v>2.4089999999999998</v>
      </c>
      <c r="AU85" s="142">
        <v>0</v>
      </c>
      <c r="AV85" s="142">
        <v>1879.328</v>
      </c>
      <c r="AW85" s="142">
        <v>0</v>
      </c>
      <c r="AX85" s="179">
        <v>1879.328</v>
      </c>
      <c r="AY85" s="142">
        <v>2.4089999999999998</v>
      </c>
      <c r="AZ85" s="141">
        <v>6089</v>
      </c>
      <c r="BA85" s="140">
        <v>0</v>
      </c>
      <c r="BB85" s="141">
        <v>0</v>
      </c>
      <c r="BC85" s="141">
        <v>0</v>
      </c>
      <c r="BD85" s="141">
        <v>0</v>
      </c>
      <c r="BE85" s="141">
        <v>0</v>
      </c>
      <c r="BF85" s="141">
        <v>0</v>
      </c>
      <c r="BG85" s="141">
        <v>0</v>
      </c>
      <c r="BH85" s="142">
        <v>0</v>
      </c>
      <c r="BI85" s="142">
        <v>0</v>
      </c>
      <c r="BJ85" s="142">
        <v>0</v>
      </c>
      <c r="BK85" s="142">
        <v>0</v>
      </c>
      <c r="BL85" s="142">
        <v>0</v>
      </c>
      <c r="BM85" s="142">
        <v>0</v>
      </c>
      <c r="BN85" s="141">
        <v>12</v>
      </c>
      <c r="BO85" s="140">
        <v>10.933</v>
      </c>
      <c r="BP85" s="141">
        <v>17</v>
      </c>
      <c r="BQ85" s="141">
        <v>656</v>
      </c>
      <c r="BR85" s="141">
        <v>656</v>
      </c>
      <c r="BS85" s="141">
        <v>656</v>
      </c>
      <c r="BT85" s="141">
        <v>0</v>
      </c>
      <c r="BU85" s="141">
        <v>0</v>
      </c>
      <c r="BV85" s="142">
        <v>0</v>
      </c>
      <c r="BW85" s="142">
        <v>0</v>
      </c>
      <c r="BX85" s="142">
        <v>0</v>
      </c>
      <c r="BY85" s="142">
        <v>0</v>
      </c>
      <c r="BZ85" s="179">
        <v>0</v>
      </c>
      <c r="CA85" s="142">
        <v>0</v>
      </c>
    </row>
    <row r="86" spans="1:79" ht="16.5" customHeight="1">
      <c r="A86" s="222"/>
      <c r="B86" s="220" t="s">
        <v>408</v>
      </c>
      <c r="C86" s="220"/>
      <c r="D86" s="220"/>
      <c r="E86" s="136" t="s">
        <v>409</v>
      </c>
      <c r="F86" s="136" t="s">
        <v>568</v>
      </c>
      <c r="G86" s="139">
        <v>2025</v>
      </c>
      <c r="H86" s="136" t="s">
        <v>210</v>
      </c>
      <c r="I86" s="221">
        <v>732</v>
      </c>
      <c r="J86" s="221"/>
      <c r="K86" s="140">
        <v>81322.967000000004</v>
      </c>
      <c r="L86" s="141">
        <v>0</v>
      </c>
      <c r="M86" s="141">
        <v>4879378</v>
      </c>
      <c r="N86" s="141">
        <v>38287</v>
      </c>
      <c r="O86" s="141">
        <v>38636</v>
      </c>
      <c r="P86" s="141">
        <v>759</v>
      </c>
      <c r="Q86" s="141">
        <v>37528</v>
      </c>
      <c r="R86" s="142">
        <v>0.18099999999999999</v>
      </c>
      <c r="S86" s="142">
        <v>0</v>
      </c>
      <c r="T86" s="142">
        <v>141.179</v>
      </c>
      <c r="U86" s="142">
        <v>0</v>
      </c>
      <c r="V86" s="179">
        <v>141.179</v>
      </c>
      <c r="W86" s="142">
        <v>0.18099999999999999</v>
      </c>
      <c r="X86" s="141"/>
      <c r="Y86" s="140"/>
      <c r="Z86" s="141"/>
      <c r="AA86" s="141"/>
      <c r="AB86" s="141"/>
      <c r="AC86" s="141"/>
      <c r="AD86" s="141"/>
      <c r="AE86" s="141"/>
      <c r="AF86" s="142"/>
      <c r="AG86" s="142"/>
      <c r="AH86" s="142"/>
      <c r="AI86" s="142"/>
      <c r="AJ86" s="179"/>
      <c r="AK86" s="142"/>
      <c r="AL86" s="141">
        <v>25</v>
      </c>
      <c r="AM86" s="140">
        <v>167.18299999999999</v>
      </c>
      <c r="AN86" s="141">
        <v>181</v>
      </c>
      <c r="AO86" s="141">
        <v>10031</v>
      </c>
      <c r="AP86" s="141">
        <v>10031</v>
      </c>
      <c r="AQ86" s="141">
        <v>10031</v>
      </c>
      <c r="AR86" s="141">
        <v>0</v>
      </c>
      <c r="AS86" s="141">
        <v>0</v>
      </c>
      <c r="AT86" s="142">
        <v>42.298000000000002</v>
      </c>
      <c r="AU86" s="142">
        <v>0</v>
      </c>
      <c r="AV86" s="142">
        <v>32992.101999999999</v>
      </c>
      <c r="AW86" s="142">
        <v>0</v>
      </c>
      <c r="AX86" s="179">
        <v>32992.101999999999</v>
      </c>
      <c r="AY86" s="142">
        <v>42.298000000000002</v>
      </c>
      <c r="AZ86" s="141">
        <v>3485</v>
      </c>
      <c r="BA86" s="140">
        <v>0</v>
      </c>
      <c r="BB86" s="141">
        <v>0</v>
      </c>
      <c r="BC86" s="141">
        <v>0</v>
      </c>
      <c r="BD86" s="141">
        <v>0</v>
      </c>
      <c r="BE86" s="141">
        <v>0</v>
      </c>
      <c r="BF86" s="141">
        <v>0</v>
      </c>
      <c r="BG86" s="141">
        <v>0</v>
      </c>
      <c r="BH86" s="142">
        <v>0</v>
      </c>
      <c r="BI86" s="142">
        <v>0</v>
      </c>
      <c r="BJ86" s="142">
        <v>0</v>
      </c>
      <c r="BK86" s="142">
        <v>0</v>
      </c>
      <c r="BL86" s="142">
        <v>0</v>
      </c>
      <c r="BM86" s="142">
        <v>0</v>
      </c>
      <c r="BN86" s="141">
        <v>23</v>
      </c>
      <c r="BO86" s="140">
        <v>20.766999999999999</v>
      </c>
      <c r="BP86" s="141">
        <v>33</v>
      </c>
      <c r="BQ86" s="141">
        <v>1246</v>
      </c>
      <c r="BR86" s="141">
        <v>1246</v>
      </c>
      <c r="BS86" s="141">
        <v>1246</v>
      </c>
      <c r="BT86" s="141">
        <v>0</v>
      </c>
      <c r="BU86" s="141">
        <v>0</v>
      </c>
      <c r="BV86" s="142">
        <v>0</v>
      </c>
      <c r="BW86" s="142">
        <v>0</v>
      </c>
      <c r="BX86" s="142">
        <v>0</v>
      </c>
      <c r="BY86" s="142">
        <v>0</v>
      </c>
      <c r="BZ86" s="179">
        <v>0</v>
      </c>
      <c r="CA86" s="142">
        <v>0</v>
      </c>
    </row>
    <row r="87" spans="1:79" ht="16.5" customHeight="1">
      <c r="A87" s="222"/>
      <c r="B87" s="220" t="s">
        <v>410</v>
      </c>
      <c r="C87" s="220"/>
      <c r="D87" s="220"/>
      <c r="E87" s="136" t="s">
        <v>411</v>
      </c>
      <c r="F87" s="136" t="s">
        <v>568</v>
      </c>
      <c r="G87" s="139">
        <v>2025</v>
      </c>
      <c r="H87" s="136" t="s">
        <v>210</v>
      </c>
      <c r="I87" s="221">
        <v>52</v>
      </c>
      <c r="J87" s="221"/>
      <c r="K87" s="140">
        <v>1232.1500000000001</v>
      </c>
      <c r="L87" s="141">
        <v>0</v>
      </c>
      <c r="M87" s="141">
        <v>73929</v>
      </c>
      <c r="N87" s="141">
        <v>2830</v>
      </c>
      <c r="O87" s="141">
        <v>2880</v>
      </c>
      <c r="P87" s="141">
        <v>2683</v>
      </c>
      <c r="Q87" s="141">
        <v>147</v>
      </c>
      <c r="R87" s="142">
        <v>1.9E-2</v>
      </c>
      <c r="S87" s="142">
        <v>0</v>
      </c>
      <c r="T87" s="142">
        <v>14.43</v>
      </c>
      <c r="U87" s="142">
        <v>0</v>
      </c>
      <c r="V87" s="179">
        <v>14.43</v>
      </c>
      <c r="W87" s="142">
        <v>1.9E-2</v>
      </c>
      <c r="X87" s="141"/>
      <c r="Y87" s="140"/>
      <c r="Z87" s="141"/>
      <c r="AA87" s="141"/>
      <c r="AB87" s="141"/>
      <c r="AC87" s="141"/>
      <c r="AD87" s="141"/>
      <c r="AE87" s="141"/>
      <c r="AF87" s="142"/>
      <c r="AG87" s="142"/>
      <c r="AH87" s="142"/>
      <c r="AI87" s="142"/>
      <c r="AJ87" s="179"/>
      <c r="AK87" s="142"/>
      <c r="AL87" s="141"/>
      <c r="AM87" s="140"/>
      <c r="AN87" s="141"/>
      <c r="AO87" s="141"/>
      <c r="AP87" s="141"/>
      <c r="AQ87" s="141"/>
      <c r="AR87" s="141"/>
      <c r="AS87" s="141"/>
      <c r="AT87" s="142"/>
      <c r="AU87" s="142"/>
      <c r="AV87" s="142"/>
      <c r="AW87" s="142"/>
      <c r="AX87" s="179"/>
      <c r="AY87" s="142"/>
      <c r="AZ87" s="141"/>
      <c r="BA87" s="140"/>
      <c r="BB87" s="141"/>
      <c r="BC87" s="141"/>
      <c r="BD87" s="141"/>
      <c r="BE87" s="141"/>
      <c r="BF87" s="141"/>
      <c r="BG87" s="141"/>
      <c r="BH87" s="142"/>
      <c r="BI87" s="142"/>
      <c r="BJ87" s="142"/>
      <c r="BK87" s="142"/>
      <c r="BL87" s="142"/>
      <c r="BM87" s="142"/>
      <c r="BN87" s="141"/>
      <c r="BO87" s="140"/>
      <c r="BP87" s="141"/>
      <c r="BQ87" s="141"/>
      <c r="BR87" s="141"/>
      <c r="BS87" s="141"/>
      <c r="BT87" s="141"/>
      <c r="BU87" s="141"/>
      <c r="BV87" s="142"/>
      <c r="BW87" s="142"/>
      <c r="BX87" s="142"/>
      <c r="BY87" s="142"/>
      <c r="BZ87" s="179"/>
      <c r="CA87" s="142"/>
    </row>
    <row r="88" spans="1:79" ht="16.5" customHeight="1">
      <c r="A88" s="222"/>
      <c r="B88" s="220" t="s">
        <v>585</v>
      </c>
      <c r="C88" s="220"/>
      <c r="D88" s="220"/>
      <c r="E88" s="136" t="s">
        <v>586</v>
      </c>
      <c r="F88" s="136" t="s">
        <v>568</v>
      </c>
      <c r="G88" s="139">
        <v>2025</v>
      </c>
      <c r="H88" s="136" t="s">
        <v>210</v>
      </c>
      <c r="I88" s="221">
        <v>639</v>
      </c>
      <c r="J88" s="221"/>
      <c r="K88" s="140">
        <v>48818.332999999999</v>
      </c>
      <c r="L88" s="141">
        <v>0</v>
      </c>
      <c r="M88" s="141">
        <v>2929100</v>
      </c>
      <c r="N88" s="141">
        <v>39048</v>
      </c>
      <c r="O88" s="141">
        <v>56740</v>
      </c>
      <c r="P88" s="141">
        <v>3715</v>
      </c>
      <c r="Q88" s="141">
        <v>35333</v>
      </c>
      <c r="R88" s="142">
        <v>913.101</v>
      </c>
      <c r="S88" s="142">
        <v>0</v>
      </c>
      <c r="T88" s="142">
        <v>712211.745</v>
      </c>
      <c r="U88" s="142">
        <v>0</v>
      </c>
      <c r="V88" s="179">
        <v>712211.745</v>
      </c>
      <c r="W88" s="142">
        <v>913.101</v>
      </c>
      <c r="X88" s="141"/>
      <c r="Y88" s="140"/>
      <c r="Z88" s="141"/>
      <c r="AA88" s="141"/>
      <c r="AB88" s="141"/>
      <c r="AC88" s="141"/>
      <c r="AD88" s="141"/>
      <c r="AE88" s="141"/>
      <c r="AF88" s="142"/>
      <c r="AG88" s="142"/>
      <c r="AH88" s="142"/>
      <c r="AI88" s="142"/>
      <c r="AJ88" s="179"/>
      <c r="AK88" s="142"/>
      <c r="AL88" s="141">
        <v>4</v>
      </c>
      <c r="AM88" s="140">
        <v>4.75</v>
      </c>
      <c r="AN88" s="141">
        <v>7</v>
      </c>
      <c r="AO88" s="141">
        <v>285</v>
      </c>
      <c r="AP88" s="141">
        <v>285</v>
      </c>
      <c r="AQ88" s="141">
        <v>420</v>
      </c>
      <c r="AR88" s="141">
        <v>0</v>
      </c>
      <c r="AS88" s="141">
        <v>0</v>
      </c>
      <c r="AT88" s="142">
        <v>13.673999999999999</v>
      </c>
      <c r="AU88" s="142">
        <v>0</v>
      </c>
      <c r="AV88" s="142">
        <v>10665.862999999999</v>
      </c>
      <c r="AW88" s="142">
        <v>0</v>
      </c>
      <c r="AX88" s="179">
        <v>10665.862999999999</v>
      </c>
      <c r="AY88" s="142">
        <v>13.673999999999999</v>
      </c>
      <c r="AZ88" s="141"/>
      <c r="BA88" s="140"/>
      <c r="BB88" s="141"/>
      <c r="BC88" s="141"/>
      <c r="BD88" s="141"/>
      <c r="BE88" s="141"/>
      <c r="BF88" s="141"/>
      <c r="BG88" s="141"/>
      <c r="BH88" s="142"/>
      <c r="BI88" s="142"/>
      <c r="BJ88" s="142"/>
      <c r="BK88" s="142"/>
      <c r="BL88" s="142"/>
      <c r="BM88" s="142"/>
      <c r="BN88" s="141">
        <v>7</v>
      </c>
      <c r="BO88" s="140">
        <v>4.367</v>
      </c>
      <c r="BP88" s="141">
        <v>8</v>
      </c>
      <c r="BQ88" s="141">
        <v>262</v>
      </c>
      <c r="BR88" s="141">
        <v>262</v>
      </c>
      <c r="BS88" s="141">
        <v>262</v>
      </c>
      <c r="BT88" s="141">
        <v>0</v>
      </c>
      <c r="BU88" s="141">
        <v>0</v>
      </c>
      <c r="BV88" s="142">
        <v>0</v>
      </c>
      <c r="BW88" s="142">
        <v>0</v>
      </c>
      <c r="BX88" s="142">
        <v>0</v>
      </c>
      <c r="BY88" s="142">
        <v>0</v>
      </c>
      <c r="BZ88" s="179">
        <v>0</v>
      </c>
      <c r="CA88" s="142">
        <v>0</v>
      </c>
    </row>
    <row r="89" spans="1:79" ht="16.5" customHeight="1">
      <c r="A89" s="222"/>
      <c r="B89" s="220" t="s">
        <v>412</v>
      </c>
      <c r="C89" s="220"/>
      <c r="D89" s="220"/>
      <c r="E89" s="136" t="s">
        <v>413</v>
      </c>
      <c r="F89" s="136" t="s">
        <v>568</v>
      </c>
      <c r="G89" s="139">
        <v>2025</v>
      </c>
      <c r="H89" s="136" t="s">
        <v>210</v>
      </c>
      <c r="I89" s="221"/>
      <c r="J89" s="221"/>
      <c r="K89" s="140"/>
      <c r="L89" s="141"/>
      <c r="M89" s="141"/>
      <c r="N89" s="141"/>
      <c r="O89" s="141"/>
      <c r="P89" s="141"/>
      <c r="Q89" s="141"/>
      <c r="R89" s="142"/>
      <c r="S89" s="142"/>
      <c r="T89" s="142"/>
      <c r="U89" s="142"/>
      <c r="V89" s="179"/>
      <c r="W89" s="142"/>
      <c r="X89" s="141"/>
      <c r="Y89" s="140"/>
      <c r="Z89" s="141"/>
      <c r="AA89" s="141"/>
      <c r="AB89" s="141"/>
      <c r="AC89" s="141"/>
      <c r="AD89" s="141"/>
      <c r="AE89" s="141"/>
      <c r="AF89" s="142"/>
      <c r="AG89" s="142"/>
      <c r="AH89" s="142"/>
      <c r="AI89" s="142"/>
      <c r="AJ89" s="179"/>
      <c r="AK89" s="142"/>
      <c r="AL89" s="141"/>
      <c r="AM89" s="140"/>
      <c r="AN89" s="141"/>
      <c r="AO89" s="141"/>
      <c r="AP89" s="141"/>
      <c r="AQ89" s="141"/>
      <c r="AR89" s="141"/>
      <c r="AS89" s="141"/>
      <c r="AT89" s="142"/>
      <c r="AU89" s="142"/>
      <c r="AV89" s="142"/>
      <c r="AW89" s="142"/>
      <c r="AX89" s="179"/>
      <c r="AY89" s="142"/>
      <c r="AZ89" s="141">
        <v>107</v>
      </c>
      <c r="BA89" s="140">
        <v>0</v>
      </c>
      <c r="BB89" s="141">
        <v>0</v>
      </c>
      <c r="BC89" s="141">
        <v>0</v>
      </c>
      <c r="BD89" s="141">
        <v>0</v>
      </c>
      <c r="BE89" s="141">
        <v>0</v>
      </c>
      <c r="BF89" s="141">
        <v>0</v>
      </c>
      <c r="BG89" s="141">
        <v>0</v>
      </c>
      <c r="BH89" s="142">
        <v>0</v>
      </c>
      <c r="BI89" s="142">
        <v>0</v>
      </c>
      <c r="BJ89" s="142">
        <v>0</v>
      </c>
      <c r="BK89" s="142">
        <v>0</v>
      </c>
      <c r="BL89" s="142">
        <v>0</v>
      </c>
      <c r="BM89" s="142">
        <v>0</v>
      </c>
      <c r="BN89" s="141"/>
      <c r="BO89" s="140"/>
      <c r="BP89" s="141"/>
      <c r="BQ89" s="141"/>
      <c r="BR89" s="141"/>
      <c r="BS89" s="141"/>
      <c r="BT89" s="141"/>
      <c r="BU89" s="141"/>
      <c r="BV89" s="142"/>
      <c r="BW89" s="142"/>
      <c r="BX89" s="142"/>
      <c r="BY89" s="142"/>
      <c r="BZ89" s="179"/>
      <c r="CA89" s="142"/>
    </row>
    <row r="90" spans="1:79" ht="16.5" customHeight="1">
      <c r="A90" s="222"/>
      <c r="B90" s="220" t="s">
        <v>418</v>
      </c>
      <c r="C90" s="220"/>
      <c r="D90" s="220"/>
      <c r="E90" s="136" t="s">
        <v>419</v>
      </c>
      <c r="F90" s="136" t="s">
        <v>568</v>
      </c>
      <c r="G90" s="139">
        <v>2025</v>
      </c>
      <c r="H90" s="136" t="s">
        <v>210</v>
      </c>
      <c r="I90" s="221">
        <v>30926</v>
      </c>
      <c r="J90" s="221"/>
      <c r="K90" s="140">
        <v>548568.80000000005</v>
      </c>
      <c r="L90" s="141">
        <v>0</v>
      </c>
      <c r="M90" s="141">
        <v>32914128</v>
      </c>
      <c r="N90" s="141">
        <v>29322</v>
      </c>
      <c r="O90" s="141">
        <v>82200</v>
      </c>
      <c r="P90" s="141">
        <v>887</v>
      </c>
      <c r="Q90" s="141">
        <v>28435</v>
      </c>
      <c r="R90" s="142">
        <v>1117.7539999999999</v>
      </c>
      <c r="S90" s="142">
        <v>0</v>
      </c>
      <c r="T90" s="142">
        <v>871839.15500000003</v>
      </c>
      <c r="U90" s="142">
        <v>0</v>
      </c>
      <c r="V90" s="179">
        <v>871839.15500000003</v>
      </c>
      <c r="W90" s="142">
        <v>1117.7539999999999</v>
      </c>
      <c r="X90" s="141"/>
      <c r="Y90" s="140"/>
      <c r="Z90" s="141"/>
      <c r="AA90" s="141"/>
      <c r="AB90" s="141"/>
      <c r="AC90" s="141"/>
      <c r="AD90" s="141"/>
      <c r="AE90" s="141"/>
      <c r="AF90" s="142"/>
      <c r="AG90" s="142"/>
      <c r="AH90" s="142"/>
      <c r="AI90" s="142"/>
      <c r="AJ90" s="179"/>
      <c r="AK90" s="142"/>
      <c r="AL90" s="141">
        <v>1</v>
      </c>
      <c r="AM90" s="140">
        <v>1.7000000000000001E-2</v>
      </c>
      <c r="AN90" s="141">
        <v>1</v>
      </c>
      <c r="AO90" s="141">
        <v>1</v>
      </c>
      <c r="AP90" s="141">
        <v>1</v>
      </c>
      <c r="AQ90" s="141">
        <v>60</v>
      </c>
      <c r="AR90" s="141">
        <v>0</v>
      </c>
      <c r="AS90" s="141">
        <v>0</v>
      </c>
      <c r="AT90" s="142">
        <v>0</v>
      </c>
      <c r="AU90" s="142">
        <v>0</v>
      </c>
      <c r="AV90" s="142">
        <v>0</v>
      </c>
      <c r="AW90" s="142">
        <v>0</v>
      </c>
      <c r="AX90" s="179">
        <v>0</v>
      </c>
      <c r="AY90" s="142">
        <v>0</v>
      </c>
      <c r="AZ90" s="141">
        <v>108</v>
      </c>
      <c r="BA90" s="140">
        <v>0</v>
      </c>
      <c r="BB90" s="141">
        <v>0</v>
      </c>
      <c r="BC90" s="141">
        <v>0</v>
      </c>
      <c r="BD90" s="141">
        <v>0</v>
      </c>
      <c r="BE90" s="141">
        <v>0</v>
      </c>
      <c r="BF90" s="141">
        <v>0</v>
      </c>
      <c r="BG90" s="141">
        <v>0</v>
      </c>
      <c r="BH90" s="142">
        <v>0</v>
      </c>
      <c r="BI90" s="142">
        <v>0</v>
      </c>
      <c r="BJ90" s="142">
        <v>0</v>
      </c>
      <c r="BK90" s="142">
        <v>0</v>
      </c>
      <c r="BL90" s="142">
        <v>0</v>
      </c>
      <c r="BM90" s="142">
        <v>0</v>
      </c>
      <c r="BN90" s="141"/>
      <c r="BO90" s="140"/>
      <c r="BP90" s="141"/>
      <c r="BQ90" s="141"/>
      <c r="BR90" s="141"/>
      <c r="BS90" s="141"/>
      <c r="BT90" s="141"/>
      <c r="BU90" s="141"/>
      <c r="BV90" s="142"/>
      <c r="BW90" s="142"/>
      <c r="BX90" s="142"/>
      <c r="BY90" s="142"/>
      <c r="BZ90" s="179"/>
      <c r="CA90" s="142"/>
    </row>
    <row r="91" spans="1:79" ht="16.5" customHeight="1">
      <c r="A91" s="222"/>
      <c r="B91" s="220" t="s">
        <v>420</v>
      </c>
      <c r="C91" s="220"/>
      <c r="D91" s="220"/>
      <c r="E91" s="136" t="s">
        <v>421</v>
      </c>
      <c r="F91" s="136" t="s">
        <v>568</v>
      </c>
      <c r="G91" s="139">
        <v>2025</v>
      </c>
      <c r="H91" s="136" t="s">
        <v>210</v>
      </c>
      <c r="I91" s="221">
        <v>6</v>
      </c>
      <c r="J91" s="221"/>
      <c r="K91" s="140">
        <v>67.316999999999993</v>
      </c>
      <c r="L91" s="141">
        <v>0</v>
      </c>
      <c r="M91" s="141">
        <v>4039</v>
      </c>
      <c r="N91" s="141">
        <v>72</v>
      </c>
      <c r="O91" s="141">
        <v>75</v>
      </c>
      <c r="P91" s="141">
        <v>1</v>
      </c>
      <c r="Q91" s="141">
        <v>71</v>
      </c>
      <c r="R91" s="142">
        <v>1E-3</v>
      </c>
      <c r="S91" s="142">
        <v>0</v>
      </c>
      <c r="T91" s="142">
        <v>0.68600000000000005</v>
      </c>
      <c r="U91" s="142">
        <v>0</v>
      </c>
      <c r="V91" s="179">
        <v>0.68600000000000005</v>
      </c>
      <c r="W91" s="142">
        <v>1E-3</v>
      </c>
      <c r="X91" s="141"/>
      <c r="Y91" s="140"/>
      <c r="Z91" s="141"/>
      <c r="AA91" s="141"/>
      <c r="AB91" s="141"/>
      <c r="AC91" s="141"/>
      <c r="AD91" s="141"/>
      <c r="AE91" s="141"/>
      <c r="AF91" s="142"/>
      <c r="AG91" s="142"/>
      <c r="AH91" s="142"/>
      <c r="AI91" s="142"/>
      <c r="AJ91" s="179"/>
      <c r="AK91" s="142"/>
      <c r="AL91" s="141"/>
      <c r="AM91" s="140"/>
      <c r="AN91" s="141"/>
      <c r="AO91" s="141"/>
      <c r="AP91" s="141"/>
      <c r="AQ91" s="141"/>
      <c r="AR91" s="141"/>
      <c r="AS91" s="141"/>
      <c r="AT91" s="142"/>
      <c r="AU91" s="142"/>
      <c r="AV91" s="142"/>
      <c r="AW91" s="142"/>
      <c r="AX91" s="179"/>
      <c r="AY91" s="142"/>
      <c r="AZ91" s="141"/>
      <c r="BA91" s="140"/>
      <c r="BB91" s="141"/>
      <c r="BC91" s="141"/>
      <c r="BD91" s="141"/>
      <c r="BE91" s="141"/>
      <c r="BF91" s="141"/>
      <c r="BG91" s="141"/>
      <c r="BH91" s="142"/>
      <c r="BI91" s="142"/>
      <c r="BJ91" s="142"/>
      <c r="BK91" s="142"/>
      <c r="BL91" s="142"/>
      <c r="BM91" s="142"/>
      <c r="BN91" s="141"/>
      <c r="BO91" s="140"/>
      <c r="BP91" s="141"/>
      <c r="BQ91" s="141"/>
      <c r="BR91" s="141"/>
      <c r="BS91" s="141"/>
      <c r="BT91" s="141"/>
      <c r="BU91" s="141"/>
      <c r="BV91" s="142"/>
      <c r="BW91" s="142"/>
      <c r="BX91" s="142"/>
      <c r="BY91" s="142"/>
      <c r="BZ91" s="179"/>
      <c r="CA91" s="142"/>
    </row>
    <row r="92" spans="1:79" ht="16.5" customHeight="1">
      <c r="A92" s="222"/>
      <c r="B92" s="220" t="s">
        <v>587</v>
      </c>
      <c r="C92" s="220"/>
      <c r="D92" s="220"/>
      <c r="E92" s="136" t="s">
        <v>588</v>
      </c>
      <c r="F92" s="136" t="s">
        <v>568</v>
      </c>
      <c r="G92" s="139">
        <v>2025</v>
      </c>
      <c r="H92" s="136" t="s">
        <v>210</v>
      </c>
      <c r="I92" s="221"/>
      <c r="J92" s="221"/>
      <c r="K92" s="140"/>
      <c r="L92" s="141"/>
      <c r="M92" s="141"/>
      <c r="N92" s="141"/>
      <c r="O92" s="141"/>
      <c r="P92" s="141"/>
      <c r="Q92" s="141"/>
      <c r="R92" s="142"/>
      <c r="S92" s="142"/>
      <c r="T92" s="142"/>
      <c r="U92" s="142"/>
      <c r="V92" s="179"/>
      <c r="W92" s="142"/>
      <c r="X92" s="141"/>
      <c r="Y92" s="140"/>
      <c r="Z92" s="141"/>
      <c r="AA92" s="141"/>
      <c r="AB92" s="141"/>
      <c r="AC92" s="141"/>
      <c r="AD92" s="141"/>
      <c r="AE92" s="141"/>
      <c r="AF92" s="142"/>
      <c r="AG92" s="142"/>
      <c r="AH92" s="142"/>
      <c r="AI92" s="142"/>
      <c r="AJ92" s="179"/>
      <c r="AK92" s="142"/>
      <c r="AL92" s="141">
        <v>9</v>
      </c>
      <c r="AM92" s="140">
        <v>1.4</v>
      </c>
      <c r="AN92" s="141">
        <v>9</v>
      </c>
      <c r="AO92" s="141">
        <v>84</v>
      </c>
      <c r="AP92" s="141">
        <v>84</v>
      </c>
      <c r="AQ92" s="141">
        <v>540</v>
      </c>
      <c r="AR92" s="141">
        <v>0</v>
      </c>
      <c r="AS92" s="141">
        <v>0</v>
      </c>
      <c r="AT92" s="142">
        <v>0</v>
      </c>
      <c r="AU92" s="142">
        <v>0</v>
      </c>
      <c r="AV92" s="142">
        <v>0</v>
      </c>
      <c r="AW92" s="142">
        <v>0</v>
      </c>
      <c r="AX92" s="179">
        <v>0</v>
      </c>
      <c r="AY92" s="142">
        <v>0</v>
      </c>
      <c r="AZ92" s="141"/>
      <c r="BA92" s="140"/>
      <c r="BB92" s="141"/>
      <c r="BC92" s="141"/>
      <c r="BD92" s="141"/>
      <c r="BE92" s="141"/>
      <c r="BF92" s="141"/>
      <c r="BG92" s="141"/>
      <c r="BH92" s="142"/>
      <c r="BI92" s="142"/>
      <c r="BJ92" s="142"/>
      <c r="BK92" s="142"/>
      <c r="BL92" s="142"/>
      <c r="BM92" s="142"/>
      <c r="BN92" s="141"/>
      <c r="BO92" s="140"/>
      <c r="BP92" s="141"/>
      <c r="BQ92" s="141"/>
      <c r="BR92" s="141"/>
      <c r="BS92" s="141"/>
      <c r="BT92" s="141"/>
      <c r="BU92" s="141"/>
      <c r="BV92" s="142"/>
      <c r="BW92" s="142"/>
      <c r="BX92" s="142"/>
      <c r="BY92" s="142"/>
      <c r="BZ92" s="179"/>
      <c r="CA92" s="142"/>
    </row>
    <row r="93" spans="1:79" ht="16.5" customHeight="1">
      <c r="A93" s="222"/>
      <c r="B93" s="220" t="s">
        <v>424</v>
      </c>
      <c r="C93" s="220"/>
      <c r="D93" s="220"/>
      <c r="E93" s="136" t="s">
        <v>425</v>
      </c>
      <c r="F93" s="136" t="s">
        <v>568</v>
      </c>
      <c r="G93" s="139">
        <v>2025</v>
      </c>
      <c r="H93" s="136" t="s">
        <v>210</v>
      </c>
      <c r="I93" s="221">
        <v>6718</v>
      </c>
      <c r="J93" s="221"/>
      <c r="K93" s="140">
        <v>271616.75</v>
      </c>
      <c r="L93" s="141">
        <v>0</v>
      </c>
      <c r="M93" s="141">
        <v>16297005</v>
      </c>
      <c r="N93" s="141">
        <v>228364</v>
      </c>
      <c r="O93" s="141">
        <v>268250</v>
      </c>
      <c r="P93" s="141">
        <v>8185</v>
      </c>
      <c r="Q93" s="141">
        <v>220178</v>
      </c>
      <c r="R93" s="142">
        <v>3083.002</v>
      </c>
      <c r="S93" s="142">
        <v>339.11799999999999</v>
      </c>
      <c r="T93" s="142">
        <v>2404716.9580000001</v>
      </c>
      <c r="U93" s="142">
        <v>264508.984</v>
      </c>
      <c r="V93" s="179">
        <v>2669225.9419999998</v>
      </c>
      <c r="W93" s="142">
        <v>3422.12</v>
      </c>
      <c r="X93" s="141"/>
      <c r="Y93" s="140"/>
      <c r="Z93" s="141"/>
      <c r="AA93" s="141"/>
      <c r="AB93" s="141"/>
      <c r="AC93" s="141"/>
      <c r="AD93" s="141"/>
      <c r="AE93" s="141"/>
      <c r="AF93" s="142"/>
      <c r="AG93" s="142"/>
      <c r="AH93" s="142"/>
      <c r="AI93" s="142"/>
      <c r="AJ93" s="179"/>
      <c r="AK93" s="142"/>
      <c r="AL93" s="141">
        <v>9</v>
      </c>
      <c r="AM93" s="140">
        <v>4.8499999999999996</v>
      </c>
      <c r="AN93" s="141">
        <v>9</v>
      </c>
      <c r="AO93" s="141">
        <v>291</v>
      </c>
      <c r="AP93" s="141">
        <v>291</v>
      </c>
      <c r="AQ93" s="141">
        <v>540</v>
      </c>
      <c r="AR93" s="141">
        <v>0</v>
      </c>
      <c r="AS93" s="141">
        <v>0</v>
      </c>
      <c r="AT93" s="142">
        <v>10.488</v>
      </c>
      <c r="AU93" s="142">
        <v>1.1539999999999999</v>
      </c>
      <c r="AV93" s="142">
        <v>8180.5249999999996</v>
      </c>
      <c r="AW93" s="142">
        <v>899.85299999999995</v>
      </c>
      <c r="AX93" s="179">
        <v>9080.3780000000006</v>
      </c>
      <c r="AY93" s="142">
        <v>11.641999999999999</v>
      </c>
      <c r="AZ93" s="141"/>
      <c r="BA93" s="140"/>
      <c r="BB93" s="141"/>
      <c r="BC93" s="141"/>
      <c r="BD93" s="141"/>
      <c r="BE93" s="141"/>
      <c r="BF93" s="141"/>
      <c r="BG93" s="141"/>
      <c r="BH93" s="142"/>
      <c r="BI93" s="142"/>
      <c r="BJ93" s="142"/>
      <c r="BK93" s="142"/>
      <c r="BL93" s="142"/>
      <c r="BM93" s="142"/>
      <c r="BN93" s="141">
        <v>8</v>
      </c>
      <c r="BO93" s="140">
        <v>6.25</v>
      </c>
      <c r="BP93" s="141">
        <v>11</v>
      </c>
      <c r="BQ93" s="141">
        <v>375</v>
      </c>
      <c r="BR93" s="141">
        <v>375</v>
      </c>
      <c r="BS93" s="141">
        <v>660</v>
      </c>
      <c r="BT93" s="141">
        <v>0</v>
      </c>
      <c r="BU93" s="141">
        <v>0</v>
      </c>
      <c r="BV93" s="142">
        <v>0</v>
      </c>
      <c r="BW93" s="142">
        <v>0</v>
      </c>
      <c r="BX93" s="142">
        <v>0</v>
      </c>
      <c r="BY93" s="142">
        <v>0</v>
      </c>
      <c r="BZ93" s="179">
        <v>0</v>
      </c>
      <c r="CA93" s="142">
        <v>0</v>
      </c>
    </row>
    <row r="94" spans="1:79" ht="16.5" customHeight="1">
      <c r="A94" s="222"/>
      <c r="B94" s="220" t="s">
        <v>589</v>
      </c>
      <c r="C94" s="220"/>
      <c r="D94" s="220"/>
      <c r="E94" s="136" t="s">
        <v>590</v>
      </c>
      <c r="F94" s="136" t="s">
        <v>568</v>
      </c>
      <c r="G94" s="139">
        <v>2025</v>
      </c>
      <c r="H94" s="136" t="s">
        <v>210</v>
      </c>
      <c r="I94" s="221">
        <v>632</v>
      </c>
      <c r="J94" s="221"/>
      <c r="K94" s="140">
        <v>2589.1170000000002</v>
      </c>
      <c r="L94" s="141">
        <v>0</v>
      </c>
      <c r="M94" s="141">
        <v>155347</v>
      </c>
      <c r="N94" s="141">
        <v>5870</v>
      </c>
      <c r="O94" s="141">
        <v>9950</v>
      </c>
      <c r="P94" s="141">
        <v>381</v>
      </c>
      <c r="Q94" s="141">
        <v>5489</v>
      </c>
      <c r="R94" s="142">
        <v>5.3689999999999998</v>
      </c>
      <c r="S94" s="142">
        <v>0.59099999999999997</v>
      </c>
      <c r="T94" s="142">
        <v>4187.7929999999997</v>
      </c>
      <c r="U94" s="142">
        <v>460.81400000000002</v>
      </c>
      <c r="V94" s="179">
        <v>4648.6059999999998</v>
      </c>
      <c r="W94" s="142">
        <v>5.96</v>
      </c>
      <c r="X94" s="141"/>
      <c r="Y94" s="140"/>
      <c r="Z94" s="141"/>
      <c r="AA94" s="141"/>
      <c r="AB94" s="141"/>
      <c r="AC94" s="141"/>
      <c r="AD94" s="141"/>
      <c r="AE94" s="141"/>
      <c r="AF94" s="142"/>
      <c r="AG94" s="142"/>
      <c r="AH94" s="142"/>
      <c r="AI94" s="142"/>
      <c r="AJ94" s="179"/>
      <c r="AK94" s="142"/>
      <c r="AL94" s="141"/>
      <c r="AM94" s="140"/>
      <c r="AN94" s="141"/>
      <c r="AO94" s="141"/>
      <c r="AP94" s="141"/>
      <c r="AQ94" s="141"/>
      <c r="AR94" s="141"/>
      <c r="AS94" s="141"/>
      <c r="AT94" s="142"/>
      <c r="AU94" s="142"/>
      <c r="AV94" s="142"/>
      <c r="AW94" s="142"/>
      <c r="AX94" s="179"/>
      <c r="AY94" s="142"/>
      <c r="AZ94" s="141"/>
      <c r="BA94" s="140"/>
      <c r="BB94" s="141"/>
      <c r="BC94" s="141"/>
      <c r="BD94" s="141"/>
      <c r="BE94" s="141"/>
      <c r="BF94" s="141"/>
      <c r="BG94" s="141"/>
      <c r="BH94" s="142"/>
      <c r="BI94" s="142"/>
      <c r="BJ94" s="142"/>
      <c r="BK94" s="142"/>
      <c r="BL94" s="142"/>
      <c r="BM94" s="142"/>
      <c r="BN94" s="141"/>
      <c r="BO94" s="140"/>
      <c r="BP94" s="141"/>
      <c r="BQ94" s="141"/>
      <c r="BR94" s="141"/>
      <c r="BS94" s="141"/>
      <c r="BT94" s="141"/>
      <c r="BU94" s="141"/>
      <c r="BV94" s="142"/>
      <c r="BW94" s="142"/>
      <c r="BX94" s="142"/>
      <c r="BY94" s="142"/>
      <c r="BZ94" s="179"/>
      <c r="CA94" s="142"/>
    </row>
    <row r="95" spans="1:79" ht="16.5" customHeight="1">
      <c r="A95" s="222"/>
      <c r="B95" s="220" t="s">
        <v>591</v>
      </c>
      <c r="C95" s="220"/>
      <c r="D95" s="220"/>
      <c r="E95" s="136" t="s">
        <v>592</v>
      </c>
      <c r="F95" s="136" t="s">
        <v>568</v>
      </c>
      <c r="G95" s="139">
        <v>2025</v>
      </c>
      <c r="H95" s="136" t="s">
        <v>210</v>
      </c>
      <c r="I95" s="221"/>
      <c r="J95" s="221"/>
      <c r="K95" s="140"/>
      <c r="L95" s="141"/>
      <c r="M95" s="141"/>
      <c r="N95" s="141"/>
      <c r="O95" s="141"/>
      <c r="P95" s="141"/>
      <c r="Q95" s="141"/>
      <c r="R95" s="142"/>
      <c r="S95" s="142"/>
      <c r="T95" s="142"/>
      <c r="U95" s="142"/>
      <c r="V95" s="179"/>
      <c r="W95" s="142"/>
      <c r="X95" s="141"/>
      <c r="Y95" s="140"/>
      <c r="Z95" s="141"/>
      <c r="AA95" s="141"/>
      <c r="AB95" s="141"/>
      <c r="AC95" s="141"/>
      <c r="AD95" s="141"/>
      <c r="AE95" s="141"/>
      <c r="AF95" s="142"/>
      <c r="AG95" s="142"/>
      <c r="AH95" s="142"/>
      <c r="AI95" s="142"/>
      <c r="AJ95" s="179"/>
      <c r="AK95" s="142"/>
      <c r="AL95" s="141"/>
      <c r="AM95" s="140"/>
      <c r="AN95" s="141"/>
      <c r="AO95" s="141"/>
      <c r="AP95" s="141"/>
      <c r="AQ95" s="141"/>
      <c r="AR95" s="141"/>
      <c r="AS95" s="141"/>
      <c r="AT95" s="142"/>
      <c r="AU95" s="142"/>
      <c r="AV95" s="142"/>
      <c r="AW95" s="142"/>
      <c r="AX95" s="179"/>
      <c r="AY95" s="142"/>
      <c r="AZ95" s="141"/>
      <c r="BA95" s="140"/>
      <c r="BB95" s="141"/>
      <c r="BC95" s="141"/>
      <c r="BD95" s="141"/>
      <c r="BE95" s="141"/>
      <c r="BF95" s="141"/>
      <c r="BG95" s="141"/>
      <c r="BH95" s="142"/>
      <c r="BI95" s="142"/>
      <c r="BJ95" s="142"/>
      <c r="BK95" s="142"/>
      <c r="BL95" s="142"/>
      <c r="BM95" s="142"/>
      <c r="BN95" s="141">
        <v>1</v>
      </c>
      <c r="BO95" s="140">
        <v>1.7</v>
      </c>
      <c r="BP95" s="141">
        <v>2</v>
      </c>
      <c r="BQ95" s="141">
        <v>102</v>
      </c>
      <c r="BR95" s="141">
        <v>102</v>
      </c>
      <c r="BS95" s="141">
        <v>0</v>
      </c>
      <c r="BT95" s="141">
        <v>0</v>
      </c>
      <c r="BU95" s="141">
        <v>0</v>
      </c>
      <c r="BV95" s="142">
        <v>0</v>
      </c>
      <c r="BW95" s="142">
        <v>0</v>
      </c>
      <c r="BX95" s="142">
        <v>0</v>
      </c>
      <c r="BY95" s="142">
        <v>0</v>
      </c>
      <c r="BZ95" s="179">
        <v>0</v>
      </c>
      <c r="CA95" s="142">
        <v>0</v>
      </c>
    </row>
    <row r="96" spans="1:79" ht="16.5" customHeight="1">
      <c r="A96" s="222"/>
      <c r="B96" s="220" t="s">
        <v>432</v>
      </c>
      <c r="C96" s="220"/>
      <c r="D96" s="220"/>
      <c r="E96" s="136" t="s">
        <v>433</v>
      </c>
      <c r="F96" s="136" t="s">
        <v>568</v>
      </c>
      <c r="G96" s="139">
        <v>2025</v>
      </c>
      <c r="H96" s="136" t="s">
        <v>210</v>
      </c>
      <c r="I96" s="221">
        <v>3</v>
      </c>
      <c r="J96" s="221"/>
      <c r="K96" s="140">
        <v>3.3000000000000002E-2</v>
      </c>
      <c r="L96" s="141">
        <v>0</v>
      </c>
      <c r="M96" s="141">
        <v>2</v>
      </c>
      <c r="N96" s="141">
        <v>0</v>
      </c>
      <c r="O96" s="141">
        <v>3</v>
      </c>
      <c r="P96" s="141">
        <v>0</v>
      </c>
      <c r="Q96" s="141">
        <v>0</v>
      </c>
      <c r="R96" s="142">
        <v>0</v>
      </c>
      <c r="S96" s="142">
        <v>0</v>
      </c>
      <c r="T96" s="142">
        <v>1.9E-2</v>
      </c>
      <c r="U96" s="142">
        <v>0</v>
      </c>
      <c r="V96" s="179">
        <v>1.9E-2</v>
      </c>
      <c r="W96" s="142">
        <v>0</v>
      </c>
      <c r="X96" s="141"/>
      <c r="Y96" s="140"/>
      <c r="Z96" s="141"/>
      <c r="AA96" s="141"/>
      <c r="AB96" s="141"/>
      <c r="AC96" s="141"/>
      <c r="AD96" s="141"/>
      <c r="AE96" s="141"/>
      <c r="AF96" s="142"/>
      <c r="AG96" s="142"/>
      <c r="AH96" s="142"/>
      <c r="AI96" s="142"/>
      <c r="AJ96" s="179"/>
      <c r="AK96" s="142"/>
      <c r="AL96" s="141">
        <v>3</v>
      </c>
      <c r="AM96" s="140">
        <v>2.6829999999999998</v>
      </c>
      <c r="AN96" s="141">
        <v>5</v>
      </c>
      <c r="AO96" s="141">
        <v>161</v>
      </c>
      <c r="AP96" s="141">
        <v>161</v>
      </c>
      <c r="AQ96" s="141">
        <v>161</v>
      </c>
      <c r="AR96" s="141">
        <v>0</v>
      </c>
      <c r="AS96" s="141">
        <v>0</v>
      </c>
      <c r="AT96" s="142">
        <v>0.67700000000000005</v>
      </c>
      <c r="AU96" s="142">
        <v>0</v>
      </c>
      <c r="AV96" s="142">
        <v>528.04499999999996</v>
      </c>
      <c r="AW96" s="142">
        <v>0</v>
      </c>
      <c r="AX96" s="179">
        <v>528.04499999999996</v>
      </c>
      <c r="AY96" s="142">
        <v>0.67700000000000005</v>
      </c>
      <c r="AZ96" s="141">
        <v>512</v>
      </c>
      <c r="BA96" s="140">
        <v>0</v>
      </c>
      <c r="BB96" s="141">
        <v>0</v>
      </c>
      <c r="BC96" s="141">
        <v>0</v>
      </c>
      <c r="BD96" s="141">
        <v>0</v>
      </c>
      <c r="BE96" s="141">
        <v>0</v>
      </c>
      <c r="BF96" s="141">
        <v>0</v>
      </c>
      <c r="BG96" s="141">
        <v>0</v>
      </c>
      <c r="BH96" s="142">
        <v>0</v>
      </c>
      <c r="BI96" s="142">
        <v>0</v>
      </c>
      <c r="BJ96" s="142">
        <v>0</v>
      </c>
      <c r="BK96" s="142">
        <v>0</v>
      </c>
      <c r="BL96" s="142">
        <v>0</v>
      </c>
      <c r="BM96" s="142">
        <v>0</v>
      </c>
      <c r="BN96" s="141">
        <v>4</v>
      </c>
      <c r="BO96" s="140">
        <v>1.1499999999999999</v>
      </c>
      <c r="BP96" s="141">
        <v>4</v>
      </c>
      <c r="BQ96" s="141">
        <v>69</v>
      </c>
      <c r="BR96" s="141">
        <v>69</v>
      </c>
      <c r="BS96" s="141">
        <v>69</v>
      </c>
      <c r="BT96" s="141">
        <v>0</v>
      </c>
      <c r="BU96" s="141">
        <v>0</v>
      </c>
      <c r="BV96" s="142">
        <v>0</v>
      </c>
      <c r="BW96" s="142">
        <v>0</v>
      </c>
      <c r="BX96" s="142">
        <v>0</v>
      </c>
      <c r="BY96" s="142">
        <v>0</v>
      </c>
      <c r="BZ96" s="179">
        <v>0</v>
      </c>
      <c r="CA96" s="142">
        <v>0</v>
      </c>
    </row>
    <row r="97" spans="1:79" ht="16.5" customHeight="1">
      <c r="A97" s="222"/>
      <c r="B97" s="220" t="s">
        <v>434</v>
      </c>
      <c r="C97" s="220"/>
      <c r="D97" s="220"/>
      <c r="E97" s="136" t="s">
        <v>435</v>
      </c>
      <c r="F97" s="136" t="s">
        <v>568</v>
      </c>
      <c r="G97" s="139">
        <v>2025</v>
      </c>
      <c r="H97" s="136" t="s">
        <v>210</v>
      </c>
      <c r="I97" s="221">
        <v>2</v>
      </c>
      <c r="J97" s="221"/>
      <c r="K97" s="140">
        <v>69.882999999999996</v>
      </c>
      <c r="L97" s="141">
        <v>0</v>
      </c>
      <c r="M97" s="141">
        <v>4193</v>
      </c>
      <c r="N97" s="141">
        <v>15</v>
      </c>
      <c r="O97" s="141">
        <v>16</v>
      </c>
      <c r="P97" s="141">
        <v>0</v>
      </c>
      <c r="Q97" s="141">
        <v>15</v>
      </c>
      <c r="R97" s="142">
        <v>0</v>
      </c>
      <c r="S97" s="142">
        <v>0</v>
      </c>
      <c r="T97" s="142">
        <v>8.5999999999999993E-2</v>
      </c>
      <c r="U97" s="142">
        <v>0</v>
      </c>
      <c r="V97" s="179">
        <v>8.5999999999999993E-2</v>
      </c>
      <c r="W97" s="142">
        <v>0</v>
      </c>
      <c r="X97" s="141"/>
      <c r="Y97" s="140"/>
      <c r="Z97" s="141"/>
      <c r="AA97" s="141"/>
      <c r="AB97" s="141"/>
      <c r="AC97" s="141"/>
      <c r="AD97" s="141"/>
      <c r="AE97" s="141"/>
      <c r="AF97" s="142"/>
      <c r="AG97" s="142"/>
      <c r="AH97" s="142"/>
      <c r="AI97" s="142"/>
      <c r="AJ97" s="179"/>
      <c r="AK97" s="142"/>
      <c r="AL97" s="141"/>
      <c r="AM97" s="140"/>
      <c r="AN97" s="141"/>
      <c r="AO97" s="141"/>
      <c r="AP97" s="141"/>
      <c r="AQ97" s="141"/>
      <c r="AR97" s="141"/>
      <c r="AS97" s="141"/>
      <c r="AT97" s="142"/>
      <c r="AU97" s="142"/>
      <c r="AV97" s="142"/>
      <c r="AW97" s="142"/>
      <c r="AX97" s="179"/>
      <c r="AY97" s="142"/>
      <c r="AZ97" s="141"/>
      <c r="BA97" s="140"/>
      <c r="BB97" s="141"/>
      <c r="BC97" s="141"/>
      <c r="BD97" s="141"/>
      <c r="BE97" s="141"/>
      <c r="BF97" s="141"/>
      <c r="BG97" s="141"/>
      <c r="BH97" s="142"/>
      <c r="BI97" s="142"/>
      <c r="BJ97" s="142"/>
      <c r="BK97" s="142"/>
      <c r="BL97" s="142"/>
      <c r="BM97" s="142"/>
      <c r="BN97" s="141">
        <v>1</v>
      </c>
      <c r="BO97" s="140">
        <v>2.0830000000000002</v>
      </c>
      <c r="BP97" s="141">
        <v>3</v>
      </c>
      <c r="BQ97" s="141">
        <v>125</v>
      </c>
      <c r="BR97" s="141">
        <v>125</v>
      </c>
      <c r="BS97" s="141">
        <v>125</v>
      </c>
      <c r="BT97" s="141">
        <v>0</v>
      </c>
      <c r="BU97" s="141">
        <v>0</v>
      </c>
      <c r="BV97" s="142">
        <v>0</v>
      </c>
      <c r="BW97" s="142">
        <v>0</v>
      </c>
      <c r="BX97" s="142">
        <v>0</v>
      </c>
      <c r="BY97" s="142">
        <v>0</v>
      </c>
      <c r="BZ97" s="179">
        <v>0</v>
      </c>
      <c r="CA97" s="142">
        <v>0</v>
      </c>
    </row>
    <row r="98" spans="1:79" ht="16.5" customHeight="1">
      <c r="A98" s="222"/>
      <c r="B98" s="220" t="s">
        <v>438</v>
      </c>
      <c r="C98" s="220"/>
      <c r="D98" s="220"/>
      <c r="E98" s="136" t="s">
        <v>439</v>
      </c>
      <c r="F98" s="136" t="s">
        <v>568</v>
      </c>
      <c r="G98" s="139">
        <v>2025</v>
      </c>
      <c r="H98" s="136" t="s">
        <v>210</v>
      </c>
      <c r="I98" s="221">
        <v>58385</v>
      </c>
      <c r="J98" s="221"/>
      <c r="K98" s="140">
        <v>2699527.267</v>
      </c>
      <c r="L98" s="141">
        <v>0</v>
      </c>
      <c r="M98" s="141">
        <v>161971636</v>
      </c>
      <c r="N98" s="141">
        <v>3214675</v>
      </c>
      <c r="O98" s="141">
        <v>3217219</v>
      </c>
      <c r="P98" s="141">
        <v>2598576</v>
      </c>
      <c r="Q98" s="141">
        <v>616100</v>
      </c>
      <c r="R98" s="142">
        <v>15.856</v>
      </c>
      <c r="S98" s="142">
        <v>0</v>
      </c>
      <c r="T98" s="142">
        <v>12367.630999999999</v>
      </c>
      <c r="U98" s="142">
        <v>0</v>
      </c>
      <c r="V98" s="179">
        <v>12367.630999999999</v>
      </c>
      <c r="W98" s="142">
        <v>15.856</v>
      </c>
      <c r="X98" s="141">
        <v>5</v>
      </c>
      <c r="Y98" s="140">
        <v>0</v>
      </c>
      <c r="Z98" s="141">
        <v>0</v>
      </c>
      <c r="AA98" s="141">
        <v>0</v>
      </c>
      <c r="AB98" s="141">
        <v>0</v>
      </c>
      <c r="AC98" s="141">
        <v>0</v>
      </c>
      <c r="AD98" s="141">
        <v>0</v>
      </c>
      <c r="AE98" s="141">
        <v>0</v>
      </c>
      <c r="AF98" s="142">
        <v>3.7999999999999999E-2</v>
      </c>
      <c r="AG98" s="142">
        <v>0</v>
      </c>
      <c r="AH98" s="142">
        <v>29.523</v>
      </c>
      <c r="AI98" s="142">
        <v>0</v>
      </c>
      <c r="AJ98" s="179">
        <v>29.523</v>
      </c>
      <c r="AK98" s="142">
        <v>3.7999999999999999E-2</v>
      </c>
      <c r="AL98" s="141">
        <v>163</v>
      </c>
      <c r="AM98" s="140">
        <v>210.21700000000001</v>
      </c>
      <c r="AN98" s="141">
        <v>299</v>
      </c>
      <c r="AO98" s="141">
        <v>12613</v>
      </c>
      <c r="AP98" s="141">
        <v>12613</v>
      </c>
      <c r="AQ98" s="141">
        <v>12613</v>
      </c>
      <c r="AR98" s="141">
        <v>0</v>
      </c>
      <c r="AS98" s="141">
        <v>0</v>
      </c>
      <c r="AT98" s="142">
        <v>50.08</v>
      </c>
      <c r="AU98" s="142">
        <v>0</v>
      </c>
      <c r="AV98" s="142">
        <v>39061.741999999998</v>
      </c>
      <c r="AW98" s="142">
        <v>0</v>
      </c>
      <c r="AX98" s="179">
        <v>39061.741999999998</v>
      </c>
      <c r="AY98" s="142">
        <v>50.08</v>
      </c>
      <c r="AZ98" s="141">
        <v>6873</v>
      </c>
      <c r="BA98" s="140">
        <v>0</v>
      </c>
      <c r="BB98" s="141">
        <v>0</v>
      </c>
      <c r="BC98" s="141">
        <v>0</v>
      </c>
      <c r="BD98" s="141">
        <v>0</v>
      </c>
      <c r="BE98" s="141">
        <v>0</v>
      </c>
      <c r="BF98" s="141">
        <v>0</v>
      </c>
      <c r="BG98" s="141">
        <v>0</v>
      </c>
      <c r="BH98" s="142">
        <v>0</v>
      </c>
      <c r="BI98" s="142">
        <v>0</v>
      </c>
      <c r="BJ98" s="142">
        <v>0</v>
      </c>
      <c r="BK98" s="142">
        <v>0</v>
      </c>
      <c r="BL98" s="142">
        <v>0</v>
      </c>
      <c r="BM98" s="142">
        <v>0</v>
      </c>
      <c r="BN98" s="141">
        <v>144</v>
      </c>
      <c r="BO98" s="140">
        <v>140.38300000000001</v>
      </c>
      <c r="BP98" s="141">
        <v>223</v>
      </c>
      <c r="BQ98" s="141">
        <v>8423</v>
      </c>
      <c r="BR98" s="141">
        <v>8423</v>
      </c>
      <c r="BS98" s="141">
        <v>8423</v>
      </c>
      <c r="BT98" s="141">
        <v>0</v>
      </c>
      <c r="BU98" s="141">
        <v>0</v>
      </c>
      <c r="BV98" s="142">
        <v>0</v>
      </c>
      <c r="BW98" s="142">
        <v>0</v>
      </c>
      <c r="BX98" s="142">
        <v>0</v>
      </c>
      <c r="BY98" s="142">
        <v>0</v>
      </c>
      <c r="BZ98" s="179">
        <v>0</v>
      </c>
      <c r="CA98" s="142">
        <v>0</v>
      </c>
    </row>
    <row r="99" spans="1:79" ht="16.5" customHeight="1">
      <c r="A99" s="222"/>
      <c r="B99" s="220" t="s">
        <v>440</v>
      </c>
      <c r="C99" s="220"/>
      <c r="D99" s="220"/>
      <c r="E99" s="136" t="s">
        <v>441</v>
      </c>
      <c r="F99" s="136" t="s">
        <v>568</v>
      </c>
      <c r="G99" s="139">
        <v>2025</v>
      </c>
      <c r="H99" s="136" t="s">
        <v>210</v>
      </c>
      <c r="I99" s="221"/>
      <c r="J99" s="221"/>
      <c r="K99" s="140"/>
      <c r="L99" s="141"/>
      <c r="M99" s="141"/>
      <c r="N99" s="141"/>
      <c r="O99" s="141"/>
      <c r="P99" s="141"/>
      <c r="Q99" s="141"/>
      <c r="R99" s="142"/>
      <c r="S99" s="142"/>
      <c r="T99" s="142"/>
      <c r="U99" s="142"/>
      <c r="V99" s="179"/>
      <c r="W99" s="142"/>
      <c r="X99" s="141"/>
      <c r="Y99" s="140"/>
      <c r="Z99" s="141"/>
      <c r="AA99" s="141"/>
      <c r="AB99" s="141"/>
      <c r="AC99" s="141"/>
      <c r="AD99" s="141"/>
      <c r="AE99" s="141"/>
      <c r="AF99" s="142"/>
      <c r="AG99" s="142"/>
      <c r="AH99" s="142"/>
      <c r="AI99" s="142"/>
      <c r="AJ99" s="179"/>
      <c r="AK99" s="142"/>
      <c r="AL99" s="141">
        <v>40</v>
      </c>
      <c r="AM99" s="140">
        <v>58.167000000000002</v>
      </c>
      <c r="AN99" s="141">
        <v>81</v>
      </c>
      <c r="AO99" s="141">
        <v>3490</v>
      </c>
      <c r="AP99" s="141">
        <v>3490</v>
      </c>
      <c r="AQ99" s="141">
        <v>3490</v>
      </c>
      <c r="AR99" s="141">
        <v>0</v>
      </c>
      <c r="AS99" s="141">
        <v>0</v>
      </c>
      <c r="AT99" s="142">
        <v>23.814</v>
      </c>
      <c r="AU99" s="142">
        <v>0</v>
      </c>
      <c r="AV99" s="142">
        <v>18574.503000000001</v>
      </c>
      <c r="AW99" s="142">
        <v>0</v>
      </c>
      <c r="AX99" s="179">
        <v>18574.503000000001</v>
      </c>
      <c r="AY99" s="142">
        <v>23.814</v>
      </c>
      <c r="AZ99" s="141"/>
      <c r="BA99" s="140"/>
      <c r="BB99" s="141"/>
      <c r="BC99" s="141"/>
      <c r="BD99" s="141"/>
      <c r="BE99" s="141"/>
      <c r="BF99" s="141"/>
      <c r="BG99" s="141"/>
      <c r="BH99" s="142"/>
      <c r="BI99" s="142"/>
      <c r="BJ99" s="142"/>
      <c r="BK99" s="142"/>
      <c r="BL99" s="142"/>
      <c r="BM99" s="142"/>
      <c r="BN99" s="141">
        <v>3</v>
      </c>
      <c r="BO99" s="140">
        <v>3.3</v>
      </c>
      <c r="BP99" s="141">
        <v>4</v>
      </c>
      <c r="BQ99" s="141">
        <v>198</v>
      </c>
      <c r="BR99" s="141">
        <v>198</v>
      </c>
      <c r="BS99" s="141">
        <v>198</v>
      </c>
      <c r="BT99" s="141">
        <v>0</v>
      </c>
      <c r="BU99" s="141">
        <v>0</v>
      </c>
      <c r="BV99" s="142">
        <v>0</v>
      </c>
      <c r="BW99" s="142">
        <v>0</v>
      </c>
      <c r="BX99" s="142">
        <v>0</v>
      </c>
      <c r="BY99" s="142">
        <v>0</v>
      </c>
      <c r="BZ99" s="179">
        <v>0</v>
      </c>
      <c r="CA99" s="142">
        <v>0</v>
      </c>
    </row>
    <row r="100" spans="1:79" ht="16.5" customHeight="1">
      <c r="A100" s="222"/>
      <c r="B100" s="220" t="s">
        <v>442</v>
      </c>
      <c r="C100" s="220"/>
      <c r="D100" s="220"/>
      <c r="E100" s="136" t="s">
        <v>341</v>
      </c>
      <c r="F100" s="136" t="s">
        <v>568</v>
      </c>
      <c r="G100" s="139">
        <v>2025</v>
      </c>
      <c r="H100" s="136" t="s">
        <v>210</v>
      </c>
      <c r="I100" s="221"/>
      <c r="J100" s="221"/>
      <c r="K100" s="140"/>
      <c r="L100" s="141"/>
      <c r="M100" s="141"/>
      <c r="N100" s="141"/>
      <c r="O100" s="141"/>
      <c r="P100" s="141"/>
      <c r="Q100" s="141"/>
      <c r="R100" s="142"/>
      <c r="S100" s="142"/>
      <c r="T100" s="142"/>
      <c r="U100" s="142"/>
      <c r="V100" s="179"/>
      <c r="W100" s="142"/>
      <c r="X100" s="141"/>
      <c r="Y100" s="140"/>
      <c r="Z100" s="141"/>
      <c r="AA100" s="141"/>
      <c r="AB100" s="141"/>
      <c r="AC100" s="141"/>
      <c r="AD100" s="141"/>
      <c r="AE100" s="141"/>
      <c r="AF100" s="142"/>
      <c r="AG100" s="142"/>
      <c r="AH100" s="142"/>
      <c r="AI100" s="142"/>
      <c r="AJ100" s="179"/>
      <c r="AK100" s="142"/>
      <c r="AL100" s="141"/>
      <c r="AM100" s="140"/>
      <c r="AN100" s="141"/>
      <c r="AO100" s="141"/>
      <c r="AP100" s="141"/>
      <c r="AQ100" s="141"/>
      <c r="AR100" s="141"/>
      <c r="AS100" s="141"/>
      <c r="AT100" s="142"/>
      <c r="AU100" s="142"/>
      <c r="AV100" s="142"/>
      <c r="AW100" s="142"/>
      <c r="AX100" s="179"/>
      <c r="AY100" s="142"/>
      <c r="AZ100" s="141">
        <v>1</v>
      </c>
      <c r="BA100" s="140">
        <v>0</v>
      </c>
      <c r="BB100" s="141">
        <v>0</v>
      </c>
      <c r="BC100" s="141">
        <v>0</v>
      </c>
      <c r="BD100" s="141">
        <v>0</v>
      </c>
      <c r="BE100" s="141">
        <v>0</v>
      </c>
      <c r="BF100" s="141">
        <v>0</v>
      </c>
      <c r="BG100" s="141">
        <v>0</v>
      </c>
      <c r="BH100" s="142">
        <v>0</v>
      </c>
      <c r="BI100" s="142">
        <v>0</v>
      </c>
      <c r="BJ100" s="142">
        <v>0</v>
      </c>
      <c r="BK100" s="142">
        <v>0</v>
      </c>
      <c r="BL100" s="142">
        <v>0</v>
      </c>
      <c r="BM100" s="142">
        <v>0</v>
      </c>
      <c r="BN100" s="141"/>
      <c r="BO100" s="140"/>
      <c r="BP100" s="141"/>
      <c r="BQ100" s="141"/>
      <c r="BR100" s="141"/>
      <c r="BS100" s="141"/>
      <c r="BT100" s="141"/>
      <c r="BU100" s="141"/>
      <c r="BV100" s="142"/>
      <c r="BW100" s="142"/>
      <c r="BX100" s="142"/>
      <c r="BY100" s="142"/>
      <c r="BZ100" s="179"/>
      <c r="CA100" s="142"/>
    </row>
    <row r="101" spans="1:79" ht="16.5" customHeight="1">
      <c r="A101" s="222"/>
      <c r="B101" s="220" t="s">
        <v>593</v>
      </c>
      <c r="C101" s="220"/>
      <c r="D101" s="220"/>
      <c r="E101" s="136" t="s">
        <v>594</v>
      </c>
      <c r="F101" s="136" t="s">
        <v>568</v>
      </c>
      <c r="G101" s="139">
        <v>2025</v>
      </c>
      <c r="H101" s="136" t="s">
        <v>210</v>
      </c>
      <c r="I101" s="221"/>
      <c r="J101" s="221"/>
      <c r="K101" s="140"/>
      <c r="L101" s="141"/>
      <c r="M101" s="141"/>
      <c r="N101" s="141"/>
      <c r="O101" s="141"/>
      <c r="P101" s="141"/>
      <c r="Q101" s="141"/>
      <c r="R101" s="142"/>
      <c r="S101" s="142"/>
      <c r="T101" s="142"/>
      <c r="U101" s="142"/>
      <c r="V101" s="179"/>
      <c r="W101" s="142"/>
      <c r="X101" s="141"/>
      <c r="Y101" s="140"/>
      <c r="Z101" s="141"/>
      <c r="AA101" s="141"/>
      <c r="AB101" s="141"/>
      <c r="AC101" s="141"/>
      <c r="AD101" s="141"/>
      <c r="AE101" s="141"/>
      <c r="AF101" s="142"/>
      <c r="AG101" s="142"/>
      <c r="AH101" s="142"/>
      <c r="AI101" s="142"/>
      <c r="AJ101" s="179"/>
      <c r="AK101" s="142"/>
      <c r="AL101" s="141">
        <v>1</v>
      </c>
      <c r="AM101" s="140">
        <v>0.41699999999999998</v>
      </c>
      <c r="AN101" s="141">
        <v>1</v>
      </c>
      <c r="AO101" s="141">
        <v>25</v>
      </c>
      <c r="AP101" s="141">
        <v>25</v>
      </c>
      <c r="AQ101" s="141">
        <v>60</v>
      </c>
      <c r="AR101" s="141">
        <v>0</v>
      </c>
      <c r="AS101" s="141">
        <v>0</v>
      </c>
      <c r="AT101" s="142">
        <v>1.8049999999999999</v>
      </c>
      <c r="AU101" s="142">
        <v>0</v>
      </c>
      <c r="AV101" s="142">
        <v>1407.893</v>
      </c>
      <c r="AW101" s="142">
        <v>0</v>
      </c>
      <c r="AX101" s="179">
        <v>1407.893</v>
      </c>
      <c r="AY101" s="142">
        <v>1.8049999999999999</v>
      </c>
      <c r="AZ101" s="141"/>
      <c r="BA101" s="140"/>
      <c r="BB101" s="141"/>
      <c r="BC101" s="141"/>
      <c r="BD101" s="141"/>
      <c r="BE101" s="141"/>
      <c r="BF101" s="141"/>
      <c r="BG101" s="141"/>
      <c r="BH101" s="142"/>
      <c r="BI101" s="142"/>
      <c r="BJ101" s="142"/>
      <c r="BK101" s="142"/>
      <c r="BL101" s="142"/>
      <c r="BM101" s="142"/>
      <c r="BN101" s="141">
        <v>2</v>
      </c>
      <c r="BO101" s="140">
        <v>2.117</v>
      </c>
      <c r="BP101" s="141">
        <v>3</v>
      </c>
      <c r="BQ101" s="141">
        <v>127</v>
      </c>
      <c r="BR101" s="141">
        <v>127</v>
      </c>
      <c r="BS101" s="141">
        <v>180</v>
      </c>
      <c r="BT101" s="141">
        <v>0</v>
      </c>
      <c r="BU101" s="141">
        <v>0</v>
      </c>
      <c r="BV101" s="142">
        <v>1.105</v>
      </c>
      <c r="BW101" s="142">
        <v>0</v>
      </c>
      <c r="BX101" s="142">
        <v>861.97699999999998</v>
      </c>
      <c r="BY101" s="142">
        <v>0</v>
      </c>
      <c r="BZ101" s="179">
        <v>861.97699999999998</v>
      </c>
      <c r="CA101" s="142">
        <v>1.105</v>
      </c>
    </row>
    <row r="102" spans="1:79" ht="16.5" customHeight="1">
      <c r="A102" s="222"/>
      <c r="B102" s="220" t="s">
        <v>443</v>
      </c>
      <c r="C102" s="220"/>
      <c r="D102" s="220"/>
      <c r="E102" s="136" t="s">
        <v>444</v>
      </c>
      <c r="F102" s="136" t="s">
        <v>568</v>
      </c>
      <c r="G102" s="139">
        <v>2025</v>
      </c>
      <c r="H102" s="136" t="s">
        <v>210</v>
      </c>
      <c r="I102" s="221">
        <v>36876</v>
      </c>
      <c r="J102" s="221"/>
      <c r="K102" s="140">
        <v>145550.383</v>
      </c>
      <c r="L102" s="141">
        <v>0</v>
      </c>
      <c r="M102" s="141">
        <v>8733023</v>
      </c>
      <c r="N102" s="141">
        <v>16664595</v>
      </c>
      <c r="O102" s="141">
        <v>16685268</v>
      </c>
      <c r="P102" s="141">
        <v>13036288</v>
      </c>
      <c r="Q102" s="141">
        <v>3628307</v>
      </c>
      <c r="R102" s="142">
        <v>21.015000000000001</v>
      </c>
      <c r="S102" s="142">
        <v>3.762</v>
      </c>
      <c r="T102" s="142">
        <v>16391.452000000001</v>
      </c>
      <c r="U102" s="142">
        <v>2934.5419999999999</v>
      </c>
      <c r="V102" s="179">
        <v>19325.993999999999</v>
      </c>
      <c r="W102" s="142">
        <v>24.777000000000001</v>
      </c>
      <c r="X102" s="141"/>
      <c r="Y102" s="140"/>
      <c r="Z102" s="141"/>
      <c r="AA102" s="141"/>
      <c r="AB102" s="141"/>
      <c r="AC102" s="141"/>
      <c r="AD102" s="141"/>
      <c r="AE102" s="141"/>
      <c r="AF102" s="142"/>
      <c r="AG102" s="142"/>
      <c r="AH102" s="142"/>
      <c r="AI102" s="142"/>
      <c r="AJ102" s="179"/>
      <c r="AK102" s="142"/>
      <c r="AL102" s="141">
        <v>1242</v>
      </c>
      <c r="AM102" s="140">
        <v>735.71699999999998</v>
      </c>
      <c r="AN102" s="141">
        <v>1566</v>
      </c>
      <c r="AO102" s="141">
        <v>44143</v>
      </c>
      <c r="AP102" s="141">
        <v>44143</v>
      </c>
      <c r="AQ102" s="141">
        <v>44143</v>
      </c>
      <c r="AR102" s="141">
        <v>0</v>
      </c>
      <c r="AS102" s="141">
        <v>0</v>
      </c>
      <c r="AT102" s="142">
        <v>0.14299999999999999</v>
      </c>
      <c r="AU102" s="142">
        <v>2.5999999999999999E-2</v>
      </c>
      <c r="AV102" s="142">
        <v>111.749</v>
      </c>
      <c r="AW102" s="142">
        <v>20.109000000000002</v>
      </c>
      <c r="AX102" s="179">
        <v>131.858</v>
      </c>
      <c r="AY102" s="142">
        <v>0.16900000000000001</v>
      </c>
      <c r="AZ102" s="141">
        <v>21147</v>
      </c>
      <c r="BA102" s="140">
        <v>0</v>
      </c>
      <c r="BB102" s="141">
        <v>0</v>
      </c>
      <c r="BC102" s="141">
        <v>0</v>
      </c>
      <c r="BD102" s="141">
        <v>0</v>
      </c>
      <c r="BE102" s="141">
        <v>0</v>
      </c>
      <c r="BF102" s="141">
        <v>0</v>
      </c>
      <c r="BG102" s="141">
        <v>0</v>
      </c>
      <c r="BH102" s="142">
        <v>0</v>
      </c>
      <c r="BI102" s="142">
        <v>0</v>
      </c>
      <c r="BJ102" s="142">
        <v>0</v>
      </c>
      <c r="BK102" s="142">
        <v>0</v>
      </c>
      <c r="BL102" s="142">
        <v>0</v>
      </c>
      <c r="BM102" s="142">
        <v>0</v>
      </c>
      <c r="BN102" s="141">
        <v>6260</v>
      </c>
      <c r="BO102" s="140">
        <v>11039.333000000001</v>
      </c>
      <c r="BP102" s="141">
        <v>14454</v>
      </c>
      <c r="BQ102" s="141">
        <v>662360</v>
      </c>
      <c r="BR102" s="141">
        <v>662360</v>
      </c>
      <c r="BS102" s="141">
        <v>797680</v>
      </c>
      <c r="BT102" s="141">
        <v>0</v>
      </c>
      <c r="BU102" s="141">
        <v>0</v>
      </c>
      <c r="BV102" s="142">
        <v>0</v>
      </c>
      <c r="BW102" s="142">
        <v>0</v>
      </c>
      <c r="BX102" s="142">
        <v>0</v>
      </c>
      <c r="BY102" s="142">
        <v>0</v>
      </c>
      <c r="BZ102" s="179">
        <v>0</v>
      </c>
      <c r="CA102" s="142">
        <v>0</v>
      </c>
    </row>
    <row r="103" spans="1:79" ht="16.5" customHeight="1">
      <c r="A103" s="222"/>
      <c r="B103" s="220" t="s">
        <v>445</v>
      </c>
      <c r="C103" s="220"/>
      <c r="D103" s="220"/>
      <c r="E103" s="136" t="s">
        <v>446</v>
      </c>
      <c r="F103" s="136" t="s">
        <v>568</v>
      </c>
      <c r="G103" s="139">
        <v>2025</v>
      </c>
      <c r="H103" s="136" t="s">
        <v>210</v>
      </c>
      <c r="I103" s="221">
        <v>281671</v>
      </c>
      <c r="J103" s="221"/>
      <c r="K103" s="140">
        <v>13366341.033</v>
      </c>
      <c r="L103" s="141">
        <v>0</v>
      </c>
      <c r="M103" s="141">
        <v>801980462</v>
      </c>
      <c r="N103" s="141">
        <v>18275313</v>
      </c>
      <c r="O103" s="141">
        <v>18281777</v>
      </c>
      <c r="P103" s="141">
        <v>14825626</v>
      </c>
      <c r="Q103" s="141">
        <v>3449687</v>
      </c>
      <c r="R103" s="142">
        <v>1272.4090000000001</v>
      </c>
      <c r="S103" s="142">
        <v>229.02799999999999</v>
      </c>
      <c r="T103" s="142">
        <v>992468.46600000001</v>
      </c>
      <c r="U103" s="142">
        <v>178639.91399999999</v>
      </c>
      <c r="V103" s="179">
        <v>1171108.3810000001</v>
      </c>
      <c r="W103" s="142">
        <v>1501.4359999999999</v>
      </c>
      <c r="X103" s="141">
        <v>32</v>
      </c>
      <c r="Y103" s="140">
        <v>0</v>
      </c>
      <c r="Z103" s="141">
        <v>0</v>
      </c>
      <c r="AA103" s="141">
        <v>0</v>
      </c>
      <c r="AB103" s="141">
        <v>0</v>
      </c>
      <c r="AC103" s="141">
        <v>0</v>
      </c>
      <c r="AD103" s="141">
        <v>0</v>
      </c>
      <c r="AE103" s="141">
        <v>0</v>
      </c>
      <c r="AF103" s="142">
        <v>0.68400000000000005</v>
      </c>
      <c r="AG103" s="142">
        <v>0.123</v>
      </c>
      <c r="AH103" s="142">
        <v>533.63900000000001</v>
      </c>
      <c r="AI103" s="142">
        <v>96.094999999999999</v>
      </c>
      <c r="AJ103" s="179">
        <v>629.73400000000004</v>
      </c>
      <c r="AK103" s="142">
        <v>0.80700000000000005</v>
      </c>
      <c r="AL103" s="141">
        <v>2647</v>
      </c>
      <c r="AM103" s="140">
        <v>1499.15</v>
      </c>
      <c r="AN103" s="141">
        <v>3347</v>
      </c>
      <c r="AO103" s="141">
        <v>89949</v>
      </c>
      <c r="AP103" s="141">
        <v>89949</v>
      </c>
      <c r="AQ103" s="141">
        <v>89991</v>
      </c>
      <c r="AR103" s="141">
        <v>0</v>
      </c>
      <c r="AS103" s="141">
        <v>0</v>
      </c>
      <c r="AT103" s="142">
        <v>275.125</v>
      </c>
      <c r="AU103" s="142">
        <v>49.521999999999998</v>
      </c>
      <c r="AV103" s="142">
        <v>214595.03400000001</v>
      </c>
      <c r="AW103" s="142">
        <v>38626.982000000004</v>
      </c>
      <c r="AX103" s="179">
        <v>253222.016</v>
      </c>
      <c r="AY103" s="142">
        <v>324.64699999999999</v>
      </c>
      <c r="AZ103" s="141">
        <v>74392</v>
      </c>
      <c r="BA103" s="140">
        <v>0</v>
      </c>
      <c r="BB103" s="141">
        <v>0</v>
      </c>
      <c r="BC103" s="141">
        <v>0</v>
      </c>
      <c r="BD103" s="141">
        <v>0</v>
      </c>
      <c r="BE103" s="141">
        <v>0</v>
      </c>
      <c r="BF103" s="141">
        <v>0</v>
      </c>
      <c r="BG103" s="141">
        <v>0</v>
      </c>
      <c r="BH103" s="142">
        <v>0</v>
      </c>
      <c r="BI103" s="142">
        <v>0</v>
      </c>
      <c r="BJ103" s="142">
        <v>0</v>
      </c>
      <c r="BK103" s="142">
        <v>0</v>
      </c>
      <c r="BL103" s="142">
        <v>0</v>
      </c>
      <c r="BM103" s="142">
        <v>0</v>
      </c>
      <c r="BN103" s="141">
        <v>16313</v>
      </c>
      <c r="BO103" s="140">
        <v>28627.616999999998</v>
      </c>
      <c r="BP103" s="141">
        <v>37522</v>
      </c>
      <c r="BQ103" s="141">
        <v>1717657</v>
      </c>
      <c r="BR103" s="141">
        <v>1717657</v>
      </c>
      <c r="BS103" s="141">
        <v>1717657</v>
      </c>
      <c r="BT103" s="141">
        <v>0</v>
      </c>
      <c r="BU103" s="141">
        <v>0</v>
      </c>
      <c r="BV103" s="142">
        <v>0</v>
      </c>
      <c r="BW103" s="142">
        <v>0</v>
      </c>
      <c r="BX103" s="142">
        <v>0</v>
      </c>
      <c r="BY103" s="142">
        <v>0</v>
      </c>
      <c r="BZ103" s="179">
        <v>0</v>
      </c>
      <c r="CA103" s="142">
        <v>0</v>
      </c>
    </row>
    <row r="104" spans="1:79" ht="16.5" customHeight="1">
      <c r="A104" s="222"/>
      <c r="B104" s="220" t="s">
        <v>447</v>
      </c>
      <c r="C104" s="220"/>
      <c r="D104" s="220"/>
      <c r="E104" s="136" t="s">
        <v>448</v>
      </c>
      <c r="F104" s="136" t="s">
        <v>568</v>
      </c>
      <c r="G104" s="139">
        <v>2025</v>
      </c>
      <c r="H104" s="136" t="s">
        <v>210</v>
      </c>
      <c r="I104" s="221">
        <v>2706</v>
      </c>
      <c r="J104" s="221"/>
      <c r="K104" s="140">
        <v>5006.7830000000004</v>
      </c>
      <c r="L104" s="141">
        <v>0</v>
      </c>
      <c r="M104" s="141">
        <v>300407</v>
      </c>
      <c r="N104" s="141">
        <v>1716</v>
      </c>
      <c r="O104" s="141">
        <v>1739</v>
      </c>
      <c r="P104" s="141">
        <v>529</v>
      </c>
      <c r="Q104" s="141">
        <v>1187</v>
      </c>
      <c r="R104" s="142">
        <v>1.0999999999999999E-2</v>
      </c>
      <c r="S104" s="142">
        <v>0</v>
      </c>
      <c r="T104" s="142">
        <v>8.2940000000000005</v>
      </c>
      <c r="U104" s="142">
        <v>0</v>
      </c>
      <c r="V104" s="179">
        <v>8.2940000000000005</v>
      </c>
      <c r="W104" s="142">
        <v>1.0999999999999999E-2</v>
      </c>
      <c r="X104" s="141"/>
      <c r="Y104" s="140"/>
      <c r="Z104" s="141"/>
      <c r="AA104" s="141"/>
      <c r="AB104" s="141"/>
      <c r="AC104" s="141"/>
      <c r="AD104" s="141"/>
      <c r="AE104" s="141"/>
      <c r="AF104" s="142"/>
      <c r="AG104" s="142"/>
      <c r="AH104" s="142"/>
      <c r="AI104" s="142"/>
      <c r="AJ104" s="179"/>
      <c r="AK104" s="142"/>
      <c r="AL104" s="141"/>
      <c r="AM104" s="140"/>
      <c r="AN104" s="141"/>
      <c r="AO104" s="141"/>
      <c r="AP104" s="141"/>
      <c r="AQ104" s="141"/>
      <c r="AR104" s="141"/>
      <c r="AS104" s="141"/>
      <c r="AT104" s="142"/>
      <c r="AU104" s="142"/>
      <c r="AV104" s="142"/>
      <c r="AW104" s="142"/>
      <c r="AX104" s="179"/>
      <c r="AY104" s="142"/>
      <c r="AZ104" s="141"/>
      <c r="BA104" s="140"/>
      <c r="BB104" s="141"/>
      <c r="BC104" s="141"/>
      <c r="BD104" s="141"/>
      <c r="BE104" s="141"/>
      <c r="BF104" s="141"/>
      <c r="BG104" s="141"/>
      <c r="BH104" s="142"/>
      <c r="BI104" s="142"/>
      <c r="BJ104" s="142"/>
      <c r="BK104" s="142"/>
      <c r="BL104" s="142"/>
      <c r="BM104" s="142"/>
      <c r="BN104" s="141"/>
      <c r="BO104" s="140"/>
      <c r="BP104" s="141"/>
      <c r="BQ104" s="141"/>
      <c r="BR104" s="141"/>
      <c r="BS104" s="141"/>
      <c r="BT104" s="141"/>
      <c r="BU104" s="141"/>
      <c r="BV104" s="142"/>
      <c r="BW104" s="142"/>
      <c r="BX104" s="142"/>
      <c r="BY104" s="142"/>
      <c r="BZ104" s="179"/>
      <c r="CA104" s="142"/>
    </row>
    <row r="105" spans="1:79" ht="16.5" customHeight="1">
      <c r="A105" s="222"/>
      <c r="B105" s="220" t="s">
        <v>449</v>
      </c>
      <c r="C105" s="220"/>
      <c r="D105" s="220"/>
      <c r="E105" s="136" t="s">
        <v>450</v>
      </c>
      <c r="F105" s="136" t="s">
        <v>568</v>
      </c>
      <c r="G105" s="139">
        <v>2025</v>
      </c>
      <c r="H105" s="136" t="s">
        <v>210</v>
      </c>
      <c r="I105" s="221">
        <v>255</v>
      </c>
      <c r="J105" s="221"/>
      <c r="K105" s="140">
        <v>8050.9669999999996</v>
      </c>
      <c r="L105" s="141">
        <v>0</v>
      </c>
      <c r="M105" s="141">
        <v>483058</v>
      </c>
      <c r="N105" s="141">
        <v>9</v>
      </c>
      <c r="O105" s="141">
        <v>9</v>
      </c>
      <c r="P105" s="141">
        <v>2</v>
      </c>
      <c r="Q105" s="141">
        <v>6</v>
      </c>
      <c r="R105" s="142">
        <v>0</v>
      </c>
      <c r="S105" s="142">
        <v>0</v>
      </c>
      <c r="T105" s="142">
        <v>3.4000000000000002E-2</v>
      </c>
      <c r="U105" s="142">
        <v>0</v>
      </c>
      <c r="V105" s="179">
        <v>3.4000000000000002E-2</v>
      </c>
      <c r="W105" s="142">
        <v>0</v>
      </c>
      <c r="X105" s="141"/>
      <c r="Y105" s="140"/>
      <c r="Z105" s="141"/>
      <c r="AA105" s="141"/>
      <c r="AB105" s="141"/>
      <c r="AC105" s="141"/>
      <c r="AD105" s="141"/>
      <c r="AE105" s="141"/>
      <c r="AF105" s="142"/>
      <c r="AG105" s="142"/>
      <c r="AH105" s="142"/>
      <c r="AI105" s="142"/>
      <c r="AJ105" s="179"/>
      <c r="AK105" s="142"/>
      <c r="AL105" s="141"/>
      <c r="AM105" s="140"/>
      <c r="AN105" s="141"/>
      <c r="AO105" s="141"/>
      <c r="AP105" s="141"/>
      <c r="AQ105" s="141"/>
      <c r="AR105" s="141"/>
      <c r="AS105" s="141"/>
      <c r="AT105" s="142"/>
      <c r="AU105" s="142"/>
      <c r="AV105" s="142"/>
      <c r="AW105" s="142"/>
      <c r="AX105" s="179"/>
      <c r="AY105" s="142"/>
      <c r="AZ105" s="141"/>
      <c r="BA105" s="140"/>
      <c r="BB105" s="141"/>
      <c r="BC105" s="141"/>
      <c r="BD105" s="141"/>
      <c r="BE105" s="141"/>
      <c r="BF105" s="141"/>
      <c r="BG105" s="141"/>
      <c r="BH105" s="142"/>
      <c r="BI105" s="142"/>
      <c r="BJ105" s="142"/>
      <c r="BK105" s="142"/>
      <c r="BL105" s="142"/>
      <c r="BM105" s="142"/>
      <c r="BN105" s="141"/>
      <c r="BO105" s="140"/>
      <c r="BP105" s="141"/>
      <c r="BQ105" s="141"/>
      <c r="BR105" s="141"/>
      <c r="BS105" s="141"/>
      <c r="BT105" s="141"/>
      <c r="BU105" s="141"/>
      <c r="BV105" s="142"/>
      <c r="BW105" s="142"/>
      <c r="BX105" s="142"/>
      <c r="BY105" s="142"/>
      <c r="BZ105" s="179"/>
      <c r="CA105" s="142"/>
    </row>
    <row r="106" spans="1:79" ht="16.5" customHeight="1">
      <c r="A106" s="222"/>
      <c r="B106" s="220" t="s">
        <v>595</v>
      </c>
      <c r="C106" s="220"/>
      <c r="D106" s="220"/>
      <c r="E106" s="136" t="s">
        <v>596</v>
      </c>
      <c r="F106" s="136" t="s">
        <v>568</v>
      </c>
      <c r="G106" s="139">
        <v>2025</v>
      </c>
      <c r="H106" s="136" t="s">
        <v>210</v>
      </c>
      <c r="I106" s="221">
        <v>24</v>
      </c>
      <c r="J106" s="221"/>
      <c r="K106" s="140">
        <v>647.41700000000003</v>
      </c>
      <c r="L106" s="141">
        <v>0</v>
      </c>
      <c r="M106" s="141">
        <v>38845</v>
      </c>
      <c r="N106" s="141">
        <v>2418</v>
      </c>
      <c r="O106" s="141">
        <v>2560</v>
      </c>
      <c r="P106" s="141">
        <v>15</v>
      </c>
      <c r="Q106" s="141">
        <v>2403</v>
      </c>
      <c r="R106" s="142">
        <v>27.988</v>
      </c>
      <c r="S106" s="142">
        <v>4.4779999999999998</v>
      </c>
      <c r="T106" s="142">
        <v>21830.251</v>
      </c>
      <c r="U106" s="142">
        <v>3492.8380000000002</v>
      </c>
      <c r="V106" s="179">
        <v>25323.088</v>
      </c>
      <c r="W106" s="142">
        <v>32.466000000000001</v>
      </c>
      <c r="X106" s="141"/>
      <c r="Y106" s="140"/>
      <c r="Z106" s="141"/>
      <c r="AA106" s="141"/>
      <c r="AB106" s="141"/>
      <c r="AC106" s="141"/>
      <c r="AD106" s="141"/>
      <c r="AE106" s="141"/>
      <c r="AF106" s="142"/>
      <c r="AG106" s="142"/>
      <c r="AH106" s="142"/>
      <c r="AI106" s="142"/>
      <c r="AJ106" s="179"/>
      <c r="AK106" s="142"/>
      <c r="AL106" s="141">
        <v>2</v>
      </c>
      <c r="AM106" s="140">
        <v>1.2669999999999999</v>
      </c>
      <c r="AN106" s="141">
        <v>2</v>
      </c>
      <c r="AO106" s="141">
        <v>76</v>
      </c>
      <c r="AP106" s="141">
        <v>76</v>
      </c>
      <c r="AQ106" s="141">
        <v>120</v>
      </c>
      <c r="AR106" s="141">
        <v>0</v>
      </c>
      <c r="AS106" s="141">
        <v>0</v>
      </c>
      <c r="AT106" s="142">
        <v>1.085</v>
      </c>
      <c r="AU106" s="142">
        <v>0.17399999999999999</v>
      </c>
      <c r="AV106" s="142">
        <v>846.18499999999995</v>
      </c>
      <c r="AW106" s="142">
        <v>135.38999999999999</v>
      </c>
      <c r="AX106" s="179">
        <v>981.57500000000005</v>
      </c>
      <c r="AY106" s="142">
        <v>1.258</v>
      </c>
      <c r="AZ106" s="141">
        <v>3593</v>
      </c>
      <c r="BA106" s="140">
        <v>0</v>
      </c>
      <c r="BB106" s="141">
        <v>0</v>
      </c>
      <c r="BC106" s="141">
        <v>0</v>
      </c>
      <c r="BD106" s="141">
        <v>0</v>
      </c>
      <c r="BE106" s="141">
        <v>0</v>
      </c>
      <c r="BF106" s="141">
        <v>0</v>
      </c>
      <c r="BG106" s="141">
        <v>0</v>
      </c>
      <c r="BH106" s="142">
        <v>0</v>
      </c>
      <c r="BI106" s="142">
        <v>0</v>
      </c>
      <c r="BJ106" s="142">
        <v>0</v>
      </c>
      <c r="BK106" s="142">
        <v>0</v>
      </c>
      <c r="BL106" s="142">
        <v>0</v>
      </c>
      <c r="BM106" s="142">
        <v>0</v>
      </c>
      <c r="BN106" s="141"/>
      <c r="BO106" s="140"/>
      <c r="BP106" s="141"/>
      <c r="BQ106" s="141"/>
      <c r="BR106" s="141"/>
      <c r="BS106" s="141"/>
      <c r="BT106" s="141"/>
      <c r="BU106" s="141"/>
      <c r="BV106" s="142"/>
      <c r="BW106" s="142"/>
      <c r="BX106" s="142"/>
      <c r="BY106" s="142"/>
      <c r="BZ106" s="179"/>
      <c r="CA106" s="142"/>
    </row>
    <row r="107" spans="1:79" ht="16.5" customHeight="1">
      <c r="A107" s="222"/>
      <c r="B107" s="220" t="s">
        <v>455</v>
      </c>
      <c r="C107" s="220"/>
      <c r="D107" s="220"/>
      <c r="E107" s="136" t="s">
        <v>456</v>
      </c>
      <c r="F107" s="136" t="s">
        <v>568</v>
      </c>
      <c r="G107" s="139">
        <v>2025</v>
      </c>
      <c r="H107" s="136" t="s">
        <v>210</v>
      </c>
      <c r="I107" s="221">
        <v>17102</v>
      </c>
      <c r="J107" s="221"/>
      <c r="K107" s="140">
        <v>260683.25</v>
      </c>
      <c r="L107" s="141">
        <v>0</v>
      </c>
      <c r="M107" s="141">
        <v>15640995</v>
      </c>
      <c r="N107" s="141">
        <v>502198</v>
      </c>
      <c r="O107" s="141">
        <v>511551</v>
      </c>
      <c r="P107" s="141">
        <v>47689</v>
      </c>
      <c r="Q107" s="141">
        <v>454508</v>
      </c>
      <c r="R107" s="142">
        <v>5.6520000000000001</v>
      </c>
      <c r="S107" s="142">
        <v>1.2709999999999999</v>
      </c>
      <c r="T107" s="142">
        <v>4408.5479999999998</v>
      </c>
      <c r="U107" s="142">
        <v>991.67399999999998</v>
      </c>
      <c r="V107" s="179">
        <v>5400.2219999999998</v>
      </c>
      <c r="W107" s="142">
        <v>6.923</v>
      </c>
      <c r="X107" s="141"/>
      <c r="Y107" s="140"/>
      <c r="Z107" s="141"/>
      <c r="AA107" s="141"/>
      <c r="AB107" s="141"/>
      <c r="AC107" s="141"/>
      <c r="AD107" s="141"/>
      <c r="AE107" s="141"/>
      <c r="AF107" s="142"/>
      <c r="AG107" s="142"/>
      <c r="AH107" s="142"/>
      <c r="AI107" s="142"/>
      <c r="AJ107" s="179"/>
      <c r="AK107" s="142"/>
      <c r="AL107" s="141">
        <v>906</v>
      </c>
      <c r="AM107" s="140">
        <v>142.75</v>
      </c>
      <c r="AN107" s="141">
        <v>944</v>
      </c>
      <c r="AO107" s="141">
        <v>8565</v>
      </c>
      <c r="AP107" s="141">
        <v>8565</v>
      </c>
      <c r="AQ107" s="141">
        <v>8565</v>
      </c>
      <c r="AR107" s="141">
        <v>0</v>
      </c>
      <c r="AS107" s="141">
        <v>0</v>
      </c>
      <c r="AT107" s="142">
        <v>29.222000000000001</v>
      </c>
      <c r="AU107" s="142">
        <v>6.5960000000000001</v>
      </c>
      <c r="AV107" s="142">
        <v>22792.936000000002</v>
      </c>
      <c r="AW107" s="142">
        <v>5144.5929999999998</v>
      </c>
      <c r="AX107" s="179">
        <v>27937.528999999999</v>
      </c>
      <c r="AY107" s="142">
        <v>35.817999999999998</v>
      </c>
      <c r="AZ107" s="141"/>
      <c r="BA107" s="140"/>
      <c r="BB107" s="141"/>
      <c r="BC107" s="141"/>
      <c r="BD107" s="141"/>
      <c r="BE107" s="141"/>
      <c r="BF107" s="141"/>
      <c r="BG107" s="141"/>
      <c r="BH107" s="142"/>
      <c r="BI107" s="142"/>
      <c r="BJ107" s="142"/>
      <c r="BK107" s="142"/>
      <c r="BL107" s="142"/>
      <c r="BM107" s="142"/>
      <c r="BN107" s="141">
        <v>452</v>
      </c>
      <c r="BO107" s="140">
        <v>377.017</v>
      </c>
      <c r="BP107" s="141">
        <v>659</v>
      </c>
      <c r="BQ107" s="141">
        <v>22621</v>
      </c>
      <c r="BR107" s="141">
        <v>22621</v>
      </c>
      <c r="BS107" s="141">
        <v>22621</v>
      </c>
      <c r="BT107" s="141">
        <v>0</v>
      </c>
      <c r="BU107" s="141">
        <v>0</v>
      </c>
      <c r="BV107" s="142">
        <v>0</v>
      </c>
      <c r="BW107" s="142">
        <v>0</v>
      </c>
      <c r="BX107" s="142">
        <v>0</v>
      </c>
      <c r="BY107" s="142">
        <v>0</v>
      </c>
      <c r="BZ107" s="179">
        <v>0</v>
      </c>
      <c r="CA107" s="142">
        <v>0</v>
      </c>
    </row>
    <row r="108" spans="1:79" ht="16.5" customHeight="1">
      <c r="A108" s="222"/>
      <c r="B108" s="220" t="s">
        <v>457</v>
      </c>
      <c r="C108" s="220"/>
      <c r="D108" s="220"/>
      <c r="E108" s="136" t="s">
        <v>458</v>
      </c>
      <c r="F108" s="136" t="s">
        <v>568</v>
      </c>
      <c r="G108" s="139">
        <v>2025</v>
      </c>
      <c r="H108" s="136" t="s">
        <v>210</v>
      </c>
      <c r="I108" s="221">
        <v>12768</v>
      </c>
      <c r="J108" s="221"/>
      <c r="K108" s="140">
        <v>83493.032999999996</v>
      </c>
      <c r="L108" s="141">
        <v>0</v>
      </c>
      <c r="M108" s="141">
        <v>5009582</v>
      </c>
      <c r="N108" s="141">
        <v>286491</v>
      </c>
      <c r="O108" s="141">
        <v>291922</v>
      </c>
      <c r="P108" s="141">
        <v>109044</v>
      </c>
      <c r="Q108" s="141">
        <v>177446</v>
      </c>
      <c r="R108" s="142">
        <v>24.081</v>
      </c>
      <c r="S108" s="142">
        <v>4.2679999999999998</v>
      </c>
      <c r="T108" s="142">
        <v>18782.987000000001</v>
      </c>
      <c r="U108" s="142">
        <v>3329.0059999999999</v>
      </c>
      <c r="V108" s="179">
        <v>22111.992999999999</v>
      </c>
      <c r="W108" s="142">
        <v>28.349</v>
      </c>
      <c r="X108" s="141"/>
      <c r="Y108" s="140"/>
      <c r="Z108" s="141"/>
      <c r="AA108" s="141"/>
      <c r="AB108" s="141"/>
      <c r="AC108" s="141"/>
      <c r="AD108" s="141"/>
      <c r="AE108" s="141"/>
      <c r="AF108" s="142"/>
      <c r="AG108" s="142"/>
      <c r="AH108" s="142"/>
      <c r="AI108" s="142"/>
      <c r="AJ108" s="179"/>
      <c r="AK108" s="142"/>
      <c r="AL108" s="141">
        <v>191</v>
      </c>
      <c r="AM108" s="140">
        <v>116.43300000000001</v>
      </c>
      <c r="AN108" s="141">
        <v>230</v>
      </c>
      <c r="AO108" s="141">
        <v>6986</v>
      </c>
      <c r="AP108" s="141">
        <v>6986</v>
      </c>
      <c r="AQ108" s="141">
        <v>6936</v>
      </c>
      <c r="AR108" s="141">
        <v>0</v>
      </c>
      <c r="AS108" s="141">
        <v>0</v>
      </c>
      <c r="AT108" s="142">
        <v>12.913</v>
      </c>
      <c r="AU108" s="142">
        <v>2.4500000000000002</v>
      </c>
      <c r="AV108" s="142">
        <v>10072.037</v>
      </c>
      <c r="AW108" s="142">
        <v>1910.98</v>
      </c>
      <c r="AX108" s="179">
        <v>11983.017</v>
      </c>
      <c r="AY108" s="142">
        <v>15.363</v>
      </c>
      <c r="AZ108" s="141">
        <v>63056</v>
      </c>
      <c r="BA108" s="140">
        <v>0</v>
      </c>
      <c r="BB108" s="141">
        <v>0</v>
      </c>
      <c r="BC108" s="141">
        <v>0</v>
      </c>
      <c r="BD108" s="141">
        <v>0</v>
      </c>
      <c r="BE108" s="141">
        <v>0</v>
      </c>
      <c r="BF108" s="141">
        <v>0</v>
      </c>
      <c r="BG108" s="141">
        <v>0</v>
      </c>
      <c r="BH108" s="142">
        <v>0</v>
      </c>
      <c r="BI108" s="142">
        <v>0</v>
      </c>
      <c r="BJ108" s="142">
        <v>0</v>
      </c>
      <c r="BK108" s="142">
        <v>0</v>
      </c>
      <c r="BL108" s="142">
        <v>0</v>
      </c>
      <c r="BM108" s="142">
        <v>0</v>
      </c>
      <c r="BN108" s="141">
        <v>385</v>
      </c>
      <c r="BO108" s="140">
        <v>356.31700000000001</v>
      </c>
      <c r="BP108" s="141">
        <v>595</v>
      </c>
      <c r="BQ108" s="141">
        <v>21379</v>
      </c>
      <c r="BR108" s="141">
        <v>21379</v>
      </c>
      <c r="BS108" s="141">
        <v>0</v>
      </c>
      <c r="BT108" s="141">
        <v>0</v>
      </c>
      <c r="BU108" s="141">
        <v>0</v>
      </c>
      <c r="BV108" s="142">
        <v>0</v>
      </c>
      <c r="BW108" s="142">
        <v>0</v>
      </c>
      <c r="BX108" s="142">
        <v>0</v>
      </c>
      <c r="BY108" s="142">
        <v>0</v>
      </c>
      <c r="BZ108" s="179">
        <v>0</v>
      </c>
      <c r="CA108" s="142">
        <v>0</v>
      </c>
    </row>
    <row r="109" spans="1:79" ht="16.5" customHeight="1">
      <c r="A109" s="222"/>
      <c r="B109" s="220" t="s">
        <v>459</v>
      </c>
      <c r="C109" s="220"/>
      <c r="D109" s="220"/>
      <c r="E109" s="136" t="s">
        <v>460</v>
      </c>
      <c r="F109" s="136" t="s">
        <v>568</v>
      </c>
      <c r="G109" s="139">
        <v>2025</v>
      </c>
      <c r="H109" s="136" t="s">
        <v>210</v>
      </c>
      <c r="I109" s="221">
        <v>34452</v>
      </c>
      <c r="J109" s="221"/>
      <c r="K109" s="140">
        <v>362450.88299999997</v>
      </c>
      <c r="L109" s="141">
        <v>0</v>
      </c>
      <c r="M109" s="141">
        <v>21747053</v>
      </c>
      <c r="N109" s="141">
        <v>977943</v>
      </c>
      <c r="O109" s="141">
        <v>992879</v>
      </c>
      <c r="P109" s="141">
        <v>147928</v>
      </c>
      <c r="Q109" s="141">
        <v>830015</v>
      </c>
      <c r="R109" s="142">
        <v>4.8940000000000001</v>
      </c>
      <c r="S109" s="142">
        <v>0.93100000000000005</v>
      </c>
      <c r="T109" s="142">
        <v>3817.37</v>
      </c>
      <c r="U109" s="142">
        <v>726.298</v>
      </c>
      <c r="V109" s="179">
        <v>4543.6679999999997</v>
      </c>
      <c r="W109" s="142">
        <v>5.8250000000000002</v>
      </c>
      <c r="X109" s="141"/>
      <c r="Y109" s="140"/>
      <c r="Z109" s="141"/>
      <c r="AA109" s="141"/>
      <c r="AB109" s="141"/>
      <c r="AC109" s="141"/>
      <c r="AD109" s="141"/>
      <c r="AE109" s="141"/>
      <c r="AF109" s="142"/>
      <c r="AG109" s="142"/>
      <c r="AH109" s="142"/>
      <c r="AI109" s="142"/>
      <c r="AJ109" s="179"/>
      <c r="AK109" s="142"/>
      <c r="AL109" s="141">
        <v>330</v>
      </c>
      <c r="AM109" s="140">
        <v>267.89999999999998</v>
      </c>
      <c r="AN109" s="141">
        <v>438</v>
      </c>
      <c r="AO109" s="141">
        <v>16074</v>
      </c>
      <c r="AP109" s="141">
        <v>16074</v>
      </c>
      <c r="AQ109" s="141">
        <v>16074</v>
      </c>
      <c r="AR109" s="141">
        <v>0</v>
      </c>
      <c r="AS109" s="141">
        <v>0</v>
      </c>
      <c r="AT109" s="142">
        <v>33.304000000000002</v>
      </c>
      <c r="AU109" s="142">
        <v>6.3280000000000003</v>
      </c>
      <c r="AV109" s="142">
        <v>25976.645</v>
      </c>
      <c r="AW109" s="142">
        <v>4935.5529999999999</v>
      </c>
      <c r="AX109" s="179">
        <v>30912.198</v>
      </c>
      <c r="AY109" s="142">
        <v>39.631</v>
      </c>
      <c r="AZ109" s="141">
        <v>186657</v>
      </c>
      <c r="BA109" s="140">
        <v>0</v>
      </c>
      <c r="BB109" s="141">
        <v>0</v>
      </c>
      <c r="BC109" s="141">
        <v>0</v>
      </c>
      <c r="BD109" s="141">
        <v>0</v>
      </c>
      <c r="BE109" s="141">
        <v>0</v>
      </c>
      <c r="BF109" s="141">
        <v>0</v>
      </c>
      <c r="BG109" s="141">
        <v>0</v>
      </c>
      <c r="BH109" s="142">
        <v>0</v>
      </c>
      <c r="BI109" s="142">
        <v>0</v>
      </c>
      <c r="BJ109" s="142">
        <v>0</v>
      </c>
      <c r="BK109" s="142">
        <v>0</v>
      </c>
      <c r="BL109" s="142">
        <v>0</v>
      </c>
      <c r="BM109" s="142">
        <v>0</v>
      </c>
      <c r="BN109" s="141">
        <v>736</v>
      </c>
      <c r="BO109" s="140">
        <v>723.33299999999997</v>
      </c>
      <c r="BP109" s="141">
        <v>1183</v>
      </c>
      <c r="BQ109" s="141">
        <v>43400</v>
      </c>
      <c r="BR109" s="141">
        <v>43400</v>
      </c>
      <c r="BS109" s="141">
        <v>43400</v>
      </c>
      <c r="BT109" s="141">
        <v>0</v>
      </c>
      <c r="BU109" s="141">
        <v>0</v>
      </c>
      <c r="BV109" s="142">
        <v>0</v>
      </c>
      <c r="BW109" s="142">
        <v>0</v>
      </c>
      <c r="BX109" s="142">
        <v>0</v>
      </c>
      <c r="BY109" s="142">
        <v>0</v>
      </c>
      <c r="BZ109" s="179">
        <v>0</v>
      </c>
      <c r="CA109" s="142">
        <v>0</v>
      </c>
    </row>
    <row r="110" spans="1:79" ht="16.5" customHeight="1">
      <c r="A110" s="222"/>
      <c r="B110" s="220" t="s">
        <v>461</v>
      </c>
      <c r="C110" s="220"/>
      <c r="D110" s="220"/>
      <c r="E110" s="136" t="s">
        <v>462</v>
      </c>
      <c r="F110" s="136" t="s">
        <v>568</v>
      </c>
      <c r="G110" s="139">
        <v>2025</v>
      </c>
      <c r="H110" s="136" t="s">
        <v>210</v>
      </c>
      <c r="I110" s="221">
        <v>837</v>
      </c>
      <c r="J110" s="221"/>
      <c r="K110" s="140">
        <v>11643.583000000001</v>
      </c>
      <c r="L110" s="141">
        <v>0</v>
      </c>
      <c r="M110" s="141">
        <v>698615</v>
      </c>
      <c r="N110" s="141">
        <v>6317</v>
      </c>
      <c r="O110" s="141">
        <v>6394</v>
      </c>
      <c r="P110" s="141">
        <v>2552</v>
      </c>
      <c r="Q110" s="141">
        <v>3765</v>
      </c>
      <c r="R110" s="142">
        <v>0.78800000000000003</v>
      </c>
      <c r="S110" s="142">
        <v>5.8999999999999997E-2</v>
      </c>
      <c r="T110" s="142">
        <v>614.37099999999998</v>
      </c>
      <c r="U110" s="142">
        <v>46.067</v>
      </c>
      <c r="V110" s="179">
        <v>660.43799999999999</v>
      </c>
      <c r="W110" s="142">
        <v>0.84699999999999998</v>
      </c>
      <c r="X110" s="141"/>
      <c r="Y110" s="140"/>
      <c r="Z110" s="141"/>
      <c r="AA110" s="141"/>
      <c r="AB110" s="141"/>
      <c r="AC110" s="141"/>
      <c r="AD110" s="141"/>
      <c r="AE110" s="141"/>
      <c r="AF110" s="142"/>
      <c r="AG110" s="142"/>
      <c r="AH110" s="142"/>
      <c r="AI110" s="142"/>
      <c r="AJ110" s="179"/>
      <c r="AK110" s="142"/>
      <c r="AL110" s="141">
        <v>2</v>
      </c>
      <c r="AM110" s="140">
        <v>0.23300000000000001</v>
      </c>
      <c r="AN110" s="141">
        <v>2</v>
      </c>
      <c r="AO110" s="141">
        <v>14</v>
      </c>
      <c r="AP110" s="141">
        <v>14</v>
      </c>
      <c r="AQ110" s="141">
        <v>14</v>
      </c>
      <c r="AR110" s="141">
        <v>0</v>
      </c>
      <c r="AS110" s="141">
        <v>0</v>
      </c>
      <c r="AT110" s="142">
        <v>0.02</v>
      </c>
      <c r="AU110" s="142">
        <v>1E-3</v>
      </c>
      <c r="AV110" s="142">
        <v>15.305999999999999</v>
      </c>
      <c r="AW110" s="142">
        <v>1.1479999999999999</v>
      </c>
      <c r="AX110" s="179">
        <v>16.454000000000001</v>
      </c>
      <c r="AY110" s="142">
        <v>2.1000000000000001E-2</v>
      </c>
      <c r="AZ110" s="141">
        <v>121</v>
      </c>
      <c r="BA110" s="140">
        <v>0</v>
      </c>
      <c r="BB110" s="141">
        <v>0</v>
      </c>
      <c r="BC110" s="141">
        <v>0</v>
      </c>
      <c r="BD110" s="141">
        <v>0</v>
      </c>
      <c r="BE110" s="141">
        <v>0</v>
      </c>
      <c r="BF110" s="141">
        <v>0</v>
      </c>
      <c r="BG110" s="141">
        <v>0</v>
      </c>
      <c r="BH110" s="142">
        <v>0</v>
      </c>
      <c r="BI110" s="142">
        <v>0</v>
      </c>
      <c r="BJ110" s="142">
        <v>0</v>
      </c>
      <c r="BK110" s="142">
        <v>0</v>
      </c>
      <c r="BL110" s="142">
        <v>0</v>
      </c>
      <c r="BM110" s="142">
        <v>0</v>
      </c>
      <c r="BN110" s="141">
        <v>8</v>
      </c>
      <c r="BO110" s="140">
        <v>13</v>
      </c>
      <c r="BP110" s="141">
        <v>16</v>
      </c>
      <c r="BQ110" s="141">
        <v>780</v>
      </c>
      <c r="BR110" s="141">
        <v>780</v>
      </c>
      <c r="BS110" s="141">
        <v>780</v>
      </c>
      <c r="BT110" s="141">
        <v>0</v>
      </c>
      <c r="BU110" s="141">
        <v>0</v>
      </c>
      <c r="BV110" s="142">
        <v>0</v>
      </c>
      <c r="BW110" s="142">
        <v>0</v>
      </c>
      <c r="BX110" s="142">
        <v>0</v>
      </c>
      <c r="BY110" s="142">
        <v>0</v>
      </c>
      <c r="BZ110" s="179">
        <v>0</v>
      </c>
      <c r="CA110" s="142">
        <v>0</v>
      </c>
    </row>
    <row r="111" spans="1:79" ht="16.5" customHeight="1">
      <c r="A111" s="222"/>
      <c r="B111" s="220" t="s">
        <v>463</v>
      </c>
      <c r="C111" s="220"/>
      <c r="D111" s="220"/>
      <c r="E111" s="136" t="s">
        <v>464</v>
      </c>
      <c r="F111" s="136" t="s">
        <v>568</v>
      </c>
      <c r="G111" s="139">
        <v>2025</v>
      </c>
      <c r="H111" s="136" t="s">
        <v>210</v>
      </c>
      <c r="I111" s="221">
        <v>11882</v>
      </c>
      <c r="J111" s="221"/>
      <c r="K111" s="140">
        <v>297755.75</v>
      </c>
      <c r="L111" s="141">
        <v>0</v>
      </c>
      <c r="M111" s="141">
        <v>17865345</v>
      </c>
      <c r="N111" s="141">
        <v>7128132</v>
      </c>
      <c r="O111" s="141">
        <v>7134994</v>
      </c>
      <c r="P111" s="141">
        <v>5010473</v>
      </c>
      <c r="Q111" s="141">
        <v>2117658</v>
      </c>
      <c r="R111" s="142">
        <v>77.001999999999995</v>
      </c>
      <c r="S111" s="142">
        <v>0</v>
      </c>
      <c r="T111" s="142">
        <v>60061.214</v>
      </c>
      <c r="U111" s="142">
        <v>0</v>
      </c>
      <c r="V111" s="179">
        <v>60061.214</v>
      </c>
      <c r="W111" s="142">
        <v>77.001999999999995</v>
      </c>
      <c r="X111" s="141"/>
      <c r="Y111" s="140"/>
      <c r="Z111" s="141"/>
      <c r="AA111" s="141"/>
      <c r="AB111" s="141"/>
      <c r="AC111" s="141"/>
      <c r="AD111" s="141"/>
      <c r="AE111" s="141"/>
      <c r="AF111" s="142"/>
      <c r="AG111" s="142"/>
      <c r="AH111" s="142"/>
      <c r="AI111" s="142"/>
      <c r="AJ111" s="179"/>
      <c r="AK111" s="142"/>
      <c r="AL111" s="141">
        <v>2326</v>
      </c>
      <c r="AM111" s="140">
        <v>1540.85</v>
      </c>
      <c r="AN111" s="141">
        <v>2903</v>
      </c>
      <c r="AO111" s="141">
        <v>92451</v>
      </c>
      <c r="AP111" s="141">
        <v>92451</v>
      </c>
      <c r="AQ111" s="141">
        <v>102753</v>
      </c>
      <c r="AR111" s="141">
        <v>0</v>
      </c>
      <c r="AS111" s="141">
        <v>0</v>
      </c>
      <c r="AT111" s="142">
        <v>248.44</v>
      </c>
      <c r="AU111" s="142">
        <v>0</v>
      </c>
      <c r="AV111" s="142">
        <v>193781.147</v>
      </c>
      <c r="AW111" s="142">
        <v>0</v>
      </c>
      <c r="AX111" s="179">
        <v>193781.147</v>
      </c>
      <c r="AY111" s="142">
        <v>248.44</v>
      </c>
      <c r="AZ111" s="141"/>
      <c r="BA111" s="140"/>
      <c r="BB111" s="141"/>
      <c r="BC111" s="141"/>
      <c r="BD111" s="141"/>
      <c r="BE111" s="141"/>
      <c r="BF111" s="141"/>
      <c r="BG111" s="141"/>
      <c r="BH111" s="142"/>
      <c r="BI111" s="142"/>
      <c r="BJ111" s="142"/>
      <c r="BK111" s="142"/>
      <c r="BL111" s="142"/>
      <c r="BM111" s="142"/>
      <c r="BN111" s="141">
        <v>5935</v>
      </c>
      <c r="BO111" s="140">
        <v>5208.933</v>
      </c>
      <c r="BP111" s="141">
        <v>8827</v>
      </c>
      <c r="BQ111" s="141">
        <v>312536</v>
      </c>
      <c r="BR111" s="141">
        <v>312536</v>
      </c>
      <c r="BS111" s="141">
        <v>312536</v>
      </c>
      <c r="BT111" s="141">
        <v>0</v>
      </c>
      <c r="BU111" s="141">
        <v>0</v>
      </c>
      <c r="BV111" s="142">
        <v>0</v>
      </c>
      <c r="BW111" s="142">
        <v>0</v>
      </c>
      <c r="BX111" s="142">
        <v>0</v>
      </c>
      <c r="BY111" s="142">
        <v>0</v>
      </c>
      <c r="BZ111" s="179">
        <v>0</v>
      </c>
      <c r="CA111" s="142">
        <v>0</v>
      </c>
    </row>
    <row r="112" spans="1:79" ht="16.5" customHeight="1">
      <c r="A112" s="222"/>
      <c r="B112" s="220" t="s">
        <v>465</v>
      </c>
      <c r="C112" s="220"/>
      <c r="D112" s="220"/>
      <c r="E112" s="136" t="s">
        <v>466</v>
      </c>
      <c r="F112" s="136" t="s">
        <v>568</v>
      </c>
      <c r="G112" s="139">
        <v>2025</v>
      </c>
      <c r="H112" s="136" t="s">
        <v>210</v>
      </c>
      <c r="I112" s="221">
        <v>178618</v>
      </c>
      <c r="J112" s="221"/>
      <c r="K112" s="140">
        <v>1604492.6</v>
      </c>
      <c r="L112" s="141">
        <v>0</v>
      </c>
      <c r="M112" s="141">
        <v>96269556</v>
      </c>
      <c r="N112" s="141">
        <v>27090870</v>
      </c>
      <c r="O112" s="141">
        <v>27188560</v>
      </c>
      <c r="P112" s="141">
        <v>18724536</v>
      </c>
      <c r="Q112" s="141">
        <v>8366335</v>
      </c>
      <c r="R112" s="142">
        <v>196.316</v>
      </c>
      <c r="S112" s="142">
        <v>14.605</v>
      </c>
      <c r="T112" s="142">
        <v>153124.62899999999</v>
      </c>
      <c r="U112" s="142">
        <v>11391.502</v>
      </c>
      <c r="V112" s="179">
        <v>164516.13099999999</v>
      </c>
      <c r="W112" s="142">
        <v>210.92</v>
      </c>
      <c r="X112" s="141"/>
      <c r="Y112" s="140"/>
      <c r="Z112" s="141"/>
      <c r="AA112" s="141"/>
      <c r="AB112" s="141"/>
      <c r="AC112" s="141"/>
      <c r="AD112" s="141"/>
      <c r="AE112" s="141"/>
      <c r="AF112" s="142"/>
      <c r="AG112" s="142"/>
      <c r="AH112" s="142"/>
      <c r="AI112" s="142"/>
      <c r="AJ112" s="179"/>
      <c r="AK112" s="142"/>
      <c r="AL112" s="141">
        <v>2212</v>
      </c>
      <c r="AM112" s="140">
        <v>1332.75</v>
      </c>
      <c r="AN112" s="141">
        <v>2681</v>
      </c>
      <c r="AO112" s="141">
        <v>79965</v>
      </c>
      <c r="AP112" s="141">
        <v>79965</v>
      </c>
      <c r="AQ112" s="141">
        <v>79965</v>
      </c>
      <c r="AR112" s="141">
        <v>0</v>
      </c>
      <c r="AS112" s="141">
        <v>0</v>
      </c>
      <c r="AT112" s="142">
        <v>211.399</v>
      </c>
      <c r="AU112" s="142">
        <v>15.853999999999999</v>
      </c>
      <c r="AV112" s="142">
        <v>164889.755</v>
      </c>
      <c r="AW112" s="142">
        <v>12366.079</v>
      </c>
      <c r="AX112" s="179">
        <v>177255.834</v>
      </c>
      <c r="AY112" s="142">
        <v>227.25299999999999</v>
      </c>
      <c r="AZ112" s="141">
        <v>607433</v>
      </c>
      <c r="BA112" s="140">
        <v>0</v>
      </c>
      <c r="BB112" s="141">
        <v>0</v>
      </c>
      <c r="BC112" s="141">
        <v>0</v>
      </c>
      <c r="BD112" s="141">
        <v>0</v>
      </c>
      <c r="BE112" s="141">
        <v>0</v>
      </c>
      <c r="BF112" s="141">
        <v>0</v>
      </c>
      <c r="BG112" s="141">
        <v>0</v>
      </c>
      <c r="BH112" s="142">
        <v>0</v>
      </c>
      <c r="BI112" s="142">
        <v>0</v>
      </c>
      <c r="BJ112" s="142">
        <v>0</v>
      </c>
      <c r="BK112" s="142">
        <v>0</v>
      </c>
      <c r="BL112" s="142">
        <v>0</v>
      </c>
      <c r="BM112" s="142">
        <v>0</v>
      </c>
      <c r="BN112" s="141">
        <v>5894</v>
      </c>
      <c r="BO112" s="140">
        <v>4725.6170000000002</v>
      </c>
      <c r="BP112" s="141">
        <v>8237</v>
      </c>
      <c r="BQ112" s="141">
        <v>283537</v>
      </c>
      <c r="BR112" s="141">
        <v>283537</v>
      </c>
      <c r="BS112" s="141">
        <v>283537</v>
      </c>
      <c r="BT112" s="141">
        <v>0</v>
      </c>
      <c r="BU112" s="141">
        <v>0</v>
      </c>
      <c r="BV112" s="142">
        <v>0</v>
      </c>
      <c r="BW112" s="142">
        <v>0</v>
      </c>
      <c r="BX112" s="142">
        <v>0</v>
      </c>
      <c r="BY112" s="142">
        <v>0</v>
      </c>
      <c r="BZ112" s="179">
        <v>0</v>
      </c>
      <c r="CA112" s="142">
        <v>0</v>
      </c>
    </row>
    <row r="113" spans="1:79" ht="16.5" customHeight="1">
      <c r="A113" s="222"/>
      <c r="B113" s="220" t="s">
        <v>467</v>
      </c>
      <c r="C113" s="220"/>
      <c r="D113" s="220"/>
      <c r="E113" s="136" t="s">
        <v>468</v>
      </c>
      <c r="F113" s="136" t="s">
        <v>568</v>
      </c>
      <c r="G113" s="139">
        <v>2025</v>
      </c>
      <c r="H113" s="136" t="s">
        <v>210</v>
      </c>
      <c r="I113" s="221"/>
      <c r="J113" s="221"/>
      <c r="K113" s="140"/>
      <c r="L113" s="141"/>
      <c r="M113" s="141"/>
      <c r="N113" s="141"/>
      <c r="O113" s="141"/>
      <c r="P113" s="141"/>
      <c r="Q113" s="141"/>
      <c r="R113" s="142"/>
      <c r="S113" s="142"/>
      <c r="T113" s="142"/>
      <c r="U113" s="142"/>
      <c r="V113" s="179"/>
      <c r="W113" s="142"/>
      <c r="X113" s="141"/>
      <c r="Y113" s="140"/>
      <c r="Z113" s="141"/>
      <c r="AA113" s="141"/>
      <c r="AB113" s="141"/>
      <c r="AC113" s="141"/>
      <c r="AD113" s="141"/>
      <c r="AE113" s="141"/>
      <c r="AF113" s="142"/>
      <c r="AG113" s="142"/>
      <c r="AH113" s="142"/>
      <c r="AI113" s="142"/>
      <c r="AJ113" s="179"/>
      <c r="AK113" s="142"/>
      <c r="AL113" s="141">
        <v>2738</v>
      </c>
      <c r="AM113" s="140">
        <v>1957.95</v>
      </c>
      <c r="AN113" s="141">
        <v>3501</v>
      </c>
      <c r="AO113" s="141">
        <v>117477</v>
      </c>
      <c r="AP113" s="141">
        <v>117477</v>
      </c>
      <c r="AQ113" s="141">
        <v>135889</v>
      </c>
      <c r="AR113" s="141">
        <v>0</v>
      </c>
      <c r="AS113" s="141">
        <v>0</v>
      </c>
      <c r="AT113" s="142">
        <v>360.10399999999998</v>
      </c>
      <c r="AU113" s="142">
        <v>27.01</v>
      </c>
      <c r="AV113" s="142">
        <v>280878.42599999998</v>
      </c>
      <c r="AW113" s="142">
        <v>21067.358</v>
      </c>
      <c r="AX113" s="179">
        <v>301945.78399999999</v>
      </c>
      <c r="AY113" s="142">
        <v>387.11399999999998</v>
      </c>
      <c r="AZ113" s="141"/>
      <c r="BA113" s="140"/>
      <c r="BB113" s="141"/>
      <c r="BC113" s="141"/>
      <c r="BD113" s="141"/>
      <c r="BE113" s="141"/>
      <c r="BF113" s="141"/>
      <c r="BG113" s="141"/>
      <c r="BH113" s="142"/>
      <c r="BI113" s="142"/>
      <c r="BJ113" s="142"/>
      <c r="BK113" s="142"/>
      <c r="BL113" s="142"/>
      <c r="BM113" s="142"/>
      <c r="BN113" s="141"/>
      <c r="BO113" s="140"/>
      <c r="BP113" s="141"/>
      <c r="BQ113" s="141"/>
      <c r="BR113" s="141"/>
      <c r="BS113" s="141"/>
      <c r="BT113" s="141"/>
      <c r="BU113" s="141"/>
      <c r="BV113" s="142"/>
      <c r="BW113" s="142"/>
      <c r="BX113" s="142"/>
      <c r="BY113" s="142"/>
      <c r="BZ113" s="179"/>
      <c r="CA113" s="142"/>
    </row>
    <row r="114" spans="1:79" ht="16.5" customHeight="1">
      <c r="A114" s="222"/>
      <c r="B114" s="220" t="s">
        <v>469</v>
      </c>
      <c r="C114" s="220"/>
      <c r="D114" s="220"/>
      <c r="E114" s="136" t="s">
        <v>470</v>
      </c>
      <c r="F114" s="136" t="s">
        <v>568</v>
      </c>
      <c r="G114" s="139">
        <v>2025</v>
      </c>
      <c r="H114" s="136" t="s">
        <v>210</v>
      </c>
      <c r="I114" s="221">
        <v>42</v>
      </c>
      <c r="J114" s="221"/>
      <c r="K114" s="140">
        <v>2273</v>
      </c>
      <c r="L114" s="141">
        <v>0</v>
      </c>
      <c r="M114" s="141">
        <v>136380</v>
      </c>
      <c r="N114" s="141">
        <v>39962</v>
      </c>
      <c r="O114" s="141">
        <v>39984</v>
      </c>
      <c r="P114" s="141">
        <v>31582</v>
      </c>
      <c r="Q114" s="141">
        <v>8380</v>
      </c>
      <c r="R114" s="142">
        <v>0.26300000000000001</v>
      </c>
      <c r="S114" s="142">
        <v>0</v>
      </c>
      <c r="T114" s="142">
        <v>204.96600000000001</v>
      </c>
      <c r="U114" s="142">
        <v>0</v>
      </c>
      <c r="V114" s="179">
        <v>204.96600000000001</v>
      </c>
      <c r="W114" s="142">
        <v>0.26300000000000001</v>
      </c>
      <c r="X114" s="141"/>
      <c r="Y114" s="140"/>
      <c r="Z114" s="141"/>
      <c r="AA114" s="141"/>
      <c r="AB114" s="141"/>
      <c r="AC114" s="141"/>
      <c r="AD114" s="141"/>
      <c r="AE114" s="141"/>
      <c r="AF114" s="142"/>
      <c r="AG114" s="142"/>
      <c r="AH114" s="142"/>
      <c r="AI114" s="142"/>
      <c r="AJ114" s="179"/>
      <c r="AK114" s="142"/>
      <c r="AL114" s="141">
        <v>4</v>
      </c>
      <c r="AM114" s="140">
        <v>8.4670000000000005</v>
      </c>
      <c r="AN114" s="141">
        <v>11</v>
      </c>
      <c r="AO114" s="141">
        <v>508</v>
      </c>
      <c r="AP114" s="141">
        <v>508</v>
      </c>
      <c r="AQ114" s="141">
        <v>508</v>
      </c>
      <c r="AR114" s="141">
        <v>0</v>
      </c>
      <c r="AS114" s="141">
        <v>0</v>
      </c>
      <c r="AT114" s="142">
        <v>1.48</v>
      </c>
      <c r="AU114" s="142">
        <v>0</v>
      </c>
      <c r="AV114" s="142">
        <v>1154.482</v>
      </c>
      <c r="AW114" s="142">
        <v>0</v>
      </c>
      <c r="AX114" s="179">
        <v>1154.482</v>
      </c>
      <c r="AY114" s="142">
        <v>1.48</v>
      </c>
      <c r="AZ114" s="141"/>
      <c r="BA114" s="140"/>
      <c r="BB114" s="141"/>
      <c r="BC114" s="141"/>
      <c r="BD114" s="141"/>
      <c r="BE114" s="141"/>
      <c r="BF114" s="141"/>
      <c r="BG114" s="141"/>
      <c r="BH114" s="142"/>
      <c r="BI114" s="142"/>
      <c r="BJ114" s="142"/>
      <c r="BK114" s="142"/>
      <c r="BL114" s="142"/>
      <c r="BM114" s="142"/>
      <c r="BN114" s="141">
        <v>6</v>
      </c>
      <c r="BO114" s="140">
        <v>6.3170000000000002</v>
      </c>
      <c r="BP114" s="141">
        <v>11</v>
      </c>
      <c r="BQ114" s="141">
        <v>379</v>
      </c>
      <c r="BR114" s="141">
        <v>379</v>
      </c>
      <c r="BS114" s="141">
        <v>379</v>
      </c>
      <c r="BT114" s="141">
        <v>0</v>
      </c>
      <c r="BU114" s="141">
        <v>0</v>
      </c>
      <c r="BV114" s="142">
        <v>0</v>
      </c>
      <c r="BW114" s="142">
        <v>0</v>
      </c>
      <c r="BX114" s="142">
        <v>0</v>
      </c>
      <c r="BY114" s="142">
        <v>0</v>
      </c>
      <c r="BZ114" s="179">
        <v>0</v>
      </c>
      <c r="CA114" s="142">
        <v>0</v>
      </c>
    </row>
    <row r="115" spans="1:79" ht="16.5" customHeight="1">
      <c r="A115" s="222"/>
      <c r="B115" s="220" t="s">
        <v>473</v>
      </c>
      <c r="C115" s="220"/>
      <c r="D115" s="220"/>
      <c r="E115" s="136" t="s">
        <v>474</v>
      </c>
      <c r="F115" s="136" t="s">
        <v>568</v>
      </c>
      <c r="G115" s="139">
        <v>2025</v>
      </c>
      <c r="H115" s="136" t="s">
        <v>210</v>
      </c>
      <c r="I115" s="221">
        <v>153</v>
      </c>
      <c r="J115" s="221"/>
      <c r="K115" s="140">
        <v>2655.95</v>
      </c>
      <c r="L115" s="141">
        <v>0</v>
      </c>
      <c r="M115" s="141">
        <v>159357</v>
      </c>
      <c r="N115" s="141">
        <v>34372</v>
      </c>
      <c r="O115" s="141">
        <v>34450</v>
      </c>
      <c r="P115" s="141">
        <v>17854</v>
      </c>
      <c r="Q115" s="141">
        <v>16518</v>
      </c>
      <c r="R115" s="142">
        <v>1.1319999999999999</v>
      </c>
      <c r="S115" s="142">
        <v>0</v>
      </c>
      <c r="T115" s="142">
        <v>882.79499999999996</v>
      </c>
      <c r="U115" s="142">
        <v>0</v>
      </c>
      <c r="V115" s="179">
        <v>882.79499999999996</v>
      </c>
      <c r="W115" s="142">
        <v>1.1319999999999999</v>
      </c>
      <c r="X115" s="141"/>
      <c r="Y115" s="140"/>
      <c r="Z115" s="141"/>
      <c r="AA115" s="141"/>
      <c r="AB115" s="141"/>
      <c r="AC115" s="141"/>
      <c r="AD115" s="141"/>
      <c r="AE115" s="141"/>
      <c r="AF115" s="142"/>
      <c r="AG115" s="142"/>
      <c r="AH115" s="142"/>
      <c r="AI115" s="142"/>
      <c r="AJ115" s="179"/>
      <c r="AK115" s="142"/>
      <c r="AL115" s="141">
        <v>8</v>
      </c>
      <c r="AM115" s="140">
        <v>8.0500000000000007</v>
      </c>
      <c r="AN115" s="141">
        <v>12</v>
      </c>
      <c r="AO115" s="141">
        <v>483</v>
      </c>
      <c r="AP115" s="141">
        <v>483</v>
      </c>
      <c r="AQ115" s="141">
        <v>483</v>
      </c>
      <c r="AR115" s="141">
        <v>0</v>
      </c>
      <c r="AS115" s="141">
        <v>0</v>
      </c>
      <c r="AT115" s="142">
        <v>2.0310000000000001</v>
      </c>
      <c r="AU115" s="142">
        <v>0</v>
      </c>
      <c r="AV115" s="142">
        <v>1584.14</v>
      </c>
      <c r="AW115" s="142">
        <v>0</v>
      </c>
      <c r="AX115" s="179">
        <v>1584.14</v>
      </c>
      <c r="AY115" s="142">
        <v>2.0310000000000001</v>
      </c>
      <c r="AZ115" s="141"/>
      <c r="BA115" s="140"/>
      <c r="BB115" s="141"/>
      <c r="BC115" s="141"/>
      <c r="BD115" s="141"/>
      <c r="BE115" s="141"/>
      <c r="BF115" s="141"/>
      <c r="BG115" s="141"/>
      <c r="BH115" s="142"/>
      <c r="BI115" s="142"/>
      <c r="BJ115" s="142"/>
      <c r="BK115" s="142"/>
      <c r="BL115" s="142"/>
      <c r="BM115" s="142"/>
      <c r="BN115" s="141">
        <v>1</v>
      </c>
      <c r="BO115" s="140">
        <v>0.68300000000000005</v>
      </c>
      <c r="BP115" s="141">
        <v>1</v>
      </c>
      <c r="BQ115" s="141">
        <v>41</v>
      </c>
      <c r="BR115" s="141">
        <v>41</v>
      </c>
      <c r="BS115" s="141">
        <v>41</v>
      </c>
      <c r="BT115" s="141">
        <v>0</v>
      </c>
      <c r="BU115" s="141">
        <v>0</v>
      </c>
      <c r="BV115" s="142">
        <v>0</v>
      </c>
      <c r="BW115" s="142">
        <v>0</v>
      </c>
      <c r="BX115" s="142">
        <v>0</v>
      </c>
      <c r="BY115" s="142">
        <v>0</v>
      </c>
      <c r="BZ115" s="179">
        <v>0</v>
      </c>
      <c r="CA115" s="142">
        <v>0</v>
      </c>
    </row>
    <row r="116" spans="1:79" ht="16.5" customHeight="1">
      <c r="A116" s="222"/>
      <c r="B116" s="220" t="s">
        <v>597</v>
      </c>
      <c r="C116" s="220"/>
      <c r="D116" s="220"/>
      <c r="E116" s="136" t="s">
        <v>598</v>
      </c>
      <c r="F116" s="136" t="s">
        <v>568</v>
      </c>
      <c r="G116" s="139">
        <v>2025</v>
      </c>
      <c r="H116" s="136" t="s">
        <v>210</v>
      </c>
      <c r="I116" s="221">
        <v>2</v>
      </c>
      <c r="J116" s="221"/>
      <c r="K116" s="140">
        <v>120.117</v>
      </c>
      <c r="L116" s="141">
        <v>0</v>
      </c>
      <c r="M116" s="141">
        <v>7207</v>
      </c>
      <c r="N116" s="141">
        <v>9</v>
      </c>
      <c r="O116" s="141">
        <v>100</v>
      </c>
      <c r="P116" s="141">
        <v>0</v>
      </c>
      <c r="Q116" s="141">
        <v>8</v>
      </c>
      <c r="R116" s="142">
        <v>1.079</v>
      </c>
      <c r="S116" s="142">
        <v>0</v>
      </c>
      <c r="T116" s="142">
        <v>841.76700000000005</v>
      </c>
      <c r="U116" s="142">
        <v>0</v>
      </c>
      <c r="V116" s="179">
        <v>841.76700000000005</v>
      </c>
      <c r="W116" s="142">
        <v>1.079</v>
      </c>
      <c r="X116" s="141"/>
      <c r="Y116" s="140"/>
      <c r="Z116" s="141"/>
      <c r="AA116" s="141"/>
      <c r="AB116" s="141"/>
      <c r="AC116" s="141"/>
      <c r="AD116" s="141"/>
      <c r="AE116" s="141"/>
      <c r="AF116" s="142"/>
      <c r="AG116" s="142"/>
      <c r="AH116" s="142"/>
      <c r="AI116" s="142"/>
      <c r="AJ116" s="179"/>
      <c r="AK116" s="142"/>
      <c r="AL116" s="141"/>
      <c r="AM116" s="140"/>
      <c r="AN116" s="141"/>
      <c r="AO116" s="141"/>
      <c r="AP116" s="141"/>
      <c r="AQ116" s="141"/>
      <c r="AR116" s="141"/>
      <c r="AS116" s="141"/>
      <c r="AT116" s="142"/>
      <c r="AU116" s="142"/>
      <c r="AV116" s="142"/>
      <c r="AW116" s="142"/>
      <c r="AX116" s="179"/>
      <c r="AY116" s="142"/>
      <c r="AZ116" s="141"/>
      <c r="BA116" s="140"/>
      <c r="BB116" s="141"/>
      <c r="BC116" s="141"/>
      <c r="BD116" s="141"/>
      <c r="BE116" s="141"/>
      <c r="BF116" s="141"/>
      <c r="BG116" s="141"/>
      <c r="BH116" s="142"/>
      <c r="BI116" s="142"/>
      <c r="BJ116" s="142"/>
      <c r="BK116" s="142"/>
      <c r="BL116" s="142"/>
      <c r="BM116" s="142"/>
      <c r="BN116" s="141"/>
      <c r="BO116" s="140"/>
      <c r="BP116" s="141"/>
      <c r="BQ116" s="141"/>
      <c r="BR116" s="141"/>
      <c r="BS116" s="141"/>
      <c r="BT116" s="141"/>
      <c r="BU116" s="141"/>
      <c r="BV116" s="142"/>
      <c r="BW116" s="142"/>
      <c r="BX116" s="142"/>
      <c r="BY116" s="142"/>
      <c r="BZ116" s="179"/>
      <c r="CA116" s="142"/>
    </row>
    <row r="117" spans="1:79" ht="16.5" customHeight="1">
      <c r="A117" s="222"/>
      <c r="B117" s="220" t="s">
        <v>475</v>
      </c>
      <c r="C117" s="220"/>
      <c r="D117" s="220"/>
      <c r="E117" s="136" t="s">
        <v>476</v>
      </c>
      <c r="F117" s="136" t="s">
        <v>568</v>
      </c>
      <c r="G117" s="139">
        <v>2025</v>
      </c>
      <c r="H117" s="136" t="s">
        <v>210</v>
      </c>
      <c r="I117" s="221">
        <v>70</v>
      </c>
      <c r="J117" s="221"/>
      <c r="K117" s="140">
        <v>103.85</v>
      </c>
      <c r="L117" s="141">
        <v>0</v>
      </c>
      <c r="M117" s="141">
        <v>6231</v>
      </c>
      <c r="N117" s="141">
        <v>386</v>
      </c>
      <c r="O117" s="141">
        <v>950</v>
      </c>
      <c r="P117" s="141">
        <v>7</v>
      </c>
      <c r="Q117" s="141">
        <v>378</v>
      </c>
      <c r="R117" s="142">
        <v>4.7839999999999998</v>
      </c>
      <c r="S117" s="142">
        <v>0.93899999999999995</v>
      </c>
      <c r="T117" s="142">
        <v>3731.8649999999998</v>
      </c>
      <c r="U117" s="142">
        <v>732.02200000000005</v>
      </c>
      <c r="V117" s="179">
        <v>4463.8869999999997</v>
      </c>
      <c r="W117" s="142">
        <v>5.7229999999999999</v>
      </c>
      <c r="X117" s="141"/>
      <c r="Y117" s="140"/>
      <c r="Z117" s="141"/>
      <c r="AA117" s="141"/>
      <c r="AB117" s="141"/>
      <c r="AC117" s="141"/>
      <c r="AD117" s="141"/>
      <c r="AE117" s="141"/>
      <c r="AF117" s="142"/>
      <c r="AG117" s="142"/>
      <c r="AH117" s="142"/>
      <c r="AI117" s="142"/>
      <c r="AJ117" s="179"/>
      <c r="AK117" s="142"/>
      <c r="AL117" s="141"/>
      <c r="AM117" s="140"/>
      <c r="AN117" s="141"/>
      <c r="AO117" s="141"/>
      <c r="AP117" s="141"/>
      <c r="AQ117" s="141"/>
      <c r="AR117" s="141"/>
      <c r="AS117" s="141"/>
      <c r="AT117" s="142"/>
      <c r="AU117" s="142"/>
      <c r="AV117" s="142"/>
      <c r="AW117" s="142"/>
      <c r="AX117" s="179"/>
      <c r="AY117" s="142"/>
      <c r="AZ117" s="141"/>
      <c r="BA117" s="140"/>
      <c r="BB117" s="141"/>
      <c r="BC117" s="141"/>
      <c r="BD117" s="141"/>
      <c r="BE117" s="141"/>
      <c r="BF117" s="141"/>
      <c r="BG117" s="141"/>
      <c r="BH117" s="142"/>
      <c r="BI117" s="142"/>
      <c r="BJ117" s="142"/>
      <c r="BK117" s="142"/>
      <c r="BL117" s="142"/>
      <c r="BM117" s="142"/>
      <c r="BN117" s="141"/>
      <c r="BO117" s="140"/>
      <c r="BP117" s="141"/>
      <c r="BQ117" s="141"/>
      <c r="BR117" s="141"/>
      <c r="BS117" s="141"/>
      <c r="BT117" s="141"/>
      <c r="BU117" s="141"/>
      <c r="BV117" s="142"/>
      <c r="BW117" s="142"/>
      <c r="BX117" s="142"/>
      <c r="BY117" s="142"/>
      <c r="BZ117" s="179"/>
      <c r="CA117" s="142"/>
    </row>
    <row r="118" spans="1:79" ht="16.5" customHeight="1">
      <c r="A118" s="222"/>
      <c r="B118" s="220" t="s">
        <v>481</v>
      </c>
      <c r="C118" s="220"/>
      <c r="D118" s="220"/>
      <c r="E118" s="136" t="s">
        <v>482</v>
      </c>
      <c r="F118" s="136" t="s">
        <v>568</v>
      </c>
      <c r="G118" s="139">
        <v>2025</v>
      </c>
      <c r="H118" s="136" t="s">
        <v>210</v>
      </c>
      <c r="I118" s="221"/>
      <c r="J118" s="221"/>
      <c r="K118" s="140"/>
      <c r="L118" s="141"/>
      <c r="M118" s="141"/>
      <c r="N118" s="141"/>
      <c r="O118" s="141"/>
      <c r="P118" s="141"/>
      <c r="Q118" s="141"/>
      <c r="R118" s="142"/>
      <c r="S118" s="142"/>
      <c r="T118" s="142"/>
      <c r="U118" s="142"/>
      <c r="V118" s="179"/>
      <c r="W118" s="142"/>
      <c r="X118" s="141"/>
      <c r="Y118" s="140"/>
      <c r="Z118" s="141"/>
      <c r="AA118" s="141"/>
      <c r="AB118" s="141"/>
      <c r="AC118" s="141"/>
      <c r="AD118" s="141"/>
      <c r="AE118" s="141"/>
      <c r="AF118" s="142"/>
      <c r="AG118" s="142"/>
      <c r="AH118" s="142"/>
      <c r="AI118" s="142"/>
      <c r="AJ118" s="179"/>
      <c r="AK118" s="142"/>
      <c r="AL118" s="141"/>
      <c r="AM118" s="140"/>
      <c r="AN118" s="141"/>
      <c r="AO118" s="141"/>
      <c r="AP118" s="141"/>
      <c r="AQ118" s="141"/>
      <c r="AR118" s="141"/>
      <c r="AS118" s="141"/>
      <c r="AT118" s="142"/>
      <c r="AU118" s="142"/>
      <c r="AV118" s="142"/>
      <c r="AW118" s="142"/>
      <c r="AX118" s="179"/>
      <c r="AY118" s="142"/>
      <c r="AZ118" s="141">
        <v>16</v>
      </c>
      <c r="BA118" s="140">
        <v>0</v>
      </c>
      <c r="BB118" s="141">
        <v>0</v>
      </c>
      <c r="BC118" s="141">
        <v>0</v>
      </c>
      <c r="BD118" s="141">
        <v>0</v>
      </c>
      <c r="BE118" s="141">
        <v>0</v>
      </c>
      <c r="BF118" s="141">
        <v>0</v>
      </c>
      <c r="BG118" s="141">
        <v>0</v>
      </c>
      <c r="BH118" s="142">
        <v>0</v>
      </c>
      <c r="BI118" s="142">
        <v>0</v>
      </c>
      <c r="BJ118" s="142">
        <v>0</v>
      </c>
      <c r="BK118" s="142">
        <v>0</v>
      </c>
      <c r="BL118" s="142">
        <v>0</v>
      </c>
      <c r="BM118" s="142">
        <v>0</v>
      </c>
      <c r="BN118" s="141"/>
      <c r="BO118" s="140"/>
      <c r="BP118" s="141"/>
      <c r="BQ118" s="141"/>
      <c r="BR118" s="141"/>
      <c r="BS118" s="141"/>
      <c r="BT118" s="141"/>
      <c r="BU118" s="141"/>
      <c r="BV118" s="142"/>
      <c r="BW118" s="142"/>
      <c r="BX118" s="142"/>
      <c r="BY118" s="142"/>
      <c r="BZ118" s="179"/>
      <c r="CA118" s="142"/>
    </row>
    <row r="119" spans="1:79" ht="16.5" customHeight="1">
      <c r="A119" s="222"/>
      <c r="B119" s="220" t="s">
        <v>485</v>
      </c>
      <c r="C119" s="220"/>
      <c r="D119" s="220"/>
      <c r="E119" s="136" t="s">
        <v>486</v>
      </c>
      <c r="F119" s="136" t="s">
        <v>568</v>
      </c>
      <c r="G119" s="139">
        <v>2025</v>
      </c>
      <c r="H119" s="136" t="s">
        <v>210</v>
      </c>
      <c r="I119" s="221">
        <v>1674</v>
      </c>
      <c r="J119" s="221"/>
      <c r="K119" s="140">
        <v>94017.933000000005</v>
      </c>
      <c r="L119" s="141">
        <v>0</v>
      </c>
      <c r="M119" s="141">
        <v>5641076</v>
      </c>
      <c r="N119" s="141">
        <v>20189</v>
      </c>
      <c r="O119" s="141">
        <v>20275</v>
      </c>
      <c r="P119" s="141">
        <v>210</v>
      </c>
      <c r="Q119" s="141">
        <v>19978</v>
      </c>
      <c r="R119" s="142">
        <v>0.13300000000000001</v>
      </c>
      <c r="S119" s="142">
        <v>0</v>
      </c>
      <c r="T119" s="142">
        <v>103.583</v>
      </c>
      <c r="U119" s="142">
        <v>0</v>
      </c>
      <c r="V119" s="179">
        <v>103.583</v>
      </c>
      <c r="W119" s="142">
        <v>0.13300000000000001</v>
      </c>
      <c r="X119" s="141"/>
      <c r="Y119" s="140"/>
      <c r="Z119" s="141"/>
      <c r="AA119" s="141"/>
      <c r="AB119" s="141"/>
      <c r="AC119" s="141"/>
      <c r="AD119" s="141"/>
      <c r="AE119" s="141"/>
      <c r="AF119" s="142"/>
      <c r="AG119" s="142"/>
      <c r="AH119" s="142"/>
      <c r="AI119" s="142"/>
      <c r="AJ119" s="179"/>
      <c r="AK119" s="142"/>
      <c r="AL119" s="141">
        <v>11</v>
      </c>
      <c r="AM119" s="140">
        <v>4.55</v>
      </c>
      <c r="AN119" s="141">
        <v>12</v>
      </c>
      <c r="AO119" s="141">
        <v>273</v>
      </c>
      <c r="AP119" s="141">
        <v>273</v>
      </c>
      <c r="AQ119" s="141">
        <v>0</v>
      </c>
      <c r="AR119" s="141">
        <v>0</v>
      </c>
      <c r="AS119" s="141">
        <v>0</v>
      </c>
      <c r="AT119" s="142">
        <v>0</v>
      </c>
      <c r="AU119" s="142">
        <v>0</v>
      </c>
      <c r="AV119" s="142">
        <v>0</v>
      </c>
      <c r="AW119" s="142">
        <v>0</v>
      </c>
      <c r="AX119" s="179">
        <v>0</v>
      </c>
      <c r="AY119" s="142">
        <v>0</v>
      </c>
      <c r="AZ119" s="141">
        <v>215</v>
      </c>
      <c r="BA119" s="140">
        <v>0</v>
      </c>
      <c r="BB119" s="141">
        <v>0</v>
      </c>
      <c r="BC119" s="141">
        <v>0</v>
      </c>
      <c r="BD119" s="141">
        <v>0</v>
      </c>
      <c r="BE119" s="141">
        <v>0</v>
      </c>
      <c r="BF119" s="141">
        <v>0</v>
      </c>
      <c r="BG119" s="141">
        <v>0</v>
      </c>
      <c r="BH119" s="142">
        <v>0</v>
      </c>
      <c r="BI119" s="142">
        <v>0</v>
      </c>
      <c r="BJ119" s="142">
        <v>0</v>
      </c>
      <c r="BK119" s="142">
        <v>0</v>
      </c>
      <c r="BL119" s="142">
        <v>0</v>
      </c>
      <c r="BM119" s="142">
        <v>0</v>
      </c>
      <c r="BN119" s="141"/>
      <c r="BO119" s="140"/>
      <c r="BP119" s="141"/>
      <c r="BQ119" s="141"/>
      <c r="BR119" s="141"/>
      <c r="BS119" s="141"/>
      <c r="BT119" s="141"/>
      <c r="BU119" s="141"/>
      <c r="BV119" s="142"/>
      <c r="BW119" s="142"/>
      <c r="BX119" s="142"/>
      <c r="BY119" s="142"/>
      <c r="BZ119" s="179"/>
      <c r="CA119" s="142"/>
    </row>
    <row r="120" spans="1:79" ht="16.5" customHeight="1">
      <c r="A120" s="222"/>
      <c r="B120" s="220" t="s">
        <v>491</v>
      </c>
      <c r="C120" s="220"/>
      <c r="D120" s="220"/>
      <c r="E120" s="136" t="s">
        <v>492</v>
      </c>
      <c r="F120" s="136" t="s">
        <v>568</v>
      </c>
      <c r="G120" s="139">
        <v>2025</v>
      </c>
      <c r="H120" s="136" t="s">
        <v>210</v>
      </c>
      <c r="I120" s="221">
        <v>430</v>
      </c>
      <c r="J120" s="221"/>
      <c r="K120" s="140">
        <v>6204.0330000000004</v>
      </c>
      <c r="L120" s="141">
        <v>0</v>
      </c>
      <c r="M120" s="141">
        <v>372242</v>
      </c>
      <c r="N120" s="141">
        <v>5394</v>
      </c>
      <c r="O120" s="141">
        <v>5877</v>
      </c>
      <c r="P120" s="141">
        <v>1970</v>
      </c>
      <c r="Q120" s="141">
        <v>3425</v>
      </c>
      <c r="R120" s="142">
        <v>4.3999999999999997E-2</v>
      </c>
      <c r="S120" s="142">
        <v>0</v>
      </c>
      <c r="T120" s="142">
        <v>34.218000000000004</v>
      </c>
      <c r="U120" s="142">
        <v>0</v>
      </c>
      <c r="V120" s="179">
        <v>34.218000000000004</v>
      </c>
      <c r="W120" s="142">
        <v>4.3999999999999997E-2</v>
      </c>
      <c r="X120" s="141"/>
      <c r="Y120" s="140"/>
      <c r="Z120" s="141"/>
      <c r="AA120" s="141"/>
      <c r="AB120" s="141"/>
      <c r="AC120" s="141"/>
      <c r="AD120" s="141"/>
      <c r="AE120" s="141"/>
      <c r="AF120" s="142"/>
      <c r="AG120" s="142"/>
      <c r="AH120" s="142"/>
      <c r="AI120" s="142"/>
      <c r="AJ120" s="179"/>
      <c r="AK120" s="142"/>
      <c r="AL120" s="141"/>
      <c r="AM120" s="140"/>
      <c r="AN120" s="141"/>
      <c r="AO120" s="141"/>
      <c r="AP120" s="141"/>
      <c r="AQ120" s="141"/>
      <c r="AR120" s="141"/>
      <c r="AS120" s="141"/>
      <c r="AT120" s="142"/>
      <c r="AU120" s="142"/>
      <c r="AV120" s="142"/>
      <c r="AW120" s="142"/>
      <c r="AX120" s="179"/>
      <c r="AY120" s="142"/>
      <c r="AZ120" s="141"/>
      <c r="BA120" s="140"/>
      <c r="BB120" s="141"/>
      <c r="BC120" s="141"/>
      <c r="BD120" s="141"/>
      <c r="BE120" s="141"/>
      <c r="BF120" s="141"/>
      <c r="BG120" s="141"/>
      <c r="BH120" s="142"/>
      <c r="BI120" s="142"/>
      <c r="BJ120" s="142"/>
      <c r="BK120" s="142"/>
      <c r="BL120" s="142"/>
      <c r="BM120" s="142"/>
      <c r="BN120" s="141">
        <v>1</v>
      </c>
      <c r="BO120" s="140">
        <v>0.23300000000000001</v>
      </c>
      <c r="BP120" s="141">
        <v>1</v>
      </c>
      <c r="BQ120" s="141">
        <v>14</v>
      </c>
      <c r="BR120" s="141">
        <v>14</v>
      </c>
      <c r="BS120" s="141">
        <v>14</v>
      </c>
      <c r="BT120" s="141">
        <v>0</v>
      </c>
      <c r="BU120" s="141">
        <v>0</v>
      </c>
      <c r="BV120" s="142">
        <v>0</v>
      </c>
      <c r="BW120" s="142">
        <v>0</v>
      </c>
      <c r="BX120" s="142">
        <v>0</v>
      </c>
      <c r="BY120" s="142">
        <v>0</v>
      </c>
      <c r="BZ120" s="179">
        <v>0</v>
      </c>
      <c r="CA120" s="142">
        <v>0</v>
      </c>
    </row>
    <row r="121" spans="1:79" ht="16.5" customHeight="1">
      <c r="A121" s="222"/>
      <c r="B121" s="220" t="s">
        <v>599</v>
      </c>
      <c r="C121" s="220"/>
      <c r="D121" s="220"/>
      <c r="E121" s="136" t="s">
        <v>600</v>
      </c>
      <c r="F121" s="136" t="s">
        <v>568</v>
      </c>
      <c r="G121" s="139">
        <v>2025</v>
      </c>
      <c r="H121" s="136" t="s">
        <v>210</v>
      </c>
      <c r="I121" s="221"/>
      <c r="J121" s="221"/>
      <c r="K121" s="140"/>
      <c r="L121" s="141"/>
      <c r="M121" s="141"/>
      <c r="N121" s="141"/>
      <c r="O121" s="141"/>
      <c r="P121" s="141"/>
      <c r="Q121" s="141"/>
      <c r="R121" s="142"/>
      <c r="S121" s="142"/>
      <c r="T121" s="142"/>
      <c r="U121" s="142"/>
      <c r="V121" s="179"/>
      <c r="W121" s="142"/>
      <c r="X121" s="141"/>
      <c r="Y121" s="140"/>
      <c r="Z121" s="141"/>
      <c r="AA121" s="141"/>
      <c r="AB121" s="141"/>
      <c r="AC121" s="141"/>
      <c r="AD121" s="141"/>
      <c r="AE121" s="141"/>
      <c r="AF121" s="142"/>
      <c r="AG121" s="142"/>
      <c r="AH121" s="142"/>
      <c r="AI121" s="142"/>
      <c r="AJ121" s="179"/>
      <c r="AK121" s="142"/>
      <c r="AL121" s="141">
        <v>2</v>
      </c>
      <c r="AM121" s="140">
        <v>1.7829999999999999</v>
      </c>
      <c r="AN121" s="141">
        <v>3</v>
      </c>
      <c r="AO121" s="141">
        <v>107</v>
      </c>
      <c r="AP121" s="141">
        <v>107</v>
      </c>
      <c r="AQ121" s="141">
        <v>180</v>
      </c>
      <c r="AR121" s="141">
        <v>0</v>
      </c>
      <c r="AS121" s="141">
        <v>0</v>
      </c>
      <c r="AT121" s="142">
        <v>7.2809999999999997</v>
      </c>
      <c r="AU121" s="142">
        <v>0</v>
      </c>
      <c r="AV121" s="142">
        <v>5679.1220000000003</v>
      </c>
      <c r="AW121" s="142">
        <v>0</v>
      </c>
      <c r="AX121" s="179">
        <v>5679.1220000000003</v>
      </c>
      <c r="AY121" s="142">
        <v>7.2809999999999997</v>
      </c>
      <c r="AZ121" s="141"/>
      <c r="BA121" s="140"/>
      <c r="BB121" s="141"/>
      <c r="BC121" s="141"/>
      <c r="BD121" s="141"/>
      <c r="BE121" s="141"/>
      <c r="BF121" s="141"/>
      <c r="BG121" s="141"/>
      <c r="BH121" s="142"/>
      <c r="BI121" s="142"/>
      <c r="BJ121" s="142"/>
      <c r="BK121" s="142"/>
      <c r="BL121" s="142"/>
      <c r="BM121" s="142"/>
      <c r="BN121" s="141">
        <v>5</v>
      </c>
      <c r="BO121" s="140">
        <v>2.2170000000000001</v>
      </c>
      <c r="BP121" s="141">
        <v>5</v>
      </c>
      <c r="BQ121" s="141">
        <v>133</v>
      </c>
      <c r="BR121" s="141">
        <v>133</v>
      </c>
      <c r="BS121" s="141">
        <v>300</v>
      </c>
      <c r="BT121" s="141">
        <v>0</v>
      </c>
      <c r="BU121" s="141">
        <v>0</v>
      </c>
      <c r="BV121" s="142">
        <v>0</v>
      </c>
      <c r="BW121" s="142">
        <v>0</v>
      </c>
      <c r="BX121" s="142">
        <v>0</v>
      </c>
      <c r="BY121" s="142">
        <v>0</v>
      </c>
      <c r="BZ121" s="179">
        <v>0</v>
      </c>
      <c r="CA121" s="142">
        <v>0</v>
      </c>
    </row>
    <row r="122" spans="1:79" ht="16.5" customHeight="1">
      <c r="A122" s="222"/>
      <c r="B122" s="220" t="s">
        <v>601</v>
      </c>
      <c r="C122" s="220"/>
      <c r="D122" s="220"/>
      <c r="E122" s="136" t="s">
        <v>341</v>
      </c>
      <c r="F122" s="136" t="s">
        <v>568</v>
      </c>
      <c r="G122" s="139">
        <v>2025</v>
      </c>
      <c r="H122" s="136" t="s">
        <v>210</v>
      </c>
      <c r="I122" s="221">
        <v>58</v>
      </c>
      <c r="J122" s="221"/>
      <c r="K122" s="140">
        <v>248.6</v>
      </c>
      <c r="L122" s="141">
        <v>0</v>
      </c>
      <c r="M122" s="141">
        <v>14916</v>
      </c>
      <c r="N122" s="141">
        <v>230</v>
      </c>
      <c r="O122" s="141">
        <v>263</v>
      </c>
      <c r="P122" s="141">
        <v>19</v>
      </c>
      <c r="Q122" s="141">
        <v>212</v>
      </c>
      <c r="R122" s="142">
        <v>2E-3</v>
      </c>
      <c r="S122" s="142">
        <v>0</v>
      </c>
      <c r="T122" s="142">
        <v>1.373</v>
      </c>
      <c r="U122" s="142">
        <v>0</v>
      </c>
      <c r="V122" s="179">
        <v>1.373</v>
      </c>
      <c r="W122" s="142">
        <v>2E-3</v>
      </c>
      <c r="X122" s="141"/>
      <c r="Y122" s="140"/>
      <c r="Z122" s="141"/>
      <c r="AA122" s="141"/>
      <c r="AB122" s="141"/>
      <c r="AC122" s="141"/>
      <c r="AD122" s="141"/>
      <c r="AE122" s="141"/>
      <c r="AF122" s="142"/>
      <c r="AG122" s="142"/>
      <c r="AH122" s="142"/>
      <c r="AI122" s="142"/>
      <c r="AJ122" s="179"/>
      <c r="AK122" s="142"/>
      <c r="AL122" s="141"/>
      <c r="AM122" s="140"/>
      <c r="AN122" s="141"/>
      <c r="AO122" s="141"/>
      <c r="AP122" s="141"/>
      <c r="AQ122" s="141"/>
      <c r="AR122" s="141"/>
      <c r="AS122" s="141"/>
      <c r="AT122" s="142"/>
      <c r="AU122" s="142"/>
      <c r="AV122" s="142"/>
      <c r="AW122" s="142"/>
      <c r="AX122" s="179"/>
      <c r="AY122" s="142"/>
      <c r="AZ122" s="141"/>
      <c r="BA122" s="140"/>
      <c r="BB122" s="141"/>
      <c r="BC122" s="141"/>
      <c r="BD122" s="141"/>
      <c r="BE122" s="141"/>
      <c r="BF122" s="141"/>
      <c r="BG122" s="141"/>
      <c r="BH122" s="142"/>
      <c r="BI122" s="142"/>
      <c r="BJ122" s="142"/>
      <c r="BK122" s="142"/>
      <c r="BL122" s="142"/>
      <c r="BM122" s="142"/>
      <c r="BN122" s="141"/>
      <c r="BO122" s="140"/>
      <c r="BP122" s="141"/>
      <c r="BQ122" s="141"/>
      <c r="BR122" s="141"/>
      <c r="BS122" s="141"/>
      <c r="BT122" s="141"/>
      <c r="BU122" s="141"/>
      <c r="BV122" s="142"/>
      <c r="BW122" s="142"/>
      <c r="BX122" s="142"/>
      <c r="BY122" s="142"/>
      <c r="BZ122" s="179"/>
      <c r="CA122" s="142"/>
    </row>
    <row r="123" spans="1:79" ht="16.5" customHeight="1">
      <c r="A123" s="222"/>
      <c r="B123" s="220" t="s">
        <v>495</v>
      </c>
      <c r="C123" s="220"/>
      <c r="D123" s="220"/>
      <c r="E123" s="136" t="s">
        <v>496</v>
      </c>
      <c r="F123" s="136" t="s">
        <v>568</v>
      </c>
      <c r="G123" s="139">
        <v>2025</v>
      </c>
      <c r="H123" s="136" t="s">
        <v>210</v>
      </c>
      <c r="I123" s="221">
        <v>9</v>
      </c>
      <c r="J123" s="221"/>
      <c r="K123" s="140">
        <v>525.33299999999997</v>
      </c>
      <c r="L123" s="141">
        <v>0</v>
      </c>
      <c r="M123" s="141">
        <v>31520</v>
      </c>
      <c r="N123" s="141">
        <v>5</v>
      </c>
      <c r="O123" s="141">
        <v>11</v>
      </c>
      <c r="P123" s="141">
        <v>3</v>
      </c>
      <c r="Q123" s="141">
        <v>1</v>
      </c>
      <c r="R123" s="142">
        <v>0</v>
      </c>
      <c r="S123" s="142">
        <v>0</v>
      </c>
      <c r="T123" s="142">
        <v>7.0000000000000007E-2</v>
      </c>
      <c r="U123" s="142">
        <v>0</v>
      </c>
      <c r="V123" s="179">
        <v>7.0000000000000007E-2</v>
      </c>
      <c r="W123" s="142">
        <v>0</v>
      </c>
      <c r="X123" s="141"/>
      <c r="Y123" s="140"/>
      <c r="Z123" s="141"/>
      <c r="AA123" s="141"/>
      <c r="AB123" s="141"/>
      <c r="AC123" s="141"/>
      <c r="AD123" s="141"/>
      <c r="AE123" s="141"/>
      <c r="AF123" s="142"/>
      <c r="AG123" s="142"/>
      <c r="AH123" s="142"/>
      <c r="AI123" s="142"/>
      <c r="AJ123" s="179"/>
      <c r="AK123" s="142"/>
      <c r="AL123" s="141"/>
      <c r="AM123" s="140"/>
      <c r="AN123" s="141"/>
      <c r="AO123" s="141"/>
      <c r="AP123" s="141"/>
      <c r="AQ123" s="141"/>
      <c r="AR123" s="141"/>
      <c r="AS123" s="141"/>
      <c r="AT123" s="142"/>
      <c r="AU123" s="142"/>
      <c r="AV123" s="142"/>
      <c r="AW123" s="142"/>
      <c r="AX123" s="179"/>
      <c r="AY123" s="142"/>
      <c r="AZ123" s="141"/>
      <c r="BA123" s="140"/>
      <c r="BB123" s="141"/>
      <c r="BC123" s="141"/>
      <c r="BD123" s="141"/>
      <c r="BE123" s="141"/>
      <c r="BF123" s="141"/>
      <c r="BG123" s="141"/>
      <c r="BH123" s="142"/>
      <c r="BI123" s="142"/>
      <c r="BJ123" s="142"/>
      <c r="BK123" s="142"/>
      <c r="BL123" s="142"/>
      <c r="BM123" s="142"/>
      <c r="BN123" s="141"/>
      <c r="BO123" s="140"/>
      <c r="BP123" s="141"/>
      <c r="BQ123" s="141"/>
      <c r="BR123" s="141"/>
      <c r="BS123" s="141"/>
      <c r="BT123" s="141"/>
      <c r="BU123" s="141"/>
      <c r="BV123" s="142"/>
      <c r="BW123" s="142"/>
      <c r="BX123" s="142"/>
      <c r="BY123" s="142"/>
      <c r="BZ123" s="179"/>
      <c r="CA123" s="142"/>
    </row>
    <row r="124" spans="1:79" ht="16.5" customHeight="1">
      <c r="A124" s="222"/>
      <c r="B124" s="220" t="s">
        <v>602</v>
      </c>
      <c r="C124" s="220"/>
      <c r="D124" s="220"/>
      <c r="E124" s="136" t="s">
        <v>603</v>
      </c>
      <c r="F124" s="136" t="s">
        <v>568</v>
      </c>
      <c r="G124" s="139">
        <v>2025</v>
      </c>
      <c r="H124" s="136" t="s">
        <v>210</v>
      </c>
      <c r="I124" s="221"/>
      <c r="J124" s="221"/>
      <c r="K124" s="140"/>
      <c r="L124" s="141"/>
      <c r="M124" s="141"/>
      <c r="N124" s="141"/>
      <c r="O124" s="141"/>
      <c r="P124" s="141"/>
      <c r="Q124" s="141"/>
      <c r="R124" s="142"/>
      <c r="S124" s="142"/>
      <c r="T124" s="142"/>
      <c r="U124" s="142"/>
      <c r="V124" s="179"/>
      <c r="W124" s="142"/>
      <c r="X124" s="141"/>
      <c r="Y124" s="140"/>
      <c r="Z124" s="141"/>
      <c r="AA124" s="141"/>
      <c r="AB124" s="141"/>
      <c r="AC124" s="141"/>
      <c r="AD124" s="141"/>
      <c r="AE124" s="141"/>
      <c r="AF124" s="142"/>
      <c r="AG124" s="142"/>
      <c r="AH124" s="142"/>
      <c r="AI124" s="142"/>
      <c r="AJ124" s="179"/>
      <c r="AK124" s="142"/>
      <c r="AL124" s="141">
        <v>3</v>
      </c>
      <c r="AM124" s="140">
        <v>2.7</v>
      </c>
      <c r="AN124" s="141">
        <v>4</v>
      </c>
      <c r="AO124" s="141">
        <v>162</v>
      </c>
      <c r="AP124" s="141">
        <v>162</v>
      </c>
      <c r="AQ124" s="141">
        <v>0</v>
      </c>
      <c r="AR124" s="141">
        <v>0</v>
      </c>
      <c r="AS124" s="141">
        <v>0</v>
      </c>
      <c r="AT124" s="142">
        <v>9.5169999999999995</v>
      </c>
      <c r="AU124" s="142">
        <v>0</v>
      </c>
      <c r="AV124" s="142">
        <v>7423.335</v>
      </c>
      <c r="AW124" s="142">
        <v>0</v>
      </c>
      <c r="AX124" s="179">
        <v>7423.335</v>
      </c>
      <c r="AY124" s="142">
        <v>9.5169999999999995</v>
      </c>
      <c r="AZ124" s="141"/>
      <c r="BA124" s="140"/>
      <c r="BB124" s="141"/>
      <c r="BC124" s="141"/>
      <c r="BD124" s="141"/>
      <c r="BE124" s="141"/>
      <c r="BF124" s="141"/>
      <c r="BG124" s="141"/>
      <c r="BH124" s="142"/>
      <c r="BI124" s="142"/>
      <c r="BJ124" s="142"/>
      <c r="BK124" s="142"/>
      <c r="BL124" s="142"/>
      <c r="BM124" s="142"/>
      <c r="BN124" s="141"/>
      <c r="BO124" s="140"/>
      <c r="BP124" s="141"/>
      <c r="BQ124" s="141"/>
      <c r="BR124" s="141"/>
      <c r="BS124" s="141"/>
      <c r="BT124" s="141"/>
      <c r="BU124" s="141"/>
      <c r="BV124" s="142"/>
      <c r="BW124" s="142"/>
      <c r="BX124" s="142"/>
      <c r="BY124" s="142"/>
      <c r="BZ124" s="179"/>
      <c r="CA124" s="142"/>
    </row>
    <row r="125" spans="1:79" ht="16.5" customHeight="1">
      <c r="A125" s="222"/>
      <c r="B125" s="220" t="s">
        <v>499</v>
      </c>
      <c r="C125" s="220"/>
      <c r="D125" s="220"/>
      <c r="E125" s="136" t="s">
        <v>500</v>
      </c>
      <c r="F125" s="136" t="s">
        <v>568</v>
      </c>
      <c r="G125" s="139">
        <v>2025</v>
      </c>
      <c r="H125" s="136" t="s">
        <v>210</v>
      </c>
      <c r="I125" s="221">
        <v>51</v>
      </c>
      <c r="J125" s="221"/>
      <c r="K125" s="140">
        <v>610.88300000000004</v>
      </c>
      <c r="L125" s="141">
        <v>0</v>
      </c>
      <c r="M125" s="141">
        <v>36653</v>
      </c>
      <c r="N125" s="141">
        <v>315</v>
      </c>
      <c r="O125" s="141">
        <v>0</v>
      </c>
      <c r="P125" s="141">
        <v>26</v>
      </c>
      <c r="Q125" s="141">
        <v>289</v>
      </c>
      <c r="R125" s="142">
        <v>1E-3</v>
      </c>
      <c r="S125" s="142">
        <v>0</v>
      </c>
      <c r="T125" s="142">
        <v>0.98199999999999998</v>
      </c>
      <c r="U125" s="142">
        <v>0</v>
      </c>
      <c r="V125" s="179">
        <v>0.98199999999999998</v>
      </c>
      <c r="W125" s="142">
        <v>1E-3</v>
      </c>
      <c r="X125" s="141"/>
      <c r="Y125" s="140"/>
      <c r="Z125" s="141"/>
      <c r="AA125" s="141"/>
      <c r="AB125" s="141"/>
      <c r="AC125" s="141"/>
      <c r="AD125" s="141"/>
      <c r="AE125" s="141"/>
      <c r="AF125" s="142"/>
      <c r="AG125" s="142"/>
      <c r="AH125" s="142"/>
      <c r="AI125" s="142"/>
      <c r="AJ125" s="179"/>
      <c r="AK125" s="142"/>
      <c r="AL125" s="141"/>
      <c r="AM125" s="140"/>
      <c r="AN125" s="141"/>
      <c r="AO125" s="141"/>
      <c r="AP125" s="141"/>
      <c r="AQ125" s="141"/>
      <c r="AR125" s="141"/>
      <c r="AS125" s="141"/>
      <c r="AT125" s="142"/>
      <c r="AU125" s="142"/>
      <c r="AV125" s="142"/>
      <c r="AW125" s="142"/>
      <c r="AX125" s="179"/>
      <c r="AY125" s="142"/>
      <c r="AZ125" s="141"/>
      <c r="BA125" s="140"/>
      <c r="BB125" s="141"/>
      <c r="BC125" s="141"/>
      <c r="BD125" s="141"/>
      <c r="BE125" s="141"/>
      <c r="BF125" s="141"/>
      <c r="BG125" s="141"/>
      <c r="BH125" s="142"/>
      <c r="BI125" s="142"/>
      <c r="BJ125" s="142"/>
      <c r="BK125" s="142"/>
      <c r="BL125" s="142"/>
      <c r="BM125" s="142"/>
      <c r="BN125" s="141"/>
      <c r="BO125" s="140"/>
      <c r="BP125" s="141"/>
      <c r="BQ125" s="141"/>
      <c r="BR125" s="141"/>
      <c r="BS125" s="141"/>
      <c r="BT125" s="141"/>
      <c r="BU125" s="141"/>
      <c r="BV125" s="142"/>
      <c r="BW125" s="142"/>
      <c r="BX125" s="142"/>
      <c r="BY125" s="142"/>
      <c r="BZ125" s="179"/>
      <c r="CA125" s="142"/>
    </row>
    <row r="126" spans="1:79" ht="16.5" customHeight="1">
      <c r="A126" s="222"/>
      <c r="B126" s="220" t="s">
        <v>501</v>
      </c>
      <c r="C126" s="220"/>
      <c r="D126" s="220"/>
      <c r="E126" s="136" t="s">
        <v>502</v>
      </c>
      <c r="F126" s="136" t="s">
        <v>568</v>
      </c>
      <c r="G126" s="139">
        <v>2025</v>
      </c>
      <c r="H126" s="136" t="s">
        <v>210</v>
      </c>
      <c r="I126" s="221">
        <v>29</v>
      </c>
      <c r="J126" s="221"/>
      <c r="K126" s="140">
        <v>767.11699999999996</v>
      </c>
      <c r="L126" s="141">
        <v>0</v>
      </c>
      <c r="M126" s="141">
        <v>46027</v>
      </c>
      <c r="N126" s="141">
        <v>139</v>
      </c>
      <c r="O126" s="141">
        <v>139</v>
      </c>
      <c r="P126" s="141">
        <v>27</v>
      </c>
      <c r="Q126" s="141">
        <v>112</v>
      </c>
      <c r="R126" s="142">
        <v>6.0000000000000001E-3</v>
      </c>
      <c r="S126" s="142">
        <v>0</v>
      </c>
      <c r="T126" s="142">
        <v>4.6760000000000002</v>
      </c>
      <c r="U126" s="142">
        <v>0</v>
      </c>
      <c r="V126" s="179">
        <v>4.6760000000000002</v>
      </c>
      <c r="W126" s="142">
        <v>6.0000000000000001E-3</v>
      </c>
      <c r="X126" s="141"/>
      <c r="Y126" s="140"/>
      <c r="Z126" s="141"/>
      <c r="AA126" s="141"/>
      <c r="AB126" s="141"/>
      <c r="AC126" s="141"/>
      <c r="AD126" s="141"/>
      <c r="AE126" s="141"/>
      <c r="AF126" s="142"/>
      <c r="AG126" s="142"/>
      <c r="AH126" s="142"/>
      <c r="AI126" s="142"/>
      <c r="AJ126" s="179"/>
      <c r="AK126" s="142"/>
      <c r="AL126" s="141"/>
      <c r="AM126" s="140"/>
      <c r="AN126" s="141"/>
      <c r="AO126" s="141"/>
      <c r="AP126" s="141"/>
      <c r="AQ126" s="141"/>
      <c r="AR126" s="141"/>
      <c r="AS126" s="141"/>
      <c r="AT126" s="142"/>
      <c r="AU126" s="142"/>
      <c r="AV126" s="142"/>
      <c r="AW126" s="142"/>
      <c r="AX126" s="179"/>
      <c r="AY126" s="142"/>
      <c r="AZ126" s="141"/>
      <c r="BA126" s="140"/>
      <c r="BB126" s="141"/>
      <c r="BC126" s="141"/>
      <c r="BD126" s="141"/>
      <c r="BE126" s="141"/>
      <c r="BF126" s="141"/>
      <c r="BG126" s="141"/>
      <c r="BH126" s="142"/>
      <c r="BI126" s="142"/>
      <c r="BJ126" s="142"/>
      <c r="BK126" s="142"/>
      <c r="BL126" s="142"/>
      <c r="BM126" s="142"/>
      <c r="BN126" s="141"/>
      <c r="BO126" s="140"/>
      <c r="BP126" s="141"/>
      <c r="BQ126" s="141"/>
      <c r="BR126" s="141"/>
      <c r="BS126" s="141"/>
      <c r="BT126" s="141"/>
      <c r="BU126" s="141"/>
      <c r="BV126" s="142"/>
      <c r="BW126" s="142"/>
      <c r="BX126" s="142"/>
      <c r="BY126" s="142"/>
      <c r="BZ126" s="179"/>
      <c r="CA126" s="142"/>
    </row>
    <row r="127" spans="1:79" ht="16.5" customHeight="1">
      <c r="A127" s="222"/>
      <c r="B127" s="220" t="s">
        <v>505</v>
      </c>
      <c r="C127" s="220"/>
      <c r="D127" s="220"/>
      <c r="E127" s="136" t="s">
        <v>506</v>
      </c>
      <c r="F127" s="136" t="s">
        <v>568</v>
      </c>
      <c r="G127" s="139">
        <v>2025</v>
      </c>
      <c r="H127" s="136" t="s">
        <v>210</v>
      </c>
      <c r="I127" s="221">
        <v>52899</v>
      </c>
      <c r="J127" s="221"/>
      <c r="K127" s="140">
        <v>2517409.9</v>
      </c>
      <c r="L127" s="141">
        <v>0</v>
      </c>
      <c r="M127" s="141">
        <v>151044594</v>
      </c>
      <c r="N127" s="141">
        <v>4851995</v>
      </c>
      <c r="O127" s="141">
        <v>4855998</v>
      </c>
      <c r="P127" s="141">
        <v>3272927</v>
      </c>
      <c r="Q127" s="141">
        <v>1579068</v>
      </c>
      <c r="R127" s="142">
        <v>31.446000000000002</v>
      </c>
      <c r="S127" s="142">
        <v>0</v>
      </c>
      <c r="T127" s="142">
        <v>24527.315999999999</v>
      </c>
      <c r="U127" s="142">
        <v>0</v>
      </c>
      <c r="V127" s="179">
        <v>24527.315999999999</v>
      </c>
      <c r="W127" s="142">
        <v>31.446000000000002</v>
      </c>
      <c r="X127" s="141"/>
      <c r="Y127" s="140"/>
      <c r="Z127" s="141"/>
      <c r="AA127" s="141"/>
      <c r="AB127" s="141"/>
      <c r="AC127" s="141"/>
      <c r="AD127" s="141"/>
      <c r="AE127" s="141"/>
      <c r="AF127" s="142"/>
      <c r="AG127" s="142"/>
      <c r="AH127" s="142"/>
      <c r="AI127" s="142"/>
      <c r="AJ127" s="179"/>
      <c r="AK127" s="142"/>
      <c r="AL127" s="141">
        <v>1194</v>
      </c>
      <c r="AM127" s="140">
        <v>1387.867</v>
      </c>
      <c r="AN127" s="141">
        <v>2032</v>
      </c>
      <c r="AO127" s="141">
        <v>83272</v>
      </c>
      <c r="AP127" s="141">
        <v>83272</v>
      </c>
      <c r="AQ127" s="141">
        <v>83272</v>
      </c>
      <c r="AR127" s="141">
        <v>0</v>
      </c>
      <c r="AS127" s="141">
        <v>0</v>
      </c>
      <c r="AT127" s="142">
        <v>388.95100000000002</v>
      </c>
      <c r="AU127" s="142">
        <v>0</v>
      </c>
      <c r="AV127" s="142">
        <v>303378.28600000002</v>
      </c>
      <c r="AW127" s="142">
        <v>0</v>
      </c>
      <c r="AX127" s="179">
        <v>303378.28600000002</v>
      </c>
      <c r="AY127" s="142">
        <v>388.95100000000002</v>
      </c>
      <c r="AZ127" s="141">
        <v>10243</v>
      </c>
      <c r="BA127" s="140">
        <v>0</v>
      </c>
      <c r="BB127" s="141">
        <v>0</v>
      </c>
      <c r="BC127" s="141">
        <v>0</v>
      </c>
      <c r="BD127" s="141">
        <v>0</v>
      </c>
      <c r="BE127" s="141">
        <v>0</v>
      </c>
      <c r="BF127" s="141">
        <v>0</v>
      </c>
      <c r="BG127" s="141">
        <v>0</v>
      </c>
      <c r="BH127" s="142">
        <v>0</v>
      </c>
      <c r="BI127" s="142">
        <v>0</v>
      </c>
      <c r="BJ127" s="142">
        <v>0</v>
      </c>
      <c r="BK127" s="142">
        <v>0</v>
      </c>
      <c r="BL127" s="142">
        <v>0</v>
      </c>
      <c r="BM127" s="142">
        <v>0</v>
      </c>
      <c r="BN127" s="141">
        <v>4756</v>
      </c>
      <c r="BO127" s="140">
        <v>6170.75</v>
      </c>
      <c r="BP127" s="141">
        <v>8758</v>
      </c>
      <c r="BQ127" s="141">
        <v>370245</v>
      </c>
      <c r="BR127" s="141">
        <v>370245</v>
      </c>
      <c r="BS127" s="141">
        <v>370245</v>
      </c>
      <c r="BT127" s="141">
        <v>0</v>
      </c>
      <c r="BU127" s="141">
        <v>0</v>
      </c>
      <c r="BV127" s="142">
        <v>0</v>
      </c>
      <c r="BW127" s="142">
        <v>0</v>
      </c>
      <c r="BX127" s="142">
        <v>0</v>
      </c>
      <c r="BY127" s="142">
        <v>0</v>
      </c>
      <c r="BZ127" s="179">
        <v>0</v>
      </c>
      <c r="CA127" s="142">
        <v>0</v>
      </c>
    </row>
    <row r="128" spans="1:79" ht="16.5" customHeight="1">
      <c r="A128" s="222"/>
      <c r="B128" s="220" t="s">
        <v>507</v>
      </c>
      <c r="C128" s="220"/>
      <c r="D128" s="220"/>
      <c r="E128" s="136" t="s">
        <v>508</v>
      </c>
      <c r="F128" s="136" t="s">
        <v>568</v>
      </c>
      <c r="G128" s="139">
        <v>2025</v>
      </c>
      <c r="H128" s="136" t="s">
        <v>210</v>
      </c>
      <c r="I128" s="221">
        <v>225</v>
      </c>
      <c r="J128" s="221"/>
      <c r="K128" s="140">
        <v>1008.75</v>
      </c>
      <c r="L128" s="141">
        <v>0</v>
      </c>
      <c r="M128" s="141">
        <v>60525</v>
      </c>
      <c r="N128" s="141">
        <v>8367</v>
      </c>
      <c r="O128" s="141">
        <v>8492</v>
      </c>
      <c r="P128" s="141">
        <v>3911</v>
      </c>
      <c r="Q128" s="141">
        <v>4456</v>
      </c>
      <c r="R128" s="142">
        <v>0.06</v>
      </c>
      <c r="S128" s="142">
        <v>0</v>
      </c>
      <c r="T128" s="142">
        <v>46.8</v>
      </c>
      <c r="U128" s="142">
        <v>0</v>
      </c>
      <c r="V128" s="179">
        <v>46.8</v>
      </c>
      <c r="W128" s="142">
        <v>0.06</v>
      </c>
      <c r="X128" s="141"/>
      <c r="Y128" s="140"/>
      <c r="Z128" s="141"/>
      <c r="AA128" s="141"/>
      <c r="AB128" s="141"/>
      <c r="AC128" s="141"/>
      <c r="AD128" s="141"/>
      <c r="AE128" s="141"/>
      <c r="AF128" s="142"/>
      <c r="AG128" s="142"/>
      <c r="AH128" s="142"/>
      <c r="AI128" s="142"/>
      <c r="AJ128" s="179"/>
      <c r="AK128" s="142"/>
      <c r="AL128" s="141"/>
      <c r="AM128" s="140"/>
      <c r="AN128" s="141"/>
      <c r="AO128" s="141"/>
      <c r="AP128" s="141"/>
      <c r="AQ128" s="141"/>
      <c r="AR128" s="141"/>
      <c r="AS128" s="141"/>
      <c r="AT128" s="142"/>
      <c r="AU128" s="142"/>
      <c r="AV128" s="142"/>
      <c r="AW128" s="142"/>
      <c r="AX128" s="179"/>
      <c r="AY128" s="142"/>
      <c r="AZ128" s="141"/>
      <c r="BA128" s="140"/>
      <c r="BB128" s="141"/>
      <c r="BC128" s="141"/>
      <c r="BD128" s="141"/>
      <c r="BE128" s="141"/>
      <c r="BF128" s="141"/>
      <c r="BG128" s="141"/>
      <c r="BH128" s="142"/>
      <c r="BI128" s="142"/>
      <c r="BJ128" s="142"/>
      <c r="BK128" s="142"/>
      <c r="BL128" s="142"/>
      <c r="BM128" s="142"/>
      <c r="BN128" s="141"/>
      <c r="BO128" s="140"/>
      <c r="BP128" s="141"/>
      <c r="BQ128" s="141"/>
      <c r="BR128" s="141"/>
      <c r="BS128" s="141"/>
      <c r="BT128" s="141"/>
      <c r="BU128" s="141"/>
      <c r="BV128" s="142"/>
      <c r="BW128" s="142"/>
      <c r="BX128" s="142"/>
      <c r="BY128" s="142"/>
      <c r="BZ128" s="179"/>
      <c r="CA128" s="142"/>
    </row>
    <row r="129" spans="1:79" ht="16.5" customHeight="1">
      <c r="A129" s="222"/>
      <c r="B129" s="220" t="s">
        <v>509</v>
      </c>
      <c r="C129" s="220"/>
      <c r="D129" s="220"/>
      <c r="E129" s="136" t="s">
        <v>510</v>
      </c>
      <c r="F129" s="136" t="s">
        <v>568</v>
      </c>
      <c r="G129" s="139">
        <v>2025</v>
      </c>
      <c r="H129" s="136" t="s">
        <v>210</v>
      </c>
      <c r="I129" s="221">
        <v>47045</v>
      </c>
      <c r="J129" s="221"/>
      <c r="K129" s="140">
        <v>481103.3</v>
      </c>
      <c r="L129" s="141">
        <v>0</v>
      </c>
      <c r="M129" s="141">
        <v>28866198</v>
      </c>
      <c r="N129" s="141">
        <v>33503460</v>
      </c>
      <c r="O129" s="141">
        <v>35304650</v>
      </c>
      <c r="P129" s="141">
        <v>23617663</v>
      </c>
      <c r="Q129" s="141">
        <v>9885797</v>
      </c>
      <c r="R129" s="142">
        <v>243.726</v>
      </c>
      <c r="S129" s="142">
        <v>0</v>
      </c>
      <c r="T129" s="142">
        <v>190104.39300000001</v>
      </c>
      <c r="U129" s="142">
        <v>0</v>
      </c>
      <c r="V129" s="179">
        <v>190104.39300000001</v>
      </c>
      <c r="W129" s="142">
        <v>243.726</v>
      </c>
      <c r="X129" s="141">
        <v>1</v>
      </c>
      <c r="Y129" s="140">
        <v>0</v>
      </c>
      <c r="Z129" s="141">
        <v>0</v>
      </c>
      <c r="AA129" s="141">
        <v>0</v>
      </c>
      <c r="AB129" s="141">
        <v>0</v>
      </c>
      <c r="AC129" s="141">
        <v>0</v>
      </c>
      <c r="AD129" s="141">
        <v>0</v>
      </c>
      <c r="AE129" s="141">
        <v>0</v>
      </c>
      <c r="AF129" s="142">
        <v>2.1999999999999999E-2</v>
      </c>
      <c r="AG129" s="142">
        <v>0</v>
      </c>
      <c r="AH129" s="142">
        <v>17.238</v>
      </c>
      <c r="AI129" s="142">
        <v>0</v>
      </c>
      <c r="AJ129" s="179">
        <v>17.238</v>
      </c>
      <c r="AK129" s="142">
        <v>2.1999999999999999E-2</v>
      </c>
      <c r="AL129" s="141">
        <v>891</v>
      </c>
      <c r="AM129" s="140">
        <v>979</v>
      </c>
      <c r="AN129" s="141">
        <v>1467</v>
      </c>
      <c r="AO129" s="141">
        <v>58740</v>
      </c>
      <c r="AP129" s="141">
        <v>58740</v>
      </c>
      <c r="AQ129" s="141">
        <v>58986</v>
      </c>
      <c r="AR129" s="141">
        <v>0</v>
      </c>
      <c r="AS129" s="141">
        <v>0</v>
      </c>
      <c r="AT129" s="142">
        <v>220.001</v>
      </c>
      <c r="AU129" s="142">
        <v>0</v>
      </c>
      <c r="AV129" s="142">
        <v>171598.856</v>
      </c>
      <c r="AW129" s="142">
        <v>0</v>
      </c>
      <c r="AX129" s="179">
        <v>171598.856</v>
      </c>
      <c r="AY129" s="142">
        <v>220.001</v>
      </c>
      <c r="AZ129" s="141"/>
      <c r="BA129" s="140"/>
      <c r="BB129" s="141"/>
      <c r="BC129" s="141"/>
      <c r="BD129" s="141"/>
      <c r="BE129" s="141"/>
      <c r="BF129" s="141"/>
      <c r="BG129" s="141"/>
      <c r="BH129" s="142"/>
      <c r="BI129" s="142"/>
      <c r="BJ129" s="142"/>
      <c r="BK129" s="142"/>
      <c r="BL129" s="142"/>
      <c r="BM129" s="142"/>
      <c r="BN129" s="141">
        <v>3467</v>
      </c>
      <c r="BO129" s="140">
        <v>4382.7</v>
      </c>
      <c r="BP129" s="141">
        <v>6198</v>
      </c>
      <c r="BQ129" s="141">
        <v>262962</v>
      </c>
      <c r="BR129" s="141">
        <v>262962</v>
      </c>
      <c r="BS129" s="141">
        <v>0</v>
      </c>
      <c r="BT129" s="141">
        <v>0</v>
      </c>
      <c r="BU129" s="141">
        <v>0</v>
      </c>
      <c r="BV129" s="142">
        <v>0</v>
      </c>
      <c r="BW129" s="142">
        <v>0</v>
      </c>
      <c r="BX129" s="142">
        <v>0</v>
      </c>
      <c r="BY129" s="142">
        <v>0</v>
      </c>
      <c r="BZ129" s="179">
        <v>0</v>
      </c>
      <c r="CA129" s="142">
        <v>0</v>
      </c>
    </row>
    <row r="130" spans="1:79" ht="16.5" customHeight="1">
      <c r="A130" s="222"/>
      <c r="B130" s="220" t="s">
        <v>511</v>
      </c>
      <c r="C130" s="220"/>
      <c r="D130" s="220"/>
      <c r="E130" s="136" t="s">
        <v>512</v>
      </c>
      <c r="F130" s="136" t="s">
        <v>568</v>
      </c>
      <c r="G130" s="139">
        <v>2025</v>
      </c>
      <c r="H130" s="136" t="s">
        <v>210</v>
      </c>
      <c r="I130" s="221">
        <v>140770</v>
      </c>
      <c r="J130" s="221"/>
      <c r="K130" s="140">
        <v>6553512.517</v>
      </c>
      <c r="L130" s="141">
        <v>0</v>
      </c>
      <c r="M130" s="141">
        <v>393210751</v>
      </c>
      <c r="N130" s="141">
        <v>1848156</v>
      </c>
      <c r="O130" s="141">
        <v>1851972</v>
      </c>
      <c r="P130" s="141">
        <v>1302003</v>
      </c>
      <c r="Q130" s="141">
        <v>546153</v>
      </c>
      <c r="R130" s="142">
        <v>150.71100000000001</v>
      </c>
      <c r="S130" s="142">
        <v>0</v>
      </c>
      <c r="T130" s="142">
        <v>117553.538</v>
      </c>
      <c r="U130" s="142">
        <v>0</v>
      </c>
      <c r="V130" s="179">
        <v>117553.538</v>
      </c>
      <c r="W130" s="142">
        <v>150.71100000000001</v>
      </c>
      <c r="X130" s="141">
        <v>4</v>
      </c>
      <c r="Y130" s="140">
        <v>0</v>
      </c>
      <c r="Z130" s="141">
        <v>0</v>
      </c>
      <c r="AA130" s="141">
        <v>0</v>
      </c>
      <c r="AB130" s="141">
        <v>0</v>
      </c>
      <c r="AC130" s="141">
        <v>0</v>
      </c>
      <c r="AD130" s="141">
        <v>0</v>
      </c>
      <c r="AE130" s="141">
        <v>0</v>
      </c>
      <c r="AF130" s="142">
        <v>0.25600000000000001</v>
      </c>
      <c r="AG130" s="142">
        <v>0</v>
      </c>
      <c r="AH130" s="142">
        <v>199.99</v>
      </c>
      <c r="AI130" s="142">
        <v>0</v>
      </c>
      <c r="AJ130" s="179">
        <v>199.99</v>
      </c>
      <c r="AK130" s="142">
        <v>0.25600000000000001</v>
      </c>
      <c r="AL130" s="141">
        <v>193</v>
      </c>
      <c r="AM130" s="140">
        <v>318.58300000000003</v>
      </c>
      <c r="AN130" s="141">
        <v>418</v>
      </c>
      <c r="AO130" s="141">
        <v>19115</v>
      </c>
      <c r="AP130" s="141">
        <v>19115</v>
      </c>
      <c r="AQ130" s="141">
        <v>19115</v>
      </c>
      <c r="AR130" s="141">
        <v>0</v>
      </c>
      <c r="AS130" s="141">
        <v>0</v>
      </c>
      <c r="AT130" s="142">
        <v>49.744999999999997</v>
      </c>
      <c r="AU130" s="142">
        <v>0</v>
      </c>
      <c r="AV130" s="142">
        <v>38801.014000000003</v>
      </c>
      <c r="AW130" s="142">
        <v>0</v>
      </c>
      <c r="AX130" s="179">
        <v>38801.014000000003</v>
      </c>
      <c r="AY130" s="142">
        <v>49.744999999999997</v>
      </c>
      <c r="AZ130" s="141">
        <v>45</v>
      </c>
      <c r="BA130" s="140">
        <v>0</v>
      </c>
      <c r="BB130" s="141">
        <v>0</v>
      </c>
      <c r="BC130" s="141">
        <v>0</v>
      </c>
      <c r="BD130" s="141">
        <v>0</v>
      </c>
      <c r="BE130" s="141">
        <v>0</v>
      </c>
      <c r="BF130" s="141">
        <v>0</v>
      </c>
      <c r="BG130" s="141">
        <v>0</v>
      </c>
      <c r="BH130" s="142">
        <v>0</v>
      </c>
      <c r="BI130" s="142">
        <v>0</v>
      </c>
      <c r="BJ130" s="142">
        <v>0</v>
      </c>
      <c r="BK130" s="142">
        <v>0</v>
      </c>
      <c r="BL130" s="142">
        <v>0</v>
      </c>
      <c r="BM130" s="142">
        <v>0</v>
      </c>
      <c r="BN130" s="141">
        <v>743</v>
      </c>
      <c r="BO130" s="140">
        <v>1206.633</v>
      </c>
      <c r="BP130" s="141">
        <v>1601</v>
      </c>
      <c r="BQ130" s="141">
        <v>72398</v>
      </c>
      <c r="BR130" s="141">
        <v>72398</v>
      </c>
      <c r="BS130" s="141">
        <v>72398</v>
      </c>
      <c r="BT130" s="141">
        <v>0</v>
      </c>
      <c r="BU130" s="141">
        <v>0</v>
      </c>
      <c r="BV130" s="142">
        <v>0</v>
      </c>
      <c r="BW130" s="142">
        <v>0</v>
      </c>
      <c r="BX130" s="142">
        <v>0</v>
      </c>
      <c r="BY130" s="142">
        <v>0</v>
      </c>
      <c r="BZ130" s="179">
        <v>0</v>
      </c>
      <c r="CA130" s="142">
        <v>0</v>
      </c>
    </row>
    <row r="131" spans="1:79" ht="16.5" customHeight="1">
      <c r="A131" s="222"/>
      <c r="B131" s="220" t="s">
        <v>513</v>
      </c>
      <c r="C131" s="220"/>
      <c r="D131" s="220"/>
      <c r="E131" s="136" t="s">
        <v>514</v>
      </c>
      <c r="F131" s="136" t="s">
        <v>568</v>
      </c>
      <c r="G131" s="139">
        <v>2025</v>
      </c>
      <c r="H131" s="136" t="s">
        <v>210</v>
      </c>
      <c r="I131" s="221">
        <v>1230</v>
      </c>
      <c r="J131" s="221"/>
      <c r="K131" s="140">
        <v>67179.883000000002</v>
      </c>
      <c r="L131" s="141">
        <v>0</v>
      </c>
      <c r="M131" s="141">
        <v>4030793</v>
      </c>
      <c r="N131" s="141">
        <v>162205</v>
      </c>
      <c r="O131" s="141">
        <v>162649</v>
      </c>
      <c r="P131" s="141">
        <v>41567</v>
      </c>
      <c r="Q131" s="141">
        <v>120637</v>
      </c>
      <c r="R131" s="142">
        <v>0.66600000000000004</v>
      </c>
      <c r="S131" s="142">
        <v>0</v>
      </c>
      <c r="T131" s="142">
        <v>519.78700000000003</v>
      </c>
      <c r="U131" s="142">
        <v>0</v>
      </c>
      <c r="V131" s="179">
        <v>519.78700000000003</v>
      </c>
      <c r="W131" s="142">
        <v>0.66600000000000004</v>
      </c>
      <c r="X131" s="141"/>
      <c r="Y131" s="140"/>
      <c r="Z131" s="141"/>
      <c r="AA131" s="141"/>
      <c r="AB131" s="141"/>
      <c r="AC131" s="141"/>
      <c r="AD131" s="141"/>
      <c r="AE131" s="141"/>
      <c r="AF131" s="142"/>
      <c r="AG131" s="142"/>
      <c r="AH131" s="142"/>
      <c r="AI131" s="142"/>
      <c r="AJ131" s="179"/>
      <c r="AK131" s="142"/>
      <c r="AL131" s="141">
        <v>137</v>
      </c>
      <c r="AM131" s="140">
        <v>209.7</v>
      </c>
      <c r="AN131" s="141">
        <v>283</v>
      </c>
      <c r="AO131" s="141">
        <v>12582</v>
      </c>
      <c r="AP131" s="141">
        <v>12582</v>
      </c>
      <c r="AQ131" s="141">
        <v>12582</v>
      </c>
      <c r="AR131" s="141">
        <v>0</v>
      </c>
      <c r="AS131" s="141">
        <v>0</v>
      </c>
      <c r="AT131" s="142">
        <v>52.381</v>
      </c>
      <c r="AU131" s="142">
        <v>0</v>
      </c>
      <c r="AV131" s="142">
        <v>40856.597000000002</v>
      </c>
      <c r="AW131" s="142">
        <v>0</v>
      </c>
      <c r="AX131" s="179">
        <v>40856.597000000002</v>
      </c>
      <c r="AY131" s="142">
        <v>52.381</v>
      </c>
      <c r="AZ131" s="141">
        <v>6842</v>
      </c>
      <c r="BA131" s="140">
        <v>0</v>
      </c>
      <c r="BB131" s="141">
        <v>0</v>
      </c>
      <c r="BC131" s="141">
        <v>0</v>
      </c>
      <c r="BD131" s="141">
        <v>0</v>
      </c>
      <c r="BE131" s="141">
        <v>0</v>
      </c>
      <c r="BF131" s="141">
        <v>0</v>
      </c>
      <c r="BG131" s="141">
        <v>0</v>
      </c>
      <c r="BH131" s="142">
        <v>0</v>
      </c>
      <c r="BI131" s="142">
        <v>0</v>
      </c>
      <c r="BJ131" s="142">
        <v>0</v>
      </c>
      <c r="BK131" s="142">
        <v>0</v>
      </c>
      <c r="BL131" s="142">
        <v>0</v>
      </c>
      <c r="BM131" s="142">
        <v>0</v>
      </c>
      <c r="BN131" s="141">
        <v>579</v>
      </c>
      <c r="BO131" s="140">
        <v>1065.433</v>
      </c>
      <c r="BP131" s="141">
        <v>1376</v>
      </c>
      <c r="BQ131" s="141">
        <v>63926</v>
      </c>
      <c r="BR131" s="141">
        <v>63926</v>
      </c>
      <c r="BS131" s="141">
        <v>82560</v>
      </c>
      <c r="BT131" s="141">
        <v>0</v>
      </c>
      <c r="BU131" s="141">
        <v>0</v>
      </c>
      <c r="BV131" s="142">
        <v>0</v>
      </c>
      <c r="BW131" s="142">
        <v>0</v>
      </c>
      <c r="BX131" s="142">
        <v>0</v>
      </c>
      <c r="BY131" s="142">
        <v>0</v>
      </c>
      <c r="BZ131" s="179">
        <v>0</v>
      </c>
      <c r="CA131" s="142">
        <v>0</v>
      </c>
    </row>
    <row r="132" spans="1:79" ht="16.5" customHeight="1">
      <c r="A132" s="222"/>
      <c r="B132" s="220" t="s">
        <v>604</v>
      </c>
      <c r="C132" s="220"/>
      <c r="D132" s="220"/>
      <c r="E132" s="136" t="s">
        <v>605</v>
      </c>
      <c r="F132" s="136" t="s">
        <v>568</v>
      </c>
      <c r="G132" s="139">
        <v>2025</v>
      </c>
      <c r="H132" s="136" t="s">
        <v>210</v>
      </c>
      <c r="I132" s="221">
        <v>61</v>
      </c>
      <c r="J132" s="221"/>
      <c r="K132" s="140">
        <v>409.06700000000001</v>
      </c>
      <c r="L132" s="141">
        <v>0</v>
      </c>
      <c r="M132" s="141">
        <v>24544</v>
      </c>
      <c r="N132" s="141">
        <v>13</v>
      </c>
      <c r="O132" s="141">
        <v>69</v>
      </c>
      <c r="P132" s="141">
        <v>10</v>
      </c>
      <c r="Q132" s="141">
        <v>3</v>
      </c>
      <c r="R132" s="142">
        <v>3.0000000000000001E-3</v>
      </c>
      <c r="S132" s="142">
        <v>1E-3</v>
      </c>
      <c r="T132" s="142">
        <v>2.153</v>
      </c>
      <c r="U132" s="142">
        <v>0.50700000000000001</v>
      </c>
      <c r="V132" s="179">
        <v>2.66</v>
      </c>
      <c r="W132" s="142">
        <v>3.0000000000000001E-3</v>
      </c>
      <c r="X132" s="141"/>
      <c r="Y132" s="140"/>
      <c r="Z132" s="141"/>
      <c r="AA132" s="141"/>
      <c r="AB132" s="141"/>
      <c r="AC132" s="141"/>
      <c r="AD132" s="141"/>
      <c r="AE132" s="141"/>
      <c r="AF132" s="142"/>
      <c r="AG132" s="142"/>
      <c r="AH132" s="142"/>
      <c r="AI132" s="142"/>
      <c r="AJ132" s="179"/>
      <c r="AK132" s="142"/>
      <c r="AL132" s="141"/>
      <c r="AM132" s="140"/>
      <c r="AN132" s="141"/>
      <c r="AO132" s="141"/>
      <c r="AP132" s="141"/>
      <c r="AQ132" s="141"/>
      <c r="AR132" s="141"/>
      <c r="AS132" s="141"/>
      <c r="AT132" s="142"/>
      <c r="AU132" s="142"/>
      <c r="AV132" s="142"/>
      <c r="AW132" s="142"/>
      <c r="AX132" s="179"/>
      <c r="AY132" s="142"/>
      <c r="AZ132" s="141">
        <v>2</v>
      </c>
      <c r="BA132" s="140">
        <v>0</v>
      </c>
      <c r="BB132" s="141">
        <v>0</v>
      </c>
      <c r="BC132" s="141">
        <v>0</v>
      </c>
      <c r="BD132" s="141">
        <v>0</v>
      </c>
      <c r="BE132" s="141">
        <v>0</v>
      </c>
      <c r="BF132" s="141">
        <v>0</v>
      </c>
      <c r="BG132" s="141">
        <v>0</v>
      </c>
      <c r="BH132" s="142">
        <v>0</v>
      </c>
      <c r="BI132" s="142">
        <v>0</v>
      </c>
      <c r="BJ132" s="142">
        <v>0</v>
      </c>
      <c r="BK132" s="142">
        <v>0</v>
      </c>
      <c r="BL132" s="142">
        <v>0</v>
      </c>
      <c r="BM132" s="142">
        <v>0</v>
      </c>
      <c r="BN132" s="141"/>
      <c r="BO132" s="140"/>
      <c r="BP132" s="141"/>
      <c r="BQ132" s="141"/>
      <c r="BR132" s="141"/>
      <c r="BS132" s="141"/>
      <c r="BT132" s="141"/>
      <c r="BU132" s="141"/>
      <c r="BV132" s="142"/>
      <c r="BW132" s="142"/>
      <c r="BX132" s="142"/>
      <c r="BY132" s="142"/>
      <c r="BZ132" s="179"/>
      <c r="CA132" s="142"/>
    </row>
    <row r="133" spans="1:79" ht="16.5" customHeight="1">
      <c r="A133" s="222"/>
      <c r="B133" s="220" t="s">
        <v>606</v>
      </c>
      <c r="C133" s="220"/>
      <c r="D133" s="220"/>
      <c r="E133" s="136" t="s">
        <v>607</v>
      </c>
      <c r="F133" s="136" t="s">
        <v>568</v>
      </c>
      <c r="G133" s="139">
        <v>2025</v>
      </c>
      <c r="H133" s="136" t="s">
        <v>210</v>
      </c>
      <c r="I133" s="221">
        <v>9</v>
      </c>
      <c r="J133" s="221"/>
      <c r="K133" s="140">
        <v>131.6</v>
      </c>
      <c r="L133" s="141">
        <v>0</v>
      </c>
      <c r="M133" s="141">
        <v>7896</v>
      </c>
      <c r="N133" s="141">
        <v>0</v>
      </c>
      <c r="O133" s="141">
        <v>0</v>
      </c>
      <c r="P133" s="141">
        <v>0</v>
      </c>
      <c r="Q133" s="141">
        <v>0</v>
      </c>
      <c r="R133" s="142">
        <v>0</v>
      </c>
      <c r="S133" s="142">
        <v>0</v>
      </c>
      <c r="T133" s="142">
        <v>0</v>
      </c>
      <c r="U133" s="142">
        <v>0</v>
      </c>
      <c r="V133" s="179">
        <v>0</v>
      </c>
      <c r="W133" s="142">
        <v>0</v>
      </c>
      <c r="X133" s="141"/>
      <c r="Y133" s="140"/>
      <c r="Z133" s="141"/>
      <c r="AA133" s="141"/>
      <c r="AB133" s="141"/>
      <c r="AC133" s="141"/>
      <c r="AD133" s="141"/>
      <c r="AE133" s="141"/>
      <c r="AF133" s="142"/>
      <c r="AG133" s="142"/>
      <c r="AH133" s="142"/>
      <c r="AI133" s="142"/>
      <c r="AJ133" s="179"/>
      <c r="AK133" s="142"/>
      <c r="AL133" s="141"/>
      <c r="AM133" s="140"/>
      <c r="AN133" s="141"/>
      <c r="AO133" s="141"/>
      <c r="AP133" s="141"/>
      <c r="AQ133" s="141"/>
      <c r="AR133" s="141"/>
      <c r="AS133" s="141"/>
      <c r="AT133" s="142"/>
      <c r="AU133" s="142"/>
      <c r="AV133" s="142"/>
      <c r="AW133" s="142"/>
      <c r="AX133" s="179"/>
      <c r="AY133" s="142"/>
      <c r="AZ133" s="141"/>
      <c r="BA133" s="140"/>
      <c r="BB133" s="141"/>
      <c r="BC133" s="141"/>
      <c r="BD133" s="141"/>
      <c r="BE133" s="141"/>
      <c r="BF133" s="141"/>
      <c r="BG133" s="141"/>
      <c r="BH133" s="142"/>
      <c r="BI133" s="142"/>
      <c r="BJ133" s="142"/>
      <c r="BK133" s="142"/>
      <c r="BL133" s="142"/>
      <c r="BM133" s="142"/>
      <c r="BN133" s="141"/>
      <c r="BO133" s="140"/>
      <c r="BP133" s="141"/>
      <c r="BQ133" s="141"/>
      <c r="BR133" s="141"/>
      <c r="BS133" s="141"/>
      <c r="BT133" s="141"/>
      <c r="BU133" s="141"/>
      <c r="BV133" s="142"/>
      <c r="BW133" s="142"/>
      <c r="BX133" s="142"/>
      <c r="BY133" s="142"/>
      <c r="BZ133" s="179"/>
      <c r="CA133" s="142"/>
    </row>
    <row r="134" spans="1:79" ht="16.5" customHeight="1">
      <c r="A134" s="222"/>
      <c r="B134" s="220" t="s">
        <v>523</v>
      </c>
      <c r="C134" s="220"/>
      <c r="D134" s="220"/>
      <c r="E134" s="136" t="s">
        <v>524</v>
      </c>
      <c r="F134" s="136" t="s">
        <v>568</v>
      </c>
      <c r="G134" s="139">
        <v>2025</v>
      </c>
      <c r="H134" s="136" t="s">
        <v>210</v>
      </c>
      <c r="I134" s="221">
        <v>1025</v>
      </c>
      <c r="J134" s="221"/>
      <c r="K134" s="140">
        <v>6824.5</v>
      </c>
      <c r="L134" s="141">
        <v>0</v>
      </c>
      <c r="M134" s="141">
        <v>409470</v>
      </c>
      <c r="N134" s="141">
        <v>58105</v>
      </c>
      <c r="O134" s="141">
        <v>58683</v>
      </c>
      <c r="P134" s="141">
        <v>26290</v>
      </c>
      <c r="Q134" s="141">
        <v>31815</v>
      </c>
      <c r="R134" s="142">
        <v>0.64800000000000002</v>
      </c>
      <c r="S134" s="142">
        <v>0</v>
      </c>
      <c r="T134" s="142">
        <v>505.75799999999998</v>
      </c>
      <c r="U134" s="142">
        <v>0</v>
      </c>
      <c r="V134" s="179">
        <v>505.75799999999998</v>
      </c>
      <c r="W134" s="142">
        <v>0.64800000000000002</v>
      </c>
      <c r="X134" s="141"/>
      <c r="Y134" s="140"/>
      <c r="Z134" s="141"/>
      <c r="AA134" s="141"/>
      <c r="AB134" s="141"/>
      <c r="AC134" s="141"/>
      <c r="AD134" s="141"/>
      <c r="AE134" s="141"/>
      <c r="AF134" s="142"/>
      <c r="AG134" s="142"/>
      <c r="AH134" s="142"/>
      <c r="AI134" s="142"/>
      <c r="AJ134" s="179"/>
      <c r="AK134" s="142"/>
      <c r="AL134" s="141"/>
      <c r="AM134" s="140"/>
      <c r="AN134" s="141"/>
      <c r="AO134" s="141"/>
      <c r="AP134" s="141"/>
      <c r="AQ134" s="141"/>
      <c r="AR134" s="141"/>
      <c r="AS134" s="141"/>
      <c r="AT134" s="142"/>
      <c r="AU134" s="142"/>
      <c r="AV134" s="142"/>
      <c r="AW134" s="142"/>
      <c r="AX134" s="179"/>
      <c r="AY134" s="142"/>
      <c r="AZ134" s="141"/>
      <c r="BA134" s="140"/>
      <c r="BB134" s="141"/>
      <c r="BC134" s="141"/>
      <c r="BD134" s="141"/>
      <c r="BE134" s="141"/>
      <c r="BF134" s="141"/>
      <c r="BG134" s="141"/>
      <c r="BH134" s="142"/>
      <c r="BI134" s="142"/>
      <c r="BJ134" s="142"/>
      <c r="BK134" s="142"/>
      <c r="BL134" s="142"/>
      <c r="BM134" s="142"/>
      <c r="BN134" s="141"/>
      <c r="BO134" s="140"/>
      <c r="BP134" s="141"/>
      <c r="BQ134" s="141"/>
      <c r="BR134" s="141"/>
      <c r="BS134" s="141"/>
      <c r="BT134" s="141"/>
      <c r="BU134" s="141"/>
      <c r="BV134" s="142"/>
      <c r="BW134" s="142"/>
      <c r="BX134" s="142"/>
      <c r="BY134" s="142"/>
      <c r="BZ134" s="179"/>
      <c r="CA134" s="142"/>
    </row>
    <row r="135" spans="1:79" ht="16.5" customHeight="1">
      <c r="A135" s="222"/>
      <c r="B135" s="220" t="s">
        <v>527</v>
      </c>
      <c r="C135" s="220"/>
      <c r="D135" s="220"/>
      <c r="E135" s="136" t="s">
        <v>528</v>
      </c>
      <c r="F135" s="136" t="s">
        <v>568</v>
      </c>
      <c r="G135" s="139">
        <v>2025</v>
      </c>
      <c r="H135" s="136" t="s">
        <v>210</v>
      </c>
      <c r="I135" s="221">
        <v>841183</v>
      </c>
      <c r="J135" s="221"/>
      <c r="K135" s="140">
        <v>34837369.850000001</v>
      </c>
      <c r="L135" s="141">
        <v>0</v>
      </c>
      <c r="M135" s="141">
        <v>2090242191</v>
      </c>
      <c r="N135" s="141">
        <v>122431352</v>
      </c>
      <c r="O135" s="141">
        <v>122529144</v>
      </c>
      <c r="P135" s="141">
        <v>96862352</v>
      </c>
      <c r="Q135" s="141">
        <v>25568999</v>
      </c>
      <c r="R135" s="142">
        <v>156.999</v>
      </c>
      <c r="S135" s="142">
        <v>28.201000000000001</v>
      </c>
      <c r="T135" s="142">
        <v>122457.83900000001</v>
      </c>
      <c r="U135" s="142">
        <v>21996.274000000001</v>
      </c>
      <c r="V135" s="179">
        <v>144454.11300000001</v>
      </c>
      <c r="W135" s="142">
        <v>185.19900000000001</v>
      </c>
      <c r="X135" s="141">
        <v>51</v>
      </c>
      <c r="Y135" s="140">
        <v>0</v>
      </c>
      <c r="Z135" s="141">
        <v>0</v>
      </c>
      <c r="AA135" s="141">
        <v>0</v>
      </c>
      <c r="AB135" s="141">
        <v>0</v>
      </c>
      <c r="AC135" s="141">
        <v>0</v>
      </c>
      <c r="AD135" s="141">
        <v>0</v>
      </c>
      <c r="AE135" s="141">
        <v>0</v>
      </c>
      <c r="AF135" s="142">
        <v>2.327</v>
      </c>
      <c r="AG135" s="142">
        <v>0.41899999999999998</v>
      </c>
      <c r="AH135" s="142">
        <v>1815.143</v>
      </c>
      <c r="AI135" s="142">
        <v>326.58999999999997</v>
      </c>
      <c r="AJ135" s="179">
        <v>2141.7330000000002</v>
      </c>
      <c r="AK135" s="142">
        <v>2.746</v>
      </c>
      <c r="AL135" s="141">
        <v>19136</v>
      </c>
      <c r="AM135" s="140">
        <v>16608.217000000001</v>
      </c>
      <c r="AN135" s="141">
        <v>28091</v>
      </c>
      <c r="AO135" s="141">
        <v>996493</v>
      </c>
      <c r="AP135" s="141">
        <v>996493</v>
      </c>
      <c r="AQ135" s="141">
        <v>996493</v>
      </c>
      <c r="AR135" s="141">
        <v>0</v>
      </c>
      <c r="AS135" s="141">
        <v>0</v>
      </c>
      <c r="AT135" s="142">
        <v>995.28599999999994</v>
      </c>
      <c r="AU135" s="142">
        <v>179.15199999999999</v>
      </c>
      <c r="AV135" s="142">
        <v>776315.46100000001</v>
      </c>
      <c r="AW135" s="142">
        <v>139737.25200000001</v>
      </c>
      <c r="AX135" s="179">
        <v>916052.71200000006</v>
      </c>
      <c r="AY135" s="142">
        <v>1174.4390000000001</v>
      </c>
      <c r="AZ135" s="141">
        <v>618797</v>
      </c>
      <c r="BA135" s="140">
        <v>0</v>
      </c>
      <c r="BB135" s="141">
        <v>0</v>
      </c>
      <c r="BC135" s="141">
        <v>0</v>
      </c>
      <c r="BD135" s="141">
        <v>0</v>
      </c>
      <c r="BE135" s="141">
        <v>0</v>
      </c>
      <c r="BF135" s="141">
        <v>0</v>
      </c>
      <c r="BG135" s="141">
        <v>0</v>
      </c>
      <c r="BH135" s="142">
        <v>0</v>
      </c>
      <c r="BI135" s="142">
        <v>0</v>
      </c>
      <c r="BJ135" s="142">
        <v>0</v>
      </c>
      <c r="BK135" s="142">
        <v>0</v>
      </c>
      <c r="BL135" s="142">
        <v>0</v>
      </c>
      <c r="BM135" s="142">
        <v>0</v>
      </c>
      <c r="BN135" s="141">
        <v>17338</v>
      </c>
      <c r="BO135" s="140">
        <v>28564.400000000001</v>
      </c>
      <c r="BP135" s="141">
        <v>37756</v>
      </c>
      <c r="BQ135" s="141">
        <v>1713864</v>
      </c>
      <c r="BR135" s="141">
        <v>1713864</v>
      </c>
      <c r="BS135" s="141">
        <v>1713864</v>
      </c>
      <c r="BT135" s="141">
        <v>0</v>
      </c>
      <c r="BU135" s="141">
        <v>0</v>
      </c>
      <c r="BV135" s="142">
        <v>0</v>
      </c>
      <c r="BW135" s="142">
        <v>0</v>
      </c>
      <c r="BX135" s="142">
        <v>0</v>
      </c>
      <c r="BY135" s="142">
        <v>0</v>
      </c>
      <c r="BZ135" s="179">
        <v>0</v>
      </c>
      <c r="CA135" s="142">
        <v>0</v>
      </c>
    </row>
    <row r="136" spans="1:79" ht="16.5" customHeight="1">
      <c r="A136" s="222"/>
      <c r="B136" s="220" t="s">
        <v>529</v>
      </c>
      <c r="C136" s="220"/>
      <c r="D136" s="220"/>
      <c r="E136" s="136" t="s">
        <v>530</v>
      </c>
      <c r="F136" s="136" t="s">
        <v>568</v>
      </c>
      <c r="G136" s="139">
        <v>2025</v>
      </c>
      <c r="H136" s="136" t="s">
        <v>210</v>
      </c>
      <c r="I136" s="221">
        <v>6822442</v>
      </c>
      <c r="J136" s="221"/>
      <c r="K136" s="140">
        <v>194928814.75</v>
      </c>
      <c r="L136" s="141">
        <v>0</v>
      </c>
      <c r="M136" s="141">
        <v>11695728885</v>
      </c>
      <c r="N136" s="141">
        <v>276525457</v>
      </c>
      <c r="O136" s="141">
        <v>276636519</v>
      </c>
      <c r="P136" s="141">
        <v>223100163</v>
      </c>
      <c r="Q136" s="141">
        <v>53425294</v>
      </c>
      <c r="R136" s="142">
        <v>522.55200000000002</v>
      </c>
      <c r="S136" s="142">
        <v>94.039000000000001</v>
      </c>
      <c r="T136" s="142">
        <v>407586.022</v>
      </c>
      <c r="U136" s="142">
        <v>73349.679000000004</v>
      </c>
      <c r="V136" s="179">
        <v>480935.701</v>
      </c>
      <c r="W136" s="142">
        <v>616.59100000000001</v>
      </c>
      <c r="X136" s="141">
        <v>801</v>
      </c>
      <c r="Y136" s="140">
        <v>0</v>
      </c>
      <c r="Z136" s="141">
        <v>0</v>
      </c>
      <c r="AA136" s="141">
        <v>0</v>
      </c>
      <c r="AB136" s="141">
        <v>0</v>
      </c>
      <c r="AC136" s="141">
        <v>0</v>
      </c>
      <c r="AD136" s="141">
        <v>0</v>
      </c>
      <c r="AE136" s="141">
        <v>0</v>
      </c>
      <c r="AF136" s="142">
        <v>36.578000000000003</v>
      </c>
      <c r="AG136" s="142">
        <v>6.5839999999999996</v>
      </c>
      <c r="AH136" s="142">
        <v>28530.286</v>
      </c>
      <c r="AI136" s="142">
        <v>5135.6390000000001</v>
      </c>
      <c r="AJ136" s="179">
        <v>33665.925000000003</v>
      </c>
      <c r="AK136" s="142">
        <v>43.161999999999999</v>
      </c>
      <c r="AL136" s="141">
        <v>30846</v>
      </c>
      <c r="AM136" s="140">
        <v>28229.3</v>
      </c>
      <c r="AN136" s="141">
        <v>46610</v>
      </c>
      <c r="AO136" s="141">
        <v>1693758</v>
      </c>
      <c r="AP136" s="141">
        <v>1693758</v>
      </c>
      <c r="AQ136" s="141">
        <v>1693758</v>
      </c>
      <c r="AR136" s="141">
        <v>0</v>
      </c>
      <c r="AS136" s="141">
        <v>0</v>
      </c>
      <c r="AT136" s="142">
        <v>1670.7</v>
      </c>
      <c r="AU136" s="142">
        <v>300.72699999999998</v>
      </c>
      <c r="AV136" s="142">
        <v>1303132.5390000001</v>
      </c>
      <c r="AW136" s="142">
        <v>234564.56599999999</v>
      </c>
      <c r="AX136" s="179">
        <v>1537697.105</v>
      </c>
      <c r="AY136" s="142">
        <v>1971.4269999999999</v>
      </c>
      <c r="AZ136" s="141">
        <v>896912</v>
      </c>
      <c r="BA136" s="140">
        <v>0</v>
      </c>
      <c r="BB136" s="141">
        <v>0</v>
      </c>
      <c r="BC136" s="141">
        <v>0</v>
      </c>
      <c r="BD136" s="141">
        <v>0</v>
      </c>
      <c r="BE136" s="141">
        <v>0</v>
      </c>
      <c r="BF136" s="141">
        <v>0</v>
      </c>
      <c r="BG136" s="141">
        <v>0</v>
      </c>
      <c r="BH136" s="142">
        <v>0</v>
      </c>
      <c r="BI136" s="142">
        <v>0</v>
      </c>
      <c r="BJ136" s="142">
        <v>0</v>
      </c>
      <c r="BK136" s="142">
        <v>0</v>
      </c>
      <c r="BL136" s="142">
        <v>0</v>
      </c>
      <c r="BM136" s="142">
        <v>0</v>
      </c>
      <c r="BN136" s="141">
        <v>257034</v>
      </c>
      <c r="BO136" s="140">
        <v>424215.26699999999</v>
      </c>
      <c r="BP136" s="141">
        <v>559617</v>
      </c>
      <c r="BQ136" s="141">
        <v>25452916</v>
      </c>
      <c r="BR136" s="141">
        <v>25452916</v>
      </c>
      <c r="BS136" s="141">
        <v>25452916</v>
      </c>
      <c r="BT136" s="141">
        <v>0</v>
      </c>
      <c r="BU136" s="141">
        <v>0</v>
      </c>
      <c r="BV136" s="142">
        <v>0</v>
      </c>
      <c r="BW136" s="142">
        <v>0</v>
      </c>
      <c r="BX136" s="142">
        <v>0</v>
      </c>
      <c r="BY136" s="142">
        <v>0</v>
      </c>
      <c r="BZ136" s="179">
        <v>0</v>
      </c>
      <c r="CA136" s="142">
        <v>0</v>
      </c>
    </row>
    <row r="137" spans="1:79" ht="16.5" customHeight="1">
      <c r="A137" s="222"/>
      <c r="B137" s="220" t="s">
        <v>531</v>
      </c>
      <c r="C137" s="220"/>
      <c r="D137" s="220"/>
      <c r="E137" s="136" t="s">
        <v>532</v>
      </c>
      <c r="F137" s="136" t="s">
        <v>568</v>
      </c>
      <c r="G137" s="139">
        <v>2025</v>
      </c>
      <c r="H137" s="136" t="s">
        <v>210</v>
      </c>
      <c r="I137" s="221">
        <v>12285</v>
      </c>
      <c r="J137" s="221"/>
      <c r="K137" s="140">
        <v>211678.51699999999</v>
      </c>
      <c r="L137" s="141">
        <v>0</v>
      </c>
      <c r="M137" s="141">
        <v>12700711</v>
      </c>
      <c r="N137" s="141">
        <v>4831</v>
      </c>
      <c r="O137" s="141">
        <v>7070</v>
      </c>
      <c r="P137" s="141">
        <v>167</v>
      </c>
      <c r="Q137" s="141">
        <v>4664</v>
      </c>
      <c r="R137" s="142">
        <v>248.84200000000001</v>
      </c>
      <c r="S137" s="142">
        <v>0</v>
      </c>
      <c r="T137" s="142">
        <v>194094.44200000001</v>
      </c>
      <c r="U137" s="142">
        <v>0</v>
      </c>
      <c r="V137" s="179">
        <v>194094.44200000001</v>
      </c>
      <c r="W137" s="142">
        <v>248.84200000000001</v>
      </c>
      <c r="X137" s="141"/>
      <c r="Y137" s="140"/>
      <c r="Z137" s="141"/>
      <c r="AA137" s="141"/>
      <c r="AB137" s="141"/>
      <c r="AC137" s="141"/>
      <c r="AD137" s="141"/>
      <c r="AE137" s="141"/>
      <c r="AF137" s="142"/>
      <c r="AG137" s="142"/>
      <c r="AH137" s="142"/>
      <c r="AI137" s="142"/>
      <c r="AJ137" s="179"/>
      <c r="AK137" s="142"/>
      <c r="AL137" s="141">
        <v>1</v>
      </c>
      <c r="AM137" s="140">
        <v>0.7</v>
      </c>
      <c r="AN137" s="141">
        <v>1</v>
      </c>
      <c r="AO137" s="141">
        <v>42</v>
      </c>
      <c r="AP137" s="141">
        <v>42</v>
      </c>
      <c r="AQ137" s="141">
        <v>60</v>
      </c>
      <c r="AR137" s="141">
        <v>0</v>
      </c>
      <c r="AS137" s="141">
        <v>0</v>
      </c>
      <c r="AT137" s="142">
        <v>2.968</v>
      </c>
      <c r="AU137" s="142">
        <v>0</v>
      </c>
      <c r="AV137" s="142">
        <v>2315.3049999999998</v>
      </c>
      <c r="AW137" s="142">
        <v>0</v>
      </c>
      <c r="AX137" s="179">
        <v>2315.3049999999998</v>
      </c>
      <c r="AY137" s="142">
        <v>2.968</v>
      </c>
      <c r="AZ137" s="141">
        <v>147</v>
      </c>
      <c r="BA137" s="140">
        <v>0</v>
      </c>
      <c r="BB137" s="141">
        <v>0</v>
      </c>
      <c r="BC137" s="141">
        <v>0</v>
      </c>
      <c r="BD137" s="141">
        <v>0</v>
      </c>
      <c r="BE137" s="141">
        <v>0</v>
      </c>
      <c r="BF137" s="141">
        <v>0</v>
      </c>
      <c r="BG137" s="141">
        <v>0</v>
      </c>
      <c r="BH137" s="142">
        <v>0</v>
      </c>
      <c r="BI137" s="142">
        <v>0</v>
      </c>
      <c r="BJ137" s="142">
        <v>0</v>
      </c>
      <c r="BK137" s="142">
        <v>0</v>
      </c>
      <c r="BL137" s="142">
        <v>0</v>
      </c>
      <c r="BM137" s="142">
        <v>0</v>
      </c>
      <c r="BN137" s="141">
        <v>4</v>
      </c>
      <c r="BO137" s="140">
        <v>5.1829999999999998</v>
      </c>
      <c r="BP137" s="141">
        <v>7</v>
      </c>
      <c r="BQ137" s="141">
        <v>311</v>
      </c>
      <c r="BR137" s="141">
        <v>311</v>
      </c>
      <c r="BS137" s="141">
        <v>420</v>
      </c>
      <c r="BT137" s="141">
        <v>0</v>
      </c>
      <c r="BU137" s="141">
        <v>0</v>
      </c>
      <c r="BV137" s="142">
        <v>5.8869999999999996</v>
      </c>
      <c r="BW137" s="142">
        <v>0</v>
      </c>
      <c r="BX137" s="142">
        <v>4591.7039999999997</v>
      </c>
      <c r="BY137" s="142">
        <v>0</v>
      </c>
      <c r="BZ137" s="179">
        <v>4591.7039999999997</v>
      </c>
      <c r="CA137" s="142">
        <v>5.8869999999999996</v>
      </c>
    </row>
    <row r="138" spans="1:79" ht="16.5" customHeight="1">
      <c r="A138" s="222"/>
      <c r="B138" s="220" t="s">
        <v>535</v>
      </c>
      <c r="C138" s="220"/>
      <c r="D138" s="220"/>
      <c r="E138" s="136" t="s">
        <v>536</v>
      </c>
      <c r="F138" s="136" t="s">
        <v>568</v>
      </c>
      <c r="G138" s="139">
        <v>2025</v>
      </c>
      <c r="H138" s="136" t="s">
        <v>210</v>
      </c>
      <c r="I138" s="221">
        <v>4</v>
      </c>
      <c r="J138" s="221"/>
      <c r="K138" s="140">
        <v>1320.55</v>
      </c>
      <c r="L138" s="141">
        <v>0</v>
      </c>
      <c r="M138" s="141">
        <v>79233</v>
      </c>
      <c r="N138" s="141">
        <v>769</v>
      </c>
      <c r="O138" s="141">
        <v>771</v>
      </c>
      <c r="P138" s="141">
        <v>39</v>
      </c>
      <c r="Q138" s="141">
        <v>730</v>
      </c>
      <c r="R138" s="142">
        <v>3.0000000000000001E-3</v>
      </c>
      <c r="S138" s="142">
        <v>0</v>
      </c>
      <c r="T138" s="142">
        <v>2.4729999999999999</v>
      </c>
      <c r="U138" s="142">
        <v>0</v>
      </c>
      <c r="V138" s="179">
        <v>2.4729999999999999</v>
      </c>
      <c r="W138" s="142">
        <v>3.0000000000000001E-3</v>
      </c>
      <c r="X138" s="141"/>
      <c r="Y138" s="140"/>
      <c r="Z138" s="141"/>
      <c r="AA138" s="141"/>
      <c r="AB138" s="141"/>
      <c r="AC138" s="141"/>
      <c r="AD138" s="141"/>
      <c r="AE138" s="141"/>
      <c r="AF138" s="142"/>
      <c r="AG138" s="142"/>
      <c r="AH138" s="142"/>
      <c r="AI138" s="142"/>
      <c r="AJ138" s="179"/>
      <c r="AK138" s="142"/>
      <c r="AL138" s="141"/>
      <c r="AM138" s="140"/>
      <c r="AN138" s="141"/>
      <c r="AO138" s="141"/>
      <c r="AP138" s="141"/>
      <c r="AQ138" s="141"/>
      <c r="AR138" s="141"/>
      <c r="AS138" s="141"/>
      <c r="AT138" s="142"/>
      <c r="AU138" s="142"/>
      <c r="AV138" s="142"/>
      <c r="AW138" s="142"/>
      <c r="AX138" s="179"/>
      <c r="AY138" s="142"/>
      <c r="AZ138" s="141">
        <v>34</v>
      </c>
      <c r="BA138" s="140">
        <v>0</v>
      </c>
      <c r="BB138" s="141">
        <v>0</v>
      </c>
      <c r="BC138" s="141">
        <v>0</v>
      </c>
      <c r="BD138" s="141">
        <v>0</v>
      </c>
      <c r="BE138" s="141">
        <v>0</v>
      </c>
      <c r="BF138" s="141">
        <v>0</v>
      </c>
      <c r="BG138" s="141">
        <v>0</v>
      </c>
      <c r="BH138" s="142">
        <v>0</v>
      </c>
      <c r="BI138" s="142">
        <v>0</v>
      </c>
      <c r="BJ138" s="142">
        <v>0</v>
      </c>
      <c r="BK138" s="142">
        <v>0</v>
      </c>
      <c r="BL138" s="142">
        <v>0</v>
      </c>
      <c r="BM138" s="142">
        <v>0</v>
      </c>
      <c r="BN138" s="141">
        <v>1</v>
      </c>
      <c r="BO138" s="140">
        <v>1.0169999999999999</v>
      </c>
      <c r="BP138" s="141">
        <v>2</v>
      </c>
      <c r="BQ138" s="141">
        <v>61</v>
      </c>
      <c r="BR138" s="141">
        <v>61</v>
      </c>
      <c r="BS138" s="141">
        <v>61</v>
      </c>
      <c r="BT138" s="141">
        <v>0</v>
      </c>
      <c r="BU138" s="141">
        <v>0</v>
      </c>
      <c r="BV138" s="142">
        <v>0</v>
      </c>
      <c r="BW138" s="142">
        <v>0</v>
      </c>
      <c r="BX138" s="142">
        <v>0</v>
      </c>
      <c r="BY138" s="142">
        <v>0</v>
      </c>
      <c r="BZ138" s="179">
        <v>0</v>
      </c>
      <c r="CA138" s="142">
        <v>0</v>
      </c>
    </row>
    <row r="139" spans="1:79" ht="16.5" customHeight="1">
      <c r="A139" s="222"/>
      <c r="B139" s="220" t="s">
        <v>608</v>
      </c>
      <c r="C139" s="220"/>
      <c r="D139" s="220"/>
      <c r="E139" s="136" t="s">
        <v>609</v>
      </c>
      <c r="F139" s="136" t="s">
        <v>568</v>
      </c>
      <c r="G139" s="139">
        <v>2025</v>
      </c>
      <c r="H139" s="136" t="s">
        <v>210</v>
      </c>
      <c r="I139" s="221">
        <v>1940</v>
      </c>
      <c r="J139" s="221"/>
      <c r="K139" s="140">
        <v>14419.416999999999</v>
      </c>
      <c r="L139" s="141">
        <v>0</v>
      </c>
      <c r="M139" s="141">
        <v>865165</v>
      </c>
      <c r="N139" s="141">
        <v>4788</v>
      </c>
      <c r="O139" s="141">
        <v>4805</v>
      </c>
      <c r="P139" s="141">
        <v>2451</v>
      </c>
      <c r="Q139" s="141">
        <v>2337</v>
      </c>
      <c r="R139" s="142">
        <v>0.04</v>
      </c>
      <c r="S139" s="142">
        <v>1.2E-2</v>
      </c>
      <c r="T139" s="142">
        <v>30.895</v>
      </c>
      <c r="U139" s="142">
        <v>9.2509999999999994</v>
      </c>
      <c r="V139" s="179">
        <v>40.146000000000001</v>
      </c>
      <c r="W139" s="142">
        <v>5.0999999999999997E-2</v>
      </c>
      <c r="X139" s="141"/>
      <c r="Y139" s="140"/>
      <c r="Z139" s="141"/>
      <c r="AA139" s="141"/>
      <c r="AB139" s="141"/>
      <c r="AC139" s="141"/>
      <c r="AD139" s="141"/>
      <c r="AE139" s="141"/>
      <c r="AF139" s="142"/>
      <c r="AG139" s="142"/>
      <c r="AH139" s="142"/>
      <c r="AI139" s="142"/>
      <c r="AJ139" s="179"/>
      <c r="AK139" s="142"/>
      <c r="AL139" s="141"/>
      <c r="AM139" s="140"/>
      <c r="AN139" s="141"/>
      <c r="AO139" s="141"/>
      <c r="AP139" s="141"/>
      <c r="AQ139" s="141"/>
      <c r="AR139" s="141"/>
      <c r="AS139" s="141"/>
      <c r="AT139" s="142"/>
      <c r="AU139" s="142"/>
      <c r="AV139" s="142"/>
      <c r="AW139" s="142"/>
      <c r="AX139" s="179"/>
      <c r="AY139" s="142"/>
      <c r="AZ139" s="141"/>
      <c r="BA139" s="140"/>
      <c r="BB139" s="141"/>
      <c r="BC139" s="141"/>
      <c r="BD139" s="141"/>
      <c r="BE139" s="141"/>
      <c r="BF139" s="141"/>
      <c r="BG139" s="141"/>
      <c r="BH139" s="142"/>
      <c r="BI139" s="142"/>
      <c r="BJ139" s="142"/>
      <c r="BK139" s="142"/>
      <c r="BL139" s="142"/>
      <c r="BM139" s="142"/>
      <c r="BN139" s="141"/>
      <c r="BO139" s="140"/>
      <c r="BP139" s="141"/>
      <c r="BQ139" s="141"/>
      <c r="BR139" s="141"/>
      <c r="BS139" s="141"/>
      <c r="BT139" s="141"/>
      <c r="BU139" s="141"/>
      <c r="BV139" s="142"/>
      <c r="BW139" s="142"/>
      <c r="BX139" s="142"/>
      <c r="BY139" s="142"/>
      <c r="BZ139" s="179"/>
      <c r="CA139" s="142"/>
    </row>
    <row r="140" spans="1:79" ht="16.5" customHeight="1">
      <c r="A140" s="222"/>
      <c r="B140" s="220" t="s">
        <v>537</v>
      </c>
      <c r="C140" s="220"/>
      <c r="D140" s="220"/>
      <c r="E140" s="136" t="s">
        <v>538</v>
      </c>
      <c r="F140" s="136" t="s">
        <v>568</v>
      </c>
      <c r="G140" s="139">
        <v>2025</v>
      </c>
      <c r="H140" s="136" t="s">
        <v>210</v>
      </c>
      <c r="I140" s="221">
        <v>376</v>
      </c>
      <c r="J140" s="221"/>
      <c r="K140" s="140">
        <v>17989.517</v>
      </c>
      <c r="L140" s="141">
        <v>0</v>
      </c>
      <c r="M140" s="141">
        <v>1079371</v>
      </c>
      <c r="N140" s="141">
        <v>223121</v>
      </c>
      <c r="O140" s="141">
        <v>223283</v>
      </c>
      <c r="P140" s="141">
        <v>43881</v>
      </c>
      <c r="Q140" s="141">
        <v>179240</v>
      </c>
      <c r="R140" s="142">
        <v>0.91500000000000004</v>
      </c>
      <c r="S140" s="142">
        <v>0</v>
      </c>
      <c r="T140" s="142">
        <v>713.77099999999996</v>
      </c>
      <c r="U140" s="142">
        <v>0</v>
      </c>
      <c r="V140" s="179">
        <v>713.77099999999996</v>
      </c>
      <c r="W140" s="142">
        <v>0.91500000000000004</v>
      </c>
      <c r="X140" s="141"/>
      <c r="Y140" s="140"/>
      <c r="Z140" s="141"/>
      <c r="AA140" s="141"/>
      <c r="AB140" s="141"/>
      <c r="AC140" s="141"/>
      <c r="AD140" s="141"/>
      <c r="AE140" s="141"/>
      <c r="AF140" s="142"/>
      <c r="AG140" s="142"/>
      <c r="AH140" s="142"/>
      <c r="AI140" s="142"/>
      <c r="AJ140" s="179"/>
      <c r="AK140" s="142"/>
      <c r="AL140" s="141">
        <v>42</v>
      </c>
      <c r="AM140" s="140">
        <v>69.216999999999999</v>
      </c>
      <c r="AN140" s="141">
        <v>90</v>
      </c>
      <c r="AO140" s="141">
        <v>4153</v>
      </c>
      <c r="AP140" s="141">
        <v>4153</v>
      </c>
      <c r="AQ140" s="141">
        <v>4153</v>
      </c>
      <c r="AR140" s="141">
        <v>0</v>
      </c>
      <c r="AS140" s="141">
        <v>0</v>
      </c>
      <c r="AT140" s="142">
        <v>20.373999999999999</v>
      </c>
      <c r="AU140" s="142">
        <v>0</v>
      </c>
      <c r="AV140" s="142">
        <v>15891.245000000001</v>
      </c>
      <c r="AW140" s="142">
        <v>0</v>
      </c>
      <c r="AX140" s="179">
        <v>15891.245000000001</v>
      </c>
      <c r="AY140" s="142">
        <v>20.373999999999999</v>
      </c>
      <c r="AZ140" s="141">
        <v>1169</v>
      </c>
      <c r="BA140" s="140">
        <v>0</v>
      </c>
      <c r="BB140" s="141">
        <v>0</v>
      </c>
      <c r="BC140" s="141">
        <v>0</v>
      </c>
      <c r="BD140" s="141">
        <v>0</v>
      </c>
      <c r="BE140" s="141">
        <v>0</v>
      </c>
      <c r="BF140" s="141">
        <v>0</v>
      </c>
      <c r="BG140" s="141">
        <v>0</v>
      </c>
      <c r="BH140" s="142">
        <v>0</v>
      </c>
      <c r="BI140" s="142">
        <v>0</v>
      </c>
      <c r="BJ140" s="142">
        <v>0</v>
      </c>
      <c r="BK140" s="142">
        <v>0</v>
      </c>
      <c r="BL140" s="142">
        <v>0</v>
      </c>
      <c r="BM140" s="142">
        <v>0</v>
      </c>
      <c r="BN140" s="141">
        <v>62</v>
      </c>
      <c r="BO140" s="140">
        <v>103.65</v>
      </c>
      <c r="BP140" s="141">
        <v>139</v>
      </c>
      <c r="BQ140" s="141">
        <v>6219</v>
      </c>
      <c r="BR140" s="141">
        <v>6219</v>
      </c>
      <c r="BS140" s="141">
        <v>6219</v>
      </c>
      <c r="BT140" s="141">
        <v>0</v>
      </c>
      <c r="BU140" s="141">
        <v>0</v>
      </c>
      <c r="BV140" s="142">
        <v>0</v>
      </c>
      <c r="BW140" s="142">
        <v>0</v>
      </c>
      <c r="BX140" s="142">
        <v>0</v>
      </c>
      <c r="BY140" s="142">
        <v>0</v>
      </c>
      <c r="BZ140" s="179">
        <v>0</v>
      </c>
      <c r="CA140" s="142">
        <v>0</v>
      </c>
    </row>
    <row r="141" spans="1:79" ht="16.5" customHeight="1">
      <c r="A141" s="222"/>
      <c r="B141" s="220" t="s">
        <v>539</v>
      </c>
      <c r="C141" s="220"/>
      <c r="D141" s="220"/>
      <c r="E141" s="136" t="s">
        <v>540</v>
      </c>
      <c r="F141" s="136" t="s">
        <v>568</v>
      </c>
      <c r="G141" s="139">
        <v>2025</v>
      </c>
      <c r="H141" s="136" t="s">
        <v>210</v>
      </c>
      <c r="I141" s="221">
        <v>87</v>
      </c>
      <c r="J141" s="221"/>
      <c r="K141" s="140">
        <v>5572.067</v>
      </c>
      <c r="L141" s="141">
        <v>0</v>
      </c>
      <c r="M141" s="141">
        <v>334324</v>
      </c>
      <c r="N141" s="141">
        <v>20335</v>
      </c>
      <c r="O141" s="141">
        <v>20381</v>
      </c>
      <c r="P141" s="141">
        <v>10519</v>
      </c>
      <c r="Q141" s="141">
        <v>9816</v>
      </c>
      <c r="R141" s="142">
        <v>0.13200000000000001</v>
      </c>
      <c r="S141" s="142">
        <v>3.9E-2</v>
      </c>
      <c r="T141" s="142">
        <v>102.959</v>
      </c>
      <c r="U141" s="142">
        <v>30.42</v>
      </c>
      <c r="V141" s="179">
        <v>133.37899999999999</v>
      </c>
      <c r="W141" s="142">
        <v>0.17100000000000001</v>
      </c>
      <c r="X141" s="141"/>
      <c r="Y141" s="140"/>
      <c r="Z141" s="141"/>
      <c r="AA141" s="141"/>
      <c r="AB141" s="141"/>
      <c r="AC141" s="141"/>
      <c r="AD141" s="141"/>
      <c r="AE141" s="141"/>
      <c r="AF141" s="142"/>
      <c r="AG141" s="142"/>
      <c r="AH141" s="142"/>
      <c r="AI141" s="142"/>
      <c r="AJ141" s="179"/>
      <c r="AK141" s="142"/>
      <c r="AL141" s="141"/>
      <c r="AM141" s="140"/>
      <c r="AN141" s="141"/>
      <c r="AO141" s="141"/>
      <c r="AP141" s="141"/>
      <c r="AQ141" s="141"/>
      <c r="AR141" s="141"/>
      <c r="AS141" s="141"/>
      <c r="AT141" s="142"/>
      <c r="AU141" s="142"/>
      <c r="AV141" s="142"/>
      <c r="AW141" s="142"/>
      <c r="AX141" s="179"/>
      <c r="AY141" s="142"/>
      <c r="AZ141" s="141"/>
      <c r="BA141" s="140"/>
      <c r="BB141" s="141"/>
      <c r="BC141" s="141"/>
      <c r="BD141" s="141"/>
      <c r="BE141" s="141"/>
      <c r="BF141" s="141"/>
      <c r="BG141" s="141"/>
      <c r="BH141" s="142"/>
      <c r="BI141" s="142"/>
      <c r="BJ141" s="142"/>
      <c r="BK141" s="142"/>
      <c r="BL141" s="142"/>
      <c r="BM141" s="142"/>
      <c r="BN141" s="141"/>
      <c r="BO141" s="140"/>
      <c r="BP141" s="141"/>
      <c r="BQ141" s="141"/>
      <c r="BR141" s="141"/>
      <c r="BS141" s="141"/>
      <c r="BT141" s="141"/>
      <c r="BU141" s="141"/>
      <c r="BV141" s="142"/>
      <c r="BW141" s="142"/>
      <c r="BX141" s="142"/>
      <c r="BY141" s="142"/>
      <c r="BZ141" s="179"/>
      <c r="CA141" s="142"/>
    </row>
    <row r="142" spans="1:79" ht="16.5" customHeight="1">
      <c r="A142" s="222"/>
      <c r="B142" s="220" t="s">
        <v>541</v>
      </c>
      <c r="C142" s="220"/>
      <c r="D142" s="220"/>
      <c r="E142" s="136" t="s">
        <v>542</v>
      </c>
      <c r="F142" s="136" t="s">
        <v>568</v>
      </c>
      <c r="G142" s="139">
        <v>2025</v>
      </c>
      <c r="H142" s="136" t="s">
        <v>210</v>
      </c>
      <c r="I142" s="221">
        <v>216</v>
      </c>
      <c r="J142" s="221"/>
      <c r="K142" s="140">
        <v>2249.3000000000002</v>
      </c>
      <c r="L142" s="141">
        <v>0</v>
      </c>
      <c r="M142" s="141">
        <v>134958</v>
      </c>
      <c r="N142" s="141">
        <v>15944</v>
      </c>
      <c r="O142" s="141">
        <v>16058</v>
      </c>
      <c r="P142" s="141">
        <v>8685</v>
      </c>
      <c r="Q142" s="141">
        <v>7259</v>
      </c>
      <c r="R142" s="142">
        <v>9.0999999999999998E-2</v>
      </c>
      <c r="S142" s="142">
        <v>1.0999999999999999E-2</v>
      </c>
      <c r="T142" s="142">
        <v>70.978999999999999</v>
      </c>
      <c r="U142" s="142">
        <v>8.58</v>
      </c>
      <c r="V142" s="179">
        <v>79.558999999999997</v>
      </c>
      <c r="W142" s="142">
        <v>0.10199999999999999</v>
      </c>
      <c r="X142" s="141"/>
      <c r="Y142" s="140"/>
      <c r="Z142" s="141"/>
      <c r="AA142" s="141"/>
      <c r="AB142" s="141"/>
      <c r="AC142" s="141"/>
      <c r="AD142" s="141"/>
      <c r="AE142" s="141"/>
      <c r="AF142" s="142"/>
      <c r="AG142" s="142"/>
      <c r="AH142" s="142"/>
      <c r="AI142" s="142"/>
      <c r="AJ142" s="179"/>
      <c r="AK142" s="142"/>
      <c r="AL142" s="141"/>
      <c r="AM142" s="140"/>
      <c r="AN142" s="141"/>
      <c r="AO142" s="141"/>
      <c r="AP142" s="141"/>
      <c r="AQ142" s="141"/>
      <c r="AR142" s="141"/>
      <c r="AS142" s="141"/>
      <c r="AT142" s="142"/>
      <c r="AU142" s="142"/>
      <c r="AV142" s="142"/>
      <c r="AW142" s="142"/>
      <c r="AX142" s="179"/>
      <c r="AY142" s="142"/>
      <c r="AZ142" s="141">
        <v>18</v>
      </c>
      <c r="BA142" s="140">
        <v>0</v>
      </c>
      <c r="BB142" s="141">
        <v>0</v>
      </c>
      <c r="BC142" s="141">
        <v>0</v>
      </c>
      <c r="BD142" s="141">
        <v>0</v>
      </c>
      <c r="BE142" s="141">
        <v>0</v>
      </c>
      <c r="BF142" s="141">
        <v>0</v>
      </c>
      <c r="BG142" s="141">
        <v>0</v>
      </c>
      <c r="BH142" s="142">
        <v>0</v>
      </c>
      <c r="BI142" s="142">
        <v>0</v>
      </c>
      <c r="BJ142" s="142">
        <v>0</v>
      </c>
      <c r="BK142" s="142">
        <v>0</v>
      </c>
      <c r="BL142" s="142">
        <v>0</v>
      </c>
      <c r="BM142" s="142">
        <v>0</v>
      </c>
      <c r="BN142" s="141"/>
      <c r="BO142" s="140"/>
      <c r="BP142" s="141"/>
      <c r="BQ142" s="141"/>
      <c r="BR142" s="141"/>
      <c r="BS142" s="141"/>
      <c r="BT142" s="141"/>
      <c r="BU142" s="141"/>
      <c r="BV142" s="142"/>
      <c r="BW142" s="142"/>
      <c r="BX142" s="142"/>
      <c r="BY142" s="142"/>
      <c r="BZ142" s="179"/>
      <c r="CA142" s="142"/>
    </row>
    <row r="143" spans="1:79" ht="16.5" customHeight="1">
      <c r="A143" s="222"/>
      <c r="B143" s="220" t="s">
        <v>561</v>
      </c>
      <c r="C143" s="220"/>
      <c r="D143" s="220"/>
      <c r="E143" s="136" t="s">
        <v>560</v>
      </c>
      <c r="F143" s="136" t="s">
        <v>568</v>
      </c>
      <c r="G143" s="139">
        <v>2025</v>
      </c>
      <c r="H143" s="136" t="s">
        <v>210</v>
      </c>
      <c r="I143" s="221">
        <v>3794</v>
      </c>
      <c r="J143" s="221"/>
      <c r="K143" s="140">
        <v>647335.75</v>
      </c>
      <c r="L143" s="141">
        <v>0</v>
      </c>
      <c r="M143" s="141">
        <v>38840145</v>
      </c>
      <c r="N143" s="141">
        <v>791056</v>
      </c>
      <c r="O143" s="141">
        <v>793013</v>
      </c>
      <c r="P143" s="141">
        <v>90314</v>
      </c>
      <c r="Q143" s="141">
        <v>700742</v>
      </c>
      <c r="R143" s="142">
        <v>3.4079999999999999</v>
      </c>
      <c r="S143" s="142">
        <v>0</v>
      </c>
      <c r="T143" s="142">
        <v>2657.9789999999998</v>
      </c>
      <c r="U143" s="142">
        <v>0</v>
      </c>
      <c r="V143" s="179">
        <v>2657.9789999999998</v>
      </c>
      <c r="W143" s="142">
        <v>3.4079999999999999</v>
      </c>
      <c r="X143" s="141"/>
      <c r="Y143" s="140"/>
      <c r="Z143" s="141"/>
      <c r="AA143" s="141"/>
      <c r="AB143" s="141"/>
      <c r="AC143" s="141"/>
      <c r="AD143" s="141"/>
      <c r="AE143" s="141"/>
      <c r="AF143" s="142"/>
      <c r="AG143" s="142"/>
      <c r="AH143" s="142"/>
      <c r="AI143" s="142"/>
      <c r="AJ143" s="179"/>
      <c r="AK143" s="142"/>
      <c r="AL143" s="141">
        <v>47</v>
      </c>
      <c r="AM143" s="140">
        <v>105.85</v>
      </c>
      <c r="AN143" s="141">
        <v>126</v>
      </c>
      <c r="AO143" s="141">
        <v>6351</v>
      </c>
      <c r="AP143" s="141">
        <v>6351</v>
      </c>
      <c r="AQ143" s="141">
        <v>6351</v>
      </c>
      <c r="AR143" s="141">
        <v>0</v>
      </c>
      <c r="AS143" s="141">
        <v>0</v>
      </c>
      <c r="AT143" s="142">
        <v>32.728000000000002</v>
      </c>
      <c r="AU143" s="142">
        <v>0</v>
      </c>
      <c r="AV143" s="142">
        <v>25527.187999999998</v>
      </c>
      <c r="AW143" s="142">
        <v>0</v>
      </c>
      <c r="AX143" s="179">
        <v>25527.187999999998</v>
      </c>
      <c r="AY143" s="142">
        <v>32.728000000000002</v>
      </c>
      <c r="AZ143" s="141"/>
      <c r="BA143" s="140"/>
      <c r="BB143" s="141"/>
      <c r="BC143" s="141"/>
      <c r="BD143" s="141"/>
      <c r="BE143" s="141"/>
      <c r="BF143" s="141"/>
      <c r="BG143" s="141"/>
      <c r="BH143" s="142"/>
      <c r="BI143" s="142"/>
      <c r="BJ143" s="142"/>
      <c r="BK143" s="142"/>
      <c r="BL143" s="142"/>
      <c r="BM143" s="142"/>
      <c r="BN143" s="141">
        <v>63</v>
      </c>
      <c r="BO143" s="140">
        <v>61.817</v>
      </c>
      <c r="BP143" s="141">
        <v>89</v>
      </c>
      <c r="BQ143" s="141">
        <v>3709</v>
      </c>
      <c r="BR143" s="141">
        <v>3709</v>
      </c>
      <c r="BS143" s="141">
        <v>0</v>
      </c>
      <c r="BT143" s="141">
        <v>0</v>
      </c>
      <c r="BU143" s="141">
        <v>0</v>
      </c>
      <c r="BV143" s="142">
        <v>0</v>
      </c>
      <c r="BW143" s="142">
        <v>0</v>
      </c>
      <c r="BX143" s="142">
        <v>0</v>
      </c>
      <c r="BY143" s="142">
        <v>0</v>
      </c>
      <c r="BZ143" s="179">
        <v>0</v>
      </c>
      <c r="CA143" s="142">
        <v>0</v>
      </c>
    </row>
    <row r="144" spans="1:79" ht="16.5" customHeight="1">
      <c r="A144" s="222"/>
      <c r="B144" s="220" t="s">
        <v>562</v>
      </c>
      <c r="C144" s="220"/>
      <c r="D144" s="220"/>
      <c r="E144" s="136" t="s">
        <v>563</v>
      </c>
      <c r="F144" s="136" t="s">
        <v>568</v>
      </c>
      <c r="G144" s="139">
        <v>2025</v>
      </c>
      <c r="H144" s="136" t="s">
        <v>210</v>
      </c>
      <c r="I144" s="221">
        <v>98</v>
      </c>
      <c r="J144" s="221"/>
      <c r="K144" s="140">
        <v>15278.233</v>
      </c>
      <c r="L144" s="141">
        <v>0</v>
      </c>
      <c r="M144" s="141">
        <v>916694</v>
      </c>
      <c r="N144" s="141">
        <v>13892</v>
      </c>
      <c r="O144" s="141">
        <v>13948</v>
      </c>
      <c r="P144" s="141">
        <v>830</v>
      </c>
      <c r="Q144" s="141">
        <v>13062</v>
      </c>
      <c r="R144" s="142">
        <v>5.7000000000000002E-2</v>
      </c>
      <c r="S144" s="142">
        <v>0</v>
      </c>
      <c r="T144" s="142">
        <v>44.668999999999997</v>
      </c>
      <c r="U144" s="142">
        <v>0</v>
      </c>
      <c r="V144" s="179">
        <v>44.668999999999997</v>
      </c>
      <c r="W144" s="142">
        <v>5.7000000000000002E-2</v>
      </c>
      <c r="X144" s="141"/>
      <c r="Y144" s="140"/>
      <c r="Z144" s="141"/>
      <c r="AA144" s="141"/>
      <c r="AB144" s="141"/>
      <c r="AC144" s="141"/>
      <c r="AD144" s="141"/>
      <c r="AE144" s="141"/>
      <c r="AF144" s="142"/>
      <c r="AG144" s="142"/>
      <c r="AH144" s="142"/>
      <c r="AI144" s="142"/>
      <c r="AJ144" s="179"/>
      <c r="AK144" s="142"/>
      <c r="AL144" s="141">
        <v>8</v>
      </c>
      <c r="AM144" s="140">
        <v>18.266999999999999</v>
      </c>
      <c r="AN144" s="141">
        <v>23</v>
      </c>
      <c r="AO144" s="141">
        <v>1096</v>
      </c>
      <c r="AP144" s="141">
        <v>1096</v>
      </c>
      <c r="AQ144" s="141">
        <v>1096</v>
      </c>
      <c r="AR144" s="141">
        <v>0</v>
      </c>
      <c r="AS144" s="141">
        <v>0</v>
      </c>
      <c r="AT144" s="142">
        <v>5.53</v>
      </c>
      <c r="AU144" s="142">
        <v>0</v>
      </c>
      <c r="AV144" s="142">
        <v>4313.5739999999996</v>
      </c>
      <c r="AW144" s="142">
        <v>0</v>
      </c>
      <c r="AX144" s="179">
        <v>4313.5739999999996</v>
      </c>
      <c r="AY144" s="142">
        <v>5.53</v>
      </c>
      <c r="AZ144" s="141"/>
      <c r="BA144" s="140"/>
      <c r="BB144" s="141"/>
      <c r="BC144" s="141"/>
      <c r="BD144" s="141"/>
      <c r="BE144" s="141"/>
      <c r="BF144" s="141"/>
      <c r="BG144" s="141"/>
      <c r="BH144" s="142"/>
      <c r="BI144" s="142"/>
      <c r="BJ144" s="142"/>
      <c r="BK144" s="142"/>
      <c r="BL144" s="142"/>
      <c r="BM144" s="142"/>
      <c r="BN144" s="141">
        <v>8</v>
      </c>
      <c r="BO144" s="140">
        <v>9.35</v>
      </c>
      <c r="BP144" s="141">
        <v>13</v>
      </c>
      <c r="BQ144" s="141">
        <v>561</v>
      </c>
      <c r="BR144" s="141">
        <v>561</v>
      </c>
      <c r="BS144" s="141">
        <v>561</v>
      </c>
      <c r="BT144" s="141">
        <v>0</v>
      </c>
      <c r="BU144" s="141">
        <v>0</v>
      </c>
      <c r="BV144" s="142">
        <v>0</v>
      </c>
      <c r="BW144" s="142">
        <v>0</v>
      </c>
      <c r="BX144" s="142">
        <v>0</v>
      </c>
      <c r="BY144" s="142">
        <v>0</v>
      </c>
      <c r="BZ144" s="179">
        <v>0</v>
      </c>
      <c r="CA144" s="142">
        <v>0</v>
      </c>
    </row>
    <row r="145" spans="1:79" ht="16.5" customHeight="1">
      <c r="A145" s="222"/>
      <c r="B145" s="220" t="s">
        <v>564</v>
      </c>
      <c r="C145" s="220"/>
      <c r="D145" s="220"/>
      <c r="E145" s="136" t="s">
        <v>565</v>
      </c>
      <c r="F145" s="136" t="s">
        <v>568</v>
      </c>
      <c r="G145" s="139">
        <v>2025</v>
      </c>
      <c r="H145" s="136" t="s">
        <v>210</v>
      </c>
      <c r="I145" s="221">
        <v>175</v>
      </c>
      <c r="J145" s="221"/>
      <c r="K145" s="140">
        <v>13519.5</v>
      </c>
      <c r="L145" s="141">
        <v>0</v>
      </c>
      <c r="M145" s="141">
        <v>811170</v>
      </c>
      <c r="N145" s="141">
        <v>13063</v>
      </c>
      <c r="O145" s="141">
        <v>13157</v>
      </c>
      <c r="P145" s="141">
        <v>410</v>
      </c>
      <c r="Q145" s="141">
        <v>12653</v>
      </c>
      <c r="R145" s="142">
        <v>8.5999999999999993E-2</v>
      </c>
      <c r="S145" s="142">
        <v>0</v>
      </c>
      <c r="T145" s="142">
        <v>67.450999999999993</v>
      </c>
      <c r="U145" s="142">
        <v>0</v>
      </c>
      <c r="V145" s="179">
        <v>67.450999999999993</v>
      </c>
      <c r="W145" s="142">
        <v>8.5999999999999993E-2</v>
      </c>
      <c r="X145" s="141"/>
      <c r="Y145" s="140"/>
      <c r="Z145" s="141"/>
      <c r="AA145" s="141"/>
      <c r="AB145" s="141"/>
      <c r="AC145" s="141"/>
      <c r="AD145" s="141"/>
      <c r="AE145" s="141"/>
      <c r="AF145" s="142"/>
      <c r="AG145" s="142"/>
      <c r="AH145" s="142"/>
      <c r="AI145" s="142"/>
      <c r="AJ145" s="179"/>
      <c r="AK145" s="142"/>
      <c r="AL145" s="141">
        <v>6</v>
      </c>
      <c r="AM145" s="140">
        <v>1.9330000000000001</v>
      </c>
      <c r="AN145" s="141">
        <v>6</v>
      </c>
      <c r="AO145" s="141">
        <v>116</v>
      </c>
      <c r="AP145" s="141">
        <v>116</v>
      </c>
      <c r="AQ145" s="141">
        <v>116</v>
      </c>
      <c r="AR145" s="141">
        <v>0</v>
      </c>
      <c r="AS145" s="141">
        <v>0</v>
      </c>
      <c r="AT145" s="142">
        <v>0.505</v>
      </c>
      <c r="AU145" s="142">
        <v>0</v>
      </c>
      <c r="AV145" s="142">
        <v>393.57400000000001</v>
      </c>
      <c r="AW145" s="142">
        <v>0</v>
      </c>
      <c r="AX145" s="179">
        <v>393.57400000000001</v>
      </c>
      <c r="AY145" s="142">
        <v>0.505</v>
      </c>
      <c r="AZ145" s="141"/>
      <c r="BA145" s="140"/>
      <c r="BB145" s="141"/>
      <c r="BC145" s="141"/>
      <c r="BD145" s="141"/>
      <c r="BE145" s="141"/>
      <c r="BF145" s="141"/>
      <c r="BG145" s="141"/>
      <c r="BH145" s="142"/>
      <c r="BI145" s="142"/>
      <c r="BJ145" s="142"/>
      <c r="BK145" s="142"/>
      <c r="BL145" s="142"/>
      <c r="BM145" s="142"/>
      <c r="BN145" s="141">
        <v>3</v>
      </c>
      <c r="BO145" s="140">
        <v>1.2829999999999999</v>
      </c>
      <c r="BP145" s="141">
        <v>4</v>
      </c>
      <c r="BQ145" s="141">
        <v>77</v>
      </c>
      <c r="BR145" s="141">
        <v>77</v>
      </c>
      <c r="BS145" s="141">
        <v>77</v>
      </c>
      <c r="BT145" s="141">
        <v>0</v>
      </c>
      <c r="BU145" s="141">
        <v>0</v>
      </c>
      <c r="BV145" s="142">
        <v>0</v>
      </c>
      <c r="BW145" s="142">
        <v>0</v>
      </c>
      <c r="BX145" s="142">
        <v>0</v>
      </c>
      <c r="BY145" s="142">
        <v>0</v>
      </c>
      <c r="BZ145" s="179">
        <v>0</v>
      </c>
      <c r="CA145" s="142">
        <v>0</v>
      </c>
    </row>
    <row r="146" spans="1:79" ht="16.5" customHeight="1">
      <c r="A146" s="220" t="s">
        <v>566</v>
      </c>
      <c r="B146" s="220"/>
      <c r="C146" s="220"/>
      <c r="D146" s="220"/>
      <c r="E146" s="220"/>
      <c r="F146" s="220"/>
      <c r="G146" s="220"/>
      <c r="H146" s="220"/>
      <c r="I146" s="221">
        <v>10447507</v>
      </c>
      <c r="J146" s="221"/>
      <c r="K146" s="140">
        <v>318280298.33600003</v>
      </c>
      <c r="L146" s="141">
        <v>0</v>
      </c>
      <c r="M146" s="141">
        <v>19096817900</v>
      </c>
      <c r="N146" s="141">
        <v>655604978</v>
      </c>
      <c r="O146" s="141">
        <v>659303097</v>
      </c>
      <c r="P146" s="141">
        <v>505765056</v>
      </c>
      <c r="Q146" s="141">
        <v>149839919</v>
      </c>
      <c r="R146" s="142">
        <v>9869.7060000000001</v>
      </c>
      <c r="S146" s="142">
        <v>868.00599999999997</v>
      </c>
      <c r="T146" s="142">
        <v>7698290.4919999996</v>
      </c>
      <c r="U146" s="142">
        <v>677036.97400000005</v>
      </c>
      <c r="V146" s="179">
        <v>8375327.4639999997</v>
      </c>
      <c r="W146" s="142">
        <v>10737.707</v>
      </c>
      <c r="X146" s="141">
        <v>2360</v>
      </c>
      <c r="Y146" s="140">
        <v>0</v>
      </c>
      <c r="Z146" s="141">
        <v>0</v>
      </c>
      <c r="AA146" s="141">
        <v>0</v>
      </c>
      <c r="AB146" s="141">
        <v>0</v>
      </c>
      <c r="AC146" s="141">
        <v>0</v>
      </c>
      <c r="AD146" s="141">
        <v>0</v>
      </c>
      <c r="AE146" s="141">
        <v>0</v>
      </c>
      <c r="AF146" s="142">
        <v>214.31899999999999</v>
      </c>
      <c r="AG146" s="142">
        <v>29.222999999999999</v>
      </c>
      <c r="AH146" s="142">
        <v>167167.848</v>
      </c>
      <c r="AI146" s="142">
        <v>22793.642</v>
      </c>
      <c r="AJ146" s="179">
        <v>189961.489</v>
      </c>
      <c r="AK146" s="142">
        <v>243.54300000000001</v>
      </c>
      <c r="AL146" s="141">
        <v>76811</v>
      </c>
      <c r="AM146" s="140">
        <v>66860.301000000007</v>
      </c>
      <c r="AN146" s="141">
        <v>113354</v>
      </c>
      <c r="AO146" s="141">
        <v>4011618</v>
      </c>
      <c r="AP146" s="141">
        <v>4011618</v>
      </c>
      <c r="AQ146" s="141">
        <v>4043230</v>
      </c>
      <c r="AR146" s="141">
        <v>0</v>
      </c>
      <c r="AS146" s="141">
        <v>0</v>
      </c>
      <c r="AT146" s="142">
        <v>7126.9889999999996</v>
      </c>
      <c r="AU146" s="142">
        <v>779.64800000000002</v>
      </c>
      <c r="AV146" s="142">
        <v>5558992.9910000004</v>
      </c>
      <c r="AW146" s="142">
        <v>608119.02099999995</v>
      </c>
      <c r="AX146" s="179">
        <v>6167112.0080000004</v>
      </c>
      <c r="AY146" s="142">
        <v>7906.6360000000004</v>
      </c>
      <c r="AZ146" s="141">
        <v>2822733</v>
      </c>
      <c r="BA146" s="140">
        <v>0</v>
      </c>
      <c r="BB146" s="141">
        <v>0</v>
      </c>
      <c r="BC146" s="141">
        <v>0</v>
      </c>
      <c r="BD146" s="141">
        <v>0</v>
      </c>
      <c r="BE146" s="141">
        <v>0</v>
      </c>
      <c r="BF146" s="141">
        <v>0</v>
      </c>
      <c r="BG146" s="141">
        <v>0</v>
      </c>
      <c r="BH146" s="142">
        <v>0</v>
      </c>
      <c r="BI146" s="142">
        <v>0</v>
      </c>
      <c r="BJ146" s="142">
        <v>0</v>
      </c>
      <c r="BK146" s="142">
        <v>0</v>
      </c>
      <c r="BL146" s="142">
        <v>0</v>
      </c>
      <c r="BM146" s="142">
        <v>0</v>
      </c>
      <c r="BN146" s="141">
        <v>408438</v>
      </c>
      <c r="BO146" s="140">
        <v>671839.78500000003</v>
      </c>
      <c r="BP146" s="141">
        <v>889926</v>
      </c>
      <c r="BQ146" s="141">
        <v>40310387</v>
      </c>
      <c r="BR146" s="141">
        <v>40310387</v>
      </c>
      <c r="BS146" s="141">
        <v>40691364</v>
      </c>
      <c r="BT146" s="141">
        <v>0</v>
      </c>
      <c r="BU146" s="141">
        <v>0</v>
      </c>
      <c r="BV146" s="142">
        <v>15.019</v>
      </c>
      <c r="BW146" s="142">
        <v>0.39</v>
      </c>
      <c r="BX146" s="142">
        <v>11714.205</v>
      </c>
      <c r="BY146" s="142">
        <v>303.971</v>
      </c>
      <c r="BZ146" s="179">
        <v>12018.175999999999</v>
      </c>
      <c r="CA146" s="142">
        <v>15.407999999999999</v>
      </c>
    </row>
  </sheetData>
  <mergeCells count="275">
    <mergeCell ref="D2:I3"/>
    <mergeCell ref="A3:B8"/>
    <mergeCell ref="D4:I4"/>
    <mergeCell ref="D6:I6"/>
    <mergeCell ref="D7:I7"/>
    <mergeCell ref="D8:I8"/>
    <mergeCell ref="I18:W18"/>
    <mergeCell ref="X18:AY18"/>
    <mergeCell ref="AZ18:CA18"/>
    <mergeCell ref="I19:W19"/>
    <mergeCell ref="X19:AK19"/>
    <mergeCell ref="AL19:AY19"/>
    <mergeCell ref="AZ19:BM19"/>
    <mergeCell ref="BN19:CA19"/>
    <mergeCell ref="D10:I10"/>
    <mergeCell ref="D11:I11"/>
    <mergeCell ref="D12:I12"/>
    <mergeCell ref="D13:I13"/>
    <mergeCell ref="D15:I15"/>
    <mergeCell ref="D16:I16"/>
    <mergeCell ref="I24:J24"/>
    <mergeCell ref="B25:D25"/>
    <mergeCell ref="I25:J25"/>
    <mergeCell ref="B26:D26"/>
    <mergeCell ref="I26:J26"/>
    <mergeCell ref="B27:D27"/>
    <mergeCell ref="I27:J27"/>
    <mergeCell ref="B20:D20"/>
    <mergeCell ref="I20:J20"/>
    <mergeCell ref="B21:D21"/>
    <mergeCell ref="I21:J21"/>
    <mergeCell ref="B22:D22"/>
    <mergeCell ref="I22:J22"/>
    <mergeCell ref="B23:D23"/>
    <mergeCell ref="I23:J23"/>
    <mergeCell ref="B24:D24"/>
    <mergeCell ref="B31:D31"/>
    <mergeCell ref="I31:J31"/>
    <mergeCell ref="B32:D32"/>
    <mergeCell ref="I32:J32"/>
    <mergeCell ref="B33:D33"/>
    <mergeCell ref="I33:J33"/>
    <mergeCell ref="B28:D28"/>
    <mergeCell ref="I28:J28"/>
    <mergeCell ref="B29:D29"/>
    <mergeCell ref="I29:J29"/>
    <mergeCell ref="B30:D30"/>
    <mergeCell ref="I30:J30"/>
    <mergeCell ref="B37:D37"/>
    <mergeCell ref="I37:J37"/>
    <mergeCell ref="B38:D38"/>
    <mergeCell ref="I38:J38"/>
    <mergeCell ref="B39:D39"/>
    <mergeCell ref="I39:J39"/>
    <mergeCell ref="B34:D34"/>
    <mergeCell ref="I34:J34"/>
    <mergeCell ref="B35:D35"/>
    <mergeCell ref="I35:J35"/>
    <mergeCell ref="B36:D36"/>
    <mergeCell ref="I36:J36"/>
    <mergeCell ref="B43:D43"/>
    <mergeCell ref="I43:J43"/>
    <mergeCell ref="B44:D44"/>
    <mergeCell ref="I44:J44"/>
    <mergeCell ref="B45:D45"/>
    <mergeCell ref="I45:J45"/>
    <mergeCell ref="B40:D40"/>
    <mergeCell ref="I40:J40"/>
    <mergeCell ref="B41:D41"/>
    <mergeCell ref="I41:J41"/>
    <mergeCell ref="B42:D42"/>
    <mergeCell ref="I42:J42"/>
    <mergeCell ref="B49:D49"/>
    <mergeCell ref="I49:J49"/>
    <mergeCell ref="B50:D50"/>
    <mergeCell ref="I50:J50"/>
    <mergeCell ref="B51:D51"/>
    <mergeCell ref="I51:J51"/>
    <mergeCell ref="B46:D46"/>
    <mergeCell ref="I46:J46"/>
    <mergeCell ref="B47:D47"/>
    <mergeCell ref="I47:J47"/>
    <mergeCell ref="B48:D48"/>
    <mergeCell ref="I48:J48"/>
    <mergeCell ref="B55:D55"/>
    <mergeCell ref="I55:J55"/>
    <mergeCell ref="B56:D56"/>
    <mergeCell ref="I56:J56"/>
    <mergeCell ref="B57:D57"/>
    <mergeCell ref="I57:J57"/>
    <mergeCell ref="B52:D52"/>
    <mergeCell ref="I52:J52"/>
    <mergeCell ref="B53:D53"/>
    <mergeCell ref="I53:J53"/>
    <mergeCell ref="B54:D54"/>
    <mergeCell ref="I54:J54"/>
    <mergeCell ref="B61:D61"/>
    <mergeCell ref="I61:J61"/>
    <mergeCell ref="B62:D62"/>
    <mergeCell ref="I62:J62"/>
    <mergeCell ref="B63:D63"/>
    <mergeCell ref="I63:J63"/>
    <mergeCell ref="B58:D58"/>
    <mergeCell ref="I58:J58"/>
    <mergeCell ref="B59:D59"/>
    <mergeCell ref="I59:J59"/>
    <mergeCell ref="B60:D60"/>
    <mergeCell ref="I60:J60"/>
    <mergeCell ref="B67:D67"/>
    <mergeCell ref="I67:J67"/>
    <mergeCell ref="B68:D68"/>
    <mergeCell ref="I68:J68"/>
    <mergeCell ref="B69:D69"/>
    <mergeCell ref="I69:J69"/>
    <mergeCell ref="B64:D64"/>
    <mergeCell ref="I64:J64"/>
    <mergeCell ref="B65:D65"/>
    <mergeCell ref="I65:J65"/>
    <mergeCell ref="B66:D66"/>
    <mergeCell ref="I66:J66"/>
    <mergeCell ref="B73:D73"/>
    <mergeCell ref="I73:J73"/>
    <mergeCell ref="B74:D74"/>
    <mergeCell ref="I74:J74"/>
    <mergeCell ref="B75:D75"/>
    <mergeCell ref="I75:J75"/>
    <mergeCell ref="B70:D70"/>
    <mergeCell ref="I70:J70"/>
    <mergeCell ref="B71:D71"/>
    <mergeCell ref="I71:J71"/>
    <mergeCell ref="B72:D72"/>
    <mergeCell ref="I72:J72"/>
    <mergeCell ref="B79:D79"/>
    <mergeCell ref="I79:J79"/>
    <mergeCell ref="B80:D80"/>
    <mergeCell ref="I80:J80"/>
    <mergeCell ref="B81:D81"/>
    <mergeCell ref="I81:J81"/>
    <mergeCell ref="B76:D76"/>
    <mergeCell ref="I76:J76"/>
    <mergeCell ref="B77:D77"/>
    <mergeCell ref="I77:J77"/>
    <mergeCell ref="B78:D78"/>
    <mergeCell ref="I78:J78"/>
    <mergeCell ref="B85:D85"/>
    <mergeCell ref="I85:J85"/>
    <mergeCell ref="B86:D86"/>
    <mergeCell ref="I86:J86"/>
    <mergeCell ref="B87:D87"/>
    <mergeCell ref="I87:J87"/>
    <mergeCell ref="B82:D82"/>
    <mergeCell ref="I82:J82"/>
    <mergeCell ref="B83:D83"/>
    <mergeCell ref="I83:J83"/>
    <mergeCell ref="B84:D84"/>
    <mergeCell ref="I84:J84"/>
    <mergeCell ref="B91:D91"/>
    <mergeCell ref="I91:J91"/>
    <mergeCell ref="B92:D92"/>
    <mergeCell ref="I92:J92"/>
    <mergeCell ref="B93:D93"/>
    <mergeCell ref="I93:J93"/>
    <mergeCell ref="B88:D88"/>
    <mergeCell ref="I88:J88"/>
    <mergeCell ref="B89:D89"/>
    <mergeCell ref="I89:J89"/>
    <mergeCell ref="B90:D90"/>
    <mergeCell ref="I90:J90"/>
    <mergeCell ref="B97:D97"/>
    <mergeCell ref="I97:J97"/>
    <mergeCell ref="B98:D98"/>
    <mergeCell ref="I98:J98"/>
    <mergeCell ref="B99:D99"/>
    <mergeCell ref="I99:J99"/>
    <mergeCell ref="B94:D94"/>
    <mergeCell ref="I94:J94"/>
    <mergeCell ref="B95:D95"/>
    <mergeCell ref="I95:J95"/>
    <mergeCell ref="B96:D96"/>
    <mergeCell ref="I96:J96"/>
    <mergeCell ref="B103:D103"/>
    <mergeCell ref="I103:J103"/>
    <mergeCell ref="B104:D104"/>
    <mergeCell ref="I104:J104"/>
    <mergeCell ref="B105:D105"/>
    <mergeCell ref="I105:J105"/>
    <mergeCell ref="B100:D100"/>
    <mergeCell ref="I100:J100"/>
    <mergeCell ref="B101:D101"/>
    <mergeCell ref="I101:J101"/>
    <mergeCell ref="B102:D102"/>
    <mergeCell ref="I102:J102"/>
    <mergeCell ref="B109:D109"/>
    <mergeCell ref="I109:J109"/>
    <mergeCell ref="B110:D110"/>
    <mergeCell ref="I110:J110"/>
    <mergeCell ref="B111:D111"/>
    <mergeCell ref="I111:J111"/>
    <mergeCell ref="B106:D106"/>
    <mergeCell ref="I106:J106"/>
    <mergeCell ref="B107:D107"/>
    <mergeCell ref="I107:J107"/>
    <mergeCell ref="B108:D108"/>
    <mergeCell ref="I108:J108"/>
    <mergeCell ref="B115:D115"/>
    <mergeCell ref="I115:J115"/>
    <mergeCell ref="B116:D116"/>
    <mergeCell ref="I116:J116"/>
    <mergeCell ref="B117:D117"/>
    <mergeCell ref="I117:J117"/>
    <mergeCell ref="B112:D112"/>
    <mergeCell ref="I112:J112"/>
    <mergeCell ref="B113:D113"/>
    <mergeCell ref="I113:J113"/>
    <mergeCell ref="B114:D114"/>
    <mergeCell ref="I114:J114"/>
    <mergeCell ref="B121:D121"/>
    <mergeCell ref="I121:J121"/>
    <mergeCell ref="B122:D122"/>
    <mergeCell ref="I122:J122"/>
    <mergeCell ref="B123:D123"/>
    <mergeCell ref="I123:J123"/>
    <mergeCell ref="B118:D118"/>
    <mergeCell ref="I118:J118"/>
    <mergeCell ref="B119:D119"/>
    <mergeCell ref="I119:J119"/>
    <mergeCell ref="B120:D120"/>
    <mergeCell ref="I120:J120"/>
    <mergeCell ref="B127:D127"/>
    <mergeCell ref="I127:J127"/>
    <mergeCell ref="B128:D128"/>
    <mergeCell ref="I128:J128"/>
    <mergeCell ref="B129:D129"/>
    <mergeCell ref="I129:J129"/>
    <mergeCell ref="B124:D124"/>
    <mergeCell ref="I124:J124"/>
    <mergeCell ref="B125:D125"/>
    <mergeCell ref="I125:J125"/>
    <mergeCell ref="B126:D126"/>
    <mergeCell ref="I126:J126"/>
    <mergeCell ref="I133:J133"/>
    <mergeCell ref="B134:D134"/>
    <mergeCell ref="I134:J134"/>
    <mergeCell ref="B135:D135"/>
    <mergeCell ref="I135:J135"/>
    <mergeCell ref="B130:D130"/>
    <mergeCell ref="I130:J130"/>
    <mergeCell ref="B131:D131"/>
    <mergeCell ref="I131:J131"/>
    <mergeCell ref="B132:D132"/>
    <mergeCell ref="I132:J132"/>
    <mergeCell ref="B145:D145"/>
    <mergeCell ref="I145:J145"/>
    <mergeCell ref="A146:H146"/>
    <mergeCell ref="I146:J146"/>
    <mergeCell ref="B142:D142"/>
    <mergeCell ref="I142:J142"/>
    <mergeCell ref="B143:D143"/>
    <mergeCell ref="I143:J143"/>
    <mergeCell ref="B144:D144"/>
    <mergeCell ref="I144:J144"/>
    <mergeCell ref="A22:A145"/>
    <mergeCell ref="B139:D139"/>
    <mergeCell ref="I139:J139"/>
    <mergeCell ref="B140:D140"/>
    <mergeCell ref="I140:J140"/>
    <mergeCell ref="B141:D141"/>
    <mergeCell ref="I141:J141"/>
    <mergeCell ref="B136:D136"/>
    <mergeCell ref="I136:J136"/>
    <mergeCell ref="B137:D137"/>
    <mergeCell ref="I137:J137"/>
    <mergeCell ref="B138:D138"/>
    <mergeCell ref="I138:J138"/>
    <mergeCell ref="B133:D13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A385-CFA1-4B93-9AB4-B0DEA221D2C4}">
  <dimension ref="A1:AK39"/>
  <sheetViews>
    <sheetView showGridLines="0" topLeftCell="A19" workbookViewId="0">
      <selection activeCell="Z1" sqref="Z1:AK1048576"/>
    </sheetView>
  </sheetViews>
  <sheetFormatPr defaultColWidth="11.140625" defaultRowHeight="14.45"/>
  <cols>
    <col min="1" max="1" width="15.7109375" style="135" customWidth="1"/>
    <col min="2" max="2" width="0.85546875" style="135" customWidth="1"/>
    <col min="3" max="3" width="1.7109375" style="135" customWidth="1"/>
    <col min="4" max="4" width="13" style="135" customWidth="1"/>
    <col min="5" max="8" width="15.7109375" style="135" customWidth="1"/>
    <col min="9" max="9" width="3.85546875" style="135" hidden="1" customWidth="1"/>
    <col min="10" max="10" width="11.85546875" style="135" hidden="1" customWidth="1"/>
    <col min="11" max="23" width="15.7109375" style="135" hidden="1" customWidth="1"/>
    <col min="24" max="25" width="15.7109375" style="135" customWidth="1"/>
    <col min="26" max="37" width="15.7109375" style="135" hidden="1" customWidth="1"/>
    <col min="38" max="16384" width="11.140625" style="135"/>
  </cols>
  <sheetData>
    <row r="1" spans="1:9" ht="7.5" customHeight="1"/>
    <row r="2" spans="1:9" ht="10.5" customHeight="1">
      <c r="D2" s="224" t="s">
        <v>170</v>
      </c>
      <c r="E2" s="224"/>
      <c r="F2" s="224"/>
      <c r="G2" s="224"/>
      <c r="H2" s="224"/>
      <c r="I2" s="224"/>
    </row>
    <row r="3" spans="1:9" ht="10.5" customHeight="1">
      <c r="A3" s="225"/>
      <c r="B3" s="225"/>
      <c r="D3" s="224"/>
      <c r="E3" s="224"/>
      <c r="F3" s="224"/>
      <c r="G3" s="224"/>
      <c r="H3" s="224"/>
      <c r="I3" s="224"/>
    </row>
    <row r="4" spans="1:9" ht="15" customHeight="1">
      <c r="A4" s="225"/>
      <c r="B4" s="225"/>
      <c r="D4" s="223" t="s">
        <v>171</v>
      </c>
      <c r="E4" s="223"/>
      <c r="F4" s="223"/>
      <c r="G4" s="223"/>
      <c r="H4" s="223"/>
      <c r="I4" s="223"/>
    </row>
    <row r="5" spans="1:9" ht="4.5" customHeight="1">
      <c r="A5" s="225"/>
      <c r="B5" s="225"/>
    </row>
    <row r="6" spans="1:9" ht="15" customHeight="1">
      <c r="A6" s="225"/>
      <c r="B6" s="225"/>
      <c r="D6" s="223" t="s">
        <v>610</v>
      </c>
      <c r="E6" s="223"/>
      <c r="F6" s="223"/>
      <c r="G6" s="223"/>
      <c r="H6" s="223"/>
      <c r="I6" s="223"/>
    </row>
    <row r="7" spans="1:9" ht="14.25" customHeight="1">
      <c r="A7" s="225"/>
      <c r="B7" s="225"/>
      <c r="D7" s="223" t="s">
        <v>611</v>
      </c>
      <c r="E7" s="223"/>
      <c r="F7" s="223"/>
      <c r="G7" s="223"/>
      <c r="H7" s="223"/>
      <c r="I7" s="223"/>
    </row>
    <row r="8" spans="1:9" ht="14.25" customHeight="1">
      <c r="A8" s="225"/>
      <c r="B8" s="225"/>
      <c r="D8" s="223" t="s">
        <v>612</v>
      </c>
      <c r="E8" s="223"/>
      <c r="F8" s="223"/>
      <c r="G8" s="223"/>
      <c r="H8" s="223"/>
      <c r="I8" s="223"/>
    </row>
    <row r="9" spans="1:9" ht="0.75" customHeight="1"/>
    <row r="10" spans="1:9" ht="15" customHeight="1">
      <c r="D10" s="223" t="s">
        <v>175</v>
      </c>
      <c r="E10" s="223"/>
      <c r="F10" s="223"/>
      <c r="G10" s="223"/>
      <c r="H10" s="223"/>
      <c r="I10" s="223"/>
    </row>
    <row r="11" spans="1:9" ht="14.25" customHeight="1">
      <c r="D11" s="223" t="s">
        <v>176</v>
      </c>
      <c r="E11" s="223"/>
      <c r="F11" s="223"/>
      <c r="G11" s="223"/>
      <c r="H11" s="223"/>
      <c r="I11" s="223"/>
    </row>
    <row r="12" spans="1:9" ht="14.25" customHeight="1">
      <c r="D12" s="223" t="s">
        <v>177</v>
      </c>
      <c r="E12" s="223"/>
      <c r="F12" s="223"/>
      <c r="G12" s="223"/>
      <c r="H12" s="223"/>
      <c r="I12" s="223"/>
    </row>
    <row r="13" spans="1:9" ht="14.25" customHeight="1">
      <c r="D13" s="223" t="s">
        <v>178</v>
      </c>
      <c r="E13" s="223"/>
      <c r="F13" s="223"/>
      <c r="G13" s="223"/>
      <c r="H13" s="223"/>
      <c r="I13" s="223"/>
    </row>
    <row r="14" spans="1:9" ht="1.5" customHeight="1"/>
    <row r="15" spans="1:9" ht="11.25" customHeight="1">
      <c r="D15" s="223"/>
      <c r="E15" s="223"/>
      <c r="F15" s="223"/>
      <c r="G15" s="223"/>
      <c r="H15" s="223"/>
      <c r="I15" s="223"/>
    </row>
    <row r="16" spans="1:9" ht="11.25" customHeight="1">
      <c r="D16" s="223"/>
      <c r="E16" s="223"/>
      <c r="F16" s="223"/>
      <c r="G16" s="223"/>
      <c r="H16" s="223"/>
      <c r="I16" s="223"/>
    </row>
    <row r="17" spans="1:37" ht="10.5" customHeight="1"/>
    <row r="18" spans="1:37" ht="16.5" customHeight="1">
      <c r="I18" s="220" t="s">
        <v>180</v>
      </c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 t="s">
        <v>181</v>
      </c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</row>
    <row r="19" spans="1:37" ht="16.5" customHeight="1">
      <c r="I19" s="220" t="s">
        <v>185</v>
      </c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 t="s">
        <v>185</v>
      </c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</row>
    <row r="20" spans="1:37" ht="16.5" customHeight="1">
      <c r="A20" s="136" t="s">
        <v>186</v>
      </c>
      <c r="B20" s="220" t="s">
        <v>187</v>
      </c>
      <c r="C20" s="220"/>
      <c r="D20" s="220"/>
      <c r="E20" s="136" t="s">
        <v>188</v>
      </c>
      <c r="F20" s="136" t="s">
        <v>189</v>
      </c>
      <c r="G20" s="136" t="s">
        <v>190</v>
      </c>
      <c r="H20" s="136" t="s">
        <v>191</v>
      </c>
      <c r="I20" s="220" t="s">
        <v>192</v>
      </c>
      <c r="J20" s="220"/>
      <c r="K20" s="136" t="s">
        <v>193</v>
      </c>
      <c r="L20" s="136" t="s">
        <v>194</v>
      </c>
      <c r="M20" s="136" t="s">
        <v>195</v>
      </c>
      <c r="N20" s="136" t="s">
        <v>196</v>
      </c>
      <c r="O20" s="136" t="s">
        <v>197</v>
      </c>
      <c r="P20" s="136" t="s">
        <v>198</v>
      </c>
      <c r="Q20" s="136" t="s">
        <v>199</v>
      </c>
      <c r="R20" s="137" t="s">
        <v>200</v>
      </c>
      <c r="S20" s="137" t="s">
        <v>201</v>
      </c>
      <c r="T20" s="137" t="s">
        <v>202</v>
      </c>
      <c r="U20" s="137" t="s">
        <v>203</v>
      </c>
      <c r="V20" s="137" t="s">
        <v>204</v>
      </c>
      <c r="W20" s="137" t="s">
        <v>205</v>
      </c>
      <c r="X20" s="136" t="s">
        <v>192</v>
      </c>
      <c r="Y20" s="136" t="s">
        <v>193</v>
      </c>
      <c r="Z20" s="136" t="s">
        <v>194</v>
      </c>
      <c r="AA20" s="136" t="s">
        <v>195</v>
      </c>
      <c r="AB20" s="136" t="s">
        <v>196</v>
      </c>
      <c r="AC20" s="136" t="s">
        <v>197</v>
      </c>
      <c r="AD20" s="136" t="s">
        <v>198</v>
      </c>
      <c r="AE20" s="136" t="s">
        <v>199</v>
      </c>
      <c r="AF20" s="137" t="s">
        <v>200</v>
      </c>
      <c r="AG20" s="137" t="s">
        <v>201</v>
      </c>
      <c r="AH20" s="137" t="s">
        <v>202</v>
      </c>
      <c r="AI20" s="137" t="s">
        <v>203</v>
      </c>
      <c r="AJ20" s="137" t="s">
        <v>204</v>
      </c>
      <c r="AK20" s="137" t="s">
        <v>205</v>
      </c>
    </row>
    <row r="21" spans="1:37" ht="16.5" customHeight="1">
      <c r="A21" s="138" t="s">
        <v>206</v>
      </c>
      <c r="B21" s="226" t="s">
        <v>228</v>
      </c>
      <c r="C21" s="226"/>
      <c r="D21" s="226"/>
      <c r="E21" s="138" t="s">
        <v>229</v>
      </c>
      <c r="F21" s="136" t="s">
        <v>209</v>
      </c>
      <c r="G21" s="139">
        <v>2025</v>
      </c>
      <c r="H21" s="136" t="s">
        <v>210</v>
      </c>
      <c r="I21" s="221">
        <v>287</v>
      </c>
      <c r="J21" s="221"/>
      <c r="K21" s="140">
        <v>269.733</v>
      </c>
      <c r="L21" s="141">
        <v>445</v>
      </c>
      <c r="M21" s="141">
        <v>16184</v>
      </c>
      <c r="N21" s="141">
        <v>16184</v>
      </c>
      <c r="O21" s="141">
        <v>16184</v>
      </c>
      <c r="P21" s="141">
        <v>0</v>
      </c>
      <c r="Q21" s="141">
        <v>0</v>
      </c>
      <c r="R21" s="142">
        <v>30.565000000000001</v>
      </c>
      <c r="S21" s="142">
        <v>5.5019999999999998</v>
      </c>
      <c r="T21" s="142">
        <v>23840.537</v>
      </c>
      <c r="U21" s="142">
        <v>4291.3010000000004</v>
      </c>
      <c r="V21" s="142">
        <v>28131.837</v>
      </c>
      <c r="W21" s="142">
        <v>36.067</v>
      </c>
      <c r="X21" s="141">
        <v>503</v>
      </c>
      <c r="Y21" s="140">
        <v>436.65</v>
      </c>
      <c r="Z21" s="141">
        <v>728</v>
      </c>
      <c r="AA21" s="141">
        <v>26199</v>
      </c>
      <c r="AB21" s="141">
        <v>26199</v>
      </c>
      <c r="AC21" s="141">
        <v>26199</v>
      </c>
      <c r="AD21" s="141">
        <v>0</v>
      </c>
      <c r="AE21" s="141">
        <v>0</v>
      </c>
      <c r="AF21" s="142">
        <v>0</v>
      </c>
      <c r="AG21" s="142">
        <v>0</v>
      </c>
      <c r="AH21" s="142">
        <v>0</v>
      </c>
      <c r="AI21" s="142">
        <v>0</v>
      </c>
      <c r="AJ21" s="142">
        <v>0</v>
      </c>
      <c r="AK21" s="142">
        <v>0</v>
      </c>
    </row>
    <row r="22" spans="1:37" ht="16.5" customHeight="1">
      <c r="A22" s="222"/>
      <c r="B22" s="222"/>
      <c r="C22" s="222"/>
      <c r="D22" s="222"/>
      <c r="E22" s="143"/>
      <c r="F22" s="136" t="s">
        <v>568</v>
      </c>
      <c r="G22" s="139">
        <v>2025</v>
      </c>
      <c r="H22" s="136" t="s">
        <v>210</v>
      </c>
      <c r="I22" s="221">
        <v>397</v>
      </c>
      <c r="J22" s="221"/>
      <c r="K22" s="140">
        <v>300.08300000000003</v>
      </c>
      <c r="L22" s="141">
        <v>557</v>
      </c>
      <c r="M22" s="141">
        <v>18005</v>
      </c>
      <c r="N22" s="141">
        <v>18005</v>
      </c>
      <c r="O22" s="141">
        <v>14946</v>
      </c>
      <c r="P22" s="141">
        <v>0</v>
      </c>
      <c r="Q22" s="141">
        <v>0</v>
      </c>
      <c r="R22" s="142">
        <v>39.436999999999998</v>
      </c>
      <c r="S22" s="142">
        <v>7.0979999999999999</v>
      </c>
      <c r="T22" s="142">
        <v>30760.544999999998</v>
      </c>
      <c r="U22" s="142">
        <v>5536.3829999999998</v>
      </c>
      <c r="V22" s="142">
        <v>36296.928</v>
      </c>
      <c r="W22" s="142">
        <v>46.534999999999997</v>
      </c>
      <c r="X22" s="141">
        <v>5134</v>
      </c>
      <c r="Y22" s="140">
        <v>8279.5669999999991</v>
      </c>
      <c r="Z22" s="141">
        <v>11083</v>
      </c>
      <c r="AA22" s="141">
        <v>496774</v>
      </c>
      <c r="AB22" s="141">
        <v>496774</v>
      </c>
      <c r="AC22" s="141">
        <v>0</v>
      </c>
      <c r="AD22" s="141">
        <v>0</v>
      </c>
      <c r="AE22" s="141">
        <v>0</v>
      </c>
      <c r="AF22" s="142">
        <v>0</v>
      </c>
      <c r="AG22" s="142">
        <v>0</v>
      </c>
      <c r="AH22" s="142">
        <v>0</v>
      </c>
      <c r="AI22" s="142">
        <v>0</v>
      </c>
      <c r="AJ22" s="142">
        <v>0</v>
      </c>
      <c r="AK22" s="142">
        <v>0</v>
      </c>
    </row>
    <row r="23" spans="1:37" ht="16.5" customHeight="1">
      <c r="A23" s="222"/>
      <c r="B23" s="222"/>
      <c r="C23" s="222"/>
      <c r="D23" s="222"/>
      <c r="E23" s="220" t="s">
        <v>613</v>
      </c>
      <c r="F23" s="220"/>
      <c r="G23" s="220"/>
      <c r="H23" s="220"/>
      <c r="I23" s="221">
        <v>684</v>
      </c>
      <c r="J23" s="221"/>
      <c r="K23" s="140">
        <v>569.81600000000003</v>
      </c>
      <c r="L23" s="141">
        <v>1002</v>
      </c>
      <c r="M23" s="141">
        <v>34189</v>
      </c>
      <c r="N23" s="141">
        <v>34189</v>
      </c>
      <c r="O23" s="141">
        <v>31130</v>
      </c>
      <c r="P23" s="141">
        <v>0</v>
      </c>
      <c r="Q23" s="141">
        <v>0</v>
      </c>
      <c r="R23" s="142">
        <v>70.001999999999995</v>
      </c>
      <c r="S23" s="142">
        <v>12.6</v>
      </c>
      <c r="T23" s="142">
        <v>54601.082000000002</v>
      </c>
      <c r="U23" s="142">
        <v>9827.6839999999993</v>
      </c>
      <c r="V23" s="142">
        <v>64428.764999999999</v>
      </c>
      <c r="W23" s="142">
        <v>82.602000000000004</v>
      </c>
      <c r="X23" s="141">
        <v>5637</v>
      </c>
      <c r="Y23" s="140">
        <v>8716.2170000000006</v>
      </c>
      <c r="Z23" s="141">
        <v>11811</v>
      </c>
      <c r="AA23" s="141">
        <v>522973</v>
      </c>
      <c r="AB23" s="141">
        <v>522973</v>
      </c>
      <c r="AC23" s="141">
        <v>26199</v>
      </c>
      <c r="AD23" s="141">
        <v>0</v>
      </c>
      <c r="AE23" s="141">
        <v>0</v>
      </c>
      <c r="AF23" s="142">
        <v>0</v>
      </c>
      <c r="AG23" s="142">
        <v>0</v>
      </c>
      <c r="AH23" s="142">
        <v>0</v>
      </c>
      <c r="AI23" s="142">
        <v>0</v>
      </c>
      <c r="AJ23" s="142">
        <v>0</v>
      </c>
      <c r="AK23" s="142">
        <v>0</v>
      </c>
    </row>
    <row r="24" spans="1:37" ht="16.5" customHeight="1">
      <c r="A24" s="222"/>
      <c r="B24" s="226" t="s">
        <v>258</v>
      </c>
      <c r="C24" s="226"/>
      <c r="D24" s="226"/>
      <c r="E24" s="138" t="s">
        <v>259</v>
      </c>
      <c r="F24" s="136" t="s">
        <v>209</v>
      </c>
      <c r="G24" s="139">
        <v>2025</v>
      </c>
      <c r="H24" s="136" t="s">
        <v>210</v>
      </c>
      <c r="I24" s="221">
        <v>1123</v>
      </c>
      <c r="J24" s="221"/>
      <c r="K24" s="140">
        <v>1466.8</v>
      </c>
      <c r="L24" s="141">
        <v>2016</v>
      </c>
      <c r="M24" s="141">
        <v>88008</v>
      </c>
      <c r="N24" s="141">
        <v>88008</v>
      </c>
      <c r="O24" s="141">
        <v>88008</v>
      </c>
      <c r="P24" s="141">
        <v>0</v>
      </c>
      <c r="Q24" s="141">
        <v>0</v>
      </c>
      <c r="R24" s="142">
        <v>128.87100000000001</v>
      </c>
      <c r="S24" s="142">
        <v>23.196999999999999</v>
      </c>
      <c r="T24" s="142">
        <v>100518.143</v>
      </c>
      <c r="U24" s="142">
        <v>18093.253000000001</v>
      </c>
      <c r="V24" s="142">
        <v>118611.39599999999</v>
      </c>
      <c r="W24" s="142">
        <v>152.06700000000001</v>
      </c>
      <c r="X24" s="141">
        <v>1308</v>
      </c>
      <c r="Y24" s="140">
        <v>2017.5830000000001</v>
      </c>
      <c r="Z24" s="141">
        <v>2723</v>
      </c>
      <c r="AA24" s="141">
        <v>121055</v>
      </c>
      <c r="AB24" s="141">
        <v>121055</v>
      </c>
      <c r="AC24" s="141">
        <v>121055</v>
      </c>
      <c r="AD24" s="141">
        <v>0</v>
      </c>
      <c r="AE24" s="141">
        <v>0</v>
      </c>
      <c r="AF24" s="142">
        <v>0</v>
      </c>
      <c r="AG24" s="142">
        <v>0</v>
      </c>
      <c r="AH24" s="142">
        <v>0</v>
      </c>
      <c r="AI24" s="142">
        <v>0</v>
      </c>
      <c r="AJ24" s="142">
        <v>0</v>
      </c>
      <c r="AK24" s="142">
        <v>0</v>
      </c>
    </row>
    <row r="25" spans="1:37" ht="16.5" customHeight="1">
      <c r="A25" s="222"/>
      <c r="B25" s="222"/>
      <c r="C25" s="222"/>
      <c r="D25" s="222"/>
      <c r="E25" s="143"/>
      <c r="F25" s="136" t="s">
        <v>568</v>
      </c>
      <c r="G25" s="139">
        <v>2025</v>
      </c>
      <c r="H25" s="136" t="s">
        <v>210</v>
      </c>
      <c r="I25" s="221">
        <v>1304</v>
      </c>
      <c r="J25" s="221"/>
      <c r="K25" s="140">
        <v>1490.567</v>
      </c>
      <c r="L25" s="141">
        <v>2195</v>
      </c>
      <c r="M25" s="141">
        <v>89434</v>
      </c>
      <c r="N25" s="141">
        <v>89434</v>
      </c>
      <c r="O25" s="141">
        <v>89489</v>
      </c>
      <c r="P25" s="141">
        <v>0</v>
      </c>
      <c r="Q25" s="141">
        <v>0</v>
      </c>
      <c r="R25" s="142">
        <v>206.17</v>
      </c>
      <c r="S25" s="142">
        <v>0</v>
      </c>
      <c r="T25" s="142">
        <v>160810.625</v>
      </c>
      <c r="U25" s="142">
        <v>0</v>
      </c>
      <c r="V25" s="142">
        <v>160810.625</v>
      </c>
      <c r="W25" s="142">
        <v>206.17</v>
      </c>
      <c r="X25" s="141">
        <v>14811</v>
      </c>
      <c r="Y25" s="140">
        <v>27184.866999999998</v>
      </c>
      <c r="Z25" s="141">
        <v>35169</v>
      </c>
      <c r="AA25" s="141">
        <v>1631092</v>
      </c>
      <c r="AB25" s="141">
        <v>1631092</v>
      </c>
      <c r="AC25" s="141">
        <v>1631092</v>
      </c>
      <c r="AD25" s="141">
        <v>0</v>
      </c>
      <c r="AE25" s="141">
        <v>0</v>
      </c>
      <c r="AF25" s="142">
        <v>0</v>
      </c>
      <c r="AG25" s="142">
        <v>0</v>
      </c>
      <c r="AH25" s="142">
        <v>0</v>
      </c>
      <c r="AI25" s="142">
        <v>0</v>
      </c>
      <c r="AJ25" s="142">
        <v>0</v>
      </c>
      <c r="AK25" s="142">
        <v>0</v>
      </c>
    </row>
    <row r="26" spans="1:37" ht="16.5" customHeight="1">
      <c r="A26" s="222"/>
      <c r="B26" s="222"/>
      <c r="C26" s="222"/>
      <c r="D26" s="222"/>
      <c r="E26" s="220" t="s">
        <v>614</v>
      </c>
      <c r="F26" s="220"/>
      <c r="G26" s="220"/>
      <c r="H26" s="220"/>
      <c r="I26" s="221">
        <v>2427</v>
      </c>
      <c r="J26" s="221"/>
      <c r="K26" s="140">
        <v>2957.3670000000002</v>
      </c>
      <c r="L26" s="141">
        <v>4211</v>
      </c>
      <c r="M26" s="141">
        <v>177442</v>
      </c>
      <c r="N26" s="141">
        <v>177442</v>
      </c>
      <c r="O26" s="141">
        <v>177497</v>
      </c>
      <c r="P26" s="141">
        <v>0</v>
      </c>
      <c r="Q26" s="141">
        <v>0</v>
      </c>
      <c r="R26" s="142">
        <v>335.041</v>
      </c>
      <c r="S26" s="142">
        <v>23.196999999999999</v>
      </c>
      <c r="T26" s="142">
        <v>261328.76800000001</v>
      </c>
      <c r="U26" s="142">
        <v>18093.253000000001</v>
      </c>
      <c r="V26" s="142">
        <v>279422.02100000001</v>
      </c>
      <c r="W26" s="142">
        <v>358.23700000000002</v>
      </c>
      <c r="X26" s="141">
        <v>16119</v>
      </c>
      <c r="Y26" s="140">
        <v>29202.45</v>
      </c>
      <c r="Z26" s="141">
        <v>37892</v>
      </c>
      <c r="AA26" s="141">
        <v>1752147</v>
      </c>
      <c r="AB26" s="141">
        <v>1752147</v>
      </c>
      <c r="AC26" s="141">
        <v>1752147</v>
      </c>
      <c r="AD26" s="141">
        <v>0</v>
      </c>
      <c r="AE26" s="141">
        <v>0</v>
      </c>
      <c r="AF26" s="142">
        <v>0</v>
      </c>
      <c r="AG26" s="142">
        <v>0</v>
      </c>
      <c r="AH26" s="142">
        <v>0</v>
      </c>
      <c r="AI26" s="142">
        <v>0</v>
      </c>
      <c r="AJ26" s="142">
        <v>0</v>
      </c>
      <c r="AK26" s="142">
        <v>0</v>
      </c>
    </row>
    <row r="27" spans="1:37" ht="16.5" customHeight="1">
      <c r="A27" s="222"/>
      <c r="B27" s="226" t="s">
        <v>443</v>
      </c>
      <c r="C27" s="226"/>
      <c r="D27" s="226"/>
      <c r="E27" s="138" t="s">
        <v>444</v>
      </c>
      <c r="F27" s="136" t="s">
        <v>209</v>
      </c>
      <c r="G27" s="139">
        <v>2025</v>
      </c>
      <c r="H27" s="136" t="s">
        <v>210</v>
      </c>
      <c r="I27" s="221">
        <v>936</v>
      </c>
      <c r="J27" s="221"/>
      <c r="K27" s="140">
        <v>654.13300000000004</v>
      </c>
      <c r="L27" s="141">
        <v>1333</v>
      </c>
      <c r="M27" s="141">
        <v>39248</v>
      </c>
      <c r="N27" s="141">
        <v>39248</v>
      </c>
      <c r="O27" s="141">
        <v>39248</v>
      </c>
      <c r="P27" s="141">
        <v>0</v>
      </c>
      <c r="Q27" s="141">
        <v>0</v>
      </c>
      <c r="R27" s="142">
        <v>57.305999999999997</v>
      </c>
      <c r="S27" s="142">
        <v>10.315</v>
      </c>
      <c r="T27" s="142">
        <v>44698.271000000001</v>
      </c>
      <c r="U27" s="142">
        <v>8045.7</v>
      </c>
      <c r="V27" s="142">
        <v>52743.970999999998</v>
      </c>
      <c r="W27" s="142">
        <v>67.620999999999995</v>
      </c>
      <c r="X27" s="141">
        <v>660</v>
      </c>
      <c r="Y27" s="140">
        <v>631.54999999999995</v>
      </c>
      <c r="Z27" s="141">
        <v>1041</v>
      </c>
      <c r="AA27" s="141">
        <v>37893</v>
      </c>
      <c r="AB27" s="141">
        <v>37893</v>
      </c>
      <c r="AC27" s="141">
        <v>37893</v>
      </c>
      <c r="AD27" s="141">
        <v>0</v>
      </c>
      <c r="AE27" s="141">
        <v>0</v>
      </c>
      <c r="AF27" s="142">
        <v>0</v>
      </c>
      <c r="AG27" s="142">
        <v>0</v>
      </c>
      <c r="AH27" s="142">
        <v>0</v>
      </c>
      <c r="AI27" s="142">
        <v>0</v>
      </c>
      <c r="AJ27" s="142">
        <v>0</v>
      </c>
      <c r="AK27" s="142">
        <v>0</v>
      </c>
    </row>
    <row r="28" spans="1:37" ht="16.5" customHeight="1">
      <c r="A28" s="222"/>
      <c r="B28" s="222"/>
      <c r="C28" s="222"/>
      <c r="D28" s="222"/>
      <c r="E28" s="143"/>
      <c r="F28" s="136" t="s">
        <v>568</v>
      </c>
      <c r="G28" s="139">
        <v>2025</v>
      </c>
      <c r="H28" s="136" t="s">
        <v>210</v>
      </c>
      <c r="I28" s="221">
        <v>1242</v>
      </c>
      <c r="J28" s="221"/>
      <c r="K28" s="140">
        <v>735.71699999999998</v>
      </c>
      <c r="L28" s="141">
        <v>1566</v>
      </c>
      <c r="M28" s="141">
        <v>44143</v>
      </c>
      <c r="N28" s="141">
        <v>44143</v>
      </c>
      <c r="O28" s="141">
        <v>44143</v>
      </c>
      <c r="P28" s="141">
        <v>0</v>
      </c>
      <c r="Q28" s="141">
        <v>0</v>
      </c>
      <c r="R28" s="142">
        <v>0.14299999999999999</v>
      </c>
      <c r="S28" s="142">
        <v>2.5999999999999999E-2</v>
      </c>
      <c r="T28" s="142">
        <v>111.749</v>
      </c>
      <c r="U28" s="142">
        <v>20.109000000000002</v>
      </c>
      <c r="V28" s="142">
        <v>131.858</v>
      </c>
      <c r="W28" s="142">
        <v>0.16900000000000001</v>
      </c>
      <c r="X28" s="141">
        <v>6260</v>
      </c>
      <c r="Y28" s="140">
        <v>11039.333000000001</v>
      </c>
      <c r="Z28" s="141">
        <v>14454</v>
      </c>
      <c r="AA28" s="141">
        <v>662360</v>
      </c>
      <c r="AB28" s="141">
        <v>662360</v>
      </c>
      <c r="AC28" s="141">
        <v>797680</v>
      </c>
      <c r="AD28" s="141">
        <v>0</v>
      </c>
      <c r="AE28" s="141">
        <v>0</v>
      </c>
      <c r="AF28" s="142">
        <v>0</v>
      </c>
      <c r="AG28" s="142">
        <v>0</v>
      </c>
      <c r="AH28" s="142">
        <v>0</v>
      </c>
      <c r="AI28" s="142">
        <v>0</v>
      </c>
      <c r="AJ28" s="142">
        <v>0</v>
      </c>
      <c r="AK28" s="142">
        <v>0</v>
      </c>
    </row>
    <row r="29" spans="1:37" ht="16.5" customHeight="1">
      <c r="A29" s="222"/>
      <c r="B29" s="222"/>
      <c r="C29" s="222"/>
      <c r="D29" s="222"/>
      <c r="E29" s="220" t="s">
        <v>615</v>
      </c>
      <c r="F29" s="220"/>
      <c r="G29" s="220"/>
      <c r="H29" s="220"/>
      <c r="I29" s="221">
        <v>2178</v>
      </c>
      <c r="J29" s="221"/>
      <c r="K29" s="140">
        <v>1389.85</v>
      </c>
      <c r="L29" s="141">
        <v>2899</v>
      </c>
      <c r="M29" s="141">
        <v>83391</v>
      </c>
      <c r="N29" s="141">
        <v>83391</v>
      </c>
      <c r="O29" s="141">
        <v>83391</v>
      </c>
      <c r="P29" s="141">
        <v>0</v>
      </c>
      <c r="Q29" s="141">
        <v>0</v>
      </c>
      <c r="R29" s="142">
        <v>57.448999999999998</v>
      </c>
      <c r="S29" s="142">
        <v>10.340999999999999</v>
      </c>
      <c r="T29" s="142">
        <v>44810.02</v>
      </c>
      <c r="U29" s="142">
        <v>8065.8090000000002</v>
      </c>
      <c r="V29" s="142">
        <v>52875.828999999998</v>
      </c>
      <c r="W29" s="142">
        <v>67.790000000000006</v>
      </c>
      <c r="X29" s="141">
        <v>6920</v>
      </c>
      <c r="Y29" s="140">
        <v>11670.883</v>
      </c>
      <c r="Z29" s="141">
        <v>15495</v>
      </c>
      <c r="AA29" s="141">
        <v>700253</v>
      </c>
      <c r="AB29" s="141">
        <v>700253</v>
      </c>
      <c r="AC29" s="141">
        <v>835573</v>
      </c>
      <c r="AD29" s="141">
        <v>0</v>
      </c>
      <c r="AE29" s="141">
        <v>0</v>
      </c>
      <c r="AF29" s="142">
        <v>0</v>
      </c>
      <c r="AG29" s="142">
        <v>0</v>
      </c>
      <c r="AH29" s="142">
        <v>0</v>
      </c>
      <c r="AI29" s="142">
        <v>0</v>
      </c>
      <c r="AJ29" s="142">
        <v>0</v>
      </c>
      <c r="AK29" s="142">
        <v>0</v>
      </c>
    </row>
    <row r="30" spans="1:37" ht="16.5" customHeight="1">
      <c r="A30" s="222"/>
      <c r="B30" s="226" t="s">
        <v>513</v>
      </c>
      <c r="C30" s="226"/>
      <c r="D30" s="226"/>
      <c r="E30" s="138" t="s">
        <v>514</v>
      </c>
      <c r="F30" s="136" t="s">
        <v>209</v>
      </c>
      <c r="G30" s="139">
        <v>2025</v>
      </c>
      <c r="H30" s="136" t="s">
        <v>210</v>
      </c>
      <c r="I30" s="221">
        <v>34</v>
      </c>
      <c r="J30" s="221"/>
      <c r="K30" s="140">
        <v>72.3</v>
      </c>
      <c r="L30" s="141">
        <v>89</v>
      </c>
      <c r="M30" s="141">
        <v>4338</v>
      </c>
      <c r="N30" s="141">
        <v>4338</v>
      </c>
      <c r="O30" s="141">
        <v>4338</v>
      </c>
      <c r="P30" s="141">
        <v>0</v>
      </c>
      <c r="Q30" s="141">
        <v>0</v>
      </c>
      <c r="R30" s="142">
        <v>9.3559999999999999</v>
      </c>
      <c r="S30" s="142">
        <v>1.6839999999999999</v>
      </c>
      <c r="T30" s="142">
        <v>7297.9830000000002</v>
      </c>
      <c r="U30" s="142">
        <v>1313.6389999999999</v>
      </c>
      <c r="V30" s="142">
        <v>8611.6229999999996</v>
      </c>
      <c r="W30" s="142">
        <v>11.041</v>
      </c>
      <c r="X30" s="141">
        <v>28</v>
      </c>
      <c r="Y30" s="140">
        <v>33.683</v>
      </c>
      <c r="Z30" s="141">
        <v>48</v>
      </c>
      <c r="AA30" s="141">
        <v>2021</v>
      </c>
      <c r="AB30" s="141">
        <v>2021</v>
      </c>
      <c r="AC30" s="141">
        <v>2021</v>
      </c>
      <c r="AD30" s="141">
        <v>0</v>
      </c>
      <c r="AE30" s="141">
        <v>0</v>
      </c>
      <c r="AF30" s="142">
        <v>0</v>
      </c>
      <c r="AG30" s="142">
        <v>0</v>
      </c>
      <c r="AH30" s="142">
        <v>0</v>
      </c>
      <c r="AI30" s="142">
        <v>0</v>
      </c>
      <c r="AJ30" s="142">
        <v>0</v>
      </c>
      <c r="AK30" s="142">
        <v>0</v>
      </c>
    </row>
    <row r="31" spans="1:37" ht="16.5" customHeight="1">
      <c r="A31" s="222"/>
      <c r="B31" s="222"/>
      <c r="C31" s="222"/>
      <c r="D31" s="222"/>
      <c r="E31" s="143"/>
      <c r="F31" s="136" t="s">
        <v>568</v>
      </c>
      <c r="G31" s="139">
        <v>2025</v>
      </c>
      <c r="H31" s="136" t="s">
        <v>210</v>
      </c>
      <c r="I31" s="221">
        <v>137</v>
      </c>
      <c r="J31" s="221"/>
      <c r="K31" s="140">
        <v>209.7</v>
      </c>
      <c r="L31" s="141">
        <v>283</v>
      </c>
      <c r="M31" s="141">
        <v>12582</v>
      </c>
      <c r="N31" s="141">
        <v>12582</v>
      </c>
      <c r="O31" s="141">
        <v>12582</v>
      </c>
      <c r="P31" s="141">
        <v>0</v>
      </c>
      <c r="Q31" s="141">
        <v>0</v>
      </c>
      <c r="R31" s="142">
        <v>52.381</v>
      </c>
      <c r="S31" s="142">
        <v>0</v>
      </c>
      <c r="T31" s="142">
        <v>40856.597000000002</v>
      </c>
      <c r="U31" s="142">
        <v>0</v>
      </c>
      <c r="V31" s="142">
        <v>40856.597000000002</v>
      </c>
      <c r="W31" s="142">
        <v>52.381</v>
      </c>
      <c r="X31" s="141">
        <v>579</v>
      </c>
      <c r="Y31" s="140">
        <v>1065.433</v>
      </c>
      <c r="Z31" s="141">
        <v>1376</v>
      </c>
      <c r="AA31" s="141">
        <v>63926</v>
      </c>
      <c r="AB31" s="141">
        <v>63926</v>
      </c>
      <c r="AC31" s="141">
        <v>82560</v>
      </c>
      <c r="AD31" s="141">
        <v>0</v>
      </c>
      <c r="AE31" s="141">
        <v>0</v>
      </c>
      <c r="AF31" s="142">
        <v>0</v>
      </c>
      <c r="AG31" s="142">
        <v>0</v>
      </c>
      <c r="AH31" s="142">
        <v>0</v>
      </c>
      <c r="AI31" s="142">
        <v>0</v>
      </c>
      <c r="AJ31" s="142">
        <v>0</v>
      </c>
      <c r="AK31" s="142">
        <v>0</v>
      </c>
    </row>
    <row r="32" spans="1:37" ht="16.5" customHeight="1">
      <c r="A32" s="222"/>
      <c r="B32" s="222"/>
      <c r="C32" s="222"/>
      <c r="D32" s="222"/>
      <c r="E32" s="220" t="s">
        <v>616</v>
      </c>
      <c r="F32" s="220"/>
      <c r="G32" s="220"/>
      <c r="H32" s="220"/>
      <c r="I32" s="221">
        <v>171</v>
      </c>
      <c r="J32" s="221"/>
      <c r="K32" s="140">
        <v>282</v>
      </c>
      <c r="L32" s="141">
        <v>372</v>
      </c>
      <c r="M32" s="141">
        <v>16920</v>
      </c>
      <c r="N32" s="141">
        <v>16920</v>
      </c>
      <c r="O32" s="141">
        <v>16920</v>
      </c>
      <c r="P32" s="141">
        <v>0</v>
      </c>
      <c r="Q32" s="141">
        <v>0</v>
      </c>
      <c r="R32" s="142">
        <v>61.737000000000002</v>
      </c>
      <c r="S32" s="142">
        <v>1.6839999999999999</v>
      </c>
      <c r="T32" s="142">
        <v>48154.58</v>
      </c>
      <c r="U32" s="142">
        <v>1313.6389999999999</v>
      </c>
      <c r="V32" s="142">
        <v>49468.22</v>
      </c>
      <c r="W32" s="142">
        <v>63.421999999999997</v>
      </c>
      <c r="X32" s="141">
        <v>607</v>
      </c>
      <c r="Y32" s="140">
        <v>1099.116</v>
      </c>
      <c r="Z32" s="141">
        <v>1424</v>
      </c>
      <c r="AA32" s="141">
        <v>65947</v>
      </c>
      <c r="AB32" s="141">
        <v>65947</v>
      </c>
      <c r="AC32" s="141">
        <v>84581</v>
      </c>
      <c r="AD32" s="141">
        <v>0</v>
      </c>
      <c r="AE32" s="141">
        <v>0</v>
      </c>
      <c r="AF32" s="142">
        <v>0</v>
      </c>
      <c r="AG32" s="142">
        <v>0</v>
      </c>
      <c r="AH32" s="142">
        <v>0</v>
      </c>
      <c r="AI32" s="142">
        <v>0</v>
      </c>
      <c r="AJ32" s="142">
        <v>0</v>
      </c>
      <c r="AK32" s="142">
        <v>0</v>
      </c>
    </row>
    <row r="33" spans="1:37" ht="16.5" customHeight="1">
      <c r="A33" s="222"/>
      <c r="B33" s="226" t="s">
        <v>527</v>
      </c>
      <c r="C33" s="226"/>
      <c r="D33" s="226"/>
      <c r="E33" s="138" t="s">
        <v>528</v>
      </c>
      <c r="F33" s="136" t="s">
        <v>209</v>
      </c>
      <c r="G33" s="139">
        <v>2025</v>
      </c>
      <c r="H33" s="136" t="s">
        <v>210</v>
      </c>
      <c r="I33" s="221">
        <v>671</v>
      </c>
      <c r="J33" s="221"/>
      <c r="K33" s="140">
        <v>740.21699999999998</v>
      </c>
      <c r="L33" s="141">
        <v>1054</v>
      </c>
      <c r="M33" s="141">
        <v>44413</v>
      </c>
      <c r="N33" s="141">
        <v>44413</v>
      </c>
      <c r="O33" s="141">
        <v>44413</v>
      </c>
      <c r="P33" s="141">
        <v>0</v>
      </c>
      <c r="Q33" s="141">
        <v>0</v>
      </c>
      <c r="R33" s="142">
        <v>46.843000000000004</v>
      </c>
      <c r="S33" s="142">
        <v>8.4320000000000004</v>
      </c>
      <c r="T33" s="142">
        <v>36537.497000000003</v>
      </c>
      <c r="U33" s="142">
        <v>6576.7370000000001</v>
      </c>
      <c r="V33" s="142">
        <v>43114.233</v>
      </c>
      <c r="W33" s="142">
        <v>55.274999999999999</v>
      </c>
      <c r="X33" s="141">
        <v>14607</v>
      </c>
      <c r="Y33" s="140">
        <v>28076.082999999999</v>
      </c>
      <c r="Z33" s="141">
        <v>35346</v>
      </c>
      <c r="AA33" s="141">
        <v>1684565</v>
      </c>
      <c r="AB33" s="141">
        <v>1684565</v>
      </c>
      <c r="AC33" s="141">
        <v>1684565</v>
      </c>
      <c r="AD33" s="141">
        <v>0</v>
      </c>
      <c r="AE33" s="141">
        <v>0</v>
      </c>
      <c r="AF33" s="142">
        <v>0</v>
      </c>
      <c r="AG33" s="142">
        <v>0</v>
      </c>
      <c r="AH33" s="142">
        <v>0</v>
      </c>
      <c r="AI33" s="142">
        <v>0</v>
      </c>
      <c r="AJ33" s="142">
        <v>0</v>
      </c>
      <c r="AK33" s="142">
        <v>0</v>
      </c>
    </row>
    <row r="34" spans="1:37" ht="16.5" customHeight="1">
      <c r="A34" s="222"/>
      <c r="B34" s="222"/>
      <c r="C34" s="222"/>
      <c r="D34" s="222"/>
      <c r="E34" s="143"/>
      <c r="F34" s="136" t="s">
        <v>568</v>
      </c>
      <c r="G34" s="139">
        <v>2025</v>
      </c>
      <c r="H34" s="136" t="s">
        <v>210</v>
      </c>
      <c r="I34" s="221">
        <v>19136</v>
      </c>
      <c r="J34" s="221"/>
      <c r="K34" s="140">
        <v>16608.217000000001</v>
      </c>
      <c r="L34" s="141">
        <v>28091</v>
      </c>
      <c r="M34" s="141">
        <v>996493</v>
      </c>
      <c r="N34" s="141">
        <v>996493</v>
      </c>
      <c r="O34" s="141">
        <v>996493</v>
      </c>
      <c r="P34" s="141">
        <v>0</v>
      </c>
      <c r="Q34" s="141">
        <v>0</v>
      </c>
      <c r="R34" s="142">
        <v>995.28599999999994</v>
      </c>
      <c r="S34" s="142">
        <v>179.15199999999999</v>
      </c>
      <c r="T34" s="142">
        <v>776315.46100000001</v>
      </c>
      <c r="U34" s="142">
        <v>139737.25200000001</v>
      </c>
      <c r="V34" s="142">
        <v>916052.71200000006</v>
      </c>
      <c r="W34" s="142">
        <v>1174.4390000000001</v>
      </c>
      <c r="X34" s="141">
        <v>17338</v>
      </c>
      <c r="Y34" s="140">
        <v>28564.400000000001</v>
      </c>
      <c r="Z34" s="141">
        <v>37756</v>
      </c>
      <c r="AA34" s="141">
        <v>1713864</v>
      </c>
      <c r="AB34" s="141">
        <v>1713864</v>
      </c>
      <c r="AC34" s="141">
        <v>1713864</v>
      </c>
      <c r="AD34" s="141">
        <v>0</v>
      </c>
      <c r="AE34" s="141">
        <v>0</v>
      </c>
      <c r="AF34" s="142">
        <v>0</v>
      </c>
      <c r="AG34" s="142">
        <v>0</v>
      </c>
      <c r="AH34" s="142">
        <v>0</v>
      </c>
      <c r="AI34" s="142">
        <v>0</v>
      </c>
      <c r="AJ34" s="142">
        <v>0</v>
      </c>
      <c r="AK34" s="142">
        <v>0</v>
      </c>
    </row>
    <row r="35" spans="1:37" ht="16.5" customHeight="1">
      <c r="A35" s="222"/>
      <c r="B35" s="222"/>
      <c r="C35" s="222"/>
      <c r="D35" s="222"/>
      <c r="E35" s="220" t="s">
        <v>617</v>
      </c>
      <c r="F35" s="220"/>
      <c r="G35" s="220"/>
      <c r="H35" s="220"/>
      <c r="I35" s="221">
        <v>19807</v>
      </c>
      <c r="J35" s="221"/>
      <c r="K35" s="140">
        <v>17348.434000000001</v>
      </c>
      <c r="L35" s="141">
        <v>29145</v>
      </c>
      <c r="M35" s="141">
        <v>1040906</v>
      </c>
      <c r="N35" s="141">
        <v>1040906</v>
      </c>
      <c r="O35" s="141">
        <v>1040906</v>
      </c>
      <c r="P35" s="141">
        <v>0</v>
      </c>
      <c r="Q35" s="141">
        <v>0</v>
      </c>
      <c r="R35" s="142">
        <v>1042.1289999999999</v>
      </c>
      <c r="S35" s="142">
        <v>187.584</v>
      </c>
      <c r="T35" s="142">
        <v>812852.95799999998</v>
      </c>
      <c r="U35" s="142">
        <v>146313.989</v>
      </c>
      <c r="V35" s="142">
        <v>959166.94499999995</v>
      </c>
      <c r="W35" s="142">
        <v>1229.7139999999999</v>
      </c>
      <c r="X35" s="141">
        <v>31945</v>
      </c>
      <c r="Y35" s="140">
        <v>56640.483</v>
      </c>
      <c r="Z35" s="141">
        <v>73102</v>
      </c>
      <c r="AA35" s="141">
        <v>3398429</v>
      </c>
      <c r="AB35" s="141">
        <v>3398429</v>
      </c>
      <c r="AC35" s="141">
        <v>3398429</v>
      </c>
      <c r="AD35" s="141">
        <v>0</v>
      </c>
      <c r="AE35" s="141">
        <v>0</v>
      </c>
      <c r="AF35" s="142">
        <v>0</v>
      </c>
      <c r="AG35" s="142">
        <v>0</v>
      </c>
      <c r="AH35" s="142">
        <v>0</v>
      </c>
      <c r="AI35" s="142">
        <v>0</v>
      </c>
      <c r="AJ35" s="142">
        <v>0</v>
      </c>
      <c r="AK35" s="142">
        <v>0</v>
      </c>
    </row>
    <row r="36" spans="1:37" ht="16.5" customHeight="1">
      <c r="A36" s="222"/>
      <c r="B36" s="226" t="s">
        <v>529</v>
      </c>
      <c r="C36" s="226"/>
      <c r="D36" s="226"/>
      <c r="E36" s="138" t="s">
        <v>530</v>
      </c>
      <c r="F36" s="136" t="s">
        <v>209</v>
      </c>
      <c r="G36" s="139">
        <v>2025</v>
      </c>
      <c r="H36" s="136" t="s">
        <v>210</v>
      </c>
      <c r="I36" s="221">
        <v>15118</v>
      </c>
      <c r="J36" s="221"/>
      <c r="K36" s="140">
        <v>15519.282999999999</v>
      </c>
      <c r="L36" s="141">
        <v>23031</v>
      </c>
      <c r="M36" s="141">
        <v>931157</v>
      </c>
      <c r="N36" s="141">
        <v>931157</v>
      </c>
      <c r="O36" s="141">
        <v>931157</v>
      </c>
      <c r="P36" s="141">
        <v>0</v>
      </c>
      <c r="Q36" s="141">
        <v>0</v>
      </c>
      <c r="R36" s="142">
        <v>1010.1319999999999</v>
      </c>
      <c r="S36" s="142">
        <v>181.82400000000001</v>
      </c>
      <c r="T36" s="142">
        <v>787895.228</v>
      </c>
      <c r="U36" s="142">
        <v>141821.356</v>
      </c>
      <c r="V36" s="142">
        <v>929716.58400000003</v>
      </c>
      <c r="W36" s="142">
        <v>1191.9570000000001</v>
      </c>
      <c r="X36" s="141">
        <v>201518</v>
      </c>
      <c r="Y36" s="140">
        <v>494636</v>
      </c>
      <c r="Z36" s="141">
        <v>591157</v>
      </c>
      <c r="AA36" s="141">
        <v>29678160</v>
      </c>
      <c r="AB36" s="141">
        <v>29678160</v>
      </c>
      <c r="AC36" s="141">
        <v>29678160</v>
      </c>
      <c r="AD36" s="141">
        <v>0</v>
      </c>
      <c r="AE36" s="141">
        <v>0</v>
      </c>
      <c r="AF36" s="142">
        <v>0</v>
      </c>
      <c r="AG36" s="142">
        <v>0</v>
      </c>
      <c r="AH36" s="142">
        <v>0</v>
      </c>
      <c r="AI36" s="142">
        <v>0</v>
      </c>
      <c r="AJ36" s="142">
        <v>0</v>
      </c>
      <c r="AK36" s="142">
        <v>0</v>
      </c>
    </row>
    <row r="37" spans="1:37" ht="16.5" customHeight="1">
      <c r="A37" s="222"/>
      <c r="B37" s="222"/>
      <c r="C37" s="222"/>
      <c r="D37" s="222"/>
      <c r="E37" s="143"/>
      <c r="F37" s="136" t="s">
        <v>568</v>
      </c>
      <c r="G37" s="139">
        <v>2025</v>
      </c>
      <c r="H37" s="136" t="s">
        <v>210</v>
      </c>
      <c r="I37" s="221">
        <v>30846</v>
      </c>
      <c r="J37" s="221"/>
      <c r="K37" s="140">
        <v>28229.3</v>
      </c>
      <c r="L37" s="141">
        <v>46610</v>
      </c>
      <c r="M37" s="141">
        <v>1693758</v>
      </c>
      <c r="N37" s="141">
        <v>1693758</v>
      </c>
      <c r="O37" s="141">
        <v>1693758</v>
      </c>
      <c r="P37" s="141">
        <v>0</v>
      </c>
      <c r="Q37" s="141">
        <v>0</v>
      </c>
      <c r="R37" s="142">
        <v>1670.7</v>
      </c>
      <c r="S37" s="142">
        <v>300.72699999999998</v>
      </c>
      <c r="T37" s="142">
        <v>1303132.5390000001</v>
      </c>
      <c r="U37" s="142">
        <v>234564.56599999999</v>
      </c>
      <c r="V37" s="142">
        <v>1537697.105</v>
      </c>
      <c r="W37" s="142">
        <v>1971.4269999999999</v>
      </c>
      <c r="X37" s="141">
        <v>257034</v>
      </c>
      <c r="Y37" s="140">
        <v>424215.26699999999</v>
      </c>
      <c r="Z37" s="141">
        <v>559617</v>
      </c>
      <c r="AA37" s="141">
        <v>25452916</v>
      </c>
      <c r="AB37" s="141">
        <v>25452916</v>
      </c>
      <c r="AC37" s="141">
        <v>25452916</v>
      </c>
      <c r="AD37" s="141">
        <v>0</v>
      </c>
      <c r="AE37" s="141">
        <v>0</v>
      </c>
      <c r="AF37" s="142">
        <v>0</v>
      </c>
      <c r="AG37" s="142">
        <v>0</v>
      </c>
      <c r="AH37" s="142">
        <v>0</v>
      </c>
      <c r="AI37" s="142">
        <v>0</v>
      </c>
      <c r="AJ37" s="142">
        <v>0</v>
      </c>
      <c r="AK37" s="142">
        <v>0</v>
      </c>
    </row>
    <row r="38" spans="1:37" ht="16.5" customHeight="1">
      <c r="A38" s="222"/>
      <c r="B38" s="222"/>
      <c r="C38" s="222"/>
      <c r="D38" s="222"/>
      <c r="E38" s="220" t="s">
        <v>618</v>
      </c>
      <c r="F38" s="220"/>
      <c r="G38" s="220"/>
      <c r="H38" s="220"/>
      <c r="I38" s="221">
        <v>45964</v>
      </c>
      <c r="J38" s="221"/>
      <c r="K38" s="140">
        <v>43748.582999999999</v>
      </c>
      <c r="L38" s="141">
        <v>69641</v>
      </c>
      <c r="M38" s="141">
        <v>2624915</v>
      </c>
      <c r="N38" s="141">
        <v>2624915</v>
      </c>
      <c r="O38" s="141">
        <v>2624915</v>
      </c>
      <c r="P38" s="141">
        <v>0</v>
      </c>
      <c r="Q38" s="141">
        <v>0</v>
      </c>
      <c r="R38" s="142">
        <v>2680.8319999999999</v>
      </c>
      <c r="S38" s="142">
        <v>482.55099999999999</v>
      </c>
      <c r="T38" s="142">
        <v>2091027.767</v>
      </c>
      <c r="U38" s="142">
        <v>376385.92200000002</v>
      </c>
      <c r="V38" s="142">
        <v>2467413.6889999998</v>
      </c>
      <c r="W38" s="142">
        <v>3163.384</v>
      </c>
      <c r="X38" s="141">
        <v>458552</v>
      </c>
      <c r="Y38" s="140">
        <v>918851.26699999999</v>
      </c>
      <c r="Z38" s="141">
        <v>1150774</v>
      </c>
      <c r="AA38" s="141">
        <v>55131076</v>
      </c>
      <c r="AB38" s="141">
        <v>55131076</v>
      </c>
      <c r="AC38" s="141">
        <v>55131076</v>
      </c>
      <c r="AD38" s="141">
        <v>0</v>
      </c>
      <c r="AE38" s="141">
        <v>0</v>
      </c>
      <c r="AF38" s="142">
        <v>0</v>
      </c>
      <c r="AG38" s="142">
        <v>0</v>
      </c>
      <c r="AH38" s="142">
        <v>0</v>
      </c>
      <c r="AI38" s="142">
        <v>0</v>
      </c>
      <c r="AJ38" s="142">
        <v>0</v>
      </c>
      <c r="AK38" s="142">
        <v>0</v>
      </c>
    </row>
    <row r="39" spans="1:37" ht="16.5" customHeight="1">
      <c r="A39" s="220" t="s">
        <v>566</v>
      </c>
      <c r="B39" s="220"/>
      <c r="C39" s="220"/>
      <c r="D39" s="220"/>
      <c r="E39" s="220"/>
      <c r="F39" s="220"/>
      <c r="G39" s="220"/>
      <c r="H39" s="220"/>
      <c r="I39" s="221">
        <v>71231</v>
      </c>
      <c r="J39" s="221"/>
      <c r="K39" s="140">
        <v>66296.05</v>
      </c>
      <c r="L39" s="141">
        <v>107270</v>
      </c>
      <c r="M39" s="141">
        <v>3977763</v>
      </c>
      <c r="N39" s="141">
        <v>3977763</v>
      </c>
      <c r="O39" s="141">
        <v>3974759</v>
      </c>
      <c r="P39" s="141">
        <v>0</v>
      </c>
      <c r="Q39" s="141">
        <v>0</v>
      </c>
      <c r="R39" s="142">
        <v>4247.1899999999996</v>
      </c>
      <c r="S39" s="142">
        <v>717.95699999999999</v>
      </c>
      <c r="T39" s="142">
        <v>3312775.1749999998</v>
      </c>
      <c r="U39" s="142">
        <v>560000.29599999997</v>
      </c>
      <c r="V39" s="142">
        <v>3872775.469</v>
      </c>
      <c r="W39" s="142">
        <v>4965.1490000000003</v>
      </c>
      <c r="X39" s="141">
        <v>519780</v>
      </c>
      <c r="Y39" s="140">
        <v>1026180.416</v>
      </c>
      <c r="Z39" s="141">
        <v>1290498</v>
      </c>
      <c r="AA39" s="141">
        <v>61570825</v>
      </c>
      <c r="AB39" s="141">
        <v>61570825</v>
      </c>
      <c r="AC39" s="141">
        <v>61228005</v>
      </c>
      <c r="AD39" s="141">
        <v>0</v>
      </c>
      <c r="AE39" s="141">
        <v>0</v>
      </c>
      <c r="AF39" s="142">
        <v>0</v>
      </c>
      <c r="AG39" s="142">
        <v>0</v>
      </c>
      <c r="AH39" s="142">
        <v>0</v>
      </c>
      <c r="AI39" s="142">
        <v>0</v>
      </c>
      <c r="AJ39" s="142">
        <v>0</v>
      </c>
      <c r="AK39" s="142">
        <v>0</v>
      </c>
    </row>
  </sheetData>
  <mergeCells count="57">
    <mergeCell ref="D16:I16"/>
    <mergeCell ref="D2:I3"/>
    <mergeCell ref="A3:B8"/>
    <mergeCell ref="D4:I4"/>
    <mergeCell ref="D6:I6"/>
    <mergeCell ref="D7:I7"/>
    <mergeCell ref="D8:I8"/>
    <mergeCell ref="D10:I10"/>
    <mergeCell ref="D11:I11"/>
    <mergeCell ref="D12:I12"/>
    <mergeCell ref="D13:I13"/>
    <mergeCell ref="D15:I15"/>
    <mergeCell ref="I18:W18"/>
    <mergeCell ref="X18:AK18"/>
    <mergeCell ref="I19:W19"/>
    <mergeCell ref="X19:AK19"/>
    <mergeCell ref="B20:D20"/>
    <mergeCell ref="I20:J20"/>
    <mergeCell ref="B24:D24"/>
    <mergeCell ref="I24:J24"/>
    <mergeCell ref="B25:D26"/>
    <mergeCell ref="I25:J25"/>
    <mergeCell ref="E26:H26"/>
    <mergeCell ref="I26:J26"/>
    <mergeCell ref="B21:D21"/>
    <mergeCell ref="I21:J21"/>
    <mergeCell ref="B22:D23"/>
    <mergeCell ref="I22:J22"/>
    <mergeCell ref="E23:H23"/>
    <mergeCell ref="I23:J23"/>
    <mergeCell ref="I27:J27"/>
    <mergeCell ref="B30:D30"/>
    <mergeCell ref="I30:J30"/>
    <mergeCell ref="B31:D32"/>
    <mergeCell ref="I31:J31"/>
    <mergeCell ref="E32:H32"/>
    <mergeCell ref="I32:J32"/>
    <mergeCell ref="B28:D29"/>
    <mergeCell ref="I28:J28"/>
    <mergeCell ref="E29:H29"/>
    <mergeCell ref="I29:J29"/>
    <mergeCell ref="A39:H39"/>
    <mergeCell ref="I39:J39"/>
    <mergeCell ref="B36:D36"/>
    <mergeCell ref="I36:J36"/>
    <mergeCell ref="B37:D38"/>
    <mergeCell ref="I37:J37"/>
    <mergeCell ref="E38:H38"/>
    <mergeCell ref="I38:J38"/>
    <mergeCell ref="A22:A38"/>
    <mergeCell ref="B33:D33"/>
    <mergeCell ref="I33:J33"/>
    <mergeCell ref="B34:D35"/>
    <mergeCell ref="I34:J34"/>
    <mergeCell ref="E35:H35"/>
    <mergeCell ref="I35:J35"/>
    <mergeCell ref="B27:D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D6BC-6A15-4239-B1BF-601DA64A7BC2}">
  <sheetPr>
    <tabColor rgb="FFD7E4BD"/>
  </sheetPr>
  <dimension ref="A2:O37"/>
  <sheetViews>
    <sheetView zoomScale="80" zoomScaleNormal="80" zoomScalePageLayoutView="60" workbookViewId="0">
      <pane ySplit="6" topLeftCell="A23" activePane="bottomLeft" state="frozen"/>
      <selection pane="bottomLeft" activeCell="D37" sqref="D37:I37"/>
      <selection activeCell="BM214" sqref="BM214"/>
    </sheetView>
  </sheetViews>
  <sheetFormatPr defaultColWidth="10.140625" defaultRowHeight="13.9"/>
  <cols>
    <col min="1" max="2" width="10.140625" style="144"/>
    <col min="3" max="3" width="33.5703125" style="144" customWidth="1"/>
    <col min="4" max="4" width="20.5703125" style="144" customWidth="1"/>
    <col min="5" max="5" width="20.42578125" style="144" customWidth="1"/>
    <col min="6" max="6" width="18.140625" style="144" bestFit="1" customWidth="1"/>
    <col min="7" max="8" width="21.140625" style="144" customWidth="1"/>
    <col min="9" max="9" width="20.42578125" style="144" customWidth="1"/>
    <col min="10" max="10" width="25" style="144" customWidth="1"/>
    <col min="11" max="11" width="11.140625" style="144" hidden="1" customWidth="1"/>
    <col min="12" max="12" width="11" style="144" hidden="1" customWidth="1"/>
    <col min="13" max="13" width="11.140625" style="144" hidden="1" customWidth="1"/>
    <col min="14" max="14" width="0" style="144" hidden="1" customWidth="1"/>
    <col min="15" max="16384" width="10.140625" style="144"/>
  </cols>
  <sheetData>
    <row r="2" spans="1:15" ht="14.45" thickBot="1"/>
    <row r="3" spans="1:15" ht="18" customHeight="1" thickTop="1" thickBot="1">
      <c r="B3" s="228" t="s">
        <v>619</v>
      </c>
      <c r="C3" s="229"/>
      <c r="D3" s="229"/>
      <c r="E3" s="229"/>
      <c r="F3" s="229"/>
      <c r="G3" s="229"/>
      <c r="H3" s="229"/>
      <c r="I3" s="229"/>
      <c r="J3" s="230"/>
    </row>
    <row r="4" spans="1:15" ht="15" thickTop="1" thickBot="1"/>
    <row r="5" spans="1:15" s="145" customFormat="1" ht="20.25" customHeight="1" thickTop="1" thickBot="1">
      <c r="B5" s="227" t="s">
        <v>620</v>
      </c>
      <c r="C5" s="227" t="s">
        <v>621</v>
      </c>
      <c r="D5" s="231" t="s">
        <v>622</v>
      </c>
      <c r="E5" s="231"/>
      <c r="F5" s="231"/>
      <c r="G5" s="232" t="s">
        <v>623</v>
      </c>
      <c r="H5" s="232"/>
      <c r="I5" s="232"/>
      <c r="J5" s="233" t="s">
        <v>624</v>
      </c>
    </row>
    <row r="6" spans="1:15" ht="27" customHeight="1" thickTop="1" thickBot="1">
      <c r="A6" s="145"/>
      <c r="B6" s="227"/>
      <c r="C6" s="227"/>
      <c r="D6" s="146" t="s">
        <v>625</v>
      </c>
      <c r="E6" s="146" t="s">
        <v>626</v>
      </c>
      <c r="F6" s="147" t="s">
        <v>627</v>
      </c>
      <c r="G6" s="146" t="s">
        <v>625</v>
      </c>
      <c r="H6" s="146" t="s">
        <v>626</v>
      </c>
      <c r="I6" s="147" t="s">
        <v>628</v>
      </c>
      <c r="J6" s="233"/>
    </row>
    <row r="7" spans="1:15" ht="15" customHeight="1" thickTop="1">
      <c r="B7" s="148">
        <v>1</v>
      </c>
      <c r="C7" s="149" t="s">
        <v>629</v>
      </c>
      <c r="D7" s="150">
        <f>'[3]Outbound-Group'!BB10</f>
        <v>0</v>
      </c>
      <c r="E7" s="150">
        <f>'[3]Outbound-Group'!BC10</f>
        <v>0</v>
      </c>
      <c r="F7" s="151">
        <f>D7-E7</f>
        <v>0</v>
      </c>
      <c r="G7" s="152">
        <f>'[3]Inbound-Group'!AY10</f>
        <v>211.95128409112002</v>
      </c>
      <c r="H7" s="152">
        <f>'[3]Inbound-Group'!AZ10</f>
        <v>140.059384765625</v>
      </c>
      <c r="I7" s="151">
        <f>G7-H7</f>
        <v>71.891899325495018</v>
      </c>
      <c r="J7" s="153">
        <f>F7-I7</f>
        <v>-71.891899325495018</v>
      </c>
      <c r="K7" s="154">
        <f>'[3]Inbound-Group'!AY10</f>
        <v>211.95128409112002</v>
      </c>
      <c r="L7" s="154">
        <f>'[3]Inbound-Group'!AZ10</f>
        <v>140.059384765625</v>
      </c>
      <c r="M7" s="154">
        <f t="shared" ref="M7:M23" si="0">K7-L7</f>
        <v>71.891899325495018</v>
      </c>
      <c r="N7" s="154">
        <f t="shared" ref="N7:N23" si="1">I7-M7</f>
        <v>0</v>
      </c>
      <c r="O7" s="155"/>
    </row>
    <row r="8" spans="1:15" ht="15" customHeight="1">
      <c r="B8" s="148">
        <f>B7+1</f>
        <v>2</v>
      </c>
      <c r="C8" s="149" t="s">
        <v>630</v>
      </c>
      <c r="D8" s="150">
        <f>'[3]Outbound-Group'!BB30</f>
        <v>0</v>
      </c>
      <c r="E8" s="150">
        <f>'[3]Outbound-Group'!BC30</f>
        <v>0</v>
      </c>
      <c r="F8" s="151">
        <f>D8-E8</f>
        <v>0</v>
      </c>
      <c r="G8" s="152">
        <f>'[3]Inbound-Group'!AY30</f>
        <v>0</v>
      </c>
      <c r="H8" s="152">
        <f>'[3]Inbound-Group'!AZ30</f>
        <v>0</v>
      </c>
      <c r="I8" s="151">
        <f t="shared" ref="I8:I33" si="2">G8-H8</f>
        <v>0</v>
      </c>
      <c r="J8" s="153">
        <f t="shared" ref="J8:J33" si="3">F8-I8</f>
        <v>0</v>
      </c>
      <c r="K8" s="154"/>
      <c r="L8" s="154"/>
      <c r="M8" s="154"/>
      <c r="N8" s="154"/>
      <c r="O8" s="155"/>
    </row>
    <row r="9" spans="1:15" ht="15" customHeight="1">
      <c r="B9" s="148">
        <f>B8+1</f>
        <v>3</v>
      </c>
      <c r="C9" s="149" t="s">
        <v>631</v>
      </c>
      <c r="D9" s="150">
        <f>'[3]Outbound-Group'!BB33</f>
        <v>0</v>
      </c>
      <c r="E9" s="150">
        <f>'[3]Outbound-Group'!BC33</f>
        <v>0</v>
      </c>
      <c r="F9" s="151">
        <f t="shared" ref="F9:F33" si="4">D9-E9</f>
        <v>0</v>
      </c>
      <c r="G9" s="152">
        <f>'[3]Inbound-Group'!AY33</f>
        <v>0</v>
      </c>
      <c r="H9" s="152">
        <f>'[3]Inbound-Group'!AZ33</f>
        <v>0</v>
      </c>
      <c r="I9" s="151">
        <f t="shared" si="2"/>
        <v>0</v>
      </c>
      <c r="J9" s="153">
        <f t="shared" si="3"/>
        <v>0</v>
      </c>
      <c r="K9" s="154"/>
      <c r="L9" s="154"/>
      <c r="M9" s="154"/>
      <c r="N9" s="154"/>
      <c r="O9" s="155"/>
    </row>
    <row r="10" spans="1:15" ht="15" customHeight="1">
      <c r="B10" s="156">
        <f>B9+1</f>
        <v>4</v>
      </c>
      <c r="C10" s="157" t="s">
        <v>632</v>
      </c>
      <c r="D10" s="158">
        <f>'[3]Outbound-Group'!BB57+'[3]Outbound-Group'!BB46</f>
        <v>253.90191807693998</v>
      </c>
      <c r="E10" s="158">
        <f>'[3]Outbound-Group'!BC57+'[3]Outbound-Group'!BC46</f>
        <v>253.99479687500002</v>
      </c>
      <c r="F10" s="159">
        <f t="shared" si="4"/>
        <v>-9.2878798060041845E-2</v>
      </c>
      <c r="G10" s="160">
        <f>'[3]Inbound-Group'!AY57+'[3]Inbound-Group'!AY46</f>
        <v>13556.42407745038</v>
      </c>
      <c r="H10" s="160">
        <f>'[3]Inbound-Group'!AZ57+'[3]Inbound-Group'!AZ46</f>
        <v>13556.0905625</v>
      </c>
      <c r="I10" s="159">
        <f t="shared" si="2"/>
        <v>0.33351495038004941</v>
      </c>
      <c r="J10" s="161">
        <f t="shared" si="3"/>
        <v>-0.42639374844009126</v>
      </c>
      <c r="K10" s="154">
        <f>'[3]Inbound-Group'!AY57+'[3]Inbound-Group'!AY46</f>
        <v>13556.42407745038</v>
      </c>
      <c r="L10" s="154">
        <f>'[3]Inbound-Group'!AZ57+'[3]Inbound-Group'!AZ46</f>
        <v>13556.0905625</v>
      </c>
      <c r="M10" s="154">
        <f t="shared" si="0"/>
        <v>0.33351495038004941</v>
      </c>
      <c r="N10" s="154">
        <f t="shared" si="1"/>
        <v>0</v>
      </c>
      <c r="O10" s="155"/>
    </row>
    <row r="11" spans="1:15" ht="15" customHeight="1">
      <c r="B11" s="148">
        <f t="shared" ref="B11:B29" si="5">B10+1</f>
        <v>5</v>
      </c>
      <c r="C11" s="180" t="s">
        <v>633</v>
      </c>
      <c r="D11" s="181">
        <f>'[3]Outbound-Group'!BB53</f>
        <v>146.22727756</v>
      </c>
      <c r="E11" s="181">
        <f>'[3]Outbound-Group'!BC53</f>
        <v>333.33333333333331</v>
      </c>
      <c r="F11" s="182">
        <f t="shared" si="4"/>
        <v>-187.10605577333331</v>
      </c>
      <c r="G11" s="183">
        <f>'[3]Inbound-Group'!AY53</f>
        <v>146.12319620766002</v>
      </c>
      <c r="H11" s="183">
        <f>'[3]Inbound-Group'!AZ53</f>
        <v>333.33333333333331</v>
      </c>
      <c r="I11" s="182">
        <f t="shared" si="2"/>
        <v>-187.2101371256733</v>
      </c>
      <c r="J11" s="161">
        <f t="shared" si="3"/>
        <v>0.10408135233998905</v>
      </c>
      <c r="K11" s="154"/>
      <c r="L11" s="154"/>
      <c r="M11" s="154"/>
      <c r="N11" s="154"/>
      <c r="O11" s="155"/>
    </row>
    <row r="12" spans="1:15" ht="15" customHeight="1">
      <c r="B12" s="156">
        <f t="shared" si="5"/>
        <v>6</v>
      </c>
      <c r="C12" s="157" t="s">
        <v>634</v>
      </c>
      <c r="D12" s="158">
        <f>'[3]Outbound-Group'!BB60</f>
        <v>3.999924656E-2</v>
      </c>
      <c r="E12" s="158">
        <f>'[3]Outbound-Group'!BC60</f>
        <v>0.04</v>
      </c>
      <c r="F12" s="159">
        <f t="shared" si="4"/>
        <v>-7.5344000000088229E-7</v>
      </c>
      <c r="G12" s="160">
        <f>'[3]Inbound-Group'!AY60</f>
        <v>94.737647780999993</v>
      </c>
      <c r="H12" s="160">
        <f>'[3]Inbound-Group'!AZ60</f>
        <v>94.73830078124999</v>
      </c>
      <c r="I12" s="159">
        <f t="shared" si="2"/>
        <v>-6.5300024999714879E-4</v>
      </c>
      <c r="J12" s="161">
        <f t="shared" si="3"/>
        <v>6.522468099971479E-4</v>
      </c>
      <c r="K12" s="154">
        <f>'[3]Inbound-Group'!AY60</f>
        <v>94.737647780999993</v>
      </c>
      <c r="L12" s="154">
        <f>'[3]Inbound-Group'!AZ60</f>
        <v>94.73830078124999</v>
      </c>
      <c r="M12" s="154">
        <f t="shared" si="0"/>
        <v>-6.5300024999714879E-4</v>
      </c>
      <c r="N12" s="154">
        <f t="shared" si="1"/>
        <v>0</v>
      </c>
      <c r="O12" s="155"/>
    </row>
    <row r="13" spans="1:15" ht="15" customHeight="1">
      <c r="B13" s="148">
        <f t="shared" si="5"/>
        <v>7</v>
      </c>
      <c r="C13" s="157" t="s">
        <v>635</v>
      </c>
      <c r="D13" s="158">
        <f>'[3]Outbound-Group'!BB95</f>
        <v>291.16296603030003</v>
      </c>
      <c r="E13" s="158">
        <f>'[3]Outbound-Group'!BC95</f>
        <v>287.31064083593753</v>
      </c>
      <c r="F13" s="159">
        <f t="shared" si="4"/>
        <v>3.8523251943624928</v>
      </c>
      <c r="G13" s="160">
        <f>'[3]Inbound-Group'!AY95</f>
        <v>590.96817404002002</v>
      </c>
      <c r="H13" s="160">
        <f>'[3]Inbound-Group'!AZ95</f>
        <v>500.85552500000006</v>
      </c>
      <c r="I13" s="159">
        <f t="shared" si="2"/>
        <v>90.11264904001996</v>
      </c>
      <c r="J13" s="161">
        <f t="shared" si="3"/>
        <v>-86.260323845657467</v>
      </c>
      <c r="K13" s="154"/>
      <c r="L13" s="154"/>
      <c r="M13" s="154"/>
      <c r="N13" s="154"/>
      <c r="O13" s="155"/>
    </row>
    <row r="14" spans="1:15" ht="15" customHeight="1">
      <c r="B14" s="156">
        <f t="shared" si="5"/>
        <v>8</v>
      </c>
      <c r="C14" s="180" t="s">
        <v>636</v>
      </c>
      <c r="D14" s="181">
        <f>'[3]Outbound-Group'!BB107</f>
        <v>50.261648485999999</v>
      </c>
      <c r="E14" s="181">
        <f>'[3]Outbound-Group'!BC107</f>
        <v>49.669339885898829</v>
      </c>
      <c r="F14" s="182">
        <f t="shared" si="4"/>
        <v>0.5923086001011697</v>
      </c>
      <c r="G14" s="183">
        <f>'[3]Inbound-Group'!AY107</f>
        <v>2793.3308171056401</v>
      </c>
      <c r="H14" s="183">
        <f>'[3]Inbound-Group'!AZ107</f>
        <v>2809.9064643192041</v>
      </c>
      <c r="I14" s="182">
        <f t="shared" si="2"/>
        <v>-16.575647213564025</v>
      </c>
      <c r="J14" s="161">
        <f t="shared" si="3"/>
        <v>17.167955813665195</v>
      </c>
      <c r="K14" s="154">
        <f>'[3]Inbound-Group'!AY107</f>
        <v>2793.3308171056401</v>
      </c>
      <c r="L14" s="154">
        <f>'[3]Inbound-Group'!AZ107</f>
        <v>2809.9064643192041</v>
      </c>
      <c r="M14" s="154">
        <f t="shared" si="0"/>
        <v>-16.575647213564025</v>
      </c>
      <c r="N14" s="154">
        <f t="shared" si="1"/>
        <v>0</v>
      </c>
      <c r="O14" s="155"/>
    </row>
    <row r="15" spans="1:15" ht="15" customHeight="1">
      <c r="B15" s="148">
        <f t="shared" si="5"/>
        <v>9</v>
      </c>
      <c r="C15" s="157" t="s">
        <v>637</v>
      </c>
      <c r="D15" s="158">
        <f>'[3]Outbound-Group'!BB113</f>
        <v>0</v>
      </c>
      <c r="E15" s="158">
        <f>'[3]Outbound-Group'!BC113</f>
        <v>0</v>
      </c>
      <c r="F15" s="159">
        <f t="shared" si="4"/>
        <v>0</v>
      </c>
      <c r="G15" s="160">
        <f>'[3]Inbound-Group'!AY113</f>
        <v>0</v>
      </c>
      <c r="H15" s="160">
        <f>'[3]Inbound-Group'!AZ113</f>
        <v>0</v>
      </c>
      <c r="I15" s="159">
        <f t="shared" si="2"/>
        <v>0</v>
      </c>
      <c r="J15" s="161">
        <f t="shared" si="3"/>
        <v>0</v>
      </c>
      <c r="K15" s="154"/>
      <c r="L15" s="154"/>
      <c r="M15" s="154"/>
      <c r="N15" s="154"/>
      <c r="O15" s="155"/>
    </row>
    <row r="16" spans="1:15" ht="15" customHeight="1">
      <c r="B16" s="156">
        <f t="shared" si="5"/>
        <v>10</v>
      </c>
      <c r="C16" s="157" t="s">
        <v>638</v>
      </c>
      <c r="D16" s="158">
        <f>'[3]Outbound-Group'!BB129</f>
        <v>2265.9275319967996</v>
      </c>
      <c r="E16" s="158">
        <f>'[3]Outbound-Group'!BC129</f>
        <v>1199.9750351757812</v>
      </c>
      <c r="F16" s="159">
        <f t="shared" si="4"/>
        <v>1065.9524968210185</v>
      </c>
      <c r="G16" s="160">
        <f>'[3]Inbound-Group'!AY129</f>
        <v>7466.1644814131196</v>
      </c>
      <c r="H16" s="160">
        <f>'[3]Inbound-Group'!AZ129</f>
        <v>2818.8022164843751</v>
      </c>
      <c r="I16" s="159">
        <f t="shared" si="2"/>
        <v>4647.3622649287445</v>
      </c>
      <c r="J16" s="161">
        <f t="shared" si="3"/>
        <v>-3581.409768107726</v>
      </c>
      <c r="K16" s="154">
        <f>'[3]Inbound-Group'!AY129</f>
        <v>7466.1644814131196</v>
      </c>
      <c r="L16" s="154">
        <f>'[3]Inbound-Group'!AZ129</f>
        <v>2818.8022164843751</v>
      </c>
      <c r="M16" s="154">
        <f t="shared" si="0"/>
        <v>4647.3622649287445</v>
      </c>
      <c r="N16" s="154">
        <f t="shared" si="1"/>
        <v>0</v>
      </c>
      <c r="O16" s="155"/>
    </row>
    <row r="17" spans="2:15" ht="15" customHeight="1">
      <c r="B17" s="148">
        <f t="shared" si="5"/>
        <v>11</v>
      </c>
      <c r="C17" s="180" t="s">
        <v>639</v>
      </c>
      <c r="D17" s="181">
        <f>'[3]Outbound-Group'!BB156</f>
        <v>179.72944448605998</v>
      </c>
      <c r="E17" s="181">
        <f>'[3]Outbound-Group'!BC156</f>
        <v>396.06226401953126</v>
      </c>
      <c r="F17" s="182">
        <f>D17-E17</f>
        <v>-216.33281953347128</v>
      </c>
      <c r="G17" s="183">
        <f>'[3]Inbound-Group'!AY155</f>
        <v>3717.6592724331199</v>
      </c>
      <c r="H17" s="183">
        <f>'[3]Inbound-Group'!AZ155</f>
        <v>5533.3721132812498</v>
      </c>
      <c r="I17" s="182">
        <f t="shared" si="2"/>
        <v>-1815.7128408481299</v>
      </c>
      <c r="J17" s="184">
        <f t="shared" si="3"/>
        <v>1599.3800213146585</v>
      </c>
      <c r="K17" s="154" t="e">
        <f>'[3]Inbound-Group'!#REF!+'[3]Inbound-Group'!#REF!</f>
        <v>#REF!</v>
      </c>
      <c r="L17" s="154" t="e">
        <f>'[3]Inbound-Group'!#REF!+'[3]Inbound-Group'!#REF!</f>
        <v>#REF!</v>
      </c>
      <c r="M17" s="154" t="e">
        <f t="shared" si="0"/>
        <v>#REF!</v>
      </c>
      <c r="N17" s="154" t="e">
        <f t="shared" si="1"/>
        <v>#REF!</v>
      </c>
      <c r="O17" s="155"/>
    </row>
    <row r="18" spans="2:15" ht="15" customHeight="1">
      <c r="B18" s="156">
        <f t="shared" si="5"/>
        <v>12</v>
      </c>
      <c r="C18" s="157" t="s">
        <v>640</v>
      </c>
      <c r="D18" s="158">
        <f>'[3]Outbound-Group'!BB157</f>
        <v>139.62644342920001</v>
      </c>
      <c r="E18" s="158">
        <f>'[3]Outbound-Group'!BC157</f>
        <v>1939.7119308593749</v>
      </c>
      <c r="F18" s="159">
        <f t="shared" si="4"/>
        <v>-1800.0854874301749</v>
      </c>
      <c r="G18" s="160">
        <f>'[3]Inbound-Group'!AY156</f>
        <v>246.73197080279999</v>
      </c>
      <c r="H18" s="160">
        <f>'[3]Inbound-Group'!AZ156</f>
        <v>5242.7584999999999</v>
      </c>
      <c r="I18" s="159">
        <f t="shared" si="2"/>
        <v>-4996.0265291972</v>
      </c>
      <c r="J18" s="161">
        <f t="shared" si="3"/>
        <v>3195.9410417670251</v>
      </c>
      <c r="K18" s="154">
        <f>'[3]Inbound-Group'!AY156</f>
        <v>246.73197080279999</v>
      </c>
      <c r="L18" s="154">
        <f>'[3]Inbound-Group'!AZ156</f>
        <v>5242.7584999999999</v>
      </c>
      <c r="M18" s="154">
        <f t="shared" si="0"/>
        <v>-4996.0265291972</v>
      </c>
      <c r="N18" s="154">
        <f t="shared" si="1"/>
        <v>0</v>
      </c>
      <c r="O18" s="155"/>
    </row>
    <row r="19" spans="2:15" ht="15" customHeight="1">
      <c r="B19" s="148">
        <f t="shared" si="5"/>
        <v>13</v>
      </c>
      <c r="C19" s="157" t="s">
        <v>641</v>
      </c>
      <c r="D19" s="158">
        <f>'[3]Outbound-Group'!BB161</f>
        <v>0</v>
      </c>
      <c r="E19" s="158">
        <f>'[3]Outbound-Group'!BC160</f>
        <v>0</v>
      </c>
      <c r="F19" s="159">
        <f t="shared" si="4"/>
        <v>0</v>
      </c>
      <c r="G19" s="160">
        <f>'[3]Inbound-Group'!AY160</f>
        <v>0</v>
      </c>
      <c r="H19" s="160">
        <f>'[3]Inbound-Group'!AZ160</f>
        <v>0</v>
      </c>
      <c r="I19" s="159">
        <f t="shared" si="2"/>
        <v>0</v>
      </c>
      <c r="J19" s="161">
        <f t="shared" si="3"/>
        <v>0</v>
      </c>
      <c r="K19" s="154">
        <f>'[3]Inbound-Group'!AY160</f>
        <v>0</v>
      </c>
      <c r="L19" s="154">
        <f>'[3]Inbound-Group'!AZ160</f>
        <v>0</v>
      </c>
      <c r="M19" s="154">
        <f t="shared" si="0"/>
        <v>0</v>
      </c>
      <c r="N19" s="154">
        <f t="shared" si="1"/>
        <v>0</v>
      </c>
      <c r="O19" s="155"/>
    </row>
    <row r="20" spans="2:15" ht="15" customHeight="1">
      <c r="B20" s="156">
        <f t="shared" si="5"/>
        <v>14</v>
      </c>
      <c r="C20" s="162" t="s">
        <v>642</v>
      </c>
      <c r="D20" s="158">
        <f>'[3]Outbound-Group'!BB164</f>
        <v>0</v>
      </c>
      <c r="E20" s="158">
        <f>'[3]Outbound-Group'!BC164</f>
        <v>0</v>
      </c>
      <c r="F20" s="159">
        <f t="shared" si="4"/>
        <v>0</v>
      </c>
      <c r="G20" s="160">
        <f>'[3]Inbound-Group'!AY163</f>
        <v>2.0100002318199999</v>
      </c>
      <c r="H20" s="160">
        <f>'[3]Inbound-Group'!AZ163</f>
        <v>2.0100000000000002</v>
      </c>
      <c r="I20" s="159">
        <f t="shared" si="2"/>
        <v>2.3181999964094757E-7</v>
      </c>
      <c r="J20" s="161">
        <f t="shared" si="3"/>
        <v>-2.3181999964094757E-7</v>
      </c>
      <c r="K20" s="154"/>
      <c r="L20" s="154"/>
      <c r="M20" s="154"/>
      <c r="N20" s="154"/>
      <c r="O20" s="155"/>
    </row>
    <row r="21" spans="2:15" ht="15" customHeight="1">
      <c r="B21" s="148">
        <f t="shared" si="5"/>
        <v>15</v>
      </c>
      <c r="C21" s="162" t="s">
        <v>643</v>
      </c>
      <c r="D21" s="158">
        <f>'[3]Outbound-Group'!BB167</f>
        <v>1.5566430796000001</v>
      </c>
      <c r="E21" s="158">
        <f>'[3]Outbound-Group'!BC167</f>
        <v>1.5591406249999999</v>
      </c>
      <c r="F21" s="159">
        <f t="shared" si="4"/>
        <v>-2.497545399999801E-3</v>
      </c>
      <c r="G21" s="160">
        <f>'[3]Inbound-Group'!AY166</f>
        <v>14.887894793660001</v>
      </c>
      <c r="H21" s="160">
        <f>'[3]Inbound-Group'!AZ166</f>
        <v>14.883343750000002</v>
      </c>
      <c r="I21" s="159">
        <f t="shared" si="2"/>
        <v>4.5510436599993653E-3</v>
      </c>
      <c r="J21" s="161">
        <f t="shared" si="3"/>
        <v>-7.0485890599991663E-3</v>
      </c>
      <c r="K21" s="154"/>
      <c r="L21" s="154"/>
      <c r="M21" s="154"/>
      <c r="N21" s="154"/>
      <c r="O21" s="155"/>
    </row>
    <row r="22" spans="2:15" ht="15" customHeight="1">
      <c r="B22" s="156">
        <f t="shared" si="5"/>
        <v>16</v>
      </c>
      <c r="C22" s="163" t="s">
        <v>644</v>
      </c>
      <c r="D22" s="158">
        <f>'[3]Outbound-Group'!BB168</f>
        <v>1091.2349132859999</v>
      </c>
      <c r="E22" s="158">
        <f>'[3]Outbound-Group'!BC168</f>
        <v>59.688627929687499</v>
      </c>
      <c r="F22" s="159">
        <f t="shared" si="4"/>
        <v>1031.5462853563124</v>
      </c>
      <c r="G22" s="160">
        <f>'[3]Inbound-Group'!AY167</f>
        <v>19858.751616723177</v>
      </c>
      <c r="H22" s="160">
        <f>'[3]Inbound-Group'!AZ167</f>
        <v>216.68830566406251</v>
      </c>
      <c r="I22" s="159">
        <f t="shared" si="2"/>
        <v>19642.063311059115</v>
      </c>
      <c r="J22" s="161">
        <f t="shared" si="3"/>
        <v>-18610.517025702804</v>
      </c>
      <c r="K22" s="154">
        <f>'[3]Inbound-Group'!AY167</f>
        <v>19858.751616723177</v>
      </c>
      <c r="L22" s="154">
        <f>'[3]Inbound-Group'!AZ167</f>
        <v>216.68830566406251</v>
      </c>
      <c r="M22" s="154">
        <f t="shared" si="0"/>
        <v>19642.063311059115</v>
      </c>
      <c r="N22" s="154">
        <f t="shared" si="1"/>
        <v>0</v>
      </c>
      <c r="O22" s="155"/>
    </row>
    <row r="23" spans="2:15" ht="15" customHeight="1">
      <c r="B23" s="148">
        <f t="shared" si="5"/>
        <v>17</v>
      </c>
      <c r="C23" s="157" t="s">
        <v>645</v>
      </c>
      <c r="D23" s="164">
        <f>'[3]Outbound-Group'!BB169</f>
        <v>0.54980532319999997</v>
      </c>
      <c r="E23" s="164">
        <f>'[3]Outbound-Group'!BC169</f>
        <v>1.4034999999999997</v>
      </c>
      <c r="F23" s="159">
        <f t="shared" si="4"/>
        <v>-0.85369467679999977</v>
      </c>
      <c r="G23" s="165">
        <f>'[3]Inbound-Group'!AY169</f>
        <v>0.88228001414000001</v>
      </c>
      <c r="H23" s="165">
        <f>'[3]Inbound-Group'!AZ169</f>
        <v>0.88228515625000004</v>
      </c>
      <c r="I23" s="159">
        <f t="shared" si="2"/>
        <v>-5.1421100000226261E-6</v>
      </c>
      <c r="J23" s="161">
        <f t="shared" si="3"/>
        <v>-0.85368953468999975</v>
      </c>
      <c r="K23" s="154">
        <f>'[3]Inbound-Group'!AY169</f>
        <v>0.88228001414000001</v>
      </c>
      <c r="L23" s="154">
        <f>'[3]Inbound-Group'!AZ169</f>
        <v>0.88228515625000004</v>
      </c>
      <c r="M23" s="154">
        <f t="shared" si="0"/>
        <v>-5.1421100000226261E-6</v>
      </c>
      <c r="N23" s="154">
        <f t="shared" si="1"/>
        <v>0</v>
      </c>
      <c r="O23" s="155"/>
    </row>
    <row r="24" spans="2:15" ht="15" customHeight="1">
      <c r="B24" s="156">
        <f t="shared" si="5"/>
        <v>18</v>
      </c>
      <c r="C24" s="157" t="s">
        <v>646</v>
      </c>
      <c r="D24" s="166">
        <f>'[3]Outbound-Group'!BB188</f>
        <v>3124.6608699849194</v>
      </c>
      <c r="E24" s="166">
        <f>'[3]Outbound-Group'!BC188</f>
        <v>2754.1251330078121</v>
      </c>
      <c r="F24" s="159">
        <f t="shared" si="4"/>
        <v>370.53573697710726</v>
      </c>
      <c r="G24" s="167">
        <f>'[3]Inbound-Group'!AY188</f>
        <v>224.03866270044003</v>
      </c>
      <c r="H24" s="167">
        <f>'[3]Inbound-Group'!AZ188</f>
        <v>224.03765976562499</v>
      </c>
      <c r="I24" s="159">
        <f t="shared" si="2"/>
        <v>1.0029348150339956E-3</v>
      </c>
      <c r="J24" s="161">
        <f t="shared" si="3"/>
        <v>370.53473404229226</v>
      </c>
      <c r="K24" s="154"/>
      <c r="L24" s="154"/>
      <c r="M24" s="154"/>
      <c r="N24" s="154"/>
      <c r="O24" s="155"/>
    </row>
    <row r="25" spans="2:15" ht="15" customHeight="1">
      <c r="B25" s="185">
        <f t="shared" si="5"/>
        <v>19</v>
      </c>
      <c r="C25" s="186" t="s">
        <v>647</v>
      </c>
      <c r="D25" s="187">
        <f>'[3]Outbound-Group'!BB205</f>
        <v>714.57454813038009</v>
      </c>
      <c r="E25" s="187">
        <f>'[3]Outbound-Group'!BC205</f>
        <v>1026.5520603152863</v>
      </c>
      <c r="F25" s="188">
        <f t="shared" si="4"/>
        <v>-311.97751218490623</v>
      </c>
      <c r="G25" s="189">
        <f>'[3]Inbound-Group'!AY205</f>
        <v>879.27193120928007</v>
      </c>
      <c r="H25" s="189">
        <f>'[3]Inbound-Group'!AZ205</f>
        <v>1695.1532570311908</v>
      </c>
      <c r="I25" s="188">
        <f t="shared" si="2"/>
        <v>-815.88132582191076</v>
      </c>
      <c r="J25" s="190">
        <f t="shared" si="3"/>
        <v>503.90381363700453</v>
      </c>
      <c r="K25" s="154"/>
      <c r="L25" s="154"/>
      <c r="M25" s="154"/>
      <c r="N25" s="154"/>
      <c r="O25" s="155"/>
    </row>
    <row r="26" spans="2:15" ht="15" customHeight="1">
      <c r="B26" s="156">
        <f t="shared" si="5"/>
        <v>20</v>
      </c>
      <c r="C26" s="171" t="s">
        <v>648</v>
      </c>
      <c r="D26" s="166">
        <f>'[3]Outbound-Group'!BB206</f>
        <v>0</v>
      </c>
      <c r="E26" s="166">
        <f>'[3]Outbound-Group'!BC206</f>
        <v>0</v>
      </c>
      <c r="F26" s="169">
        <f t="shared" si="4"/>
        <v>0</v>
      </c>
      <c r="G26" s="167">
        <f>'[3]Inbound-Group'!AY206</f>
        <v>0</v>
      </c>
      <c r="H26" s="167">
        <f>'[3]Inbound-Group'!AZ206</f>
        <v>0</v>
      </c>
      <c r="I26" s="169">
        <f t="shared" si="2"/>
        <v>0</v>
      </c>
      <c r="J26" s="170">
        <f t="shared" si="3"/>
        <v>0</v>
      </c>
      <c r="K26" s="154"/>
      <c r="L26" s="154"/>
      <c r="M26" s="154"/>
      <c r="N26" s="154"/>
      <c r="O26" s="155"/>
    </row>
    <row r="27" spans="2:15" ht="15" customHeight="1">
      <c r="B27" s="148">
        <f t="shared" si="5"/>
        <v>21</v>
      </c>
      <c r="C27" s="168" t="s">
        <v>649</v>
      </c>
      <c r="D27" s="166">
        <f>'[3]Outbound-Group'!BB207</f>
        <v>0.85766509317999995</v>
      </c>
      <c r="E27" s="166">
        <f>'[3]Outbound-Group'!BC207</f>
        <v>0.857666015625</v>
      </c>
      <c r="F27" s="169">
        <f t="shared" si="4"/>
        <v>-9.2244500005111973E-7</v>
      </c>
      <c r="G27" s="167">
        <f>'[3]Inbound-Group'!AY207</f>
        <v>146.82875553975998</v>
      </c>
      <c r="H27" s="167">
        <f>'[3]Inbound-Group'!AZ207</f>
        <v>146.82805664062499</v>
      </c>
      <c r="I27" s="169">
        <f t="shared" si="2"/>
        <v>6.9889913498855094E-4</v>
      </c>
      <c r="J27" s="170">
        <f t="shared" si="3"/>
        <v>-6.9982157998860206E-4</v>
      </c>
      <c r="K27" s="154"/>
      <c r="L27" s="154"/>
      <c r="M27" s="154"/>
      <c r="N27" s="154"/>
      <c r="O27" s="155"/>
    </row>
    <row r="28" spans="2:15" ht="15" customHeight="1">
      <c r="B28" s="191">
        <f t="shared" si="5"/>
        <v>22</v>
      </c>
      <c r="C28" s="186" t="s">
        <v>650</v>
      </c>
      <c r="D28" s="187">
        <f>'[3]Outbound-Group'!BB208+'[3]Outbound-Group'!BB209</f>
        <v>140.78378215999999</v>
      </c>
      <c r="E28" s="187">
        <f>'[3]Outbound-Group'!BC208+'[3]Outbound-Group'!BC209</f>
        <v>2523.2906135317849</v>
      </c>
      <c r="F28" s="188">
        <f t="shared" si="4"/>
        <v>-2382.5068313717848</v>
      </c>
      <c r="G28" s="189">
        <f>'[3]Inbound-Group'!AY208+'[3]Inbound-Group'!AY209</f>
        <v>1.5411469350200002</v>
      </c>
      <c r="H28" s="189">
        <f>'[3]Inbound-Group'!AZ208+'[3]Inbound-Group'!AZ209</f>
        <v>10.730312500000002</v>
      </c>
      <c r="I28" s="188">
        <f t="shared" si="2"/>
        <v>-9.1891655649800015</v>
      </c>
      <c r="J28" s="190">
        <f t="shared" si="3"/>
        <v>-2373.3176658068046</v>
      </c>
      <c r="K28" s="154"/>
      <c r="L28" s="154"/>
      <c r="M28" s="154"/>
      <c r="N28" s="154"/>
      <c r="O28" s="155"/>
    </row>
    <row r="29" spans="2:15" ht="15" customHeight="1">
      <c r="B29" s="156">
        <f t="shared" si="5"/>
        <v>23</v>
      </c>
      <c r="C29" s="168" t="s">
        <v>651</v>
      </c>
      <c r="D29" s="166">
        <f>'[3]Outbound-Group'!BB210</f>
        <v>0</v>
      </c>
      <c r="E29" s="166">
        <f>'[3]Outbound-Group'!BC210</f>
        <v>0</v>
      </c>
      <c r="F29" s="169">
        <f t="shared" si="4"/>
        <v>0</v>
      </c>
      <c r="G29" s="167">
        <f>'[3]Inbound-Group'!AY210</f>
        <v>0</v>
      </c>
      <c r="H29" s="167">
        <f>'[3]Inbound-Group'!AZ210</f>
        <v>0</v>
      </c>
      <c r="I29" s="169">
        <f t="shared" si="2"/>
        <v>0</v>
      </c>
      <c r="J29" s="170">
        <f t="shared" si="3"/>
        <v>0</v>
      </c>
      <c r="K29" s="154"/>
      <c r="L29" s="154"/>
      <c r="M29" s="154"/>
      <c r="N29" s="154"/>
      <c r="O29" s="155"/>
    </row>
    <row r="30" spans="2:15" ht="15" customHeight="1">
      <c r="B30" s="156">
        <v>24</v>
      </c>
      <c r="C30" s="168" t="s">
        <v>652</v>
      </c>
      <c r="D30" s="166">
        <f>'[3]Outbound-Group'!BB210+'[3]Outbound-Group'!BB211</f>
        <v>0</v>
      </c>
      <c r="E30" s="166">
        <f>'[3]Outbound-Group'!BC210+'[3]Outbound-Group'!BC211</f>
        <v>0</v>
      </c>
      <c r="F30" s="169">
        <f t="shared" si="4"/>
        <v>0</v>
      </c>
      <c r="G30" s="167">
        <f>'[3]Inbound-Group'!AY210+'[3]Inbound-Group'!AY211</f>
        <v>0</v>
      </c>
      <c r="H30" s="167">
        <f>'[3]Inbound-Group'!AZ210+'[3]Inbound-Group'!AZ211</f>
        <v>0</v>
      </c>
      <c r="I30" s="169">
        <f t="shared" si="2"/>
        <v>0</v>
      </c>
      <c r="J30" s="170">
        <f t="shared" si="3"/>
        <v>0</v>
      </c>
      <c r="K30" s="154"/>
      <c r="L30" s="154"/>
      <c r="M30" s="154"/>
      <c r="N30" s="154"/>
      <c r="O30" s="155"/>
    </row>
    <row r="31" spans="2:15" ht="15" customHeight="1">
      <c r="B31" s="191">
        <v>25</v>
      </c>
      <c r="C31" s="186" t="s">
        <v>536</v>
      </c>
      <c r="D31" s="187">
        <f>'[3]Outbound-Group'!BB211+'[3]Outbound-Group'!BB212</f>
        <v>13.400767484999999</v>
      </c>
      <c r="E31" s="187">
        <f>'[3]Outbound-Group'!BC211+'[3]Outbound-Group'!BC212</f>
        <v>13.400964843750002</v>
      </c>
      <c r="F31" s="188">
        <f t="shared" si="4"/>
        <v>-1.9735875000215231E-4</v>
      </c>
      <c r="G31" s="189">
        <f>'[3]Inbound-Group'!AY211+'[3]Inbound-Group'!AY212</f>
        <v>2.9669212582799998</v>
      </c>
      <c r="H31" s="189">
        <f>'[3]Inbound-Group'!AZ211+'[3]Inbound-Group'!AZ212</f>
        <v>3.5001240234375004</v>
      </c>
      <c r="I31" s="188">
        <f t="shared" si="2"/>
        <v>-0.53320276515750065</v>
      </c>
      <c r="J31" s="190">
        <f t="shared" si="3"/>
        <v>0.53300540640749849</v>
      </c>
      <c r="K31" s="154"/>
      <c r="L31" s="154"/>
      <c r="M31" s="154"/>
      <c r="N31" s="154"/>
      <c r="O31" s="155"/>
    </row>
    <row r="32" spans="2:15" ht="15" customHeight="1">
      <c r="B32" s="191">
        <v>25</v>
      </c>
      <c r="C32" s="186" t="s">
        <v>558</v>
      </c>
      <c r="D32" s="187">
        <f>'[3]Outbound-Group'!BB213+'[3]Outbound-Group'!BB214+'[3]Outbound-Group'!BB215+'[3]Outbound-Group'!BB216+'[3]Outbound-Group'!BB217</f>
        <v>0</v>
      </c>
      <c r="E32" s="187">
        <f>'[3]Outbound-Group'!BC213+'[3]Outbound-Group'!BC214+'[3]Outbound-Group'!BC215+'[3]Outbound-Group'!BC216+'[3]Outbound-Group'!BC217</f>
        <v>0</v>
      </c>
      <c r="F32" s="188">
        <f t="shared" si="4"/>
        <v>0</v>
      </c>
      <c r="G32" s="189">
        <f>'[3]Inbound-Group'!AY213+'[3]Inbound-Group'!AY214+'[3]Inbound-Group'!AY215+'[3]Inbound-Group'!AY216+'[3]Inbound-Group'!AY217</f>
        <v>17970.801988347743</v>
      </c>
      <c r="H32" s="189">
        <f>'[3]Inbound-Group'!AZ213+'[3]Inbound-Group'!AZ214+'[3]Inbound-Group'!AZ215+'[3]Inbound-Group'!AZ216+'[3]Inbound-Group'!AZ217</f>
        <v>18042.546485876068</v>
      </c>
      <c r="I32" s="188">
        <f t="shared" si="2"/>
        <v>-71.744497528325155</v>
      </c>
      <c r="J32" s="190">
        <f t="shared" si="3"/>
        <v>71.744497528325155</v>
      </c>
      <c r="K32" s="154"/>
      <c r="L32" s="154"/>
      <c r="M32" s="154"/>
      <c r="N32" s="154"/>
      <c r="O32" s="155"/>
    </row>
    <row r="33" spans="2:15" ht="15" customHeight="1">
      <c r="B33" s="156">
        <v>26</v>
      </c>
      <c r="C33" s="168" t="s">
        <v>653</v>
      </c>
      <c r="D33" s="166">
        <f>'[3]Outbound-Group'!BB218</f>
        <v>0</v>
      </c>
      <c r="E33" s="166">
        <f>'[3]Outbound-Group'!BC218</f>
        <v>0</v>
      </c>
      <c r="F33" s="169">
        <f t="shared" si="4"/>
        <v>0</v>
      </c>
      <c r="G33" s="167">
        <f>'[3]Inbound-Group'!AY218</f>
        <v>0</v>
      </c>
      <c r="H33" s="167">
        <f>'[3]Inbound-Group'!AZ218</f>
        <v>0</v>
      </c>
      <c r="I33" s="169">
        <f t="shared" si="2"/>
        <v>0</v>
      </c>
      <c r="J33" s="170">
        <f t="shared" si="3"/>
        <v>0</v>
      </c>
      <c r="K33" s="154"/>
      <c r="L33" s="154"/>
      <c r="M33" s="154"/>
      <c r="N33" s="154"/>
      <c r="O33" s="155"/>
    </row>
    <row r="34" spans="2:15" ht="15" customHeight="1" thickBot="1">
      <c r="B34" s="156"/>
      <c r="C34" s="168"/>
      <c r="D34" s="166"/>
      <c r="E34" s="166"/>
      <c r="F34" s="169"/>
      <c r="G34" s="167"/>
      <c r="H34" s="167"/>
      <c r="I34" s="169"/>
      <c r="J34" s="170"/>
      <c r="K34" s="154"/>
      <c r="L34" s="154"/>
      <c r="M34" s="154"/>
      <c r="N34" s="154"/>
      <c r="O34" s="155"/>
    </row>
    <row r="35" spans="2:15" ht="15.95" customHeight="1" thickTop="1" thickBot="1">
      <c r="B35" s="227" t="s">
        <v>654</v>
      </c>
      <c r="C35" s="227"/>
      <c r="D35" s="172">
        <f t="shared" ref="D35:I35" si="6">SUM(D7:D32)</f>
        <v>8414.4962238541375</v>
      </c>
      <c r="E35" s="172">
        <f t="shared" si="6"/>
        <v>10840.975047253802</v>
      </c>
      <c r="F35" s="172">
        <f>SUM(F7:F33)</f>
        <v>-2426.4788233996637</v>
      </c>
      <c r="G35" s="172">
        <f t="shared" si="6"/>
        <v>67926.072119078191</v>
      </c>
      <c r="H35" s="172">
        <f t="shared" si="6"/>
        <v>51387.176230872297</v>
      </c>
      <c r="I35" s="172">
        <f t="shared" si="6"/>
        <v>16538.895888205883</v>
      </c>
      <c r="J35" s="172">
        <f>SUM(J7:J34)</f>
        <v>-18965.374711605549</v>
      </c>
      <c r="K35" s="154" t="e">
        <f t="shared" ref="K35:M35" si="7">SUM(K7:K23)</f>
        <v>#REF!</v>
      </c>
      <c r="L35" s="154" t="e">
        <f t="shared" si="7"/>
        <v>#REF!</v>
      </c>
      <c r="M35" s="154" t="e">
        <f t="shared" si="7"/>
        <v>#REF!</v>
      </c>
      <c r="N35" s="155"/>
      <c r="O35" s="155"/>
    </row>
    <row r="36" spans="2:15" ht="14.45" thickTop="1">
      <c r="G36" s="174"/>
    </row>
    <row r="37" spans="2:15">
      <c r="D37" s="192">
        <f>D11+D14+D17+D25+D28+D31+D32</f>
        <v>1244.9774683074402</v>
      </c>
      <c r="E37" s="192">
        <f t="shared" ref="E37:I37" si="8">E11+E14+E17+E25+E28+E31+E32</f>
        <v>4342.3085759295855</v>
      </c>
      <c r="F37" s="192">
        <f t="shared" si="8"/>
        <v>-3097.3311076221444</v>
      </c>
      <c r="G37" s="192">
        <f t="shared" si="8"/>
        <v>25511.695273496742</v>
      </c>
      <c r="H37" s="192">
        <f t="shared" si="8"/>
        <v>28428.542090364484</v>
      </c>
      <c r="I37" s="192">
        <f t="shared" si="8"/>
        <v>-2916.8468168677409</v>
      </c>
    </row>
  </sheetData>
  <mergeCells count="7">
    <mergeCell ref="B35:C35"/>
    <mergeCell ref="B3:J3"/>
    <mergeCell ref="B5:B6"/>
    <mergeCell ref="C5:C6"/>
    <mergeCell ref="D5:F5"/>
    <mergeCell ref="G5:I5"/>
    <mergeCell ref="J5:J6"/>
  </mergeCells>
  <pageMargins left="0.78749999999999998" right="0.78749999999999998" top="1.0249999999999999" bottom="1.0249999999999999" header="0.78749999999999998" footer="0.78749999999999998"/>
  <pageSetup orientation="portrait" r:id="rId1"/>
  <headerFooter>
    <oddHeader>&amp;C&amp;"Arial,Regular"&amp;10&amp;A</oddHeader>
    <oddFooter>&amp;C&amp;"Arial,Regular"&amp;10Page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4719-B85C-4ECA-BE28-B6952E5D0154}">
  <sheetPr>
    <tabColor rgb="FFD7E4BD"/>
  </sheetPr>
  <dimension ref="A2:O38"/>
  <sheetViews>
    <sheetView zoomScale="80" zoomScaleNormal="80" zoomScalePageLayoutView="60" workbookViewId="0">
      <pane ySplit="6" topLeftCell="A16" activePane="bottomLeft" state="frozen"/>
      <selection pane="bottomLeft" activeCell="A36" sqref="A36:XFD43"/>
      <selection activeCell="BM214" sqref="BM214"/>
    </sheetView>
  </sheetViews>
  <sheetFormatPr defaultColWidth="10.140625" defaultRowHeight="13.9"/>
  <cols>
    <col min="1" max="2" width="10.140625" style="144"/>
    <col min="3" max="3" width="33.5703125" style="144" customWidth="1"/>
    <col min="4" max="4" width="20.5703125" style="144" customWidth="1"/>
    <col min="5" max="5" width="20.42578125" style="144" customWidth="1"/>
    <col min="6" max="6" width="10.140625" style="144"/>
    <col min="7" max="8" width="21.140625" style="144" customWidth="1"/>
    <col min="9" max="9" width="20.42578125" style="144" customWidth="1"/>
    <col min="10" max="10" width="25" style="144" customWidth="1"/>
    <col min="11" max="11" width="11.140625" style="144" hidden="1" customWidth="1"/>
    <col min="12" max="12" width="11" style="144" hidden="1" customWidth="1"/>
    <col min="13" max="13" width="11.140625" style="144" hidden="1" customWidth="1"/>
    <col min="14" max="14" width="0" style="144" hidden="1" customWidth="1"/>
    <col min="15" max="16384" width="10.140625" style="144"/>
  </cols>
  <sheetData>
    <row r="2" spans="1:15" ht="14.45" thickBot="1"/>
    <row r="3" spans="1:15" ht="18" customHeight="1" thickTop="1" thickBot="1">
      <c r="B3" s="228" t="s">
        <v>655</v>
      </c>
      <c r="C3" s="229"/>
      <c r="D3" s="229"/>
      <c r="E3" s="229"/>
      <c r="F3" s="229"/>
      <c r="G3" s="229"/>
      <c r="H3" s="229"/>
      <c r="I3" s="229"/>
      <c r="J3" s="230"/>
    </row>
    <row r="4" spans="1:15" ht="15" thickTop="1" thickBot="1"/>
    <row r="5" spans="1:15" s="145" customFormat="1" ht="20.25" customHeight="1" thickTop="1" thickBot="1">
      <c r="B5" s="227" t="s">
        <v>620</v>
      </c>
      <c r="C5" s="227" t="s">
        <v>621</v>
      </c>
      <c r="D5" s="231" t="s">
        <v>622</v>
      </c>
      <c r="E5" s="231"/>
      <c r="F5" s="231"/>
      <c r="G5" s="232" t="s">
        <v>623</v>
      </c>
      <c r="H5" s="232"/>
      <c r="I5" s="232"/>
      <c r="J5" s="233" t="s">
        <v>624</v>
      </c>
    </row>
    <row r="6" spans="1:15" ht="27" customHeight="1" thickTop="1" thickBot="1">
      <c r="A6" s="145"/>
      <c r="B6" s="227"/>
      <c r="C6" s="227"/>
      <c r="D6" s="146" t="s">
        <v>625</v>
      </c>
      <c r="E6" s="146" t="s">
        <v>626</v>
      </c>
      <c r="F6" s="147" t="s">
        <v>627</v>
      </c>
      <c r="G6" s="146" t="s">
        <v>625</v>
      </c>
      <c r="H6" s="146" t="s">
        <v>626</v>
      </c>
      <c r="I6" s="147" t="s">
        <v>628</v>
      </c>
      <c r="J6" s="233"/>
    </row>
    <row r="7" spans="1:15" ht="15" customHeight="1" thickTop="1">
      <c r="B7" s="148">
        <v>1</v>
      </c>
      <c r="C7" s="149" t="s">
        <v>629</v>
      </c>
      <c r="D7" s="150">
        <f>'[4]Outbound-Group'!BB10</f>
        <v>0</v>
      </c>
      <c r="E7" s="150">
        <f>'[4]Outbound-Group'!BC10</f>
        <v>0</v>
      </c>
      <c r="F7" s="151">
        <f>D7-E7</f>
        <v>0</v>
      </c>
      <c r="G7" s="152">
        <f>'[4]Inbound-Group'!AY10</f>
        <v>2.3985918009199998</v>
      </c>
      <c r="H7" s="152">
        <f>'[4]Inbound-Group'!AZ10</f>
        <v>1.524462890625</v>
      </c>
      <c r="I7" s="151">
        <f>G7-H7</f>
        <v>0.87412891029499984</v>
      </c>
      <c r="J7" s="153">
        <f>F7-I7</f>
        <v>-0.87412891029499984</v>
      </c>
      <c r="K7" s="154">
        <f>'[4]Inbound-Group'!AY10</f>
        <v>2.3985918009199998</v>
      </c>
      <c r="L7" s="154">
        <f>'[4]Inbound-Group'!AZ10</f>
        <v>1.524462890625</v>
      </c>
      <c r="M7" s="154">
        <f t="shared" ref="M7:M23" si="0">K7-L7</f>
        <v>0.87412891029499984</v>
      </c>
      <c r="N7" s="154">
        <f t="shared" ref="N7:N23" si="1">I7-M7</f>
        <v>0</v>
      </c>
      <c r="O7" s="155"/>
    </row>
    <row r="8" spans="1:15" ht="15" customHeight="1">
      <c r="B8" s="148">
        <f>B7+1</f>
        <v>2</v>
      </c>
      <c r="C8" s="149" t="s">
        <v>630</v>
      </c>
      <c r="D8" s="150">
        <f>'[4]Outbound-Group'!BB30</f>
        <v>0</v>
      </c>
      <c r="E8" s="150">
        <f>'[4]Outbound-Group'!BC30</f>
        <v>0</v>
      </c>
      <c r="F8" s="151">
        <f>D8-E8</f>
        <v>0</v>
      </c>
      <c r="G8" s="152">
        <f>'[4]Inbound-Group'!AY30</f>
        <v>0</v>
      </c>
      <c r="H8" s="152">
        <f>'[4]Inbound-Group'!AZ30</f>
        <v>0</v>
      </c>
      <c r="I8" s="151">
        <f t="shared" ref="I8:I33" si="2">G8-H8</f>
        <v>0</v>
      </c>
      <c r="J8" s="153">
        <f t="shared" ref="J8:J33" si="3">F8-I8</f>
        <v>0</v>
      </c>
      <c r="K8" s="154"/>
      <c r="L8" s="154"/>
      <c r="M8" s="154"/>
      <c r="N8" s="154"/>
      <c r="O8" s="155"/>
    </row>
    <row r="9" spans="1:15" ht="15" customHeight="1">
      <c r="B9" s="148">
        <f>B8+1</f>
        <v>3</v>
      </c>
      <c r="C9" s="149" t="s">
        <v>631</v>
      </c>
      <c r="D9" s="150">
        <f>'[4]Outbound-Group'!BB33</f>
        <v>0</v>
      </c>
      <c r="E9" s="150">
        <f>'[4]Outbound-Group'!BC33</f>
        <v>0</v>
      </c>
      <c r="F9" s="151">
        <f t="shared" ref="F9:F33" si="4">D9-E9</f>
        <v>0</v>
      </c>
      <c r="G9" s="152">
        <f>'[4]Inbound-Group'!AY33</f>
        <v>0</v>
      </c>
      <c r="H9" s="152">
        <f>'[4]Inbound-Group'!AZ33</f>
        <v>0</v>
      </c>
      <c r="I9" s="151">
        <f t="shared" si="2"/>
        <v>0</v>
      </c>
      <c r="J9" s="153">
        <f t="shared" si="3"/>
        <v>0</v>
      </c>
      <c r="K9" s="154"/>
      <c r="L9" s="154"/>
      <c r="M9" s="154"/>
      <c r="N9" s="154"/>
      <c r="O9" s="155"/>
    </row>
    <row r="10" spans="1:15" ht="15" customHeight="1">
      <c r="B10" s="156">
        <f>B9+1</f>
        <v>4</v>
      </c>
      <c r="C10" s="157" t="s">
        <v>632</v>
      </c>
      <c r="D10" s="158">
        <f>'[4]Outbound-Group'!BB57+'[4]Outbound-Group'!BB46</f>
        <v>200.71108157499</v>
      </c>
      <c r="E10" s="158">
        <f>'[4]Outbound-Group'!BC57+'[4]Outbound-Group'!BC46</f>
        <v>200.8888046875</v>
      </c>
      <c r="F10" s="159">
        <f t="shared" si="4"/>
        <v>-0.17772311250999451</v>
      </c>
      <c r="G10" s="160">
        <f>'[4]Inbound-Group'!AY57+'[4]Inbound-Group'!AY46</f>
        <v>10497.469057144648</v>
      </c>
      <c r="H10" s="160">
        <f>'[4]Inbound-Group'!AZ57+'[4]Inbound-Group'!AZ46</f>
        <v>10496.850437499999</v>
      </c>
      <c r="I10" s="159">
        <f t="shared" si="2"/>
        <v>0.61861964464878838</v>
      </c>
      <c r="J10" s="161">
        <f t="shared" si="3"/>
        <v>-0.79634275715878289</v>
      </c>
      <c r="K10" s="154">
        <f>'[4]Inbound-Group'!AY57+'[4]Inbound-Group'!AY46</f>
        <v>10497.469057144648</v>
      </c>
      <c r="L10" s="154">
        <f>'[4]Inbound-Group'!AZ57+'[4]Inbound-Group'!AZ46</f>
        <v>10496.850437499999</v>
      </c>
      <c r="M10" s="154">
        <f t="shared" si="0"/>
        <v>0.61861964464878838</v>
      </c>
      <c r="N10" s="154">
        <f t="shared" si="1"/>
        <v>0</v>
      </c>
      <c r="O10" s="155"/>
    </row>
    <row r="11" spans="1:15" ht="15" customHeight="1">
      <c r="B11" s="148">
        <f t="shared" ref="B11:B29" si="5">B10+1</f>
        <v>5</v>
      </c>
      <c r="C11" s="157" t="s">
        <v>633</v>
      </c>
      <c r="D11" s="158">
        <f>'[4]Outbound-Group'!BB53</f>
        <v>454.40039574999997</v>
      </c>
      <c r="E11" s="158">
        <f>'[4]Outbound-Group'!BC53</f>
        <v>333.33333333333331</v>
      </c>
      <c r="F11" s="159">
        <f t="shared" si="4"/>
        <v>121.06706241666666</v>
      </c>
      <c r="G11" s="160">
        <f>'[4]Inbound-Group'!AY53</f>
        <v>33.02777648184</v>
      </c>
      <c r="H11" s="160">
        <f>'[4]Inbound-Group'!AZ53</f>
        <v>333.33333333333331</v>
      </c>
      <c r="I11" s="159">
        <f t="shared" si="2"/>
        <v>-300.30555685149329</v>
      </c>
      <c r="J11" s="161">
        <f t="shared" si="3"/>
        <v>421.37261926815995</v>
      </c>
      <c r="K11" s="154"/>
      <c r="L11" s="154"/>
      <c r="M11" s="154"/>
      <c r="N11" s="154"/>
      <c r="O11" s="155"/>
    </row>
    <row r="12" spans="1:15" ht="15" customHeight="1">
      <c r="B12" s="156">
        <f t="shared" si="5"/>
        <v>6</v>
      </c>
      <c r="C12" s="157" t="s">
        <v>634</v>
      </c>
      <c r="D12" s="158">
        <f>'[4]Outbound-Group'!BB60</f>
        <v>0.16005908177</v>
      </c>
      <c r="E12" s="158">
        <f>'[4]Outbound-Group'!BC60</f>
        <v>0.16005859375000001</v>
      </c>
      <c r="F12" s="159">
        <f t="shared" si="4"/>
        <v>4.8801999999459333E-7</v>
      </c>
      <c r="G12" s="160">
        <f>'[4]Inbound-Group'!AY60</f>
        <v>23.54056359662</v>
      </c>
      <c r="H12" s="160">
        <f>'[4]Inbound-Group'!AZ60</f>
        <v>23.543048828124999</v>
      </c>
      <c r="I12" s="159">
        <f t="shared" si="2"/>
        <v>-2.4852315049983531E-3</v>
      </c>
      <c r="J12" s="161">
        <f t="shared" si="3"/>
        <v>2.4857195249983477E-3</v>
      </c>
      <c r="K12" s="154">
        <f>'[4]Inbound-Group'!AY60</f>
        <v>23.54056359662</v>
      </c>
      <c r="L12" s="154">
        <f>'[4]Inbound-Group'!AZ60</f>
        <v>23.543048828124999</v>
      </c>
      <c r="M12" s="154">
        <f t="shared" si="0"/>
        <v>-2.4852315049983531E-3</v>
      </c>
      <c r="N12" s="154">
        <f t="shared" si="1"/>
        <v>0</v>
      </c>
      <c r="O12" s="155"/>
    </row>
    <row r="13" spans="1:15" ht="15" customHeight="1">
      <c r="B13" s="148">
        <f t="shared" si="5"/>
        <v>7</v>
      </c>
      <c r="C13" s="157" t="s">
        <v>635</v>
      </c>
      <c r="D13" s="158">
        <f>'[4]Outbound-Group'!BB95</f>
        <v>252.57865285239998</v>
      </c>
      <c r="E13" s="158">
        <f>'[4]Outbound-Group'!BC95</f>
        <v>252.67683524999998</v>
      </c>
      <c r="F13" s="159">
        <f t="shared" si="4"/>
        <v>-9.8182397599998694E-2</v>
      </c>
      <c r="G13" s="160">
        <f>'[4]Inbound-Group'!AY95</f>
        <v>398.44401749928994</v>
      </c>
      <c r="H13" s="160">
        <f>'[4]Inbound-Group'!AZ95</f>
        <v>337.70754531249997</v>
      </c>
      <c r="I13" s="159">
        <f t="shared" si="2"/>
        <v>60.736472186789968</v>
      </c>
      <c r="J13" s="161">
        <f t="shared" si="3"/>
        <v>-60.834654584389966</v>
      </c>
      <c r="K13" s="154"/>
      <c r="L13" s="154"/>
      <c r="M13" s="154"/>
      <c r="N13" s="154"/>
      <c r="O13" s="155"/>
    </row>
    <row r="14" spans="1:15" ht="15" customHeight="1">
      <c r="B14" s="156">
        <f t="shared" si="5"/>
        <v>8</v>
      </c>
      <c r="C14" s="157" t="s">
        <v>636</v>
      </c>
      <c r="D14" s="158">
        <f>'[4]Outbound-Group'!BB107</f>
        <v>35.917734146000001</v>
      </c>
      <c r="E14" s="158">
        <f>'[4]Outbound-Group'!BC107</f>
        <v>35.626450090211385</v>
      </c>
      <c r="F14" s="159">
        <f t="shared" si="4"/>
        <v>0.2912840557886156</v>
      </c>
      <c r="G14" s="160">
        <f>'[4]Inbound-Group'!AY107</f>
        <v>4987.4753303239204</v>
      </c>
      <c r="H14" s="160">
        <f>'[4]Inbound-Group'!AZ107</f>
        <v>5162.0419903025395</v>
      </c>
      <c r="I14" s="159">
        <f t="shared" si="2"/>
        <v>-174.5666599786191</v>
      </c>
      <c r="J14" s="161">
        <f t="shared" si="3"/>
        <v>174.85794403440772</v>
      </c>
      <c r="K14" s="154">
        <f>'[4]Inbound-Group'!AY107</f>
        <v>4987.4753303239204</v>
      </c>
      <c r="L14" s="154">
        <f>'[4]Inbound-Group'!AZ107</f>
        <v>5162.0419903025395</v>
      </c>
      <c r="M14" s="154">
        <f t="shared" si="0"/>
        <v>-174.5666599786191</v>
      </c>
      <c r="N14" s="154">
        <f t="shared" si="1"/>
        <v>0</v>
      </c>
      <c r="O14" s="155"/>
    </row>
    <row r="15" spans="1:15" ht="15" customHeight="1">
      <c r="B15" s="148">
        <f t="shared" si="5"/>
        <v>9</v>
      </c>
      <c r="C15" s="157" t="s">
        <v>637</v>
      </c>
      <c r="D15" s="158">
        <f>'[4]Outbound-Group'!BB113</f>
        <v>0</v>
      </c>
      <c r="E15" s="158">
        <f>'[4]Outbound-Group'!BC113</f>
        <v>0</v>
      </c>
      <c r="F15" s="159">
        <f t="shared" si="4"/>
        <v>0</v>
      </c>
      <c r="G15" s="160">
        <f>'[4]Inbound-Group'!AY113</f>
        <v>0</v>
      </c>
      <c r="H15" s="160">
        <f>'[4]Inbound-Group'!AZ113</f>
        <v>0</v>
      </c>
      <c r="I15" s="159">
        <f t="shared" si="2"/>
        <v>0</v>
      </c>
      <c r="J15" s="161">
        <f t="shared" si="3"/>
        <v>0</v>
      </c>
      <c r="K15" s="154"/>
      <c r="L15" s="154"/>
      <c r="M15" s="154"/>
      <c r="N15" s="154"/>
      <c r="O15" s="155"/>
    </row>
    <row r="16" spans="1:15" ht="15" customHeight="1">
      <c r="B16" s="156">
        <f t="shared" si="5"/>
        <v>10</v>
      </c>
      <c r="C16" s="157" t="s">
        <v>638</v>
      </c>
      <c r="D16" s="158">
        <f>'[4]Outbound-Group'!BB129</f>
        <v>2471.2847872698999</v>
      </c>
      <c r="E16" s="158">
        <f>'[4]Outbound-Group'!BC129</f>
        <v>1411.8538551562499</v>
      </c>
      <c r="F16" s="159">
        <f t="shared" si="4"/>
        <v>1059.43093211365</v>
      </c>
      <c r="G16" s="160">
        <f>'[4]Inbound-Group'!AY129</f>
        <v>7093.3225330237901</v>
      </c>
      <c r="H16" s="160">
        <f>'[4]Inbound-Group'!AZ129</f>
        <v>2839.5347400156252</v>
      </c>
      <c r="I16" s="159">
        <f t="shared" si="2"/>
        <v>4253.787793008165</v>
      </c>
      <c r="J16" s="161">
        <f t="shared" si="3"/>
        <v>-3194.3568608945152</v>
      </c>
      <c r="K16" s="154">
        <f>'[4]Inbound-Group'!AY129</f>
        <v>7093.3225330237901</v>
      </c>
      <c r="L16" s="154">
        <f>'[4]Inbound-Group'!AZ129</f>
        <v>2839.5347400156252</v>
      </c>
      <c r="M16" s="154">
        <f t="shared" si="0"/>
        <v>4253.787793008165</v>
      </c>
      <c r="N16" s="154">
        <f t="shared" si="1"/>
        <v>0</v>
      </c>
      <c r="O16" s="155"/>
    </row>
    <row r="17" spans="2:15" ht="15" customHeight="1">
      <c r="B17" s="148">
        <f t="shared" si="5"/>
        <v>11</v>
      </c>
      <c r="C17" s="157" t="s">
        <v>639</v>
      </c>
      <c r="D17" s="158">
        <f>'[4]Outbound-Group'!BB156</f>
        <v>178.47823395751999</v>
      </c>
      <c r="E17" s="158">
        <f>'[4]Outbound-Group'!BC156</f>
        <v>451.78404202148431</v>
      </c>
      <c r="F17" s="159">
        <f>D17-E17</f>
        <v>-273.30580806396432</v>
      </c>
      <c r="G17" s="160">
        <f>'[4]Inbound-Group'!AY155</f>
        <v>5844.4459437882706</v>
      </c>
      <c r="H17" s="160">
        <f>'[4]Inbound-Group'!AZ155</f>
        <v>7925.9791757812491</v>
      </c>
      <c r="I17" s="159">
        <f t="shared" si="2"/>
        <v>-2081.5332319929785</v>
      </c>
      <c r="J17" s="161">
        <f t="shared" si="3"/>
        <v>1808.2274239290141</v>
      </c>
      <c r="K17" s="154" t="e">
        <f>'[4]Inbound-Group'!#REF!+'[4]Inbound-Group'!#REF!</f>
        <v>#REF!</v>
      </c>
      <c r="L17" s="154" t="e">
        <f>'[4]Inbound-Group'!#REF!+'[4]Inbound-Group'!#REF!</f>
        <v>#REF!</v>
      </c>
      <c r="M17" s="154" t="e">
        <f t="shared" si="0"/>
        <v>#REF!</v>
      </c>
      <c r="N17" s="154" t="e">
        <f t="shared" si="1"/>
        <v>#REF!</v>
      </c>
      <c r="O17" s="155"/>
    </row>
    <row r="18" spans="2:15" ht="15" customHeight="1">
      <c r="B18" s="156">
        <f t="shared" si="5"/>
        <v>12</v>
      </c>
      <c r="C18" s="157" t="s">
        <v>640</v>
      </c>
      <c r="D18" s="158">
        <f>'[4]Outbound-Group'!BB157</f>
        <v>55.917824624200001</v>
      </c>
      <c r="E18" s="158">
        <f>'[4]Outbound-Group'!BC157</f>
        <v>1572.524260546875</v>
      </c>
      <c r="F18" s="159">
        <f t="shared" si="4"/>
        <v>-1516.606435922675</v>
      </c>
      <c r="G18" s="160">
        <f>'[4]Inbound-Group'!AY156</f>
        <v>164.10243929519999</v>
      </c>
      <c r="H18" s="160">
        <f>'[4]Inbound-Group'!AZ156</f>
        <v>4014.2179171874996</v>
      </c>
      <c r="I18" s="159">
        <f t="shared" si="2"/>
        <v>-3850.1154778922996</v>
      </c>
      <c r="J18" s="161">
        <f t="shared" si="3"/>
        <v>2333.5090419696244</v>
      </c>
      <c r="K18" s="154">
        <f>'[4]Inbound-Group'!AY156</f>
        <v>164.10243929519999</v>
      </c>
      <c r="L18" s="154">
        <f>'[4]Inbound-Group'!AZ156</f>
        <v>4014.2179171874996</v>
      </c>
      <c r="M18" s="154">
        <f t="shared" si="0"/>
        <v>-3850.1154778922996</v>
      </c>
      <c r="N18" s="154">
        <f t="shared" si="1"/>
        <v>0</v>
      </c>
      <c r="O18" s="155"/>
    </row>
    <row r="19" spans="2:15" ht="15" customHeight="1">
      <c r="B19" s="148">
        <f t="shared" si="5"/>
        <v>13</v>
      </c>
      <c r="C19" s="157" t="s">
        <v>641</v>
      </c>
      <c r="D19" s="158">
        <f>'[4]Outbound-Group'!BB161</f>
        <v>0</v>
      </c>
      <c r="E19" s="158">
        <f>'[4]Outbound-Group'!BC160</f>
        <v>0</v>
      </c>
      <c r="F19" s="159">
        <f t="shared" si="4"/>
        <v>0</v>
      </c>
      <c r="G19" s="160">
        <f>'[4]Inbound-Group'!AY160</f>
        <v>0</v>
      </c>
      <c r="H19" s="160">
        <f>'[4]Inbound-Group'!AZ160</f>
        <v>0</v>
      </c>
      <c r="I19" s="159">
        <f t="shared" si="2"/>
        <v>0</v>
      </c>
      <c r="J19" s="161">
        <f t="shared" si="3"/>
        <v>0</v>
      </c>
      <c r="K19" s="154">
        <f>'[4]Inbound-Group'!AY160</f>
        <v>0</v>
      </c>
      <c r="L19" s="154">
        <f>'[4]Inbound-Group'!AZ160</f>
        <v>0</v>
      </c>
      <c r="M19" s="154">
        <f t="shared" si="0"/>
        <v>0</v>
      </c>
      <c r="N19" s="154">
        <f t="shared" si="1"/>
        <v>0</v>
      </c>
      <c r="O19" s="155"/>
    </row>
    <row r="20" spans="2:15" ht="15" customHeight="1">
      <c r="B20" s="156">
        <f t="shared" si="5"/>
        <v>14</v>
      </c>
      <c r="C20" s="162" t="s">
        <v>642</v>
      </c>
      <c r="D20" s="158">
        <f>'[4]Outbound-Group'!BB164</f>
        <v>0</v>
      </c>
      <c r="E20" s="158">
        <f>'[4]Outbound-Group'!BC164</f>
        <v>0</v>
      </c>
      <c r="F20" s="159">
        <f t="shared" si="4"/>
        <v>0</v>
      </c>
      <c r="G20" s="160">
        <f>'[4]Inbound-Group'!AY163</f>
        <v>0.16406084107000002</v>
      </c>
      <c r="H20" s="160">
        <f>'[4]Inbound-Group'!AZ163</f>
        <v>0.16406054687499999</v>
      </c>
      <c r="I20" s="159">
        <f t="shared" si="2"/>
        <v>2.9419500002791921E-7</v>
      </c>
      <c r="J20" s="161">
        <f t="shared" si="3"/>
        <v>-2.9419500002791921E-7</v>
      </c>
      <c r="K20" s="154"/>
      <c r="L20" s="154"/>
      <c r="M20" s="154"/>
      <c r="N20" s="154"/>
      <c r="O20" s="155"/>
    </row>
    <row r="21" spans="2:15" ht="15" customHeight="1">
      <c r="B21" s="148">
        <f t="shared" si="5"/>
        <v>15</v>
      </c>
      <c r="C21" s="162" t="s">
        <v>643</v>
      </c>
      <c r="D21" s="158">
        <f>'[4]Outbound-Group'!BB167</f>
        <v>1.5340286395</v>
      </c>
      <c r="E21" s="158">
        <f>'[4]Outbound-Group'!BC167</f>
        <v>1.5342578125000002</v>
      </c>
      <c r="F21" s="159">
        <f t="shared" si="4"/>
        <v>-2.2917300000013796E-4</v>
      </c>
      <c r="G21" s="160">
        <f>'[4]Inbound-Group'!AY166</f>
        <v>11.702112644040001</v>
      </c>
      <c r="H21" s="160">
        <f>'[4]Inbound-Group'!AZ166</f>
        <v>11.714140625000001</v>
      </c>
      <c r="I21" s="159">
        <f t="shared" si="2"/>
        <v>-1.202798095999924E-2</v>
      </c>
      <c r="J21" s="161">
        <f t="shared" si="3"/>
        <v>1.1798807959999102E-2</v>
      </c>
      <c r="K21" s="154"/>
      <c r="L21" s="154"/>
      <c r="M21" s="154"/>
      <c r="N21" s="154"/>
      <c r="O21" s="155"/>
    </row>
    <row r="22" spans="2:15" ht="15" customHeight="1">
      <c r="B22" s="156">
        <f t="shared" si="5"/>
        <v>16</v>
      </c>
      <c r="C22" s="157" t="s">
        <v>644</v>
      </c>
      <c r="D22" s="158">
        <f>'[4]Outbound-Group'!BB168</f>
        <v>1410.4760146469998</v>
      </c>
      <c r="E22" s="158">
        <f>'[4]Outbound-Group'!BC168</f>
        <v>438.76110937500005</v>
      </c>
      <c r="F22" s="159">
        <f t="shared" si="4"/>
        <v>971.71490527199978</v>
      </c>
      <c r="G22" s="160">
        <f>'[4]Inbound-Group'!AY167</f>
        <v>8170.1313692479598</v>
      </c>
      <c r="H22" s="160">
        <f>'[4]Inbound-Group'!AZ167</f>
        <v>7043.9877999999999</v>
      </c>
      <c r="I22" s="159">
        <f t="shared" si="2"/>
        <v>1126.1435692479599</v>
      </c>
      <c r="J22" s="161">
        <f t="shared" si="3"/>
        <v>-154.42866397596015</v>
      </c>
      <c r="K22" s="154">
        <f>'[4]Inbound-Group'!AY167</f>
        <v>8170.1313692479598</v>
      </c>
      <c r="L22" s="154">
        <f>'[4]Inbound-Group'!AZ167</f>
        <v>7043.9877999999999</v>
      </c>
      <c r="M22" s="154">
        <f t="shared" si="0"/>
        <v>1126.1435692479599</v>
      </c>
      <c r="N22" s="154">
        <f t="shared" si="1"/>
        <v>0</v>
      </c>
      <c r="O22" s="155"/>
    </row>
    <row r="23" spans="2:15" ht="15" customHeight="1">
      <c r="B23" s="148">
        <f t="shared" si="5"/>
        <v>17</v>
      </c>
      <c r="C23" s="157" t="s">
        <v>645</v>
      </c>
      <c r="D23" s="164">
        <f>'[4]Outbound-Group'!BB169</f>
        <v>15.213334031</v>
      </c>
      <c r="E23" s="164">
        <f>'[4]Outbound-Group'!BC169</f>
        <v>15.128828124999998</v>
      </c>
      <c r="F23" s="159">
        <f t="shared" si="4"/>
        <v>8.4505906000002184E-2</v>
      </c>
      <c r="G23" s="165">
        <f>'[4]Inbound-Group'!AY169</f>
        <v>0.34008179911999997</v>
      </c>
      <c r="H23" s="165">
        <f>'[4]Inbound-Group'!AZ169</f>
        <v>0.3400595703125</v>
      </c>
      <c r="I23" s="159">
        <f t="shared" si="2"/>
        <v>2.2228807499968806E-5</v>
      </c>
      <c r="J23" s="161">
        <f t="shared" si="3"/>
        <v>8.4483677192502216E-2</v>
      </c>
      <c r="K23" s="154">
        <f>'[4]Inbound-Group'!AY169</f>
        <v>0.34008179911999997</v>
      </c>
      <c r="L23" s="154">
        <f>'[4]Inbound-Group'!AZ169</f>
        <v>0.3400595703125</v>
      </c>
      <c r="M23" s="154">
        <f t="shared" si="0"/>
        <v>2.2228807499968806E-5</v>
      </c>
      <c r="N23" s="154">
        <f t="shared" si="1"/>
        <v>0</v>
      </c>
      <c r="O23" s="155"/>
    </row>
    <row r="24" spans="2:15" ht="15" customHeight="1">
      <c r="B24" s="156">
        <f t="shared" si="5"/>
        <v>18</v>
      </c>
      <c r="C24" s="163" t="s">
        <v>646</v>
      </c>
      <c r="D24" s="166">
        <f>'[4]Outbound-Group'!BB188</f>
        <v>5808.6566121735896</v>
      </c>
      <c r="E24" s="166">
        <f>'[4]Outbound-Group'!BC188</f>
        <v>5413.6713248046881</v>
      </c>
      <c r="F24" s="159">
        <f t="shared" si="4"/>
        <v>394.98528736890148</v>
      </c>
      <c r="G24" s="167">
        <f>'[4]Inbound-Group'!AY188</f>
        <v>91.528375446829997</v>
      </c>
      <c r="H24" s="167">
        <f>'[4]Inbound-Group'!AZ188</f>
        <v>90.719519140624982</v>
      </c>
      <c r="I24" s="159">
        <f t="shared" si="2"/>
        <v>0.80885630620501558</v>
      </c>
      <c r="J24" s="161">
        <f t="shared" si="3"/>
        <v>394.17643106269645</v>
      </c>
      <c r="K24" s="154"/>
      <c r="L24" s="154"/>
      <c r="M24" s="154"/>
      <c r="N24" s="154"/>
      <c r="O24" s="155"/>
    </row>
    <row r="25" spans="2:15" ht="15" customHeight="1">
      <c r="B25" s="148">
        <f t="shared" si="5"/>
        <v>19</v>
      </c>
      <c r="C25" s="168" t="s">
        <v>647</v>
      </c>
      <c r="D25" s="166">
        <f>'[4]Outbound-Group'!BB205</f>
        <v>696.15699056980998</v>
      </c>
      <c r="E25" s="166">
        <f>'[4]Outbound-Group'!BC205</f>
        <v>1040.227477055754</v>
      </c>
      <c r="F25" s="169">
        <f t="shared" si="4"/>
        <v>-344.070486485944</v>
      </c>
      <c r="G25" s="167">
        <f>'[4]Inbound-Group'!AY205</f>
        <v>43.863313794580009</v>
      </c>
      <c r="H25" s="167">
        <f>'[4]Inbound-Group'!AZ205</f>
        <v>80.488627049203487</v>
      </c>
      <c r="I25" s="169">
        <f t="shared" si="2"/>
        <v>-36.625313254623478</v>
      </c>
      <c r="J25" s="170">
        <f t="shared" si="3"/>
        <v>-307.4451732313205</v>
      </c>
      <c r="K25" s="154"/>
      <c r="L25" s="154"/>
      <c r="M25" s="154"/>
      <c r="N25" s="154"/>
      <c r="O25" s="155"/>
    </row>
    <row r="26" spans="2:15" ht="15" customHeight="1">
      <c r="B26" s="156">
        <f t="shared" si="5"/>
        <v>20</v>
      </c>
      <c r="C26" s="171" t="s">
        <v>648</v>
      </c>
      <c r="D26" s="166">
        <f>'[4]Outbound-Group'!BB206</f>
        <v>0</v>
      </c>
      <c r="E26" s="166">
        <f>'[4]Outbound-Group'!BC206</f>
        <v>0</v>
      </c>
      <c r="F26" s="169">
        <f t="shared" si="4"/>
        <v>0</v>
      </c>
      <c r="G26" s="167">
        <f>'[4]Inbound-Group'!AY206</f>
        <v>0</v>
      </c>
      <c r="H26" s="167">
        <f>'[4]Inbound-Group'!AZ206</f>
        <v>0</v>
      </c>
      <c r="I26" s="169">
        <f t="shared" si="2"/>
        <v>0</v>
      </c>
      <c r="J26" s="170">
        <f t="shared" si="3"/>
        <v>0</v>
      </c>
      <c r="K26" s="154"/>
      <c r="L26" s="154"/>
      <c r="M26" s="154"/>
      <c r="N26" s="154"/>
      <c r="O26" s="155"/>
    </row>
    <row r="27" spans="2:15" ht="15" customHeight="1">
      <c r="B27" s="148">
        <f t="shared" si="5"/>
        <v>21</v>
      </c>
      <c r="C27" s="168" t="s">
        <v>649</v>
      </c>
      <c r="D27" s="166">
        <f>'[4]Outbound-Group'!BB207</f>
        <v>1.0108519260000001E-2</v>
      </c>
      <c r="E27" s="166">
        <f>'[4]Outbound-Group'!BC207</f>
        <v>1.0107421875E-2</v>
      </c>
      <c r="F27" s="169">
        <f t="shared" si="4"/>
        <v>1.0973850000008806E-6</v>
      </c>
      <c r="G27" s="167">
        <f>'[4]Inbound-Group'!AY207</f>
        <v>168.66858841160999</v>
      </c>
      <c r="H27" s="167">
        <f>'[4]Inbound-Group'!AZ207</f>
        <v>168.66611328124998</v>
      </c>
      <c r="I27" s="169">
        <f t="shared" si="2"/>
        <v>2.4751303600112351E-3</v>
      </c>
      <c r="J27" s="170">
        <f t="shared" si="3"/>
        <v>-2.4740329750112342E-3</v>
      </c>
      <c r="K27" s="154"/>
      <c r="L27" s="154"/>
      <c r="M27" s="154"/>
      <c r="N27" s="154"/>
      <c r="O27" s="155"/>
    </row>
    <row r="28" spans="2:15" ht="15" customHeight="1">
      <c r="B28" s="156">
        <f t="shared" si="5"/>
        <v>22</v>
      </c>
      <c r="C28" s="168" t="s">
        <v>650</v>
      </c>
      <c r="D28" s="166">
        <f>'[4]Outbound-Group'!BB208+'[4]Outbound-Group'!BB209</f>
        <v>109.03602346</v>
      </c>
      <c r="E28" s="166">
        <f>'[4]Outbound-Group'!BC208+'[4]Outbound-Group'!BC209</f>
        <v>2219.4767116410758</v>
      </c>
      <c r="F28" s="169">
        <f t="shared" si="4"/>
        <v>-2110.440688181076</v>
      </c>
      <c r="G28" s="167">
        <f>'[4]Inbound-Group'!AY208+'[4]Inbound-Group'!AY209</f>
        <v>2.3446144657599999</v>
      </c>
      <c r="H28" s="167">
        <f>'[4]Inbound-Group'!AZ208+'[4]Inbound-Group'!AZ209</f>
        <v>31.6640625</v>
      </c>
      <c r="I28" s="169">
        <f t="shared" si="2"/>
        <v>-29.319448034240001</v>
      </c>
      <c r="J28" s="170">
        <f t="shared" si="3"/>
        <v>-2081.121240146836</v>
      </c>
      <c r="K28" s="154"/>
      <c r="L28" s="154"/>
      <c r="M28" s="154"/>
      <c r="N28" s="154"/>
      <c r="O28" s="155"/>
    </row>
    <row r="29" spans="2:15" ht="15" customHeight="1">
      <c r="B29" s="156">
        <f t="shared" si="5"/>
        <v>23</v>
      </c>
      <c r="C29" s="168" t="s">
        <v>651</v>
      </c>
      <c r="D29" s="166">
        <f>'[4]Outbound-Group'!BB210</f>
        <v>0</v>
      </c>
      <c r="E29" s="166">
        <f>'[4]Outbound-Group'!BC210</f>
        <v>0</v>
      </c>
      <c r="F29" s="169">
        <f t="shared" si="4"/>
        <v>0</v>
      </c>
      <c r="G29" s="167">
        <f>'[4]Inbound-Group'!AY210</f>
        <v>0</v>
      </c>
      <c r="H29" s="167">
        <f>'[4]Inbound-Group'!AZ210</f>
        <v>0</v>
      </c>
      <c r="I29" s="169">
        <f t="shared" si="2"/>
        <v>0</v>
      </c>
      <c r="J29" s="170">
        <f t="shared" si="3"/>
        <v>0</v>
      </c>
      <c r="K29" s="154"/>
      <c r="L29" s="154"/>
      <c r="M29" s="154"/>
      <c r="N29" s="154"/>
      <c r="O29" s="155"/>
    </row>
    <row r="30" spans="2:15" ht="15" customHeight="1">
      <c r="B30" s="156">
        <v>24</v>
      </c>
      <c r="C30" s="168" t="s">
        <v>652</v>
      </c>
      <c r="D30" s="166">
        <f>'[4]Outbound-Group'!BB210+'[4]Outbound-Group'!BB211</f>
        <v>0</v>
      </c>
      <c r="E30" s="166">
        <f>'[4]Outbound-Group'!BC210+'[4]Outbound-Group'!BC211</f>
        <v>0</v>
      </c>
      <c r="F30" s="169">
        <f t="shared" si="4"/>
        <v>0</v>
      </c>
      <c r="G30" s="167">
        <f>'[4]Inbound-Group'!AY210+'[4]Inbound-Group'!AY211</f>
        <v>0</v>
      </c>
      <c r="H30" s="167">
        <f>'[4]Inbound-Group'!AZ210+'[4]Inbound-Group'!AZ211</f>
        <v>0</v>
      </c>
      <c r="I30" s="169">
        <f t="shared" si="2"/>
        <v>0</v>
      </c>
      <c r="J30" s="170">
        <f t="shared" si="3"/>
        <v>0</v>
      </c>
      <c r="K30" s="154"/>
      <c r="L30" s="154"/>
      <c r="M30" s="154"/>
      <c r="N30" s="154"/>
      <c r="O30" s="155"/>
    </row>
    <row r="31" spans="2:15" ht="15" customHeight="1">
      <c r="B31" s="156">
        <v>25</v>
      </c>
      <c r="C31" s="168" t="s">
        <v>536</v>
      </c>
      <c r="D31" s="166">
        <f>'[4]Outbound-Group'!BB211+'[4]Outbound-Group'!BB212</f>
        <v>4.0076427642999999</v>
      </c>
      <c r="E31" s="166">
        <f>'[4]Outbound-Group'!BC211+'[4]Outbound-Group'!BC212</f>
        <v>4.0079521484375</v>
      </c>
      <c r="F31" s="169">
        <f t="shared" si="4"/>
        <v>-3.0938413750014604E-4</v>
      </c>
      <c r="G31" s="167">
        <f>'[4]Inbound-Group'!AY211+'[4]Inbound-Group'!AY212</f>
        <v>1.3548276E-4</v>
      </c>
      <c r="H31" s="167">
        <f>'[4]Inbound-Group'!AZ211+'[4]Inbound-Group'!AZ212</f>
        <v>1.6113281250000001E-4</v>
      </c>
      <c r="I31" s="169">
        <f t="shared" si="2"/>
        <v>-2.5650052500000007E-5</v>
      </c>
      <c r="J31" s="170">
        <f t="shared" si="3"/>
        <v>-2.8373408500014603E-4</v>
      </c>
      <c r="K31" s="154"/>
      <c r="L31" s="154"/>
      <c r="M31" s="154"/>
      <c r="N31" s="154"/>
      <c r="O31" s="155"/>
    </row>
    <row r="32" spans="2:15" ht="15" customHeight="1">
      <c r="B32" s="156">
        <v>25</v>
      </c>
      <c r="C32" s="168" t="s">
        <v>558</v>
      </c>
      <c r="D32" s="166">
        <f>'[4]Outbound-Group'!BB213+'[4]Outbound-Group'!BB214+'[4]Outbound-Group'!BB215+'[4]Outbound-Group'!BB216+'[4]Outbound-Group'!BB217</f>
        <v>0</v>
      </c>
      <c r="E32" s="166">
        <f>'[4]Outbound-Group'!BC213+'[4]Outbound-Group'!BC214+'[4]Outbound-Group'!BC215+'[4]Outbound-Group'!BC216+'[4]Outbound-Group'!BC217</f>
        <v>0</v>
      </c>
      <c r="F32" s="169">
        <f t="shared" si="4"/>
        <v>0</v>
      </c>
      <c r="G32" s="167">
        <f>'[4]Inbound-Group'!AY213+'[4]Inbound-Group'!AY214+'[4]Inbound-Group'!AY215+'[4]Inbound-Group'!AY216+'[4]Inbound-Group'!AY217</f>
        <v>21780.307733703819</v>
      </c>
      <c r="H32" s="167">
        <f>'[4]Inbound-Group'!AZ213+'[4]Inbound-Group'!AZ214+'[4]Inbound-Group'!AZ215+'[4]Inbound-Group'!AZ216+'[4]Inbound-Group'!AZ217</f>
        <v>22622.267553605634</v>
      </c>
      <c r="I32" s="169">
        <f t="shared" si="2"/>
        <v>-841.95981990181463</v>
      </c>
      <c r="J32" s="170">
        <f t="shared" si="3"/>
        <v>841.95981990181463</v>
      </c>
      <c r="K32" s="154"/>
      <c r="L32" s="154"/>
      <c r="M32" s="154"/>
      <c r="N32" s="154"/>
      <c r="O32" s="155"/>
    </row>
    <row r="33" spans="2:15" ht="15" customHeight="1">
      <c r="B33" s="156">
        <v>26</v>
      </c>
      <c r="C33" s="168" t="s">
        <v>653</v>
      </c>
      <c r="D33" s="166">
        <f>'[4]Outbound-Group'!BB218</f>
        <v>0</v>
      </c>
      <c r="E33" s="166">
        <f>'[4]Outbound-Group'!BC218</f>
        <v>0</v>
      </c>
      <c r="F33" s="169">
        <f t="shared" si="4"/>
        <v>0</v>
      </c>
      <c r="G33" s="167">
        <f>'[4]Inbound-Group'!AY218</f>
        <v>0</v>
      </c>
      <c r="H33" s="167">
        <f>'[4]Inbound-Group'!AZ218</f>
        <v>0</v>
      </c>
      <c r="I33" s="169">
        <f t="shared" si="2"/>
        <v>0</v>
      </c>
      <c r="J33" s="170">
        <f t="shared" si="3"/>
        <v>0</v>
      </c>
      <c r="K33" s="154"/>
      <c r="L33" s="154"/>
      <c r="M33" s="154"/>
      <c r="N33" s="154"/>
      <c r="O33" s="155"/>
    </row>
    <row r="34" spans="2:15" ht="15" customHeight="1" thickBot="1">
      <c r="B34" s="156"/>
      <c r="C34" s="168"/>
      <c r="D34" s="166"/>
      <c r="E34" s="166"/>
      <c r="F34" s="169"/>
      <c r="G34" s="167"/>
      <c r="H34" s="167"/>
      <c r="I34" s="169"/>
      <c r="J34" s="170"/>
      <c r="K34" s="154"/>
      <c r="L34" s="154"/>
      <c r="M34" s="154"/>
      <c r="N34" s="154"/>
      <c r="O34" s="155"/>
    </row>
    <row r="35" spans="2:15" ht="15.95" customHeight="1" thickTop="1" thickBot="1">
      <c r="B35" s="227" t="s">
        <v>654</v>
      </c>
      <c r="C35" s="227"/>
      <c r="D35" s="172">
        <f t="shared" ref="D35:I35" si="6">SUM(D7:D32)</f>
        <v>11694.53952406124</v>
      </c>
      <c r="E35" s="172">
        <f t="shared" si="6"/>
        <v>13391.665408063735</v>
      </c>
      <c r="F35" s="172">
        <f>SUM(F7:F33)</f>
        <v>-1697.1258840024955</v>
      </c>
      <c r="G35" s="172">
        <f t="shared" si="6"/>
        <v>59313.276638792056</v>
      </c>
      <c r="H35" s="172">
        <f t="shared" si="6"/>
        <v>61184.744748603218</v>
      </c>
      <c r="I35" s="172">
        <f t="shared" si="6"/>
        <v>-1871.4681098111594</v>
      </c>
      <c r="J35" s="172">
        <f>SUM(J7:J34)</f>
        <v>174.34222580866424</v>
      </c>
      <c r="K35" s="154" t="e">
        <f t="shared" ref="K35:M35" si="7">SUM(K7:K23)</f>
        <v>#REF!</v>
      </c>
      <c r="L35" s="154" t="e">
        <f t="shared" si="7"/>
        <v>#REF!</v>
      </c>
      <c r="M35" s="154" t="e">
        <f t="shared" si="7"/>
        <v>#REF!</v>
      </c>
      <c r="N35" s="155"/>
      <c r="O35" s="155"/>
    </row>
    <row r="36" spans="2:15" ht="14.45" thickTop="1">
      <c r="G36" s="173"/>
    </row>
    <row r="37" spans="2:15">
      <c r="I37" s="174"/>
    </row>
    <row r="38" spans="2:15">
      <c r="G38" s="174"/>
    </row>
  </sheetData>
  <mergeCells count="7">
    <mergeCell ref="B35:C35"/>
    <mergeCell ref="B3:J3"/>
    <mergeCell ref="B5:B6"/>
    <mergeCell ref="C5:C6"/>
    <mergeCell ref="D5:F5"/>
    <mergeCell ref="G5:I5"/>
    <mergeCell ref="J5:J6"/>
  </mergeCells>
  <pageMargins left="0.78749999999999998" right="0.78749999999999998" top="1.0249999999999999" bottom="1.0249999999999999" header="0.78749999999999998" footer="0.78749999999999998"/>
  <pageSetup orientation="portrait" r:id="rId1"/>
  <headerFooter>
    <oddHeader>&amp;C&amp;"Arial,Regular"&amp;10&amp;A</oddHeader>
    <oddFooter>&amp;C&amp;"Arial,Regular"&amp;10Page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B3AE-339E-46BE-9EFB-7006EDEAEF37}">
  <dimension ref="A1:Q415"/>
  <sheetViews>
    <sheetView topLeftCell="A12" zoomScale="90" zoomScaleNormal="90" workbookViewId="0">
      <selection activeCell="E3" sqref="E3:E33"/>
    </sheetView>
  </sheetViews>
  <sheetFormatPr defaultColWidth="11.85546875" defaultRowHeight="13.9"/>
  <cols>
    <col min="1" max="1" width="26.7109375" style="111" bestFit="1" customWidth="1"/>
    <col min="2" max="2" width="13.85546875" style="119" bestFit="1" customWidth="1"/>
    <col min="3" max="3" width="12.140625" style="120" bestFit="1" customWidth="1"/>
    <col min="4" max="4" width="9.42578125" style="121" bestFit="1" customWidth="1"/>
    <col min="5" max="5" width="12.85546875" style="119" bestFit="1" customWidth="1"/>
    <col min="6" max="6" width="11.85546875" style="113"/>
    <col min="7" max="7" width="15.42578125" style="122" bestFit="1" customWidth="1"/>
    <col min="8" max="8" width="10.42578125" style="122" bestFit="1" customWidth="1"/>
    <col min="9" max="9" width="13.85546875" style="122" bestFit="1" customWidth="1"/>
    <col min="10" max="10" width="16.42578125" style="113" bestFit="1" customWidth="1"/>
    <col min="11" max="11" width="13.140625" style="123" bestFit="1" customWidth="1"/>
    <col min="12" max="12" width="8.85546875" style="123" bestFit="1" customWidth="1"/>
    <col min="13" max="13" width="12.140625" style="123" bestFit="1" customWidth="1"/>
    <col min="14" max="14" width="13.140625" style="111" bestFit="1" customWidth="1"/>
    <col min="15" max="15" width="11.85546875" style="113"/>
    <col min="16" max="16" width="12.42578125" style="113" bestFit="1" customWidth="1"/>
    <col min="17" max="17" width="13.140625" style="113" bestFit="1" customWidth="1"/>
    <col min="18" max="20" width="11.85546875" style="113"/>
    <col min="21" max="21" width="14.5703125" style="113" bestFit="1" customWidth="1"/>
    <col min="22" max="22" width="11.85546875" style="113" bestFit="1" customWidth="1"/>
    <col min="23" max="23" width="14.42578125" style="113" bestFit="1" customWidth="1"/>
    <col min="24" max="24" width="15.42578125" style="113" bestFit="1" customWidth="1"/>
    <col min="25" max="16384" width="11.85546875" style="113"/>
  </cols>
  <sheetData>
    <row r="1" spans="1:14">
      <c r="B1" s="112"/>
      <c r="C1" s="234" t="s">
        <v>90</v>
      </c>
      <c r="D1" s="234"/>
      <c r="E1" s="234"/>
      <c r="G1" s="235" t="s">
        <v>656</v>
      </c>
      <c r="H1" s="235"/>
      <c r="I1" s="235"/>
      <c r="K1" s="235" t="s">
        <v>657</v>
      </c>
      <c r="L1" s="235"/>
      <c r="M1" s="235"/>
      <c r="N1" s="236" t="s">
        <v>97</v>
      </c>
    </row>
    <row r="2" spans="1:14">
      <c r="A2" s="114" t="s">
        <v>658</v>
      </c>
      <c r="B2" s="115" t="s">
        <v>659</v>
      </c>
      <c r="C2" s="116" t="s">
        <v>660</v>
      </c>
      <c r="D2" s="117" t="s">
        <v>95</v>
      </c>
      <c r="E2" s="115" t="s">
        <v>96</v>
      </c>
      <c r="F2" s="111"/>
      <c r="G2" s="116" t="s">
        <v>660</v>
      </c>
      <c r="H2" s="117" t="s">
        <v>95</v>
      </c>
      <c r="I2" s="116" t="s">
        <v>96</v>
      </c>
      <c r="J2" s="111"/>
      <c r="K2" s="116" t="s">
        <v>660</v>
      </c>
      <c r="L2" s="117" t="s">
        <v>95</v>
      </c>
      <c r="M2" s="116" t="s">
        <v>96</v>
      </c>
      <c r="N2" s="236"/>
    </row>
    <row r="3" spans="1:14">
      <c r="A3" s="131">
        <v>45778</v>
      </c>
      <c r="C3" s="120">
        <v>846210</v>
      </c>
      <c r="D3" s="121">
        <v>3175</v>
      </c>
      <c r="E3" s="119">
        <v>11370.8131699844</v>
      </c>
      <c r="G3" s="132">
        <f>6/1.18</f>
        <v>5.0847457627118651</v>
      </c>
      <c r="H3" s="132">
        <f>0.6/1.18</f>
        <v>0.50847457627118642</v>
      </c>
      <c r="I3" s="132">
        <f>400/1.18</f>
        <v>338.98305084745766</v>
      </c>
      <c r="K3" s="129">
        <f t="shared" ref="K3:M18" si="0">C3*G3</f>
        <v>4302762.7118644072</v>
      </c>
      <c r="L3" s="129">
        <f t="shared" si="0"/>
        <v>1614.4067796610168</v>
      </c>
      <c r="M3" s="129">
        <f t="shared" si="0"/>
        <v>3854512.9389777631</v>
      </c>
      <c r="N3" s="129">
        <f>SUM(K3:M3)</f>
        <v>8158890.0576218311</v>
      </c>
    </row>
    <row r="4" spans="1:14">
      <c r="A4" s="131">
        <v>45779</v>
      </c>
      <c r="C4" s="120">
        <v>1261645</v>
      </c>
      <c r="D4" s="121">
        <v>4864</v>
      </c>
      <c r="E4" s="119">
        <v>11370.8131699844</v>
      </c>
      <c r="G4" s="132">
        <f t="shared" ref="G4:G33" si="1">6/1.18</f>
        <v>5.0847457627118651</v>
      </c>
      <c r="H4" s="132">
        <f t="shared" ref="H4:H33" si="2">0.6/1.18</f>
        <v>0.50847457627118642</v>
      </c>
      <c r="I4" s="132">
        <f t="shared" ref="I4:I33" si="3">400/1.18</f>
        <v>338.98305084745766</v>
      </c>
      <c r="K4" s="129">
        <f t="shared" si="0"/>
        <v>6415144.0677966112</v>
      </c>
      <c r="L4" s="129">
        <f t="shared" si="0"/>
        <v>2473.2203389830506</v>
      </c>
      <c r="M4" s="129">
        <f t="shared" si="0"/>
        <v>3854512.9389777631</v>
      </c>
      <c r="N4" s="129">
        <f t="shared" ref="N4:N33" si="4">SUM(K4:M4)</f>
        <v>10272130.227113359</v>
      </c>
    </row>
    <row r="5" spans="1:14">
      <c r="A5" s="131">
        <v>45780</v>
      </c>
      <c r="C5" s="120">
        <v>1302502</v>
      </c>
      <c r="D5" s="121">
        <v>4678</v>
      </c>
      <c r="E5" s="119">
        <v>11370.8131699844</v>
      </c>
      <c r="G5" s="132">
        <f t="shared" si="1"/>
        <v>5.0847457627118651</v>
      </c>
      <c r="H5" s="132">
        <f t="shared" si="2"/>
        <v>0.50847457627118642</v>
      </c>
      <c r="I5" s="132">
        <f t="shared" si="3"/>
        <v>338.98305084745766</v>
      </c>
      <c r="K5" s="129">
        <f t="shared" si="0"/>
        <v>6622891.5254237298</v>
      </c>
      <c r="L5" s="129">
        <f t="shared" si="0"/>
        <v>2378.6440677966102</v>
      </c>
      <c r="M5" s="129">
        <f t="shared" si="0"/>
        <v>3854512.9389777631</v>
      </c>
      <c r="N5" s="129">
        <f t="shared" si="4"/>
        <v>10479783.108469289</v>
      </c>
    </row>
    <row r="6" spans="1:14">
      <c r="A6" s="131">
        <v>45781</v>
      </c>
      <c r="C6" s="120">
        <v>1415064</v>
      </c>
      <c r="D6" s="121">
        <v>5008</v>
      </c>
      <c r="E6" s="119">
        <v>11370.8131699844</v>
      </c>
      <c r="G6" s="132">
        <f t="shared" si="1"/>
        <v>5.0847457627118651</v>
      </c>
      <c r="H6" s="132">
        <f t="shared" si="2"/>
        <v>0.50847457627118642</v>
      </c>
      <c r="I6" s="132">
        <f t="shared" si="3"/>
        <v>338.98305084745766</v>
      </c>
      <c r="K6" s="129">
        <f t="shared" si="0"/>
        <v>7195240.677966103</v>
      </c>
      <c r="L6" s="129">
        <f t="shared" si="0"/>
        <v>2546.4406779661017</v>
      </c>
      <c r="M6" s="129">
        <f t="shared" si="0"/>
        <v>3854512.9389777631</v>
      </c>
      <c r="N6" s="129">
        <f t="shared" si="4"/>
        <v>11052300.057621833</v>
      </c>
    </row>
    <row r="7" spans="1:14">
      <c r="A7" s="131">
        <v>45782</v>
      </c>
      <c r="C7" s="120">
        <v>1397044</v>
      </c>
      <c r="D7" s="121">
        <v>4847</v>
      </c>
      <c r="E7" s="119">
        <v>11370.8131699844</v>
      </c>
      <c r="G7" s="132">
        <f t="shared" si="1"/>
        <v>5.0847457627118651</v>
      </c>
      <c r="H7" s="132">
        <f t="shared" si="2"/>
        <v>0.50847457627118642</v>
      </c>
      <c r="I7" s="132">
        <f t="shared" si="3"/>
        <v>338.98305084745766</v>
      </c>
      <c r="K7" s="129">
        <f t="shared" si="0"/>
        <v>7103613.5593220349</v>
      </c>
      <c r="L7" s="129">
        <f t="shared" si="0"/>
        <v>2464.5762711864404</v>
      </c>
      <c r="M7" s="129">
        <f t="shared" si="0"/>
        <v>3854512.9389777631</v>
      </c>
      <c r="N7" s="129">
        <f t="shared" si="4"/>
        <v>10960591.074570984</v>
      </c>
    </row>
    <row r="8" spans="1:14">
      <c r="A8" s="131">
        <v>45783</v>
      </c>
      <c r="C8" s="120">
        <v>1411053</v>
      </c>
      <c r="D8" s="121">
        <v>4460</v>
      </c>
      <c r="E8" s="119">
        <v>11370.8131699844</v>
      </c>
      <c r="G8" s="132">
        <f t="shared" si="1"/>
        <v>5.0847457627118651</v>
      </c>
      <c r="H8" s="132">
        <f t="shared" si="2"/>
        <v>0.50847457627118642</v>
      </c>
      <c r="I8" s="132">
        <f t="shared" si="3"/>
        <v>338.98305084745766</v>
      </c>
      <c r="K8" s="129">
        <f t="shared" si="0"/>
        <v>7174845.7627118649</v>
      </c>
      <c r="L8" s="129">
        <f t="shared" si="0"/>
        <v>2267.7966101694915</v>
      </c>
      <c r="M8" s="129">
        <f t="shared" si="0"/>
        <v>3854512.9389777631</v>
      </c>
      <c r="N8" s="129">
        <f t="shared" si="4"/>
        <v>11031626.498299796</v>
      </c>
    </row>
    <row r="9" spans="1:14">
      <c r="A9" s="131">
        <v>45784</v>
      </c>
      <c r="C9" s="120">
        <v>1390820</v>
      </c>
      <c r="D9" s="121">
        <v>4660</v>
      </c>
      <c r="E9" s="119">
        <v>11370.8131699844</v>
      </c>
      <c r="G9" s="132">
        <f t="shared" si="1"/>
        <v>5.0847457627118651</v>
      </c>
      <c r="H9" s="132">
        <f t="shared" si="2"/>
        <v>0.50847457627118642</v>
      </c>
      <c r="I9" s="132">
        <f t="shared" si="3"/>
        <v>338.98305084745766</v>
      </c>
      <c r="K9" s="129">
        <f t="shared" si="0"/>
        <v>7071966.1016949164</v>
      </c>
      <c r="L9" s="129">
        <f t="shared" si="0"/>
        <v>2369.4915254237285</v>
      </c>
      <c r="M9" s="129">
        <f t="shared" si="0"/>
        <v>3854512.9389777631</v>
      </c>
      <c r="N9" s="129">
        <f t="shared" si="4"/>
        <v>10928848.532198103</v>
      </c>
    </row>
    <row r="10" spans="1:14">
      <c r="A10" s="131">
        <v>45785</v>
      </c>
      <c r="C10" s="120">
        <v>1393772</v>
      </c>
      <c r="D10" s="121">
        <v>4407</v>
      </c>
      <c r="E10" s="119">
        <v>11370.8131699844</v>
      </c>
      <c r="G10" s="132">
        <f t="shared" si="1"/>
        <v>5.0847457627118651</v>
      </c>
      <c r="H10" s="132">
        <f t="shared" si="2"/>
        <v>0.50847457627118642</v>
      </c>
      <c r="I10" s="132">
        <f t="shared" si="3"/>
        <v>338.98305084745766</v>
      </c>
      <c r="K10" s="129">
        <f t="shared" si="0"/>
        <v>7086976.2711864412</v>
      </c>
      <c r="L10" s="129">
        <f t="shared" si="0"/>
        <v>2240.8474576271187</v>
      </c>
      <c r="M10" s="129">
        <f t="shared" si="0"/>
        <v>3854512.9389777631</v>
      </c>
      <c r="N10" s="129">
        <f t="shared" si="4"/>
        <v>10943730.057621831</v>
      </c>
    </row>
    <row r="11" spans="1:14">
      <c r="A11" s="131">
        <v>45786</v>
      </c>
      <c r="C11" s="120">
        <v>1430400</v>
      </c>
      <c r="D11" s="121">
        <v>4387</v>
      </c>
      <c r="E11" s="119">
        <v>11370.8131699844</v>
      </c>
      <c r="G11" s="132">
        <f t="shared" si="1"/>
        <v>5.0847457627118651</v>
      </c>
      <c r="H11" s="132">
        <f t="shared" si="2"/>
        <v>0.50847457627118642</v>
      </c>
      <c r="I11" s="132">
        <f t="shared" si="3"/>
        <v>338.98305084745766</v>
      </c>
      <c r="K11" s="129">
        <f t="shared" si="0"/>
        <v>7273220.3389830515</v>
      </c>
      <c r="L11" s="129">
        <f t="shared" si="0"/>
        <v>2230.6779661016949</v>
      </c>
      <c r="M11" s="129">
        <f t="shared" si="0"/>
        <v>3854512.9389777631</v>
      </c>
      <c r="N11" s="129">
        <f t="shared" si="4"/>
        <v>11129963.955926917</v>
      </c>
    </row>
    <row r="12" spans="1:14">
      <c r="A12" s="131">
        <v>45787</v>
      </c>
      <c r="C12" s="120">
        <v>1451830</v>
      </c>
      <c r="D12" s="121">
        <v>4988</v>
      </c>
      <c r="E12" s="119">
        <v>11370.8131699844</v>
      </c>
      <c r="G12" s="132">
        <f t="shared" si="1"/>
        <v>5.0847457627118651</v>
      </c>
      <c r="H12" s="132">
        <f t="shared" si="2"/>
        <v>0.50847457627118642</v>
      </c>
      <c r="I12" s="132">
        <f t="shared" si="3"/>
        <v>338.98305084745766</v>
      </c>
      <c r="K12" s="129">
        <f t="shared" si="0"/>
        <v>7382186.4406779669</v>
      </c>
      <c r="L12" s="129">
        <f t="shared" si="0"/>
        <v>2536.2711864406779</v>
      </c>
      <c r="M12" s="129">
        <f t="shared" si="0"/>
        <v>3854512.9389777631</v>
      </c>
      <c r="N12" s="129">
        <f t="shared" si="4"/>
        <v>11239235.650842171</v>
      </c>
    </row>
    <row r="13" spans="1:14">
      <c r="A13" s="131">
        <v>45788</v>
      </c>
      <c r="C13" s="120">
        <v>1460083</v>
      </c>
      <c r="D13" s="121">
        <v>4520</v>
      </c>
      <c r="E13" s="119">
        <v>11370.8131699844</v>
      </c>
      <c r="G13" s="132">
        <f t="shared" si="1"/>
        <v>5.0847457627118651</v>
      </c>
      <c r="H13" s="132">
        <f t="shared" si="2"/>
        <v>0.50847457627118642</v>
      </c>
      <c r="I13" s="132">
        <f t="shared" si="3"/>
        <v>338.98305084745766</v>
      </c>
      <c r="K13" s="129">
        <f t="shared" si="0"/>
        <v>7424150.8474576278</v>
      </c>
      <c r="L13" s="129">
        <f t="shared" si="0"/>
        <v>2298.3050847457625</v>
      </c>
      <c r="M13" s="129">
        <f t="shared" si="0"/>
        <v>3854512.9389777631</v>
      </c>
      <c r="N13" s="129">
        <f t="shared" si="4"/>
        <v>11280962.091520136</v>
      </c>
    </row>
    <row r="14" spans="1:14">
      <c r="A14" s="131">
        <v>45789</v>
      </c>
      <c r="C14" s="120">
        <v>1464270</v>
      </c>
      <c r="D14" s="121">
        <v>4222</v>
      </c>
      <c r="E14" s="119">
        <v>11370.8131699844</v>
      </c>
      <c r="G14" s="132">
        <f t="shared" si="1"/>
        <v>5.0847457627118651</v>
      </c>
      <c r="H14" s="132">
        <f t="shared" si="2"/>
        <v>0.50847457627118642</v>
      </c>
      <c r="I14" s="132">
        <f t="shared" si="3"/>
        <v>338.98305084745766</v>
      </c>
      <c r="K14" s="129">
        <f t="shared" si="0"/>
        <v>7445440.677966103</v>
      </c>
      <c r="L14" s="129">
        <f t="shared" si="0"/>
        <v>2146.7796610169489</v>
      </c>
      <c r="M14" s="129">
        <f t="shared" si="0"/>
        <v>3854512.9389777631</v>
      </c>
      <c r="N14" s="129">
        <f t="shared" si="4"/>
        <v>11302100.396604883</v>
      </c>
    </row>
    <row r="15" spans="1:14">
      <c r="A15" s="131">
        <v>45790</v>
      </c>
      <c r="C15" s="120">
        <v>1486197</v>
      </c>
      <c r="D15" s="121">
        <v>4628</v>
      </c>
      <c r="E15" s="119">
        <v>11370.8131699844</v>
      </c>
      <c r="G15" s="132">
        <f t="shared" si="1"/>
        <v>5.0847457627118651</v>
      </c>
      <c r="H15" s="132">
        <f t="shared" si="2"/>
        <v>0.50847457627118642</v>
      </c>
      <c r="I15" s="132">
        <f t="shared" si="3"/>
        <v>338.98305084745766</v>
      </c>
      <c r="K15" s="129">
        <f t="shared" si="0"/>
        <v>7556933.8983050855</v>
      </c>
      <c r="L15" s="129">
        <f t="shared" si="0"/>
        <v>2353.2203389830506</v>
      </c>
      <c r="M15" s="129">
        <f t="shared" si="0"/>
        <v>3854512.9389777631</v>
      </c>
      <c r="N15" s="129">
        <f t="shared" si="4"/>
        <v>11413800.057621833</v>
      </c>
    </row>
    <row r="16" spans="1:14">
      <c r="A16" s="131">
        <v>45791</v>
      </c>
      <c r="C16" s="120">
        <v>1510774</v>
      </c>
      <c r="D16" s="121">
        <v>4672</v>
      </c>
      <c r="E16" s="119">
        <v>11370.8131699844</v>
      </c>
      <c r="G16" s="132">
        <f t="shared" si="1"/>
        <v>5.0847457627118651</v>
      </c>
      <c r="H16" s="132">
        <f t="shared" si="2"/>
        <v>0.50847457627118642</v>
      </c>
      <c r="I16" s="132">
        <f t="shared" si="3"/>
        <v>338.98305084745766</v>
      </c>
      <c r="K16" s="129">
        <f t="shared" si="0"/>
        <v>7681901.6949152555</v>
      </c>
      <c r="L16" s="129">
        <f t="shared" si="0"/>
        <v>2375.593220338983</v>
      </c>
      <c r="M16" s="129">
        <f t="shared" si="0"/>
        <v>3854512.9389777631</v>
      </c>
      <c r="N16" s="129">
        <f t="shared" si="4"/>
        <v>11538790.227113359</v>
      </c>
    </row>
    <row r="17" spans="1:14">
      <c r="A17" s="131">
        <v>45792</v>
      </c>
      <c r="C17" s="120">
        <v>1489901</v>
      </c>
      <c r="D17" s="121">
        <v>4171</v>
      </c>
      <c r="E17" s="119">
        <v>11370.8131699844</v>
      </c>
      <c r="G17" s="132">
        <f t="shared" si="1"/>
        <v>5.0847457627118651</v>
      </c>
      <c r="H17" s="132">
        <f t="shared" si="2"/>
        <v>0.50847457627118642</v>
      </c>
      <c r="I17" s="132">
        <f t="shared" si="3"/>
        <v>338.98305084745766</v>
      </c>
      <c r="K17" s="129">
        <f t="shared" si="0"/>
        <v>7575767.79661017</v>
      </c>
      <c r="L17" s="129">
        <f t="shared" si="0"/>
        <v>2120.8474576271187</v>
      </c>
      <c r="M17" s="129">
        <f t="shared" si="0"/>
        <v>3854512.9389777631</v>
      </c>
      <c r="N17" s="129">
        <f t="shared" si="4"/>
        <v>11432401.583045561</v>
      </c>
    </row>
    <row r="18" spans="1:14">
      <c r="A18" s="131">
        <v>45793</v>
      </c>
      <c r="C18" s="120">
        <v>1540824</v>
      </c>
      <c r="D18" s="121">
        <v>4333</v>
      </c>
      <c r="E18" s="119">
        <v>11370.8131699844</v>
      </c>
      <c r="G18" s="132">
        <f t="shared" si="1"/>
        <v>5.0847457627118651</v>
      </c>
      <c r="H18" s="132">
        <f t="shared" si="2"/>
        <v>0.50847457627118642</v>
      </c>
      <c r="I18" s="132">
        <f t="shared" si="3"/>
        <v>338.98305084745766</v>
      </c>
      <c r="K18" s="129">
        <f t="shared" si="0"/>
        <v>7834698.3050847463</v>
      </c>
      <c r="L18" s="129">
        <f t="shared" si="0"/>
        <v>2203.2203389830506</v>
      </c>
      <c r="M18" s="129">
        <f t="shared" si="0"/>
        <v>3854512.9389777631</v>
      </c>
      <c r="N18" s="129">
        <f t="shared" si="4"/>
        <v>11691414.464401493</v>
      </c>
    </row>
    <row r="19" spans="1:14">
      <c r="A19" s="131">
        <v>45794</v>
      </c>
      <c r="C19" s="120">
        <v>1484484</v>
      </c>
      <c r="D19" s="121">
        <v>4973</v>
      </c>
      <c r="E19" s="119">
        <v>11370.8131699844</v>
      </c>
      <c r="G19" s="132">
        <f t="shared" si="1"/>
        <v>5.0847457627118651</v>
      </c>
      <c r="H19" s="132">
        <f t="shared" si="2"/>
        <v>0.50847457627118642</v>
      </c>
      <c r="I19" s="132">
        <f t="shared" si="3"/>
        <v>338.98305084745766</v>
      </c>
      <c r="K19" s="129">
        <f t="shared" ref="K19:M23" si="5">C19*G19</f>
        <v>7548223.7288135607</v>
      </c>
      <c r="L19" s="129">
        <f t="shared" si="5"/>
        <v>2528.6440677966102</v>
      </c>
      <c r="M19" s="129">
        <f t="shared" si="5"/>
        <v>3854512.9389777631</v>
      </c>
      <c r="N19" s="129">
        <f t="shared" si="4"/>
        <v>11405265.31185912</v>
      </c>
    </row>
    <row r="20" spans="1:14">
      <c r="A20" s="131">
        <v>45795</v>
      </c>
      <c r="C20" s="120">
        <v>1425456</v>
      </c>
      <c r="D20" s="121">
        <v>4351</v>
      </c>
      <c r="E20" s="119">
        <v>11370.8131699844</v>
      </c>
      <c r="G20" s="132">
        <f t="shared" si="1"/>
        <v>5.0847457627118651</v>
      </c>
      <c r="H20" s="132">
        <f t="shared" si="2"/>
        <v>0.50847457627118642</v>
      </c>
      <c r="I20" s="132">
        <f t="shared" si="3"/>
        <v>338.98305084745766</v>
      </c>
      <c r="K20" s="129">
        <f t="shared" si="5"/>
        <v>7248081.3559322041</v>
      </c>
      <c r="L20" s="129">
        <f t="shared" si="5"/>
        <v>2212.3728813559319</v>
      </c>
      <c r="M20" s="129">
        <f t="shared" si="5"/>
        <v>3854512.9389777631</v>
      </c>
      <c r="N20" s="129">
        <f t="shared" si="4"/>
        <v>11104806.667791322</v>
      </c>
    </row>
    <row r="21" spans="1:14">
      <c r="A21" s="131">
        <v>45796</v>
      </c>
      <c r="C21" s="120">
        <v>1458417</v>
      </c>
      <c r="D21" s="121">
        <v>15222</v>
      </c>
      <c r="E21" s="119">
        <v>11370.8131699844</v>
      </c>
      <c r="G21" s="132">
        <f t="shared" si="1"/>
        <v>5.0847457627118651</v>
      </c>
      <c r="H21" s="132">
        <f t="shared" si="2"/>
        <v>0.50847457627118642</v>
      </c>
      <c r="I21" s="132">
        <f t="shared" si="3"/>
        <v>338.98305084745766</v>
      </c>
      <c r="K21" s="129">
        <f t="shared" si="5"/>
        <v>7415679.6610169504</v>
      </c>
      <c r="L21" s="129">
        <f t="shared" si="5"/>
        <v>7740</v>
      </c>
      <c r="M21" s="129">
        <f t="shared" si="5"/>
        <v>3854512.9389777631</v>
      </c>
      <c r="N21" s="129">
        <f t="shared" si="4"/>
        <v>11277932.599994713</v>
      </c>
    </row>
    <row r="22" spans="1:14">
      <c r="A22" s="131">
        <v>45797</v>
      </c>
      <c r="C22" s="120">
        <v>1497919</v>
      </c>
      <c r="D22" s="121">
        <v>18674</v>
      </c>
      <c r="E22" s="119">
        <v>11370.8131699844</v>
      </c>
      <c r="G22" s="132">
        <f t="shared" si="1"/>
        <v>5.0847457627118651</v>
      </c>
      <c r="H22" s="132">
        <f t="shared" si="2"/>
        <v>0.50847457627118642</v>
      </c>
      <c r="I22" s="132">
        <f t="shared" si="3"/>
        <v>338.98305084745766</v>
      </c>
      <c r="K22" s="129">
        <f t="shared" si="5"/>
        <v>7616537.2881355938</v>
      </c>
      <c r="L22" s="129">
        <f t="shared" si="5"/>
        <v>9495.2542372881344</v>
      </c>
      <c r="M22" s="129">
        <f t="shared" si="5"/>
        <v>3854512.9389777631</v>
      </c>
      <c r="N22" s="129">
        <f t="shared" si="4"/>
        <v>11480545.481350645</v>
      </c>
    </row>
    <row r="23" spans="1:14">
      <c r="A23" s="131">
        <v>45798</v>
      </c>
      <c r="C23" s="120">
        <v>1512708</v>
      </c>
      <c r="D23" s="121">
        <v>17614</v>
      </c>
      <c r="E23" s="119">
        <v>11370.8131699844</v>
      </c>
      <c r="G23" s="132">
        <f t="shared" si="1"/>
        <v>5.0847457627118651</v>
      </c>
      <c r="H23" s="132">
        <f t="shared" si="2"/>
        <v>0.50847457627118642</v>
      </c>
      <c r="I23" s="132">
        <f t="shared" si="3"/>
        <v>338.98305084745766</v>
      </c>
      <c r="K23" s="129">
        <f t="shared" si="5"/>
        <v>7691735.5932203401</v>
      </c>
      <c r="L23" s="129">
        <f t="shared" si="5"/>
        <v>8956.2711864406774</v>
      </c>
      <c r="M23" s="129">
        <f t="shared" si="5"/>
        <v>3854512.9389777631</v>
      </c>
      <c r="N23" s="129">
        <f t="shared" si="4"/>
        <v>11555204.803384542</v>
      </c>
    </row>
    <row r="24" spans="1:14">
      <c r="A24" s="131">
        <v>45799</v>
      </c>
      <c r="C24" s="123">
        <v>1578606</v>
      </c>
      <c r="D24" s="121">
        <v>19280</v>
      </c>
      <c r="E24" s="119">
        <v>11370.8131699844</v>
      </c>
      <c r="G24" s="132">
        <f t="shared" si="1"/>
        <v>5.0847457627118651</v>
      </c>
      <c r="H24" s="132">
        <f t="shared" si="2"/>
        <v>0.50847457627118642</v>
      </c>
      <c r="I24" s="132">
        <f t="shared" si="3"/>
        <v>338.98305084745766</v>
      </c>
      <c r="K24" s="123">
        <f>AVERAGE(K3:K23)</f>
        <v>7174666.5859564189</v>
      </c>
      <c r="L24" s="123">
        <f t="shared" ref="L24:M33" si="6">AVERAGE(L3:L23)</f>
        <v>3216.8038740920101</v>
      </c>
      <c r="M24" s="123">
        <f t="shared" si="6"/>
        <v>3854512.9389777631</v>
      </c>
      <c r="N24" s="129">
        <f t="shared" si="4"/>
        <v>11032396.328808274</v>
      </c>
    </row>
    <row r="25" spans="1:14">
      <c r="A25" s="131">
        <v>45800</v>
      </c>
      <c r="C25" s="123">
        <v>1529013</v>
      </c>
      <c r="D25" s="121">
        <v>19250</v>
      </c>
      <c r="E25" s="119">
        <v>11370.8131699844</v>
      </c>
      <c r="G25" s="132">
        <f t="shared" si="1"/>
        <v>5.0847457627118651</v>
      </c>
      <c r="H25" s="132">
        <f t="shared" si="2"/>
        <v>0.50847457627118642</v>
      </c>
      <c r="I25" s="132">
        <f t="shared" si="3"/>
        <v>338.98305084745766</v>
      </c>
      <c r="K25" s="123">
        <f t="shared" ref="K25:K33" si="7">AVERAGE(K4:K24)</f>
        <v>7311423.9132941337</v>
      </c>
      <c r="L25" s="123">
        <f t="shared" si="6"/>
        <v>3293.1084976363436</v>
      </c>
      <c r="M25" s="123">
        <f t="shared" si="6"/>
        <v>3854512.9389777631</v>
      </c>
      <c r="N25" s="129">
        <f t="shared" si="4"/>
        <v>11169229.960769534</v>
      </c>
    </row>
    <row r="26" spans="1:14">
      <c r="A26" s="131">
        <v>45801</v>
      </c>
      <c r="C26" s="123">
        <v>1523245</v>
      </c>
      <c r="D26" s="121">
        <v>20510</v>
      </c>
      <c r="E26" s="119">
        <v>11370.8131699844</v>
      </c>
      <c r="G26" s="132">
        <f t="shared" si="1"/>
        <v>5.0847457627118651</v>
      </c>
      <c r="H26" s="132">
        <f t="shared" si="2"/>
        <v>0.50847457627118642</v>
      </c>
      <c r="I26" s="132">
        <f t="shared" si="3"/>
        <v>338.98305084745766</v>
      </c>
      <c r="K26" s="123">
        <f t="shared" si="7"/>
        <v>7354103.9059368717</v>
      </c>
      <c r="L26" s="123">
        <f t="shared" si="6"/>
        <v>3332.1507909055481</v>
      </c>
      <c r="M26" s="123">
        <f t="shared" si="6"/>
        <v>3854512.9389777631</v>
      </c>
      <c r="N26" s="129">
        <f t="shared" si="4"/>
        <v>11211948.995705541</v>
      </c>
    </row>
    <row r="27" spans="1:14">
      <c r="A27" s="131">
        <v>45802</v>
      </c>
      <c r="C27" s="123">
        <v>1642290</v>
      </c>
      <c r="D27" s="121">
        <v>22451</v>
      </c>
      <c r="E27" s="119">
        <v>11370.8131699844</v>
      </c>
      <c r="G27" s="132">
        <f t="shared" si="1"/>
        <v>5.0847457627118651</v>
      </c>
      <c r="H27" s="132">
        <f t="shared" si="2"/>
        <v>0.50847457627118642</v>
      </c>
      <c r="I27" s="132">
        <f t="shared" si="3"/>
        <v>338.98305084745766</v>
      </c>
      <c r="K27" s="123">
        <f t="shared" si="7"/>
        <v>7388923.5431041634</v>
      </c>
      <c r="L27" s="123">
        <f t="shared" si="6"/>
        <v>3377.5558729583536</v>
      </c>
      <c r="M27" s="123">
        <f t="shared" si="6"/>
        <v>3854512.9389777631</v>
      </c>
      <c r="N27" s="129">
        <f t="shared" si="4"/>
        <v>11246814.037954886</v>
      </c>
    </row>
    <row r="28" spans="1:14">
      <c r="A28" s="131">
        <v>45803</v>
      </c>
      <c r="C28" s="123">
        <v>1580789</v>
      </c>
      <c r="D28" s="121">
        <v>21680</v>
      </c>
      <c r="E28" s="119">
        <v>11370.8131699844</v>
      </c>
      <c r="G28" s="132">
        <f t="shared" si="1"/>
        <v>5.0847457627118651</v>
      </c>
      <c r="H28" s="132">
        <f t="shared" si="2"/>
        <v>0.50847457627118642</v>
      </c>
      <c r="I28" s="132">
        <f t="shared" si="3"/>
        <v>338.98305084745766</v>
      </c>
      <c r="K28" s="123">
        <f t="shared" si="7"/>
        <v>7398146.5366821671</v>
      </c>
      <c r="L28" s="123">
        <f t="shared" si="6"/>
        <v>3417.1327870056039</v>
      </c>
      <c r="M28" s="123">
        <f t="shared" si="6"/>
        <v>3854512.9389777631</v>
      </c>
      <c r="N28" s="129">
        <f t="shared" si="4"/>
        <v>11256076.608446937</v>
      </c>
    </row>
    <row r="29" spans="1:14">
      <c r="A29" s="131">
        <v>45804</v>
      </c>
      <c r="C29" s="123">
        <v>1516548</v>
      </c>
      <c r="D29" s="121">
        <v>25756</v>
      </c>
      <c r="E29" s="119">
        <v>11370.8131699844</v>
      </c>
      <c r="G29" s="132">
        <f t="shared" si="1"/>
        <v>5.0847457627118651</v>
      </c>
      <c r="H29" s="132">
        <f t="shared" si="2"/>
        <v>0.50847457627118642</v>
      </c>
      <c r="I29" s="132">
        <f t="shared" si="3"/>
        <v>338.98305084745766</v>
      </c>
      <c r="K29" s="123">
        <f t="shared" si="7"/>
        <v>7412171.9165564589</v>
      </c>
      <c r="L29" s="123">
        <f t="shared" si="6"/>
        <v>3462.4926210922304</v>
      </c>
      <c r="M29" s="123">
        <f t="shared" si="6"/>
        <v>3854512.9389777631</v>
      </c>
      <c r="N29" s="129">
        <f t="shared" si="4"/>
        <v>11270147.348155314</v>
      </c>
    </row>
    <row r="30" spans="1:14">
      <c r="A30" s="131">
        <v>45805</v>
      </c>
      <c r="C30" s="123">
        <v>1523308</v>
      </c>
      <c r="D30" s="121">
        <v>28193</v>
      </c>
      <c r="E30" s="119">
        <v>11370.8131699844</v>
      </c>
      <c r="G30" s="132">
        <f t="shared" si="1"/>
        <v>5.0847457627118651</v>
      </c>
      <c r="H30" s="132">
        <f t="shared" si="2"/>
        <v>0.50847457627118642</v>
      </c>
      <c r="I30" s="132">
        <f t="shared" si="3"/>
        <v>338.98305084745766</v>
      </c>
      <c r="K30" s="123">
        <f t="shared" si="7"/>
        <v>7423473.1619776292</v>
      </c>
      <c r="L30" s="123">
        <f t="shared" si="6"/>
        <v>3519.3829073266465</v>
      </c>
      <c r="M30" s="123">
        <f t="shared" si="6"/>
        <v>3854512.9389777631</v>
      </c>
      <c r="N30" s="129">
        <f t="shared" si="4"/>
        <v>11281505.483862719</v>
      </c>
    </row>
    <row r="31" spans="1:14">
      <c r="A31" s="131">
        <v>45806</v>
      </c>
      <c r="C31" s="123">
        <f t="shared" ref="C31:C33" si="8">AVERAGE(C10:C30)</f>
        <v>1500039.7142857143</v>
      </c>
      <c r="D31" s="121">
        <v>28193</v>
      </c>
      <c r="E31" s="119">
        <v>11370.8131699844</v>
      </c>
      <c r="F31" s="120"/>
      <c r="G31" s="132">
        <f t="shared" si="1"/>
        <v>5.0847457627118651</v>
      </c>
      <c r="H31" s="132">
        <f t="shared" si="2"/>
        <v>0.50847457627118642</v>
      </c>
      <c r="I31" s="132">
        <f t="shared" si="3"/>
        <v>338.98305084745766</v>
      </c>
      <c r="K31" s="123">
        <f t="shared" si="7"/>
        <v>7440211.5934196627</v>
      </c>
      <c r="L31" s="123">
        <f t="shared" si="6"/>
        <v>3574.1396397982144</v>
      </c>
      <c r="M31" s="123">
        <f t="shared" si="6"/>
        <v>3854512.9389777631</v>
      </c>
      <c r="N31" s="129">
        <f t="shared" si="4"/>
        <v>11298298.672037225</v>
      </c>
    </row>
    <row r="32" spans="1:14">
      <c r="A32" s="131">
        <v>45807</v>
      </c>
      <c r="C32" s="123">
        <f t="shared" si="8"/>
        <v>1505100.081632653</v>
      </c>
      <c r="D32" s="121">
        <v>28193</v>
      </c>
      <c r="E32" s="119">
        <v>11370.8131699844</v>
      </c>
      <c r="F32" s="120"/>
      <c r="G32" s="132">
        <f t="shared" si="1"/>
        <v>5.0847457627118651</v>
      </c>
      <c r="H32" s="132">
        <f t="shared" si="2"/>
        <v>0.50847457627118642</v>
      </c>
      <c r="I32" s="132">
        <f t="shared" si="3"/>
        <v>338.98305084745766</v>
      </c>
      <c r="K32" s="123">
        <f t="shared" si="7"/>
        <v>7457032.3230498163</v>
      </c>
      <c r="L32" s="123">
        <f t="shared" si="6"/>
        <v>3637.6297437111234</v>
      </c>
      <c r="M32" s="123">
        <f t="shared" si="6"/>
        <v>3854512.9389777631</v>
      </c>
      <c r="N32" s="129">
        <f t="shared" si="4"/>
        <v>11315182.89177129</v>
      </c>
    </row>
    <row r="33" spans="1:14" s="128" customFormat="1">
      <c r="A33" s="131">
        <v>45808</v>
      </c>
      <c r="B33" s="129"/>
      <c r="C33" s="123">
        <f t="shared" si="8"/>
        <v>1508657.2283770649</v>
      </c>
      <c r="D33" s="121">
        <v>28193</v>
      </c>
      <c r="E33" s="119">
        <v>11370.8131699844</v>
      </c>
      <c r="F33" s="129"/>
      <c r="G33" s="132">
        <f t="shared" si="1"/>
        <v>5.0847457627118651</v>
      </c>
      <c r="H33" s="132">
        <f t="shared" si="2"/>
        <v>0.50847457627118642</v>
      </c>
      <c r="I33" s="132">
        <f t="shared" si="3"/>
        <v>338.98305084745766</v>
      </c>
      <c r="K33" s="123">
        <f t="shared" si="7"/>
        <v>7465785.2746720444</v>
      </c>
      <c r="L33" s="123">
        <f t="shared" si="6"/>
        <v>3704.6274474068114</v>
      </c>
      <c r="M33" s="123">
        <f t="shared" si="6"/>
        <v>3854512.9389777631</v>
      </c>
      <c r="N33" s="129">
        <f t="shared" si="4"/>
        <v>11324002.841097213</v>
      </c>
    </row>
    <row r="34" spans="1:14">
      <c r="A34" s="118"/>
      <c r="C34" s="123">
        <f>SUM(C3:C33)</f>
        <v>45038969.024295434</v>
      </c>
      <c r="D34" s="123">
        <f>SUM(D3:D33)</f>
        <v>374553</v>
      </c>
      <c r="E34" s="123">
        <f t="shared" ref="E34" si="9">SUM(E3:E33)</f>
        <v>352495.2082695163</v>
      </c>
      <c r="F34" s="120"/>
      <c r="G34" s="132"/>
      <c r="H34" s="132"/>
      <c r="I34" s="132"/>
      <c r="K34" s="123">
        <f>SUM(K3:K33)</f>
        <v>224493937.05973414</v>
      </c>
      <c r="L34" s="123">
        <f t="shared" ref="L34:M34" si="10">SUM(L3:L33)</f>
        <v>102087.90553786511</v>
      </c>
      <c r="M34" s="123">
        <f t="shared" si="10"/>
        <v>119489901.10831065</v>
      </c>
      <c r="N34" s="123">
        <f>SUM(N3:N33)</f>
        <v>344085926.07358277</v>
      </c>
    </row>
    <row r="35" spans="1:14">
      <c r="A35" s="118"/>
      <c r="F35" s="120"/>
      <c r="G35" s="132"/>
      <c r="H35" s="132"/>
      <c r="I35" s="132"/>
      <c r="N35" s="126"/>
    </row>
    <row r="36" spans="1:14">
      <c r="A36" s="118"/>
      <c r="F36" s="120"/>
      <c r="G36" s="132"/>
      <c r="H36" s="132"/>
      <c r="I36" s="132"/>
      <c r="N36" s="126"/>
    </row>
    <row r="37" spans="1:14">
      <c r="A37" s="131">
        <v>45778</v>
      </c>
      <c r="C37" s="120">
        <v>13767</v>
      </c>
      <c r="D37" s="121">
        <v>300</v>
      </c>
      <c r="E37" s="119">
        <v>150</v>
      </c>
      <c r="G37" s="132">
        <f>6/1.18</f>
        <v>5.0847457627118651</v>
      </c>
      <c r="H37" s="132">
        <f>0.6/1.18</f>
        <v>0.50847457627118642</v>
      </c>
      <c r="I37" s="132">
        <f>400/1.18</f>
        <v>338.98305084745766</v>
      </c>
      <c r="K37" s="129">
        <f t="shared" ref="K37:K57" si="11">C37*G37</f>
        <v>70001.694915254251</v>
      </c>
      <c r="L37" s="129">
        <f t="shared" ref="L37:L57" si="12">D37*H37</f>
        <v>152.54237288135593</v>
      </c>
      <c r="M37" s="129">
        <f t="shared" ref="M37:M57" si="13">E37*I37</f>
        <v>50847.457627118652</v>
      </c>
      <c r="N37" s="129">
        <f>SUM(K37:M37)</f>
        <v>121001.69491525427</v>
      </c>
    </row>
    <row r="38" spans="1:14">
      <c r="A38" s="131">
        <v>45779</v>
      </c>
      <c r="C38" s="120">
        <v>14468.7</v>
      </c>
      <c r="D38" s="121">
        <v>300</v>
      </c>
      <c r="E38" s="119">
        <v>150</v>
      </c>
      <c r="G38" s="132">
        <f t="shared" ref="G38:G67" si="14">6/1.18</f>
        <v>5.0847457627118651</v>
      </c>
      <c r="H38" s="132">
        <f t="shared" ref="H38:H67" si="15">0.6/1.18</f>
        <v>0.50847457627118642</v>
      </c>
      <c r="I38" s="132">
        <f t="shared" ref="I38:I67" si="16">400/1.18</f>
        <v>338.98305084745766</v>
      </c>
      <c r="K38" s="129">
        <f t="shared" si="11"/>
        <v>73569.661016949161</v>
      </c>
      <c r="L38" s="129">
        <f t="shared" si="12"/>
        <v>152.54237288135593</v>
      </c>
      <c r="M38" s="129">
        <f t="shared" si="13"/>
        <v>50847.457627118652</v>
      </c>
      <c r="N38" s="129">
        <f t="shared" ref="N38:N67" si="17">SUM(K38:M38)</f>
        <v>124569.66101694918</v>
      </c>
    </row>
    <row r="39" spans="1:14">
      <c r="A39" s="131">
        <v>45780</v>
      </c>
      <c r="C39" s="120">
        <v>14690.116666666667</v>
      </c>
      <c r="D39" s="121">
        <v>300</v>
      </c>
      <c r="E39" s="119">
        <v>150</v>
      </c>
      <c r="G39" s="132">
        <f t="shared" si="14"/>
        <v>5.0847457627118651</v>
      </c>
      <c r="H39" s="132">
        <f t="shared" si="15"/>
        <v>0.50847457627118642</v>
      </c>
      <c r="I39" s="132">
        <f t="shared" si="16"/>
        <v>338.98305084745766</v>
      </c>
      <c r="K39" s="129">
        <f t="shared" si="11"/>
        <v>74695.508474576287</v>
      </c>
      <c r="L39" s="129">
        <f t="shared" si="12"/>
        <v>152.54237288135593</v>
      </c>
      <c r="M39" s="129">
        <f t="shared" si="13"/>
        <v>50847.457627118652</v>
      </c>
      <c r="N39" s="129">
        <f t="shared" si="17"/>
        <v>125695.5084745763</v>
      </c>
    </row>
    <row r="40" spans="1:14">
      <c r="A40" s="131">
        <v>45781</v>
      </c>
      <c r="C40" s="120">
        <v>14481.183333333332</v>
      </c>
      <c r="D40" s="121">
        <v>300</v>
      </c>
      <c r="E40" s="119">
        <v>150</v>
      </c>
      <c r="G40" s="132">
        <f t="shared" si="14"/>
        <v>5.0847457627118651</v>
      </c>
      <c r="H40" s="132">
        <f t="shared" si="15"/>
        <v>0.50847457627118642</v>
      </c>
      <c r="I40" s="132">
        <f t="shared" si="16"/>
        <v>338.98305084745766</v>
      </c>
      <c r="K40" s="129">
        <f t="shared" si="11"/>
        <v>73633.135593220344</v>
      </c>
      <c r="L40" s="129">
        <f t="shared" si="12"/>
        <v>152.54237288135593</v>
      </c>
      <c r="M40" s="129">
        <f t="shared" si="13"/>
        <v>50847.457627118652</v>
      </c>
      <c r="N40" s="129">
        <f t="shared" si="17"/>
        <v>124633.13559322036</v>
      </c>
    </row>
    <row r="41" spans="1:14">
      <c r="A41" s="131">
        <v>45782</v>
      </c>
      <c r="C41" s="120">
        <v>15105.933333333332</v>
      </c>
      <c r="D41" s="121">
        <v>300</v>
      </c>
      <c r="E41" s="119">
        <v>150</v>
      </c>
      <c r="G41" s="132">
        <f t="shared" si="14"/>
        <v>5.0847457627118651</v>
      </c>
      <c r="H41" s="132">
        <f t="shared" si="15"/>
        <v>0.50847457627118642</v>
      </c>
      <c r="I41" s="132">
        <f t="shared" si="16"/>
        <v>338.98305084745766</v>
      </c>
      <c r="K41" s="129">
        <f t="shared" si="11"/>
        <v>76809.830508474581</v>
      </c>
      <c r="L41" s="129">
        <f t="shared" si="12"/>
        <v>152.54237288135593</v>
      </c>
      <c r="M41" s="129">
        <f t="shared" si="13"/>
        <v>50847.457627118652</v>
      </c>
      <c r="N41" s="129">
        <f t="shared" si="17"/>
        <v>127809.8305084746</v>
      </c>
    </row>
    <row r="42" spans="1:14">
      <c r="A42" s="131">
        <v>45783</v>
      </c>
      <c r="C42" s="120">
        <v>14878.45</v>
      </c>
      <c r="D42" s="121">
        <v>300</v>
      </c>
      <c r="E42" s="119">
        <v>150</v>
      </c>
      <c r="G42" s="132">
        <f t="shared" si="14"/>
        <v>5.0847457627118651</v>
      </c>
      <c r="H42" s="132">
        <f t="shared" si="15"/>
        <v>0.50847457627118642</v>
      </c>
      <c r="I42" s="132">
        <f t="shared" si="16"/>
        <v>338.98305084745766</v>
      </c>
      <c r="K42" s="129">
        <f t="shared" si="11"/>
        <v>75653.135593220359</v>
      </c>
      <c r="L42" s="129">
        <f t="shared" si="12"/>
        <v>152.54237288135593</v>
      </c>
      <c r="M42" s="129">
        <f t="shared" si="13"/>
        <v>50847.457627118652</v>
      </c>
      <c r="N42" s="129">
        <f t="shared" si="17"/>
        <v>126653.13559322037</v>
      </c>
    </row>
    <row r="43" spans="1:14">
      <c r="A43" s="131">
        <v>45784</v>
      </c>
      <c r="C43" s="120">
        <v>17370.900000000001</v>
      </c>
      <c r="D43" s="121">
        <v>300</v>
      </c>
      <c r="E43" s="119">
        <v>150</v>
      </c>
      <c r="G43" s="132">
        <f t="shared" si="14"/>
        <v>5.0847457627118651</v>
      </c>
      <c r="H43" s="132">
        <f t="shared" si="15"/>
        <v>0.50847457627118642</v>
      </c>
      <c r="I43" s="132">
        <f t="shared" si="16"/>
        <v>338.98305084745766</v>
      </c>
      <c r="K43" s="129">
        <f t="shared" si="11"/>
        <v>88326.610169491541</v>
      </c>
      <c r="L43" s="129">
        <f t="shared" si="12"/>
        <v>152.54237288135593</v>
      </c>
      <c r="M43" s="129">
        <f t="shared" si="13"/>
        <v>50847.457627118652</v>
      </c>
      <c r="N43" s="129">
        <f t="shared" si="17"/>
        <v>139326.61016949156</v>
      </c>
    </row>
    <row r="44" spans="1:14">
      <c r="A44" s="131">
        <v>45785</v>
      </c>
      <c r="C44" s="120">
        <v>16387.966666666667</v>
      </c>
      <c r="D44" s="121">
        <v>300</v>
      </c>
      <c r="E44" s="119">
        <v>150</v>
      </c>
      <c r="G44" s="132">
        <f t="shared" si="14"/>
        <v>5.0847457627118651</v>
      </c>
      <c r="H44" s="132">
        <f t="shared" si="15"/>
        <v>0.50847457627118642</v>
      </c>
      <c r="I44" s="132">
        <f t="shared" si="16"/>
        <v>338.98305084745766</v>
      </c>
      <c r="K44" s="129">
        <f t="shared" si="11"/>
        <v>83328.644067796617</v>
      </c>
      <c r="L44" s="129">
        <f t="shared" si="12"/>
        <v>152.54237288135593</v>
      </c>
      <c r="M44" s="129">
        <f t="shared" si="13"/>
        <v>50847.457627118652</v>
      </c>
      <c r="N44" s="129">
        <f t="shared" si="17"/>
        <v>134328.64406779665</v>
      </c>
    </row>
    <row r="45" spans="1:14">
      <c r="A45" s="131">
        <v>45786</v>
      </c>
      <c r="C45" s="120">
        <v>15760.983333333334</v>
      </c>
      <c r="D45" s="121">
        <v>300</v>
      </c>
      <c r="E45" s="119">
        <v>150</v>
      </c>
      <c r="G45" s="132">
        <f t="shared" si="14"/>
        <v>5.0847457627118651</v>
      </c>
      <c r="H45" s="132">
        <f t="shared" si="15"/>
        <v>0.50847457627118642</v>
      </c>
      <c r="I45" s="132">
        <f t="shared" si="16"/>
        <v>338.98305084745766</v>
      </c>
      <c r="K45" s="129">
        <f t="shared" si="11"/>
        <v>80140.593220338997</v>
      </c>
      <c r="L45" s="129">
        <f t="shared" si="12"/>
        <v>152.54237288135593</v>
      </c>
      <c r="M45" s="129">
        <f t="shared" si="13"/>
        <v>50847.457627118652</v>
      </c>
      <c r="N45" s="129">
        <f t="shared" si="17"/>
        <v>131140.59322033901</v>
      </c>
    </row>
    <row r="46" spans="1:14">
      <c r="A46" s="131">
        <v>45787</v>
      </c>
      <c r="C46" s="120">
        <v>17052.583333333332</v>
      </c>
      <c r="D46" s="121">
        <v>300</v>
      </c>
      <c r="E46" s="119">
        <v>150</v>
      </c>
      <c r="G46" s="132">
        <f t="shared" si="14"/>
        <v>5.0847457627118651</v>
      </c>
      <c r="H46" s="132">
        <f t="shared" si="15"/>
        <v>0.50847457627118642</v>
      </c>
      <c r="I46" s="132">
        <f t="shared" si="16"/>
        <v>338.98305084745766</v>
      </c>
      <c r="K46" s="129">
        <f t="shared" si="11"/>
        <v>86708.050847457635</v>
      </c>
      <c r="L46" s="129">
        <f t="shared" si="12"/>
        <v>152.54237288135593</v>
      </c>
      <c r="M46" s="129">
        <f t="shared" si="13"/>
        <v>50847.457627118652</v>
      </c>
      <c r="N46" s="129">
        <f t="shared" si="17"/>
        <v>137708.05084745766</v>
      </c>
    </row>
    <row r="47" spans="1:14">
      <c r="A47" s="131">
        <v>45788</v>
      </c>
      <c r="C47" s="120">
        <v>15771.216666666667</v>
      </c>
      <c r="D47" s="121">
        <v>300</v>
      </c>
      <c r="E47" s="119">
        <v>150</v>
      </c>
      <c r="G47" s="132">
        <f t="shared" si="14"/>
        <v>5.0847457627118651</v>
      </c>
      <c r="H47" s="132">
        <f t="shared" si="15"/>
        <v>0.50847457627118642</v>
      </c>
      <c r="I47" s="132">
        <f t="shared" si="16"/>
        <v>338.98305084745766</v>
      </c>
      <c r="K47" s="129">
        <f t="shared" si="11"/>
        <v>80192.627118644086</v>
      </c>
      <c r="L47" s="129">
        <f t="shared" si="12"/>
        <v>152.54237288135593</v>
      </c>
      <c r="M47" s="129">
        <f t="shared" si="13"/>
        <v>50847.457627118652</v>
      </c>
      <c r="N47" s="129">
        <f t="shared" si="17"/>
        <v>131192.6271186441</v>
      </c>
    </row>
    <row r="48" spans="1:14">
      <c r="A48" s="131">
        <v>45789</v>
      </c>
      <c r="C48" s="120">
        <v>15204.266666666666</v>
      </c>
      <c r="D48" s="121">
        <v>300</v>
      </c>
      <c r="E48" s="119">
        <v>150</v>
      </c>
      <c r="G48" s="132">
        <f t="shared" si="14"/>
        <v>5.0847457627118651</v>
      </c>
      <c r="H48" s="132">
        <f t="shared" si="15"/>
        <v>0.50847457627118642</v>
      </c>
      <c r="I48" s="132">
        <f t="shared" si="16"/>
        <v>338.98305084745766</v>
      </c>
      <c r="K48" s="129">
        <f t="shared" si="11"/>
        <v>77309.830508474581</v>
      </c>
      <c r="L48" s="129">
        <f t="shared" si="12"/>
        <v>152.54237288135593</v>
      </c>
      <c r="M48" s="129">
        <f t="shared" si="13"/>
        <v>50847.457627118652</v>
      </c>
      <c r="N48" s="129">
        <f t="shared" si="17"/>
        <v>128309.8305084746</v>
      </c>
    </row>
    <row r="49" spans="1:14">
      <c r="A49" s="131">
        <v>45790</v>
      </c>
      <c r="C49" s="120">
        <v>15458.783333333333</v>
      </c>
      <c r="D49" s="121">
        <v>300</v>
      </c>
      <c r="E49" s="119">
        <v>150</v>
      </c>
      <c r="G49" s="132">
        <f t="shared" si="14"/>
        <v>5.0847457627118651</v>
      </c>
      <c r="H49" s="132">
        <f t="shared" si="15"/>
        <v>0.50847457627118642</v>
      </c>
      <c r="I49" s="132">
        <f t="shared" si="16"/>
        <v>338.98305084745766</v>
      </c>
      <c r="K49" s="129">
        <f t="shared" si="11"/>
        <v>78603.98305084747</v>
      </c>
      <c r="L49" s="129">
        <f t="shared" si="12"/>
        <v>152.54237288135593</v>
      </c>
      <c r="M49" s="129">
        <f t="shared" si="13"/>
        <v>50847.457627118652</v>
      </c>
      <c r="N49" s="129">
        <f t="shared" si="17"/>
        <v>129603.98305084748</v>
      </c>
    </row>
    <row r="50" spans="1:14">
      <c r="A50" s="131">
        <v>45791</v>
      </c>
      <c r="C50" s="120">
        <v>14895.6</v>
      </c>
      <c r="D50" s="121">
        <v>300</v>
      </c>
      <c r="E50" s="119">
        <v>150</v>
      </c>
      <c r="G50" s="132">
        <f t="shared" si="14"/>
        <v>5.0847457627118651</v>
      </c>
      <c r="H50" s="132">
        <f t="shared" si="15"/>
        <v>0.50847457627118642</v>
      </c>
      <c r="I50" s="132">
        <f t="shared" si="16"/>
        <v>338.98305084745766</v>
      </c>
      <c r="K50" s="129">
        <f t="shared" si="11"/>
        <v>75740.338983050853</v>
      </c>
      <c r="L50" s="129">
        <f t="shared" si="12"/>
        <v>152.54237288135593</v>
      </c>
      <c r="M50" s="129">
        <f t="shared" si="13"/>
        <v>50847.457627118652</v>
      </c>
      <c r="N50" s="129">
        <f t="shared" si="17"/>
        <v>126740.33898305087</v>
      </c>
    </row>
    <row r="51" spans="1:14">
      <c r="A51" s="131">
        <v>45792</v>
      </c>
      <c r="C51" s="120">
        <v>14765.8</v>
      </c>
      <c r="D51" s="121">
        <v>300</v>
      </c>
      <c r="E51" s="119">
        <v>150</v>
      </c>
      <c r="G51" s="132">
        <f t="shared" si="14"/>
        <v>5.0847457627118651</v>
      </c>
      <c r="H51" s="132">
        <f t="shared" si="15"/>
        <v>0.50847457627118642</v>
      </c>
      <c r="I51" s="132">
        <f t="shared" si="16"/>
        <v>338.98305084745766</v>
      </c>
      <c r="K51" s="129">
        <f t="shared" si="11"/>
        <v>75080.338983050853</v>
      </c>
      <c r="L51" s="129">
        <f t="shared" si="12"/>
        <v>152.54237288135593</v>
      </c>
      <c r="M51" s="129">
        <f t="shared" si="13"/>
        <v>50847.457627118652</v>
      </c>
      <c r="N51" s="129">
        <f t="shared" si="17"/>
        <v>126080.33898305087</v>
      </c>
    </row>
    <row r="52" spans="1:14">
      <c r="A52" s="131">
        <v>45793</v>
      </c>
      <c r="C52" s="120">
        <v>15378.85</v>
      </c>
      <c r="D52" s="121">
        <v>300</v>
      </c>
      <c r="E52" s="119">
        <v>150</v>
      </c>
      <c r="G52" s="132">
        <f t="shared" si="14"/>
        <v>5.0847457627118651</v>
      </c>
      <c r="H52" s="132">
        <f t="shared" si="15"/>
        <v>0.50847457627118642</v>
      </c>
      <c r="I52" s="132">
        <f t="shared" si="16"/>
        <v>338.98305084745766</v>
      </c>
      <c r="K52" s="129">
        <f t="shared" si="11"/>
        <v>78197.542372881362</v>
      </c>
      <c r="L52" s="129">
        <f t="shared" si="12"/>
        <v>152.54237288135593</v>
      </c>
      <c r="M52" s="129">
        <f t="shared" si="13"/>
        <v>50847.457627118652</v>
      </c>
      <c r="N52" s="129">
        <f t="shared" si="17"/>
        <v>129197.54237288138</v>
      </c>
    </row>
    <row r="53" spans="1:14">
      <c r="A53" s="131">
        <v>45794</v>
      </c>
      <c r="C53" s="120">
        <v>13402.95</v>
      </c>
      <c r="D53" s="121">
        <v>300</v>
      </c>
      <c r="E53" s="119">
        <v>150</v>
      </c>
      <c r="G53" s="132">
        <f t="shared" si="14"/>
        <v>5.0847457627118651</v>
      </c>
      <c r="H53" s="132">
        <f t="shared" si="15"/>
        <v>0.50847457627118642</v>
      </c>
      <c r="I53" s="132">
        <f t="shared" si="16"/>
        <v>338.98305084745766</v>
      </c>
      <c r="K53" s="129">
        <f t="shared" si="11"/>
        <v>68150.593220338997</v>
      </c>
      <c r="L53" s="129">
        <f t="shared" si="12"/>
        <v>152.54237288135593</v>
      </c>
      <c r="M53" s="129">
        <f t="shared" si="13"/>
        <v>50847.457627118652</v>
      </c>
      <c r="N53" s="129">
        <f t="shared" si="17"/>
        <v>119150.59322033901</v>
      </c>
    </row>
    <row r="54" spans="1:14">
      <c r="A54" s="131">
        <v>45795</v>
      </c>
      <c r="C54" s="120">
        <v>14890.033333333333</v>
      </c>
      <c r="D54" s="121">
        <v>300</v>
      </c>
      <c r="E54" s="119">
        <v>150</v>
      </c>
      <c r="G54" s="132">
        <f t="shared" si="14"/>
        <v>5.0847457627118651</v>
      </c>
      <c r="H54" s="132">
        <f t="shared" si="15"/>
        <v>0.50847457627118642</v>
      </c>
      <c r="I54" s="132">
        <f t="shared" si="16"/>
        <v>338.98305084745766</v>
      </c>
      <c r="K54" s="129">
        <f t="shared" si="11"/>
        <v>75712.03389830509</v>
      </c>
      <c r="L54" s="129">
        <f t="shared" si="12"/>
        <v>152.54237288135593</v>
      </c>
      <c r="M54" s="129">
        <f t="shared" si="13"/>
        <v>50847.457627118652</v>
      </c>
      <c r="N54" s="129">
        <f t="shared" si="17"/>
        <v>126712.0338983051</v>
      </c>
    </row>
    <row r="55" spans="1:14">
      <c r="A55" s="131">
        <v>45796</v>
      </c>
      <c r="C55" s="120">
        <v>15461.566666666668</v>
      </c>
      <c r="D55" s="121">
        <v>300</v>
      </c>
      <c r="E55" s="119">
        <v>150</v>
      </c>
      <c r="G55" s="132">
        <f t="shared" si="14"/>
        <v>5.0847457627118651</v>
      </c>
      <c r="H55" s="132">
        <f t="shared" si="15"/>
        <v>0.50847457627118642</v>
      </c>
      <c r="I55" s="132">
        <f t="shared" si="16"/>
        <v>338.98305084745766</v>
      </c>
      <c r="K55" s="129">
        <f t="shared" si="11"/>
        <v>78618.135593220359</v>
      </c>
      <c r="L55" s="129">
        <f t="shared" si="12"/>
        <v>152.54237288135593</v>
      </c>
      <c r="M55" s="129">
        <f t="shared" si="13"/>
        <v>50847.457627118652</v>
      </c>
      <c r="N55" s="129">
        <f t="shared" si="17"/>
        <v>129618.13559322037</v>
      </c>
    </row>
    <row r="56" spans="1:14">
      <c r="A56" s="131">
        <v>45797</v>
      </c>
      <c r="C56" s="120">
        <v>15591.866666666667</v>
      </c>
      <c r="D56" s="121">
        <v>300</v>
      </c>
      <c r="E56" s="119">
        <v>150</v>
      </c>
      <c r="G56" s="132">
        <f t="shared" si="14"/>
        <v>5.0847457627118651</v>
      </c>
      <c r="H56" s="132">
        <f t="shared" si="15"/>
        <v>0.50847457627118642</v>
      </c>
      <c r="I56" s="132">
        <f t="shared" si="16"/>
        <v>338.98305084745766</v>
      </c>
      <c r="K56" s="129">
        <f t="shared" si="11"/>
        <v>79280.677966101706</v>
      </c>
      <c r="L56" s="129">
        <f t="shared" si="12"/>
        <v>152.54237288135593</v>
      </c>
      <c r="M56" s="129">
        <f t="shared" si="13"/>
        <v>50847.457627118652</v>
      </c>
      <c r="N56" s="129">
        <f t="shared" si="17"/>
        <v>130280.67796610172</v>
      </c>
    </row>
    <row r="57" spans="1:14">
      <c r="A57" s="131">
        <v>45798</v>
      </c>
      <c r="C57" s="120">
        <v>15175.133333333333</v>
      </c>
      <c r="D57" s="121">
        <v>300</v>
      </c>
      <c r="E57" s="119">
        <v>150</v>
      </c>
      <c r="G57" s="132">
        <f t="shared" si="14"/>
        <v>5.0847457627118651</v>
      </c>
      <c r="H57" s="132">
        <f t="shared" si="15"/>
        <v>0.50847457627118642</v>
      </c>
      <c r="I57" s="132">
        <f t="shared" si="16"/>
        <v>338.98305084745766</v>
      </c>
      <c r="K57" s="129">
        <f t="shared" si="11"/>
        <v>77161.694915254251</v>
      </c>
      <c r="L57" s="129">
        <f t="shared" si="12"/>
        <v>152.54237288135593</v>
      </c>
      <c r="M57" s="129">
        <f t="shared" si="13"/>
        <v>50847.457627118652</v>
      </c>
      <c r="N57" s="129">
        <f t="shared" si="17"/>
        <v>128161.69491525427</v>
      </c>
    </row>
    <row r="58" spans="1:14">
      <c r="A58" s="131">
        <v>45799</v>
      </c>
      <c r="C58" s="120">
        <v>15686.7</v>
      </c>
      <c r="D58" s="121">
        <v>300</v>
      </c>
      <c r="E58" s="119">
        <v>150</v>
      </c>
      <c r="G58" s="132">
        <f t="shared" si="14"/>
        <v>5.0847457627118651</v>
      </c>
      <c r="H58" s="132">
        <f t="shared" si="15"/>
        <v>0.50847457627118642</v>
      </c>
      <c r="I58" s="132">
        <f t="shared" si="16"/>
        <v>338.98305084745766</v>
      </c>
      <c r="K58" s="123">
        <f>AVERAGE(K37:K57)</f>
        <v>77472.126715092832</v>
      </c>
      <c r="L58" s="123">
        <f t="shared" ref="L58:M58" si="18">AVERAGE(L37:L57)</f>
        <v>152.54237288135587</v>
      </c>
      <c r="M58" s="123">
        <f t="shared" si="18"/>
        <v>50847.457627118667</v>
      </c>
      <c r="N58" s="129">
        <f t="shared" si="17"/>
        <v>128472.12671509286</v>
      </c>
    </row>
    <row r="59" spans="1:14">
      <c r="A59" s="131">
        <v>45800</v>
      </c>
      <c r="C59" s="120">
        <v>14724.766666666666</v>
      </c>
      <c r="D59" s="121">
        <v>300</v>
      </c>
      <c r="E59" s="119">
        <v>150</v>
      </c>
      <c r="G59" s="132">
        <f t="shared" si="14"/>
        <v>5.0847457627118651</v>
      </c>
      <c r="H59" s="132">
        <f t="shared" si="15"/>
        <v>0.50847457627118642</v>
      </c>
      <c r="I59" s="132">
        <f t="shared" si="16"/>
        <v>338.98305084745766</v>
      </c>
      <c r="K59" s="123">
        <f t="shared" ref="K59:M67" si="19">AVERAGE(K38:K58)</f>
        <v>77827.861562704202</v>
      </c>
      <c r="L59" s="123">
        <f t="shared" si="19"/>
        <v>152.54237288135587</v>
      </c>
      <c r="M59" s="123">
        <f t="shared" si="19"/>
        <v>50847.457627118667</v>
      </c>
      <c r="N59" s="129">
        <f t="shared" si="17"/>
        <v>128827.86156270423</v>
      </c>
    </row>
    <row r="60" spans="1:14">
      <c r="A60" s="131">
        <v>45801</v>
      </c>
      <c r="C60" s="120">
        <v>16260.933333333332</v>
      </c>
      <c r="D60" s="121">
        <v>300</v>
      </c>
      <c r="E60" s="119">
        <v>150</v>
      </c>
      <c r="G60" s="132">
        <f t="shared" si="14"/>
        <v>5.0847457627118651</v>
      </c>
      <c r="H60" s="132">
        <f t="shared" si="15"/>
        <v>0.50847457627118642</v>
      </c>
      <c r="I60" s="132">
        <f t="shared" si="16"/>
        <v>338.98305084745766</v>
      </c>
      <c r="K60" s="123">
        <f t="shared" si="19"/>
        <v>78030.633017263972</v>
      </c>
      <c r="L60" s="123">
        <f t="shared" si="19"/>
        <v>152.54237288135587</v>
      </c>
      <c r="M60" s="123">
        <f t="shared" si="19"/>
        <v>50847.457627118667</v>
      </c>
      <c r="N60" s="129">
        <f t="shared" si="17"/>
        <v>129030.633017264</v>
      </c>
    </row>
    <row r="61" spans="1:14">
      <c r="A61" s="131">
        <v>45802</v>
      </c>
      <c r="C61" s="120">
        <v>15197.8</v>
      </c>
      <c r="D61" s="121">
        <v>300</v>
      </c>
      <c r="E61" s="119">
        <v>150</v>
      </c>
      <c r="G61" s="132">
        <f t="shared" si="14"/>
        <v>5.0847457627118651</v>
      </c>
      <c r="H61" s="132">
        <f t="shared" si="15"/>
        <v>0.50847457627118642</v>
      </c>
      <c r="I61" s="132">
        <f t="shared" si="16"/>
        <v>338.98305084745766</v>
      </c>
      <c r="K61" s="123">
        <f t="shared" si="19"/>
        <v>78189.448471677679</v>
      </c>
      <c r="L61" s="123">
        <f t="shared" si="19"/>
        <v>152.54237288135587</v>
      </c>
      <c r="M61" s="123">
        <f t="shared" si="19"/>
        <v>50847.457627118667</v>
      </c>
      <c r="N61" s="129">
        <f t="shared" si="17"/>
        <v>129189.44847167771</v>
      </c>
    </row>
    <row r="62" spans="1:14">
      <c r="A62" s="131">
        <v>45803</v>
      </c>
      <c r="C62" s="120">
        <v>15976.016666666666</v>
      </c>
      <c r="D62" s="121">
        <v>300</v>
      </c>
      <c r="E62" s="119">
        <v>150</v>
      </c>
      <c r="G62" s="132">
        <f t="shared" si="14"/>
        <v>5.0847457627118651</v>
      </c>
      <c r="H62" s="132">
        <f t="shared" si="15"/>
        <v>0.50847457627118642</v>
      </c>
      <c r="I62" s="132">
        <f t="shared" si="16"/>
        <v>338.98305084745766</v>
      </c>
      <c r="K62" s="123">
        <f t="shared" si="19"/>
        <v>78406.415751604203</v>
      </c>
      <c r="L62" s="123">
        <f t="shared" si="19"/>
        <v>152.54237288135587</v>
      </c>
      <c r="M62" s="123">
        <f t="shared" si="19"/>
        <v>50847.457627118667</v>
      </c>
      <c r="N62" s="129">
        <f t="shared" si="17"/>
        <v>129406.41575160423</v>
      </c>
    </row>
    <row r="63" spans="1:14">
      <c r="A63" s="131">
        <v>45804</v>
      </c>
      <c r="C63" s="120">
        <v>15370.433333333332</v>
      </c>
      <c r="D63" s="121">
        <v>300</v>
      </c>
      <c r="E63" s="119">
        <v>150</v>
      </c>
      <c r="G63" s="132">
        <f t="shared" si="14"/>
        <v>5.0847457627118651</v>
      </c>
      <c r="H63" s="132">
        <f t="shared" si="15"/>
        <v>0.50847457627118642</v>
      </c>
      <c r="I63" s="132">
        <f t="shared" si="16"/>
        <v>338.98305084745766</v>
      </c>
      <c r="K63" s="123">
        <f t="shared" si="19"/>
        <v>78482.443620324659</v>
      </c>
      <c r="L63" s="123">
        <f t="shared" si="19"/>
        <v>152.54237288135587</v>
      </c>
      <c r="M63" s="123">
        <f t="shared" si="19"/>
        <v>50847.457627118667</v>
      </c>
      <c r="N63" s="129">
        <f t="shared" si="17"/>
        <v>129482.44362032469</v>
      </c>
    </row>
    <row r="64" spans="1:14">
      <c r="A64" s="131">
        <v>45805</v>
      </c>
      <c r="C64" s="120">
        <v>15054.133333333333</v>
      </c>
      <c r="D64" s="121">
        <v>300</v>
      </c>
      <c r="E64" s="119">
        <v>150</v>
      </c>
      <c r="G64" s="132">
        <f t="shared" si="14"/>
        <v>5.0847457627118651</v>
      </c>
      <c r="H64" s="132">
        <f t="shared" si="15"/>
        <v>0.50847457627118642</v>
      </c>
      <c r="I64" s="132">
        <f t="shared" si="16"/>
        <v>338.98305084745766</v>
      </c>
      <c r="K64" s="123">
        <f t="shared" si="19"/>
        <v>78617.1725739963</v>
      </c>
      <c r="L64" s="123">
        <f t="shared" si="19"/>
        <v>152.54237288135587</v>
      </c>
      <c r="M64" s="123">
        <f t="shared" si="19"/>
        <v>50847.457627118667</v>
      </c>
      <c r="N64" s="129">
        <f t="shared" si="17"/>
        <v>129617.17257399633</v>
      </c>
    </row>
    <row r="65" spans="1:14">
      <c r="A65" s="131">
        <v>45806</v>
      </c>
      <c r="C65" s="121">
        <v>15533.383333333333</v>
      </c>
      <c r="D65" s="121">
        <v>300</v>
      </c>
      <c r="E65" s="119">
        <v>150</v>
      </c>
      <c r="G65" s="132">
        <f t="shared" si="14"/>
        <v>5.0847457627118651</v>
      </c>
      <c r="H65" s="132">
        <f t="shared" si="15"/>
        <v>0.50847457627118642</v>
      </c>
      <c r="I65" s="132">
        <f t="shared" si="16"/>
        <v>338.98305084745766</v>
      </c>
      <c r="K65" s="123">
        <f t="shared" si="19"/>
        <v>78154.818402782228</v>
      </c>
      <c r="L65" s="123">
        <f t="shared" si="19"/>
        <v>152.54237288135587</v>
      </c>
      <c r="M65" s="123">
        <f t="shared" si="19"/>
        <v>50847.457627118667</v>
      </c>
      <c r="N65" s="129">
        <f t="shared" si="17"/>
        <v>129154.81840278226</v>
      </c>
    </row>
    <row r="66" spans="1:14" s="128" customFormat="1">
      <c r="A66" s="131">
        <v>45807</v>
      </c>
      <c r="B66" s="129"/>
      <c r="C66" s="129">
        <v>15794.866666666667</v>
      </c>
      <c r="D66" s="121">
        <v>300</v>
      </c>
      <c r="E66" s="119">
        <v>150</v>
      </c>
      <c r="G66" s="132">
        <f t="shared" si="14"/>
        <v>5.0847457627118651</v>
      </c>
      <c r="H66" s="132">
        <f t="shared" si="15"/>
        <v>0.50847457627118642</v>
      </c>
      <c r="I66" s="132">
        <f t="shared" si="16"/>
        <v>338.98305084745766</v>
      </c>
      <c r="J66" s="113"/>
      <c r="K66" s="123">
        <f t="shared" si="19"/>
        <v>77908.445752067259</v>
      </c>
      <c r="L66" s="123">
        <f t="shared" si="19"/>
        <v>152.54237288135587</v>
      </c>
      <c r="M66" s="123">
        <f t="shared" si="19"/>
        <v>50847.457627118667</v>
      </c>
      <c r="N66" s="129">
        <f t="shared" si="17"/>
        <v>128908.44575206729</v>
      </c>
    </row>
    <row r="67" spans="1:14">
      <c r="A67" s="131">
        <v>45808</v>
      </c>
      <c r="C67" s="129">
        <v>15794.866666666667</v>
      </c>
      <c r="D67" s="121">
        <v>300</v>
      </c>
      <c r="E67" s="119">
        <v>150</v>
      </c>
      <c r="G67" s="132">
        <f t="shared" si="14"/>
        <v>5.0847457627118651</v>
      </c>
      <c r="H67" s="132">
        <f t="shared" si="15"/>
        <v>0.50847457627118642</v>
      </c>
      <c r="I67" s="132">
        <f t="shared" si="16"/>
        <v>338.98305084745766</v>
      </c>
      <c r="J67" s="128"/>
      <c r="K67" s="123">
        <f t="shared" si="19"/>
        <v>77802.153015482894</v>
      </c>
      <c r="L67" s="123">
        <f t="shared" si="19"/>
        <v>152.54237288135587</v>
      </c>
      <c r="M67" s="123">
        <f t="shared" si="19"/>
        <v>50847.457627118667</v>
      </c>
      <c r="N67" s="129">
        <f t="shared" si="17"/>
        <v>128802.15301548292</v>
      </c>
    </row>
    <row r="68" spans="1:14">
      <c r="C68" s="120">
        <f>SUM(C37:C67)</f>
        <v>475353.78333333338</v>
      </c>
      <c r="D68" s="120">
        <f t="shared" ref="D68:E68" si="20">SUM(D37:D67)</f>
        <v>9300</v>
      </c>
      <c r="E68" s="120">
        <f t="shared" si="20"/>
        <v>4650</v>
      </c>
      <c r="G68" s="132"/>
      <c r="H68" s="132"/>
      <c r="I68" s="132"/>
      <c r="K68" s="123">
        <f>SUM(K37:K67)</f>
        <v>2407806.1798999454</v>
      </c>
      <c r="L68" s="123">
        <f t="shared" ref="L68:M68" si="21">SUM(L37:L67)</f>
        <v>4728.8135593220304</v>
      </c>
      <c r="M68" s="123">
        <f t="shared" si="21"/>
        <v>1576271.1864406776</v>
      </c>
      <c r="N68" s="123">
        <f>SUM(N37:N67)</f>
        <v>3988806.1798999454</v>
      </c>
    </row>
    <row r="71" spans="1:14">
      <c r="A71" s="118"/>
      <c r="N71" s="126"/>
    </row>
    <row r="72" spans="1:14">
      <c r="A72" s="118"/>
      <c r="N72" s="126"/>
    </row>
    <row r="73" spans="1:14">
      <c r="A73" s="118"/>
      <c r="N73" s="126"/>
    </row>
    <row r="74" spans="1:14">
      <c r="A74" s="118"/>
      <c r="N74" s="126"/>
    </row>
    <row r="75" spans="1:14">
      <c r="A75" s="118"/>
      <c r="N75" s="126"/>
    </row>
    <row r="76" spans="1:14">
      <c r="A76" s="118"/>
      <c r="N76" s="126"/>
    </row>
    <row r="77" spans="1:14">
      <c r="A77" s="118"/>
      <c r="N77" s="126"/>
    </row>
    <row r="78" spans="1:14">
      <c r="A78" s="118"/>
      <c r="N78" s="126"/>
    </row>
    <row r="79" spans="1:14">
      <c r="A79" s="118"/>
      <c r="N79" s="126"/>
    </row>
    <row r="80" spans="1:14">
      <c r="A80" s="118"/>
      <c r="N80" s="126"/>
    </row>
    <row r="81" spans="1:14">
      <c r="A81" s="118"/>
      <c r="N81" s="126"/>
    </row>
    <row r="82" spans="1:14">
      <c r="A82" s="118"/>
      <c r="N82" s="126"/>
    </row>
    <row r="83" spans="1:14">
      <c r="A83" s="118"/>
      <c r="N83" s="126"/>
    </row>
    <row r="84" spans="1:14">
      <c r="A84" s="118"/>
      <c r="N84" s="126"/>
    </row>
    <row r="85" spans="1:14">
      <c r="A85" s="118"/>
      <c r="N85" s="126"/>
    </row>
    <row r="86" spans="1:14">
      <c r="A86" s="118"/>
      <c r="N86" s="126"/>
    </row>
    <row r="87" spans="1:14">
      <c r="A87" s="118"/>
      <c r="N87" s="126"/>
    </row>
    <row r="88" spans="1:14">
      <c r="A88" s="118"/>
      <c r="N88" s="126"/>
    </row>
    <row r="89" spans="1:14">
      <c r="A89" s="118"/>
      <c r="N89" s="126"/>
    </row>
    <row r="90" spans="1:14">
      <c r="A90" s="118"/>
      <c r="N90" s="126"/>
    </row>
    <row r="91" spans="1:14">
      <c r="A91" s="118"/>
      <c r="N91" s="126"/>
    </row>
    <row r="92" spans="1:14">
      <c r="A92" s="118"/>
      <c r="N92" s="126"/>
    </row>
    <row r="93" spans="1:14">
      <c r="A93" s="118"/>
      <c r="N93" s="126"/>
    </row>
    <row r="94" spans="1:14">
      <c r="A94" s="118"/>
      <c r="N94" s="126"/>
    </row>
    <row r="95" spans="1:14">
      <c r="A95" s="118"/>
      <c r="N95" s="126"/>
    </row>
    <row r="96" spans="1:14">
      <c r="A96" s="118"/>
      <c r="N96" s="126"/>
    </row>
    <row r="97" spans="1:14">
      <c r="A97" s="118"/>
      <c r="N97" s="126"/>
    </row>
    <row r="98" spans="1:14">
      <c r="A98" s="118"/>
      <c r="N98" s="126"/>
    </row>
    <row r="99" spans="1:14">
      <c r="A99" s="118"/>
      <c r="N99" s="126"/>
    </row>
    <row r="100" spans="1:14">
      <c r="A100" s="118"/>
      <c r="N100" s="126"/>
    </row>
    <row r="101" spans="1:14">
      <c r="A101" s="118"/>
      <c r="N101" s="126"/>
    </row>
    <row r="102" spans="1:14" s="128" customFormat="1">
      <c r="B102" s="129"/>
      <c r="C102" s="129"/>
      <c r="D102" s="129"/>
      <c r="E102" s="127"/>
      <c r="G102" s="130"/>
      <c r="H102" s="130"/>
      <c r="I102" s="130"/>
      <c r="K102" s="129"/>
      <c r="L102" s="129"/>
      <c r="M102" s="129"/>
      <c r="N102" s="129"/>
    </row>
    <row r="106" spans="1:14">
      <c r="A106" s="118"/>
      <c r="N106" s="126"/>
    </row>
    <row r="107" spans="1:14">
      <c r="A107" s="118"/>
      <c r="N107" s="126"/>
    </row>
    <row r="108" spans="1:14">
      <c r="A108" s="118"/>
      <c r="N108" s="126"/>
    </row>
    <row r="109" spans="1:14">
      <c r="A109" s="118"/>
      <c r="N109" s="126"/>
    </row>
    <row r="110" spans="1:14">
      <c r="A110" s="118"/>
      <c r="N110" s="126"/>
    </row>
    <row r="111" spans="1:14">
      <c r="A111" s="118"/>
      <c r="N111" s="126"/>
    </row>
    <row r="112" spans="1:14">
      <c r="A112" s="118"/>
      <c r="N112" s="126"/>
    </row>
    <row r="113" spans="1:14">
      <c r="A113" s="118"/>
      <c r="N113" s="126"/>
    </row>
    <row r="114" spans="1:14">
      <c r="A114" s="118"/>
      <c r="N114" s="126"/>
    </row>
    <row r="115" spans="1:14">
      <c r="A115" s="118"/>
      <c r="N115" s="126"/>
    </row>
    <row r="116" spans="1:14">
      <c r="A116" s="118"/>
      <c r="N116" s="126"/>
    </row>
    <row r="117" spans="1:14">
      <c r="A117" s="118"/>
      <c r="N117" s="126"/>
    </row>
    <row r="118" spans="1:14">
      <c r="A118" s="118"/>
      <c r="N118" s="126"/>
    </row>
    <row r="119" spans="1:14">
      <c r="A119" s="118"/>
      <c r="N119" s="126"/>
    </row>
    <row r="120" spans="1:14">
      <c r="A120" s="118"/>
      <c r="N120" s="126"/>
    </row>
    <row r="121" spans="1:14">
      <c r="A121" s="118"/>
      <c r="N121" s="126"/>
    </row>
    <row r="122" spans="1:14">
      <c r="A122" s="118"/>
      <c r="N122" s="126"/>
    </row>
    <row r="123" spans="1:14">
      <c r="A123" s="118"/>
      <c r="N123" s="126"/>
    </row>
    <row r="124" spans="1:14">
      <c r="A124" s="118"/>
      <c r="N124" s="126"/>
    </row>
    <row r="125" spans="1:14">
      <c r="A125" s="118"/>
      <c r="N125" s="126"/>
    </row>
    <row r="126" spans="1:14">
      <c r="A126" s="118"/>
      <c r="N126" s="126"/>
    </row>
    <row r="127" spans="1:14">
      <c r="A127" s="118"/>
      <c r="N127" s="126"/>
    </row>
    <row r="128" spans="1:14">
      <c r="A128" s="118"/>
      <c r="N128" s="126"/>
    </row>
    <row r="129" spans="1:14">
      <c r="A129" s="118"/>
      <c r="N129" s="126"/>
    </row>
    <row r="130" spans="1:14">
      <c r="A130" s="118"/>
      <c r="N130" s="126"/>
    </row>
    <row r="131" spans="1:14">
      <c r="A131" s="118"/>
      <c r="N131" s="126"/>
    </row>
    <row r="132" spans="1:14">
      <c r="A132" s="118"/>
      <c r="N132" s="126"/>
    </row>
    <row r="133" spans="1:14">
      <c r="A133" s="118"/>
      <c r="N133" s="126"/>
    </row>
    <row r="134" spans="1:14">
      <c r="A134" s="118"/>
      <c r="N134" s="126"/>
    </row>
    <row r="135" spans="1:14">
      <c r="A135" s="118"/>
      <c r="D135" s="120"/>
      <c r="N135" s="126"/>
    </row>
    <row r="136" spans="1:14" s="128" customFormat="1">
      <c r="B136" s="129"/>
      <c r="C136" s="129"/>
      <c r="D136" s="129"/>
      <c r="E136" s="127"/>
      <c r="G136" s="130"/>
      <c r="H136" s="130"/>
      <c r="I136" s="130"/>
      <c r="K136" s="129"/>
      <c r="L136" s="129"/>
      <c r="M136" s="129"/>
      <c r="N136" s="129"/>
    </row>
    <row r="140" spans="1:14">
      <c r="A140" s="118"/>
      <c r="N140" s="126"/>
    </row>
    <row r="141" spans="1:14">
      <c r="A141" s="118"/>
      <c r="N141" s="126"/>
    </row>
    <row r="142" spans="1:14">
      <c r="A142" s="118"/>
      <c r="N142" s="126"/>
    </row>
    <row r="143" spans="1:14">
      <c r="A143" s="118"/>
      <c r="N143" s="126"/>
    </row>
    <row r="144" spans="1:14">
      <c r="A144" s="118"/>
      <c r="N144" s="126"/>
    </row>
    <row r="145" spans="1:14">
      <c r="A145" s="118"/>
      <c r="N145" s="126"/>
    </row>
    <row r="146" spans="1:14">
      <c r="A146" s="118"/>
      <c r="N146" s="126"/>
    </row>
    <row r="147" spans="1:14">
      <c r="A147" s="118"/>
      <c r="N147" s="126"/>
    </row>
    <row r="148" spans="1:14">
      <c r="A148" s="118"/>
      <c r="N148" s="126"/>
    </row>
    <row r="149" spans="1:14">
      <c r="A149" s="118"/>
      <c r="N149" s="126"/>
    </row>
    <row r="150" spans="1:14">
      <c r="A150" s="118"/>
      <c r="N150" s="126"/>
    </row>
    <row r="151" spans="1:14">
      <c r="A151" s="118"/>
      <c r="N151" s="126"/>
    </row>
    <row r="152" spans="1:14">
      <c r="A152" s="118"/>
      <c r="N152" s="126"/>
    </row>
    <row r="153" spans="1:14">
      <c r="A153" s="118"/>
      <c r="N153" s="126"/>
    </row>
    <row r="154" spans="1:14">
      <c r="A154" s="118"/>
      <c r="N154" s="126"/>
    </row>
    <row r="155" spans="1:14">
      <c r="A155" s="118"/>
      <c r="N155" s="126"/>
    </row>
    <row r="156" spans="1:14">
      <c r="A156" s="118"/>
      <c r="N156" s="126"/>
    </row>
    <row r="157" spans="1:14">
      <c r="A157" s="118"/>
      <c r="N157" s="126"/>
    </row>
    <row r="158" spans="1:14">
      <c r="A158" s="118"/>
      <c r="N158" s="126"/>
    </row>
    <row r="159" spans="1:14">
      <c r="A159" s="118"/>
      <c r="N159" s="126"/>
    </row>
    <row r="160" spans="1:14">
      <c r="A160" s="118"/>
      <c r="N160" s="126"/>
    </row>
    <row r="161" spans="1:14">
      <c r="A161" s="118"/>
      <c r="N161" s="126"/>
    </row>
    <row r="162" spans="1:14">
      <c r="A162" s="118"/>
      <c r="N162" s="126"/>
    </row>
    <row r="163" spans="1:14">
      <c r="A163" s="118"/>
      <c r="N163" s="126"/>
    </row>
    <row r="164" spans="1:14">
      <c r="A164" s="118"/>
      <c r="N164" s="126"/>
    </row>
    <row r="165" spans="1:14">
      <c r="A165" s="118"/>
      <c r="N165" s="126"/>
    </row>
    <row r="166" spans="1:14">
      <c r="A166" s="118"/>
      <c r="N166" s="126"/>
    </row>
    <row r="167" spans="1:14">
      <c r="A167" s="118"/>
      <c r="N167" s="126"/>
    </row>
    <row r="168" spans="1:14">
      <c r="A168" s="118"/>
      <c r="N168" s="126"/>
    </row>
    <row r="169" spans="1:14">
      <c r="A169" s="118"/>
      <c r="N169" s="126"/>
    </row>
    <row r="170" spans="1:14">
      <c r="A170" s="118"/>
      <c r="N170" s="126"/>
    </row>
    <row r="171" spans="1:14" s="128" customFormat="1">
      <c r="B171" s="133"/>
      <c r="C171" s="133"/>
      <c r="D171" s="133"/>
      <c r="E171" s="127"/>
      <c r="G171" s="130"/>
      <c r="H171" s="130"/>
      <c r="I171" s="130"/>
      <c r="K171" s="129"/>
      <c r="L171" s="129"/>
      <c r="M171" s="129"/>
      <c r="N171" s="129"/>
    </row>
    <row r="172" spans="1:14" ht="13.5" customHeight="1"/>
    <row r="173" spans="1:14" ht="13.5" customHeight="1"/>
    <row r="174" spans="1:14" ht="13.5" customHeight="1"/>
    <row r="175" spans="1:14">
      <c r="A175" s="118"/>
      <c r="N175" s="126"/>
    </row>
    <row r="176" spans="1:14">
      <c r="A176" s="118"/>
      <c r="N176" s="126"/>
    </row>
    <row r="177" spans="1:14">
      <c r="A177" s="118"/>
      <c r="N177" s="126"/>
    </row>
    <row r="178" spans="1:14">
      <c r="A178" s="118"/>
      <c r="N178" s="126"/>
    </row>
    <row r="179" spans="1:14">
      <c r="A179" s="118"/>
      <c r="N179" s="126"/>
    </row>
    <row r="180" spans="1:14">
      <c r="A180" s="118"/>
      <c r="N180" s="126"/>
    </row>
    <row r="181" spans="1:14">
      <c r="A181" s="118"/>
      <c r="N181" s="126"/>
    </row>
    <row r="182" spans="1:14">
      <c r="A182" s="118"/>
      <c r="N182" s="126"/>
    </row>
    <row r="183" spans="1:14">
      <c r="A183" s="118"/>
      <c r="N183" s="126"/>
    </row>
    <row r="184" spans="1:14">
      <c r="A184" s="118"/>
      <c r="N184" s="126"/>
    </row>
    <row r="185" spans="1:14">
      <c r="A185" s="118"/>
      <c r="N185" s="126"/>
    </row>
    <row r="186" spans="1:14">
      <c r="A186" s="118"/>
      <c r="N186" s="126"/>
    </row>
    <row r="187" spans="1:14">
      <c r="A187" s="118"/>
      <c r="N187" s="126"/>
    </row>
    <row r="188" spans="1:14">
      <c r="A188" s="118"/>
      <c r="N188" s="126"/>
    </row>
    <row r="189" spans="1:14">
      <c r="A189" s="118"/>
      <c r="N189" s="126"/>
    </row>
    <row r="190" spans="1:14">
      <c r="A190" s="118"/>
      <c r="N190" s="126"/>
    </row>
    <row r="191" spans="1:14">
      <c r="A191" s="118"/>
      <c r="N191" s="126"/>
    </row>
    <row r="192" spans="1:14">
      <c r="A192" s="118"/>
      <c r="N192" s="126"/>
    </row>
    <row r="193" spans="1:14">
      <c r="A193" s="118"/>
      <c r="N193" s="126"/>
    </row>
    <row r="194" spans="1:14">
      <c r="A194" s="118"/>
      <c r="N194" s="126"/>
    </row>
    <row r="195" spans="1:14">
      <c r="A195" s="118"/>
      <c r="N195" s="126"/>
    </row>
    <row r="196" spans="1:14">
      <c r="A196" s="118"/>
      <c r="N196" s="126"/>
    </row>
    <row r="197" spans="1:14">
      <c r="A197" s="118"/>
      <c r="N197" s="126"/>
    </row>
    <row r="198" spans="1:14">
      <c r="A198" s="118"/>
      <c r="N198" s="126"/>
    </row>
    <row r="199" spans="1:14">
      <c r="A199" s="118"/>
      <c r="N199" s="126"/>
    </row>
    <row r="200" spans="1:14">
      <c r="A200" s="118"/>
      <c r="N200" s="126"/>
    </row>
    <row r="201" spans="1:14">
      <c r="A201" s="118"/>
      <c r="N201" s="126"/>
    </row>
    <row r="202" spans="1:14">
      <c r="A202" s="118"/>
      <c r="N202" s="126"/>
    </row>
    <row r="203" spans="1:14">
      <c r="A203" s="118"/>
      <c r="N203" s="126"/>
    </row>
    <row r="204" spans="1:14">
      <c r="A204" s="118"/>
      <c r="N204" s="126"/>
    </row>
    <row r="205" spans="1:14" s="111" customFormat="1">
      <c r="B205" s="123"/>
      <c r="C205" s="123"/>
      <c r="D205" s="123"/>
      <c r="E205" s="124"/>
      <c r="G205" s="125"/>
      <c r="H205" s="125"/>
      <c r="I205" s="125"/>
      <c r="K205" s="123"/>
      <c r="L205" s="123"/>
      <c r="M205" s="123"/>
      <c r="N205" s="123"/>
    </row>
    <row r="209" spans="1:14">
      <c r="A209" s="118"/>
      <c r="N209" s="126"/>
    </row>
    <row r="210" spans="1:14">
      <c r="A210" s="118"/>
      <c r="N210" s="126"/>
    </row>
    <row r="211" spans="1:14">
      <c r="A211" s="118"/>
      <c r="N211" s="126"/>
    </row>
    <row r="212" spans="1:14">
      <c r="A212" s="118"/>
      <c r="N212" s="126"/>
    </row>
    <row r="213" spans="1:14">
      <c r="A213" s="118"/>
      <c r="N213" s="126"/>
    </row>
    <row r="214" spans="1:14">
      <c r="A214" s="118"/>
      <c r="N214" s="126"/>
    </row>
    <row r="215" spans="1:14">
      <c r="A215" s="118"/>
      <c r="N215" s="126"/>
    </row>
    <row r="216" spans="1:14">
      <c r="A216" s="118"/>
      <c r="N216" s="126"/>
    </row>
    <row r="217" spans="1:14">
      <c r="A217" s="118"/>
      <c r="N217" s="126"/>
    </row>
    <row r="218" spans="1:14">
      <c r="A218" s="118"/>
      <c r="N218" s="126"/>
    </row>
    <row r="219" spans="1:14">
      <c r="A219" s="118"/>
      <c r="N219" s="126"/>
    </row>
    <row r="220" spans="1:14">
      <c r="A220" s="118"/>
      <c r="N220" s="126"/>
    </row>
    <row r="221" spans="1:14">
      <c r="A221" s="118"/>
      <c r="N221" s="126"/>
    </row>
    <row r="222" spans="1:14">
      <c r="A222" s="118"/>
      <c r="N222" s="126"/>
    </row>
    <row r="223" spans="1:14">
      <c r="A223" s="118"/>
      <c r="N223" s="126"/>
    </row>
    <row r="224" spans="1:14">
      <c r="A224" s="118"/>
      <c r="N224" s="126"/>
    </row>
    <row r="225" spans="1:14">
      <c r="A225" s="118"/>
      <c r="N225" s="126"/>
    </row>
    <row r="226" spans="1:14">
      <c r="A226" s="118"/>
      <c r="N226" s="126"/>
    </row>
    <row r="227" spans="1:14">
      <c r="A227" s="118"/>
      <c r="N227" s="126"/>
    </row>
    <row r="228" spans="1:14">
      <c r="A228" s="118"/>
      <c r="N228" s="126"/>
    </row>
    <row r="229" spans="1:14">
      <c r="A229" s="118"/>
      <c r="D229" s="120"/>
      <c r="N229" s="126"/>
    </row>
    <row r="230" spans="1:14">
      <c r="A230" s="118"/>
      <c r="N230" s="126"/>
    </row>
    <row r="231" spans="1:14">
      <c r="A231" s="118"/>
      <c r="N231" s="126"/>
    </row>
    <row r="232" spans="1:14">
      <c r="A232" s="118"/>
      <c r="N232" s="126"/>
    </row>
    <row r="233" spans="1:14">
      <c r="A233" s="118"/>
      <c r="N233" s="126"/>
    </row>
    <row r="234" spans="1:14">
      <c r="A234" s="118"/>
      <c r="N234" s="126"/>
    </row>
    <row r="235" spans="1:14">
      <c r="A235" s="118"/>
      <c r="N235" s="126"/>
    </row>
    <row r="236" spans="1:14">
      <c r="A236" s="118"/>
      <c r="N236" s="126"/>
    </row>
    <row r="237" spans="1:14">
      <c r="A237" s="118"/>
      <c r="N237" s="126"/>
    </row>
    <row r="238" spans="1:14">
      <c r="A238" s="118"/>
      <c r="N238" s="126"/>
    </row>
    <row r="239" spans="1:14">
      <c r="A239" s="118"/>
      <c r="D239" s="120"/>
      <c r="N239" s="126"/>
    </row>
    <row r="240" spans="1:14">
      <c r="B240" s="120"/>
      <c r="D240" s="120"/>
      <c r="N240" s="126"/>
    </row>
    <row r="245" spans="1:14">
      <c r="A245" s="118"/>
      <c r="N245" s="126"/>
    </row>
    <row r="246" spans="1:14">
      <c r="A246" s="118"/>
      <c r="N246" s="126"/>
    </row>
    <row r="247" spans="1:14">
      <c r="A247" s="118"/>
      <c r="N247" s="126"/>
    </row>
    <row r="248" spans="1:14">
      <c r="A248" s="118"/>
      <c r="N248" s="126"/>
    </row>
    <row r="249" spans="1:14">
      <c r="A249" s="118"/>
      <c r="N249" s="126"/>
    </row>
    <row r="250" spans="1:14">
      <c r="A250" s="118"/>
      <c r="N250" s="126"/>
    </row>
    <row r="251" spans="1:14">
      <c r="A251" s="118"/>
      <c r="N251" s="126"/>
    </row>
    <row r="252" spans="1:14">
      <c r="A252" s="118"/>
      <c r="N252" s="126"/>
    </row>
    <row r="253" spans="1:14">
      <c r="A253" s="118"/>
      <c r="N253" s="126"/>
    </row>
    <row r="254" spans="1:14">
      <c r="A254" s="118"/>
      <c r="N254" s="126"/>
    </row>
    <row r="255" spans="1:14">
      <c r="A255" s="118"/>
      <c r="N255" s="126"/>
    </row>
    <row r="256" spans="1:14">
      <c r="A256" s="118"/>
      <c r="N256" s="126"/>
    </row>
    <row r="257" spans="1:14">
      <c r="A257" s="118"/>
      <c r="N257" s="126"/>
    </row>
    <row r="258" spans="1:14">
      <c r="A258" s="118"/>
      <c r="N258" s="126"/>
    </row>
    <row r="259" spans="1:14">
      <c r="A259" s="118"/>
      <c r="N259" s="126"/>
    </row>
    <row r="260" spans="1:14">
      <c r="A260" s="118"/>
      <c r="N260" s="126"/>
    </row>
    <row r="261" spans="1:14">
      <c r="A261" s="118"/>
      <c r="N261" s="126"/>
    </row>
    <row r="262" spans="1:14">
      <c r="A262" s="118"/>
      <c r="N262" s="126"/>
    </row>
    <row r="263" spans="1:14">
      <c r="A263" s="118"/>
      <c r="N263" s="126"/>
    </row>
    <row r="264" spans="1:14">
      <c r="A264" s="118"/>
      <c r="N264" s="126"/>
    </row>
    <row r="265" spans="1:14">
      <c r="A265" s="118"/>
      <c r="N265" s="126"/>
    </row>
    <row r="266" spans="1:14">
      <c r="A266" s="118"/>
      <c r="N266" s="126"/>
    </row>
    <row r="267" spans="1:14">
      <c r="A267" s="118"/>
      <c r="N267" s="126"/>
    </row>
    <row r="268" spans="1:14">
      <c r="A268" s="118"/>
      <c r="N268" s="126"/>
    </row>
    <row r="269" spans="1:14">
      <c r="A269" s="118"/>
      <c r="N269" s="126"/>
    </row>
    <row r="270" spans="1:14">
      <c r="A270" s="118"/>
      <c r="N270" s="126"/>
    </row>
    <row r="271" spans="1:14">
      <c r="A271" s="118"/>
      <c r="N271" s="126"/>
    </row>
    <row r="272" spans="1:14">
      <c r="A272" s="118"/>
      <c r="N272" s="126"/>
    </row>
    <row r="273" spans="1:14">
      <c r="A273" s="118"/>
      <c r="N273" s="126"/>
    </row>
    <row r="274" spans="1:14">
      <c r="A274" s="118"/>
      <c r="N274" s="126"/>
    </row>
    <row r="275" spans="1:14">
      <c r="A275" s="118"/>
      <c r="N275" s="126"/>
    </row>
    <row r="276" spans="1:14">
      <c r="A276" s="118"/>
      <c r="B276" s="120"/>
      <c r="D276" s="120"/>
      <c r="N276" s="126"/>
    </row>
    <row r="277" spans="1:14">
      <c r="A277" s="118"/>
    </row>
    <row r="278" spans="1:14">
      <c r="A278" s="118"/>
    </row>
    <row r="279" spans="1:14">
      <c r="A279" s="118"/>
    </row>
    <row r="280" spans="1:14">
      <c r="A280" s="118"/>
    </row>
    <row r="281" spans="1:14">
      <c r="A281" s="118"/>
      <c r="N281" s="126"/>
    </row>
    <row r="282" spans="1:14">
      <c r="A282" s="118"/>
      <c r="N282" s="126"/>
    </row>
    <row r="283" spans="1:14">
      <c r="A283" s="118"/>
      <c r="N283" s="126"/>
    </row>
    <row r="284" spans="1:14">
      <c r="A284" s="118"/>
      <c r="N284" s="126"/>
    </row>
    <row r="285" spans="1:14">
      <c r="A285" s="118"/>
      <c r="N285" s="126"/>
    </row>
    <row r="286" spans="1:14">
      <c r="A286" s="118"/>
      <c r="N286" s="126"/>
    </row>
    <row r="287" spans="1:14">
      <c r="A287" s="118"/>
      <c r="N287" s="126"/>
    </row>
    <row r="288" spans="1:14">
      <c r="A288" s="118"/>
      <c r="N288" s="126"/>
    </row>
    <row r="289" spans="1:14">
      <c r="A289" s="118"/>
      <c r="N289" s="126"/>
    </row>
    <row r="290" spans="1:14">
      <c r="A290" s="118"/>
      <c r="N290" s="126"/>
    </row>
    <row r="291" spans="1:14">
      <c r="A291" s="118"/>
      <c r="N291" s="126"/>
    </row>
    <row r="292" spans="1:14">
      <c r="A292" s="118"/>
      <c r="N292" s="126"/>
    </row>
    <row r="293" spans="1:14">
      <c r="A293" s="118"/>
      <c r="N293" s="126"/>
    </row>
    <row r="294" spans="1:14">
      <c r="A294" s="118"/>
      <c r="N294" s="126"/>
    </row>
    <row r="295" spans="1:14">
      <c r="A295" s="118"/>
      <c r="N295" s="126"/>
    </row>
    <row r="296" spans="1:14">
      <c r="A296" s="118"/>
      <c r="N296" s="126"/>
    </row>
    <row r="297" spans="1:14">
      <c r="A297" s="118"/>
      <c r="N297" s="126"/>
    </row>
    <row r="298" spans="1:14">
      <c r="A298" s="118"/>
      <c r="N298" s="126"/>
    </row>
    <row r="299" spans="1:14">
      <c r="A299" s="118"/>
      <c r="N299" s="126"/>
    </row>
    <row r="300" spans="1:14">
      <c r="A300" s="118"/>
      <c r="N300" s="126"/>
    </row>
    <row r="301" spans="1:14">
      <c r="A301" s="118"/>
      <c r="N301" s="126"/>
    </row>
    <row r="302" spans="1:14">
      <c r="A302" s="118"/>
      <c r="N302" s="126"/>
    </row>
    <row r="303" spans="1:14">
      <c r="A303" s="118"/>
      <c r="N303" s="126"/>
    </row>
    <row r="304" spans="1:14">
      <c r="A304" s="118"/>
      <c r="N304" s="126"/>
    </row>
    <row r="305" spans="1:17">
      <c r="A305" s="118"/>
      <c r="N305" s="126"/>
    </row>
    <row r="306" spans="1:17">
      <c r="A306" s="118"/>
      <c r="N306" s="126"/>
    </row>
    <row r="307" spans="1:17">
      <c r="A307" s="118"/>
      <c r="N307" s="126"/>
    </row>
    <row r="308" spans="1:17">
      <c r="A308" s="118"/>
      <c r="N308" s="126"/>
    </row>
    <row r="309" spans="1:17">
      <c r="A309" s="118"/>
      <c r="N309" s="126"/>
    </row>
    <row r="310" spans="1:17">
      <c r="A310" s="118"/>
      <c r="N310" s="126"/>
    </row>
    <row r="311" spans="1:17">
      <c r="B311" s="120"/>
      <c r="D311" s="120"/>
      <c r="N311" s="123"/>
      <c r="Q311" s="134">
        <f>+N311+N276+N240+N205+N171+N136+N102+N66+N33</f>
        <v>11452911.286849281</v>
      </c>
    </row>
    <row r="314" spans="1:17">
      <c r="A314" s="118"/>
      <c r="N314" s="126"/>
    </row>
    <row r="315" spans="1:17">
      <c r="A315" s="118"/>
      <c r="N315" s="126"/>
    </row>
    <row r="316" spans="1:17">
      <c r="A316" s="118"/>
      <c r="N316" s="126"/>
    </row>
    <row r="317" spans="1:17">
      <c r="A317" s="118"/>
      <c r="N317" s="126"/>
    </row>
    <row r="318" spans="1:17">
      <c r="A318" s="118"/>
      <c r="N318" s="126"/>
    </row>
    <row r="319" spans="1:17">
      <c r="A319" s="118"/>
      <c r="N319" s="126"/>
    </row>
    <row r="320" spans="1:17">
      <c r="A320" s="118"/>
      <c r="N320" s="126"/>
    </row>
    <row r="321" spans="1:14">
      <c r="A321" s="118"/>
      <c r="N321" s="126"/>
    </row>
    <row r="322" spans="1:14">
      <c r="A322" s="118"/>
      <c r="N322" s="126"/>
    </row>
    <row r="323" spans="1:14">
      <c r="A323" s="118"/>
      <c r="N323" s="126"/>
    </row>
    <row r="324" spans="1:14">
      <c r="A324" s="118"/>
      <c r="N324" s="126"/>
    </row>
    <row r="325" spans="1:14">
      <c r="A325" s="118"/>
      <c r="N325" s="126"/>
    </row>
    <row r="326" spans="1:14">
      <c r="A326" s="118"/>
      <c r="N326" s="126"/>
    </row>
    <row r="327" spans="1:14">
      <c r="A327" s="118"/>
      <c r="N327" s="126"/>
    </row>
    <row r="328" spans="1:14">
      <c r="A328" s="118"/>
      <c r="N328" s="126"/>
    </row>
    <row r="329" spans="1:14">
      <c r="A329" s="118"/>
      <c r="N329" s="126"/>
    </row>
    <row r="330" spans="1:14">
      <c r="A330" s="118"/>
      <c r="N330" s="126"/>
    </row>
    <row r="331" spans="1:14">
      <c r="A331" s="118"/>
      <c r="N331" s="126"/>
    </row>
    <row r="332" spans="1:14">
      <c r="A332" s="118"/>
      <c r="N332" s="126"/>
    </row>
    <row r="333" spans="1:14">
      <c r="A333" s="118"/>
      <c r="N333" s="126"/>
    </row>
    <row r="334" spans="1:14">
      <c r="A334" s="118"/>
      <c r="N334" s="126"/>
    </row>
    <row r="335" spans="1:14">
      <c r="A335" s="118"/>
      <c r="N335" s="126"/>
    </row>
    <row r="336" spans="1:14">
      <c r="A336" s="118"/>
      <c r="N336" s="126"/>
    </row>
    <row r="337" spans="1:14">
      <c r="A337" s="118"/>
      <c r="N337" s="126"/>
    </row>
    <row r="338" spans="1:14">
      <c r="A338" s="118"/>
      <c r="N338" s="126"/>
    </row>
    <row r="339" spans="1:14">
      <c r="A339" s="118"/>
      <c r="N339" s="126"/>
    </row>
    <row r="340" spans="1:14">
      <c r="A340" s="118"/>
      <c r="N340" s="126"/>
    </row>
    <row r="341" spans="1:14">
      <c r="A341" s="118"/>
      <c r="N341" s="126"/>
    </row>
    <row r="342" spans="1:14">
      <c r="A342" s="118"/>
      <c r="N342" s="126"/>
    </row>
    <row r="343" spans="1:14">
      <c r="A343" s="118"/>
      <c r="N343" s="126"/>
    </row>
    <row r="344" spans="1:14">
      <c r="A344" s="118"/>
      <c r="N344" s="126"/>
    </row>
    <row r="345" spans="1:14" s="111" customFormat="1">
      <c r="B345" s="124"/>
      <c r="C345" s="123"/>
      <c r="D345" s="123"/>
      <c r="E345" s="124"/>
      <c r="G345" s="125"/>
      <c r="H345" s="125"/>
      <c r="I345" s="125"/>
      <c r="K345" s="123"/>
      <c r="L345" s="123"/>
      <c r="M345" s="123"/>
      <c r="N345" s="123"/>
    </row>
    <row r="349" spans="1:14">
      <c r="A349" s="118"/>
      <c r="N349" s="126"/>
    </row>
    <row r="350" spans="1:14">
      <c r="A350" s="118"/>
      <c r="N350" s="126"/>
    </row>
    <row r="351" spans="1:14">
      <c r="A351" s="118"/>
      <c r="N351" s="126"/>
    </row>
    <row r="352" spans="1:14">
      <c r="A352" s="118"/>
      <c r="N352" s="126"/>
    </row>
    <row r="353" spans="1:14">
      <c r="A353" s="118"/>
      <c r="N353" s="126"/>
    </row>
    <row r="354" spans="1:14">
      <c r="A354" s="118"/>
      <c r="N354" s="126"/>
    </row>
    <row r="355" spans="1:14">
      <c r="A355" s="118"/>
      <c r="N355" s="126"/>
    </row>
    <row r="356" spans="1:14">
      <c r="A356" s="118"/>
      <c r="N356" s="126"/>
    </row>
    <row r="357" spans="1:14">
      <c r="A357" s="118"/>
      <c r="N357" s="126"/>
    </row>
    <row r="358" spans="1:14">
      <c r="A358" s="118"/>
      <c r="N358" s="126"/>
    </row>
    <row r="359" spans="1:14">
      <c r="A359" s="118"/>
      <c r="N359" s="126"/>
    </row>
    <row r="360" spans="1:14">
      <c r="A360" s="118"/>
      <c r="N360" s="126"/>
    </row>
    <row r="361" spans="1:14">
      <c r="A361" s="118"/>
      <c r="N361" s="126"/>
    </row>
    <row r="362" spans="1:14">
      <c r="A362" s="118"/>
      <c r="N362" s="126"/>
    </row>
    <row r="363" spans="1:14">
      <c r="A363" s="118"/>
      <c r="N363" s="126"/>
    </row>
    <row r="364" spans="1:14">
      <c r="A364" s="118"/>
      <c r="N364" s="126"/>
    </row>
    <row r="365" spans="1:14">
      <c r="A365" s="118"/>
      <c r="N365" s="126"/>
    </row>
    <row r="366" spans="1:14">
      <c r="A366" s="118"/>
      <c r="N366" s="126"/>
    </row>
    <row r="367" spans="1:14">
      <c r="A367" s="118"/>
      <c r="N367" s="126"/>
    </row>
    <row r="368" spans="1:14">
      <c r="A368" s="118"/>
      <c r="N368" s="126"/>
    </row>
    <row r="369" spans="1:16">
      <c r="A369" s="118"/>
      <c r="N369" s="126"/>
    </row>
    <row r="370" spans="1:16">
      <c r="A370" s="118"/>
      <c r="N370" s="126"/>
    </row>
    <row r="371" spans="1:16">
      <c r="A371" s="118"/>
      <c r="N371" s="126"/>
    </row>
    <row r="372" spans="1:16">
      <c r="A372" s="118"/>
      <c r="N372" s="126"/>
    </row>
    <row r="373" spans="1:16">
      <c r="A373" s="118"/>
      <c r="N373" s="126"/>
    </row>
    <row r="374" spans="1:16">
      <c r="A374" s="118"/>
      <c r="N374" s="126"/>
    </row>
    <row r="375" spans="1:16">
      <c r="A375" s="118"/>
      <c r="N375" s="126"/>
    </row>
    <row r="376" spans="1:16">
      <c r="A376" s="118"/>
      <c r="N376" s="126"/>
    </row>
    <row r="377" spans="1:16">
      <c r="A377" s="118"/>
      <c r="N377" s="126"/>
    </row>
    <row r="378" spans="1:16">
      <c r="A378" s="118"/>
      <c r="N378" s="126"/>
    </row>
    <row r="379" spans="1:16">
      <c r="A379" s="118"/>
      <c r="N379" s="126"/>
    </row>
    <row r="380" spans="1:16">
      <c r="D380" s="120"/>
      <c r="K380" s="120"/>
      <c r="L380" s="120"/>
      <c r="M380" s="120"/>
      <c r="N380" s="120"/>
      <c r="P380" s="134">
        <f>N380*1.18</f>
        <v>0</v>
      </c>
    </row>
    <row r="385" spans="1:14">
      <c r="A385" s="118"/>
      <c r="N385" s="126"/>
    </row>
    <row r="386" spans="1:14">
      <c r="A386" s="118"/>
      <c r="N386" s="126"/>
    </row>
    <row r="387" spans="1:14">
      <c r="A387" s="118"/>
      <c r="N387" s="126"/>
    </row>
    <row r="388" spans="1:14">
      <c r="A388" s="118"/>
      <c r="N388" s="126"/>
    </row>
    <row r="389" spans="1:14">
      <c r="A389" s="118"/>
      <c r="N389" s="126"/>
    </row>
    <row r="390" spans="1:14">
      <c r="A390" s="118"/>
      <c r="N390" s="126"/>
    </row>
    <row r="391" spans="1:14">
      <c r="A391" s="118"/>
      <c r="N391" s="126"/>
    </row>
    <row r="392" spans="1:14">
      <c r="A392" s="118"/>
      <c r="N392" s="126"/>
    </row>
    <row r="393" spans="1:14">
      <c r="A393" s="118"/>
      <c r="N393" s="126"/>
    </row>
    <row r="394" spans="1:14">
      <c r="A394" s="118"/>
      <c r="N394" s="126"/>
    </row>
    <row r="395" spans="1:14">
      <c r="A395" s="118"/>
      <c r="N395" s="126"/>
    </row>
    <row r="396" spans="1:14">
      <c r="A396" s="118"/>
      <c r="N396" s="126"/>
    </row>
    <row r="397" spans="1:14">
      <c r="A397" s="118"/>
      <c r="N397" s="126"/>
    </row>
    <row r="398" spans="1:14">
      <c r="A398" s="118"/>
      <c r="N398" s="126"/>
    </row>
    <row r="399" spans="1:14">
      <c r="A399" s="118"/>
      <c r="N399" s="126"/>
    </row>
    <row r="400" spans="1:14">
      <c r="A400" s="118"/>
      <c r="N400" s="126"/>
    </row>
    <row r="401" spans="1:14">
      <c r="A401" s="118"/>
      <c r="N401" s="126"/>
    </row>
    <row r="402" spans="1:14">
      <c r="A402" s="118"/>
      <c r="N402" s="126"/>
    </row>
    <row r="403" spans="1:14">
      <c r="A403" s="118"/>
      <c r="N403" s="126"/>
    </row>
    <row r="404" spans="1:14">
      <c r="A404" s="118"/>
      <c r="N404" s="126"/>
    </row>
    <row r="405" spans="1:14">
      <c r="A405" s="118"/>
      <c r="N405" s="126"/>
    </row>
    <row r="406" spans="1:14">
      <c r="A406" s="118"/>
      <c r="N406" s="126"/>
    </row>
    <row r="407" spans="1:14">
      <c r="A407" s="118"/>
      <c r="N407" s="126"/>
    </row>
    <row r="408" spans="1:14">
      <c r="A408" s="118"/>
      <c r="N408" s="126"/>
    </row>
    <row r="409" spans="1:14">
      <c r="A409" s="118"/>
      <c r="N409" s="126"/>
    </row>
    <row r="410" spans="1:14">
      <c r="A410" s="118"/>
      <c r="N410" s="126"/>
    </row>
    <row r="411" spans="1:14">
      <c r="A411" s="118"/>
      <c r="N411" s="126"/>
    </row>
    <row r="412" spans="1:14">
      <c r="A412" s="118"/>
      <c r="N412" s="126"/>
    </row>
    <row r="413" spans="1:14">
      <c r="A413" s="118"/>
      <c r="N413" s="126"/>
    </row>
    <row r="414" spans="1:14">
      <c r="A414" s="118"/>
      <c r="N414" s="126"/>
    </row>
    <row r="415" spans="1:14">
      <c r="A415" s="118"/>
      <c r="N415" s="126"/>
    </row>
  </sheetData>
  <mergeCells count="4">
    <mergeCell ref="C1:E1"/>
    <mergeCell ref="G1:I1"/>
    <mergeCell ref="K1:M1"/>
    <mergeCell ref="N1:N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C417-4DD9-40E1-9639-AA27F8EACC58}">
  <dimension ref="A2:N33"/>
  <sheetViews>
    <sheetView topLeftCell="A21" workbookViewId="0">
      <selection activeCell="F34" sqref="F34"/>
    </sheetView>
  </sheetViews>
  <sheetFormatPr defaultColWidth="11.42578125" defaultRowHeight="13.9"/>
  <cols>
    <col min="4" max="4" width="13" bestFit="1" customWidth="1"/>
    <col min="8" max="8" width="12.140625" bestFit="1" customWidth="1"/>
    <col min="12" max="12" width="12" bestFit="1" customWidth="1"/>
    <col min="13" max="13" width="14.5703125" bestFit="1" customWidth="1"/>
    <col min="14" max="14" width="13.140625" bestFit="1" customWidth="1"/>
  </cols>
  <sheetData>
    <row r="2" spans="1:14">
      <c r="A2" s="176">
        <v>45778</v>
      </c>
      <c r="B2">
        <v>18805</v>
      </c>
      <c r="C2" s="175">
        <f>0.08*655.957</f>
        <v>52.476559999999999</v>
      </c>
      <c r="D2" s="97">
        <f>+B2*C2</f>
        <v>986821.7108</v>
      </c>
      <c r="F2">
        <v>156</v>
      </c>
      <c r="G2" s="175">
        <f>0.08*655.957</f>
        <v>52.476559999999999</v>
      </c>
      <c r="H2" s="97">
        <f>+F2*G2</f>
        <v>8186.3433599999998</v>
      </c>
      <c r="L2" s="97">
        <f>+B2*0.16*655.957</f>
        <v>1973643.4216</v>
      </c>
      <c r="M2" s="97">
        <f>(200000*655.957)/31</f>
        <v>4231980.6451612907</v>
      </c>
      <c r="N2" s="177">
        <f>+M2-L2</f>
        <v>2258337.2235612907</v>
      </c>
    </row>
    <row r="3" spans="1:14">
      <c r="A3" s="176">
        <v>45779</v>
      </c>
      <c r="B3">
        <v>18745</v>
      </c>
      <c r="C3" s="175">
        <f t="shared" ref="C3:C24" si="0">0.08*655.957</f>
        <v>52.476559999999999</v>
      </c>
      <c r="D3" s="97">
        <f t="shared" ref="D3:D22" si="1">+B3*C3</f>
        <v>983673.11719999998</v>
      </c>
      <c r="F3">
        <v>123</v>
      </c>
      <c r="G3" s="175">
        <f t="shared" ref="G3:G32" si="2">0.08*655.957</f>
        <v>52.476559999999999</v>
      </c>
      <c r="H3" s="97">
        <f t="shared" ref="H3:H32" si="3">+F3*G3</f>
        <v>6454.6168799999996</v>
      </c>
      <c r="L3" s="97">
        <f t="shared" ref="L3:L32" si="4">+B3*0.16*655.957</f>
        <v>1967346.2344000002</v>
      </c>
      <c r="M3" s="97">
        <f t="shared" ref="M3:M32" si="5">(200000*655.957)/31</f>
        <v>4231980.6451612907</v>
      </c>
      <c r="N3" s="177">
        <f t="shared" ref="N3:N32" si="6">+M3-L3</f>
        <v>2264634.4107612902</v>
      </c>
    </row>
    <row r="4" spans="1:14">
      <c r="A4" s="176">
        <v>45780</v>
      </c>
      <c r="B4">
        <v>16576</v>
      </c>
      <c r="C4" s="175">
        <f t="shared" si="0"/>
        <v>52.476559999999999</v>
      </c>
      <c r="D4" s="97">
        <f t="shared" si="1"/>
        <v>869851.45855999994</v>
      </c>
      <c r="F4">
        <v>135</v>
      </c>
      <c r="G4" s="175">
        <f t="shared" si="2"/>
        <v>52.476559999999999</v>
      </c>
      <c r="H4" s="97">
        <f t="shared" si="3"/>
        <v>7084.3356000000003</v>
      </c>
      <c r="L4" s="97">
        <f t="shared" si="4"/>
        <v>1739702.9171199999</v>
      </c>
      <c r="M4" s="97">
        <f t="shared" si="5"/>
        <v>4231980.6451612907</v>
      </c>
      <c r="N4" s="177">
        <f t="shared" si="6"/>
        <v>2492277.7280412908</v>
      </c>
    </row>
    <row r="5" spans="1:14">
      <c r="A5" s="176">
        <v>45781</v>
      </c>
      <c r="B5">
        <v>16181</v>
      </c>
      <c r="C5" s="175">
        <f t="shared" si="0"/>
        <v>52.476559999999999</v>
      </c>
      <c r="D5" s="97">
        <f t="shared" si="1"/>
        <v>849123.21736000001</v>
      </c>
      <c r="F5">
        <v>134</v>
      </c>
      <c r="G5" s="175">
        <f t="shared" si="2"/>
        <v>52.476559999999999</v>
      </c>
      <c r="H5" s="97">
        <f t="shared" si="3"/>
        <v>7031.8590400000003</v>
      </c>
      <c r="L5" s="97">
        <f t="shared" si="4"/>
        <v>1698246.43472</v>
      </c>
      <c r="M5" s="97">
        <f t="shared" si="5"/>
        <v>4231980.6451612907</v>
      </c>
      <c r="N5" s="177">
        <f t="shared" si="6"/>
        <v>2533734.2104412904</v>
      </c>
    </row>
    <row r="6" spans="1:14">
      <c r="A6" s="176">
        <v>45782</v>
      </c>
      <c r="B6">
        <v>18011</v>
      </c>
      <c r="C6" s="175">
        <f t="shared" si="0"/>
        <v>52.476559999999999</v>
      </c>
      <c r="D6" s="97">
        <f t="shared" si="1"/>
        <v>945155.32215999998</v>
      </c>
      <c r="F6">
        <v>883</v>
      </c>
      <c r="G6" s="175">
        <f t="shared" si="2"/>
        <v>52.476559999999999</v>
      </c>
      <c r="H6" s="97">
        <f t="shared" si="3"/>
        <v>46336.802479999998</v>
      </c>
      <c r="L6" s="97">
        <f t="shared" si="4"/>
        <v>1890310.6443200002</v>
      </c>
      <c r="M6" s="97">
        <f t="shared" si="5"/>
        <v>4231980.6451612907</v>
      </c>
      <c r="N6" s="177">
        <f t="shared" si="6"/>
        <v>2341670.0008412907</v>
      </c>
    </row>
    <row r="7" spans="1:14">
      <c r="A7" s="176">
        <v>45783</v>
      </c>
      <c r="B7">
        <v>16174</v>
      </c>
      <c r="C7" s="175">
        <f t="shared" si="0"/>
        <v>52.476559999999999</v>
      </c>
      <c r="D7" s="97">
        <f t="shared" si="1"/>
        <v>848755.88144000003</v>
      </c>
      <c r="F7">
        <v>1203</v>
      </c>
      <c r="G7" s="175">
        <f t="shared" si="2"/>
        <v>52.476559999999999</v>
      </c>
      <c r="H7" s="97">
        <f t="shared" si="3"/>
        <v>63129.301679999997</v>
      </c>
      <c r="L7" s="97">
        <f t="shared" si="4"/>
        <v>1697511.7628800001</v>
      </c>
      <c r="M7" s="97">
        <f t="shared" si="5"/>
        <v>4231980.6451612907</v>
      </c>
      <c r="N7" s="177">
        <f t="shared" si="6"/>
        <v>2534468.8822812904</v>
      </c>
    </row>
    <row r="8" spans="1:14">
      <c r="A8" s="176">
        <v>45784</v>
      </c>
      <c r="B8">
        <v>16835</v>
      </c>
      <c r="C8" s="175">
        <f t="shared" si="0"/>
        <v>52.476559999999999</v>
      </c>
      <c r="D8" s="97">
        <f t="shared" si="1"/>
        <v>883442.88760000002</v>
      </c>
      <c r="F8">
        <v>959</v>
      </c>
      <c r="G8" s="175">
        <f t="shared" si="2"/>
        <v>52.476559999999999</v>
      </c>
      <c r="H8" s="97">
        <f t="shared" si="3"/>
        <v>50325.02104</v>
      </c>
      <c r="L8" s="97">
        <f t="shared" si="4"/>
        <v>1766885.7752</v>
      </c>
      <c r="M8" s="97">
        <f t="shared" si="5"/>
        <v>4231980.6451612907</v>
      </c>
      <c r="N8" s="177">
        <f t="shared" si="6"/>
        <v>2465094.8699612906</v>
      </c>
    </row>
    <row r="9" spans="1:14">
      <c r="A9" s="176">
        <v>45785</v>
      </c>
      <c r="B9">
        <v>17209</v>
      </c>
      <c r="C9" s="175">
        <f t="shared" si="0"/>
        <v>52.476559999999999</v>
      </c>
      <c r="D9" s="97">
        <f t="shared" si="1"/>
        <v>903069.12104</v>
      </c>
      <c r="F9">
        <v>1038</v>
      </c>
      <c r="G9" s="175">
        <f t="shared" si="2"/>
        <v>52.476559999999999</v>
      </c>
      <c r="H9" s="97">
        <f t="shared" si="3"/>
        <v>54470.669280000002</v>
      </c>
      <c r="L9" s="97">
        <f t="shared" si="4"/>
        <v>1806138.24208</v>
      </c>
      <c r="M9" s="97">
        <f t="shared" si="5"/>
        <v>4231980.6451612907</v>
      </c>
      <c r="N9" s="177">
        <f t="shared" si="6"/>
        <v>2425842.4030812904</v>
      </c>
    </row>
    <row r="10" spans="1:14">
      <c r="A10" s="176">
        <v>45786</v>
      </c>
      <c r="B10">
        <v>19050</v>
      </c>
      <c r="C10" s="175">
        <f t="shared" si="0"/>
        <v>52.476559999999999</v>
      </c>
      <c r="D10" s="97">
        <f t="shared" si="1"/>
        <v>999678.46799999999</v>
      </c>
      <c r="F10">
        <v>1077</v>
      </c>
      <c r="G10" s="175">
        <f t="shared" si="2"/>
        <v>52.476559999999999</v>
      </c>
      <c r="H10" s="97">
        <f t="shared" si="3"/>
        <v>56517.255120000002</v>
      </c>
      <c r="L10" s="97">
        <f t="shared" si="4"/>
        <v>1999356.936</v>
      </c>
      <c r="M10" s="97">
        <f t="shared" si="5"/>
        <v>4231980.6451612907</v>
      </c>
      <c r="N10" s="177">
        <f t="shared" si="6"/>
        <v>2232623.7091612909</v>
      </c>
    </row>
    <row r="11" spans="1:14">
      <c r="A11" s="176">
        <v>45787</v>
      </c>
      <c r="B11">
        <v>18569</v>
      </c>
      <c r="C11" s="175">
        <f t="shared" si="0"/>
        <v>52.476559999999999</v>
      </c>
      <c r="D11" s="97">
        <f t="shared" si="1"/>
        <v>974437.24263999995</v>
      </c>
      <c r="F11">
        <v>943</v>
      </c>
      <c r="G11" s="175">
        <f t="shared" si="2"/>
        <v>52.476559999999999</v>
      </c>
      <c r="H11" s="97">
        <f t="shared" si="3"/>
        <v>49485.396079999999</v>
      </c>
      <c r="L11" s="97">
        <f t="shared" si="4"/>
        <v>1948874.4852799999</v>
      </c>
      <c r="M11" s="97">
        <f t="shared" si="5"/>
        <v>4231980.6451612907</v>
      </c>
      <c r="N11" s="177">
        <f t="shared" si="6"/>
        <v>2283106.159881291</v>
      </c>
    </row>
    <row r="12" spans="1:14">
      <c r="A12" s="176">
        <v>45788</v>
      </c>
      <c r="B12">
        <v>18334</v>
      </c>
      <c r="C12" s="175">
        <f t="shared" si="0"/>
        <v>52.476559999999999</v>
      </c>
      <c r="D12" s="97">
        <f t="shared" si="1"/>
        <v>962105.25104</v>
      </c>
      <c r="F12">
        <v>899</v>
      </c>
      <c r="G12" s="175">
        <f t="shared" si="2"/>
        <v>52.476559999999999</v>
      </c>
      <c r="H12" s="97">
        <f t="shared" si="3"/>
        <v>47176.427439999999</v>
      </c>
      <c r="L12" s="97">
        <f t="shared" si="4"/>
        <v>1924210.50208</v>
      </c>
      <c r="M12" s="97">
        <f t="shared" si="5"/>
        <v>4231980.6451612907</v>
      </c>
      <c r="N12" s="177">
        <f t="shared" si="6"/>
        <v>2307770.1430812906</v>
      </c>
    </row>
    <row r="13" spans="1:14">
      <c r="A13" s="176">
        <v>45789</v>
      </c>
      <c r="B13">
        <v>17824</v>
      </c>
      <c r="C13" s="175">
        <f t="shared" si="0"/>
        <v>52.476559999999999</v>
      </c>
      <c r="D13" s="97">
        <f t="shared" si="1"/>
        <v>935342.20543999993</v>
      </c>
      <c r="F13">
        <v>1024</v>
      </c>
      <c r="G13" s="175">
        <f t="shared" si="2"/>
        <v>52.476559999999999</v>
      </c>
      <c r="H13" s="97">
        <f t="shared" si="3"/>
        <v>53735.997439999999</v>
      </c>
      <c r="L13" s="97">
        <f t="shared" si="4"/>
        <v>1870684.4108800001</v>
      </c>
      <c r="M13" s="97">
        <f t="shared" si="5"/>
        <v>4231980.6451612907</v>
      </c>
      <c r="N13" s="177">
        <f t="shared" si="6"/>
        <v>2361296.2342812903</v>
      </c>
    </row>
    <row r="14" spans="1:14">
      <c r="A14" s="176">
        <v>45790</v>
      </c>
      <c r="B14">
        <v>17854</v>
      </c>
      <c r="C14" s="175">
        <f t="shared" si="0"/>
        <v>52.476559999999999</v>
      </c>
      <c r="D14" s="97">
        <f t="shared" si="1"/>
        <v>936916.50223999994</v>
      </c>
      <c r="F14">
        <v>1089</v>
      </c>
      <c r="G14" s="175">
        <f t="shared" si="2"/>
        <v>52.476559999999999</v>
      </c>
      <c r="H14" s="97">
        <f t="shared" si="3"/>
        <v>57146.973839999999</v>
      </c>
      <c r="L14" s="97">
        <f t="shared" si="4"/>
        <v>1873833.0044799999</v>
      </c>
      <c r="M14" s="97">
        <f t="shared" si="5"/>
        <v>4231980.6451612907</v>
      </c>
      <c r="N14" s="177">
        <f t="shared" si="6"/>
        <v>2358147.640681291</v>
      </c>
    </row>
    <row r="15" spans="1:14">
      <c r="A15" s="176">
        <v>45791</v>
      </c>
      <c r="B15">
        <v>19244</v>
      </c>
      <c r="C15" s="175">
        <f t="shared" si="0"/>
        <v>52.476559999999999</v>
      </c>
      <c r="D15" s="97">
        <f t="shared" si="1"/>
        <v>1009858.92064</v>
      </c>
      <c r="F15">
        <v>1133</v>
      </c>
      <c r="G15" s="175">
        <f t="shared" si="2"/>
        <v>52.476559999999999</v>
      </c>
      <c r="H15" s="97">
        <f t="shared" si="3"/>
        <v>59455.942479999998</v>
      </c>
      <c r="L15" s="97">
        <f t="shared" si="4"/>
        <v>2019717.8412800001</v>
      </c>
      <c r="M15" s="97">
        <f t="shared" si="5"/>
        <v>4231980.6451612907</v>
      </c>
      <c r="N15" s="177">
        <f t="shared" si="6"/>
        <v>2212262.8038812904</v>
      </c>
    </row>
    <row r="16" spans="1:14">
      <c r="A16" s="176">
        <v>45792</v>
      </c>
      <c r="B16">
        <v>20262</v>
      </c>
      <c r="C16" s="175">
        <f t="shared" si="0"/>
        <v>52.476559999999999</v>
      </c>
      <c r="D16" s="97">
        <f t="shared" si="1"/>
        <v>1063280.0587200001</v>
      </c>
      <c r="F16">
        <v>1097</v>
      </c>
      <c r="G16" s="175">
        <f t="shared" si="2"/>
        <v>52.476559999999999</v>
      </c>
      <c r="H16" s="97">
        <f t="shared" si="3"/>
        <v>57566.786319999999</v>
      </c>
      <c r="L16" s="97">
        <f t="shared" si="4"/>
        <v>2126560.1174400002</v>
      </c>
      <c r="M16" s="97">
        <f t="shared" si="5"/>
        <v>4231980.6451612907</v>
      </c>
      <c r="N16" s="177">
        <f t="shared" si="6"/>
        <v>2105420.5277212905</v>
      </c>
    </row>
    <row r="17" spans="1:14">
      <c r="A17" s="176">
        <v>45793</v>
      </c>
      <c r="B17">
        <v>18549</v>
      </c>
      <c r="C17" s="175">
        <f t="shared" si="0"/>
        <v>52.476559999999999</v>
      </c>
      <c r="D17" s="97">
        <f t="shared" si="1"/>
        <v>973387.71143999998</v>
      </c>
      <c r="F17">
        <v>1108</v>
      </c>
      <c r="G17" s="175">
        <f t="shared" si="2"/>
        <v>52.476559999999999</v>
      </c>
      <c r="H17" s="97">
        <f t="shared" si="3"/>
        <v>58144.028480000001</v>
      </c>
      <c r="L17" s="97">
        <f t="shared" si="4"/>
        <v>1946775.42288</v>
      </c>
      <c r="M17" s="97">
        <f t="shared" si="5"/>
        <v>4231980.6451612907</v>
      </c>
      <c r="N17" s="177">
        <f t="shared" si="6"/>
        <v>2285205.2222812907</v>
      </c>
    </row>
    <row r="18" spans="1:14">
      <c r="A18" s="176">
        <v>45794</v>
      </c>
      <c r="B18">
        <v>16726</v>
      </c>
      <c r="C18" s="175">
        <f t="shared" si="0"/>
        <v>52.476559999999999</v>
      </c>
      <c r="D18" s="97">
        <f t="shared" si="1"/>
        <v>877722.94256</v>
      </c>
      <c r="F18">
        <v>1676</v>
      </c>
      <c r="G18" s="175">
        <f t="shared" si="2"/>
        <v>52.476559999999999</v>
      </c>
      <c r="H18" s="97">
        <f t="shared" si="3"/>
        <v>87950.714559999993</v>
      </c>
      <c r="L18" s="97">
        <f t="shared" si="4"/>
        <v>1755445.88512</v>
      </c>
      <c r="M18" s="97">
        <f t="shared" si="5"/>
        <v>4231980.6451612907</v>
      </c>
      <c r="N18" s="177">
        <f t="shared" si="6"/>
        <v>2476534.7600412909</v>
      </c>
    </row>
    <row r="19" spans="1:14">
      <c r="A19" s="176">
        <v>45795</v>
      </c>
      <c r="B19">
        <v>17503</v>
      </c>
      <c r="C19" s="175">
        <f t="shared" si="0"/>
        <v>52.476559999999999</v>
      </c>
      <c r="D19" s="97">
        <f t="shared" si="1"/>
        <v>918497.22967999999</v>
      </c>
      <c r="F19">
        <v>1151</v>
      </c>
      <c r="G19" s="175">
        <f t="shared" si="2"/>
        <v>52.476559999999999</v>
      </c>
      <c r="H19" s="97">
        <f t="shared" si="3"/>
        <v>60400.520559999997</v>
      </c>
      <c r="L19" s="97">
        <f t="shared" si="4"/>
        <v>1836994.45936</v>
      </c>
      <c r="M19" s="97">
        <f t="shared" si="5"/>
        <v>4231980.6451612907</v>
      </c>
      <c r="N19" s="177">
        <f t="shared" si="6"/>
        <v>2394986.1858012909</v>
      </c>
    </row>
    <row r="20" spans="1:14">
      <c r="A20" s="176">
        <v>45796</v>
      </c>
      <c r="B20">
        <v>18265</v>
      </c>
      <c r="C20" s="175">
        <f t="shared" si="0"/>
        <v>52.476559999999999</v>
      </c>
      <c r="D20" s="97">
        <f t="shared" si="1"/>
        <v>958484.36840000004</v>
      </c>
      <c r="F20">
        <v>1237</v>
      </c>
      <c r="G20" s="175">
        <f t="shared" si="2"/>
        <v>52.476559999999999</v>
      </c>
      <c r="H20" s="97">
        <f t="shared" si="3"/>
        <v>64913.504719999997</v>
      </c>
      <c r="L20" s="97">
        <f t="shared" si="4"/>
        <v>1916968.7368000001</v>
      </c>
      <c r="M20" s="97">
        <f t="shared" si="5"/>
        <v>4231980.6451612907</v>
      </c>
      <c r="N20" s="177">
        <f t="shared" si="6"/>
        <v>2315011.9083612906</v>
      </c>
    </row>
    <row r="21" spans="1:14">
      <c r="A21" s="176">
        <v>45797</v>
      </c>
      <c r="B21">
        <v>18601</v>
      </c>
      <c r="C21" s="175">
        <f t="shared" si="0"/>
        <v>52.476559999999999</v>
      </c>
      <c r="D21" s="97">
        <f t="shared" si="1"/>
        <v>976116.49256000004</v>
      </c>
      <c r="F21">
        <v>1468</v>
      </c>
      <c r="G21" s="175">
        <f t="shared" si="2"/>
        <v>52.476559999999999</v>
      </c>
      <c r="H21" s="97">
        <f t="shared" si="3"/>
        <v>77035.590079999994</v>
      </c>
      <c r="L21" s="97">
        <f t="shared" si="4"/>
        <v>1952232.9851199999</v>
      </c>
      <c r="M21" s="97">
        <f t="shared" si="5"/>
        <v>4231980.6451612907</v>
      </c>
      <c r="N21" s="177">
        <f t="shared" si="6"/>
        <v>2279747.6600412908</v>
      </c>
    </row>
    <row r="22" spans="1:14">
      <c r="A22" s="176">
        <v>45798</v>
      </c>
      <c r="B22">
        <v>15862</v>
      </c>
      <c r="C22" s="175">
        <f t="shared" si="0"/>
        <v>52.476559999999999</v>
      </c>
      <c r="D22" s="97">
        <f t="shared" si="1"/>
        <v>832383.19472000003</v>
      </c>
      <c r="F22">
        <v>2030</v>
      </c>
      <c r="G22" s="175">
        <f t="shared" si="2"/>
        <v>52.476559999999999</v>
      </c>
      <c r="H22" s="97">
        <f t="shared" si="3"/>
        <v>106527.41679999999</v>
      </c>
      <c r="L22" s="97">
        <f t="shared" si="4"/>
        <v>1664766.3894400001</v>
      </c>
      <c r="M22" s="97">
        <f t="shared" si="5"/>
        <v>4231980.6451612907</v>
      </c>
      <c r="N22" s="177">
        <f t="shared" si="6"/>
        <v>2567214.2557212906</v>
      </c>
    </row>
    <row r="23" spans="1:14">
      <c r="A23" s="176">
        <v>45799</v>
      </c>
      <c r="B23">
        <v>8404</v>
      </c>
      <c r="C23" s="175">
        <f t="shared" si="0"/>
        <v>52.476559999999999</v>
      </c>
      <c r="D23" s="97">
        <f t="shared" ref="D23:D32" si="7">+B23*C23</f>
        <v>441013.01023999997</v>
      </c>
      <c r="F23">
        <v>4159</v>
      </c>
      <c r="G23" s="175">
        <f t="shared" si="2"/>
        <v>52.476559999999999</v>
      </c>
      <c r="H23" s="97">
        <f t="shared" si="3"/>
        <v>218250.01303999999</v>
      </c>
      <c r="L23" s="97">
        <f t="shared" si="4"/>
        <v>882026.02048000006</v>
      </c>
      <c r="M23" s="97">
        <f t="shared" si="5"/>
        <v>4231980.6451612907</v>
      </c>
      <c r="N23" s="177">
        <f t="shared" si="6"/>
        <v>3349954.6246812907</v>
      </c>
    </row>
    <row r="24" spans="1:14">
      <c r="A24" s="176">
        <v>45800</v>
      </c>
      <c r="B24">
        <v>7539</v>
      </c>
      <c r="C24" s="175">
        <f t="shared" si="0"/>
        <v>52.476559999999999</v>
      </c>
      <c r="D24" s="97">
        <f t="shared" si="7"/>
        <v>395620.78583999997</v>
      </c>
      <c r="F24">
        <v>4238</v>
      </c>
      <c r="G24" s="175">
        <f t="shared" si="2"/>
        <v>52.476559999999999</v>
      </c>
      <c r="H24" s="97">
        <f t="shared" si="3"/>
        <v>222395.66128</v>
      </c>
      <c r="L24" s="97">
        <f t="shared" si="4"/>
        <v>791241.57168000005</v>
      </c>
      <c r="M24" s="97">
        <f t="shared" si="5"/>
        <v>4231980.6451612907</v>
      </c>
      <c r="N24" s="177">
        <f t="shared" si="6"/>
        <v>3440739.0734812906</v>
      </c>
    </row>
    <row r="25" spans="1:14">
      <c r="A25" s="176">
        <v>45801</v>
      </c>
      <c r="B25">
        <v>7527</v>
      </c>
      <c r="C25" s="175">
        <f>0.16*655.957</f>
        <v>104.95312</v>
      </c>
      <c r="D25" s="97">
        <f t="shared" si="7"/>
        <v>789982.13424000004</v>
      </c>
      <c r="F25">
        <v>2934</v>
      </c>
      <c r="G25" s="175">
        <f t="shared" si="2"/>
        <v>52.476559999999999</v>
      </c>
      <c r="H25" s="97">
        <f t="shared" si="3"/>
        <v>153966.22704</v>
      </c>
      <c r="L25" s="97">
        <f t="shared" si="4"/>
        <v>789982.13423999993</v>
      </c>
      <c r="M25" s="97">
        <f t="shared" si="5"/>
        <v>4231980.6451612907</v>
      </c>
      <c r="N25" s="177">
        <f t="shared" si="6"/>
        <v>3441998.5109212906</v>
      </c>
    </row>
    <row r="26" spans="1:14">
      <c r="A26" s="176">
        <v>45802</v>
      </c>
      <c r="B26">
        <v>6461</v>
      </c>
      <c r="C26" s="175">
        <f t="shared" ref="C26:C32" si="8">0.16*655.957</f>
        <v>104.95312</v>
      </c>
      <c r="D26" s="97">
        <f t="shared" si="7"/>
        <v>678102.10832</v>
      </c>
      <c r="F26">
        <v>4514</v>
      </c>
      <c r="G26" s="175">
        <f t="shared" si="2"/>
        <v>52.476559999999999</v>
      </c>
      <c r="H26" s="97">
        <f t="shared" si="3"/>
        <v>236879.19183999998</v>
      </c>
      <c r="L26" s="97">
        <f t="shared" si="4"/>
        <v>678102.10832</v>
      </c>
      <c r="M26" s="97">
        <f t="shared" si="5"/>
        <v>4231980.6451612907</v>
      </c>
      <c r="N26" s="177">
        <f t="shared" si="6"/>
        <v>3553878.5368412905</v>
      </c>
    </row>
    <row r="27" spans="1:14">
      <c r="A27" s="176">
        <v>45803</v>
      </c>
      <c r="B27">
        <v>7813</v>
      </c>
      <c r="C27" s="175">
        <f t="shared" si="8"/>
        <v>104.95312</v>
      </c>
      <c r="D27" s="97">
        <f t="shared" si="7"/>
        <v>819998.72655999998</v>
      </c>
      <c r="F27">
        <v>4146</v>
      </c>
      <c r="G27" s="175">
        <f t="shared" si="2"/>
        <v>52.476559999999999</v>
      </c>
      <c r="H27" s="97">
        <f t="shared" si="3"/>
        <v>217567.81776000001</v>
      </c>
      <c r="L27" s="97">
        <f t="shared" si="4"/>
        <v>819998.72655999998</v>
      </c>
      <c r="M27" s="97">
        <f t="shared" si="5"/>
        <v>4231980.6451612907</v>
      </c>
      <c r="N27" s="177">
        <f t="shared" si="6"/>
        <v>3411981.9186012908</v>
      </c>
    </row>
    <row r="28" spans="1:14">
      <c r="A28" s="176">
        <v>45804</v>
      </c>
      <c r="B28">
        <v>7332</v>
      </c>
      <c r="C28" s="175">
        <f t="shared" si="8"/>
        <v>104.95312</v>
      </c>
      <c r="D28" s="97">
        <f t="shared" si="7"/>
        <v>769516.27584000002</v>
      </c>
      <c r="F28">
        <v>5029</v>
      </c>
      <c r="G28" s="175">
        <f t="shared" si="2"/>
        <v>52.476559999999999</v>
      </c>
      <c r="H28" s="97">
        <f t="shared" si="3"/>
        <v>263904.62024000002</v>
      </c>
      <c r="L28" s="97">
        <f t="shared" si="4"/>
        <v>769516.27584000002</v>
      </c>
      <c r="M28" s="97">
        <f t="shared" si="5"/>
        <v>4231980.6451612907</v>
      </c>
      <c r="N28" s="177">
        <f t="shared" si="6"/>
        <v>3462464.3693212904</v>
      </c>
    </row>
    <row r="29" spans="1:14">
      <c r="A29" s="176">
        <v>45805</v>
      </c>
      <c r="B29">
        <v>7709</v>
      </c>
      <c r="C29" s="175">
        <f t="shared" si="8"/>
        <v>104.95312</v>
      </c>
      <c r="D29" s="97">
        <f t="shared" si="7"/>
        <v>809083.60207999998</v>
      </c>
      <c r="F29">
        <v>5765</v>
      </c>
      <c r="G29" s="175">
        <f t="shared" si="2"/>
        <v>52.476559999999999</v>
      </c>
      <c r="H29" s="97">
        <f t="shared" si="3"/>
        <v>302527.36839999998</v>
      </c>
      <c r="L29" s="97">
        <f t="shared" si="4"/>
        <v>809083.60207999998</v>
      </c>
      <c r="M29" s="97">
        <f t="shared" si="5"/>
        <v>4231980.6451612907</v>
      </c>
      <c r="N29" s="177">
        <f t="shared" si="6"/>
        <v>3422897.0430812906</v>
      </c>
    </row>
    <row r="30" spans="1:14">
      <c r="A30" s="176">
        <v>45806</v>
      </c>
      <c r="B30">
        <v>7109</v>
      </c>
      <c r="C30" s="175">
        <f t="shared" si="8"/>
        <v>104.95312</v>
      </c>
      <c r="D30" s="97">
        <f t="shared" si="7"/>
        <v>746111.73008000001</v>
      </c>
      <c r="F30">
        <v>7254</v>
      </c>
      <c r="G30" s="175">
        <f t="shared" si="2"/>
        <v>52.476559999999999</v>
      </c>
      <c r="H30" s="97">
        <f t="shared" si="3"/>
        <v>380664.96623999998</v>
      </c>
      <c r="L30" s="97">
        <f t="shared" si="4"/>
        <v>746111.73008000001</v>
      </c>
      <c r="M30" s="97">
        <f t="shared" si="5"/>
        <v>4231980.6451612907</v>
      </c>
      <c r="N30" s="177">
        <f t="shared" si="6"/>
        <v>3485868.9150812905</v>
      </c>
    </row>
    <row r="31" spans="1:14">
      <c r="A31" s="176">
        <v>45807</v>
      </c>
      <c r="B31">
        <v>6206</v>
      </c>
      <c r="C31" s="175">
        <f t="shared" si="8"/>
        <v>104.95312</v>
      </c>
      <c r="D31" s="97">
        <f t="shared" si="7"/>
        <v>651339.06272000005</v>
      </c>
      <c r="F31">
        <v>10071</v>
      </c>
      <c r="G31" s="175">
        <f t="shared" si="2"/>
        <v>52.476559999999999</v>
      </c>
      <c r="H31" s="97">
        <f t="shared" si="3"/>
        <v>528491.43576000002</v>
      </c>
      <c r="L31" s="97">
        <f t="shared" si="4"/>
        <v>651339.06272000005</v>
      </c>
      <c r="M31" s="97">
        <f t="shared" si="5"/>
        <v>4231980.6451612907</v>
      </c>
      <c r="N31" s="177">
        <f t="shared" si="6"/>
        <v>3580641.5824412908</v>
      </c>
    </row>
    <row r="32" spans="1:14">
      <c r="A32" s="176">
        <v>45808</v>
      </c>
      <c r="B32">
        <v>5088</v>
      </c>
      <c r="C32" s="175">
        <f t="shared" si="8"/>
        <v>104.95312</v>
      </c>
      <c r="D32" s="97">
        <f t="shared" si="7"/>
        <v>534001.47456</v>
      </c>
      <c r="F32">
        <v>15105</v>
      </c>
      <c r="G32" s="175">
        <f t="shared" si="2"/>
        <v>52.476559999999999</v>
      </c>
      <c r="H32" s="97">
        <f t="shared" si="3"/>
        <v>792658.4388</v>
      </c>
      <c r="L32" s="97">
        <f t="shared" si="4"/>
        <v>534001.47456</v>
      </c>
      <c r="M32" s="97">
        <f t="shared" si="5"/>
        <v>4231980.6451612907</v>
      </c>
      <c r="N32" s="177">
        <f t="shared" si="6"/>
        <v>3697979.1706012907</v>
      </c>
    </row>
    <row r="33" spans="2:14">
      <c r="B33">
        <f>SUM(B2:B32)</f>
        <v>446367</v>
      </c>
      <c r="D33" s="177">
        <f>SUM(D2:D32)</f>
        <v>26322872.214720003</v>
      </c>
      <c r="F33">
        <f>SUM(F2:F32)</f>
        <v>83778</v>
      </c>
      <c r="H33" s="177">
        <f>SUM(H2:H32)</f>
        <v>4396381.2436799994</v>
      </c>
      <c r="N33" s="177">
        <f>SUM(N2:N32)</f>
        <v>84343790.684960008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Leconte DOSSA</dc:creator>
  <cp:keywords/>
  <dc:description/>
  <cp:lastModifiedBy/>
  <cp:revision/>
  <dcterms:created xsi:type="dcterms:W3CDTF">2024-09-20T08:21:32Z</dcterms:created>
  <dcterms:modified xsi:type="dcterms:W3CDTF">2025-07-03T09:30:36Z</dcterms:modified>
  <cp:category/>
  <cp:contentStatus/>
</cp:coreProperties>
</file>