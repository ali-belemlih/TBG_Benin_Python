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L:\REPORTING_FILES\KPIs SUBSCRIBERS\2025\"/>
    </mc:Choice>
  </mc:AlternateContent>
  <bookViews>
    <workbookView xWindow="0" yWindow="0" windowWidth="19200" windowHeight="7035" tabRatio="558" activeTab="2"/>
  </bookViews>
  <sheets>
    <sheet name="KPIs" sheetId="55" r:id="rId1"/>
    <sheet name="PREPAID-SEGMENT" sheetId="56" r:id="rId2"/>
    <sheet name="POSTPAID-SEGMENT" sheetId="57" r:id="rId3"/>
    <sheet name="S_PREPAID" sheetId="10" state="hidden" r:id="rId4"/>
    <sheet name="S_POSTPAID" sheetId="13" state="hidden" r:id="rId5"/>
  </sheets>
  <calcPr calcId="152511"/>
  <pivotCaches>
    <pivotCache cacheId="4" r:id="rId6"/>
    <pivotCache cacheId="6" r:id="rId7"/>
  </pivotCaches>
</workbook>
</file>

<file path=xl/calcChain.xml><?xml version="1.0" encoding="utf-8"?>
<calcChain xmlns="http://schemas.openxmlformats.org/spreadsheetml/2006/main">
  <c r="D9" i="55" l="1"/>
  <c r="D8" i="55"/>
  <c r="C9" i="55"/>
  <c r="C8" i="55"/>
  <c r="D4" i="55"/>
  <c r="B4" i="55" l="1"/>
  <c r="C4" i="55" l="1"/>
  <c r="L4" i="55" l="1"/>
  <c r="G4" i="55"/>
  <c r="H3" i="55"/>
  <c r="H2" i="55"/>
  <c r="J2" i="55"/>
  <c r="K2" i="55" s="1"/>
  <c r="E4" i="55"/>
  <c r="M3" i="55"/>
  <c r="J3" i="55"/>
  <c r="M2" i="55"/>
  <c r="M4" i="55" l="1"/>
  <c r="J4" i="55"/>
  <c r="K4" i="55" s="1"/>
  <c r="K3" i="55"/>
  <c r="H4" i="55"/>
  <c r="I2" i="55"/>
</calcChain>
</file>

<file path=xl/connections.xml><?xml version="1.0" encoding="utf-8"?>
<connections xmlns="http://schemas.openxmlformats.org/spreadsheetml/2006/main">
  <connection id="1" keepAlive="1" name="10.16.16.24 DB_REPORTING T_Segment_POSTPAID" type="5" refreshedVersion="5" saveData="1">
    <dbPr connection="Provider=SQLOLEDB.1;Integrated Security=SSPI;Persist Security Info=True;Initial Catalog=DB_REPORTING;Data Source=10.16.16.24;Use Procedure for Prepare=1;Auto Translate=True;Packet Size=4096;Workstation ID=BJNHQVMRPG002;Use Encryption for Data=False;Tag with column collation when possible=False" command="&quot;DB_REPORTING&quot;.&quot;dbo&quot;.&quot;T_Segment_POSTPAID&quot;" commandType="3"/>
  </connection>
  <connection id="2" keepAlive="1" name="10.16.16.24 DB_REPORTING T_Segment_PREPAID" type="5" refreshedVersion="5" saveData="1">
    <dbPr connection="Provider=SQLOLEDB.1;Integrated Security=SSPI;Persist Security Info=True;Initial Catalog=DB_REPORTING;Data Source=10.16.16.24;Use Procedure for Prepare=1;Auto Translate=True;Packet Size=4096;Workstation ID=BJNHQVMRPG002;Use Encryption for Data=False;Tag with column collation when possible=False" command="&quot;DB_REPORTING&quot;.&quot;dbo&quot;.&quot;T_Segment_PREPAID&quot;" commandType="3"/>
  </connection>
</connections>
</file>

<file path=xl/sharedStrings.xml><?xml version="1.0" encoding="utf-8"?>
<sst xmlns="http://schemas.openxmlformats.org/spreadsheetml/2006/main" count="419" uniqueCount="95">
  <si>
    <t>Business</t>
  </si>
  <si>
    <t>PARC</t>
  </si>
  <si>
    <t>NULL</t>
  </si>
  <si>
    <t>Consumer</t>
  </si>
  <si>
    <t>CHURN</t>
  </si>
  <si>
    <t>GROSS ADD</t>
  </si>
  <si>
    <t>Total général</t>
  </si>
  <si>
    <t>consumer</t>
  </si>
  <si>
    <t>A15</t>
  </si>
  <si>
    <t>A25</t>
  </si>
  <si>
    <t>A50</t>
  </si>
  <si>
    <t>AC</t>
  </si>
  <si>
    <t>MPCI</t>
  </si>
  <si>
    <t>MPFI</t>
  </si>
  <si>
    <t>MPFI0</t>
  </si>
  <si>
    <t>MRI</t>
  </si>
  <si>
    <t>NB</t>
  </si>
  <si>
    <t xml:space="preserve"> Test_Epiq</t>
  </si>
  <si>
    <t xml:space="preserve"> Test_MoovFirst</t>
  </si>
  <si>
    <t>BroadbandPlusTab2</t>
  </si>
  <si>
    <t>COS_PPR</t>
  </si>
  <si>
    <t>DealerGrossiste</t>
  </si>
  <si>
    <t>EpiqNation</t>
  </si>
  <si>
    <t>EtisalatOthers</t>
  </si>
  <si>
    <t>MoovEntreprise_1</t>
  </si>
  <si>
    <t>MoovFirst</t>
  </si>
  <si>
    <t>MoovInternetRechargable</t>
  </si>
  <si>
    <t>MoovVivo</t>
  </si>
  <si>
    <t>ServClassCommunity</t>
  </si>
  <si>
    <t>Test_MoovVivo</t>
  </si>
  <si>
    <t>Weena2000</t>
  </si>
  <si>
    <t>Weena500</t>
  </si>
  <si>
    <t xml:space="preserve"> Test_MoovEntreprise</t>
  </si>
  <si>
    <t>DealerDetailZero</t>
  </si>
  <si>
    <t>Etisalat_KitIdentification</t>
  </si>
  <si>
    <t>EtisalatStaff</t>
  </si>
  <si>
    <t>SimswapPDVMoov</t>
  </si>
  <si>
    <t xml:space="preserve"> ACS_1000</t>
  </si>
  <si>
    <t>DealerGrossisteZero</t>
  </si>
  <si>
    <t>EtisalatConjoint</t>
  </si>
  <si>
    <t>MoovEntreprise_2</t>
  </si>
  <si>
    <t>MoovEntreprise_3</t>
  </si>
  <si>
    <t>DealerMaster</t>
  </si>
  <si>
    <t>segment_df</t>
  </si>
  <si>
    <t>LIB_SERVICE_CLASS</t>
  </si>
  <si>
    <t>KPI</t>
  </si>
  <si>
    <t>MoovTampon</t>
  </si>
  <si>
    <t>segment</t>
  </si>
  <si>
    <t>SBD_PACKAGE_CODE</t>
  </si>
  <si>
    <t>AB</t>
  </si>
  <si>
    <t>ENS</t>
  </si>
  <si>
    <t>FCAM1</t>
  </si>
  <si>
    <t>GPR01</t>
  </si>
  <si>
    <t>GPR02</t>
  </si>
  <si>
    <t>MF1</t>
  </si>
  <si>
    <t>MF2</t>
  </si>
  <si>
    <t>MGO</t>
  </si>
  <si>
    <t>MIR01</t>
  </si>
  <si>
    <t>MIR02</t>
  </si>
  <si>
    <t>MPA01</t>
  </si>
  <si>
    <t>MPA03</t>
  </si>
  <si>
    <t>MPCF</t>
  </si>
  <si>
    <t>P3</t>
  </si>
  <si>
    <t>PREP0</t>
  </si>
  <si>
    <t>PREP2</t>
  </si>
  <si>
    <t>PREP3</t>
  </si>
  <si>
    <t>SMS01</t>
  </si>
  <si>
    <t>T0</t>
  </si>
  <si>
    <t>TSPRT</t>
  </si>
  <si>
    <t>VER</t>
  </si>
  <si>
    <t>MPA02</t>
  </si>
  <si>
    <t>VER02</t>
  </si>
  <si>
    <t>Postpaid</t>
  </si>
  <si>
    <t>(vide)</t>
  </si>
  <si>
    <t>KPIs</t>
  </si>
  <si>
    <t>Subscriber_base_end_of_period</t>
  </si>
  <si>
    <t>Dormant_Subscribers</t>
  </si>
  <si>
    <t>Subscriber_base_beginning_of_period</t>
  </si>
  <si>
    <t>Gross_Add</t>
  </si>
  <si>
    <t>Churned_subscribers</t>
  </si>
  <si>
    <t>Net_Add</t>
  </si>
  <si>
    <t>Avarage_Subscriber_Base</t>
  </si>
  <si>
    <t>%Churn_Rate</t>
  </si>
  <si>
    <t>Net_Migration</t>
  </si>
  <si>
    <t>%age Prepaid</t>
  </si>
  <si>
    <t>PREPAID</t>
  </si>
  <si>
    <t>POSTPAID</t>
  </si>
  <si>
    <t>Total</t>
  </si>
  <si>
    <t xml:space="preserve"> </t>
  </si>
  <si>
    <t>Abonnes</t>
  </si>
  <si>
    <t>Segment</t>
  </si>
  <si>
    <t>Business PrePaid</t>
  </si>
  <si>
    <t>Business Postpaid</t>
  </si>
  <si>
    <t>Reconnexion</t>
  </si>
  <si>
    <t>New_Add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</si>
</sst>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_-* #,##0_-;\-* #,##0_-;_-* &quot;-&quot;_-;_-@_-"/>
    <numFmt numFmtId="165" formatCode="_-* #,##0\ _€_-;\-* #,##0\ _€_-;_-* &quot;-&quot;??\ _€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2"/>
      <color theme="1"/>
      <name val="Garamond"/>
      <family val="2"/>
    </font>
    <font>
      <sz val="10"/>
      <color rgb="FF000000"/>
      <name val="Arial"/>
      <family val="2"/>
    </font>
    <font>
      <sz val="11"/>
      <color rgb="FF002060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8"/>
      <color theme="1"/>
      <name val="Segoe U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3" fillId="2" borderId="1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5" fillId="3" borderId="0" xfId="0" applyFont="1" applyFill="1"/>
    <xf numFmtId="165" fontId="4" fillId="4" borderId="4" xfId="1" applyNumberFormat="1" applyFont="1" applyFill="1" applyBorder="1"/>
    <xf numFmtId="10" fontId="4" fillId="4" borderId="5" xfId="2" applyNumberFormat="1" applyFont="1" applyFill="1" applyBorder="1" applyAlignment="1">
      <alignment horizontal="right" indent="1"/>
    </xf>
    <xf numFmtId="10" fontId="4" fillId="4" borderId="6" xfId="2" applyNumberFormat="1" applyFont="1" applyFill="1" applyBorder="1" applyAlignment="1">
      <alignment horizontal="right" indent="1"/>
    </xf>
    <xf numFmtId="0" fontId="5" fillId="3" borderId="3" xfId="0" applyFont="1" applyFill="1" applyBorder="1"/>
    <xf numFmtId="0" fontId="5" fillId="3" borderId="7" xfId="0" applyFont="1" applyFill="1" applyBorder="1"/>
    <xf numFmtId="165" fontId="5" fillId="3" borderId="5" xfId="0" applyNumberFormat="1" applyFont="1" applyFill="1" applyBorder="1"/>
    <xf numFmtId="10" fontId="5" fillId="3" borderId="5" xfId="2" applyNumberFormat="1" applyFont="1" applyFill="1" applyBorder="1"/>
    <xf numFmtId="9" fontId="5" fillId="3" borderId="5" xfId="2" applyFont="1" applyFill="1" applyBorder="1"/>
    <xf numFmtId="165" fontId="5" fillId="3" borderId="9" xfId="0" applyNumberFormat="1" applyFont="1" applyFill="1" applyBorder="1"/>
    <xf numFmtId="165" fontId="5" fillId="3" borderId="8" xfId="0" applyNumberFormat="1" applyFont="1" applyFill="1" applyBorder="1"/>
    <xf numFmtId="0" fontId="10" fillId="0" borderId="0" xfId="0" applyFont="1"/>
    <xf numFmtId="14" fontId="0" fillId="0" borderId="0" xfId="0" applyNumberFormat="1"/>
    <xf numFmtId="0" fontId="0" fillId="0" borderId="0" xfId="0" applyFont="1"/>
    <xf numFmtId="165" fontId="0" fillId="0" borderId="0" xfId="1" applyNumberFormat="1" applyFont="1"/>
    <xf numFmtId="164" fontId="0" fillId="0" borderId="0" xfId="13" applyFont="1"/>
    <xf numFmtId="3" fontId="11" fillId="0" borderId="0" xfId="0" applyNumberFormat="1" applyFont="1"/>
    <xf numFmtId="165" fontId="12" fillId="0" borderId="0" xfId="0" applyNumberFormat="1" applyFont="1" applyBorder="1"/>
    <xf numFmtId="165" fontId="13" fillId="0" borderId="0" xfId="0" applyNumberFormat="1" applyFont="1" applyFill="1" applyBorder="1"/>
    <xf numFmtId="165" fontId="14" fillId="0" borderId="0" xfId="0" applyNumberFormat="1" applyFont="1" applyFill="1"/>
    <xf numFmtId="0" fontId="14" fillId="0" borderId="0" xfId="0" applyFont="1"/>
    <xf numFmtId="0" fontId="15" fillId="0" borderId="0" xfId="0" pivotButton="1" applyFont="1"/>
    <xf numFmtId="0" fontId="15" fillId="0" borderId="0" xfId="0" applyFont="1"/>
    <xf numFmtId="0" fontId="15" fillId="0" borderId="0" xfId="0" applyFont="1" applyAlignment="1">
      <alignment horizontal="left"/>
    </xf>
    <xf numFmtId="165" fontId="15" fillId="0" borderId="0" xfId="0" applyNumberFormat="1" applyFont="1"/>
  </cellXfs>
  <cellStyles count="14">
    <cellStyle name="Lien hypertexte 2" xfId="5"/>
    <cellStyle name="Milliers" xfId="1" builtinId="3"/>
    <cellStyle name="Milliers [0]" xfId="13" builtinId="6"/>
    <cellStyle name="Milliers [0] 2" xfId="3"/>
    <cellStyle name="Milliers [0] 3" xfId="10"/>
    <cellStyle name="Milliers [0] 4" xfId="12"/>
    <cellStyle name="Milliers 2" xfId="7"/>
    <cellStyle name="Milliers 3" xfId="8"/>
    <cellStyle name="Milliers 4" xfId="4"/>
    <cellStyle name="Normal" xfId="0" builtinId="0"/>
    <cellStyle name="Normal 2" xfId="6"/>
    <cellStyle name="Normal 3" xfId="9"/>
    <cellStyle name="Normal 4" xfId="11"/>
    <cellStyle name="Pourcentage" xfId="2" builtinId="5"/>
  </cellStyles>
  <dxfs count="14">
    <dxf>
      <numFmt numFmtId="165" formatCode="_-* #,##0\ _€_-;\-* #,##0\ _€_-;_-* &quot;-&quot;??\ _€_-;_-@_-"/>
    </dxf>
    <dxf>
      <font>
        <name val="Segoe UI"/>
        <scheme val="none"/>
      </font>
    </dxf>
    <dxf>
      <font>
        <sz val="8"/>
      </font>
    </dxf>
    <dxf>
      <numFmt numFmtId="165" formatCode="_-* #,##0\ _€_-;\-* #,##0\ _€_-;_-* &quot;-&quot;??\ _€_-;_-@_-"/>
    </dxf>
    <dxf>
      <font>
        <name val="Segoe UI"/>
        <scheme val="none"/>
      </font>
    </dxf>
    <dxf>
      <font>
        <sz val="8"/>
      </font>
    </dxf>
    <dxf>
      <font>
        <sz val="8"/>
      </font>
    </dxf>
    <dxf>
      <font>
        <name val="Segoe UI"/>
        <scheme val="none"/>
      </font>
    </dxf>
    <dxf>
      <numFmt numFmtId="165" formatCode="_-* #,##0\ _€_-;\-* #,##0\ _€_-;_-* &quot;-&quot;??\ _€_-;_-@_-"/>
    </dxf>
    <dxf>
      <font>
        <sz val="8"/>
      </font>
    </dxf>
    <dxf>
      <font>
        <name val="Segoe UI"/>
        <scheme val="none"/>
      </font>
    </dxf>
    <dxf>
      <numFmt numFmtId="165" formatCode="_-* #,##0\ _€_-;\-* #,##0\ _€_-;_-* &quot;-&quot;??\ _€_-;_-@_-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3"/>
      <tableStyleElement type="headerRow" dxfId="12"/>
    </tableStyle>
  </tableStyles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istrateur" refreshedDate="45718.123869675925" createdVersion="5" refreshedVersion="5" minRefreshableVersion="3" recordCount="100">
  <cacheSource type="external" connectionId="1"/>
  <cacheFields count="4">
    <cacheField name="segment" numFmtId="0">
      <sharedItems containsBlank="1" count="6">
        <s v="consumer"/>
        <m/>
        <s v="Business PrePaid"/>
        <s v="Business Postpaid"/>
        <s v="" u="1"/>
        <s v="Business" u="1"/>
      </sharedItems>
    </cacheField>
    <cacheField name="SBD_PACKAGE_CODE" numFmtId="0">
      <sharedItems count="99">
        <s v="AC"/>
        <s v="MHIBS"/>
        <s v="MHBLO"/>
        <s v="MP20S"/>
        <s v="MPBPD"/>
        <s v="MHIO"/>
        <s v="MIR02"/>
        <s v="MP1HJ"/>
        <s v="MP20H"/>
        <s v="MPIO2"/>
        <s v="MPI1H"/>
        <s v="A15"/>
        <s v="A25"/>
        <s v="VER"/>
        <s v="MHI1H"/>
        <s v="MP10H"/>
        <s v="MP10S"/>
        <s v="MPCI"/>
        <s v="MPIO"/>
        <s v="MH20H"/>
        <s v="MHBCO"/>
        <s v="MHBCV"/>
        <s v="MPA03"/>
        <s v="MF2"/>
        <s v="MHICR"/>
        <s v="MIR01"/>
        <s v="MPPAC"/>
        <s v="MF1"/>
        <s v="MP5HJ"/>
        <s v="VER03"/>
        <s v="GPR02"/>
        <s v="MH10H"/>
        <s v="MHBOD"/>
        <s v="MHBOV"/>
        <s v="MHBPD"/>
        <s v="MHBPV"/>
        <s v="MHPAC"/>
        <s v="MHSGD"/>
        <s v="MPA01"/>
        <s v="MPICR"/>
        <s v="NOUMITON_V2"/>
        <s v="VER02"/>
        <s v="A50"/>
        <s v="GPR01"/>
        <s v="MHBLD"/>
        <s v="MHBLV"/>
        <s v="MHIO2"/>
        <s v="MP20R"/>
        <s v="MPC1"/>
        <s v="MRI"/>
        <s v="MH5H"/>
        <s v="MHBCD"/>
        <s v="MPA02"/>
        <s v="MPCF"/>
        <s v="MPIOJ"/>
        <s v="MP5H"/>
        <s v="PREP0"/>
        <s v="T0"/>
        <s v="VER04"/>
        <s v="MH10S"/>
        <s v="MH5S"/>
        <s v="MH20S"/>
        <s v="MP2H" u="1"/>
        <s v="MP3H" u="1"/>
        <s v="MP4H" u="1"/>
        <s v="MP6H" u="1"/>
        <s v="SMS01" u="1"/>
        <s v="MoovNoumiton" u="1"/>
        <s v="MP8H" u="1"/>
        <s v="MPBLD" u="1"/>
        <s v="MGO" u="1"/>
        <s v="ENS" u="1"/>
        <s v="MH2H" u="1"/>
        <s v="MH3H" u="1"/>
        <s v="Weena500" u="1"/>
        <s v="MH4H" u="1"/>
        <s v="Weena2000" u="1"/>
        <s v="MH6H" u="1"/>
        <s v="MH8H" u="1"/>
        <s v="MHBOO" u="1"/>
        <s v="MPFI" u="1"/>
        <s v="MH20R" u="1"/>
        <s v="MPSGD" u="1"/>
        <s v="PREP3" u="1"/>
        <s v="MH1HJ" u="1"/>
        <s v="MH5HJ" u="1"/>
        <s v="AB" u="1"/>
        <s v="LC" u="1"/>
        <s v="FCAM1" u="1"/>
        <s v="MP13H" u="1"/>
        <s v="MPFI0" u="1"/>
        <s v="MHIOJ" u="1"/>
        <s v="TSPRT" u="1"/>
        <s v="MPCA" u="1"/>
        <s v="MP5S" u="1"/>
        <s v="MH13H" u="1"/>
        <s v="PREP2" u="1"/>
        <s v="P3" u="1"/>
        <s v="MH120" u="1"/>
      </sharedItems>
    </cacheField>
    <cacheField name="NB" numFmtId="0">
      <sharedItems containsSemiMixedTypes="0" containsString="0" containsNumber="1" containsInteger="1" minValue="1" maxValue="28608"/>
    </cacheField>
    <cacheField name="KPI" numFmtId="0">
      <sharedItems count="3">
        <s v="PARC"/>
        <s v="CHURN"/>
        <s v="GROSS AD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istrateur" refreshedDate="45718.123870833333" createdVersion="5" refreshedVersion="5" minRefreshableVersion="3" recordCount="32">
  <cacheSource type="external" connectionId="2"/>
  <cacheFields count="4">
    <cacheField name="segment_df" numFmtId="0">
      <sharedItems containsBlank="1" count="3">
        <s v="Business"/>
        <m/>
        <s v="Consumer"/>
      </sharedItems>
    </cacheField>
    <cacheField name="LIB_SERVICE_CLASS" numFmtId="0">
      <sharedItems containsBlank="1" count="42">
        <s v="MoovNoumiton"/>
        <s v="MoovVivo"/>
        <m/>
        <s v="ACS_1000"/>
        <s v="DealerMaster"/>
        <s v="Etisalat_KitIdentification"/>
        <s v="MoovFirst"/>
        <s v="EtisalatConjoint"/>
        <s v="SimswapPDVMoov"/>
        <s v="Postpaid"/>
        <s v="DealerGrossiste"/>
        <s v="EtisalatOthers"/>
        <s v="EtisalatStaff"/>
        <s v="Test_Epiq"/>
        <s v="Test_MoovFirst"/>
        <s v="Test_MoovVivo"/>
        <s v="Weena2000"/>
        <s v="Weena500"/>
        <s v="COS_simBoxFraude"/>
        <s v="DealerDetailZero"/>
        <s v="EpiqNation"/>
        <s v="NOUMITON_V2"/>
        <s v="Test_MoovInternetRechargeable"/>
        <s v="DealerGrossisteZero"/>
        <s v="MoovBusiness"/>
        <s v="MoovEntreprise_1"/>
        <s v="MoovInternet"/>
        <s v="MoovInternetRechargable"/>
        <s v="ServClassCommunity"/>
        <s v="MoovTampon" u="1"/>
        <s v=" Test_MoovFirst" u="1"/>
        <s v="COS_PPR" u="1"/>
        <s v="MoovBusiness_x000d__x000a_" u="1"/>
        <s v="Test_MoovEntreprise" u="1"/>
        <s v=" Test_Epiq" u="1"/>
        <s v="MoovEntreprise_2" u="1"/>
        <s v="Test_Postpaid" u="1"/>
        <s v="MoovPPR_3" u="1"/>
        <s v="MoovEntreprise_3" u="1"/>
        <s v="BroadbandPlusTab2" u="1"/>
        <s v=" Test_MoovEntreprise" u="1"/>
        <s v=" ACS_1000" u="1"/>
      </sharedItems>
    </cacheField>
    <cacheField name="NB" numFmtId="0">
      <sharedItems containsSemiMixedTypes="0" containsString="0" containsNumber="1" containsInteger="1" minValue="1" maxValue="5618340" count="28">
        <n v="8"/>
        <n v="14"/>
        <n v="2222"/>
        <n v="12"/>
        <n v="3"/>
        <n v="16506"/>
        <n v="30"/>
        <n v="140"/>
        <n v="35"/>
        <n v="5"/>
        <n v="13"/>
        <n v="711"/>
        <n v="97"/>
        <n v="17"/>
        <n v="37"/>
        <n v="1"/>
        <n v="16"/>
        <n v="1088"/>
        <n v="487"/>
        <n v="50"/>
        <n v="553"/>
        <n v="5618340"/>
        <n v="198"/>
        <n v="31636"/>
        <n v="677"/>
        <n v="65"/>
        <n v="357034"/>
        <n v="355649"/>
      </sharedItems>
    </cacheField>
    <cacheField name="KPI" numFmtId="0">
      <sharedItems count="3">
        <s v="PARC"/>
        <s v="CHURN"/>
        <s v="GROSS AD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n v="9"/>
    <x v="0"/>
  </r>
  <r>
    <x v="1"/>
    <x v="1"/>
    <n v="1"/>
    <x v="0"/>
  </r>
  <r>
    <x v="1"/>
    <x v="2"/>
    <n v="1"/>
    <x v="0"/>
  </r>
  <r>
    <x v="1"/>
    <x v="3"/>
    <n v="1"/>
    <x v="0"/>
  </r>
  <r>
    <x v="1"/>
    <x v="4"/>
    <n v="3"/>
    <x v="0"/>
  </r>
  <r>
    <x v="2"/>
    <x v="5"/>
    <n v="25095"/>
    <x v="0"/>
  </r>
  <r>
    <x v="2"/>
    <x v="6"/>
    <n v="1"/>
    <x v="0"/>
  </r>
  <r>
    <x v="1"/>
    <x v="7"/>
    <n v="1"/>
    <x v="0"/>
  </r>
  <r>
    <x v="1"/>
    <x v="8"/>
    <n v="2"/>
    <x v="0"/>
  </r>
  <r>
    <x v="1"/>
    <x v="9"/>
    <n v="16"/>
    <x v="0"/>
  </r>
  <r>
    <x v="3"/>
    <x v="10"/>
    <n v="183"/>
    <x v="0"/>
  </r>
  <r>
    <x v="0"/>
    <x v="11"/>
    <n v="1"/>
    <x v="0"/>
  </r>
  <r>
    <x v="0"/>
    <x v="12"/>
    <n v="1"/>
    <x v="0"/>
  </r>
  <r>
    <x v="3"/>
    <x v="13"/>
    <n v="4"/>
    <x v="0"/>
  </r>
  <r>
    <x v="2"/>
    <x v="14"/>
    <n v="7080"/>
    <x v="0"/>
  </r>
  <r>
    <x v="1"/>
    <x v="15"/>
    <n v="3"/>
    <x v="0"/>
  </r>
  <r>
    <x v="1"/>
    <x v="16"/>
    <n v="1"/>
    <x v="0"/>
  </r>
  <r>
    <x v="0"/>
    <x v="17"/>
    <n v="28"/>
    <x v="0"/>
  </r>
  <r>
    <x v="3"/>
    <x v="18"/>
    <n v="348"/>
    <x v="0"/>
  </r>
  <r>
    <x v="2"/>
    <x v="19"/>
    <n v="153"/>
    <x v="0"/>
  </r>
  <r>
    <x v="1"/>
    <x v="20"/>
    <n v="5"/>
    <x v="0"/>
  </r>
  <r>
    <x v="1"/>
    <x v="21"/>
    <n v="195"/>
    <x v="0"/>
  </r>
  <r>
    <x v="2"/>
    <x v="22"/>
    <n v="7"/>
    <x v="0"/>
  </r>
  <r>
    <x v="2"/>
    <x v="23"/>
    <n v="200"/>
    <x v="0"/>
  </r>
  <r>
    <x v="1"/>
    <x v="24"/>
    <n v="47"/>
    <x v="0"/>
  </r>
  <r>
    <x v="2"/>
    <x v="25"/>
    <n v="28608"/>
    <x v="0"/>
  </r>
  <r>
    <x v="1"/>
    <x v="26"/>
    <n v="3"/>
    <x v="0"/>
  </r>
  <r>
    <x v="2"/>
    <x v="27"/>
    <n v="5083"/>
    <x v="0"/>
  </r>
  <r>
    <x v="1"/>
    <x v="28"/>
    <n v="1"/>
    <x v="0"/>
  </r>
  <r>
    <x v="3"/>
    <x v="29"/>
    <n v="3"/>
    <x v="0"/>
  </r>
  <r>
    <x v="3"/>
    <x v="30"/>
    <n v="267"/>
    <x v="0"/>
  </r>
  <r>
    <x v="2"/>
    <x v="31"/>
    <n v="147"/>
    <x v="0"/>
  </r>
  <r>
    <x v="1"/>
    <x v="32"/>
    <n v="121"/>
    <x v="0"/>
  </r>
  <r>
    <x v="1"/>
    <x v="33"/>
    <n v="172"/>
    <x v="0"/>
  </r>
  <r>
    <x v="1"/>
    <x v="34"/>
    <n v="86"/>
    <x v="0"/>
  </r>
  <r>
    <x v="1"/>
    <x v="35"/>
    <n v="52"/>
    <x v="0"/>
  </r>
  <r>
    <x v="1"/>
    <x v="36"/>
    <n v="912"/>
    <x v="0"/>
  </r>
  <r>
    <x v="1"/>
    <x v="37"/>
    <n v="788"/>
    <x v="0"/>
  </r>
  <r>
    <x v="2"/>
    <x v="38"/>
    <n v="47"/>
    <x v="0"/>
  </r>
  <r>
    <x v="1"/>
    <x v="39"/>
    <n v="1"/>
    <x v="0"/>
  </r>
  <r>
    <x v="2"/>
    <x v="40"/>
    <n v="17973"/>
    <x v="0"/>
  </r>
  <r>
    <x v="3"/>
    <x v="41"/>
    <n v="25"/>
    <x v="0"/>
  </r>
  <r>
    <x v="0"/>
    <x v="42"/>
    <n v="1"/>
    <x v="0"/>
  </r>
  <r>
    <x v="3"/>
    <x v="43"/>
    <n v="61"/>
    <x v="0"/>
  </r>
  <r>
    <x v="1"/>
    <x v="44"/>
    <n v="55"/>
    <x v="0"/>
  </r>
  <r>
    <x v="1"/>
    <x v="45"/>
    <n v="68"/>
    <x v="0"/>
  </r>
  <r>
    <x v="1"/>
    <x v="46"/>
    <n v="3320"/>
    <x v="0"/>
  </r>
  <r>
    <x v="1"/>
    <x v="47"/>
    <n v="1"/>
    <x v="0"/>
  </r>
  <r>
    <x v="3"/>
    <x v="48"/>
    <n v="27"/>
    <x v="0"/>
  </r>
  <r>
    <x v="0"/>
    <x v="49"/>
    <n v="513"/>
    <x v="0"/>
  </r>
  <r>
    <x v="2"/>
    <x v="50"/>
    <n v="448"/>
    <x v="0"/>
  </r>
  <r>
    <x v="1"/>
    <x v="51"/>
    <n v="41"/>
    <x v="0"/>
  </r>
  <r>
    <x v="2"/>
    <x v="52"/>
    <n v="13"/>
    <x v="0"/>
  </r>
  <r>
    <x v="3"/>
    <x v="53"/>
    <n v="54"/>
    <x v="0"/>
  </r>
  <r>
    <x v="1"/>
    <x v="54"/>
    <n v="1"/>
    <x v="0"/>
  </r>
  <r>
    <x v="3"/>
    <x v="55"/>
    <n v="3"/>
    <x v="0"/>
  </r>
  <r>
    <x v="2"/>
    <x v="56"/>
    <n v="107"/>
    <x v="0"/>
  </r>
  <r>
    <x v="3"/>
    <x v="57"/>
    <n v="416"/>
    <x v="0"/>
  </r>
  <r>
    <x v="3"/>
    <x v="58"/>
    <n v="3"/>
    <x v="0"/>
  </r>
  <r>
    <x v="2"/>
    <x v="19"/>
    <n v="5"/>
    <x v="1"/>
  </r>
  <r>
    <x v="1"/>
    <x v="21"/>
    <n v="1"/>
    <x v="1"/>
  </r>
  <r>
    <x v="1"/>
    <x v="59"/>
    <n v="6"/>
    <x v="1"/>
  </r>
  <r>
    <x v="2"/>
    <x v="50"/>
    <n v="9"/>
    <x v="1"/>
  </r>
  <r>
    <x v="3"/>
    <x v="10"/>
    <n v="2"/>
    <x v="1"/>
  </r>
  <r>
    <x v="2"/>
    <x v="25"/>
    <n v="143"/>
    <x v="1"/>
  </r>
  <r>
    <x v="2"/>
    <x v="14"/>
    <n v="104"/>
    <x v="1"/>
  </r>
  <r>
    <x v="0"/>
    <x v="17"/>
    <n v="2"/>
    <x v="1"/>
  </r>
  <r>
    <x v="3"/>
    <x v="18"/>
    <n v="5"/>
    <x v="1"/>
  </r>
  <r>
    <x v="2"/>
    <x v="27"/>
    <n v="38"/>
    <x v="1"/>
  </r>
  <r>
    <x v="1"/>
    <x v="60"/>
    <n v="46"/>
    <x v="1"/>
  </r>
  <r>
    <x v="1"/>
    <x v="44"/>
    <n v="2"/>
    <x v="1"/>
  </r>
  <r>
    <x v="1"/>
    <x v="45"/>
    <n v="4"/>
    <x v="1"/>
  </r>
  <r>
    <x v="1"/>
    <x v="46"/>
    <n v="17"/>
    <x v="1"/>
  </r>
  <r>
    <x v="2"/>
    <x v="5"/>
    <n v="618"/>
    <x v="1"/>
  </r>
  <r>
    <x v="1"/>
    <x v="61"/>
    <n v="1"/>
    <x v="1"/>
  </r>
  <r>
    <x v="3"/>
    <x v="48"/>
    <n v="1"/>
    <x v="1"/>
  </r>
  <r>
    <x v="0"/>
    <x v="49"/>
    <n v="46"/>
    <x v="1"/>
  </r>
  <r>
    <x v="2"/>
    <x v="31"/>
    <n v="7"/>
    <x v="1"/>
  </r>
  <r>
    <x v="1"/>
    <x v="33"/>
    <n v="2"/>
    <x v="1"/>
  </r>
  <r>
    <x v="1"/>
    <x v="34"/>
    <n v="6"/>
    <x v="1"/>
  </r>
  <r>
    <x v="2"/>
    <x v="40"/>
    <n v="3"/>
    <x v="1"/>
  </r>
  <r>
    <x v="2"/>
    <x v="19"/>
    <n v="2"/>
    <x v="2"/>
  </r>
  <r>
    <x v="1"/>
    <x v="21"/>
    <n v="1"/>
    <x v="2"/>
  </r>
  <r>
    <x v="3"/>
    <x v="57"/>
    <n v="29"/>
    <x v="2"/>
  </r>
  <r>
    <x v="2"/>
    <x v="27"/>
    <n v="107"/>
    <x v="2"/>
  </r>
  <r>
    <x v="2"/>
    <x v="31"/>
    <n v="4"/>
    <x v="2"/>
  </r>
  <r>
    <x v="1"/>
    <x v="34"/>
    <n v="1"/>
    <x v="2"/>
  </r>
  <r>
    <x v="1"/>
    <x v="36"/>
    <n v="14"/>
    <x v="2"/>
  </r>
  <r>
    <x v="2"/>
    <x v="40"/>
    <n v="22"/>
    <x v="2"/>
  </r>
  <r>
    <x v="2"/>
    <x v="5"/>
    <n v="585"/>
    <x v="2"/>
  </r>
  <r>
    <x v="0"/>
    <x v="49"/>
    <n v="33"/>
    <x v="2"/>
  </r>
  <r>
    <x v="1"/>
    <x v="44"/>
    <n v="1"/>
    <x v="2"/>
  </r>
  <r>
    <x v="1"/>
    <x v="45"/>
    <n v="3"/>
    <x v="2"/>
  </r>
  <r>
    <x v="1"/>
    <x v="46"/>
    <n v="68"/>
    <x v="2"/>
  </r>
  <r>
    <x v="2"/>
    <x v="50"/>
    <n v="1"/>
    <x v="2"/>
  </r>
  <r>
    <x v="3"/>
    <x v="53"/>
    <n v="1"/>
    <x v="2"/>
  </r>
  <r>
    <x v="2"/>
    <x v="14"/>
    <n v="73"/>
    <x v="2"/>
  </r>
  <r>
    <x v="3"/>
    <x v="18"/>
    <n v="7"/>
    <x v="2"/>
  </r>
  <r>
    <x v="2"/>
    <x v="23"/>
    <n v="1"/>
    <x v="2"/>
  </r>
  <r>
    <x v="2"/>
    <x v="25"/>
    <n v="88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2">
  <r>
    <x v="0"/>
    <x v="0"/>
    <x v="0"/>
    <x v="0"/>
  </r>
  <r>
    <x v="0"/>
    <x v="1"/>
    <x v="1"/>
    <x v="0"/>
  </r>
  <r>
    <x v="1"/>
    <x v="2"/>
    <x v="2"/>
    <x v="0"/>
  </r>
  <r>
    <x v="2"/>
    <x v="3"/>
    <x v="3"/>
    <x v="0"/>
  </r>
  <r>
    <x v="2"/>
    <x v="4"/>
    <x v="4"/>
    <x v="0"/>
  </r>
  <r>
    <x v="2"/>
    <x v="5"/>
    <x v="5"/>
    <x v="0"/>
  </r>
  <r>
    <x v="2"/>
    <x v="6"/>
    <x v="6"/>
    <x v="0"/>
  </r>
  <r>
    <x v="2"/>
    <x v="7"/>
    <x v="7"/>
    <x v="0"/>
  </r>
  <r>
    <x v="2"/>
    <x v="8"/>
    <x v="8"/>
    <x v="0"/>
  </r>
  <r>
    <x v="0"/>
    <x v="9"/>
    <x v="9"/>
    <x v="0"/>
  </r>
  <r>
    <x v="2"/>
    <x v="10"/>
    <x v="10"/>
    <x v="0"/>
  </r>
  <r>
    <x v="2"/>
    <x v="11"/>
    <x v="11"/>
    <x v="0"/>
  </r>
  <r>
    <x v="2"/>
    <x v="12"/>
    <x v="12"/>
    <x v="0"/>
  </r>
  <r>
    <x v="2"/>
    <x v="13"/>
    <x v="9"/>
    <x v="0"/>
  </r>
  <r>
    <x v="2"/>
    <x v="14"/>
    <x v="13"/>
    <x v="0"/>
  </r>
  <r>
    <x v="2"/>
    <x v="15"/>
    <x v="14"/>
    <x v="0"/>
  </r>
  <r>
    <x v="0"/>
    <x v="16"/>
    <x v="0"/>
    <x v="0"/>
  </r>
  <r>
    <x v="0"/>
    <x v="17"/>
    <x v="15"/>
    <x v="0"/>
  </r>
  <r>
    <x v="2"/>
    <x v="18"/>
    <x v="16"/>
    <x v="0"/>
  </r>
  <r>
    <x v="2"/>
    <x v="19"/>
    <x v="17"/>
    <x v="0"/>
  </r>
  <r>
    <x v="2"/>
    <x v="20"/>
    <x v="18"/>
    <x v="0"/>
  </r>
  <r>
    <x v="0"/>
    <x v="21"/>
    <x v="4"/>
    <x v="0"/>
  </r>
  <r>
    <x v="2"/>
    <x v="22"/>
    <x v="4"/>
    <x v="0"/>
  </r>
  <r>
    <x v="2"/>
    <x v="23"/>
    <x v="19"/>
    <x v="0"/>
  </r>
  <r>
    <x v="0"/>
    <x v="24"/>
    <x v="20"/>
    <x v="0"/>
  </r>
  <r>
    <x v="2"/>
    <x v="1"/>
    <x v="21"/>
    <x v="0"/>
  </r>
  <r>
    <x v="0"/>
    <x v="25"/>
    <x v="22"/>
    <x v="0"/>
  </r>
  <r>
    <x v="2"/>
    <x v="26"/>
    <x v="23"/>
    <x v="0"/>
  </r>
  <r>
    <x v="0"/>
    <x v="27"/>
    <x v="24"/>
    <x v="0"/>
  </r>
  <r>
    <x v="0"/>
    <x v="28"/>
    <x v="25"/>
    <x v="0"/>
  </r>
  <r>
    <x v="1"/>
    <x v="2"/>
    <x v="26"/>
    <x v="1"/>
  </r>
  <r>
    <x v="1"/>
    <x v="2"/>
    <x v="2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6" applyNumberFormats="0" applyBorderFormats="0" applyFontFormats="0" applyPatternFormats="0" applyAlignmentFormats="0" applyWidthHeightFormats="1" dataCaption="Valeurs" updatedVersion="5" minRefreshableVersion="3" useAutoFormatting="1" colGrandTotals="0" itemPrintTitles="1" createdVersion="5" indent="0" outline="1" outlineData="1" multipleFieldFilters="0" rowHeaderCaption="Segment" colHeaderCaption=" " fieldListSortAscending="1">
  <location ref="A1:D6" firstHeaderRow="1" firstDataRow="2" firstDataCol="1"/>
  <pivotFields count="4">
    <pivotField axis="axisRow" showAll="0">
      <items count="4">
        <item sd="0" x="0"/>
        <item sd="0" x="2"/>
        <item sd="0" x="1"/>
        <item t="default" sd="0"/>
      </items>
    </pivotField>
    <pivotField axis="axisRow" showAll="0" sortType="descending">
      <items count="43">
        <item m="1" x="41"/>
        <item m="1" x="34"/>
        <item m="1" x="40"/>
        <item m="1" x="30"/>
        <item m="1" x="39"/>
        <item m="1" x="31"/>
        <item x="19"/>
        <item x="10"/>
        <item x="23"/>
        <item x="4"/>
        <item x="20"/>
        <item x="5"/>
        <item x="7"/>
        <item x="11"/>
        <item x="12"/>
        <item x="25"/>
        <item m="1" x="35"/>
        <item m="1" x="38"/>
        <item x="6"/>
        <item x="27"/>
        <item m="1" x="29"/>
        <item x="1"/>
        <item x="28"/>
        <item x="8"/>
        <item x="15"/>
        <item x="16"/>
        <item x="17"/>
        <item x="2"/>
        <item x="9"/>
        <item m="1" x="32"/>
        <item x="24"/>
        <item m="1" x="37"/>
        <item x="0"/>
        <item x="26"/>
        <item x="3"/>
        <item x="18"/>
        <item x="21"/>
        <item x="13"/>
        <item m="1" x="33"/>
        <item x="14"/>
        <item x="22"/>
        <item m="1" x="3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2"/>
            </reference>
          </references>
        </pivotArea>
      </autoSortScope>
    </pivotField>
    <pivotField dataField="1" showAll="0"/>
    <pivotField axis="axisCol" showAll="0">
      <items count="4">
        <item x="1"/>
        <item x="2"/>
        <item x="0"/>
        <item t="default"/>
      </items>
    </pivotField>
  </pivotFields>
  <rowFields count="2">
    <field x="0"/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>
      <x v="2"/>
    </i>
  </colItems>
  <dataFields count="1">
    <dataField name="Abonnes" fld="2" baseField="0" baseItem="0" numFmtId="165"/>
  </dataFields>
  <formats count="3">
    <format dxfId="11">
      <pivotArea outline="0" collapsedLevelsAreSubtotals="1" fieldPosition="0"/>
    </format>
    <format dxfId="10">
      <pivotArea type="all" dataOnly="0" outline="0" fieldPosition="0"/>
    </format>
    <format dxfId="9">
      <pivotArea type="all" dataOnly="0" outline="0" fieldPosition="0"/>
    </format>
  </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2" cacheId="4" applyNumberFormats="0" applyBorderFormats="0" applyFontFormats="0" applyPatternFormats="0" applyAlignmentFormats="0" applyWidthHeightFormats="1" dataCaption="Valeurs" updatedVersion="5" minRefreshableVersion="3" useAutoFormatting="1" colGrandTotals="0" itemPrintTitles="1" createdVersion="5" indent="0" outline="1" outlineData="1" multipleFieldFilters="0" rowHeaderCaption="Segment" colHeaderCaption=" " fieldListSortAscending="1">
  <location ref="A1:D7" firstHeaderRow="1" firstDataRow="2" firstDataCol="1"/>
  <pivotFields count="4">
    <pivotField axis="axisRow" showAll="0" sortType="descending">
      <items count="7">
        <item sd="0" m="1" x="4"/>
        <item sd="0" m="1" x="5"/>
        <item sd="0" x="0"/>
        <item sd="0" x="1"/>
        <item sd="0" x="3"/>
        <item sd="0" x="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00">
        <item x="11"/>
        <item x="12"/>
        <item x="42"/>
        <item m="1" x="86"/>
        <item x="0"/>
        <item m="1" x="71"/>
        <item m="1" x="88"/>
        <item x="43"/>
        <item x="30"/>
        <item x="27"/>
        <item x="23"/>
        <item m="1" x="70"/>
        <item x="25"/>
        <item x="6"/>
        <item x="38"/>
        <item x="52"/>
        <item x="22"/>
        <item x="53"/>
        <item x="17"/>
        <item m="1" x="80"/>
        <item m="1" x="90"/>
        <item x="49"/>
        <item m="1" x="97"/>
        <item x="56"/>
        <item m="1" x="96"/>
        <item m="1" x="83"/>
        <item m="1" x="66"/>
        <item x="57"/>
        <item m="1" x="92"/>
        <item x="13"/>
        <item x="41"/>
        <item x="19"/>
        <item x="50"/>
        <item x="14"/>
        <item x="5"/>
        <item x="48"/>
        <item x="10"/>
        <item x="18"/>
        <item x="31"/>
        <item x="15"/>
        <item x="55"/>
        <item m="1" x="67"/>
        <item x="40"/>
        <item m="1" x="76"/>
        <item m="1" x="74"/>
        <item x="29"/>
        <item m="1" x="95"/>
        <item m="1" x="72"/>
        <item m="1" x="73"/>
        <item m="1" x="75"/>
        <item m="1" x="77"/>
        <item m="1" x="78"/>
        <item m="1" x="89"/>
        <item m="1" x="62"/>
        <item m="1" x="63"/>
        <item m="1" x="64"/>
        <item m="1" x="65"/>
        <item m="1" x="68"/>
        <item x="58"/>
        <item x="8"/>
        <item m="1" x="87"/>
        <item m="1" x="93"/>
        <item x="36"/>
        <item m="1" x="82"/>
        <item x="37"/>
        <item x="26"/>
        <item x="21"/>
        <item x="32"/>
        <item x="33"/>
        <item x="51"/>
        <item m="1" x="98"/>
        <item x="4"/>
        <item x="46"/>
        <item x="9"/>
        <item m="1" x="69"/>
        <item x="44"/>
        <item x="45"/>
        <item x="34"/>
        <item x="35"/>
        <item x="24"/>
        <item x="39"/>
        <item x="1"/>
        <item m="1" x="81"/>
        <item x="47"/>
        <item x="60"/>
        <item m="1" x="91"/>
        <item x="7"/>
        <item x="3"/>
        <item x="2"/>
        <item m="1" x="84"/>
        <item x="16"/>
        <item x="28"/>
        <item x="20"/>
        <item m="1" x="79"/>
        <item x="59"/>
        <item x="54"/>
        <item x="61"/>
        <item m="1" x="85"/>
        <item m="1" x="9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2"/>
            </reference>
          </references>
        </pivotArea>
      </autoSortScope>
    </pivotField>
    <pivotField dataField="1" showAll="0"/>
    <pivotField axis="axisCol" showAll="0">
      <items count="4">
        <item x="1"/>
        <item x="2"/>
        <item x="0"/>
        <item t="default"/>
      </items>
    </pivotField>
  </pivotFields>
  <rowFields count="2">
    <field x="0"/>
    <field x="1"/>
  </rowFields>
  <rowItems count="5">
    <i>
      <x v="5"/>
    </i>
    <i>
      <x v="3"/>
    </i>
    <i>
      <x v="4"/>
    </i>
    <i>
      <x v="2"/>
    </i>
    <i t="grand">
      <x/>
    </i>
  </rowItems>
  <colFields count="1">
    <field x="3"/>
  </colFields>
  <colItems count="3">
    <i>
      <x/>
    </i>
    <i>
      <x v="1"/>
    </i>
    <i>
      <x v="2"/>
    </i>
  </colItems>
  <dataFields count="1">
    <dataField name="Abonnes" fld="2" baseField="0" baseItem="0" numFmtId="165"/>
  </dataFields>
  <formats count="3">
    <format dxfId="8">
      <pivotArea outline="0" collapsedLevelsAreSubtotals="1" fieldPosition="0"/>
    </format>
    <format dxfId="7">
      <pivotArea type="all" dataOnly="0" outline="0" fieldPosition="0"/>
    </format>
    <format dxfId="6">
      <pivotArea type="all" dataOnly="0" outline="0" fieldPosition="0"/>
    </format>
  </format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showGridLines="0" zoomScale="160" zoomScaleNormal="160" workbookViewId="0">
      <selection activeCell="C11" sqref="C11"/>
    </sheetView>
  </sheetViews>
  <sheetFormatPr baseColWidth="10" defaultRowHeight="15" x14ac:dyDescent="0.25"/>
  <cols>
    <col min="1" max="1" width="11" bestFit="1" customWidth="1"/>
    <col min="2" max="2" width="31.28515625" customWidth="1"/>
    <col min="3" max="3" width="20.140625" bestFit="1" customWidth="1"/>
    <col min="4" max="4" width="36" bestFit="1" customWidth="1"/>
    <col min="5" max="6" width="13.28515625" bestFit="1" customWidth="1"/>
    <col min="7" max="7" width="20.28515625" bestFit="1" customWidth="1"/>
    <col min="8" max="8" width="23.7109375" bestFit="1" customWidth="1"/>
    <col min="9" max="9" width="11.85546875" customWidth="1"/>
    <col min="10" max="10" width="24" bestFit="1" customWidth="1"/>
    <col min="11" max="11" width="12.85546875" bestFit="1" customWidth="1"/>
    <col min="12" max="12" width="14" bestFit="1" customWidth="1"/>
    <col min="13" max="13" width="13" bestFit="1" customWidth="1"/>
  </cols>
  <sheetData>
    <row r="1" spans="1:13" x14ac:dyDescent="0.25">
      <c r="A1" s="1" t="s">
        <v>74</v>
      </c>
      <c r="B1" s="2" t="s">
        <v>75</v>
      </c>
      <c r="C1" s="2" t="s">
        <v>76</v>
      </c>
      <c r="D1" s="2" t="s">
        <v>77</v>
      </c>
      <c r="E1" s="2" t="s">
        <v>78</v>
      </c>
      <c r="F1" s="2" t="s">
        <v>93</v>
      </c>
      <c r="G1" s="2" t="s">
        <v>79</v>
      </c>
      <c r="H1" s="2" t="s">
        <v>80</v>
      </c>
      <c r="I1" s="2" t="s">
        <v>94</v>
      </c>
      <c r="J1" s="2" t="s">
        <v>81</v>
      </c>
      <c r="K1" s="3" t="s">
        <v>82</v>
      </c>
      <c r="L1" s="3" t="s">
        <v>83</v>
      </c>
      <c r="M1" s="2" t="s">
        <v>84</v>
      </c>
    </row>
    <row r="2" spans="1:13" x14ac:dyDescent="0.25">
      <c r="A2" s="8" t="s">
        <v>85</v>
      </c>
      <c r="B2" s="5">
        <v>5672977</v>
      </c>
      <c r="C2" s="5">
        <v>939681</v>
      </c>
      <c r="D2" s="5">
        <v>5674362</v>
      </c>
      <c r="E2" s="5">
        <v>355649</v>
      </c>
      <c r="F2" s="5">
        <v>192630</v>
      </c>
      <c r="G2" s="5">
        <v>357034</v>
      </c>
      <c r="H2" s="5">
        <f>B2-D2</f>
        <v>-1385</v>
      </c>
      <c r="I2" s="5">
        <f>E2-F2</f>
        <v>163019</v>
      </c>
      <c r="J2" s="5">
        <f>(B2+D2)/2</f>
        <v>5673669.5</v>
      </c>
      <c r="K2" s="6">
        <f>G2/J2</f>
        <v>6.2928233659010277E-2</v>
      </c>
      <c r="L2" s="5">
        <v>1053</v>
      </c>
      <c r="M2" s="7">
        <f>B2/(B2+B3)</f>
        <v>0.98390383684161598</v>
      </c>
    </row>
    <row r="3" spans="1:13" x14ac:dyDescent="0.25">
      <c r="A3" s="9" t="s">
        <v>86</v>
      </c>
      <c r="B3" s="5">
        <v>92807</v>
      </c>
      <c r="C3" s="5" t="s">
        <v>88</v>
      </c>
      <c r="D3" s="5">
        <v>92042</v>
      </c>
      <c r="E3" s="5">
        <v>1833</v>
      </c>
      <c r="F3" s="5"/>
      <c r="G3" s="5">
        <v>1068</v>
      </c>
      <c r="H3" s="5">
        <f>B3-D3</f>
        <v>765</v>
      </c>
      <c r="I3" s="5"/>
      <c r="J3" s="5">
        <f>(B3+D3)/2</f>
        <v>92424.5</v>
      </c>
      <c r="K3" s="6">
        <f>G3/J3</f>
        <v>1.155537763255414E-2</v>
      </c>
      <c r="L3" s="5">
        <v>846</v>
      </c>
      <c r="M3" s="6">
        <f>B3/(B2+B3)</f>
        <v>1.6096163158384011E-2</v>
      </c>
    </row>
    <row r="4" spans="1:13" x14ac:dyDescent="0.25">
      <c r="A4" s="4" t="s">
        <v>87</v>
      </c>
      <c r="B4" s="14">
        <f>SUM(B2:B3)</f>
        <v>5765784</v>
      </c>
      <c r="C4" s="13">
        <f>SUM(C2:C3)</f>
        <v>939681</v>
      </c>
      <c r="D4" s="10">
        <f>SUM(D2:D3)</f>
        <v>5766404</v>
      </c>
      <c r="E4" s="10">
        <f t="shared" ref="E4:M4" si="0">SUM(E2:E3)</f>
        <v>357482</v>
      </c>
      <c r="F4" s="10"/>
      <c r="G4" s="10">
        <f t="shared" si="0"/>
        <v>358102</v>
      </c>
      <c r="H4" s="10">
        <f>SUM(H2:H3)</f>
        <v>-620</v>
      </c>
      <c r="I4" s="10"/>
      <c r="J4" s="10">
        <f>SUM(J2:J3)</f>
        <v>5766094</v>
      </c>
      <c r="K4" s="11">
        <f>G4/J4</f>
        <v>6.2104780116314443E-2</v>
      </c>
      <c r="L4" s="10">
        <f>SUM(L2:L3)</f>
        <v>1899</v>
      </c>
      <c r="M4" s="12">
        <f t="shared" si="0"/>
        <v>1</v>
      </c>
    </row>
    <row r="5" spans="1:13" s="15" customFormat="1" x14ac:dyDescent="0.25">
      <c r="A5" s="17"/>
      <c r="B5" s="18"/>
      <c r="C5" s="17"/>
      <c r="D5" s="17"/>
      <c r="E5" s="17"/>
      <c r="F5" s="17"/>
      <c r="G5" s="17"/>
      <c r="H5" s="17"/>
    </row>
    <row r="6" spans="1:13" s="15" customFormat="1" x14ac:dyDescent="0.25">
      <c r="A6" s="17"/>
      <c r="B6" s="17"/>
      <c r="C6" s="17"/>
      <c r="D6" s="19"/>
      <c r="E6" s="17"/>
      <c r="F6" s="17"/>
      <c r="G6" s="17"/>
      <c r="H6" s="17"/>
    </row>
    <row r="7" spans="1:13" s="15" customFormat="1" x14ac:dyDescent="0.25">
      <c r="A7" s="17"/>
      <c r="B7" s="20"/>
      <c r="C7" s="21"/>
      <c r="D7" s="17"/>
      <c r="E7" s="17"/>
      <c r="F7" s="17"/>
      <c r="G7" s="17"/>
      <c r="H7" s="17"/>
    </row>
    <row r="8" spans="1:13" s="15" customFormat="1" x14ac:dyDescent="0.25">
      <c r="A8" s="17"/>
      <c r="B8" s="17"/>
      <c r="C8" s="22">
        <f>B2-D2</f>
        <v>-1385</v>
      </c>
      <c r="D8" s="23">
        <f>B3-D3</f>
        <v>765</v>
      </c>
      <c r="E8" s="17"/>
      <c r="F8" s="17"/>
      <c r="G8" s="17"/>
      <c r="H8" s="17"/>
    </row>
    <row r="9" spans="1:13" s="15" customFormat="1" x14ac:dyDescent="0.25">
      <c r="A9" s="17"/>
      <c r="B9" s="20"/>
      <c r="C9" s="22">
        <f>E2-G2</f>
        <v>-1385</v>
      </c>
      <c r="D9" s="23">
        <f>E3-G3</f>
        <v>765</v>
      </c>
      <c r="E9" s="17"/>
      <c r="F9" s="17"/>
      <c r="G9" s="17"/>
      <c r="H9" s="17"/>
    </row>
    <row r="10" spans="1:13" x14ac:dyDescent="0.25">
      <c r="A10" s="17"/>
      <c r="B10" s="17"/>
      <c r="C10" s="24"/>
      <c r="D10" s="24"/>
      <c r="E10" s="17"/>
      <c r="F10" s="17"/>
      <c r="G10" s="17"/>
      <c r="H10" s="17"/>
    </row>
    <row r="11" spans="1:13" x14ac:dyDescent="0.25">
      <c r="A11" s="17"/>
      <c r="B11" s="17"/>
      <c r="C11" s="17"/>
      <c r="D11" s="17"/>
      <c r="E11" s="17"/>
      <c r="F11" s="17"/>
      <c r="G11" s="17"/>
      <c r="H11" s="17"/>
    </row>
    <row r="12" spans="1:13" x14ac:dyDescent="0.25">
      <c r="A12" s="17"/>
      <c r="B12" s="17"/>
      <c r="C12" s="17"/>
      <c r="D12" s="17"/>
      <c r="E12" s="17"/>
      <c r="F12" s="17"/>
      <c r="G12" s="17"/>
      <c r="H12" s="17"/>
    </row>
    <row r="16" spans="1:13" x14ac:dyDescent="0.25">
      <c r="B16" s="16"/>
    </row>
    <row r="17" spans="2:2" x14ac:dyDescent="0.25">
      <c r="B17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zoomScale="190" zoomScaleNormal="190" workbookViewId="0">
      <selection activeCell="D5" sqref="D5"/>
    </sheetView>
  </sheetViews>
  <sheetFormatPr baseColWidth="10" defaultRowHeight="15" x14ac:dyDescent="0.25"/>
  <cols>
    <col min="1" max="1" width="11.140625" bestFit="1" customWidth="1"/>
    <col min="2" max="2" width="9.140625" bestFit="1" customWidth="1"/>
    <col min="3" max="3" width="9.85546875" bestFit="1" customWidth="1"/>
    <col min="4" max="4" width="10.5703125" bestFit="1" customWidth="1"/>
    <col min="5" max="5" width="12.5703125" bestFit="1" customWidth="1"/>
  </cols>
  <sheetData>
    <row r="1" spans="1:4" x14ac:dyDescent="0.25">
      <c r="A1" s="25" t="s">
        <v>89</v>
      </c>
      <c r="B1" s="25" t="s">
        <v>88</v>
      </c>
      <c r="C1" s="26"/>
      <c r="D1" s="26"/>
    </row>
    <row r="2" spans="1:4" x14ac:dyDescent="0.25">
      <c r="A2" s="25" t="s">
        <v>90</v>
      </c>
      <c r="B2" s="26" t="s">
        <v>4</v>
      </c>
      <c r="C2" s="26" t="s">
        <v>5</v>
      </c>
      <c r="D2" s="26" t="s">
        <v>1</v>
      </c>
    </row>
    <row r="3" spans="1:4" x14ac:dyDescent="0.25">
      <c r="A3" s="27" t="s">
        <v>0</v>
      </c>
      <c r="B3" s="28"/>
      <c r="C3" s="28"/>
      <c r="D3" s="28">
        <v>1532</v>
      </c>
    </row>
    <row r="4" spans="1:4" x14ac:dyDescent="0.25">
      <c r="A4" s="27" t="s">
        <v>3</v>
      </c>
      <c r="B4" s="28"/>
      <c r="C4" s="28"/>
      <c r="D4" s="28">
        <v>5669226</v>
      </c>
    </row>
    <row r="5" spans="1:4" x14ac:dyDescent="0.25">
      <c r="A5" s="27" t="s">
        <v>73</v>
      </c>
      <c r="B5" s="28">
        <v>357034</v>
      </c>
      <c r="C5" s="28">
        <v>355649</v>
      </c>
      <c r="D5" s="28">
        <v>2222</v>
      </c>
    </row>
    <row r="6" spans="1:4" x14ac:dyDescent="0.25">
      <c r="A6" s="27" t="s">
        <v>6</v>
      </c>
      <c r="B6" s="28">
        <v>357034</v>
      </c>
      <c r="C6" s="28">
        <v>355649</v>
      </c>
      <c r="D6" s="28">
        <v>5672980</v>
      </c>
    </row>
  </sheetData>
  <pageMargins left="0.7" right="0.7" top="0.75" bottom="0.75" header="0.3" footer="0.3"/>
  <pageSetup paperSize="9" orientation="portrait" horizontalDpi="30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zoomScale="160" zoomScaleNormal="160" workbookViewId="0">
      <selection activeCell="C2" sqref="C2"/>
    </sheetView>
  </sheetViews>
  <sheetFormatPr baseColWidth="10" defaultRowHeight="15" x14ac:dyDescent="0.25"/>
  <cols>
    <col min="1" max="1" width="16.28515625" bestFit="1" customWidth="1"/>
    <col min="2" max="2" width="7.42578125" bestFit="1" customWidth="1"/>
    <col min="3" max="3" width="9.85546875" bestFit="1" customWidth="1"/>
    <col min="4" max="4" width="8.42578125" bestFit="1" customWidth="1"/>
    <col min="5" max="5" width="12.5703125" bestFit="1" customWidth="1"/>
  </cols>
  <sheetData>
    <row r="1" spans="1:4" x14ac:dyDescent="0.25">
      <c r="A1" s="25" t="s">
        <v>89</v>
      </c>
      <c r="B1" s="25" t="s">
        <v>88</v>
      </c>
      <c r="C1" s="26"/>
      <c r="D1" s="26"/>
    </row>
    <row r="2" spans="1:4" x14ac:dyDescent="0.25">
      <c r="A2" s="25" t="s">
        <v>90</v>
      </c>
      <c r="B2" s="26" t="s">
        <v>4</v>
      </c>
      <c r="C2" s="26" t="s">
        <v>5</v>
      </c>
      <c r="D2" s="26" t="s">
        <v>1</v>
      </c>
    </row>
    <row r="3" spans="1:4" x14ac:dyDescent="0.25">
      <c r="A3" s="27" t="s">
        <v>91</v>
      </c>
      <c r="B3" s="28">
        <v>927</v>
      </c>
      <c r="C3" s="28">
        <v>1675</v>
      </c>
      <c r="D3" s="28">
        <v>84962</v>
      </c>
    </row>
    <row r="4" spans="1:4" x14ac:dyDescent="0.25">
      <c r="A4" s="27" t="s">
        <v>73</v>
      </c>
      <c r="B4" s="28">
        <v>85</v>
      </c>
      <c r="C4" s="28">
        <v>88</v>
      </c>
      <c r="D4" s="28">
        <v>5898</v>
      </c>
    </row>
    <row r="5" spans="1:4" x14ac:dyDescent="0.25">
      <c r="A5" s="27" t="s">
        <v>92</v>
      </c>
      <c r="B5" s="28">
        <v>8</v>
      </c>
      <c r="C5" s="28">
        <v>37</v>
      </c>
      <c r="D5" s="28">
        <v>1394</v>
      </c>
    </row>
    <row r="6" spans="1:4" x14ac:dyDescent="0.25">
      <c r="A6" s="27" t="s">
        <v>7</v>
      </c>
      <c r="B6" s="28">
        <v>48</v>
      </c>
      <c r="C6" s="28">
        <v>33</v>
      </c>
      <c r="D6" s="28">
        <v>553</v>
      </c>
    </row>
    <row r="7" spans="1:4" x14ac:dyDescent="0.25">
      <c r="A7" s="27" t="s">
        <v>6</v>
      </c>
      <c r="B7" s="28">
        <v>1068</v>
      </c>
      <c r="C7" s="28">
        <v>1833</v>
      </c>
      <c r="D7" s="28">
        <v>92807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B1" sqref="B1"/>
    </sheetView>
  </sheetViews>
  <sheetFormatPr baseColWidth="10" defaultRowHeight="15" x14ac:dyDescent="0.25"/>
  <sheetData>
    <row r="1" spans="1:4" x14ac:dyDescent="0.25">
      <c r="A1" t="s">
        <v>43</v>
      </c>
      <c r="B1" t="s">
        <v>44</v>
      </c>
      <c r="C1" t="s">
        <v>16</v>
      </c>
      <c r="D1" t="s">
        <v>45</v>
      </c>
    </row>
    <row r="2" spans="1:4" x14ac:dyDescent="0.25">
      <c r="A2" t="s">
        <v>2</v>
      </c>
      <c r="B2" t="s">
        <v>2</v>
      </c>
      <c r="C2">
        <v>6935</v>
      </c>
      <c r="D2" t="s">
        <v>1</v>
      </c>
    </row>
    <row r="3" spans="1:4" x14ac:dyDescent="0.25">
      <c r="A3" t="s">
        <v>2</v>
      </c>
      <c r="B3" t="s">
        <v>37</v>
      </c>
      <c r="C3">
        <v>211</v>
      </c>
      <c r="D3" t="s">
        <v>1</v>
      </c>
    </row>
    <row r="4" spans="1:4" x14ac:dyDescent="0.25">
      <c r="A4" t="s">
        <v>2</v>
      </c>
      <c r="B4" t="s">
        <v>17</v>
      </c>
      <c r="C4">
        <v>12</v>
      </c>
      <c r="D4" t="s">
        <v>1</v>
      </c>
    </row>
    <row r="5" spans="1:4" x14ac:dyDescent="0.25">
      <c r="A5" t="s">
        <v>2</v>
      </c>
      <c r="B5" t="s">
        <v>32</v>
      </c>
      <c r="C5">
        <v>4</v>
      </c>
      <c r="D5" t="s">
        <v>1</v>
      </c>
    </row>
    <row r="6" spans="1:4" x14ac:dyDescent="0.25">
      <c r="A6" t="s">
        <v>2</v>
      </c>
      <c r="B6" t="s">
        <v>18</v>
      </c>
      <c r="C6">
        <v>5</v>
      </c>
      <c r="D6" t="s">
        <v>1</v>
      </c>
    </row>
    <row r="7" spans="1:4" x14ac:dyDescent="0.25">
      <c r="A7" t="s">
        <v>3</v>
      </c>
      <c r="B7" t="s">
        <v>19</v>
      </c>
      <c r="C7">
        <v>3952</v>
      </c>
      <c r="D7" t="s">
        <v>1</v>
      </c>
    </row>
    <row r="8" spans="1:4" x14ac:dyDescent="0.25">
      <c r="A8" t="s">
        <v>0</v>
      </c>
      <c r="B8" t="s">
        <v>20</v>
      </c>
      <c r="C8">
        <v>100</v>
      </c>
      <c r="D8" t="s">
        <v>1</v>
      </c>
    </row>
    <row r="9" spans="1:4" x14ac:dyDescent="0.25">
      <c r="A9" t="s">
        <v>3</v>
      </c>
      <c r="B9" t="s">
        <v>33</v>
      </c>
      <c r="C9">
        <v>4077</v>
      </c>
      <c r="D9" t="s">
        <v>1</v>
      </c>
    </row>
    <row r="10" spans="1:4" x14ac:dyDescent="0.25">
      <c r="A10" t="s">
        <v>3</v>
      </c>
      <c r="B10" t="s">
        <v>21</v>
      </c>
      <c r="C10">
        <v>14</v>
      </c>
      <c r="D10" t="s">
        <v>1</v>
      </c>
    </row>
    <row r="11" spans="1:4" x14ac:dyDescent="0.25">
      <c r="A11" t="s">
        <v>3</v>
      </c>
      <c r="B11" t="s">
        <v>38</v>
      </c>
      <c r="C11">
        <v>131</v>
      </c>
      <c r="D11" t="s">
        <v>1</v>
      </c>
    </row>
    <row r="12" spans="1:4" x14ac:dyDescent="0.25">
      <c r="A12" t="s">
        <v>3</v>
      </c>
      <c r="B12" t="s">
        <v>42</v>
      </c>
      <c r="C12">
        <v>3</v>
      </c>
      <c r="D12" t="s">
        <v>1</v>
      </c>
    </row>
    <row r="13" spans="1:4" x14ac:dyDescent="0.25">
      <c r="A13" t="s">
        <v>3</v>
      </c>
      <c r="B13" t="s">
        <v>22</v>
      </c>
      <c r="C13">
        <v>843907</v>
      </c>
      <c r="D13" t="s">
        <v>1</v>
      </c>
    </row>
    <row r="14" spans="1:4" x14ac:dyDescent="0.25">
      <c r="A14" t="s">
        <v>3</v>
      </c>
      <c r="B14" t="s">
        <v>34</v>
      </c>
      <c r="C14">
        <v>2112</v>
      </c>
      <c r="D14" t="s">
        <v>1</v>
      </c>
    </row>
    <row r="15" spans="1:4" x14ac:dyDescent="0.25">
      <c r="A15" t="s">
        <v>3</v>
      </c>
      <c r="B15" t="s">
        <v>39</v>
      </c>
      <c r="C15">
        <v>168</v>
      </c>
      <c r="D15" t="s">
        <v>1</v>
      </c>
    </row>
    <row r="16" spans="1:4" x14ac:dyDescent="0.25">
      <c r="A16" t="s">
        <v>3</v>
      </c>
      <c r="B16" t="s">
        <v>23</v>
      </c>
      <c r="C16">
        <v>350</v>
      </c>
      <c r="D16" t="s">
        <v>1</v>
      </c>
    </row>
    <row r="17" spans="1:4" x14ac:dyDescent="0.25">
      <c r="A17" t="s">
        <v>3</v>
      </c>
      <c r="B17" t="s">
        <v>35</v>
      </c>
      <c r="C17">
        <v>70</v>
      </c>
      <c r="D17" t="s">
        <v>1</v>
      </c>
    </row>
    <row r="18" spans="1:4" x14ac:dyDescent="0.25">
      <c r="A18" t="s">
        <v>0</v>
      </c>
      <c r="B18" t="s">
        <v>24</v>
      </c>
      <c r="C18">
        <v>8</v>
      </c>
      <c r="D18" t="s">
        <v>1</v>
      </c>
    </row>
    <row r="19" spans="1:4" x14ac:dyDescent="0.25">
      <c r="A19" t="s">
        <v>0</v>
      </c>
      <c r="B19" t="s">
        <v>40</v>
      </c>
      <c r="C19">
        <v>1</v>
      </c>
      <c r="D19" t="s">
        <v>1</v>
      </c>
    </row>
    <row r="20" spans="1:4" x14ac:dyDescent="0.25">
      <c r="A20" t="s">
        <v>0</v>
      </c>
      <c r="B20" t="s">
        <v>41</v>
      </c>
      <c r="C20">
        <v>10</v>
      </c>
      <c r="D20" t="s">
        <v>1</v>
      </c>
    </row>
    <row r="21" spans="1:4" x14ac:dyDescent="0.25">
      <c r="A21" t="s">
        <v>3</v>
      </c>
      <c r="B21" t="s">
        <v>25</v>
      </c>
      <c r="C21">
        <v>144401</v>
      </c>
      <c r="D21" t="s">
        <v>1</v>
      </c>
    </row>
    <row r="22" spans="1:4" x14ac:dyDescent="0.25">
      <c r="A22" t="s">
        <v>0</v>
      </c>
      <c r="B22" t="s">
        <v>26</v>
      </c>
      <c r="C22">
        <v>20</v>
      </c>
      <c r="D22" t="s">
        <v>1</v>
      </c>
    </row>
    <row r="23" spans="1:4" x14ac:dyDescent="0.25">
      <c r="A23" t="s">
        <v>2</v>
      </c>
      <c r="B23" t="s">
        <v>46</v>
      </c>
      <c r="C23">
        <v>4</v>
      </c>
      <c r="D23" t="s">
        <v>1</v>
      </c>
    </row>
    <row r="24" spans="1:4" x14ac:dyDescent="0.25">
      <c r="A24" t="s">
        <v>3</v>
      </c>
      <c r="B24" t="s">
        <v>27</v>
      </c>
      <c r="C24">
        <v>2449337</v>
      </c>
      <c r="D24" t="s">
        <v>1</v>
      </c>
    </row>
    <row r="25" spans="1:4" x14ac:dyDescent="0.25">
      <c r="A25" t="s">
        <v>0</v>
      </c>
      <c r="B25" t="s">
        <v>72</v>
      </c>
      <c r="C25">
        <v>1</v>
      </c>
      <c r="D25" t="s">
        <v>1</v>
      </c>
    </row>
    <row r="26" spans="1:4" x14ac:dyDescent="0.25">
      <c r="A26" t="s">
        <v>0</v>
      </c>
      <c r="B26" t="s">
        <v>28</v>
      </c>
      <c r="C26">
        <v>22</v>
      </c>
      <c r="D26" t="s">
        <v>1</v>
      </c>
    </row>
    <row r="27" spans="1:4" x14ac:dyDescent="0.25">
      <c r="A27" t="s">
        <v>3</v>
      </c>
      <c r="B27" t="s">
        <v>36</v>
      </c>
      <c r="C27">
        <v>109</v>
      </c>
      <c r="D27" t="s">
        <v>1</v>
      </c>
    </row>
    <row r="28" spans="1:4" x14ac:dyDescent="0.25">
      <c r="A28" t="s">
        <v>3</v>
      </c>
      <c r="B28" t="s">
        <v>29</v>
      </c>
      <c r="C28">
        <v>24</v>
      </c>
      <c r="D28" t="s">
        <v>1</v>
      </c>
    </row>
    <row r="29" spans="1:4" x14ac:dyDescent="0.25">
      <c r="A29" t="s">
        <v>0</v>
      </c>
      <c r="B29" t="s">
        <v>30</v>
      </c>
      <c r="C29">
        <v>21</v>
      </c>
      <c r="D29" t="s">
        <v>1</v>
      </c>
    </row>
    <row r="30" spans="1:4" x14ac:dyDescent="0.25">
      <c r="A30" t="s">
        <v>0</v>
      </c>
      <c r="B30" t="s">
        <v>31</v>
      </c>
      <c r="C30">
        <v>6</v>
      </c>
      <c r="D30" t="s">
        <v>1</v>
      </c>
    </row>
    <row r="31" spans="1:4" x14ac:dyDescent="0.25">
      <c r="A31" t="s">
        <v>2</v>
      </c>
      <c r="B31" t="s">
        <v>2</v>
      </c>
      <c r="C31">
        <v>8160</v>
      </c>
      <c r="D31" t="s">
        <v>4</v>
      </c>
    </row>
    <row r="32" spans="1:4" x14ac:dyDescent="0.25">
      <c r="A32" t="s">
        <v>2</v>
      </c>
      <c r="B32" t="s">
        <v>37</v>
      </c>
      <c r="C32">
        <v>11</v>
      </c>
      <c r="D32" t="s">
        <v>4</v>
      </c>
    </row>
    <row r="33" spans="1:4" x14ac:dyDescent="0.25">
      <c r="A33" t="s">
        <v>2</v>
      </c>
      <c r="B33" t="s">
        <v>32</v>
      </c>
      <c r="C33">
        <v>1</v>
      </c>
      <c r="D33" t="s">
        <v>4</v>
      </c>
    </row>
    <row r="34" spans="1:4" x14ac:dyDescent="0.25">
      <c r="A34" t="s">
        <v>3</v>
      </c>
      <c r="B34" t="s">
        <v>19</v>
      </c>
      <c r="C34">
        <v>305</v>
      </c>
      <c r="D34" t="s">
        <v>4</v>
      </c>
    </row>
    <row r="35" spans="1:4" x14ac:dyDescent="0.25">
      <c r="A35" t="s">
        <v>3</v>
      </c>
      <c r="B35" t="s">
        <v>33</v>
      </c>
      <c r="C35">
        <v>168</v>
      </c>
      <c r="D35" t="s">
        <v>4</v>
      </c>
    </row>
    <row r="36" spans="1:4" x14ac:dyDescent="0.25">
      <c r="A36" t="s">
        <v>3</v>
      </c>
      <c r="B36" t="s">
        <v>38</v>
      </c>
      <c r="C36">
        <v>3</v>
      </c>
      <c r="D36" t="s">
        <v>4</v>
      </c>
    </row>
    <row r="37" spans="1:4" x14ac:dyDescent="0.25">
      <c r="A37" t="s">
        <v>3</v>
      </c>
      <c r="B37" t="s">
        <v>22</v>
      </c>
      <c r="C37">
        <v>23128</v>
      </c>
      <c r="D37" t="s">
        <v>4</v>
      </c>
    </row>
    <row r="38" spans="1:4" x14ac:dyDescent="0.25">
      <c r="A38" t="s">
        <v>3</v>
      </c>
      <c r="B38" t="s">
        <v>34</v>
      </c>
      <c r="C38">
        <v>183</v>
      </c>
      <c r="D38" t="s">
        <v>4</v>
      </c>
    </row>
    <row r="39" spans="1:4" x14ac:dyDescent="0.25">
      <c r="A39" t="s">
        <v>3</v>
      </c>
      <c r="B39" t="s">
        <v>39</v>
      </c>
      <c r="C39">
        <v>4</v>
      </c>
      <c r="D39" t="s">
        <v>4</v>
      </c>
    </row>
    <row r="40" spans="1:4" x14ac:dyDescent="0.25">
      <c r="A40" t="s">
        <v>3</v>
      </c>
      <c r="B40" t="s">
        <v>23</v>
      </c>
      <c r="C40">
        <v>11</v>
      </c>
      <c r="D40" t="s">
        <v>4</v>
      </c>
    </row>
    <row r="41" spans="1:4" x14ac:dyDescent="0.25">
      <c r="A41" t="s">
        <v>3</v>
      </c>
      <c r="B41" t="s">
        <v>35</v>
      </c>
      <c r="C41">
        <v>1</v>
      </c>
      <c r="D41" t="s">
        <v>4</v>
      </c>
    </row>
    <row r="42" spans="1:4" x14ac:dyDescent="0.25">
      <c r="A42" t="s">
        <v>0</v>
      </c>
      <c r="B42" t="s">
        <v>24</v>
      </c>
      <c r="C42">
        <v>275</v>
      </c>
      <c r="D42" t="s">
        <v>4</v>
      </c>
    </row>
    <row r="43" spans="1:4" x14ac:dyDescent="0.25">
      <c r="A43" t="s">
        <v>0</v>
      </c>
      <c r="B43" t="s">
        <v>40</v>
      </c>
      <c r="C43">
        <v>9</v>
      </c>
      <c r="D43" t="s">
        <v>4</v>
      </c>
    </row>
    <row r="44" spans="1:4" x14ac:dyDescent="0.25">
      <c r="A44" t="s">
        <v>0</v>
      </c>
      <c r="B44" t="s">
        <v>41</v>
      </c>
      <c r="C44">
        <v>303</v>
      </c>
      <c r="D44" t="s">
        <v>4</v>
      </c>
    </row>
    <row r="45" spans="1:4" x14ac:dyDescent="0.25">
      <c r="A45" t="s">
        <v>3</v>
      </c>
      <c r="B45" t="s">
        <v>25</v>
      </c>
      <c r="C45">
        <v>1275</v>
      </c>
      <c r="D45" t="s">
        <v>4</v>
      </c>
    </row>
    <row r="46" spans="1:4" x14ac:dyDescent="0.25">
      <c r="A46" t="s">
        <v>0</v>
      </c>
      <c r="B46" t="s">
        <v>26</v>
      </c>
      <c r="C46">
        <v>21</v>
      </c>
      <c r="D46" t="s">
        <v>4</v>
      </c>
    </row>
    <row r="47" spans="1:4" x14ac:dyDescent="0.25">
      <c r="A47" t="s">
        <v>2</v>
      </c>
      <c r="B47" t="s">
        <v>46</v>
      </c>
      <c r="C47">
        <v>2</v>
      </c>
      <c r="D47" t="s">
        <v>4</v>
      </c>
    </row>
    <row r="48" spans="1:4" x14ac:dyDescent="0.25">
      <c r="A48" t="s">
        <v>3</v>
      </c>
      <c r="B48" t="s">
        <v>27</v>
      </c>
      <c r="C48">
        <v>98846</v>
      </c>
      <c r="D48" t="s">
        <v>4</v>
      </c>
    </row>
    <row r="49" spans="1:4" x14ac:dyDescent="0.25">
      <c r="A49" t="s">
        <v>0</v>
      </c>
      <c r="B49" t="s">
        <v>28</v>
      </c>
      <c r="C49">
        <v>13</v>
      </c>
      <c r="D49" t="s">
        <v>4</v>
      </c>
    </row>
    <row r="50" spans="1:4" x14ac:dyDescent="0.25">
      <c r="A50" t="s">
        <v>3</v>
      </c>
      <c r="B50" t="s">
        <v>36</v>
      </c>
      <c r="C50">
        <v>3</v>
      </c>
      <c r="D50" t="s">
        <v>4</v>
      </c>
    </row>
    <row r="51" spans="1:4" x14ac:dyDescent="0.25">
      <c r="A51" t="s">
        <v>3</v>
      </c>
      <c r="B51" t="s">
        <v>29</v>
      </c>
      <c r="C51">
        <v>3</v>
      </c>
      <c r="D51" t="s">
        <v>4</v>
      </c>
    </row>
    <row r="52" spans="1:4" x14ac:dyDescent="0.25">
      <c r="A52" t="s">
        <v>0</v>
      </c>
      <c r="B52" t="s">
        <v>30</v>
      </c>
      <c r="C52">
        <v>1</v>
      </c>
      <c r="D52" t="s">
        <v>4</v>
      </c>
    </row>
    <row r="53" spans="1:4" x14ac:dyDescent="0.25">
      <c r="A53" t="s">
        <v>2</v>
      </c>
      <c r="B53" t="s">
        <v>2</v>
      </c>
      <c r="C53">
        <v>58</v>
      </c>
      <c r="D53" t="s">
        <v>5</v>
      </c>
    </row>
    <row r="54" spans="1:4" x14ac:dyDescent="0.25">
      <c r="A54" t="s">
        <v>2</v>
      </c>
      <c r="B54" t="s">
        <v>37</v>
      </c>
      <c r="C54">
        <v>3</v>
      </c>
      <c r="D54" t="s">
        <v>5</v>
      </c>
    </row>
    <row r="55" spans="1:4" x14ac:dyDescent="0.25">
      <c r="A55" t="s">
        <v>2</v>
      </c>
      <c r="B55" t="s">
        <v>18</v>
      </c>
      <c r="C55">
        <v>1</v>
      </c>
      <c r="D55" t="s">
        <v>5</v>
      </c>
    </row>
    <row r="56" spans="1:4" x14ac:dyDescent="0.25">
      <c r="A56" t="s">
        <v>3</v>
      </c>
      <c r="B56" t="s">
        <v>19</v>
      </c>
      <c r="C56">
        <v>511</v>
      </c>
      <c r="D56" t="s">
        <v>5</v>
      </c>
    </row>
    <row r="57" spans="1:4" x14ac:dyDescent="0.25">
      <c r="A57" t="s">
        <v>0</v>
      </c>
      <c r="B57" t="s">
        <v>20</v>
      </c>
      <c r="C57">
        <v>1</v>
      </c>
      <c r="D57" t="s">
        <v>5</v>
      </c>
    </row>
    <row r="58" spans="1:4" x14ac:dyDescent="0.25">
      <c r="A58" t="s">
        <v>3</v>
      </c>
      <c r="B58" t="s">
        <v>33</v>
      </c>
      <c r="C58">
        <v>117</v>
      </c>
      <c r="D58" t="s">
        <v>5</v>
      </c>
    </row>
    <row r="59" spans="1:4" x14ac:dyDescent="0.25">
      <c r="A59" t="s">
        <v>3</v>
      </c>
      <c r="B59" t="s">
        <v>21</v>
      </c>
      <c r="C59">
        <v>1</v>
      </c>
      <c r="D59" t="s">
        <v>5</v>
      </c>
    </row>
    <row r="60" spans="1:4" x14ac:dyDescent="0.25">
      <c r="A60" t="s">
        <v>3</v>
      </c>
      <c r="B60" t="s">
        <v>38</v>
      </c>
      <c r="C60">
        <v>1</v>
      </c>
      <c r="D60" t="s">
        <v>5</v>
      </c>
    </row>
    <row r="61" spans="1:4" x14ac:dyDescent="0.25">
      <c r="A61" t="s">
        <v>3</v>
      </c>
      <c r="B61" t="s">
        <v>22</v>
      </c>
      <c r="C61">
        <v>6479</v>
      </c>
      <c r="D61" t="s">
        <v>5</v>
      </c>
    </row>
    <row r="62" spans="1:4" x14ac:dyDescent="0.25">
      <c r="A62" t="s">
        <v>3</v>
      </c>
      <c r="B62" t="s">
        <v>34</v>
      </c>
      <c r="C62">
        <v>138</v>
      </c>
      <c r="D62" t="s">
        <v>5</v>
      </c>
    </row>
    <row r="63" spans="1:4" x14ac:dyDescent="0.25">
      <c r="A63" t="s">
        <v>3</v>
      </c>
      <c r="B63" t="s">
        <v>23</v>
      </c>
      <c r="C63">
        <v>6</v>
      </c>
      <c r="D63" t="s">
        <v>5</v>
      </c>
    </row>
    <row r="64" spans="1:4" x14ac:dyDescent="0.25">
      <c r="A64" t="s">
        <v>3</v>
      </c>
      <c r="B64" t="s">
        <v>35</v>
      </c>
      <c r="C64">
        <v>2</v>
      </c>
      <c r="D64" t="s">
        <v>5</v>
      </c>
    </row>
    <row r="65" spans="1:4" x14ac:dyDescent="0.25">
      <c r="A65" t="s">
        <v>0</v>
      </c>
      <c r="B65" t="s">
        <v>24</v>
      </c>
      <c r="C65">
        <v>1</v>
      </c>
      <c r="D65" t="s">
        <v>5</v>
      </c>
    </row>
    <row r="66" spans="1:4" x14ac:dyDescent="0.25">
      <c r="A66" t="s">
        <v>0</v>
      </c>
      <c r="B66" t="s">
        <v>41</v>
      </c>
      <c r="C66">
        <v>1</v>
      </c>
      <c r="D66" t="s">
        <v>5</v>
      </c>
    </row>
    <row r="67" spans="1:4" x14ac:dyDescent="0.25">
      <c r="A67" t="s">
        <v>3</v>
      </c>
      <c r="B67" t="s">
        <v>25</v>
      </c>
      <c r="C67">
        <v>340</v>
      </c>
      <c r="D67" t="s">
        <v>5</v>
      </c>
    </row>
    <row r="68" spans="1:4" x14ac:dyDescent="0.25">
      <c r="A68" t="s">
        <v>0</v>
      </c>
      <c r="B68" t="s">
        <v>26</v>
      </c>
      <c r="C68">
        <v>2</v>
      </c>
      <c r="D68" t="s">
        <v>5</v>
      </c>
    </row>
    <row r="69" spans="1:4" x14ac:dyDescent="0.25">
      <c r="A69" t="s">
        <v>2</v>
      </c>
      <c r="B69" t="s">
        <v>46</v>
      </c>
      <c r="C69">
        <v>1</v>
      </c>
      <c r="D69" t="s">
        <v>5</v>
      </c>
    </row>
    <row r="70" spans="1:4" x14ac:dyDescent="0.25">
      <c r="A70" t="s">
        <v>3</v>
      </c>
      <c r="B70" t="s">
        <v>27</v>
      </c>
      <c r="C70">
        <v>167110</v>
      </c>
      <c r="D70" t="s">
        <v>5</v>
      </c>
    </row>
    <row r="71" spans="1:4" x14ac:dyDescent="0.25">
      <c r="A71" t="s">
        <v>0</v>
      </c>
      <c r="B71" t="s">
        <v>72</v>
      </c>
      <c r="C71">
        <v>1</v>
      </c>
      <c r="D71" t="s">
        <v>5</v>
      </c>
    </row>
    <row r="72" spans="1:4" x14ac:dyDescent="0.25">
      <c r="A72" t="s">
        <v>0</v>
      </c>
      <c r="B72" t="s">
        <v>28</v>
      </c>
      <c r="C72">
        <v>2</v>
      </c>
      <c r="D72" t="s">
        <v>5</v>
      </c>
    </row>
    <row r="73" spans="1:4" x14ac:dyDescent="0.25">
      <c r="A73" t="s">
        <v>3</v>
      </c>
      <c r="B73" t="s">
        <v>29</v>
      </c>
      <c r="C73">
        <v>2</v>
      </c>
      <c r="D73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opLeftCell="A32" workbookViewId="0">
      <selection activeCell="B54" sqref="B54"/>
    </sheetView>
  </sheetViews>
  <sheetFormatPr baseColWidth="10" defaultRowHeight="15" x14ac:dyDescent="0.25"/>
  <sheetData>
    <row r="1" spans="1:4" x14ac:dyDescent="0.25">
      <c r="A1" t="s">
        <v>47</v>
      </c>
      <c r="B1" t="s">
        <v>48</v>
      </c>
      <c r="C1" t="s">
        <v>16</v>
      </c>
      <c r="D1" t="s">
        <v>45</v>
      </c>
    </row>
    <row r="2" spans="1:4" x14ac:dyDescent="0.25">
      <c r="A2" t="s">
        <v>7</v>
      </c>
      <c r="B2" t="s">
        <v>8</v>
      </c>
      <c r="C2">
        <v>10</v>
      </c>
      <c r="D2" t="s">
        <v>1</v>
      </c>
    </row>
    <row r="3" spans="1:4" x14ac:dyDescent="0.25">
      <c r="A3" t="s">
        <v>7</v>
      </c>
      <c r="B3" t="s">
        <v>9</v>
      </c>
      <c r="C3">
        <v>9</v>
      </c>
      <c r="D3" t="s">
        <v>1</v>
      </c>
    </row>
    <row r="4" spans="1:4" x14ac:dyDescent="0.25">
      <c r="A4" t="s">
        <v>7</v>
      </c>
      <c r="B4" t="s">
        <v>10</v>
      </c>
      <c r="C4">
        <v>3</v>
      </c>
      <c r="D4" t="s">
        <v>1</v>
      </c>
    </row>
    <row r="5" spans="1:4" x14ac:dyDescent="0.25">
      <c r="A5" t="s">
        <v>0</v>
      </c>
      <c r="B5" t="s">
        <v>49</v>
      </c>
      <c r="C5">
        <v>13</v>
      </c>
      <c r="D5" t="s">
        <v>1</v>
      </c>
    </row>
    <row r="6" spans="1:4" x14ac:dyDescent="0.25">
      <c r="A6" t="s">
        <v>7</v>
      </c>
      <c r="B6" t="s">
        <v>11</v>
      </c>
      <c r="C6">
        <v>46</v>
      </c>
      <c r="D6" t="s">
        <v>1</v>
      </c>
    </row>
    <row r="7" spans="1:4" x14ac:dyDescent="0.25">
      <c r="A7" t="s">
        <v>0</v>
      </c>
      <c r="B7" t="s">
        <v>50</v>
      </c>
      <c r="C7">
        <v>16</v>
      </c>
      <c r="D7" t="s">
        <v>1</v>
      </c>
    </row>
    <row r="8" spans="1:4" x14ac:dyDescent="0.25">
      <c r="A8" t="s">
        <v>0</v>
      </c>
      <c r="B8" t="s">
        <v>51</v>
      </c>
      <c r="C8">
        <v>171</v>
      </c>
      <c r="D8" t="s">
        <v>1</v>
      </c>
    </row>
    <row r="9" spans="1:4" x14ac:dyDescent="0.25">
      <c r="A9" t="s">
        <v>0</v>
      </c>
      <c r="B9" t="s">
        <v>52</v>
      </c>
      <c r="C9">
        <v>288</v>
      </c>
      <c r="D9" t="s">
        <v>1</v>
      </c>
    </row>
    <row r="10" spans="1:4" x14ac:dyDescent="0.25">
      <c r="A10" t="s">
        <v>0</v>
      </c>
      <c r="B10" t="s">
        <v>53</v>
      </c>
      <c r="C10">
        <v>356</v>
      </c>
      <c r="D10" t="s">
        <v>1</v>
      </c>
    </row>
    <row r="11" spans="1:4" x14ac:dyDescent="0.25">
      <c r="A11" t="s">
        <v>0</v>
      </c>
      <c r="B11" t="s">
        <v>54</v>
      </c>
      <c r="C11">
        <v>32876</v>
      </c>
      <c r="D11" t="s">
        <v>1</v>
      </c>
    </row>
    <row r="12" spans="1:4" x14ac:dyDescent="0.25">
      <c r="A12" t="s">
        <v>0</v>
      </c>
      <c r="B12" t="s">
        <v>55</v>
      </c>
      <c r="C12">
        <v>1519</v>
      </c>
      <c r="D12" t="s">
        <v>1</v>
      </c>
    </row>
    <row r="13" spans="1:4" x14ac:dyDescent="0.25">
      <c r="B13" t="s">
        <v>56</v>
      </c>
      <c r="C13">
        <v>1</v>
      </c>
      <c r="D13" t="s">
        <v>1</v>
      </c>
    </row>
    <row r="14" spans="1:4" x14ac:dyDescent="0.25">
      <c r="A14" t="s">
        <v>0</v>
      </c>
      <c r="B14" t="s">
        <v>57</v>
      </c>
      <c r="C14">
        <v>1830</v>
      </c>
      <c r="D14" t="s">
        <v>1</v>
      </c>
    </row>
    <row r="15" spans="1:4" x14ac:dyDescent="0.25">
      <c r="A15" t="s">
        <v>0</v>
      </c>
      <c r="B15" t="s">
        <v>58</v>
      </c>
      <c r="C15">
        <v>26</v>
      </c>
      <c r="D15" t="s">
        <v>1</v>
      </c>
    </row>
    <row r="16" spans="1:4" x14ac:dyDescent="0.25">
      <c r="A16" t="s">
        <v>0</v>
      </c>
      <c r="B16" t="s">
        <v>59</v>
      </c>
      <c r="C16">
        <v>120</v>
      </c>
      <c r="D16" t="s">
        <v>1</v>
      </c>
    </row>
    <row r="17" spans="1:4" x14ac:dyDescent="0.25">
      <c r="A17" t="s">
        <v>0</v>
      </c>
      <c r="B17" t="s">
        <v>70</v>
      </c>
      <c r="C17">
        <v>13</v>
      </c>
      <c r="D17" t="s">
        <v>1</v>
      </c>
    </row>
    <row r="18" spans="1:4" x14ac:dyDescent="0.25">
      <c r="A18" t="s">
        <v>0</v>
      </c>
      <c r="B18" t="s">
        <v>60</v>
      </c>
      <c r="C18">
        <v>70</v>
      </c>
      <c r="D18" t="s">
        <v>1</v>
      </c>
    </row>
    <row r="19" spans="1:4" x14ac:dyDescent="0.25">
      <c r="A19" t="s">
        <v>0</v>
      </c>
      <c r="B19" t="s">
        <v>61</v>
      </c>
      <c r="C19">
        <v>879</v>
      </c>
      <c r="D19" t="s">
        <v>1</v>
      </c>
    </row>
    <row r="20" spans="1:4" x14ac:dyDescent="0.25">
      <c r="A20" t="s">
        <v>7</v>
      </c>
      <c r="B20" t="s">
        <v>12</v>
      </c>
      <c r="C20">
        <v>117</v>
      </c>
      <c r="D20" t="s">
        <v>1</v>
      </c>
    </row>
    <row r="21" spans="1:4" x14ac:dyDescent="0.25">
      <c r="A21" t="s">
        <v>7</v>
      </c>
      <c r="B21" t="s">
        <v>13</v>
      </c>
      <c r="C21">
        <v>2</v>
      </c>
      <c r="D21" t="s">
        <v>1</v>
      </c>
    </row>
    <row r="22" spans="1:4" x14ac:dyDescent="0.25">
      <c r="A22" t="s">
        <v>7</v>
      </c>
      <c r="B22" t="s">
        <v>14</v>
      </c>
      <c r="C22">
        <v>1</v>
      </c>
      <c r="D22" t="s">
        <v>1</v>
      </c>
    </row>
    <row r="23" spans="1:4" x14ac:dyDescent="0.25">
      <c r="A23" t="s">
        <v>7</v>
      </c>
      <c r="B23" t="s">
        <v>15</v>
      </c>
      <c r="C23">
        <v>23</v>
      </c>
      <c r="D23" t="s">
        <v>1</v>
      </c>
    </row>
    <row r="24" spans="1:4" x14ac:dyDescent="0.25">
      <c r="A24" t="s">
        <v>0</v>
      </c>
      <c r="B24" t="s">
        <v>62</v>
      </c>
      <c r="C24">
        <v>120</v>
      </c>
      <c r="D24" t="s">
        <v>1</v>
      </c>
    </row>
    <row r="25" spans="1:4" x14ac:dyDescent="0.25">
      <c r="A25" t="s">
        <v>0</v>
      </c>
      <c r="B25" t="s">
        <v>63</v>
      </c>
      <c r="C25">
        <v>196</v>
      </c>
      <c r="D25" t="s">
        <v>1</v>
      </c>
    </row>
    <row r="26" spans="1:4" x14ac:dyDescent="0.25">
      <c r="A26" t="s">
        <v>0</v>
      </c>
      <c r="B26" t="s">
        <v>64</v>
      </c>
      <c r="C26">
        <v>219</v>
      </c>
      <c r="D26" t="s">
        <v>1</v>
      </c>
    </row>
    <row r="27" spans="1:4" x14ac:dyDescent="0.25">
      <c r="A27" t="s">
        <v>0</v>
      </c>
      <c r="B27" t="s">
        <v>65</v>
      </c>
      <c r="C27">
        <v>1417</v>
      </c>
      <c r="D27" t="s">
        <v>1</v>
      </c>
    </row>
    <row r="28" spans="1:4" x14ac:dyDescent="0.25">
      <c r="A28" t="s">
        <v>0</v>
      </c>
      <c r="B28" t="s">
        <v>66</v>
      </c>
      <c r="C28">
        <v>31</v>
      </c>
      <c r="D28" t="s">
        <v>1</v>
      </c>
    </row>
    <row r="29" spans="1:4" x14ac:dyDescent="0.25">
      <c r="A29" t="s">
        <v>0</v>
      </c>
      <c r="B29" t="s">
        <v>67</v>
      </c>
      <c r="C29">
        <v>3398</v>
      </c>
      <c r="D29" t="s">
        <v>1</v>
      </c>
    </row>
    <row r="30" spans="1:4" x14ac:dyDescent="0.25">
      <c r="B30" t="s">
        <v>68</v>
      </c>
      <c r="C30">
        <v>4</v>
      </c>
      <c r="D30" t="s">
        <v>1</v>
      </c>
    </row>
    <row r="31" spans="1:4" x14ac:dyDescent="0.25">
      <c r="A31" t="s">
        <v>0</v>
      </c>
      <c r="B31" t="s">
        <v>69</v>
      </c>
      <c r="C31">
        <v>3</v>
      </c>
      <c r="D31" t="s">
        <v>1</v>
      </c>
    </row>
    <row r="32" spans="1:4" x14ac:dyDescent="0.25">
      <c r="A32" t="s">
        <v>0</v>
      </c>
      <c r="B32" t="s">
        <v>71</v>
      </c>
      <c r="C32">
        <v>1</v>
      </c>
      <c r="D32" t="s">
        <v>1</v>
      </c>
    </row>
    <row r="33" spans="1:4" x14ac:dyDescent="0.25">
      <c r="A33" t="s">
        <v>7</v>
      </c>
      <c r="B33" t="s">
        <v>9</v>
      </c>
      <c r="C33">
        <v>1</v>
      </c>
      <c r="D33" t="s">
        <v>4</v>
      </c>
    </row>
    <row r="34" spans="1:4" x14ac:dyDescent="0.25">
      <c r="A34" t="s">
        <v>0</v>
      </c>
      <c r="B34" t="s">
        <v>50</v>
      </c>
      <c r="C34">
        <v>1</v>
      </c>
      <c r="D34" t="s">
        <v>4</v>
      </c>
    </row>
    <row r="35" spans="1:4" x14ac:dyDescent="0.25">
      <c r="A35" t="s">
        <v>0</v>
      </c>
      <c r="B35" t="s">
        <v>54</v>
      </c>
      <c r="C35">
        <v>569</v>
      </c>
      <c r="D35" t="s">
        <v>4</v>
      </c>
    </row>
    <row r="36" spans="1:4" x14ac:dyDescent="0.25">
      <c r="A36" t="s">
        <v>0</v>
      </c>
      <c r="B36" t="s">
        <v>55</v>
      </c>
      <c r="C36">
        <v>8</v>
      </c>
      <c r="D36" t="s">
        <v>4</v>
      </c>
    </row>
    <row r="37" spans="1:4" x14ac:dyDescent="0.25">
      <c r="A37" t="s">
        <v>0</v>
      </c>
      <c r="B37" t="s">
        <v>57</v>
      </c>
      <c r="C37">
        <v>27</v>
      </c>
      <c r="D37" t="s">
        <v>4</v>
      </c>
    </row>
    <row r="38" spans="1:4" x14ac:dyDescent="0.25">
      <c r="A38" t="s">
        <v>0</v>
      </c>
      <c r="B38" t="s">
        <v>59</v>
      </c>
      <c r="C38">
        <v>9</v>
      </c>
      <c r="D38" t="s">
        <v>4</v>
      </c>
    </row>
    <row r="39" spans="1:4" x14ac:dyDescent="0.25">
      <c r="A39" t="s">
        <v>0</v>
      </c>
      <c r="B39" t="s">
        <v>70</v>
      </c>
      <c r="C39">
        <v>1</v>
      </c>
      <c r="D39" t="s">
        <v>4</v>
      </c>
    </row>
    <row r="40" spans="1:4" x14ac:dyDescent="0.25">
      <c r="A40" t="s">
        <v>0</v>
      </c>
      <c r="B40" t="s">
        <v>60</v>
      </c>
      <c r="C40">
        <v>1</v>
      </c>
      <c r="D40" t="s">
        <v>4</v>
      </c>
    </row>
    <row r="41" spans="1:4" x14ac:dyDescent="0.25">
      <c r="A41" t="s">
        <v>0</v>
      </c>
      <c r="B41" t="s">
        <v>61</v>
      </c>
      <c r="C41">
        <v>11</v>
      </c>
      <c r="D41" t="s">
        <v>4</v>
      </c>
    </row>
    <row r="42" spans="1:4" x14ac:dyDescent="0.25">
      <c r="A42" t="s">
        <v>7</v>
      </c>
      <c r="B42" t="s">
        <v>12</v>
      </c>
      <c r="C42">
        <v>2</v>
      </c>
      <c r="D42" t="s">
        <v>4</v>
      </c>
    </row>
    <row r="43" spans="1:4" x14ac:dyDescent="0.25">
      <c r="A43" t="s">
        <v>0</v>
      </c>
      <c r="B43" t="s">
        <v>64</v>
      </c>
      <c r="C43">
        <v>2</v>
      </c>
      <c r="D43" t="s">
        <v>4</v>
      </c>
    </row>
    <row r="44" spans="1:4" x14ac:dyDescent="0.25">
      <c r="A44" t="s">
        <v>0</v>
      </c>
      <c r="B44" t="s">
        <v>65</v>
      </c>
      <c r="C44">
        <v>12</v>
      </c>
      <c r="D44" t="s">
        <v>4</v>
      </c>
    </row>
    <row r="45" spans="1:4" x14ac:dyDescent="0.25">
      <c r="A45" t="s">
        <v>0</v>
      </c>
      <c r="B45" t="s">
        <v>54</v>
      </c>
      <c r="C45">
        <v>1056</v>
      </c>
      <c r="D45" t="s">
        <v>5</v>
      </c>
    </row>
    <row r="46" spans="1:4" x14ac:dyDescent="0.25">
      <c r="A46" t="s">
        <v>0</v>
      </c>
      <c r="B46" t="s">
        <v>55</v>
      </c>
      <c r="C46">
        <v>10</v>
      </c>
      <c r="D46" t="s">
        <v>5</v>
      </c>
    </row>
    <row r="47" spans="1:4" x14ac:dyDescent="0.25">
      <c r="A47" t="s">
        <v>0</v>
      </c>
      <c r="B47" t="s">
        <v>57</v>
      </c>
      <c r="C47">
        <v>44</v>
      </c>
      <c r="D47" t="s">
        <v>5</v>
      </c>
    </row>
    <row r="48" spans="1:4" x14ac:dyDescent="0.25">
      <c r="A48" t="s">
        <v>0</v>
      </c>
      <c r="B48" t="s">
        <v>59</v>
      </c>
      <c r="C48">
        <v>1</v>
      </c>
      <c r="D48" t="s">
        <v>5</v>
      </c>
    </row>
    <row r="49" spans="1:4" x14ac:dyDescent="0.25">
      <c r="A49" t="s">
        <v>0</v>
      </c>
      <c r="B49" t="s">
        <v>70</v>
      </c>
      <c r="C49">
        <v>1</v>
      </c>
      <c r="D49" t="s">
        <v>5</v>
      </c>
    </row>
    <row r="50" spans="1:4" x14ac:dyDescent="0.25">
      <c r="A50" t="s">
        <v>0</v>
      </c>
      <c r="B50" t="s">
        <v>60</v>
      </c>
      <c r="C50">
        <v>11</v>
      </c>
      <c r="D50" t="s">
        <v>5</v>
      </c>
    </row>
    <row r="51" spans="1:4" x14ac:dyDescent="0.25">
      <c r="A51" t="s">
        <v>0</v>
      </c>
      <c r="B51" t="s">
        <v>61</v>
      </c>
      <c r="C51">
        <v>4</v>
      </c>
      <c r="D51" t="s">
        <v>5</v>
      </c>
    </row>
    <row r="52" spans="1:4" x14ac:dyDescent="0.25">
      <c r="A52" t="s">
        <v>7</v>
      </c>
      <c r="B52" t="s">
        <v>12</v>
      </c>
      <c r="C52">
        <v>1</v>
      </c>
      <c r="D52" t="s">
        <v>5</v>
      </c>
    </row>
    <row r="53" spans="1:4" x14ac:dyDescent="0.25">
      <c r="A53" t="s">
        <v>0</v>
      </c>
      <c r="B53" t="s">
        <v>65</v>
      </c>
      <c r="C53">
        <v>19</v>
      </c>
      <c r="D53" t="s">
        <v>5</v>
      </c>
    </row>
    <row r="54" spans="1:4" x14ac:dyDescent="0.25">
      <c r="A54" t="s">
        <v>0</v>
      </c>
      <c r="B54" t="s">
        <v>67</v>
      </c>
      <c r="C54">
        <v>4</v>
      </c>
      <c r="D5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KPIs</vt:lpstr>
      <vt:lpstr>PREPAID-SEGMENT</vt:lpstr>
      <vt:lpstr>POSTPAID-SEGMENT</vt:lpstr>
      <vt:lpstr>S_PREPAID</vt:lpstr>
      <vt:lpstr>S_POSTPAID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Fally</dc:creator>
  <cp:lastModifiedBy>Administrateur</cp:lastModifiedBy>
  <dcterms:created xsi:type="dcterms:W3CDTF">2015-06-26T17:10:42Z</dcterms:created>
  <dcterms:modified xsi:type="dcterms:W3CDTF">2025-03-02T01:58:38Z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09fe6d70-8954-41cc-9350-73051bfd0e01</vt:lpwstr>
  </property>
</Properties>
</file>