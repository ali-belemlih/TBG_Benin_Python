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B71CDA2-9BCF-41C0-ACAB-C5645082F9C8}" xr6:coauthVersionLast="47" xr6:coauthVersionMax="47" xr10:uidLastSave="{00000000-0000-0000-0000-000000000000}"/>
  <bookViews>
    <workbookView xWindow="-110" yWindow="-110" windowWidth="19420" windowHeight="12420" firstSheet="4" activeTab="4" xr2:uid="{F2220CBC-2ADD-427D-A4BB-F1D236217154}"/>
  </bookViews>
  <sheets>
    <sheet name="CA Consumer" sheetId="1" r:id="rId1"/>
    <sheet name="CA Business" sheetId="2" r:id="rId2"/>
    <sheet name="Crédits secours" sheetId="3" r:id="rId3"/>
    <sheet name="706141" sheetId="4" r:id="rId4"/>
    <sheet name="COLOCALISATION" sheetId="5" r:id="rId5"/>
    <sheet name="COMPTES" sheetId="6" r:id="rId6"/>
  </sheets>
  <externalReferences>
    <externalReference r:id="rId7"/>
  </externalReferences>
  <definedNames>
    <definedName name="_xlnm._FilterDatabase">#REF!</definedName>
    <definedName name="_xlnm.Print_Area" localSheetId="0">'CA Consumer'!$A$1:$F$38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G19" i="5"/>
  <c r="H19" i="5" s="1"/>
  <c r="T8" i="4" l="1"/>
  <c r="E8" i="4"/>
  <c r="T7" i="4"/>
  <c r="E7" i="4"/>
  <c r="E6" i="4"/>
  <c r="E5" i="4"/>
  <c r="E4" i="4"/>
  <c r="T3" i="4"/>
  <c r="E3" i="4"/>
  <c r="T2" i="4"/>
  <c r="E2" i="4"/>
  <c r="C4" i="3"/>
  <c r="C5" i="3" s="1"/>
  <c r="D13" i="2"/>
  <c r="D38" i="2" s="1"/>
  <c r="E45" i="1"/>
  <c r="D4" i="1"/>
  <c r="D13" i="1" s="1"/>
  <c r="D38" i="1" s="1"/>
  <c r="E44" i="1" l="1"/>
  <c r="D44" i="1" s="1"/>
  <c r="E46" i="1" l="1"/>
</calcChain>
</file>

<file path=xl/sharedStrings.xml><?xml version="1.0" encoding="utf-8"?>
<sst xmlns="http://schemas.openxmlformats.org/spreadsheetml/2006/main" count="365" uniqueCount="200">
  <si>
    <t>CHIFFRE D'AFFAIRES CONSUMER AU 31 JANVIER 2025</t>
  </si>
  <si>
    <t>LIBELLE</t>
  </si>
  <si>
    <t>MONTANT EN HT</t>
  </si>
  <si>
    <t>COMPTES</t>
  </si>
  <si>
    <t xml:space="preserve">AXE 2 </t>
  </si>
  <si>
    <t>Voice Revenue</t>
  </si>
  <si>
    <t>Consommation Pré paid intra réseau  (Montant en HT) &amp; forfaits voix + faf promo</t>
  </si>
  <si>
    <t>706120</t>
  </si>
  <si>
    <t>A99</t>
  </si>
  <si>
    <t>Consommation Pré paid vers MTN  (Montant en HT)</t>
  </si>
  <si>
    <t>706121</t>
  </si>
  <si>
    <t>A43</t>
  </si>
  <si>
    <t>Consommation Pré paid vers GLO  (Montant en HT)</t>
  </si>
  <si>
    <t>A45</t>
  </si>
  <si>
    <t>Consommation Pré paid vers BBCOM  (Montant en HT)</t>
  </si>
  <si>
    <t>A44</t>
  </si>
  <si>
    <t>Consommation Pré paid vers LIBERCOM  (Montant en HT)</t>
  </si>
  <si>
    <t>A42</t>
  </si>
  <si>
    <t>Consommation Pré paid local  (Montant en HT)</t>
  </si>
  <si>
    <t>706122</t>
  </si>
  <si>
    <t>Consommation Pré paid national  (Montant en HT)</t>
  </si>
  <si>
    <t>706123</t>
  </si>
  <si>
    <t>Consommation Pré paid international  (Montant en HT)</t>
  </si>
  <si>
    <t>706124</t>
  </si>
  <si>
    <t>Consommation Pré paid Roaming  (Montant en HT)</t>
  </si>
  <si>
    <t>706140</t>
  </si>
  <si>
    <t>Sous Total</t>
  </si>
  <si>
    <t>SMS Revenue</t>
  </si>
  <si>
    <t>SMS Pre paid On Net ( Montant en HT)</t>
  </si>
  <si>
    <t>706 117</t>
  </si>
  <si>
    <t>SMS Pre paid Off Net MTN ( Montant en HT)</t>
  </si>
  <si>
    <t>SMS Pre paid Off Net GLO ( Montant en HT)</t>
  </si>
  <si>
    <t>SMS Pre paid Off Net BBCOM ( Montant en HT)</t>
  </si>
  <si>
    <t>SMS Pre paid Off Net LIBERCOM ( Montant en HT)</t>
  </si>
  <si>
    <t>T16</t>
  </si>
  <si>
    <t>SMS Pre paid International ( Montant en HT)</t>
  </si>
  <si>
    <t>T18</t>
  </si>
  <si>
    <t>Roaming SMS</t>
  </si>
  <si>
    <t>T19</t>
  </si>
  <si>
    <t>Data Revenue</t>
  </si>
  <si>
    <t>Domestic &amp; International Data Revenue: Internet classic, Activation Gprs &amp; Activation BB</t>
  </si>
  <si>
    <t>706 153</t>
  </si>
  <si>
    <t>Phone book back up, StoryBox &amp; Moov game, BAC 2016, BEPC2016….</t>
  </si>
  <si>
    <t>706151</t>
  </si>
  <si>
    <t>A47</t>
  </si>
  <si>
    <t>Revenu Ring back tones</t>
  </si>
  <si>
    <t>Gratuités</t>
  </si>
  <si>
    <t>Consommation Etisalat staff Pré paid (HT)</t>
  </si>
  <si>
    <t>628110</t>
  </si>
  <si>
    <t>Bonus sur Voix on net</t>
  </si>
  <si>
    <t>701920</t>
  </si>
  <si>
    <t>A17</t>
  </si>
  <si>
    <t>Bonus sur Voix off net national mtn</t>
  </si>
  <si>
    <t>Bonus sur Voix off net national glo</t>
  </si>
  <si>
    <t>Bonus sur Voix off net national bbcom</t>
  </si>
  <si>
    <t>Bonus sur Voix off net national libercom</t>
  </si>
  <si>
    <t>Bonus sur Voix off net national opt</t>
  </si>
  <si>
    <t>Bonus sur Voix off net international</t>
  </si>
  <si>
    <t>Bonus sur SMS</t>
  </si>
  <si>
    <t>A22</t>
  </si>
  <si>
    <t>Bonus sur Data</t>
  </si>
  <si>
    <t>A25</t>
  </si>
  <si>
    <t>Crédits donnés (Hors Cos Etisalat)</t>
  </si>
  <si>
    <t>658200</t>
  </si>
  <si>
    <t>TOTAL CA PRE PAID (Hors Consommation Cos Etisalat et Crédits donnés...)</t>
  </si>
  <si>
    <t>CHIFFRE D'AFFAIRES BUSINESS AU 31 JANVIER 2025</t>
  </si>
  <si>
    <t>MOIS JANVIER 2025</t>
  </si>
  <si>
    <t>Montant</t>
  </si>
  <si>
    <t xml:space="preserve">Fees Crédit Secours TTC </t>
  </si>
  <si>
    <t>Sharing</t>
  </si>
  <si>
    <t>NumÃ©ro de piÃ¨ce</t>
  </si>
  <si>
    <t>Site</t>
  </si>
  <si>
    <t>Date</t>
  </si>
  <si>
    <t>Type</t>
  </si>
  <si>
    <t>Compte</t>
  </si>
  <si>
    <t>LibellÃ© ligne</t>
  </si>
  <si>
    <t>DÃ©bit rÃ©fÃ©rentiel</t>
  </si>
  <si>
    <t>CrÃ©dit rÃ©fÃ©rentiel</t>
  </si>
  <si>
    <t>CENTRE COÃœT</t>
  </si>
  <si>
    <t>OPERATION</t>
  </si>
  <si>
    <t>REVENU</t>
  </si>
  <si>
    <t>SEGMENTS</t>
  </si>
  <si>
    <t>PROJETS</t>
  </si>
  <si>
    <t>Analyse flux</t>
  </si>
  <si>
    <t>VEHICULES</t>
  </si>
  <si>
    <t>REGIONS</t>
  </si>
  <si>
    <t>CODE ABC</t>
  </si>
  <si>
    <t>QuantitÃ©</t>
  </si>
  <si>
    <t>UnitÃ©</t>
  </si>
  <si>
    <t>Contrepartie</t>
  </si>
  <si>
    <t>Document origine</t>
  </si>
  <si>
    <t>RÃ©fÃ©rence</t>
  </si>
  <si>
    <t>Etat</t>
  </si>
  <si>
    <t>CatÃ©gorie</t>
  </si>
  <si>
    <t>NumÃ©ro chrono</t>
  </si>
  <si>
    <t>FACSIEGE25010052</t>
  </si>
  <si>
    <t>SIEGE</t>
  </si>
  <si>
    <t>FACLI</t>
  </si>
  <si>
    <t>EXT PROV POSTPAID DEC 24 ROAMING</t>
  </si>
  <si>
    <t>20DO00000</t>
  </si>
  <si>
    <t>PS011</t>
  </si>
  <si>
    <t>FACSIEGE25010054</t>
  </si>
  <si>
    <t>EXT PROV  CONSUMER DEC 24 ROAMING</t>
  </si>
  <si>
    <t>A54</t>
  </si>
  <si>
    <t>PS008</t>
  </si>
  <si>
    <t>FACSIEGE25010065</t>
  </si>
  <si>
    <t>POSTPAID ROAMING   DEC 24</t>
  </si>
  <si>
    <t>PS004</t>
  </si>
  <si>
    <t>POSTPAID  DEC 24 ROAMING</t>
  </si>
  <si>
    <t>CONSUMER  DEC 24 ROAMING</t>
  </si>
  <si>
    <t>FACSIEGE25010066</t>
  </si>
  <si>
    <t>PROV POSTPAID JANV 25 ROAMING</t>
  </si>
  <si>
    <t>PS001</t>
  </si>
  <si>
    <t>FACSIEGE25010068</t>
  </si>
  <si>
    <t>PROV  CONSUMER JANV 25 ROAMING</t>
  </si>
  <si>
    <t>PS003</t>
  </si>
  <si>
    <t>N°</t>
  </si>
  <si>
    <t>CODE CLIENT</t>
  </si>
  <si>
    <t>TYPES DE SERVICE</t>
  </si>
  <si>
    <t>NOMBRE DE SITES</t>
  </si>
  <si>
    <t>PERIODICITE</t>
  </si>
  <si>
    <t>COLOCATION</t>
  </si>
  <si>
    <t>A0003952</t>
  </si>
  <si>
    <t>BOA BENIN</t>
  </si>
  <si>
    <t>CONNEXION POINT A POINT</t>
  </si>
  <si>
    <t>43  SITES</t>
  </si>
  <si>
    <t>Mensuel</t>
  </si>
  <si>
    <t>A0003997</t>
  </si>
  <si>
    <t>ISOCEL SARL INTERCO</t>
  </si>
  <si>
    <t>CONNEXION POINT A POINT et COLOCATION)(4 SITES ET 53 SITES</t>
  </si>
  <si>
    <t xml:space="preserve"> COLOCATION (42SITES)</t>
  </si>
  <si>
    <t>COMPLEMENT D'EQUIPEMENT</t>
  </si>
  <si>
    <t>14 EQUIPEMENNTS</t>
  </si>
  <si>
    <t>A0003999</t>
  </si>
  <si>
    <t>MEDIA CONTACT INTERCO</t>
  </si>
  <si>
    <t>2 SITES</t>
  </si>
  <si>
    <t>S0000002</t>
  </si>
  <si>
    <t>OTS</t>
  </si>
  <si>
    <t>2 SITE</t>
  </si>
  <si>
    <t>OTS APN BUSINESS</t>
  </si>
  <si>
    <t>1 APN BUSNESS</t>
  </si>
  <si>
    <t xml:space="preserve">mensuel </t>
  </si>
  <si>
    <t xml:space="preserve">A0004185 </t>
  </si>
  <si>
    <t>PNUD</t>
  </si>
  <si>
    <t>1 COL</t>
  </si>
  <si>
    <t>S0000004</t>
  </si>
  <si>
    <t>Direction Générale du Trésor Public</t>
  </si>
  <si>
    <t>5 SITE</t>
  </si>
  <si>
    <t>semestriel (fin semestre)</t>
  </si>
  <si>
    <t>A0004459</t>
  </si>
  <si>
    <t>COLAS AFRIQUE</t>
  </si>
  <si>
    <t>3SITES</t>
  </si>
  <si>
    <t>A0006595</t>
  </si>
  <si>
    <t>ORABANK</t>
  </si>
  <si>
    <t>CONNEXIION POINT A POINT</t>
  </si>
  <si>
    <t>15 STES</t>
  </si>
  <si>
    <t>A0006855</t>
  </si>
  <si>
    <t xml:space="preserve">BABE </t>
  </si>
  <si>
    <t xml:space="preserve"> CONNEXION POINT A POINT </t>
  </si>
  <si>
    <t xml:space="preserve"> 1 site </t>
  </si>
  <si>
    <t xml:space="preserve"> Mensuel </t>
  </si>
  <si>
    <t xml:space="preserve">A0006854 </t>
  </si>
  <si>
    <t xml:space="preserve"> BIIC </t>
  </si>
  <si>
    <t xml:space="preserve">A0007060 </t>
  </si>
  <si>
    <t xml:space="preserve"> SONEB </t>
  </si>
  <si>
    <t xml:space="preserve"> 5 SITES </t>
  </si>
  <si>
    <t xml:space="preserve">A0005227 </t>
  </si>
  <si>
    <t xml:space="preserve"> ABC CORPORATION </t>
  </si>
  <si>
    <t xml:space="preserve"> CONNEXION POINT A POINT/COLOCATION </t>
  </si>
  <si>
    <t xml:space="preserve"> 2SITES </t>
  </si>
  <si>
    <t xml:space="preserve">A0007682 </t>
  </si>
  <si>
    <t xml:space="preserve"> PORTEO BTP </t>
  </si>
  <si>
    <t xml:space="preserve"> 2 SITES </t>
  </si>
  <si>
    <t>A0006915</t>
  </si>
  <si>
    <t xml:space="preserve">SBIN </t>
  </si>
  <si>
    <t>COLOCATION (octobre)</t>
  </si>
  <si>
    <t>160 sites</t>
  </si>
  <si>
    <t xml:space="preserve">CA  FACTURE  CONNEXION POINT A POINT ET COLOCATION </t>
  </si>
  <si>
    <t>TOTAL PREFACTURE MOIS JANVIER  2025</t>
  </si>
  <si>
    <t>COMPTES MOOV MONEY</t>
  </si>
  <si>
    <t>706161</t>
  </si>
  <si>
    <t>Revenu Moov Money Cash Out</t>
  </si>
  <si>
    <t>706162</t>
  </si>
  <si>
    <t>Revenu Moov Money P2P</t>
  </si>
  <si>
    <t>706163</t>
  </si>
  <si>
    <t>Revenu Moov Money Bank</t>
  </si>
  <si>
    <t>706164</t>
  </si>
  <si>
    <t>Revenu Moov Money internationa</t>
  </si>
  <si>
    <t>706165</t>
  </si>
  <si>
    <t>Revenu Moov Money Bill Paiemen</t>
  </si>
  <si>
    <t>ROAMING NATIONAL</t>
  </si>
  <si>
    <t>706143</t>
  </si>
  <si>
    <t>ROAMING NATIONAL VOIX</t>
  </si>
  <si>
    <t>706144</t>
  </si>
  <si>
    <t>ROAMING NATIONAL SMS</t>
  </si>
  <si>
    <t>706145</t>
  </si>
  <si>
    <t>ROAMING NATIONAL DATA</t>
  </si>
  <si>
    <t>ROAMING IN</t>
  </si>
  <si>
    <t>706142</t>
  </si>
  <si>
    <t>ROAMING VISITEURS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</si>
</sst>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\ &quot;CFA&quot;_-;\-* #,##0.00\ &quot;CFA&quot;_-;_-* &quot;-&quot;??\ &quot;CFA&quot;_-;_-@_-"/>
    <numFmt numFmtId="166" formatCode="_-* #,##0\ _C_F_A_-;\-* #,##0\ _C_F_A_-;_-* &quot;-&quot;\ _C_F_A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333333"/>
      <name val="Arial"/>
      <family val="2"/>
    </font>
    <font>
      <b/>
      <sz val="14"/>
      <color rgb="FF333333"/>
      <name val="Arial"/>
      <family val="2"/>
    </font>
    <font>
      <b/>
      <sz val="9"/>
      <color rgb="FFFFFFFF"/>
      <name val="Arial"/>
      <family val="2"/>
    </font>
    <font>
      <b/>
      <sz val="9"/>
      <color rgb="FF333333"/>
      <name val="Arial"/>
      <family val="2"/>
    </font>
    <font>
      <sz val="11"/>
      <color theme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4"/>
      <color rgb="FF000000"/>
      <name val="Calibri"/>
      <family val="2"/>
    </font>
    <font>
      <sz val="10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CE00"/>
        <bgColor rgb="FFFFFFFF"/>
      </patternFill>
    </fill>
    <fill>
      <patternFill patternType="solid">
        <fgColor rgb="FFC6C3C6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3877A6"/>
      </bottom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66">
    <xf numFmtId="0" fontId="0" fillId="0" borderId="0" xfId="0"/>
    <xf numFmtId="0" fontId="3" fillId="2" borderId="0" xfId="0" applyFont="1" applyFill="1" applyAlignment="1">
      <alignment horizontal="left"/>
    </xf>
    <xf numFmtId="164" fontId="3" fillId="2" borderId="0" xfId="1" applyFont="1" applyFill="1" applyAlignment="1">
      <alignment horizontal="left"/>
    </xf>
    <xf numFmtId="49" fontId="5" fillId="3" borderId="2" xfId="0" applyNumberFormat="1" applyFont="1" applyFill="1" applyBorder="1" applyAlignment="1">
      <alignment horizontal="left" vertical="center"/>
    </xf>
    <xf numFmtId="164" fontId="5" fillId="3" borderId="2" xfId="1" applyFont="1" applyFill="1" applyBorder="1" applyAlignment="1">
      <alignment horizontal="left" vertical="center"/>
    </xf>
    <xf numFmtId="49" fontId="3" fillId="5" borderId="4" xfId="0" applyNumberFormat="1" applyFont="1" applyFill="1" applyBorder="1" applyAlignment="1">
      <alignment horizontal="left"/>
    </xf>
    <xf numFmtId="164" fontId="3" fillId="2" borderId="4" xfId="1" applyFont="1" applyFill="1" applyBorder="1" applyAlignment="1">
      <alignment horizontal="right"/>
    </xf>
    <xf numFmtId="49" fontId="3" fillId="2" borderId="4" xfId="0" applyNumberFormat="1" applyFont="1" applyFill="1" applyBorder="1" applyAlignment="1">
      <alignment horizontal="center"/>
    </xf>
    <xf numFmtId="164" fontId="0" fillId="0" borderId="0" xfId="1" applyFont="1"/>
    <xf numFmtId="49" fontId="3" fillId="2" borderId="4" xfId="0" applyNumberFormat="1" applyFont="1" applyFill="1" applyBorder="1" applyAlignment="1">
      <alignment horizontal="left"/>
    </xf>
    <xf numFmtId="164" fontId="3" fillId="6" borderId="4" xfId="1" applyFont="1" applyFill="1" applyBorder="1" applyAlignment="1">
      <alignment horizontal="right"/>
    </xf>
    <xf numFmtId="164" fontId="3" fillId="2" borderId="4" xfId="1" applyFont="1" applyFill="1" applyBorder="1" applyAlignment="1">
      <alignment horizontal="left"/>
    </xf>
    <xf numFmtId="49" fontId="6" fillId="4" borderId="4" xfId="0" applyNumberFormat="1" applyFont="1" applyFill="1" applyBorder="1" applyAlignment="1">
      <alignment horizontal="left"/>
    </xf>
    <xf numFmtId="164" fontId="6" fillId="4" borderId="4" xfId="1" applyFont="1" applyFill="1" applyBorder="1" applyAlignment="1">
      <alignment horizontal="right"/>
    </xf>
    <xf numFmtId="49" fontId="6" fillId="4" borderId="4" xfId="0" applyNumberFormat="1" applyFont="1" applyFill="1" applyBorder="1" applyAlignment="1">
      <alignment horizontal="center" vertical="center"/>
    </xf>
    <xf numFmtId="164" fontId="6" fillId="4" borderId="4" xfId="1" applyFont="1" applyFill="1" applyBorder="1" applyAlignment="1">
      <alignment horizontal="center" vertical="center"/>
    </xf>
    <xf numFmtId="164" fontId="7" fillId="7" borderId="0" xfId="1" applyFont="1" applyFill="1"/>
    <xf numFmtId="164" fontId="8" fillId="0" borderId="0" xfId="1" applyFont="1"/>
    <xf numFmtId="164" fontId="2" fillId="0" borderId="0" xfId="1" applyFont="1"/>
    <xf numFmtId="164" fontId="0" fillId="0" borderId="0" xfId="0" applyNumberFormat="1"/>
    <xf numFmtId="3" fontId="3" fillId="2" borderId="4" xfId="0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left"/>
    </xf>
    <xf numFmtId="0" fontId="9" fillId="0" borderId="0" xfId="0" applyFont="1"/>
    <xf numFmtId="0" fontId="9" fillId="0" borderId="5" xfId="0" applyFont="1" applyBorder="1"/>
    <xf numFmtId="0" fontId="9" fillId="0" borderId="5" xfId="0" applyFont="1" applyBorder="1" applyAlignment="1">
      <alignment horizontal="center"/>
    </xf>
    <xf numFmtId="166" fontId="10" fillId="0" borderId="5" xfId="0" applyNumberFormat="1" applyFont="1" applyBorder="1"/>
    <xf numFmtId="0" fontId="10" fillId="0" borderId="5" xfId="0" applyFont="1" applyBorder="1"/>
    <xf numFmtId="9" fontId="10" fillId="0" borderId="5" xfId="0" applyNumberFormat="1" applyFont="1" applyBorder="1"/>
    <xf numFmtId="166" fontId="2" fillId="0" borderId="0" xfId="0" applyNumberFormat="1" applyFont="1"/>
    <xf numFmtId="14" fontId="0" fillId="0" borderId="0" xfId="0" applyNumberFormat="1"/>
    <xf numFmtId="164" fontId="0" fillId="7" borderId="0" xfId="1" applyFont="1" applyFill="1"/>
    <xf numFmtId="0" fontId="12" fillId="8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3" fontId="11" fillId="0" borderId="5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vertical="center"/>
    </xf>
    <xf numFmtId="3" fontId="13" fillId="0" borderId="5" xfId="0" applyNumberFormat="1" applyFont="1" applyBorder="1" applyAlignment="1">
      <alignment horizontal="center" vertical="center"/>
    </xf>
    <xf numFmtId="3" fontId="14" fillId="0" borderId="5" xfId="0" applyNumberFormat="1" applyFont="1" applyBorder="1" applyAlignment="1">
      <alignment horizontal="center" vertical="center"/>
    </xf>
    <xf numFmtId="165" fontId="0" fillId="0" borderId="0" xfId="2" applyFont="1"/>
    <xf numFmtId="0" fontId="11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vertical="center"/>
    </xf>
    <xf numFmtId="3" fontId="0" fillId="0" borderId="5" xfId="0" applyNumberFormat="1" applyBorder="1" applyAlignment="1">
      <alignment horizontal="center"/>
    </xf>
    <xf numFmtId="0" fontId="11" fillId="9" borderId="5" xfId="0" applyFont="1" applyFill="1" applyBorder="1" applyAlignment="1">
      <alignment horizontal="center" vertical="center"/>
    </xf>
    <xf numFmtId="3" fontId="11" fillId="9" borderId="5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right" vertical="center"/>
    </xf>
    <xf numFmtId="17" fontId="12" fillId="8" borderId="5" xfId="0" applyNumberFormat="1" applyFont="1" applyFill="1" applyBorder="1" applyAlignment="1">
      <alignment horizontal="center" vertical="center"/>
    </xf>
    <xf numFmtId="164" fontId="8" fillId="7" borderId="0" xfId="1" applyFont="1" applyFill="1"/>
    <xf numFmtId="0" fontId="0" fillId="0" borderId="0" xfId="0" applyAlignment="1">
      <alignment vertical="top"/>
    </xf>
    <xf numFmtId="0" fontId="0" fillId="11" borderId="0" xfId="0" applyFill="1" applyAlignment="1">
      <alignment vertical="top"/>
    </xf>
    <xf numFmtId="0" fontId="16" fillId="11" borderId="0" xfId="0" applyFont="1" applyFill="1" applyAlignment="1">
      <alignment vertical="top"/>
    </xf>
    <xf numFmtId="49" fontId="0" fillId="0" borderId="0" xfId="0" applyNumberFormat="1"/>
    <xf numFmtId="49" fontId="0" fillId="0" borderId="6" xfId="0" applyNumberFormat="1" applyBorder="1" applyAlignment="1">
      <alignment vertical="top"/>
    </xf>
    <xf numFmtId="49" fontId="0" fillId="0" borderId="0" xfId="0" applyNumberFormat="1" applyAlignment="1">
      <alignment vertical="top"/>
    </xf>
    <xf numFmtId="49" fontId="0" fillId="11" borderId="0" xfId="0" applyNumberFormat="1" applyFill="1" applyAlignment="1">
      <alignment vertical="top"/>
    </xf>
    <xf numFmtId="0" fontId="6" fillId="4" borderId="4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49" fontId="6" fillId="4" borderId="3" xfId="0" applyNumberFormat="1" applyFont="1" applyFill="1" applyBorder="1" applyAlignment="1">
      <alignment horizontal="left"/>
    </xf>
    <xf numFmtId="49" fontId="5" fillId="3" borderId="2" xfId="0" applyNumberFormat="1" applyFont="1" applyFill="1" applyBorder="1" applyAlignment="1">
      <alignment horizontal="left" vertical="center"/>
    </xf>
    <xf numFmtId="0" fontId="10" fillId="0" borderId="5" xfId="0" applyFont="1" applyBorder="1" applyAlignment="1">
      <alignment horizontal="center"/>
    </xf>
    <xf numFmtId="0" fontId="11" fillId="9" borderId="5" xfId="0" applyFont="1" applyFill="1" applyBorder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vertical="center"/>
    </xf>
  </cellXfs>
  <cellStyles count="3">
    <cellStyle name="Milliers [0]" xfId="1" builtinId="6"/>
    <cellStyle name="Monétaire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5\TBG%20WORK\01\TBG%20FILES\CA%20DOCUMENTS%2001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"/>
      <sheetName val="ESTIMATIONS"/>
      <sheetName val="CA Consumer"/>
      <sheetName val="CA Business"/>
      <sheetName val="."/>
      <sheetName val="ACTIVATIONS"/>
      <sheetName val="CHALLENGE AIRTIME FORFAIT"/>
      <sheetName val="FEES CREDIT SECOURS"/>
      <sheetName val="BTI"/>
      <sheetName val="ROAMING IN"/>
      <sheetName val="ROAMING OUT"/>
      <sheetName val="PROVISIONS DIOT"/>
      <sheetName val="NATIONAL"/>
      <sheetName val="--"/>
      <sheetName val="ACS AV ACS"/>
      <sheetName val="ACS AV CHNVS"/>
      <sheetName val="ACS REMB ACS"/>
      <sheetName val="ACS REMB CHNVS"/>
      <sheetName val="ACS CONSO"/>
      <sheetName val="-"/>
      <sheetName val="ROAMING SMS"/>
      <sheetName val="TRAFIC&amp;REVENU DETAILS"/>
    </sheetNames>
    <sheetDataSet>
      <sheetData sheetId="0">
        <row r="9">
          <cell r="D9">
            <v>9183774</v>
          </cell>
        </row>
        <row r="22">
          <cell r="E22">
            <v>6662159689.8305092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5FDF-E51B-4541-8691-64DE57DFA516}">
  <sheetPr>
    <tabColor rgb="FFC00000"/>
    <pageSetUpPr fitToPage="1"/>
  </sheetPr>
  <dimension ref="A1:I46"/>
  <sheetViews>
    <sheetView view="pageBreakPreview" topLeftCell="A16" zoomScaleNormal="100" zoomScaleSheetLayoutView="100" workbookViewId="0">
      <selection activeCell="D29" sqref="D29:D34"/>
    </sheetView>
  </sheetViews>
  <sheetFormatPr defaultColWidth="8.7109375" defaultRowHeight="14.45"/>
  <cols>
    <col min="1" max="1" width="3.140625" customWidth="1"/>
    <col min="2" max="2" width="6" style="8" customWidth="1"/>
    <col min="3" max="3" width="69.140625" customWidth="1"/>
    <col min="4" max="4" width="20.140625" style="8" bestFit="1" customWidth="1"/>
    <col min="5" max="6" width="13.7109375" bestFit="1" customWidth="1"/>
    <col min="7" max="7" width="11" bestFit="1" customWidth="1"/>
    <col min="8" max="8" width="12.42578125" bestFit="1" customWidth="1"/>
    <col min="9" max="9" width="11.28515625" bestFit="1" customWidth="1"/>
  </cols>
  <sheetData>
    <row r="1" spans="1:9" ht="18">
      <c r="A1" s="1"/>
      <c r="B1" s="2"/>
      <c r="C1" s="58" t="s">
        <v>0</v>
      </c>
      <c r="D1" s="58"/>
      <c r="E1" s="58"/>
      <c r="F1" s="58"/>
    </row>
    <row r="2" spans="1:9">
      <c r="A2" s="1"/>
      <c r="B2" s="2"/>
      <c r="C2" s="3" t="s">
        <v>1</v>
      </c>
      <c r="D2" s="4" t="s">
        <v>2</v>
      </c>
      <c r="E2" s="3" t="s">
        <v>3</v>
      </c>
      <c r="F2" s="3" t="s">
        <v>4</v>
      </c>
    </row>
    <row r="3" spans="1:9">
      <c r="A3" s="1"/>
      <c r="B3" s="2"/>
      <c r="C3" s="59" t="s">
        <v>5</v>
      </c>
      <c r="D3" s="59"/>
      <c r="E3" s="59"/>
      <c r="F3" s="59"/>
    </row>
    <row r="4" spans="1:9">
      <c r="A4" s="1"/>
      <c r="B4" s="2"/>
      <c r="C4" s="5" t="s">
        <v>6</v>
      </c>
      <c r="D4" s="6">
        <f>1291239879.68306+64374330.3642464</f>
        <v>1355614210.0473063</v>
      </c>
      <c r="E4" s="7" t="s">
        <v>7</v>
      </c>
      <c r="F4" s="7" t="s">
        <v>8</v>
      </c>
      <c r="G4" s="8"/>
      <c r="H4" s="8"/>
      <c r="I4" s="8"/>
    </row>
    <row r="5" spans="1:9">
      <c r="A5" s="1"/>
      <c r="B5" s="2"/>
      <c r="C5" s="9" t="s">
        <v>9</v>
      </c>
      <c r="D5" s="10">
        <v>1123059000.63782</v>
      </c>
      <c r="E5" s="7" t="s">
        <v>10</v>
      </c>
      <c r="F5" s="7" t="s">
        <v>11</v>
      </c>
      <c r="G5" s="8"/>
      <c r="H5" s="8"/>
      <c r="I5" s="8"/>
    </row>
    <row r="6" spans="1:9">
      <c r="A6" s="1"/>
      <c r="B6" s="2"/>
      <c r="C6" s="5" t="s">
        <v>12</v>
      </c>
      <c r="D6" s="6"/>
      <c r="E6" s="7" t="s">
        <v>10</v>
      </c>
      <c r="F6" s="7" t="s">
        <v>13</v>
      </c>
      <c r="G6" s="8"/>
      <c r="H6" s="8"/>
      <c r="I6" s="8"/>
    </row>
    <row r="7" spans="1:9">
      <c r="A7" s="1"/>
      <c r="B7" s="2"/>
      <c r="C7" s="9" t="s">
        <v>14</v>
      </c>
      <c r="D7" s="6">
        <v>0</v>
      </c>
      <c r="E7" s="7" t="s">
        <v>10</v>
      </c>
      <c r="F7" s="7" t="s">
        <v>15</v>
      </c>
    </row>
    <row r="8" spans="1:9">
      <c r="A8" s="1"/>
      <c r="B8" s="2"/>
      <c r="C8" s="5" t="s">
        <v>16</v>
      </c>
      <c r="D8" s="6">
        <v>0</v>
      </c>
      <c r="E8" s="7" t="s">
        <v>10</v>
      </c>
      <c r="F8" s="7" t="s">
        <v>17</v>
      </c>
    </row>
    <row r="9" spans="1:9">
      <c r="A9" s="1"/>
      <c r="B9" s="2"/>
      <c r="C9" s="9" t="s">
        <v>18</v>
      </c>
      <c r="D9" s="11"/>
      <c r="E9" s="7" t="s">
        <v>19</v>
      </c>
      <c r="F9" s="7"/>
    </row>
    <row r="10" spans="1:9">
      <c r="A10" s="1"/>
      <c r="B10" s="2"/>
      <c r="C10" s="5" t="s">
        <v>20</v>
      </c>
      <c r="D10" s="6">
        <v>477346316.00190699</v>
      </c>
      <c r="E10" s="7" t="s">
        <v>21</v>
      </c>
      <c r="F10" s="7" t="s">
        <v>8</v>
      </c>
    </row>
    <row r="11" spans="1:9">
      <c r="A11" s="1"/>
      <c r="B11" s="2"/>
      <c r="C11" s="9" t="s">
        <v>22</v>
      </c>
      <c r="D11" s="6">
        <v>159932591.63061401</v>
      </c>
      <c r="E11" s="7" t="s">
        <v>23</v>
      </c>
      <c r="F11" s="7" t="s">
        <v>8</v>
      </c>
    </row>
    <row r="12" spans="1:9">
      <c r="A12" s="1"/>
      <c r="B12" s="2"/>
      <c r="C12" s="5" t="s">
        <v>24</v>
      </c>
      <c r="D12" s="6">
        <v>10567859.6186441</v>
      </c>
      <c r="E12" s="7" t="s">
        <v>25</v>
      </c>
      <c r="F12" s="7" t="s">
        <v>8</v>
      </c>
    </row>
    <row r="13" spans="1:9">
      <c r="A13" s="1"/>
      <c r="B13" s="2"/>
      <c r="C13" s="12" t="s">
        <v>26</v>
      </c>
      <c r="D13" s="13">
        <f>SUM(D4:D12)</f>
        <v>3126519977.9362912</v>
      </c>
      <c r="E13" s="57"/>
      <c r="F13" s="57"/>
    </row>
    <row r="14" spans="1:9">
      <c r="A14" s="1"/>
      <c r="B14" s="2"/>
      <c r="C14" s="60" t="s">
        <v>27</v>
      </c>
      <c r="D14" s="60"/>
      <c r="E14" s="60"/>
      <c r="F14" s="60"/>
    </row>
    <row r="15" spans="1:9">
      <c r="A15" s="1"/>
      <c r="B15" s="2"/>
      <c r="C15" s="5" t="s">
        <v>28</v>
      </c>
      <c r="D15" s="6">
        <v>1296065.8135593201</v>
      </c>
      <c r="E15" s="7" t="s">
        <v>29</v>
      </c>
      <c r="F15" s="7" t="s">
        <v>17</v>
      </c>
    </row>
    <row r="16" spans="1:9">
      <c r="A16" s="1"/>
      <c r="B16" s="2"/>
      <c r="C16" s="9" t="s">
        <v>30</v>
      </c>
      <c r="D16" s="6">
        <v>1231450.8474576301</v>
      </c>
      <c r="E16" s="7" t="s">
        <v>29</v>
      </c>
      <c r="F16" s="7" t="s">
        <v>11</v>
      </c>
    </row>
    <row r="17" spans="1:6">
      <c r="A17" s="1"/>
      <c r="B17" s="2"/>
      <c r="C17" s="5" t="s">
        <v>31</v>
      </c>
      <c r="D17" s="6"/>
      <c r="E17" s="7" t="s">
        <v>29</v>
      </c>
      <c r="F17" s="7" t="s">
        <v>15</v>
      </c>
    </row>
    <row r="18" spans="1:6">
      <c r="A18" s="1"/>
      <c r="B18" s="2"/>
      <c r="C18" s="9" t="s">
        <v>32</v>
      </c>
      <c r="D18" s="6">
        <v>1381.35593220339</v>
      </c>
      <c r="E18" s="7" t="s">
        <v>29</v>
      </c>
      <c r="F18" s="7" t="s">
        <v>13</v>
      </c>
    </row>
    <row r="19" spans="1:6">
      <c r="A19" s="1"/>
      <c r="B19" s="2"/>
      <c r="C19" s="5" t="s">
        <v>33</v>
      </c>
      <c r="D19" s="6">
        <v>232046.61016949199</v>
      </c>
      <c r="E19" s="7" t="s">
        <v>29</v>
      </c>
      <c r="F19" s="7" t="s">
        <v>34</v>
      </c>
    </row>
    <row r="20" spans="1:6">
      <c r="A20" s="1"/>
      <c r="B20" s="2"/>
      <c r="C20" s="9" t="s">
        <v>35</v>
      </c>
      <c r="D20" s="6">
        <v>2336576.2711864398</v>
      </c>
      <c r="E20" s="7" t="s">
        <v>29</v>
      </c>
      <c r="F20" s="7" t="s">
        <v>36</v>
      </c>
    </row>
    <row r="21" spans="1:6">
      <c r="A21" s="1"/>
      <c r="B21" s="2"/>
      <c r="C21" s="5" t="s">
        <v>37</v>
      </c>
      <c r="D21" s="6">
        <v>284340.67796610203</v>
      </c>
      <c r="E21" s="7" t="s">
        <v>29</v>
      </c>
      <c r="F21" s="7" t="s">
        <v>38</v>
      </c>
    </row>
    <row r="22" spans="1:6">
      <c r="A22" s="1"/>
      <c r="B22" s="2"/>
      <c r="C22" s="60" t="s">
        <v>39</v>
      </c>
      <c r="D22" s="60"/>
      <c r="E22" s="60"/>
      <c r="F22" s="60"/>
    </row>
    <row r="23" spans="1:6">
      <c r="A23" s="1"/>
      <c r="B23" s="2"/>
      <c r="C23" s="5" t="s">
        <v>40</v>
      </c>
      <c r="D23" s="6">
        <v>4883168348.4026203</v>
      </c>
      <c r="E23" s="7" t="s">
        <v>41</v>
      </c>
      <c r="F23" s="7" t="s">
        <v>8</v>
      </c>
    </row>
    <row r="24" spans="1:6">
      <c r="A24" s="1"/>
      <c r="B24" s="2"/>
      <c r="C24" s="9" t="s">
        <v>42</v>
      </c>
      <c r="D24" s="6">
        <v>117373380.220339</v>
      </c>
      <c r="E24" s="7" t="s">
        <v>43</v>
      </c>
      <c r="F24" s="7" t="s">
        <v>44</v>
      </c>
    </row>
    <row r="25" spans="1:6">
      <c r="A25" s="1"/>
      <c r="B25" s="2"/>
      <c r="C25" s="5" t="s">
        <v>45</v>
      </c>
      <c r="D25" s="6">
        <v>132796.61016949199</v>
      </c>
      <c r="E25" s="7" t="s">
        <v>43</v>
      </c>
      <c r="F25" s="7" t="s">
        <v>8</v>
      </c>
    </row>
    <row r="26" spans="1:6">
      <c r="A26" s="1"/>
      <c r="B26" s="2"/>
      <c r="C26" s="60" t="s">
        <v>46</v>
      </c>
      <c r="D26" s="60"/>
      <c r="E26" s="60"/>
      <c r="F26" s="60"/>
    </row>
    <row r="27" spans="1:6">
      <c r="A27" s="1"/>
      <c r="B27" s="2"/>
      <c r="C27" s="5" t="s">
        <v>47</v>
      </c>
      <c r="D27" s="6">
        <v>0</v>
      </c>
      <c r="E27" s="7" t="s">
        <v>48</v>
      </c>
      <c r="F27" s="7"/>
    </row>
    <row r="28" spans="1:6">
      <c r="A28" s="1"/>
      <c r="B28" s="2"/>
      <c r="C28" s="9" t="s">
        <v>49</v>
      </c>
      <c r="D28" s="6">
        <v>30324285.788135599</v>
      </c>
      <c r="E28" s="7" t="s">
        <v>50</v>
      </c>
      <c r="F28" s="7" t="s">
        <v>51</v>
      </c>
    </row>
    <row r="29" spans="1:6">
      <c r="A29" s="1"/>
      <c r="B29" s="2"/>
      <c r="C29" s="5" t="s">
        <v>52</v>
      </c>
      <c r="D29" s="6">
        <v>29291906.9576272</v>
      </c>
      <c r="E29" s="7"/>
      <c r="F29" s="7"/>
    </row>
    <row r="30" spans="1:6">
      <c r="A30" s="1"/>
      <c r="B30" s="2"/>
      <c r="C30" s="9" t="s">
        <v>53</v>
      </c>
      <c r="D30" s="6"/>
      <c r="E30" s="7"/>
      <c r="F30" s="7"/>
    </row>
    <row r="31" spans="1:6">
      <c r="A31" s="1"/>
      <c r="B31" s="2"/>
      <c r="C31" s="5" t="s">
        <v>54</v>
      </c>
      <c r="D31" s="6">
        <v>0</v>
      </c>
      <c r="E31" s="7"/>
      <c r="F31" s="7"/>
    </row>
    <row r="32" spans="1:6">
      <c r="A32" s="1"/>
      <c r="B32" s="2"/>
      <c r="C32" s="9" t="s">
        <v>55</v>
      </c>
      <c r="D32" s="6"/>
      <c r="E32" s="7"/>
      <c r="F32" s="7"/>
    </row>
    <row r="33" spans="1:6">
      <c r="A33" s="1"/>
      <c r="B33" s="2"/>
      <c r="C33" s="5" t="s">
        <v>56</v>
      </c>
      <c r="D33" s="6">
        <v>8124.8474576271201</v>
      </c>
      <c r="E33" s="7"/>
      <c r="F33" s="7"/>
    </row>
    <row r="34" spans="1:6">
      <c r="A34" s="1"/>
      <c r="B34" s="2"/>
      <c r="C34" s="9" t="s">
        <v>57</v>
      </c>
      <c r="D34" s="6">
        <v>272670.33898305101</v>
      </c>
      <c r="E34" s="7"/>
      <c r="F34" s="7"/>
    </row>
    <row r="35" spans="1:6">
      <c r="A35" s="1"/>
      <c r="B35" s="2"/>
      <c r="C35" s="5" t="s">
        <v>58</v>
      </c>
      <c r="D35" s="6">
        <v>59586.677966101699</v>
      </c>
      <c r="E35" s="7" t="s">
        <v>50</v>
      </c>
      <c r="F35" s="7" t="s">
        <v>59</v>
      </c>
    </row>
    <row r="36" spans="1:6">
      <c r="A36" s="1"/>
      <c r="B36" s="2"/>
      <c r="C36" s="9" t="s">
        <v>60</v>
      </c>
      <c r="D36" s="6">
        <v>1491349046.8643401</v>
      </c>
      <c r="E36" s="7" t="s">
        <v>50</v>
      </c>
      <c r="F36" s="7" t="s">
        <v>61</v>
      </c>
    </row>
    <row r="37" spans="1:6">
      <c r="A37" s="1"/>
      <c r="B37" s="2"/>
      <c r="C37" s="5" t="s">
        <v>62</v>
      </c>
      <c r="D37" s="11"/>
      <c r="E37" s="7" t="s">
        <v>63</v>
      </c>
      <c r="F37" s="7"/>
    </row>
    <row r="38" spans="1:6">
      <c r="A38" s="1"/>
      <c r="B38" s="2"/>
      <c r="C38" s="14" t="s">
        <v>64</v>
      </c>
      <c r="D38" s="15">
        <f>D13+SUM(D15:D21,D23:D25)-SUM(D27:D37)</f>
        <v>6581270743.2711811</v>
      </c>
      <c r="E38" s="57"/>
      <c r="F38" s="57"/>
    </row>
    <row r="42" spans="1:6">
      <c r="E42" s="8"/>
    </row>
    <row r="43" spans="1:6">
      <c r="E43" s="8"/>
    </row>
    <row r="44" spans="1:6">
      <c r="B44" s="8">
        <v>7864967267.8500004</v>
      </c>
      <c r="D44" s="16">
        <f>+E44*1.18</f>
        <v>7861348434</v>
      </c>
      <c r="E44" s="17">
        <f>D38+'CA Business'!D38</f>
        <v>6662159689.8305092</v>
      </c>
      <c r="F44" s="8"/>
    </row>
    <row r="45" spans="1:6">
      <c r="E45" s="18">
        <f>+[1]REV!E22</f>
        <v>6662159689.8305092</v>
      </c>
      <c r="F45" s="8"/>
    </row>
    <row r="46" spans="1:6">
      <c r="E46" s="18">
        <f>E44-E45</f>
        <v>0</v>
      </c>
      <c r="F46" s="8"/>
    </row>
  </sheetData>
  <mergeCells count="7">
    <mergeCell ref="E38:F38"/>
    <mergeCell ref="C1:F1"/>
    <mergeCell ref="C3:F3"/>
    <mergeCell ref="E13:F13"/>
    <mergeCell ref="C14:F14"/>
    <mergeCell ref="C22:F22"/>
    <mergeCell ref="C26:F26"/>
  </mergeCells>
  <pageMargins left="0.7" right="0.7" top="0.75" bottom="0.75" header="0.3" footer="0.3"/>
  <pageSetup paperSize="9" scale="8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8147-647F-40F9-97DD-F34D08E1933F}">
  <sheetPr>
    <tabColor rgb="FFC00000"/>
    <pageSetUpPr fitToPage="1"/>
  </sheetPr>
  <dimension ref="A1:G38"/>
  <sheetViews>
    <sheetView view="pageBreakPreview" topLeftCell="A22" zoomScaleNormal="100" zoomScaleSheetLayoutView="100" workbookViewId="0">
      <selection activeCell="D28" sqref="D28:D34"/>
    </sheetView>
  </sheetViews>
  <sheetFormatPr defaultColWidth="11.42578125" defaultRowHeight="14.45"/>
  <cols>
    <col min="1" max="1" width="7" customWidth="1"/>
    <col min="2" max="2" width="5.140625" style="8" customWidth="1"/>
    <col min="3" max="3" width="70.140625" customWidth="1"/>
    <col min="4" max="4" width="20.140625" style="8" bestFit="1" customWidth="1"/>
    <col min="5" max="5" width="11.85546875" bestFit="1" customWidth="1"/>
    <col min="6" max="6" width="8" bestFit="1" customWidth="1"/>
    <col min="7" max="7" width="11.5703125" bestFit="1" customWidth="1"/>
  </cols>
  <sheetData>
    <row r="1" spans="1:7" ht="18">
      <c r="A1" s="1"/>
      <c r="B1" s="2"/>
      <c r="C1" s="58" t="s">
        <v>65</v>
      </c>
      <c r="D1" s="58"/>
      <c r="E1" s="58"/>
      <c r="F1" s="58"/>
    </row>
    <row r="2" spans="1:7">
      <c r="A2" s="1"/>
      <c r="B2" s="2"/>
      <c r="C2" s="3" t="s">
        <v>1</v>
      </c>
      <c r="D2" s="4" t="s">
        <v>2</v>
      </c>
      <c r="E2" s="3" t="s">
        <v>3</v>
      </c>
      <c r="F2" s="3" t="s">
        <v>4</v>
      </c>
    </row>
    <row r="3" spans="1:7">
      <c r="A3" s="1"/>
      <c r="B3" s="2"/>
      <c r="C3" s="59" t="s">
        <v>5</v>
      </c>
      <c r="D3" s="59"/>
      <c r="E3" s="59"/>
      <c r="F3" s="59"/>
    </row>
    <row r="4" spans="1:7">
      <c r="A4" s="1"/>
      <c r="B4" s="2"/>
      <c r="C4" s="5" t="s">
        <v>6</v>
      </c>
      <c r="D4" s="6">
        <v>31195340.481355999</v>
      </c>
      <c r="E4" s="7" t="s">
        <v>7</v>
      </c>
      <c r="F4" s="7" t="s">
        <v>8</v>
      </c>
      <c r="G4" s="19"/>
    </row>
    <row r="5" spans="1:7">
      <c r="A5" s="1"/>
      <c r="B5" s="2"/>
      <c r="C5" s="9" t="s">
        <v>9</v>
      </c>
      <c r="D5" s="6">
        <v>66570892.087182298</v>
      </c>
      <c r="E5" s="7" t="s">
        <v>10</v>
      </c>
      <c r="F5" s="7" t="s">
        <v>11</v>
      </c>
      <c r="G5" s="19"/>
    </row>
    <row r="6" spans="1:7">
      <c r="A6" s="1"/>
      <c r="B6" s="2"/>
      <c r="C6" s="5" t="s">
        <v>12</v>
      </c>
      <c r="D6" s="6"/>
      <c r="E6" s="7" t="s">
        <v>10</v>
      </c>
      <c r="F6" s="7" t="s">
        <v>13</v>
      </c>
      <c r="G6" s="19"/>
    </row>
    <row r="7" spans="1:7">
      <c r="A7" s="1"/>
      <c r="B7" s="2"/>
      <c r="C7" s="9" t="s">
        <v>14</v>
      </c>
      <c r="D7" s="6">
        <v>0</v>
      </c>
      <c r="E7" s="7" t="s">
        <v>10</v>
      </c>
      <c r="F7" s="7" t="s">
        <v>15</v>
      </c>
      <c r="G7" s="19"/>
    </row>
    <row r="8" spans="1:7">
      <c r="A8" s="1"/>
      <c r="B8" s="2"/>
      <c r="C8" s="5" t="s">
        <v>16</v>
      </c>
      <c r="D8" s="6">
        <v>0</v>
      </c>
      <c r="E8" s="7" t="s">
        <v>10</v>
      </c>
      <c r="F8" s="7" t="s">
        <v>17</v>
      </c>
      <c r="G8" s="19"/>
    </row>
    <row r="9" spans="1:7">
      <c r="A9" s="1"/>
      <c r="B9" s="2"/>
      <c r="C9" s="9" t="s">
        <v>18</v>
      </c>
      <c r="D9" s="11"/>
      <c r="E9" s="7" t="s">
        <v>19</v>
      </c>
      <c r="F9" s="7"/>
      <c r="G9" s="19"/>
    </row>
    <row r="10" spans="1:7">
      <c r="A10" s="1"/>
      <c r="B10" s="2"/>
      <c r="C10" s="5" t="s">
        <v>20</v>
      </c>
      <c r="D10" s="6">
        <v>2477312.6921610199</v>
      </c>
      <c r="E10" s="7" t="s">
        <v>21</v>
      </c>
      <c r="F10" s="7" t="s">
        <v>8</v>
      </c>
      <c r="G10" s="19"/>
    </row>
    <row r="11" spans="1:7">
      <c r="A11" s="1"/>
      <c r="B11" s="2"/>
      <c r="C11" s="9" t="s">
        <v>22</v>
      </c>
      <c r="D11" s="6">
        <v>3118471.8621822</v>
      </c>
      <c r="E11" s="7" t="s">
        <v>23</v>
      </c>
      <c r="F11" s="7" t="s">
        <v>8</v>
      </c>
      <c r="G11" s="19"/>
    </row>
    <row r="12" spans="1:7">
      <c r="A12" s="1"/>
      <c r="B12" s="2"/>
      <c r="C12" s="5" t="s">
        <v>24</v>
      </c>
      <c r="D12" s="6">
        <v>630566.43220339005</v>
      </c>
      <c r="E12" s="7" t="s">
        <v>25</v>
      </c>
      <c r="F12" s="7" t="s">
        <v>8</v>
      </c>
      <c r="G12" s="19"/>
    </row>
    <row r="13" spans="1:7">
      <c r="A13" s="1"/>
      <c r="B13" s="2"/>
      <c r="C13" s="12" t="s">
        <v>26</v>
      </c>
      <c r="D13" s="13">
        <f>SUM(D4:D12)</f>
        <v>103992583.55508491</v>
      </c>
      <c r="E13" s="57"/>
      <c r="F13" s="57"/>
      <c r="G13" s="19"/>
    </row>
    <row r="14" spans="1:7">
      <c r="A14" s="1"/>
      <c r="B14" s="2"/>
      <c r="C14" s="60" t="s">
        <v>27</v>
      </c>
      <c r="D14" s="60"/>
      <c r="E14" s="60"/>
      <c r="F14" s="60"/>
      <c r="G14" s="19"/>
    </row>
    <row r="15" spans="1:7">
      <c r="A15" s="1"/>
      <c r="B15" s="2"/>
      <c r="C15" s="5" t="s">
        <v>28</v>
      </c>
      <c r="D15" s="6">
        <v>47579.661016949198</v>
      </c>
      <c r="E15" s="7" t="s">
        <v>29</v>
      </c>
      <c r="F15" s="7" t="s">
        <v>17</v>
      </c>
      <c r="G15" s="19"/>
    </row>
    <row r="16" spans="1:7">
      <c r="A16" s="1"/>
      <c r="B16" s="2"/>
      <c r="C16" s="9" t="s">
        <v>30</v>
      </c>
      <c r="D16" s="6">
        <v>132517.79661016999</v>
      </c>
      <c r="E16" s="7" t="s">
        <v>29</v>
      </c>
      <c r="F16" s="7" t="s">
        <v>11</v>
      </c>
      <c r="G16" s="19"/>
    </row>
    <row r="17" spans="1:7">
      <c r="A17" s="1"/>
      <c r="B17" s="2"/>
      <c r="C17" s="5" t="s">
        <v>31</v>
      </c>
      <c r="D17" s="6"/>
      <c r="E17" s="7" t="s">
        <v>29</v>
      </c>
      <c r="F17" s="7" t="s">
        <v>15</v>
      </c>
      <c r="G17" s="19"/>
    </row>
    <row r="18" spans="1:7">
      <c r="A18" s="1"/>
      <c r="B18" s="2"/>
      <c r="C18" s="9" t="s">
        <v>32</v>
      </c>
      <c r="D18" s="6">
        <v>44.915254237288103</v>
      </c>
      <c r="E18" s="7" t="s">
        <v>29</v>
      </c>
      <c r="F18" s="7" t="s">
        <v>13</v>
      </c>
      <c r="G18" s="19"/>
    </row>
    <row r="19" spans="1:7">
      <c r="A19" s="1"/>
      <c r="B19" s="2"/>
      <c r="C19" s="5" t="s">
        <v>33</v>
      </c>
      <c r="D19" s="6">
        <v>26471.186440678001</v>
      </c>
      <c r="E19" s="7" t="s">
        <v>29</v>
      </c>
      <c r="F19" s="7" t="s">
        <v>34</v>
      </c>
      <c r="G19" s="19"/>
    </row>
    <row r="20" spans="1:7">
      <c r="A20" s="1"/>
      <c r="B20" s="2"/>
      <c r="C20" s="9" t="s">
        <v>35</v>
      </c>
      <c r="D20" s="6">
        <v>105889.830508475</v>
      </c>
      <c r="E20" s="7" t="s">
        <v>29</v>
      </c>
      <c r="F20" s="7" t="s">
        <v>36</v>
      </c>
      <c r="G20" s="19"/>
    </row>
    <row r="21" spans="1:7">
      <c r="A21" s="1"/>
      <c r="B21" s="2"/>
      <c r="C21" s="5" t="s">
        <v>37</v>
      </c>
      <c r="D21" s="6">
        <v>14623.728813559301</v>
      </c>
      <c r="E21" s="7" t="s">
        <v>29</v>
      </c>
      <c r="F21" s="7" t="s">
        <v>38</v>
      </c>
      <c r="G21" s="19"/>
    </row>
    <row r="22" spans="1:7">
      <c r="A22" s="1"/>
      <c r="B22" s="2"/>
      <c r="C22" s="60" t="s">
        <v>39</v>
      </c>
      <c r="D22" s="60"/>
      <c r="E22" s="60"/>
      <c r="F22" s="60"/>
      <c r="G22" s="19"/>
    </row>
    <row r="23" spans="1:7">
      <c r="A23" s="1"/>
      <c r="B23" s="2"/>
      <c r="C23" s="5" t="s">
        <v>40</v>
      </c>
      <c r="D23" s="6">
        <v>108982551.33475301</v>
      </c>
      <c r="E23" s="7" t="s">
        <v>41</v>
      </c>
      <c r="F23" s="7" t="s">
        <v>8</v>
      </c>
      <c r="G23" s="19"/>
    </row>
    <row r="24" spans="1:7">
      <c r="A24" s="1"/>
      <c r="B24" s="2"/>
      <c r="C24" s="9" t="s">
        <v>42</v>
      </c>
      <c r="D24" s="6">
        <v>11905025.423728799</v>
      </c>
      <c r="E24" s="7" t="s">
        <v>43</v>
      </c>
      <c r="F24" s="7" t="s">
        <v>44</v>
      </c>
      <c r="G24" s="19"/>
    </row>
    <row r="25" spans="1:7">
      <c r="A25" s="1"/>
      <c r="B25" s="2"/>
      <c r="C25" s="5" t="s">
        <v>45</v>
      </c>
      <c r="D25" s="6">
        <v>6843.2203389830502</v>
      </c>
      <c r="E25" s="7" t="s">
        <v>43</v>
      </c>
      <c r="F25" s="7" t="s">
        <v>8</v>
      </c>
      <c r="G25" s="19"/>
    </row>
    <row r="26" spans="1:7">
      <c r="A26" s="1"/>
      <c r="B26" s="2"/>
      <c r="C26" s="60" t="s">
        <v>46</v>
      </c>
      <c r="D26" s="60"/>
      <c r="E26" s="60"/>
      <c r="F26" s="60"/>
      <c r="G26" s="19"/>
    </row>
    <row r="27" spans="1:7">
      <c r="A27" s="1"/>
      <c r="B27" s="2"/>
      <c r="C27" s="5" t="s">
        <v>47</v>
      </c>
      <c r="D27" s="20"/>
      <c r="E27" s="7" t="s">
        <v>48</v>
      </c>
      <c r="F27" s="7"/>
      <c r="G27" s="19"/>
    </row>
    <row r="28" spans="1:7">
      <c r="A28" s="1"/>
      <c r="B28" s="2"/>
      <c r="C28" s="9" t="s">
        <v>49</v>
      </c>
      <c r="D28" s="20">
        <v>22818904.220339</v>
      </c>
      <c r="E28" s="7" t="s">
        <v>50</v>
      </c>
      <c r="F28" s="7" t="s">
        <v>51</v>
      </c>
      <c r="G28" s="19"/>
    </row>
    <row r="29" spans="1:7">
      <c r="A29" s="1"/>
      <c r="B29" s="2"/>
      <c r="C29" s="5" t="s">
        <v>52</v>
      </c>
      <c r="D29" s="20">
        <v>55885253.169491403</v>
      </c>
      <c r="E29" s="7"/>
      <c r="F29" s="7"/>
      <c r="G29" s="19"/>
    </row>
    <row r="30" spans="1:7">
      <c r="A30" s="1"/>
      <c r="B30" s="2"/>
      <c r="C30" s="9" t="s">
        <v>53</v>
      </c>
      <c r="D30" s="20"/>
      <c r="E30" s="7"/>
      <c r="F30" s="7"/>
      <c r="G30" s="19"/>
    </row>
    <row r="31" spans="1:7">
      <c r="A31" s="1"/>
      <c r="B31" s="2"/>
      <c r="C31" s="5" t="s">
        <v>54</v>
      </c>
      <c r="D31" s="20"/>
      <c r="E31" s="7"/>
      <c r="F31" s="7"/>
      <c r="G31" s="19"/>
    </row>
    <row r="32" spans="1:7">
      <c r="A32" s="1"/>
      <c r="B32" s="2"/>
      <c r="C32" s="9" t="s">
        <v>55</v>
      </c>
      <c r="D32" s="20"/>
      <c r="E32" s="7"/>
      <c r="F32" s="7"/>
      <c r="G32" s="19"/>
    </row>
    <row r="33" spans="1:7">
      <c r="A33" s="1"/>
      <c r="B33" s="2"/>
      <c r="C33" s="5" t="s">
        <v>56</v>
      </c>
      <c r="D33" s="20">
        <v>97320.830508474595</v>
      </c>
      <c r="E33" s="7"/>
      <c r="F33" s="7"/>
      <c r="G33" s="19"/>
    </row>
    <row r="34" spans="1:7">
      <c r="A34" s="1"/>
      <c r="B34" s="2"/>
      <c r="C34" s="9" t="s">
        <v>57</v>
      </c>
      <c r="D34" s="20">
        <v>1474601.5593220301</v>
      </c>
      <c r="E34" s="7"/>
      <c r="F34" s="7"/>
      <c r="G34" s="19"/>
    </row>
    <row r="35" spans="1:7">
      <c r="A35" s="1"/>
      <c r="B35" s="2"/>
      <c r="C35" s="5" t="s">
        <v>58</v>
      </c>
      <c r="D35" s="20">
        <v>215991.10169491501</v>
      </c>
      <c r="E35" s="7" t="s">
        <v>50</v>
      </c>
      <c r="F35" s="7" t="s">
        <v>59</v>
      </c>
      <c r="G35" s="19"/>
    </row>
    <row r="36" spans="1:7">
      <c r="A36" s="1"/>
      <c r="B36" s="2"/>
      <c r="C36" s="9" t="s">
        <v>60</v>
      </c>
      <c r="D36" s="20">
        <v>63833113.211865403</v>
      </c>
      <c r="E36" s="7" t="s">
        <v>50</v>
      </c>
      <c r="F36" s="7" t="s">
        <v>61</v>
      </c>
      <c r="G36" s="19"/>
    </row>
    <row r="37" spans="1:7">
      <c r="A37" s="1"/>
      <c r="B37" s="2"/>
      <c r="C37" s="5" t="s">
        <v>62</v>
      </c>
      <c r="D37" s="21"/>
      <c r="E37" s="7" t="s">
        <v>63</v>
      </c>
      <c r="F37" s="7"/>
      <c r="G37" s="19"/>
    </row>
    <row r="38" spans="1:7">
      <c r="A38" s="1"/>
      <c r="B38" s="2"/>
      <c r="C38" s="14" t="s">
        <v>64</v>
      </c>
      <c r="D38" s="15">
        <f>D13+SUM(D15:D21,D23:D25)-SUM(D27:D37)</f>
        <v>80888946.559328556</v>
      </c>
      <c r="E38" s="57"/>
      <c r="F38" s="57"/>
      <c r="G38" s="19"/>
    </row>
  </sheetData>
  <mergeCells count="7">
    <mergeCell ref="E38:F38"/>
    <mergeCell ref="C1:F1"/>
    <mergeCell ref="C3:F3"/>
    <mergeCell ref="E13:F13"/>
    <mergeCell ref="C14:F14"/>
    <mergeCell ref="C22:F22"/>
    <mergeCell ref="C26:F26"/>
  </mergeCells>
  <pageMargins left="0.7" right="0.7" top="0.75" bottom="0.75" header="0.3" footer="0.3"/>
  <pageSetup paperSize="9" scale="8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4B566-844B-421F-8C2C-AAA976CB2735}">
  <sheetPr>
    <tabColor rgb="FFC00000"/>
  </sheetPr>
  <dimension ref="A1:D6"/>
  <sheetViews>
    <sheetView workbookViewId="0">
      <selection activeCell="E4" sqref="E4"/>
    </sheetView>
  </sheetViews>
  <sheetFormatPr defaultColWidth="11.42578125" defaultRowHeight="14.45"/>
  <cols>
    <col min="1" max="1" width="34.140625" bestFit="1" customWidth="1"/>
    <col min="2" max="2" width="6.85546875" bestFit="1" customWidth="1"/>
    <col min="3" max="3" width="22.28515625" bestFit="1" customWidth="1"/>
    <col min="4" max="4" width="13.5703125" bestFit="1" customWidth="1"/>
  </cols>
  <sheetData>
    <row r="1" spans="1:4" ht="23.45">
      <c r="A1" s="22"/>
      <c r="B1" s="22"/>
      <c r="C1" s="22"/>
    </row>
    <row r="2" spans="1:4" ht="23.45">
      <c r="A2" s="61" t="s">
        <v>66</v>
      </c>
      <c r="B2" s="61"/>
      <c r="C2" s="61"/>
    </row>
    <row r="3" spans="1:4" ht="23.45">
      <c r="A3" s="23"/>
      <c r="B3" s="23"/>
      <c r="C3" s="24" t="s">
        <v>67</v>
      </c>
    </row>
    <row r="4" spans="1:4" ht="23.45">
      <c r="A4" s="23" t="s">
        <v>68</v>
      </c>
      <c r="B4" s="23"/>
      <c r="C4" s="25">
        <f>+[1]REV!D9</f>
        <v>9183774</v>
      </c>
      <c r="D4" s="28">
        <f>C4/1.18</f>
        <v>7782859.3220338989</v>
      </c>
    </row>
    <row r="5" spans="1:4" ht="23.45">
      <c r="A5" s="26" t="s">
        <v>69</v>
      </c>
      <c r="B5" s="27">
        <v>0.3</v>
      </c>
      <c r="C5" s="25">
        <f>C4*B5</f>
        <v>2755132.1999999997</v>
      </c>
    </row>
    <row r="6" spans="1:4" ht="23.45">
      <c r="A6" s="22"/>
      <c r="B6" s="22"/>
      <c r="C6" s="22"/>
    </row>
  </sheetData>
  <mergeCells count="1">
    <mergeCell ref="A2:C2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386AE-0684-4D59-93FA-8C7FCC9F0455}">
  <dimension ref="A1:Y8"/>
  <sheetViews>
    <sheetView workbookViewId="0">
      <selection activeCell="F11" sqref="F11"/>
    </sheetView>
  </sheetViews>
  <sheetFormatPr defaultColWidth="11.42578125" defaultRowHeight="14.45"/>
  <cols>
    <col min="6" max="6" width="35" bestFit="1" customWidth="1"/>
    <col min="7" max="7" width="11.28515625" style="8" bestFit="1" customWidth="1"/>
    <col min="8" max="8" width="11.85546875" style="8" bestFit="1" customWidth="1"/>
  </cols>
  <sheetData>
    <row r="1" spans="1: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s="8" t="s">
        <v>76</v>
      </c>
      <c r="H1" s="8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</row>
    <row r="2" spans="1:25">
      <c r="A2" t="s">
        <v>95</v>
      </c>
      <c r="B2" t="s">
        <v>96</v>
      </c>
      <c r="C2" s="29">
        <v>45658</v>
      </c>
      <c r="D2" t="s">
        <v>97</v>
      </c>
      <c r="E2" t="str">
        <f t="shared" ref="E2:E8" si="0">"706141"</f>
        <v>706141</v>
      </c>
      <c r="F2" t="s">
        <v>98</v>
      </c>
      <c r="G2" s="30">
        <v>0</v>
      </c>
      <c r="H2" s="8">
        <v>-2934641</v>
      </c>
      <c r="I2" t="s">
        <v>99</v>
      </c>
      <c r="J2" t="s">
        <v>8</v>
      </c>
      <c r="R2">
        <v>0</v>
      </c>
      <c r="T2" t="str">
        <f>"418200"</f>
        <v>418200</v>
      </c>
      <c r="V2" t="s">
        <v>100</v>
      </c>
      <c r="W2">
        <v>1</v>
      </c>
      <c r="X2">
        <v>1</v>
      </c>
    </row>
    <row r="3" spans="1:25">
      <c r="A3" t="s">
        <v>101</v>
      </c>
      <c r="B3" t="s">
        <v>96</v>
      </c>
      <c r="C3" s="29">
        <v>45658</v>
      </c>
      <c r="D3" t="s">
        <v>97</v>
      </c>
      <c r="E3" t="str">
        <f t="shared" si="0"/>
        <v>706141</v>
      </c>
      <c r="F3" t="s">
        <v>102</v>
      </c>
      <c r="G3" s="30">
        <v>0</v>
      </c>
      <c r="H3" s="8">
        <v>-63200</v>
      </c>
      <c r="I3" t="s">
        <v>99</v>
      </c>
      <c r="J3" t="s">
        <v>103</v>
      </c>
      <c r="R3">
        <v>0</v>
      </c>
      <c r="T3" t="str">
        <f>"418200"</f>
        <v>418200</v>
      </c>
      <c r="V3" t="s">
        <v>104</v>
      </c>
      <c r="W3">
        <v>1</v>
      </c>
      <c r="X3">
        <v>1</v>
      </c>
    </row>
    <row r="4" spans="1:25">
      <c r="A4" t="s">
        <v>105</v>
      </c>
      <c r="B4" t="s">
        <v>96</v>
      </c>
      <c r="C4" s="29">
        <v>45658</v>
      </c>
      <c r="D4" t="s">
        <v>97</v>
      </c>
      <c r="E4" t="str">
        <f t="shared" si="0"/>
        <v>706141</v>
      </c>
      <c r="F4" t="s">
        <v>106</v>
      </c>
      <c r="G4" s="30">
        <v>2693690</v>
      </c>
      <c r="H4" s="8">
        <v>0</v>
      </c>
      <c r="I4" t="s">
        <v>99</v>
      </c>
      <c r="J4" t="s">
        <v>8</v>
      </c>
      <c r="R4">
        <v>0</v>
      </c>
      <c r="V4" t="s">
        <v>107</v>
      </c>
      <c r="W4">
        <v>1</v>
      </c>
      <c r="X4">
        <v>1</v>
      </c>
    </row>
    <row r="5" spans="1:25">
      <c r="A5" t="s">
        <v>105</v>
      </c>
      <c r="B5" t="s">
        <v>96</v>
      </c>
      <c r="C5" s="29">
        <v>45658</v>
      </c>
      <c r="D5" t="s">
        <v>97</v>
      </c>
      <c r="E5" t="str">
        <f t="shared" si="0"/>
        <v>706141</v>
      </c>
      <c r="F5" t="s">
        <v>108</v>
      </c>
      <c r="G5" s="30">
        <v>0</v>
      </c>
      <c r="H5" s="8">
        <v>2659032</v>
      </c>
      <c r="I5" t="s">
        <v>99</v>
      </c>
      <c r="J5" t="s">
        <v>8</v>
      </c>
      <c r="R5">
        <v>0</v>
      </c>
      <c r="V5" t="s">
        <v>107</v>
      </c>
      <c r="W5">
        <v>1</v>
      </c>
      <c r="X5">
        <v>1</v>
      </c>
    </row>
    <row r="6" spans="1:25">
      <c r="A6" t="s">
        <v>105</v>
      </c>
      <c r="B6" t="s">
        <v>96</v>
      </c>
      <c r="C6" s="29">
        <v>45658</v>
      </c>
      <c r="D6" t="s">
        <v>97</v>
      </c>
      <c r="E6" t="str">
        <f t="shared" si="0"/>
        <v>706141</v>
      </c>
      <c r="F6" t="s">
        <v>109</v>
      </c>
      <c r="G6" s="30">
        <v>0</v>
      </c>
      <c r="H6" s="8">
        <v>43688</v>
      </c>
      <c r="I6" t="s">
        <v>99</v>
      </c>
      <c r="J6" t="s">
        <v>103</v>
      </c>
      <c r="R6">
        <v>0</v>
      </c>
      <c r="V6" t="s">
        <v>107</v>
      </c>
      <c r="W6">
        <v>1</v>
      </c>
      <c r="X6">
        <v>1</v>
      </c>
    </row>
    <row r="7" spans="1:25">
      <c r="A7" t="s">
        <v>110</v>
      </c>
      <c r="B7" t="s">
        <v>96</v>
      </c>
      <c r="C7" s="29">
        <v>45688</v>
      </c>
      <c r="D7" t="s">
        <v>97</v>
      </c>
      <c r="E7" t="str">
        <f t="shared" si="0"/>
        <v>706141</v>
      </c>
      <c r="F7" t="s">
        <v>111</v>
      </c>
      <c r="G7" s="30">
        <v>0</v>
      </c>
      <c r="H7" s="8">
        <v>2096961</v>
      </c>
      <c r="I7" t="s">
        <v>99</v>
      </c>
      <c r="J7" t="s">
        <v>8</v>
      </c>
      <c r="R7">
        <v>0</v>
      </c>
      <c r="T7" t="str">
        <f>"418200"</f>
        <v>418200</v>
      </c>
      <c r="V7" t="s">
        <v>112</v>
      </c>
      <c r="W7">
        <v>1</v>
      </c>
      <c r="X7">
        <v>1</v>
      </c>
    </row>
    <row r="8" spans="1:25">
      <c r="A8" t="s">
        <v>113</v>
      </c>
      <c r="B8" t="s">
        <v>96</v>
      </c>
      <c r="C8" s="29">
        <v>45688</v>
      </c>
      <c r="D8" t="s">
        <v>97</v>
      </c>
      <c r="E8" t="str">
        <f t="shared" si="0"/>
        <v>706141</v>
      </c>
      <c r="F8" t="s">
        <v>114</v>
      </c>
      <c r="G8" s="30">
        <v>0</v>
      </c>
      <c r="H8" s="8">
        <v>43688</v>
      </c>
      <c r="I8" t="s">
        <v>99</v>
      </c>
      <c r="J8" t="s">
        <v>103</v>
      </c>
      <c r="R8">
        <v>0</v>
      </c>
      <c r="T8" t="str">
        <f>"418200"</f>
        <v>418200</v>
      </c>
      <c r="V8" t="s">
        <v>115</v>
      </c>
      <c r="W8">
        <v>1</v>
      </c>
      <c r="X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E120A-DD56-4054-97E9-346177F5554C}">
  <dimension ref="A1:M21"/>
  <sheetViews>
    <sheetView tabSelected="1" topLeftCell="C1" workbookViewId="0">
      <selection activeCell="L16" sqref="L16"/>
    </sheetView>
  </sheetViews>
  <sheetFormatPr defaultColWidth="11.42578125" defaultRowHeight="14.45"/>
  <cols>
    <col min="7" max="7" width="10.5703125" bestFit="1" customWidth="1"/>
  </cols>
  <sheetData>
    <row r="1" spans="1:13">
      <c r="A1" s="64" t="s">
        <v>116</v>
      </c>
      <c r="B1" s="64" t="s">
        <v>117</v>
      </c>
      <c r="C1" s="64" t="s">
        <v>1</v>
      </c>
      <c r="D1" s="65" t="s">
        <v>118</v>
      </c>
      <c r="E1" s="64" t="s">
        <v>119</v>
      </c>
      <c r="F1" s="64" t="s">
        <v>120</v>
      </c>
      <c r="G1" s="48"/>
    </row>
    <row r="2" spans="1:13" ht="29.1">
      <c r="A2" s="64"/>
      <c r="B2" s="64"/>
      <c r="C2" s="64"/>
      <c r="D2" s="65"/>
      <c r="E2" s="64"/>
      <c r="F2" s="64"/>
      <c r="G2" s="31" t="s">
        <v>121</v>
      </c>
    </row>
    <row r="3" spans="1:13">
      <c r="A3" s="32">
        <v>1</v>
      </c>
      <c r="B3" s="32" t="s">
        <v>122</v>
      </c>
      <c r="C3" s="33" t="s">
        <v>123</v>
      </c>
      <c r="D3" s="33" t="s">
        <v>124</v>
      </c>
      <c r="E3" s="34" t="s">
        <v>125</v>
      </c>
      <c r="F3" s="32" t="s">
        <v>126</v>
      </c>
      <c r="G3" s="35">
        <v>0</v>
      </c>
    </row>
    <row r="4" spans="1:13">
      <c r="A4" s="32">
        <v>2</v>
      </c>
      <c r="B4" s="36" t="s">
        <v>127</v>
      </c>
      <c r="C4" s="37" t="s">
        <v>128</v>
      </c>
      <c r="D4" s="37" t="s">
        <v>129</v>
      </c>
      <c r="E4" s="36" t="s">
        <v>130</v>
      </c>
      <c r="F4" s="34" t="s">
        <v>126</v>
      </c>
      <c r="G4" s="35">
        <v>5160000</v>
      </c>
    </row>
    <row r="5" spans="1:13">
      <c r="A5" s="32">
        <v>3</v>
      </c>
      <c r="B5" s="36" t="s">
        <v>127</v>
      </c>
      <c r="C5" s="37" t="s">
        <v>128</v>
      </c>
      <c r="D5" s="37" t="s">
        <v>131</v>
      </c>
      <c r="E5" s="36" t="s">
        <v>132</v>
      </c>
      <c r="F5" s="34" t="s">
        <v>126</v>
      </c>
      <c r="G5" s="34">
        <v>0</v>
      </c>
    </row>
    <row r="6" spans="1:13">
      <c r="A6" s="32">
        <v>4</v>
      </c>
      <c r="B6" s="32" t="s">
        <v>133</v>
      </c>
      <c r="C6" s="33" t="s">
        <v>134</v>
      </c>
      <c r="D6" s="33" t="s">
        <v>124</v>
      </c>
      <c r="E6" s="32" t="s">
        <v>135</v>
      </c>
      <c r="F6" s="32" t="s">
        <v>126</v>
      </c>
      <c r="G6" s="32">
        <v>0</v>
      </c>
    </row>
    <row r="7" spans="1:13">
      <c r="A7" s="32">
        <v>5</v>
      </c>
      <c r="B7" s="32" t="s">
        <v>136</v>
      </c>
      <c r="C7" s="33" t="s">
        <v>137</v>
      </c>
      <c r="D7" s="33" t="s">
        <v>124</v>
      </c>
      <c r="E7" s="32" t="s">
        <v>138</v>
      </c>
      <c r="F7" s="32" t="s">
        <v>126</v>
      </c>
      <c r="G7" s="32">
        <v>0</v>
      </c>
    </row>
    <row r="8" spans="1:13">
      <c r="A8" s="32">
        <v>6</v>
      </c>
      <c r="B8" s="32" t="s">
        <v>136</v>
      </c>
      <c r="C8" s="33" t="s">
        <v>139</v>
      </c>
      <c r="D8" s="33" t="s">
        <v>124</v>
      </c>
      <c r="E8" s="32" t="s">
        <v>140</v>
      </c>
      <c r="F8" s="32" t="s">
        <v>141</v>
      </c>
      <c r="G8" s="32"/>
    </row>
    <row r="9" spans="1:13">
      <c r="A9" s="32">
        <v>7</v>
      </c>
      <c r="B9" s="32" t="s">
        <v>142</v>
      </c>
      <c r="C9" s="33" t="s">
        <v>143</v>
      </c>
      <c r="D9" s="33" t="s">
        <v>121</v>
      </c>
      <c r="E9" s="32" t="s">
        <v>144</v>
      </c>
      <c r="F9" s="32" t="s">
        <v>126</v>
      </c>
      <c r="G9" s="38">
        <v>120000</v>
      </c>
    </row>
    <row r="10" spans="1:13">
      <c r="A10" s="32">
        <v>8</v>
      </c>
      <c r="B10" s="32" t="s">
        <v>145</v>
      </c>
      <c r="C10" s="33" t="s">
        <v>146</v>
      </c>
      <c r="D10" s="33" t="s">
        <v>124</v>
      </c>
      <c r="E10" s="32" t="s">
        <v>147</v>
      </c>
      <c r="F10" s="32" t="s">
        <v>148</v>
      </c>
      <c r="G10" s="34">
        <v>0</v>
      </c>
    </row>
    <row r="11" spans="1:13">
      <c r="A11" s="32">
        <v>9</v>
      </c>
      <c r="B11" s="32" t="s">
        <v>149</v>
      </c>
      <c r="C11" s="33" t="s">
        <v>150</v>
      </c>
      <c r="D11" s="33" t="s">
        <v>124</v>
      </c>
      <c r="E11" s="32" t="s">
        <v>151</v>
      </c>
      <c r="F11" s="32" t="s">
        <v>126</v>
      </c>
      <c r="G11" s="32">
        <v>0</v>
      </c>
    </row>
    <row r="12" spans="1:13">
      <c r="A12" s="32">
        <v>10</v>
      </c>
      <c r="B12" s="36" t="s">
        <v>152</v>
      </c>
      <c r="C12" s="37" t="s">
        <v>153</v>
      </c>
      <c r="D12" s="37" t="s">
        <v>154</v>
      </c>
      <c r="E12" s="36" t="s">
        <v>155</v>
      </c>
      <c r="F12" s="36" t="s">
        <v>126</v>
      </c>
      <c r="G12" s="36">
        <v>0</v>
      </c>
    </row>
    <row r="13" spans="1:13">
      <c r="A13" s="32">
        <v>11</v>
      </c>
      <c r="B13" s="32" t="s">
        <v>156</v>
      </c>
      <c r="C13" s="33" t="s">
        <v>157</v>
      </c>
      <c r="D13" s="33" t="s">
        <v>158</v>
      </c>
      <c r="E13" s="32" t="s">
        <v>159</v>
      </c>
      <c r="F13" s="32" t="s">
        <v>160</v>
      </c>
      <c r="G13" s="36">
        <v>0</v>
      </c>
    </row>
    <row r="14" spans="1:13">
      <c r="A14" s="32">
        <v>12</v>
      </c>
      <c r="B14" s="32" t="s">
        <v>161</v>
      </c>
      <c r="C14" s="33" t="s">
        <v>162</v>
      </c>
      <c r="D14" s="33" t="s">
        <v>158</v>
      </c>
      <c r="E14" s="32">
        <v>7</v>
      </c>
      <c r="F14" s="32" t="s">
        <v>160</v>
      </c>
      <c r="G14" s="36">
        <v>0</v>
      </c>
    </row>
    <row r="15" spans="1:13">
      <c r="A15" s="32">
        <v>13</v>
      </c>
      <c r="B15" s="32" t="s">
        <v>163</v>
      </c>
      <c r="C15" s="33" t="s">
        <v>164</v>
      </c>
      <c r="D15" s="33" t="s">
        <v>158</v>
      </c>
      <c r="E15" s="32" t="s">
        <v>165</v>
      </c>
      <c r="F15" s="32" t="s">
        <v>160</v>
      </c>
      <c r="G15" s="36">
        <v>0</v>
      </c>
      <c r="H15" s="40"/>
      <c r="I15" s="40"/>
      <c r="J15" s="40"/>
      <c r="K15" s="40"/>
      <c r="L15" s="40"/>
      <c r="M15" s="40"/>
    </row>
    <row r="16" spans="1:13">
      <c r="A16" s="32">
        <v>14</v>
      </c>
      <c r="B16" s="32" t="s">
        <v>166</v>
      </c>
      <c r="C16" s="41" t="s">
        <v>167</v>
      </c>
      <c r="D16" s="33" t="s">
        <v>168</v>
      </c>
      <c r="E16" s="32" t="s">
        <v>169</v>
      </c>
      <c r="F16" s="32" t="s">
        <v>160</v>
      </c>
      <c r="G16" s="39">
        <v>369210</v>
      </c>
      <c r="H16" s="40"/>
      <c r="I16" s="40"/>
      <c r="J16" s="40"/>
      <c r="K16" s="40"/>
      <c r="L16" s="40"/>
      <c r="M16" s="40"/>
    </row>
    <row r="17" spans="1:13">
      <c r="A17" s="32">
        <v>15</v>
      </c>
      <c r="B17" s="32" t="s">
        <v>170</v>
      </c>
      <c r="C17" s="33" t="s">
        <v>171</v>
      </c>
      <c r="D17" s="33" t="s">
        <v>158</v>
      </c>
      <c r="E17" s="32" t="s">
        <v>172</v>
      </c>
      <c r="F17" s="32" t="s">
        <v>160</v>
      </c>
      <c r="G17" s="36">
        <v>0</v>
      </c>
      <c r="H17" s="40"/>
      <c r="I17" s="40"/>
      <c r="J17" s="40"/>
      <c r="K17" s="40"/>
      <c r="L17" s="40"/>
      <c r="M17" s="40"/>
    </row>
    <row r="18" spans="1:13">
      <c r="A18" s="32">
        <v>16</v>
      </c>
      <c r="B18" s="34" t="s">
        <v>173</v>
      </c>
      <c r="C18" s="42" t="s">
        <v>174</v>
      </c>
      <c r="D18" s="42" t="s">
        <v>175</v>
      </c>
      <c r="E18" s="34" t="s">
        <v>176</v>
      </c>
      <c r="F18" s="34" t="s">
        <v>160</v>
      </c>
      <c r="G18" s="43">
        <v>66169273.9384</v>
      </c>
      <c r="H18" s="40"/>
      <c r="I18" s="40"/>
      <c r="J18" s="40"/>
      <c r="K18" s="40"/>
      <c r="L18" s="40"/>
      <c r="M18" s="40"/>
    </row>
    <row r="19" spans="1:13">
      <c r="A19" s="62" t="s">
        <v>177</v>
      </c>
      <c r="B19" s="62"/>
      <c r="C19" s="62"/>
      <c r="D19" s="62"/>
      <c r="E19" s="62"/>
      <c r="F19" s="44"/>
      <c r="G19" s="45">
        <f>SUM(G3:G18)</f>
        <v>71818483.9384</v>
      </c>
      <c r="H19" s="49">
        <f>+G19/1.18</f>
        <v>60863121.981694922</v>
      </c>
    </row>
    <row r="20" spans="1:13">
      <c r="A20" s="46"/>
      <c r="B20" s="46"/>
      <c r="C20" s="46"/>
      <c r="D20" s="46"/>
      <c r="E20" s="46"/>
      <c r="F20" s="46"/>
      <c r="G20" s="47"/>
    </row>
    <row r="21" spans="1:13" ht="18.600000000000001">
      <c r="A21" s="63" t="s">
        <v>178</v>
      </c>
      <c r="B21" s="63"/>
      <c r="C21" s="63"/>
      <c r="D21" s="63"/>
      <c r="E21" s="63"/>
      <c r="F21" s="63"/>
      <c r="G21" s="63"/>
    </row>
  </sheetData>
  <mergeCells count="8">
    <mergeCell ref="A19:E19"/>
    <mergeCell ref="A21:G2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9D8AB-78EB-4699-A361-43AD1D973C7C}">
  <dimension ref="A1:B21"/>
  <sheetViews>
    <sheetView workbookViewId="0">
      <selection activeCell="E9" sqref="E9"/>
    </sheetView>
  </sheetViews>
  <sheetFormatPr defaultColWidth="11.42578125" defaultRowHeight="14.45"/>
  <cols>
    <col min="1" max="1" width="25.5703125" bestFit="1" customWidth="1"/>
    <col min="2" max="2" width="31.28515625" bestFit="1" customWidth="1"/>
  </cols>
  <sheetData>
    <row r="1" spans="1:2">
      <c r="A1" s="53" t="s">
        <v>179</v>
      </c>
    </row>
    <row r="2" spans="1:2">
      <c r="A2" s="54" t="s">
        <v>180</v>
      </c>
      <c r="B2" s="50" t="s">
        <v>181</v>
      </c>
    </row>
    <row r="3" spans="1:2">
      <c r="A3" s="55" t="s">
        <v>182</v>
      </c>
      <c r="B3" s="50" t="s">
        <v>183</v>
      </c>
    </row>
    <row r="4" spans="1:2">
      <c r="A4" s="55" t="s">
        <v>184</v>
      </c>
      <c r="B4" s="50" t="s">
        <v>185</v>
      </c>
    </row>
    <row r="5" spans="1:2">
      <c r="A5" s="55" t="s">
        <v>186</v>
      </c>
      <c r="B5" s="50" t="s">
        <v>187</v>
      </c>
    </row>
    <row r="6" spans="1:2">
      <c r="A6" s="55" t="s">
        <v>188</v>
      </c>
      <c r="B6" s="50" t="s">
        <v>189</v>
      </c>
    </row>
    <row r="10" spans="1:2">
      <c r="A10" s="53" t="s">
        <v>190</v>
      </c>
    </row>
    <row r="11" spans="1:2">
      <c r="A11" s="56" t="s">
        <v>191</v>
      </c>
      <c r="B11" s="52" t="s">
        <v>192</v>
      </c>
    </row>
    <row r="12" spans="1:2">
      <c r="A12" s="56" t="s">
        <v>193</v>
      </c>
      <c r="B12" s="51" t="s">
        <v>194</v>
      </c>
    </row>
    <row r="13" spans="1:2">
      <c r="A13" s="56" t="s">
        <v>195</v>
      </c>
      <c r="B13" s="51" t="s">
        <v>196</v>
      </c>
    </row>
    <row r="17" spans="1:2">
      <c r="A17" s="53" t="s">
        <v>197</v>
      </c>
    </row>
    <row r="18" spans="1:2">
      <c r="A18" s="53" t="s">
        <v>198</v>
      </c>
      <c r="B18" t="s">
        <v>199</v>
      </c>
    </row>
    <row r="19" spans="1:2">
      <c r="A19" s="56" t="s">
        <v>191</v>
      </c>
      <c r="B19" s="52" t="s">
        <v>192</v>
      </c>
    </row>
    <row r="20" spans="1:2">
      <c r="A20" s="56" t="s">
        <v>193</v>
      </c>
      <c r="B20" s="51" t="s">
        <v>194</v>
      </c>
    </row>
    <row r="21" spans="1:2">
      <c r="A21" s="56" t="s">
        <v>195</v>
      </c>
      <c r="B21" s="51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Abdel Mouiz BACHABI</dc:creator>
  <cp:keywords/>
  <dc:description/>
  <cp:lastModifiedBy>Assane Kamara</cp:lastModifiedBy>
  <cp:revision/>
  <dcterms:created xsi:type="dcterms:W3CDTF">2025-04-11T10:39:49Z</dcterms:created>
  <dcterms:modified xsi:type="dcterms:W3CDTF">2025-04-17T08:12:40Z</dcterms:modified>
  <cp:category/>
  <cp:contentStatus/>
</cp:coreProperties>
</file>